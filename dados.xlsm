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4" codeName="{4D1C537B-E38A-612A-F078-A93A15B4B7F4}"/>
  <workbookPr codeName="EstaPastaDeTrabalho" defaultThemeVersion="124226"/>
  <mc:AlternateContent xmlns:mc="http://schemas.openxmlformats.org/markup-compatibility/2006">
    <mc:Choice Requires="x15">
      <x15ac:absPath xmlns:x15ac="http://schemas.microsoft.com/office/spreadsheetml/2010/11/ac" url="W:\Licitacao\COMERCIAL\OPORTUNIDADES\IMPROV\"/>
    </mc:Choice>
  </mc:AlternateContent>
  <xr:revisionPtr revIDLastSave="0" documentId="13_ncr:1_{0B6C6229-4FEA-410F-B5AD-97B17F9D7F9C}" xr6:coauthVersionLast="47" xr6:coauthVersionMax="47" xr10:uidLastSave="{00000000-0000-0000-0000-000000000000}"/>
  <bookViews>
    <workbookView xWindow="5544" yWindow="-11628" windowWidth="20712" windowHeight="11016" activeTab="2" xr2:uid="{00000000-000D-0000-FFFF-FFFF00000000}"/>
  </bookViews>
  <sheets>
    <sheet name="Boletim" sheetId="5" r:id="rId1"/>
    <sheet name="PALAVRAS CHAVE" sheetId="2" r:id="rId2"/>
    <sheet name="Boletim (2)" sheetId="7" r:id="rId3"/>
  </sheets>
  <definedNames>
    <definedName name="DadosExternos_1" localSheetId="0" hidden="1">Boletim!$A$1:$J$1787</definedName>
    <definedName name="DadosExternos_1" localSheetId="2" hidden="1">'Boletim (2)'!$A$1:$K$1787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1787" i="7" l="1" a="1"/>
  <c r="L1787" i="7" s="1"/>
  <c r="L1786" i="7" a="1"/>
  <c r="L1786" i="7" s="1"/>
  <c r="L1785" i="7" a="1"/>
  <c r="L1785" i="7" s="1"/>
  <c r="L1784" i="7" a="1"/>
  <c r="L1784" i="7" s="1"/>
  <c r="L1783" i="7" a="1"/>
  <c r="L1783" i="7" s="1"/>
  <c r="L1782" i="7" a="1"/>
  <c r="L1782" i="7" s="1"/>
  <c r="L1781" i="7" a="1"/>
  <c r="L1781" i="7" s="1"/>
  <c r="L1780" i="7" a="1"/>
  <c r="L1780" i="7" s="1"/>
  <c r="L1779" i="7" a="1"/>
  <c r="L1779" i="7" s="1"/>
  <c r="L1778" i="7" a="1"/>
  <c r="L1778" i="7" s="1"/>
  <c r="L1777" i="7" a="1"/>
  <c r="L1777" i="7" s="1"/>
  <c r="L1776" i="7" a="1"/>
  <c r="L1776" i="7" s="1"/>
  <c r="L1775" i="7" a="1"/>
  <c r="L1775" i="7" s="1"/>
  <c r="L1774" i="7" a="1"/>
  <c r="L1774" i="7" s="1"/>
  <c r="L1773" i="7" a="1"/>
  <c r="L1773" i="7" s="1"/>
  <c r="L1772" i="7"/>
  <c r="L1772" i="7" a="1"/>
  <c r="L1771" i="7" a="1"/>
  <c r="L1771" i="7" s="1"/>
  <c r="L1770" i="7" a="1"/>
  <c r="L1770" i="7" s="1"/>
  <c r="L1769" i="7" a="1"/>
  <c r="L1769" i="7" s="1"/>
  <c r="L1768" i="7" a="1"/>
  <c r="L1768" i="7" s="1"/>
  <c r="L1767" i="7" a="1"/>
  <c r="L1767" i="7" s="1"/>
  <c r="L1766" i="7" a="1"/>
  <c r="L1766" i="7" s="1"/>
  <c r="L1765" i="7" a="1"/>
  <c r="L1765" i="7" s="1"/>
  <c r="L1764" i="7" a="1"/>
  <c r="L1764" i="7" s="1"/>
  <c r="L1763" i="7" a="1"/>
  <c r="L1763" i="7" s="1"/>
  <c r="L1762" i="7" a="1"/>
  <c r="L1762" i="7" s="1"/>
  <c r="L1761" i="7" a="1"/>
  <c r="L1761" i="7" s="1"/>
  <c r="L1760" i="7" a="1"/>
  <c r="L1760" i="7" s="1"/>
  <c r="L1759" i="7"/>
  <c r="L1759" i="7" a="1"/>
  <c r="L1758" i="7" a="1"/>
  <c r="L1758" i="7" s="1"/>
  <c r="L1757" i="7" a="1"/>
  <c r="L1757" i="7" s="1"/>
  <c r="L1756" i="7" a="1"/>
  <c r="L1756" i="7" s="1"/>
  <c r="L1755" i="7" a="1"/>
  <c r="L1755" i="7" s="1"/>
  <c r="L1754" i="7" a="1"/>
  <c r="L1754" i="7" s="1"/>
  <c r="L1753" i="7" a="1"/>
  <c r="L1753" i="7" s="1"/>
  <c r="L1752" i="7" a="1"/>
  <c r="L1752" i="7" s="1"/>
  <c r="L1751" i="7" a="1"/>
  <c r="L1751" i="7" s="1"/>
  <c r="L1750" i="7" a="1"/>
  <c r="L1750" i="7" s="1"/>
  <c r="L1749" i="7" a="1"/>
  <c r="L1749" i="7" s="1"/>
  <c r="L1748" i="7" a="1"/>
  <c r="L1748" i="7" s="1"/>
  <c r="L1747" i="7" a="1"/>
  <c r="L1747" i="7" s="1"/>
  <c r="L1746" i="7" a="1"/>
  <c r="L1746" i="7" s="1"/>
  <c r="L1745" i="7" a="1"/>
  <c r="L1745" i="7" s="1"/>
  <c r="L1744" i="7" a="1"/>
  <c r="L1744" i="7" s="1"/>
  <c r="L1743" i="7" a="1"/>
  <c r="L1743" i="7" s="1"/>
  <c r="L1742" i="7" a="1"/>
  <c r="L1742" i="7" s="1"/>
  <c r="L1741" i="7" a="1"/>
  <c r="L1741" i="7" s="1"/>
  <c r="L1740" i="7"/>
  <c r="L1740" i="7" a="1"/>
  <c r="L1739" i="7" a="1"/>
  <c r="L1739" i="7" s="1"/>
  <c r="L1738" i="7" a="1"/>
  <c r="L1738" i="7" s="1"/>
  <c r="L1737" i="7" a="1"/>
  <c r="L1737" i="7" s="1"/>
  <c r="L1736" i="7" a="1"/>
  <c r="L1736" i="7" s="1"/>
  <c r="L1735" i="7" a="1"/>
  <c r="L1735" i="7" s="1"/>
  <c r="L1734" i="7" a="1"/>
  <c r="L1734" i="7" s="1"/>
  <c r="L1733" i="7" a="1"/>
  <c r="L1733" i="7" s="1"/>
  <c r="L1732" i="7" a="1"/>
  <c r="L1732" i="7" s="1"/>
  <c r="L1731" i="7"/>
  <c r="L1731" i="7" a="1"/>
  <c r="L1730" i="7" a="1"/>
  <c r="L1730" i="7" s="1"/>
  <c r="L1729" i="7"/>
  <c r="L1729" i="7" a="1"/>
  <c r="L1728" i="7" a="1"/>
  <c r="L1728" i="7" s="1"/>
  <c r="L1727" i="7" a="1"/>
  <c r="L1727" i="7" s="1"/>
  <c r="L1726" i="7" a="1"/>
  <c r="L1726" i="7" s="1"/>
  <c r="L1725" i="7" a="1"/>
  <c r="L1725" i="7" s="1"/>
  <c r="L1724" i="7" a="1"/>
  <c r="L1724" i="7" s="1"/>
  <c r="L1723" i="7" a="1"/>
  <c r="L1723" i="7" s="1"/>
  <c r="L1722" i="7" a="1"/>
  <c r="L1722" i="7" s="1"/>
  <c r="L1721" i="7" a="1"/>
  <c r="L1721" i="7" s="1"/>
  <c r="L1720" i="7" a="1"/>
  <c r="L1720" i="7" s="1"/>
  <c r="L1719" i="7"/>
  <c r="L1719" i="7" a="1"/>
  <c r="L1718" i="7" a="1"/>
  <c r="L1718" i="7" s="1"/>
  <c r="L1717" i="7" a="1"/>
  <c r="L1717" i="7" s="1"/>
  <c r="L1716" i="7"/>
  <c r="L1716" i="7" a="1"/>
  <c r="L1715" i="7" a="1"/>
  <c r="L1715" i="7" s="1"/>
  <c r="L1714" i="7" a="1"/>
  <c r="L1714" i="7" s="1"/>
  <c r="L1713" i="7" a="1"/>
  <c r="L1713" i="7" s="1"/>
  <c r="L1712" i="7" a="1"/>
  <c r="L1712" i="7" s="1"/>
  <c r="L1711" i="7" a="1"/>
  <c r="L1711" i="7" s="1"/>
  <c r="L1710" i="7" a="1"/>
  <c r="L1710" i="7" s="1"/>
  <c r="L1709" i="7" a="1"/>
  <c r="L1709" i="7" s="1"/>
  <c r="L1708" i="7"/>
  <c r="L1708" i="7" a="1"/>
  <c r="L1707" i="7" a="1"/>
  <c r="L1707" i="7" s="1"/>
  <c r="L1706" i="7" a="1"/>
  <c r="L1706" i="7" s="1"/>
  <c r="L1705" i="7" a="1"/>
  <c r="L1705" i="7" s="1"/>
  <c r="L1704" i="7" a="1"/>
  <c r="L1704" i="7" s="1"/>
  <c r="L1703" i="7" a="1"/>
  <c r="L1703" i="7" s="1"/>
  <c r="L1702" i="7" a="1"/>
  <c r="L1702" i="7" s="1"/>
  <c r="L1701" i="7" a="1"/>
  <c r="L1701" i="7" s="1"/>
  <c r="L1700" i="7" a="1"/>
  <c r="L1700" i="7" s="1"/>
  <c r="L1699" i="7" a="1"/>
  <c r="L1699" i="7" s="1"/>
  <c r="L1698" i="7" a="1"/>
  <c r="L1698" i="7" s="1"/>
  <c r="L1697" i="7" a="1"/>
  <c r="L1697" i="7" s="1"/>
  <c r="L1696" i="7"/>
  <c r="L1696" i="7" a="1"/>
  <c r="L1695" i="7"/>
  <c r="L1695" i="7" a="1"/>
  <c r="L1694" i="7" a="1"/>
  <c r="L1694" i="7" s="1"/>
  <c r="L1693" i="7"/>
  <c r="L1693" i="7" a="1"/>
  <c r="L1692" i="7" a="1"/>
  <c r="L1692" i="7" s="1"/>
  <c r="L1691" i="7" a="1"/>
  <c r="L1691" i="7" s="1"/>
  <c r="L1690" i="7" a="1"/>
  <c r="L1690" i="7" s="1"/>
  <c r="L1689" i="7" a="1"/>
  <c r="L1689" i="7" s="1"/>
  <c r="L1688" i="7" a="1"/>
  <c r="L1688" i="7" s="1"/>
  <c r="L1687" i="7" a="1"/>
  <c r="L1687" i="7" s="1"/>
  <c r="L1686" i="7" a="1"/>
  <c r="L1686" i="7" s="1"/>
  <c r="L1685" i="7"/>
  <c r="L1685" i="7" a="1"/>
  <c r="L1684" i="7" a="1"/>
  <c r="L1684" i="7" s="1"/>
  <c r="L1683" i="7" a="1"/>
  <c r="L1683" i="7" s="1"/>
  <c r="L1682" i="7" a="1"/>
  <c r="L1682" i="7" s="1"/>
  <c r="L1681" i="7"/>
  <c r="L1681" i="7" a="1"/>
  <c r="L1680" i="7" a="1"/>
  <c r="L1680" i="7" s="1"/>
  <c r="L1679" i="7" a="1"/>
  <c r="L1679" i="7" s="1"/>
  <c r="L1678" i="7" a="1"/>
  <c r="L1678" i="7" s="1"/>
  <c r="L1677" i="7" a="1"/>
  <c r="L1677" i="7" s="1"/>
  <c r="L1676" i="7" a="1"/>
  <c r="L1676" i="7" s="1"/>
  <c r="L1675" i="7"/>
  <c r="L1675" i="7" a="1"/>
  <c r="L1674" i="7" a="1"/>
  <c r="L1674" i="7" s="1"/>
  <c r="L1673" i="7"/>
  <c r="L1673" i="7" a="1"/>
  <c r="L1672" i="7"/>
  <c r="L1672" i="7" a="1"/>
  <c r="L1671" i="7" a="1"/>
  <c r="L1671" i="7" s="1"/>
  <c r="L1670" i="7" a="1"/>
  <c r="L1670" i="7" s="1"/>
  <c r="L1669" i="7" a="1"/>
  <c r="L1669" i="7" s="1"/>
  <c r="L1668" i="7" a="1"/>
  <c r="L1668" i="7" s="1"/>
  <c r="L1667" i="7"/>
  <c r="L1667" i="7" a="1"/>
  <c r="L1666" i="7" a="1"/>
  <c r="L1666" i="7" s="1"/>
  <c r="L1665" i="7" a="1"/>
  <c r="L1665" i="7" s="1"/>
  <c r="L1664" i="7" a="1"/>
  <c r="L1664" i="7" s="1"/>
  <c r="L1663" i="7" a="1"/>
  <c r="L1663" i="7" s="1"/>
  <c r="L1662" i="7" a="1"/>
  <c r="L1662" i="7" s="1"/>
  <c r="L1661" i="7" a="1"/>
  <c r="L1661" i="7" s="1"/>
  <c r="L1660" i="7" a="1"/>
  <c r="L1660" i="7" s="1"/>
  <c r="L1659" i="7" a="1"/>
  <c r="L1659" i="7" s="1"/>
  <c r="L1658" i="7" a="1"/>
  <c r="L1658" i="7" s="1"/>
  <c r="L1657" i="7" a="1"/>
  <c r="L1657" i="7" s="1"/>
  <c r="L1656" i="7" a="1"/>
  <c r="L1656" i="7" s="1"/>
  <c r="L1655" i="7"/>
  <c r="L1655" i="7" a="1"/>
  <c r="L1654" i="7" a="1"/>
  <c r="L1654" i="7" s="1"/>
  <c r="L1653" i="7" a="1"/>
  <c r="L1653" i="7" s="1"/>
  <c r="L1652" i="7"/>
  <c r="L1652" i="7" a="1"/>
  <c r="L1651" i="7" a="1"/>
  <c r="L1651" i="7" s="1"/>
  <c r="L1650" i="7" a="1"/>
  <c r="L1650" i="7" s="1"/>
  <c r="L1649" i="7" a="1"/>
  <c r="L1649" i="7" s="1"/>
  <c r="L1648" i="7" a="1"/>
  <c r="L1648" i="7" s="1"/>
  <c r="L1647" i="7" a="1"/>
  <c r="L1647" i="7" s="1"/>
  <c r="L1646" i="7" a="1"/>
  <c r="L1646" i="7" s="1"/>
  <c r="L1645" i="7" a="1"/>
  <c r="L1645" i="7" s="1"/>
  <c r="L1644" i="7"/>
  <c r="L1644" i="7" a="1"/>
  <c r="L1643" i="7"/>
  <c r="L1643" i="7" a="1"/>
  <c r="L1642" i="7" a="1"/>
  <c r="L1642" i="7" s="1"/>
  <c r="L1641" i="7"/>
  <c r="L1641" i="7" a="1"/>
  <c r="L1640" i="7"/>
  <c r="L1640" i="7" a="1"/>
  <c r="L1639" i="7" a="1"/>
  <c r="L1639" i="7" s="1"/>
  <c r="L1638" i="7" a="1"/>
  <c r="L1638" i="7" s="1"/>
  <c r="L1637" i="7" a="1"/>
  <c r="L1637" i="7" s="1"/>
  <c r="L1636" i="7" a="1"/>
  <c r="L1636" i="7" s="1"/>
  <c r="L1635" i="7"/>
  <c r="L1635" i="7" a="1"/>
  <c r="L1634" i="7" a="1"/>
  <c r="L1634" i="7" s="1"/>
  <c r="L1633" i="7" a="1"/>
  <c r="L1633" i="7" s="1"/>
  <c r="L1632" i="7" a="1"/>
  <c r="L1632" i="7" s="1"/>
  <c r="L1631" i="7" a="1"/>
  <c r="L1631" i="7" s="1"/>
  <c r="L1630" i="7" a="1"/>
  <c r="L1630" i="7" s="1"/>
  <c r="L1629" i="7" a="1"/>
  <c r="L1629" i="7" s="1"/>
  <c r="L1628" i="7" a="1"/>
  <c r="L1628" i="7" s="1"/>
  <c r="L1627" i="7" a="1"/>
  <c r="L1627" i="7" s="1"/>
  <c r="L1626" i="7" a="1"/>
  <c r="L1626" i="7" s="1"/>
  <c r="L1625" i="7" a="1"/>
  <c r="L1625" i="7" s="1"/>
  <c r="L1624" i="7" a="1"/>
  <c r="L1624" i="7" s="1"/>
  <c r="L1623" i="7"/>
  <c r="L1623" i="7" a="1"/>
  <c r="L1622" i="7" a="1"/>
  <c r="L1622" i="7" s="1"/>
  <c r="L1621" i="7"/>
  <c r="L1621" i="7" a="1"/>
  <c r="L1620" i="7"/>
  <c r="L1620" i="7" a="1"/>
  <c r="L1619" i="7" a="1"/>
  <c r="L1619" i="7" s="1"/>
  <c r="L1618" i="7" a="1"/>
  <c r="L1618" i="7" s="1"/>
  <c r="L1617" i="7" a="1"/>
  <c r="L1617" i="7" s="1"/>
  <c r="L1616" i="7" a="1"/>
  <c r="L1616" i="7" s="1"/>
  <c r="L1615" i="7" a="1"/>
  <c r="L1615" i="7" s="1"/>
  <c r="L1614" i="7" a="1"/>
  <c r="L1614" i="7" s="1"/>
  <c r="L1613" i="7" a="1"/>
  <c r="L1613" i="7" s="1"/>
  <c r="L1612" i="7" a="1"/>
  <c r="L1612" i="7" s="1"/>
  <c r="L1611" i="7" a="1"/>
  <c r="L1611" i="7" s="1"/>
  <c r="L1610" i="7" a="1"/>
  <c r="L1610" i="7" s="1"/>
  <c r="L1609" i="7" a="1"/>
  <c r="L1609" i="7" s="1"/>
  <c r="L1608" i="7" a="1"/>
  <c r="L1608" i="7" s="1"/>
  <c r="L1607" i="7" a="1"/>
  <c r="L1607" i="7" s="1"/>
  <c r="L1606" i="7" a="1"/>
  <c r="L1606" i="7" s="1"/>
  <c r="L1605" i="7" a="1"/>
  <c r="L1605" i="7" s="1"/>
  <c r="L1604" i="7" a="1"/>
  <c r="L1604" i="7" s="1"/>
  <c r="L1603" i="7" a="1"/>
  <c r="L1603" i="7" s="1"/>
  <c r="L1602" i="7" a="1"/>
  <c r="L1602" i="7" s="1"/>
  <c r="L1601" i="7" a="1"/>
  <c r="L1601" i="7" s="1"/>
  <c r="L1600" i="7"/>
  <c r="L1600" i="7" a="1"/>
  <c r="L1599" i="7"/>
  <c r="L1599" i="7" a="1"/>
  <c r="L1598" i="7" a="1"/>
  <c r="L1598" i="7" s="1"/>
  <c r="L1597" i="7"/>
  <c r="L1597" i="7" a="1"/>
  <c r="L1596" i="7" a="1"/>
  <c r="L1596" i="7" s="1"/>
  <c r="L1595" i="7" a="1"/>
  <c r="L1595" i="7" s="1"/>
  <c r="L1594" i="7" a="1"/>
  <c r="L1594" i="7" s="1"/>
  <c r="L1593" i="7" a="1"/>
  <c r="L1593" i="7" s="1"/>
  <c r="L1592" i="7" a="1"/>
  <c r="L1592" i="7" s="1"/>
  <c r="L1591" i="7" a="1"/>
  <c r="L1591" i="7" s="1"/>
  <c r="L1590" i="7" a="1"/>
  <c r="L1590" i="7" s="1"/>
  <c r="L1589" i="7" a="1"/>
  <c r="L1589" i="7" s="1"/>
  <c r="L1588" i="7" a="1"/>
  <c r="L1588" i="7" s="1"/>
  <c r="L1587" i="7" a="1"/>
  <c r="L1587" i="7" s="1"/>
  <c r="L1586" i="7" a="1"/>
  <c r="L1586" i="7" s="1"/>
  <c r="L1585" i="7" a="1"/>
  <c r="L1585" i="7" s="1"/>
  <c r="L1584" i="7" a="1"/>
  <c r="L1584" i="7" s="1"/>
  <c r="L1583" i="7"/>
  <c r="L1583" i="7" a="1"/>
  <c r="L1582" i="7" a="1"/>
  <c r="L1582" i="7" s="1"/>
  <c r="L1581" i="7" a="1"/>
  <c r="L1581" i="7" s="1"/>
  <c r="L1580" i="7"/>
  <c r="L1580" i="7" a="1"/>
  <c r="L1579" i="7"/>
  <c r="L1579" i="7" a="1"/>
  <c r="L1578" i="7" a="1"/>
  <c r="L1578" i="7" s="1"/>
  <c r="L1577" i="7" a="1"/>
  <c r="L1577" i="7" s="1"/>
  <c r="L1576" i="7" a="1"/>
  <c r="L1576" i="7" s="1"/>
  <c r="L1575" i="7" a="1"/>
  <c r="L1575" i="7" s="1"/>
  <c r="L1574" i="7" a="1"/>
  <c r="L1574" i="7" s="1"/>
  <c r="L1573" i="7" a="1"/>
  <c r="L1573" i="7" s="1"/>
  <c r="L1572" i="7" a="1"/>
  <c r="L1572" i="7" s="1"/>
  <c r="L1571" i="7" a="1"/>
  <c r="L1571" i="7" s="1"/>
  <c r="L1570" i="7" a="1"/>
  <c r="L1570" i="7" s="1"/>
  <c r="L1569" i="7" a="1"/>
  <c r="L1569" i="7" s="1"/>
  <c r="L1568" i="7"/>
  <c r="L1568" i="7" a="1"/>
  <c r="L1567" i="7"/>
  <c r="L1567" i="7" a="1"/>
  <c r="L1566" i="7" a="1"/>
  <c r="L1566" i="7" s="1"/>
  <c r="L1565" i="7" a="1"/>
  <c r="L1565" i="7" s="1"/>
  <c r="L1564" i="7" a="1"/>
  <c r="L1564" i="7" s="1"/>
  <c r="L1563" i="7" a="1"/>
  <c r="L1563" i="7" s="1"/>
  <c r="L1562" i="7" a="1"/>
  <c r="L1562" i="7" s="1"/>
  <c r="L1561" i="7" a="1"/>
  <c r="L1561" i="7" s="1"/>
  <c r="L1560" i="7"/>
  <c r="L1560" i="7" a="1"/>
  <c r="L1559" i="7" a="1"/>
  <c r="L1559" i="7" s="1"/>
  <c r="L1558" i="7" a="1"/>
  <c r="L1558" i="7" s="1"/>
  <c r="L1557" i="7"/>
  <c r="L1557" i="7" a="1"/>
  <c r="L1556" i="7" a="1"/>
  <c r="L1556" i="7" s="1"/>
  <c r="L1555" i="7" a="1"/>
  <c r="L1555" i="7" s="1"/>
  <c r="L1554" i="7" a="1"/>
  <c r="L1554" i="7" s="1"/>
  <c r="L1553" i="7" a="1"/>
  <c r="L1553" i="7" s="1"/>
  <c r="L1552" i="7" a="1"/>
  <c r="L1552" i="7" s="1"/>
  <c r="L1551" i="7"/>
  <c r="L1551" i="7" a="1"/>
  <c r="L1550" i="7" a="1"/>
  <c r="L1550" i="7" s="1"/>
  <c r="L1549" i="7" a="1"/>
  <c r="L1549" i="7" s="1"/>
  <c r="L1548" i="7" a="1"/>
  <c r="L1548" i="7" s="1"/>
  <c r="L1547" i="7" a="1"/>
  <c r="L1547" i="7" s="1"/>
  <c r="L1546" i="7" a="1"/>
  <c r="L1546" i="7" s="1"/>
  <c r="L1545" i="7"/>
  <c r="L1545" i="7" a="1"/>
  <c r="L1544" i="7" a="1"/>
  <c r="L1544" i="7" s="1"/>
  <c r="L1543" i="7" a="1"/>
  <c r="L1543" i="7" s="1"/>
  <c r="L1542" i="7" a="1"/>
  <c r="L1542" i="7" s="1"/>
  <c r="L1541" i="7" a="1"/>
  <c r="L1541" i="7" s="1"/>
  <c r="L1540" i="7" a="1"/>
  <c r="L1540" i="7" s="1"/>
  <c r="L1539" i="7"/>
  <c r="L1539" i="7" a="1"/>
  <c r="L1538" i="7" a="1"/>
  <c r="L1538" i="7" s="1"/>
  <c r="L1537" i="7"/>
  <c r="L1537" i="7" a="1"/>
  <c r="L1536" i="7" a="1"/>
  <c r="L1536" i="7" s="1"/>
  <c r="L1535" i="7" a="1"/>
  <c r="L1535" i="7" s="1"/>
  <c r="L1534" i="7" a="1"/>
  <c r="L1534" i="7" s="1"/>
  <c r="L1533" i="7" a="1"/>
  <c r="L1533" i="7" s="1"/>
  <c r="L1532" i="7" a="1"/>
  <c r="L1532" i="7" s="1"/>
  <c r="L1531" i="7" a="1"/>
  <c r="L1531" i="7" s="1"/>
  <c r="L1530" i="7" a="1"/>
  <c r="L1530" i="7" s="1"/>
  <c r="L1529" i="7" a="1"/>
  <c r="L1529" i="7" s="1"/>
  <c r="L1528" i="7" a="1"/>
  <c r="L1528" i="7" s="1"/>
  <c r="L1527" i="7"/>
  <c r="L1527" i="7" a="1"/>
  <c r="L1526" i="7" a="1"/>
  <c r="L1526" i="7" s="1"/>
  <c r="L1525" i="7" a="1"/>
  <c r="L1525" i="7" s="1"/>
  <c r="L1524" i="7"/>
  <c r="L1524" i="7" a="1"/>
  <c r="L1523" i="7" a="1"/>
  <c r="L1523" i="7" s="1"/>
  <c r="L1522" i="7" a="1"/>
  <c r="L1522" i="7" s="1"/>
  <c r="L1521" i="7" a="1"/>
  <c r="L1521" i="7" s="1"/>
  <c r="L1520" i="7" a="1"/>
  <c r="L1520" i="7" s="1"/>
  <c r="L1519" i="7" a="1"/>
  <c r="L1519" i="7" s="1"/>
  <c r="L1518" i="7" a="1"/>
  <c r="L1518" i="7" s="1"/>
  <c r="L1517" i="7" a="1"/>
  <c r="L1517" i="7" s="1"/>
  <c r="L1516" i="7"/>
  <c r="L1516" i="7" a="1"/>
  <c r="L1515" i="7"/>
  <c r="L1515" i="7" a="1"/>
  <c r="L1514" i="7" a="1"/>
  <c r="L1514" i="7" s="1"/>
  <c r="L1513" i="7"/>
  <c r="L1513" i="7" a="1"/>
  <c r="L1512" i="7"/>
  <c r="L1512" i="7" a="1"/>
  <c r="L1511" i="7" a="1"/>
  <c r="L1511" i="7" s="1"/>
  <c r="L1510" i="7" a="1"/>
  <c r="L1510" i="7" s="1"/>
  <c r="L1509" i="7" a="1"/>
  <c r="L1509" i="7" s="1"/>
  <c r="L1508" i="7" a="1"/>
  <c r="L1508" i="7" s="1"/>
  <c r="L1507" i="7"/>
  <c r="L1507" i="7" a="1"/>
  <c r="L1506" i="7" a="1"/>
  <c r="L1506" i="7" s="1"/>
  <c r="L1505" i="7"/>
  <c r="L1505" i="7" a="1"/>
  <c r="L1504" i="7"/>
  <c r="L1504" i="7" a="1"/>
  <c r="L1503" i="7" a="1"/>
  <c r="L1503" i="7" s="1"/>
  <c r="L1502" i="7" a="1"/>
  <c r="L1502" i="7" s="1"/>
  <c r="L1501" i="7"/>
  <c r="L1501" i="7" a="1"/>
  <c r="L1500" i="7" a="1"/>
  <c r="L1500" i="7" s="1"/>
  <c r="L1499" i="7" a="1"/>
  <c r="L1499" i="7" s="1"/>
  <c r="L1498" i="7" a="1"/>
  <c r="L1498" i="7" s="1"/>
  <c r="L1497" i="7" a="1"/>
  <c r="L1497" i="7" s="1"/>
  <c r="L1496" i="7" a="1"/>
  <c r="L1496" i="7" s="1"/>
  <c r="L1495" i="7" a="1"/>
  <c r="L1495" i="7" s="1"/>
  <c r="L1494" i="7" a="1"/>
  <c r="L1494" i="7" s="1"/>
  <c r="L1493" i="7" a="1"/>
  <c r="L1493" i="7" s="1"/>
  <c r="L1492" i="7" a="1"/>
  <c r="L1492" i="7" s="1"/>
  <c r="L1491" i="7" a="1"/>
  <c r="L1491" i="7" s="1"/>
  <c r="L1490" i="7" a="1"/>
  <c r="L1490" i="7" s="1"/>
  <c r="L1489" i="7"/>
  <c r="L1489" i="7" a="1"/>
  <c r="L1488" i="7" a="1"/>
  <c r="L1488" i="7" s="1"/>
  <c r="L1487" i="7" a="1"/>
  <c r="L1487" i="7" s="1"/>
  <c r="L1486" i="7" a="1"/>
  <c r="L1486" i="7" s="1"/>
  <c r="L1485" i="7" a="1"/>
  <c r="L1485" i="7" s="1"/>
  <c r="L1484" i="7" a="1"/>
  <c r="L1484" i="7" s="1"/>
  <c r="L1483" i="7" a="1"/>
  <c r="L1483" i="7" s="1"/>
  <c r="L1482" i="7" a="1"/>
  <c r="L1482" i="7" s="1"/>
  <c r="L1481" i="7"/>
  <c r="L1481" i="7" a="1"/>
  <c r="L1480" i="7" a="1"/>
  <c r="L1480" i="7" s="1"/>
  <c r="L1479" i="7" a="1"/>
  <c r="L1479" i="7" s="1"/>
  <c r="L1478" i="7" a="1"/>
  <c r="L1478" i="7" s="1"/>
  <c r="L1477" i="7" a="1"/>
  <c r="L1477" i="7" s="1"/>
  <c r="L1476" i="7" a="1"/>
  <c r="L1476" i="7" s="1"/>
  <c r="L1475" i="7" a="1"/>
  <c r="L1475" i="7" s="1"/>
  <c r="L1474" i="7" a="1"/>
  <c r="L1474" i="7" s="1"/>
  <c r="L1473" i="7" a="1"/>
  <c r="L1473" i="7" s="1"/>
  <c r="L1472" i="7" a="1"/>
  <c r="L1472" i="7" s="1"/>
  <c r="L1471" i="7"/>
  <c r="L1471" i="7" a="1"/>
  <c r="L1470" i="7" a="1"/>
  <c r="L1470" i="7" s="1"/>
  <c r="L1469" i="7"/>
  <c r="L1469" i="7" a="1"/>
  <c r="L1468" i="7" a="1"/>
  <c r="L1468" i="7" s="1"/>
  <c r="L1467" i="7" a="1"/>
  <c r="L1467" i="7" s="1"/>
  <c r="L1466" i="7" a="1"/>
  <c r="L1466" i="7" s="1"/>
  <c r="L1465" i="7" a="1"/>
  <c r="L1465" i="7" s="1"/>
  <c r="L1464" i="7" a="1"/>
  <c r="L1464" i="7" s="1"/>
  <c r="L1463" i="7" a="1"/>
  <c r="L1463" i="7" s="1"/>
  <c r="L1462" i="7" a="1"/>
  <c r="L1462" i="7" s="1"/>
  <c r="L1461" i="7"/>
  <c r="L1461" i="7" a="1"/>
  <c r="L1460" i="7"/>
  <c r="L1460" i="7" a="1"/>
  <c r="L1459" i="7" a="1"/>
  <c r="L1459" i="7" s="1"/>
  <c r="L1458" i="7" a="1"/>
  <c r="L1458" i="7" s="1"/>
  <c r="L1457" i="7" a="1"/>
  <c r="L1457" i="7" s="1"/>
  <c r="L1456" i="7" a="1"/>
  <c r="L1456" i="7" s="1"/>
  <c r="L1455" i="7" a="1"/>
  <c r="L1455" i="7" s="1"/>
  <c r="L1454" i="7" a="1"/>
  <c r="L1454" i="7" s="1"/>
  <c r="L1453" i="7" a="1"/>
  <c r="L1453" i="7" s="1"/>
  <c r="L1452" i="7" a="1"/>
  <c r="L1452" i="7" s="1"/>
  <c r="L1451" i="7" a="1"/>
  <c r="L1451" i="7" s="1"/>
  <c r="L1450" i="7" a="1"/>
  <c r="L1450" i="7" s="1"/>
  <c r="L1449" i="7" a="1"/>
  <c r="L1449" i="7" s="1"/>
  <c r="L1448" i="7"/>
  <c r="L1448" i="7" a="1"/>
  <c r="L1447" i="7" a="1"/>
  <c r="L1447" i="7" s="1"/>
  <c r="L1446" i="7" a="1"/>
  <c r="L1446" i="7" s="1"/>
  <c r="L1445" i="7" a="1"/>
  <c r="L1445" i="7" s="1"/>
  <c r="L1444" i="7" a="1"/>
  <c r="L1444" i="7" s="1"/>
  <c r="L1443" i="7" a="1"/>
  <c r="L1443" i="7" s="1"/>
  <c r="L1442" i="7"/>
  <c r="L1442" i="7" a="1"/>
  <c r="L1441" i="7" a="1"/>
  <c r="L1441" i="7" s="1"/>
  <c r="L1440" i="7" a="1"/>
  <c r="L1440" i="7" s="1"/>
  <c r="L1439" i="7" a="1"/>
  <c r="L1439" i="7" s="1"/>
  <c r="L1438" i="7"/>
  <c r="L1438" i="7" a="1"/>
  <c r="L1437" i="7" a="1"/>
  <c r="L1437" i="7" s="1"/>
  <c r="L1436" i="7" a="1"/>
  <c r="L1436" i="7" s="1"/>
  <c r="L1435" i="7" a="1"/>
  <c r="L1435" i="7" s="1"/>
  <c r="L1434" i="7"/>
  <c r="L1434" i="7" a="1"/>
  <c r="L1433" i="7"/>
  <c r="L1433" i="7" a="1"/>
  <c r="L1432" i="7" a="1"/>
  <c r="L1432" i="7" s="1"/>
  <c r="L1431" i="7" a="1"/>
  <c r="L1431" i="7" s="1"/>
  <c r="L1430" i="7" a="1"/>
  <c r="L1430" i="7" s="1"/>
  <c r="L1429" i="7"/>
  <c r="L1429" i="7" a="1"/>
  <c r="L1428" i="7" a="1"/>
  <c r="L1428" i="7" s="1"/>
  <c r="L1427" i="7" a="1"/>
  <c r="L1427" i="7" s="1"/>
  <c r="L1426" i="7" a="1"/>
  <c r="L1426" i="7" s="1"/>
  <c r="L1425" i="7"/>
  <c r="L1425" i="7" a="1"/>
  <c r="L1424" i="7"/>
  <c r="L1424" i="7" a="1"/>
  <c r="L1423" i="7" a="1"/>
  <c r="L1423" i="7" s="1"/>
  <c r="L1422" i="7"/>
  <c r="L1422" i="7" a="1"/>
  <c r="L1421" i="7" a="1"/>
  <c r="L1421" i="7" s="1"/>
  <c r="L1420" i="7"/>
  <c r="L1420" i="7" a="1"/>
  <c r="L1419" i="7" a="1"/>
  <c r="L1419" i="7" s="1"/>
  <c r="L1418" i="7" a="1"/>
  <c r="L1418" i="7" s="1"/>
  <c r="L1417" i="7"/>
  <c r="L1417" i="7" a="1"/>
  <c r="L1416" i="7"/>
  <c r="L1416" i="7" a="1"/>
  <c r="L1415" i="7" a="1"/>
  <c r="L1415" i="7" s="1"/>
  <c r="L1414" i="7" a="1"/>
  <c r="L1414" i="7" s="1"/>
  <c r="L1413" i="7" a="1"/>
  <c r="L1413" i="7" s="1"/>
  <c r="L1412" i="7" a="1"/>
  <c r="L1412" i="7" s="1"/>
  <c r="L1411" i="7" a="1"/>
  <c r="L1411" i="7" s="1"/>
  <c r="L1410" i="7" a="1"/>
  <c r="L1410" i="7" s="1"/>
  <c r="L1409" i="7"/>
  <c r="L1409" i="7" a="1"/>
  <c r="L1408" i="7"/>
  <c r="L1408" i="7" a="1"/>
  <c r="L1407" i="7" a="1"/>
  <c r="L1407" i="7" s="1"/>
  <c r="L1406" i="7" a="1"/>
  <c r="L1406" i="7" s="1"/>
  <c r="L1405" i="7" a="1"/>
  <c r="L1405" i="7" s="1"/>
  <c r="L1404" i="7"/>
  <c r="L1404" i="7" a="1"/>
  <c r="L1403" i="7" a="1"/>
  <c r="L1403" i="7" s="1"/>
  <c r="L1402" i="7"/>
  <c r="L1402" i="7" a="1"/>
  <c r="L1401" i="7" a="1"/>
  <c r="L1401" i="7" s="1"/>
  <c r="L1400" i="7"/>
  <c r="L1400" i="7" a="1"/>
  <c r="L1399" i="7" a="1"/>
  <c r="L1399" i="7" s="1"/>
  <c r="L1398" i="7" a="1"/>
  <c r="L1398" i="7" s="1"/>
  <c r="L1397" i="7" a="1"/>
  <c r="L1397" i="7" s="1"/>
  <c r="L1396" i="7" a="1"/>
  <c r="L1396" i="7" s="1"/>
  <c r="L1395" i="7" a="1"/>
  <c r="L1395" i="7" s="1"/>
  <c r="L1394" i="7"/>
  <c r="L1394" i="7" a="1"/>
  <c r="L1393" i="7" a="1"/>
  <c r="L1393" i="7" s="1"/>
  <c r="L1392" i="7" a="1"/>
  <c r="L1392" i="7" s="1"/>
  <c r="L1391" i="7" a="1"/>
  <c r="L1391" i="7" s="1"/>
  <c r="L1390" i="7" a="1"/>
  <c r="L1390" i="7" s="1"/>
  <c r="L1389" i="7" a="1"/>
  <c r="L1389" i="7" s="1"/>
  <c r="L1388" i="7" a="1"/>
  <c r="L1388" i="7" s="1"/>
  <c r="L1387" i="7" a="1"/>
  <c r="L1387" i="7" s="1"/>
  <c r="L1386" i="7" a="1"/>
  <c r="L1386" i="7" s="1"/>
  <c r="L1385" i="7"/>
  <c r="L1385" i="7" a="1"/>
  <c r="L1384" i="7"/>
  <c r="L1384" i="7" a="1"/>
  <c r="L1383" i="7" a="1"/>
  <c r="L1383" i="7" s="1"/>
  <c r="L1382" i="7" a="1"/>
  <c r="L1382" i="7" s="1"/>
  <c r="L1381" i="7" a="1"/>
  <c r="L1381" i="7" s="1"/>
  <c r="L1380" i="7" a="1"/>
  <c r="L1380" i="7" s="1"/>
  <c r="L1379" i="7" a="1"/>
  <c r="L1379" i="7" s="1"/>
  <c r="L1378" i="7" a="1"/>
  <c r="L1378" i="7" s="1"/>
  <c r="L1377" i="7" a="1"/>
  <c r="L1377" i="7" s="1"/>
  <c r="L1376" i="7"/>
  <c r="L1376" i="7" a="1"/>
  <c r="L1375" i="7" a="1"/>
  <c r="L1375" i="7" s="1"/>
  <c r="L1374" i="7" a="1"/>
  <c r="L1374" i="7" s="1"/>
  <c r="L1373" i="7" a="1"/>
  <c r="L1373" i="7" s="1"/>
  <c r="L1372" i="7"/>
  <c r="L1372" i="7" a="1"/>
  <c r="L1371" i="7" a="1"/>
  <c r="L1371" i="7" s="1"/>
  <c r="L1370" i="7"/>
  <c r="L1370" i="7" a="1"/>
  <c r="L1369" i="7" a="1"/>
  <c r="L1369" i="7" s="1"/>
  <c r="L1368" i="7"/>
  <c r="L1368" i="7" a="1"/>
  <c r="L1367" i="7" a="1"/>
  <c r="L1367" i="7" s="1"/>
  <c r="L1366" i="7" a="1"/>
  <c r="L1366" i="7" s="1"/>
  <c r="L1365" i="7" a="1"/>
  <c r="L1365" i="7" s="1"/>
  <c r="L1364" i="7" a="1"/>
  <c r="L1364" i="7" s="1"/>
  <c r="L1363" i="7" a="1"/>
  <c r="L1363" i="7" s="1"/>
  <c r="L1362" i="7"/>
  <c r="L1362" i="7" a="1"/>
  <c r="L1361" i="7" a="1"/>
  <c r="L1361" i="7" s="1"/>
  <c r="L1360" i="7" a="1"/>
  <c r="L1360" i="7" s="1"/>
  <c r="L1359" i="7" a="1"/>
  <c r="L1359" i="7" s="1"/>
  <c r="L1358" i="7" a="1"/>
  <c r="L1358" i="7" s="1"/>
  <c r="L1357" i="7" a="1"/>
  <c r="L1357" i="7" s="1"/>
  <c r="L1356" i="7" a="1"/>
  <c r="L1356" i="7" s="1"/>
  <c r="L1355" i="7" a="1"/>
  <c r="L1355" i="7" s="1"/>
  <c r="L1354" i="7" a="1"/>
  <c r="L1354" i="7" s="1"/>
  <c r="L1353" i="7" a="1"/>
  <c r="L1353" i="7" s="1"/>
  <c r="L1352" i="7"/>
  <c r="L1352" i="7" a="1"/>
  <c r="L1351" i="7" a="1"/>
  <c r="L1351" i="7" s="1"/>
  <c r="L1350" i="7" a="1"/>
  <c r="L1350" i="7" s="1"/>
  <c r="L1349" i="7" a="1"/>
  <c r="L1349" i="7" s="1"/>
  <c r="L1348" i="7" a="1"/>
  <c r="L1348" i="7" s="1"/>
  <c r="L1347" i="7" a="1"/>
  <c r="L1347" i="7" s="1"/>
  <c r="L1346" i="7" a="1"/>
  <c r="L1346" i="7" s="1"/>
  <c r="L1345" i="7"/>
  <c r="L1345" i="7" a="1"/>
  <c r="L1344" i="7"/>
  <c r="L1344" i="7" a="1"/>
  <c r="L1343" i="7" a="1"/>
  <c r="L1343" i="7" s="1"/>
  <c r="L1342" i="7" a="1"/>
  <c r="L1342" i="7" s="1"/>
  <c r="L1341" i="7" a="1"/>
  <c r="L1341" i="7" s="1"/>
  <c r="L1340" i="7"/>
  <c r="L1340" i="7" a="1"/>
  <c r="L1339" i="7" a="1"/>
  <c r="L1339" i="7" s="1"/>
  <c r="L1338" i="7"/>
  <c r="L1338" i="7" a="1"/>
  <c r="L1337" i="7" a="1"/>
  <c r="L1337" i="7" s="1"/>
  <c r="L1336" i="7"/>
  <c r="L1336" i="7" a="1"/>
  <c r="L1335" i="7" a="1"/>
  <c r="L1335" i="7" s="1"/>
  <c r="L1334" i="7" a="1"/>
  <c r="L1334" i="7" s="1"/>
  <c r="L1333" i="7" a="1"/>
  <c r="L1333" i="7" s="1"/>
  <c r="L1332" i="7" a="1"/>
  <c r="L1332" i="7" s="1"/>
  <c r="L1331" i="7" a="1"/>
  <c r="L1331" i="7" s="1"/>
  <c r="L1330" i="7" a="1"/>
  <c r="L1330" i="7" s="1"/>
  <c r="L1329" i="7"/>
  <c r="L1329" i="7" a="1"/>
  <c r="L1328" i="7" a="1"/>
  <c r="L1328" i="7" s="1"/>
  <c r="L1327" i="7" a="1"/>
  <c r="L1327" i="7" s="1"/>
  <c r="L1326" i="7" a="1"/>
  <c r="L1326" i="7" s="1"/>
  <c r="L1325" i="7"/>
  <c r="L1325" i="7" a="1"/>
  <c r="L1324" i="7" a="1"/>
  <c r="L1324" i="7" s="1"/>
  <c r="L1323" i="7" a="1"/>
  <c r="L1323" i="7" s="1"/>
  <c r="L1322" i="7" a="1"/>
  <c r="L1322" i="7" s="1"/>
  <c r="L1321" i="7" a="1"/>
  <c r="L1321" i="7" s="1"/>
  <c r="L1320" i="7" a="1"/>
  <c r="L1320" i="7" s="1"/>
  <c r="L1319" i="7" a="1"/>
  <c r="L1319" i="7" s="1"/>
  <c r="L1318" i="7" a="1"/>
  <c r="L1318" i="7" s="1"/>
  <c r="L1317" i="7" a="1"/>
  <c r="L1317" i="7" s="1"/>
  <c r="L1316" i="7" a="1"/>
  <c r="L1316" i="7" s="1"/>
  <c r="L1315" i="7" a="1"/>
  <c r="L1315" i="7" s="1"/>
  <c r="L1314" i="7" a="1"/>
  <c r="L1314" i="7" s="1"/>
  <c r="L1313" i="7"/>
  <c r="L1313" i="7" a="1"/>
  <c r="L1312" i="7" a="1"/>
  <c r="L1312" i="7" s="1"/>
  <c r="L1311" i="7" a="1"/>
  <c r="L1311" i="7" s="1"/>
  <c r="L1310" i="7" a="1"/>
  <c r="L1310" i="7" s="1"/>
  <c r="L1309" i="7" a="1"/>
  <c r="L1309" i="7" s="1"/>
  <c r="L1308" i="7" a="1"/>
  <c r="L1308" i="7" s="1"/>
  <c r="L1307" i="7" a="1"/>
  <c r="L1307" i="7" s="1"/>
  <c r="L1306" i="7" a="1"/>
  <c r="L1306" i="7" s="1"/>
  <c r="L1305" i="7" a="1"/>
  <c r="L1305" i="7" s="1"/>
  <c r="L1304" i="7" a="1"/>
  <c r="L1304" i="7" s="1"/>
  <c r="L1303" i="7" a="1"/>
  <c r="L1303" i="7" s="1"/>
  <c r="L1302" i="7" a="1"/>
  <c r="L1302" i="7" s="1"/>
  <c r="L1301" i="7" a="1"/>
  <c r="L1301" i="7" s="1"/>
  <c r="L1300" i="7" a="1"/>
  <c r="L1300" i="7" s="1"/>
  <c r="L1299" i="7" a="1"/>
  <c r="L1299" i="7" s="1"/>
  <c r="L1298" i="7" a="1"/>
  <c r="L1298" i="7" s="1"/>
  <c r="L1297" i="7" a="1"/>
  <c r="L1297" i="7" s="1"/>
  <c r="L1296" i="7" a="1"/>
  <c r="L1296" i="7" s="1"/>
  <c r="L1295" i="7" a="1"/>
  <c r="L1295" i="7" s="1"/>
  <c r="L1294" i="7" a="1"/>
  <c r="L1294" i="7" s="1"/>
  <c r="L1293" i="7" a="1"/>
  <c r="L1293" i="7" s="1"/>
  <c r="L1292" i="7" a="1"/>
  <c r="L1292" i="7" s="1"/>
  <c r="L1291" i="7" a="1"/>
  <c r="L1291" i="7" s="1"/>
  <c r="L1290" i="7" a="1"/>
  <c r="L1290" i="7" s="1"/>
  <c r="L1289" i="7" a="1"/>
  <c r="L1289" i="7" s="1"/>
  <c r="L1288" i="7" a="1"/>
  <c r="L1288" i="7" s="1"/>
  <c r="L1287" i="7" a="1"/>
  <c r="L1287" i="7" s="1"/>
  <c r="L1286" i="7" a="1"/>
  <c r="L1286" i="7" s="1"/>
  <c r="L1285" i="7" a="1"/>
  <c r="L1285" i="7" s="1"/>
  <c r="L1284" i="7"/>
  <c r="L1284" i="7" a="1"/>
  <c r="L1283" i="7" a="1"/>
  <c r="L1283" i="7" s="1"/>
  <c r="L1282" i="7" a="1"/>
  <c r="L1282" i="7" s="1"/>
  <c r="L1281" i="7" a="1"/>
  <c r="L1281" i="7" s="1"/>
  <c r="L1280" i="7" a="1"/>
  <c r="L1280" i="7" s="1"/>
  <c r="L1279" i="7" a="1"/>
  <c r="L1279" i="7" s="1"/>
  <c r="L1278" i="7"/>
  <c r="L1278" i="7" a="1"/>
  <c r="L1277" i="7" a="1"/>
  <c r="L1277" i="7" s="1"/>
  <c r="L1276" i="7" a="1"/>
  <c r="L1276" i="7" s="1"/>
  <c r="L1275" i="7" a="1"/>
  <c r="L1275" i="7" s="1"/>
  <c r="L1274" i="7" a="1"/>
  <c r="L1274" i="7" s="1"/>
  <c r="L1273" i="7" a="1"/>
  <c r="L1273" i="7" s="1"/>
  <c r="L1272" i="7"/>
  <c r="L1272" i="7" a="1"/>
  <c r="L1271" i="7" a="1"/>
  <c r="L1271" i="7" s="1"/>
  <c r="L1270" i="7" a="1"/>
  <c r="L1270" i="7" s="1"/>
  <c r="L1269" i="7" a="1"/>
  <c r="L1269" i="7" s="1"/>
  <c r="L1268" i="7" a="1"/>
  <c r="L1268" i="7" s="1"/>
  <c r="L1267" i="7" a="1"/>
  <c r="L1267" i="7" s="1"/>
  <c r="L1266" i="7" a="1"/>
  <c r="L1266" i="7" s="1"/>
  <c r="L1265" i="7" a="1"/>
  <c r="L1265" i="7" s="1"/>
  <c r="L1264" i="7" a="1"/>
  <c r="L1264" i="7" s="1"/>
  <c r="L1263" i="7" a="1"/>
  <c r="L1263" i="7" s="1"/>
  <c r="L1262" i="7" a="1"/>
  <c r="L1262" i="7" s="1"/>
  <c r="L1261" i="7"/>
  <c r="L1261" i="7" a="1"/>
  <c r="L1260" i="7"/>
  <c r="L1260" i="7" a="1"/>
  <c r="L1259" i="7" a="1"/>
  <c r="L1259" i="7" s="1"/>
  <c r="L1258" i="7" a="1"/>
  <c r="L1258" i="7" s="1"/>
  <c r="L1257" i="7" a="1"/>
  <c r="L1257" i="7" s="1"/>
  <c r="L1256" i="7" a="1"/>
  <c r="L1256" i="7" s="1"/>
  <c r="L1255" i="7" a="1"/>
  <c r="L1255" i="7" s="1"/>
  <c r="L1254" i="7"/>
  <c r="L1254" i="7" a="1"/>
  <c r="L1253" i="7" a="1"/>
  <c r="L1253" i="7" s="1"/>
  <c r="L1252" i="7" a="1"/>
  <c r="L1252" i="7" s="1"/>
  <c r="L1251" i="7" a="1"/>
  <c r="L1251" i="7" s="1"/>
  <c r="L1250" i="7" a="1"/>
  <c r="L1250" i="7" s="1"/>
  <c r="L1249" i="7"/>
  <c r="L1249" i="7" a="1"/>
  <c r="L1248" i="7" a="1"/>
  <c r="L1248" i="7" s="1"/>
  <c r="L1247" i="7" a="1"/>
  <c r="L1247" i="7" s="1"/>
  <c r="L1246" i="7" a="1"/>
  <c r="L1246" i="7" s="1"/>
  <c r="L1245" i="7" a="1"/>
  <c r="L1245" i="7" s="1"/>
  <c r="L1244" i="7"/>
  <c r="L1244" i="7" a="1"/>
  <c r="L1243" i="7" a="1"/>
  <c r="L1243" i="7" s="1"/>
  <c r="L1242" i="7" a="1"/>
  <c r="L1242" i="7" s="1"/>
  <c r="L1241" i="7" a="1"/>
  <c r="L1241" i="7" s="1"/>
  <c r="L1240" i="7" a="1"/>
  <c r="L1240" i="7" s="1"/>
  <c r="L1239" i="7" a="1"/>
  <c r="L1239" i="7" s="1"/>
  <c r="L1238" i="7" a="1"/>
  <c r="L1238" i="7" s="1"/>
  <c r="L1237" i="7"/>
  <c r="L1237" i="7" a="1"/>
  <c r="L1236" i="7" a="1"/>
  <c r="L1236" i="7" s="1"/>
  <c r="L1235" i="7" a="1"/>
  <c r="L1235" i="7" s="1"/>
  <c r="L1234" i="7"/>
  <c r="L1234" i="7" a="1"/>
  <c r="L1233" i="7"/>
  <c r="L1233" i="7" a="1"/>
  <c r="L1232" i="7" a="1"/>
  <c r="L1232" i="7" s="1"/>
  <c r="L1231" i="7" a="1"/>
  <c r="L1231" i="7" s="1"/>
  <c r="L1230" i="7" a="1"/>
  <c r="L1230" i="7" s="1"/>
  <c r="L1229" i="7" a="1"/>
  <c r="L1229" i="7" s="1"/>
  <c r="L1228" i="7" a="1"/>
  <c r="L1228" i="7" s="1"/>
  <c r="L1227" i="7" a="1"/>
  <c r="L1227" i="7" s="1"/>
  <c r="L1226" i="7" a="1"/>
  <c r="L1226" i="7" s="1"/>
  <c r="L1225" i="7" a="1"/>
  <c r="L1225" i="7" s="1"/>
  <c r="L1224" i="7" a="1"/>
  <c r="L1224" i="7" s="1"/>
  <c r="L1223" i="7" a="1"/>
  <c r="L1223" i="7" s="1"/>
  <c r="L1222" i="7"/>
  <c r="L1222" i="7" a="1"/>
  <c r="L1221" i="7" a="1"/>
  <c r="L1221" i="7" s="1"/>
  <c r="L1220" i="7" a="1"/>
  <c r="L1220" i="7" s="1"/>
  <c r="L1219" i="7" a="1"/>
  <c r="L1219" i="7" s="1"/>
  <c r="L1218" i="7" a="1"/>
  <c r="L1218" i="7" s="1"/>
  <c r="L1217" i="7" a="1"/>
  <c r="L1217" i="7" s="1"/>
  <c r="L1216" i="7" a="1"/>
  <c r="L1216" i="7" s="1"/>
  <c r="L1215" i="7" a="1"/>
  <c r="L1215" i="7" s="1"/>
  <c r="L1214" i="7" a="1"/>
  <c r="L1214" i="7" s="1"/>
  <c r="L1213" i="7"/>
  <c r="L1213" i="7" a="1"/>
  <c r="L1212" i="7" a="1"/>
  <c r="L1212" i="7" s="1"/>
  <c r="L1211" i="7" a="1"/>
  <c r="L1211" i="7" s="1"/>
  <c r="L1210" i="7" a="1"/>
  <c r="L1210" i="7" s="1"/>
  <c r="L1209" i="7" a="1"/>
  <c r="L1209" i="7" s="1"/>
  <c r="L1208" i="7" a="1"/>
  <c r="L1208" i="7" s="1"/>
  <c r="L1207" i="7"/>
  <c r="L1207" i="7" a="1"/>
  <c r="L1206" i="7" a="1"/>
  <c r="L1206" i="7" s="1"/>
  <c r="L1205" i="7" a="1"/>
  <c r="L1205" i="7" s="1"/>
  <c r="L1204" i="7" a="1"/>
  <c r="L1204" i="7" s="1"/>
  <c r="L1203" i="7" a="1"/>
  <c r="L1203" i="7" s="1"/>
  <c r="L1202" i="7" a="1"/>
  <c r="L1202" i="7" s="1"/>
  <c r="L1201" i="7" a="1"/>
  <c r="L1201" i="7" s="1"/>
  <c r="L1200" i="7" a="1"/>
  <c r="L1200" i="7" s="1"/>
  <c r="L1199" i="7" a="1"/>
  <c r="L1199" i="7" s="1"/>
  <c r="L1198" i="7"/>
  <c r="L1198" i="7" a="1"/>
  <c r="L1197" i="7" a="1"/>
  <c r="L1197" i="7" s="1"/>
  <c r="L1196" i="7" a="1"/>
  <c r="L1196" i="7" s="1"/>
  <c r="L1195" i="7" a="1"/>
  <c r="L1195" i="7" s="1"/>
  <c r="L1194" i="7" a="1"/>
  <c r="L1194" i="7" s="1"/>
  <c r="L1193" i="7" a="1"/>
  <c r="L1193" i="7" s="1"/>
  <c r="L1192" i="7" a="1"/>
  <c r="L1192" i="7" s="1"/>
  <c r="L1191" i="7" a="1"/>
  <c r="L1191" i="7" s="1"/>
  <c r="L1190" i="7" a="1"/>
  <c r="L1190" i="7" s="1"/>
  <c r="L1189" i="7"/>
  <c r="L1189" i="7" a="1"/>
  <c r="L1188" i="7" a="1"/>
  <c r="L1188" i="7" s="1"/>
  <c r="L1187" i="7" a="1"/>
  <c r="L1187" i="7" s="1"/>
  <c r="L1186" i="7"/>
  <c r="L1186" i="7" a="1"/>
  <c r="L1185" i="7" a="1"/>
  <c r="L1185" i="7" s="1"/>
  <c r="L1184" i="7" a="1"/>
  <c r="L1184" i="7" s="1"/>
  <c r="L1183" i="7" a="1"/>
  <c r="L1183" i="7" s="1"/>
  <c r="L1182" i="7" a="1"/>
  <c r="L1182" i="7" s="1"/>
  <c r="L1181" i="7" a="1"/>
  <c r="L1181" i="7" s="1"/>
  <c r="L1180" i="7" a="1"/>
  <c r="L1180" i="7" s="1"/>
  <c r="L1179" i="7" a="1"/>
  <c r="L1179" i="7" s="1"/>
  <c r="L1178" i="7" a="1"/>
  <c r="L1178" i="7" s="1"/>
  <c r="L1177" i="7" a="1"/>
  <c r="L1177" i="7" s="1"/>
  <c r="L1176" i="7" a="1"/>
  <c r="L1176" i="7" s="1"/>
  <c r="L1175" i="7" a="1"/>
  <c r="L1175" i="7" s="1"/>
  <c r="L1174" i="7" a="1"/>
  <c r="L1174" i="7" s="1"/>
  <c r="L1173" i="7" a="1"/>
  <c r="L1173" i="7" s="1"/>
  <c r="L1172" i="7" a="1"/>
  <c r="L1172" i="7" s="1"/>
  <c r="L1171" i="7" a="1"/>
  <c r="L1171" i="7" s="1"/>
  <c r="L1170" i="7" a="1"/>
  <c r="L1170" i="7" s="1"/>
  <c r="L1169" i="7"/>
  <c r="L1169" i="7" a="1"/>
  <c r="L1168" i="7" a="1"/>
  <c r="L1168" i="7" s="1"/>
  <c r="L1167" i="7"/>
  <c r="L1167" i="7" a="1"/>
  <c r="L1166" i="7" a="1"/>
  <c r="L1166" i="7" s="1"/>
  <c r="L1165" i="7" a="1"/>
  <c r="L1165" i="7" s="1"/>
  <c r="L1164" i="7" a="1"/>
  <c r="L1164" i="7" s="1"/>
  <c r="L1163" i="7" a="1"/>
  <c r="L1163" i="7" s="1"/>
  <c r="L1162" i="7" a="1"/>
  <c r="L1162" i="7" s="1"/>
  <c r="L1161" i="7" a="1"/>
  <c r="L1161" i="7" s="1"/>
  <c r="L1160" i="7" a="1"/>
  <c r="L1160" i="7" s="1"/>
  <c r="L1159" i="7" a="1"/>
  <c r="L1159" i="7" s="1"/>
  <c r="L1158" i="7"/>
  <c r="L1158" i="7" a="1"/>
  <c r="L1157" i="7"/>
  <c r="L1157" i="7" a="1"/>
  <c r="L1156" i="7" a="1"/>
  <c r="L1156" i="7" s="1"/>
  <c r="L1155" i="7" a="1"/>
  <c r="L1155" i="7" s="1"/>
  <c r="L1154" i="7"/>
  <c r="L1154" i="7" a="1"/>
  <c r="L1153" i="7" a="1"/>
  <c r="L1153" i="7" s="1"/>
  <c r="L1152" i="7" a="1"/>
  <c r="L1152" i="7" s="1"/>
  <c r="L1151" i="7" a="1"/>
  <c r="L1151" i="7" s="1"/>
  <c r="L1150" i="7" a="1"/>
  <c r="L1150" i="7" s="1"/>
  <c r="L1149" i="7" a="1"/>
  <c r="L1149" i="7" s="1"/>
  <c r="L1148" i="7" a="1"/>
  <c r="L1148" i="7" s="1"/>
  <c r="L1147" i="7"/>
  <c r="L1147" i="7" a="1"/>
  <c r="L1146" i="7"/>
  <c r="L1146" i="7" a="1"/>
  <c r="L1145" i="7" a="1"/>
  <c r="L1145" i="7" s="1"/>
  <c r="L1144" i="7" a="1"/>
  <c r="L1144" i="7" s="1"/>
  <c r="L1143" i="7" a="1"/>
  <c r="L1143" i="7" s="1"/>
  <c r="L1142" i="7" a="1"/>
  <c r="L1142" i="7" s="1"/>
  <c r="L1141" i="7" a="1"/>
  <c r="L1141" i="7" s="1"/>
  <c r="L1140" i="7" a="1"/>
  <c r="L1140" i="7" s="1"/>
  <c r="L1139" i="7" a="1"/>
  <c r="L1139" i="7" s="1"/>
  <c r="L1138" i="7"/>
  <c r="L1138" i="7" a="1"/>
  <c r="L1137" i="7" a="1"/>
  <c r="L1137" i="7" s="1"/>
  <c r="L1136" i="7" a="1"/>
  <c r="L1136" i="7" s="1"/>
  <c r="L1135" i="7" a="1"/>
  <c r="L1135" i="7" s="1"/>
  <c r="L1134" i="7"/>
  <c r="L1134" i="7" a="1"/>
  <c r="L1133" i="7" a="1"/>
  <c r="L1133" i="7" s="1"/>
  <c r="L1132" i="7" a="1"/>
  <c r="L1132" i="7" s="1"/>
  <c r="L1131" i="7" a="1"/>
  <c r="L1131" i="7" s="1"/>
  <c r="L1130" i="7" a="1"/>
  <c r="L1130" i="7" s="1"/>
  <c r="L1129" i="7" a="1"/>
  <c r="L1129" i="7" s="1"/>
  <c r="L1128" i="7" a="1"/>
  <c r="L1128" i="7" s="1"/>
  <c r="L1127" i="7" a="1"/>
  <c r="L1127" i="7" s="1"/>
  <c r="L1126" i="7" a="1"/>
  <c r="L1126" i="7" s="1"/>
  <c r="L1125" i="7"/>
  <c r="L1125" i="7" a="1"/>
  <c r="L1124" i="7" a="1"/>
  <c r="L1124" i="7" s="1"/>
  <c r="L1123" i="7"/>
  <c r="L1123" i="7" a="1"/>
  <c r="L1122" i="7" a="1"/>
  <c r="L1122" i="7" s="1"/>
  <c r="L1121" i="7" a="1"/>
  <c r="L1121" i="7" s="1"/>
  <c r="L1120" i="7" a="1"/>
  <c r="L1120" i="7" s="1"/>
  <c r="L1119" i="7" a="1"/>
  <c r="L1119" i="7" s="1"/>
  <c r="L1118" i="7" a="1"/>
  <c r="L1118" i="7" s="1"/>
  <c r="L1117" i="7" a="1"/>
  <c r="L1117" i="7" s="1"/>
  <c r="L1116" i="7" a="1"/>
  <c r="L1116" i="7" s="1"/>
  <c r="L1115" i="7"/>
  <c r="L1115" i="7" a="1"/>
  <c r="L1114" i="7" a="1"/>
  <c r="L1114" i="7" s="1"/>
  <c r="L1113" i="7" a="1"/>
  <c r="L1113" i="7" s="1"/>
  <c r="L1112" i="7" a="1"/>
  <c r="L1112" i="7" s="1"/>
  <c r="L1111" i="7"/>
  <c r="L1111" i="7" a="1"/>
  <c r="L1110" i="7" a="1"/>
  <c r="L1110" i="7" s="1"/>
  <c r="L1109" i="7" a="1"/>
  <c r="L1109" i="7" s="1"/>
  <c r="L1108" i="7" a="1"/>
  <c r="L1108" i="7" s="1"/>
  <c r="L1107" i="7" a="1"/>
  <c r="L1107" i="7" s="1"/>
  <c r="L1106" i="7"/>
  <c r="L1106" i="7" a="1"/>
  <c r="L1105" i="7"/>
  <c r="L1105" i="7" a="1"/>
  <c r="L1104" i="7" a="1"/>
  <c r="L1104" i="7" s="1"/>
  <c r="L1103" i="7" a="1"/>
  <c r="L1103" i="7" s="1"/>
  <c r="L1102" i="7"/>
  <c r="L1102" i="7" a="1"/>
  <c r="L1101" i="7" a="1"/>
  <c r="L1101" i="7" s="1"/>
  <c r="L1100" i="7" a="1"/>
  <c r="L1100" i="7" s="1"/>
  <c r="L1099" i="7" a="1"/>
  <c r="L1099" i="7" s="1"/>
  <c r="L1098" i="7" a="1"/>
  <c r="L1098" i="7" s="1"/>
  <c r="L1097" i="7" a="1"/>
  <c r="L1097" i="7" s="1"/>
  <c r="L1096" i="7" a="1"/>
  <c r="L1096" i="7" s="1"/>
  <c r="L1095" i="7" a="1"/>
  <c r="L1095" i="7" s="1"/>
  <c r="L1094" i="7" a="1"/>
  <c r="L1094" i="7" s="1"/>
  <c r="L1093" i="7"/>
  <c r="L1093" i="7" a="1"/>
  <c r="L1092" i="7" a="1"/>
  <c r="L1092" i="7" s="1"/>
  <c r="L1091" i="7" a="1"/>
  <c r="L1091" i="7" s="1"/>
  <c r="L1090" i="7" a="1"/>
  <c r="L1090" i="7" s="1"/>
  <c r="L1089" i="7" a="1"/>
  <c r="L1089" i="7" s="1"/>
  <c r="L1088" i="7" a="1"/>
  <c r="L1088" i="7" s="1"/>
  <c r="L1087" i="7" a="1"/>
  <c r="L1087" i="7" s="1"/>
  <c r="L1086" i="7"/>
  <c r="L1086" i="7" a="1"/>
  <c r="L1085" i="7" a="1"/>
  <c r="L1085" i="7" s="1"/>
  <c r="L1084" i="7" a="1"/>
  <c r="L1084" i="7" s="1"/>
  <c r="L1083" i="7" a="1"/>
  <c r="L1083" i="7" s="1"/>
  <c r="L1082" i="7"/>
  <c r="L1082" i="7" a="1"/>
  <c r="L1081" i="7" a="1"/>
  <c r="L1081" i="7" s="1"/>
  <c r="L1080" i="7" a="1"/>
  <c r="L1080" i="7" s="1"/>
  <c r="L1079" i="7"/>
  <c r="L1079" i="7" a="1"/>
  <c r="L1078" i="7" a="1"/>
  <c r="L1078" i="7" s="1"/>
  <c r="L1077" i="7"/>
  <c r="L1077" i="7" a="1"/>
  <c r="L1076" i="7" a="1"/>
  <c r="L1076" i="7" s="1"/>
  <c r="L1075" i="7" a="1"/>
  <c r="L1075" i="7" s="1"/>
  <c r="L1074" i="7" a="1"/>
  <c r="L1074" i="7" s="1"/>
  <c r="L1073" i="7"/>
  <c r="L1073" i="7" a="1"/>
  <c r="L1072" i="7" a="1"/>
  <c r="L1072" i="7" s="1"/>
  <c r="L1071" i="7"/>
  <c r="L1071" i="7" a="1"/>
  <c r="L1070" i="7" a="1"/>
  <c r="L1070" i="7" s="1"/>
  <c r="L1069" i="7" a="1"/>
  <c r="L1069" i="7" s="1"/>
  <c r="L1068" i="7" a="1"/>
  <c r="L1068" i="7" s="1"/>
  <c r="L1067" i="7" a="1"/>
  <c r="L1067" i="7" s="1"/>
  <c r="L1066" i="7" a="1"/>
  <c r="L1066" i="7" s="1"/>
  <c r="L1065" i="7"/>
  <c r="L1065" i="7" a="1"/>
  <c r="L1064" i="7" a="1"/>
  <c r="L1064" i="7" s="1"/>
  <c r="L1063" i="7" a="1"/>
  <c r="L1063" i="7" s="1"/>
  <c r="L1062" i="7"/>
  <c r="L1062" i="7" a="1"/>
  <c r="L1061" i="7" a="1"/>
  <c r="L1061" i="7" s="1"/>
  <c r="L1060" i="7" a="1"/>
  <c r="L1060" i="7" s="1"/>
  <c r="L1059" i="7"/>
  <c r="L1059" i="7" a="1"/>
  <c r="L1058" i="7" a="1"/>
  <c r="L1058" i="7" s="1"/>
  <c r="L1057" i="7" a="1"/>
  <c r="L1057" i="7" s="1"/>
  <c r="L1056" i="7" a="1"/>
  <c r="L1056" i="7" s="1"/>
  <c r="L1055" i="7" a="1"/>
  <c r="L1055" i="7" s="1"/>
  <c r="L1054" i="7"/>
  <c r="L1054" i="7" a="1"/>
  <c r="L1053" i="7"/>
  <c r="L1053" i="7" a="1"/>
  <c r="L1052" i="7" a="1"/>
  <c r="L1052" i="7" s="1"/>
  <c r="L1051" i="7" a="1"/>
  <c r="L1051" i="7" s="1"/>
  <c r="L1050" i="7" a="1"/>
  <c r="L1050" i="7" s="1"/>
  <c r="L1049" i="7" a="1"/>
  <c r="L1049" i="7" s="1"/>
  <c r="L1048" i="7" a="1"/>
  <c r="L1048" i="7" s="1"/>
  <c r="L1047" i="7" a="1"/>
  <c r="L1047" i="7" s="1"/>
  <c r="L1046" i="7" a="1"/>
  <c r="L1046" i="7" s="1"/>
  <c r="L1045" i="7" a="1"/>
  <c r="L1045" i="7" s="1"/>
  <c r="L1044" i="7" a="1"/>
  <c r="L1044" i="7" s="1"/>
  <c r="L1043" i="7" a="1"/>
  <c r="L1043" i="7" s="1"/>
  <c r="L1042" i="7"/>
  <c r="L1042" i="7" a="1"/>
  <c r="L1041" i="7" a="1"/>
  <c r="L1041" i="7" s="1"/>
  <c r="L1040" i="7" a="1"/>
  <c r="L1040" i="7" s="1"/>
  <c r="L1039" i="7"/>
  <c r="L1039" i="7" a="1"/>
  <c r="L1038" i="7"/>
  <c r="L1038" i="7" a="1"/>
  <c r="L1037" i="7" a="1"/>
  <c r="L1037" i="7" s="1"/>
  <c r="L1036" i="7" a="1"/>
  <c r="L1036" i="7" s="1"/>
  <c r="L1035" i="7" a="1"/>
  <c r="L1035" i="7" s="1"/>
  <c r="L1034" i="7" a="1"/>
  <c r="L1034" i="7" s="1"/>
  <c r="L1033" i="7"/>
  <c r="L1033" i="7" a="1"/>
  <c r="L1032" i="7" a="1"/>
  <c r="L1032" i="7" s="1"/>
  <c r="L1031" i="7"/>
  <c r="L1031" i="7" a="1"/>
  <c r="L1030" i="7" a="1"/>
  <c r="L1030" i="7" s="1"/>
  <c r="L1029" i="7" a="1"/>
  <c r="L1029" i="7" s="1"/>
  <c r="L1028" i="7" a="1"/>
  <c r="L1028" i="7" s="1"/>
  <c r="L1027" i="7"/>
  <c r="L1027" i="7" a="1"/>
  <c r="L1026" i="7" a="1"/>
  <c r="L1026" i="7" s="1"/>
  <c r="L1025" i="7" a="1"/>
  <c r="L1025" i="7" s="1"/>
  <c r="L1024" i="7" a="1"/>
  <c r="L1024" i="7" s="1"/>
  <c r="L1023" i="7" a="1"/>
  <c r="L1023" i="7" s="1"/>
  <c r="L1022" i="7"/>
  <c r="L1022" i="7" a="1"/>
  <c r="L1021" i="7"/>
  <c r="L1021" i="7" a="1"/>
  <c r="L1020" i="7" a="1"/>
  <c r="L1020" i="7" s="1"/>
  <c r="L1019" i="7" a="1"/>
  <c r="L1019" i="7" s="1"/>
  <c r="L1018" i="7" a="1"/>
  <c r="L1018" i="7" s="1"/>
  <c r="L1017" i="7" a="1"/>
  <c r="L1017" i="7" s="1"/>
  <c r="L1016" i="7" a="1"/>
  <c r="L1016" i="7" s="1"/>
  <c r="L1015" i="7" a="1"/>
  <c r="L1015" i="7" s="1"/>
  <c r="L1014" i="7"/>
  <c r="L1014" i="7" a="1"/>
  <c r="L1013" i="7" a="1"/>
  <c r="L1013" i="7" s="1"/>
  <c r="L1012" i="7" a="1"/>
  <c r="L1012" i="7" s="1"/>
  <c r="L1011" i="7" a="1"/>
  <c r="L1011" i="7" s="1"/>
  <c r="L1010" i="7" a="1"/>
  <c r="L1010" i="7" s="1"/>
  <c r="L1009" i="7"/>
  <c r="L1009" i="7" a="1"/>
  <c r="L1008" i="7" a="1"/>
  <c r="L1008" i="7" s="1"/>
  <c r="L1007" i="7" a="1"/>
  <c r="L1007" i="7" s="1"/>
  <c r="L1006" i="7" a="1"/>
  <c r="L1006" i="7" s="1"/>
  <c r="L1005" i="7" a="1"/>
  <c r="L1005" i="7" s="1"/>
  <c r="L1004" i="7" a="1"/>
  <c r="L1004" i="7" s="1"/>
  <c r="L1003" i="7" a="1"/>
  <c r="L1003" i="7" s="1"/>
  <c r="L1002" i="7" a="1"/>
  <c r="L1002" i="7" s="1"/>
  <c r="L1001" i="7" a="1"/>
  <c r="L1001" i="7" s="1"/>
  <c r="L1000" i="7" a="1"/>
  <c r="L1000" i="7" s="1"/>
  <c r="L999" i="7" a="1"/>
  <c r="L999" i="7" s="1"/>
  <c r="L998" i="7" a="1"/>
  <c r="L998" i="7" s="1"/>
  <c r="L997" i="7" a="1"/>
  <c r="L997" i="7" s="1"/>
  <c r="L996" i="7" a="1"/>
  <c r="L996" i="7" s="1"/>
  <c r="L995" i="7" a="1"/>
  <c r="L995" i="7" s="1"/>
  <c r="L994" i="7" a="1"/>
  <c r="L994" i="7" s="1"/>
  <c r="L993" i="7" a="1"/>
  <c r="L993" i="7" s="1"/>
  <c r="L992" i="7" a="1"/>
  <c r="L992" i="7" s="1"/>
  <c r="L991" i="7" a="1"/>
  <c r="L991" i="7" s="1"/>
  <c r="L990" i="7" a="1"/>
  <c r="L990" i="7" s="1"/>
  <c r="L989" i="7"/>
  <c r="L989" i="7" a="1"/>
  <c r="L988" i="7" a="1"/>
  <c r="L988" i="7" s="1"/>
  <c r="L987" i="7" a="1"/>
  <c r="L987" i="7" s="1"/>
  <c r="L986" i="7"/>
  <c r="L986" i="7" a="1"/>
  <c r="L985" i="7" a="1"/>
  <c r="L985" i="7" s="1"/>
  <c r="L984" i="7" a="1"/>
  <c r="L984" i="7" s="1"/>
  <c r="L983" i="7"/>
  <c r="L983" i="7" a="1"/>
  <c r="L982" i="7" a="1"/>
  <c r="L982" i="7" s="1"/>
  <c r="L981" i="7" a="1"/>
  <c r="L981" i="7" s="1"/>
  <c r="L980" i="7" a="1"/>
  <c r="L980" i="7" s="1"/>
  <c r="L979" i="7" a="1"/>
  <c r="L979" i="7" s="1"/>
  <c r="L978" i="7" a="1"/>
  <c r="L978" i="7" s="1"/>
  <c r="L977" i="7"/>
  <c r="L977" i="7" a="1"/>
  <c r="L976" i="7" a="1"/>
  <c r="L976" i="7" s="1"/>
  <c r="L975" i="7" a="1"/>
  <c r="L975" i="7" s="1"/>
  <c r="L974" i="7" a="1"/>
  <c r="L974" i="7" s="1"/>
  <c r="L973" i="7"/>
  <c r="L973" i="7" a="1"/>
  <c r="L972" i="7" a="1"/>
  <c r="L972" i="7" s="1"/>
  <c r="L971" i="7" a="1"/>
  <c r="L971" i="7" s="1"/>
  <c r="L970" i="7" a="1"/>
  <c r="L970" i="7" s="1"/>
  <c r="L969" i="7" a="1"/>
  <c r="L969" i="7" s="1"/>
  <c r="L968" i="7" a="1"/>
  <c r="L968" i="7" s="1"/>
  <c r="L967" i="7" a="1"/>
  <c r="L967" i="7" s="1"/>
  <c r="L966" i="7" a="1"/>
  <c r="L966" i="7" s="1"/>
  <c r="L965" i="7" a="1"/>
  <c r="L965" i="7" s="1"/>
  <c r="L964" i="7" a="1"/>
  <c r="L964" i="7" s="1"/>
  <c r="L963" i="7" a="1"/>
  <c r="L963" i="7" s="1"/>
  <c r="L962" i="7" a="1"/>
  <c r="L962" i="7" s="1"/>
  <c r="L961" i="7"/>
  <c r="L961" i="7" a="1"/>
  <c r="L960" i="7"/>
  <c r="L960" i="7" a="1"/>
  <c r="L959" i="7" a="1"/>
  <c r="L959" i="7" s="1"/>
  <c r="L958" i="7" a="1"/>
  <c r="L958" i="7" s="1"/>
  <c r="L957" i="7" a="1"/>
  <c r="L957" i="7" s="1"/>
  <c r="L956" i="7" a="1"/>
  <c r="L956" i="7" s="1"/>
  <c r="L955" i="7" a="1"/>
  <c r="L955" i="7" s="1"/>
  <c r="L954" i="7"/>
  <c r="L954" i="7" a="1"/>
  <c r="L953" i="7" a="1"/>
  <c r="L953" i="7" s="1"/>
  <c r="L952" i="7" a="1"/>
  <c r="L952" i="7" s="1"/>
  <c r="L951" i="7" a="1"/>
  <c r="L951" i="7" s="1"/>
  <c r="L950" i="7" a="1"/>
  <c r="L950" i="7" s="1"/>
  <c r="L949" i="7" a="1"/>
  <c r="L949" i="7" s="1"/>
  <c r="L948" i="7" a="1"/>
  <c r="L948" i="7" s="1"/>
  <c r="L947" i="7" a="1"/>
  <c r="L947" i="7" s="1"/>
  <c r="L946" i="7" a="1"/>
  <c r="L946" i="7" s="1"/>
  <c r="L945" i="7" a="1"/>
  <c r="L945" i="7" s="1"/>
  <c r="L944" i="7" a="1"/>
  <c r="L944" i="7" s="1"/>
  <c r="L943" i="7" a="1"/>
  <c r="L943" i="7" s="1"/>
  <c r="L942" i="7" a="1"/>
  <c r="L942" i="7" s="1"/>
  <c r="L941" i="7" a="1"/>
  <c r="L941" i="7" s="1"/>
  <c r="L940" i="7" a="1"/>
  <c r="L940" i="7" s="1"/>
  <c r="L939" i="7" a="1"/>
  <c r="L939" i="7" s="1"/>
  <c r="L938" i="7"/>
  <c r="L938" i="7" a="1"/>
  <c r="L937" i="7"/>
  <c r="L937" i="7" a="1"/>
  <c r="L936" i="7"/>
  <c r="L936" i="7" a="1"/>
  <c r="L935" i="7" a="1"/>
  <c r="L935" i="7" s="1"/>
  <c r="L934" i="7" a="1"/>
  <c r="L934" i="7" s="1"/>
  <c r="L933" i="7" a="1"/>
  <c r="L933" i="7" s="1"/>
  <c r="L932" i="7" a="1"/>
  <c r="L932" i="7" s="1"/>
  <c r="L931" i="7" a="1"/>
  <c r="L931" i="7" s="1"/>
  <c r="L930" i="7" a="1"/>
  <c r="L930" i="7" s="1"/>
  <c r="L929" i="7"/>
  <c r="L929" i="7" a="1"/>
  <c r="L928" i="7"/>
  <c r="L928" i="7" a="1"/>
  <c r="L927" i="7" a="1"/>
  <c r="L927" i="7" s="1"/>
  <c r="L926" i="7" a="1"/>
  <c r="L926" i="7" s="1"/>
  <c r="L925" i="7" a="1"/>
  <c r="L925" i="7" s="1"/>
  <c r="L924" i="7" a="1"/>
  <c r="L924" i="7" s="1"/>
  <c r="L923" i="7" a="1"/>
  <c r="L923" i="7" s="1"/>
  <c r="L922" i="7" a="1"/>
  <c r="L922" i="7" s="1"/>
  <c r="L921" i="7" a="1"/>
  <c r="L921" i="7" s="1"/>
  <c r="L920" i="7" a="1"/>
  <c r="L920" i="7" s="1"/>
  <c r="L919" i="7" a="1"/>
  <c r="L919" i="7" s="1"/>
  <c r="L918" i="7" a="1"/>
  <c r="L918" i="7" s="1"/>
  <c r="L917" i="7" a="1"/>
  <c r="L917" i="7" s="1"/>
  <c r="L916" i="7" a="1"/>
  <c r="L916" i="7" s="1"/>
  <c r="L915" i="7" a="1"/>
  <c r="L915" i="7" s="1"/>
  <c r="L914" i="7" a="1"/>
  <c r="L914" i="7" s="1"/>
  <c r="L913" i="7"/>
  <c r="L913" i="7" a="1"/>
  <c r="L912" i="7" a="1"/>
  <c r="L912" i="7" s="1"/>
  <c r="L911" i="7" a="1"/>
  <c r="L911" i="7" s="1"/>
  <c r="L910" i="7" a="1"/>
  <c r="L910" i="7" s="1"/>
  <c r="L909" i="7" a="1"/>
  <c r="L909" i="7" s="1"/>
  <c r="L908" i="7" a="1"/>
  <c r="L908" i="7" s="1"/>
  <c r="L907" i="7" a="1"/>
  <c r="L907" i="7" s="1"/>
  <c r="L906" i="7"/>
  <c r="L906" i="7" a="1"/>
  <c r="L905" i="7"/>
  <c r="L905" i="7" a="1"/>
  <c r="L904" i="7"/>
  <c r="L904" i="7" a="1"/>
  <c r="L903" i="7" a="1"/>
  <c r="L903" i="7" s="1"/>
  <c r="L902" i="7" a="1"/>
  <c r="L902" i="7" s="1"/>
  <c r="L901" i="7" a="1"/>
  <c r="L901" i="7" s="1"/>
  <c r="L900" i="7" a="1"/>
  <c r="L900" i="7" s="1"/>
  <c r="L899" i="7" a="1"/>
  <c r="L899" i="7" s="1"/>
  <c r="L898" i="7" a="1"/>
  <c r="L898" i="7" s="1"/>
  <c r="L897" i="7"/>
  <c r="L897" i="7" a="1"/>
  <c r="L896" i="7"/>
  <c r="L896" i="7" a="1"/>
  <c r="L895" i="7" a="1"/>
  <c r="L895" i="7" s="1"/>
  <c r="L894" i="7" a="1"/>
  <c r="L894" i="7" s="1"/>
  <c r="L893" i="7" a="1"/>
  <c r="L893" i="7" s="1"/>
  <c r="L892" i="7" a="1"/>
  <c r="L892" i="7" s="1"/>
  <c r="L891" i="7" a="1"/>
  <c r="L891" i="7" s="1"/>
  <c r="L890" i="7"/>
  <c r="L890" i="7" a="1"/>
  <c r="L889" i="7" a="1"/>
  <c r="L889" i="7" s="1"/>
  <c r="L888" i="7" a="1"/>
  <c r="L888" i="7" s="1"/>
  <c r="L887" i="7" a="1"/>
  <c r="L887" i="7" s="1"/>
  <c r="L886" i="7" a="1"/>
  <c r="L886" i="7" s="1"/>
  <c r="L885" i="7" a="1"/>
  <c r="L885" i="7" s="1"/>
  <c r="L884" i="7" a="1"/>
  <c r="L884" i="7" s="1"/>
  <c r="L883" i="7" a="1"/>
  <c r="L883" i="7" s="1"/>
  <c r="L882" i="7" a="1"/>
  <c r="L882" i="7" s="1"/>
  <c r="L881" i="7" a="1"/>
  <c r="L881" i="7" s="1"/>
  <c r="L880" i="7" a="1"/>
  <c r="L880" i="7" s="1"/>
  <c r="L879" i="7" a="1"/>
  <c r="L879" i="7" s="1"/>
  <c r="L878" i="7" a="1"/>
  <c r="L878" i="7" s="1"/>
  <c r="L877" i="7" a="1"/>
  <c r="L877" i="7" s="1"/>
  <c r="L876" i="7" a="1"/>
  <c r="L876" i="7" s="1"/>
  <c r="L875" i="7" a="1"/>
  <c r="L875" i="7" s="1"/>
  <c r="L874" i="7" a="1"/>
  <c r="L874" i="7" s="1"/>
  <c r="L873" i="7" a="1"/>
  <c r="L873" i="7" s="1"/>
  <c r="L872" i="7"/>
  <c r="L872" i="7" a="1"/>
  <c r="L871" i="7" a="1"/>
  <c r="L871" i="7" s="1"/>
  <c r="L870" i="7" a="1"/>
  <c r="L870" i="7" s="1"/>
  <c r="L869" i="7" a="1"/>
  <c r="L869" i="7" s="1"/>
  <c r="L868" i="7" a="1"/>
  <c r="L868" i="7" s="1"/>
  <c r="L867" i="7" a="1"/>
  <c r="L867" i="7" s="1"/>
  <c r="L866" i="7"/>
  <c r="L866" i="7" a="1"/>
  <c r="L865" i="7" a="1"/>
  <c r="L865" i="7" s="1"/>
  <c r="L864" i="7"/>
  <c r="L864" i="7" a="1"/>
  <c r="L863" i="7" a="1"/>
  <c r="L863" i="7" s="1"/>
  <c r="L862" i="7" a="1"/>
  <c r="L862" i="7" s="1"/>
  <c r="L861" i="7" a="1"/>
  <c r="L861" i="7" s="1"/>
  <c r="L860" i="7" a="1"/>
  <c r="L860" i="7" s="1"/>
  <c r="L859" i="7" a="1"/>
  <c r="L859" i="7" s="1"/>
  <c r="L858" i="7" a="1"/>
  <c r="L858" i="7" s="1"/>
  <c r="L857" i="7" a="1"/>
  <c r="L857" i="7" s="1"/>
  <c r="L856" i="7" a="1"/>
  <c r="L856" i="7" s="1"/>
  <c r="L855" i="7" a="1"/>
  <c r="L855" i="7" s="1"/>
  <c r="L854" i="7" a="1"/>
  <c r="L854" i="7" s="1"/>
  <c r="L853" i="7" a="1"/>
  <c r="L853" i="7" s="1"/>
  <c r="L852" i="7" a="1"/>
  <c r="L852" i="7" s="1"/>
  <c r="L851" i="7" a="1"/>
  <c r="L851" i="7" s="1"/>
  <c r="L850" i="7" a="1"/>
  <c r="L850" i="7" s="1"/>
  <c r="L849" i="7"/>
  <c r="L849" i="7" a="1"/>
  <c r="L848" i="7" a="1"/>
  <c r="L848" i="7" s="1"/>
  <c r="L847" i="7" a="1"/>
  <c r="L847" i="7" s="1"/>
  <c r="L846" i="7" a="1"/>
  <c r="L846" i="7" s="1"/>
  <c r="L845" i="7" a="1"/>
  <c r="L845" i="7" s="1"/>
  <c r="L844" i="7"/>
  <c r="L844" i="7" a="1"/>
  <c r="L843" i="7" a="1"/>
  <c r="L843" i="7" s="1"/>
  <c r="L842" i="7" a="1"/>
  <c r="L842" i="7" s="1"/>
  <c r="L841" i="7" a="1"/>
  <c r="L841" i="7" s="1"/>
  <c r="L840" i="7" a="1"/>
  <c r="L840" i="7" s="1"/>
  <c r="L839" i="7" a="1"/>
  <c r="L839" i="7" s="1"/>
  <c r="L838" i="7" a="1"/>
  <c r="L838" i="7" s="1"/>
  <c r="L837" i="7" a="1"/>
  <c r="L837" i="7" s="1"/>
  <c r="L836" i="7" a="1"/>
  <c r="L836" i="7" s="1"/>
  <c r="L835" i="7" a="1"/>
  <c r="L835" i="7" s="1"/>
  <c r="L834" i="7"/>
  <c r="L834" i="7" a="1"/>
  <c r="L833" i="7"/>
  <c r="L833" i="7" a="1"/>
  <c r="L832" i="7"/>
  <c r="L832" i="7" a="1"/>
  <c r="L831" i="7" a="1"/>
  <c r="L831" i="7" s="1"/>
  <c r="L830" i="7" a="1"/>
  <c r="L830" i="7" s="1"/>
  <c r="L829" i="7" a="1"/>
  <c r="L829" i="7" s="1"/>
  <c r="L828" i="7" a="1"/>
  <c r="L828" i="7" s="1"/>
  <c r="L827" i="7" a="1"/>
  <c r="L827" i="7" s="1"/>
  <c r="L826" i="7"/>
  <c r="L826" i="7" a="1"/>
  <c r="L825" i="7" a="1"/>
  <c r="L825" i="7" s="1"/>
  <c r="L824" i="7" a="1"/>
  <c r="L824" i="7" s="1"/>
  <c r="L823" i="7" a="1"/>
  <c r="L823" i="7" s="1"/>
  <c r="L822" i="7" a="1"/>
  <c r="L822" i="7" s="1"/>
  <c r="L821" i="7" a="1"/>
  <c r="L821" i="7" s="1"/>
  <c r="L820" i="7" a="1"/>
  <c r="L820" i="7" s="1"/>
  <c r="L819" i="7" a="1"/>
  <c r="L819" i="7" s="1"/>
  <c r="L818" i="7"/>
  <c r="L818" i="7" a="1"/>
  <c r="L817" i="7"/>
  <c r="L817" i="7" a="1"/>
  <c r="L816" i="7"/>
  <c r="L816" i="7" a="1"/>
  <c r="L815" i="7" a="1"/>
  <c r="L815" i="7" s="1"/>
  <c r="L814" i="7" a="1"/>
  <c r="L814" i="7" s="1"/>
  <c r="L813" i="7" a="1"/>
  <c r="L813" i="7" s="1"/>
  <c r="L812" i="7" a="1"/>
  <c r="L812" i="7" s="1"/>
  <c r="L811" i="7" a="1"/>
  <c r="L811" i="7" s="1"/>
  <c r="L810" i="7" a="1"/>
  <c r="L810" i="7" s="1"/>
  <c r="L809" i="7"/>
  <c r="L809" i="7" a="1"/>
  <c r="L808" i="7" a="1"/>
  <c r="L808" i="7" s="1"/>
  <c r="L807" i="7" a="1"/>
  <c r="L807" i="7" s="1"/>
  <c r="L806" i="7" a="1"/>
  <c r="L806" i="7" s="1"/>
  <c r="L805" i="7" a="1"/>
  <c r="L805" i="7" s="1"/>
  <c r="L804" i="7" a="1"/>
  <c r="L804" i="7" s="1"/>
  <c r="L803" i="7" a="1"/>
  <c r="L803" i="7" s="1"/>
  <c r="L802" i="7" a="1"/>
  <c r="L802" i="7" s="1"/>
  <c r="L801" i="7" a="1"/>
  <c r="L801" i="7" s="1"/>
  <c r="L800" i="7"/>
  <c r="L800" i="7" a="1"/>
  <c r="L799" i="7" a="1"/>
  <c r="L799" i="7" s="1"/>
  <c r="L798" i="7" a="1"/>
  <c r="L798" i="7" s="1"/>
  <c r="L797" i="7" a="1"/>
  <c r="L797" i="7" s="1"/>
  <c r="L796" i="7" a="1"/>
  <c r="L796" i="7" s="1"/>
  <c r="L795" i="7" a="1"/>
  <c r="L795" i="7" s="1"/>
  <c r="L794" i="7"/>
  <c r="L794" i="7" a="1"/>
  <c r="L793" i="7" a="1"/>
  <c r="L793" i="7" s="1"/>
  <c r="L792" i="7"/>
  <c r="L792" i="7" a="1"/>
  <c r="L791" i="7" a="1"/>
  <c r="L791" i="7" s="1"/>
  <c r="L790" i="7" a="1"/>
  <c r="L790" i="7" s="1"/>
  <c r="L789" i="7" a="1"/>
  <c r="L789" i="7" s="1"/>
  <c r="L788" i="7" a="1"/>
  <c r="L788" i="7" s="1"/>
  <c r="L787" i="7" a="1"/>
  <c r="L787" i="7" s="1"/>
  <c r="L786" i="7" a="1"/>
  <c r="L786" i="7" s="1"/>
  <c r="L785" i="7"/>
  <c r="L785" i="7" a="1"/>
  <c r="L784" i="7" a="1"/>
  <c r="L784" i="7" s="1"/>
  <c r="L783" i="7" a="1"/>
  <c r="L783" i="7" s="1"/>
  <c r="L782" i="7" a="1"/>
  <c r="L782" i="7" s="1"/>
  <c r="L781" i="7" a="1"/>
  <c r="L781" i="7" s="1"/>
  <c r="L780" i="7" a="1"/>
  <c r="L780" i="7" s="1"/>
  <c r="L779" i="7" a="1"/>
  <c r="L779" i="7" s="1"/>
  <c r="L778" i="7"/>
  <c r="L778" i="7" a="1"/>
  <c r="L777" i="7" a="1"/>
  <c r="L777" i="7" s="1"/>
  <c r="L776" i="7"/>
  <c r="L776" i="7" a="1"/>
  <c r="L775" i="7" a="1"/>
  <c r="L775" i="7" s="1"/>
  <c r="L774" i="7" a="1"/>
  <c r="L774" i="7" s="1"/>
  <c r="L773" i="7" a="1"/>
  <c r="L773" i="7" s="1"/>
  <c r="L772" i="7" a="1"/>
  <c r="L772" i="7" s="1"/>
  <c r="L771" i="7" a="1"/>
  <c r="L771" i="7" s="1"/>
  <c r="L770" i="7"/>
  <c r="L770" i="7" a="1"/>
  <c r="L769" i="7"/>
  <c r="L769" i="7" a="1"/>
  <c r="L768" i="7" a="1"/>
  <c r="L768" i="7" s="1"/>
  <c r="L767" i="7" a="1"/>
  <c r="L767" i="7" s="1"/>
  <c r="L766" i="7" a="1"/>
  <c r="L766" i="7" s="1"/>
  <c r="L765" i="7" a="1"/>
  <c r="L765" i="7" s="1"/>
  <c r="L764" i="7" a="1"/>
  <c r="L764" i="7" s="1"/>
  <c r="L763" i="7" a="1"/>
  <c r="L763" i="7" s="1"/>
  <c r="L762" i="7"/>
  <c r="L762" i="7" a="1"/>
  <c r="L761" i="7"/>
  <c r="L761" i="7" a="1"/>
  <c r="L760" i="7"/>
  <c r="L760" i="7" a="1"/>
  <c r="L759" i="7" a="1"/>
  <c r="L759" i="7" s="1"/>
  <c r="L758" i="7" a="1"/>
  <c r="L758" i="7" s="1"/>
  <c r="L757" i="7" a="1"/>
  <c r="L757" i="7" s="1"/>
  <c r="L756" i="7" a="1"/>
  <c r="L756" i="7" s="1"/>
  <c r="L755" i="7" a="1"/>
  <c r="L755" i="7" s="1"/>
  <c r="L754" i="7" a="1"/>
  <c r="L754" i="7" s="1"/>
  <c r="L753" i="7" a="1"/>
  <c r="L753" i="7" s="1"/>
  <c r="L752" i="7" a="1"/>
  <c r="L752" i="7" s="1"/>
  <c r="L751" i="7" a="1"/>
  <c r="L751" i="7" s="1"/>
  <c r="L750" i="7" a="1"/>
  <c r="L750" i="7" s="1"/>
  <c r="L749" i="7" a="1"/>
  <c r="L749" i="7" s="1"/>
  <c r="L748" i="7" a="1"/>
  <c r="L748" i="7" s="1"/>
  <c r="L747" i="7" a="1"/>
  <c r="L747" i="7" s="1"/>
  <c r="L746" i="7" a="1"/>
  <c r="L746" i="7" s="1"/>
  <c r="L745" i="7" a="1"/>
  <c r="L745" i="7" s="1"/>
  <c r="L744" i="7"/>
  <c r="L744" i="7" a="1"/>
  <c r="L743" i="7" a="1"/>
  <c r="L743" i="7" s="1"/>
  <c r="L742" i="7" a="1"/>
  <c r="L742" i="7" s="1"/>
  <c r="L741" i="7" a="1"/>
  <c r="L741" i="7" s="1"/>
  <c r="L740" i="7" a="1"/>
  <c r="L740" i="7" s="1"/>
  <c r="L739" i="7" a="1"/>
  <c r="L739" i="7" s="1"/>
  <c r="L738" i="7"/>
  <c r="L738" i="7" a="1"/>
  <c r="L737" i="7" a="1"/>
  <c r="L737" i="7" s="1"/>
  <c r="L736" i="7"/>
  <c r="L736" i="7" a="1"/>
  <c r="L735" i="7" a="1"/>
  <c r="L735" i="7" s="1"/>
  <c r="L734" i="7" a="1"/>
  <c r="L734" i="7" s="1"/>
  <c r="L733" i="7" a="1"/>
  <c r="L733" i="7" s="1"/>
  <c r="L732" i="7" a="1"/>
  <c r="L732" i="7" s="1"/>
  <c r="L731" i="7" a="1"/>
  <c r="L731" i="7" s="1"/>
  <c r="L730" i="7"/>
  <c r="L730" i="7" a="1"/>
  <c r="L729" i="7" a="1"/>
  <c r="L729" i="7" s="1"/>
  <c r="L728" i="7"/>
  <c r="L728" i="7" a="1"/>
  <c r="L727" i="7" a="1"/>
  <c r="L727" i="7" s="1"/>
  <c r="L726" i="7" a="1"/>
  <c r="L726" i="7" s="1"/>
  <c r="L725" i="7" a="1"/>
  <c r="L725" i="7" s="1"/>
  <c r="L724" i="7" a="1"/>
  <c r="L724" i="7" s="1"/>
  <c r="L723" i="7" a="1"/>
  <c r="L723" i="7" s="1"/>
  <c r="L722" i="7" a="1"/>
  <c r="L722" i="7" s="1"/>
  <c r="L721" i="7"/>
  <c r="L721" i="7" a="1"/>
  <c r="L720" i="7" a="1"/>
  <c r="L720" i="7" s="1"/>
  <c r="L719" i="7" a="1"/>
  <c r="L719" i="7" s="1"/>
  <c r="L718" i="7" a="1"/>
  <c r="L718" i="7" s="1"/>
  <c r="L717" i="7" a="1"/>
  <c r="L717" i="7" s="1"/>
  <c r="L716" i="7" a="1"/>
  <c r="L716" i="7" s="1"/>
  <c r="L715" i="7" a="1"/>
  <c r="L715" i="7" s="1"/>
  <c r="L714" i="7"/>
  <c r="L714" i="7" a="1"/>
  <c r="L713" i="7"/>
  <c r="L713" i="7" a="1"/>
  <c r="L712" i="7" a="1"/>
  <c r="L712" i="7" s="1"/>
  <c r="L711" i="7" a="1"/>
  <c r="L711" i="7" s="1"/>
  <c r="L710" i="7" a="1"/>
  <c r="L710" i="7" s="1"/>
  <c r="L709" i="7" a="1"/>
  <c r="L709" i="7" s="1"/>
  <c r="L708" i="7" a="1"/>
  <c r="L708" i="7" s="1"/>
  <c r="L707" i="7" a="1"/>
  <c r="L707" i="7" s="1"/>
  <c r="L706" i="7"/>
  <c r="L706" i="7" a="1"/>
  <c r="L705" i="7" a="1"/>
  <c r="L705" i="7" s="1"/>
  <c r="L704" i="7"/>
  <c r="L704" i="7" a="1"/>
  <c r="L703" i="7" a="1"/>
  <c r="L703" i="7" s="1"/>
  <c r="L702" i="7"/>
  <c r="L702" i="7" a="1"/>
  <c r="L701" i="7" a="1"/>
  <c r="L701" i="7" s="1"/>
  <c r="L700" i="7" a="1"/>
  <c r="L700" i="7" s="1"/>
  <c r="L699" i="7" a="1"/>
  <c r="L699" i="7" s="1"/>
  <c r="L698" i="7"/>
  <c r="L698" i="7" a="1"/>
  <c r="L697" i="7" a="1"/>
  <c r="L697" i="7" s="1"/>
  <c r="L696" i="7"/>
  <c r="L696" i="7" a="1"/>
  <c r="L695" i="7" a="1"/>
  <c r="L695" i="7" s="1"/>
  <c r="L694" i="7" a="1"/>
  <c r="L694" i="7" s="1"/>
  <c r="L693" i="7"/>
  <c r="L693" i="7" a="1"/>
  <c r="L692" i="7" a="1"/>
  <c r="L692" i="7" s="1"/>
  <c r="L691" i="7" a="1"/>
  <c r="L691" i="7" s="1"/>
  <c r="L690" i="7"/>
  <c r="L690" i="7" a="1"/>
  <c r="L689" i="7" a="1"/>
  <c r="L689" i="7" s="1"/>
  <c r="L688" i="7"/>
  <c r="L688" i="7" a="1"/>
  <c r="L687" i="7" a="1"/>
  <c r="L687" i="7" s="1"/>
  <c r="L686" i="7" a="1"/>
  <c r="L686" i="7" s="1"/>
  <c r="L685" i="7" a="1"/>
  <c r="L685" i="7" s="1"/>
  <c r="L684" i="7" a="1"/>
  <c r="L684" i="7" s="1"/>
  <c r="L683" i="7" a="1"/>
  <c r="L683" i="7" s="1"/>
  <c r="L682" i="7"/>
  <c r="L682" i="7" a="1"/>
  <c r="L681" i="7"/>
  <c r="L681" i="7" a="1"/>
  <c r="L680" i="7"/>
  <c r="L680" i="7" a="1"/>
  <c r="L679" i="7" a="1"/>
  <c r="L679" i="7" s="1"/>
  <c r="L678" i="7" a="1"/>
  <c r="L678" i="7" s="1"/>
  <c r="L677" i="7" a="1"/>
  <c r="L677" i="7" s="1"/>
  <c r="L676" i="7" a="1"/>
  <c r="L676" i="7" s="1"/>
  <c r="L675" i="7" a="1"/>
  <c r="L675" i="7" s="1"/>
  <c r="L674" i="7" a="1"/>
  <c r="L674" i="7" s="1"/>
  <c r="L673" i="7"/>
  <c r="L673" i="7" a="1"/>
  <c r="L672" i="7" a="1"/>
  <c r="L672" i="7" s="1"/>
  <c r="L671" i="7" a="1"/>
  <c r="L671" i="7" s="1"/>
  <c r="L670" i="7" a="1"/>
  <c r="L670" i="7" s="1"/>
  <c r="L669" i="7" a="1"/>
  <c r="L669" i="7" s="1"/>
  <c r="L668" i="7" a="1"/>
  <c r="L668" i="7" s="1"/>
  <c r="L667" i="7" a="1"/>
  <c r="L667" i="7" s="1"/>
  <c r="L666" i="7"/>
  <c r="L666" i="7" a="1"/>
  <c r="L665" i="7"/>
  <c r="L665" i="7" a="1"/>
  <c r="L664" i="7"/>
  <c r="L664" i="7" a="1"/>
  <c r="L663" i="7" a="1"/>
  <c r="L663" i="7" s="1"/>
  <c r="L662" i="7" a="1"/>
  <c r="L662" i="7" s="1"/>
  <c r="L661" i="7" a="1"/>
  <c r="L661" i="7" s="1"/>
  <c r="L660" i="7" a="1"/>
  <c r="L660" i="7" s="1"/>
  <c r="L659" i="7" a="1"/>
  <c r="L659" i="7" s="1"/>
  <c r="L658" i="7"/>
  <c r="L658" i="7" a="1"/>
  <c r="L657" i="7" a="1"/>
  <c r="L657" i="7" s="1"/>
  <c r="L656" i="7"/>
  <c r="L656" i="7" a="1"/>
  <c r="L655" i="7" a="1"/>
  <c r="L655" i="7" s="1"/>
  <c r="L654" i="7" a="1"/>
  <c r="L654" i="7" s="1"/>
  <c r="L653" i="7" a="1"/>
  <c r="L653" i="7" s="1"/>
  <c r="L652" i="7" a="1"/>
  <c r="L652" i="7" s="1"/>
  <c r="L651" i="7" a="1"/>
  <c r="L651" i="7" s="1"/>
  <c r="L650" i="7"/>
  <c r="L650" i="7" a="1"/>
  <c r="L649" i="7"/>
  <c r="L649" i="7" a="1"/>
  <c r="L648" i="7"/>
  <c r="L648" i="7" a="1"/>
  <c r="L647" i="7" a="1"/>
  <c r="L647" i="7" s="1"/>
  <c r="L646" i="7" a="1"/>
  <c r="L646" i="7" s="1"/>
  <c r="L645" i="7" a="1"/>
  <c r="L645" i="7" s="1"/>
  <c r="L644" i="7" a="1"/>
  <c r="L644" i="7" s="1"/>
  <c r="L643" i="7" a="1"/>
  <c r="L643" i="7" s="1"/>
  <c r="L642" i="7" a="1"/>
  <c r="L642" i="7" s="1"/>
  <c r="L641" i="7"/>
  <c r="L641" i="7" a="1"/>
  <c r="L640" i="7" a="1"/>
  <c r="L640" i="7" s="1"/>
  <c r="L639" i="7" a="1"/>
  <c r="L639" i="7" s="1"/>
  <c r="L638" i="7" a="1"/>
  <c r="L638" i="7" s="1"/>
  <c r="L637" i="7" a="1"/>
  <c r="L637" i="7" s="1"/>
  <c r="L636" i="7" a="1"/>
  <c r="L636" i="7" s="1"/>
  <c r="L635" i="7" a="1"/>
  <c r="L635" i="7" s="1"/>
  <c r="L634" i="7"/>
  <c r="L634" i="7" a="1"/>
  <c r="L633" i="7"/>
  <c r="L633" i="7" a="1"/>
  <c r="L632" i="7"/>
  <c r="L632" i="7" a="1"/>
  <c r="L631" i="7" a="1"/>
  <c r="L631" i="7" s="1"/>
  <c r="L630" i="7" a="1"/>
  <c r="L630" i="7" s="1"/>
  <c r="L629" i="7" a="1"/>
  <c r="L629" i="7" s="1"/>
  <c r="L628" i="7" a="1"/>
  <c r="L628" i="7" s="1"/>
  <c r="L627" i="7" a="1"/>
  <c r="L627" i="7" s="1"/>
  <c r="L626" i="7"/>
  <c r="L626" i="7" a="1"/>
  <c r="L625" i="7" a="1"/>
  <c r="L625" i="7" s="1"/>
  <c r="L624" i="7"/>
  <c r="L624" i="7" a="1"/>
  <c r="L623" i="7" a="1"/>
  <c r="L623" i="7" s="1"/>
  <c r="L622" i="7" a="1"/>
  <c r="L622" i="7" s="1"/>
  <c r="L621" i="7" a="1"/>
  <c r="L621" i="7" s="1"/>
  <c r="L620" i="7" a="1"/>
  <c r="L620" i="7" s="1"/>
  <c r="L619" i="7" a="1"/>
  <c r="L619" i="7" s="1"/>
  <c r="L618" i="7"/>
  <c r="L618" i="7" a="1"/>
  <c r="L617" i="7"/>
  <c r="L617" i="7" a="1"/>
  <c r="L616" i="7"/>
  <c r="L616" i="7" a="1"/>
  <c r="L615" i="7" a="1"/>
  <c r="L615" i="7" s="1"/>
  <c r="L614" i="7" a="1"/>
  <c r="L614" i="7" s="1"/>
  <c r="L613" i="7" a="1"/>
  <c r="L613" i="7" s="1"/>
  <c r="L612" i="7" a="1"/>
  <c r="L612" i="7" s="1"/>
  <c r="L611" i="7" a="1"/>
  <c r="L611" i="7" s="1"/>
  <c r="L610" i="7" a="1"/>
  <c r="L610" i="7" s="1"/>
  <c r="L609" i="7"/>
  <c r="L609" i="7" a="1"/>
  <c r="L608" i="7" a="1"/>
  <c r="L608" i="7" s="1"/>
  <c r="L607" i="7" a="1"/>
  <c r="L607" i="7" s="1"/>
  <c r="L606" i="7" a="1"/>
  <c r="L606" i="7" s="1"/>
  <c r="L605" i="7" a="1"/>
  <c r="L605" i="7" s="1"/>
  <c r="L604" i="7" a="1"/>
  <c r="L604" i="7" s="1"/>
  <c r="L603" i="7" a="1"/>
  <c r="L603" i="7" s="1"/>
  <c r="L602" i="7"/>
  <c r="L602" i="7" a="1"/>
  <c r="L601" i="7"/>
  <c r="L601" i="7" a="1"/>
  <c r="L600" i="7"/>
  <c r="L600" i="7" a="1"/>
  <c r="L599" i="7" a="1"/>
  <c r="L599" i="7" s="1"/>
  <c r="L598" i="7" a="1"/>
  <c r="L598" i="7" s="1"/>
  <c r="L597" i="7" a="1"/>
  <c r="L597" i="7" s="1"/>
  <c r="L596" i="7" a="1"/>
  <c r="L596" i="7" s="1"/>
  <c r="L595" i="7" a="1"/>
  <c r="L595" i="7" s="1"/>
  <c r="L594" i="7"/>
  <c r="L594" i="7" a="1"/>
  <c r="L593" i="7" a="1"/>
  <c r="L593" i="7" s="1"/>
  <c r="L592" i="7"/>
  <c r="L592" i="7" a="1"/>
  <c r="L591" i="7" a="1"/>
  <c r="L591" i="7" s="1"/>
  <c r="L590" i="7" a="1"/>
  <c r="L590" i="7" s="1"/>
  <c r="L589" i="7" a="1"/>
  <c r="L589" i="7" s="1"/>
  <c r="L588" i="7" a="1"/>
  <c r="L588" i="7" s="1"/>
  <c r="L587" i="7" a="1"/>
  <c r="L587" i="7" s="1"/>
  <c r="L586" i="7"/>
  <c r="L586" i="7" a="1"/>
  <c r="L585" i="7"/>
  <c r="L585" i="7" a="1"/>
  <c r="L584" i="7"/>
  <c r="L584" i="7" a="1"/>
  <c r="L583" i="7" a="1"/>
  <c r="L583" i="7" s="1"/>
  <c r="L582" i="7" a="1"/>
  <c r="L582" i="7" s="1"/>
  <c r="L581" i="7" a="1"/>
  <c r="L581" i="7" s="1"/>
  <c r="L580" i="7" a="1"/>
  <c r="L580" i="7" s="1"/>
  <c r="L579" i="7" a="1"/>
  <c r="L579" i="7" s="1"/>
  <c r="L578" i="7" a="1"/>
  <c r="L578" i="7" s="1"/>
  <c r="L577" i="7"/>
  <c r="L577" i="7" a="1"/>
  <c r="L576" i="7" a="1"/>
  <c r="L576" i="7" s="1"/>
  <c r="L575" i="7" a="1"/>
  <c r="L575" i="7" s="1"/>
  <c r="L574" i="7" a="1"/>
  <c r="L574" i="7" s="1"/>
  <c r="L573" i="7" a="1"/>
  <c r="L573" i="7" s="1"/>
  <c r="L572" i="7" a="1"/>
  <c r="L572" i="7" s="1"/>
  <c r="L571" i="7" a="1"/>
  <c r="L571" i="7" s="1"/>
  <c r="L570" i="7"/>
  <c r="L570" i="7" a="1"/>
  <c r="L569" i="7" a="1"/>
  <c r="L569" i="7" s="1"/>
  <c r="L568" i="7"/>
  <c r="L568" i="7" a="1"/>
  <c r="L567" i="7" a="1"/>
  <c r="L567" i="7" s="1"/>
  <c r="L566" i="7" a="1"/>
  <c r="L566" i="7" s="1"/>
  <c r="L565" i="7" a="1"/>
  <c r="L565" i="7" s="1"/>
  <c r="L564" i="7" a="1"/>
  <c r="L564" i="7" s="1"/>
  <c r="L563" i="7" a="1"/>
  <c r="L563" i="7" s="1"/>
  <c r="L562" i="7" a="1"/>
  <c r="L562" i="7" s="1"/>
  <c r="L561" i="7"/>
  <c r="L561" i="7" a="1"/>
  <c r="L560" i="7" a="1"/>
  <c r="L560" i="7" s="1"/>
  <c r="L559" i="7" a="1"/>
  <c r="L559" i="7" s="1"/>
  <c r="L558" i="7" a="1"/>
  <c r="L558" i="7" s="1"/>
  <c r="L557" i="7" a="1"/>
  <c r="L557" i="7" s="1"/>
  <c r="L556" i="7" a="1"/>
  <c r="L556" i="7" s="1"/>
  <c r="L555" i="7" a="1"/>
  <c r="L555" i="7" s="1"/>
  <c r="L554" i="7"/>
  <c r="L554" i="7" a="1"/>
  <c r="L553" i="7" a="1"/>
  <c r="L553" i="7" s="1"/>
  <c r="L552" i="7"/>
  <c r="L552" i="7" a="1"/>
  <c r="L551" i="7" a="1"/>
  <c r="L551" i="7" s="1"/>
  <c r="L550" i="7" a="1"/>
  <c r="L550" i="7" s="1"/>
  <c r="L549" i="7" a="1"/>
  <c r="L549" i="7" s="1"/>
  <c r="L548" i="7" a="1"/>
  <c r="L548" i="7" s="1"/>
  <c r="L547" i="7" a="1"/>
  <c r="L547" i="7" s="1"/>
  <c r="L546" i="7"/>
  <c r="L546" i="7" a="1"/>
  <c r="L545" i="7"/>
  <c r="L545" i="7" a="1"/>
  <c r="L544" i="7"/>
  <c r="L544" i="7" a="1"/>
  <c r="L543" i="7" a="1"/>
  <c r="L543" i="7" s="1"/>
  <c r="L542" i="7" a="1"/>
  <c r="L542" i="7" s="1"/>
  <c r="L541" i="7" a="1"/>
  <c r="L541" i="7" s="1"/>
  <c r="L540" i="7" a="1"/>
  <c r="L540" i="7" s="1"/>
  <c r="L539" i="7" a="1"/>
  <c r="L539" i="7" s="1"/>
  <c r="L538" i="7" a="1"/>
  <c r="L538" i="7" s="1"/>
  <c r="L537" i="7"/>
  <c r="L537" i="7" a="1"/>
  <c r="L536" i="7" a="1"/>
  <c r="L536" i="7" s="1"/>
  <c r="L535" i="7" a="1"/>
  <c r="L535" i="7" s="1"/>
  <c r="L534" i="7" a="1"/>
  <c r="L534" i="7" s="1"/>
  <c r="L533" i="7" a="1"/>
  <c r="L533" i="7" s="1"/>
  <c r="L532" i="7" a="1"/>
  <c r="L532" i="7" s="1"/>
  <c r="L531" i="7" a="1"/>
  <c r="L531" i="7" s="1"/>
  <c r="L530" i="7"/>
  <c r="L530" i="7" a="1"/>
  <c r="L529" i="7"/>
  <c r="L529" i="7" a="1"/>
  <c r="L528" i="7"/>
  <c r="L528" i="7" a="1"/>
  <c r="L527" i="7" a="1"/>
  <c r="L527" i="7" s="1"/>
  <c r="L526" i="7" a="1"/>
  <c r="L526" i="7" s="1"/>
  <c r="L525" i="7" a="1"/>
  <c r="L525" i="7" s="1"/>
  <c r="L524" i="7" a="1"/>
  <c r="L524" i="7" s="1"/>
  <c r="L523" i="7" a="1"/>
  <c r="L523" i="7" s="1"/>
  <c r="L522" i="7"/>
  <c r="L522" i="7" a="1"/>
  <c r="L521" i="7" a="1"/>
  <c r="L521" i="7" s="1"/>
  <c r="L520" i="7"/>
  <c r="L520" i="7" a="1"/>
  <c r="L519" i="7" a="1"/>
  <c r="L519" i="7" s="1"/>
  <c r="L518" i="7" a="1"/>
  <c r="L518" i="7" s="1"/>
  <c r="L517" i="7" a="1"/>
  <c r="L517" i="7" s="1"/>
  <c r="L516" i="7" a="1"/>
  <c r="L516" i="7" s="1"/>
  <c r="L515" i="7" a="1"/>
  <c r="L515" i="7" s="1"/>
  <c r="L514" i="7"/>
  <c r="L514" i="7" a="1"/>
  <c r="L513" i="7"/>
  <c r="L513" i="7" a="1"/>
  <c r="L512" i="7"/>
  <c r="L512" i="7" a="1"/>
  <c r="L511" i="7" a="1"/>
  <c r="L511" i="7" s="1"/>
  <c r="L510" i="7" a="1"/>
  <c r="L510" i="7" s="1"/>
  <c r="L509" i="7" a="1"/>
  <c r="L509" i="7" s="1"/>
  <c r="L508" i="7" a="1"/>
  <c r="L508" i="7" s="1"/>
  <c r="L507" i="7" a="1"/>
  <c r="L507" i="7" s="1"/>
  <c r="L506" i="7" a="1"/>
  <c r="L506" i="7" s="1"/>
  <c r="L505" i="7"/>
  <c r="L505" i="7" a="1"/>
  <c r="L504" i="7" a="1"/>
  <c r="L504" i="7" s="1"/>
  <c r="L503" i="7" a="1"/>
  <c r="L503" i="7" s="1"/>
  <c r="L502" i="7" a="1"/>
  <c r="L502" i="7" s="1"/>
  <c r="L501" i="7" a="1"/>
  <c r="L501" i="7" s="1"/>
  <c r="L500" i="7" a="1"/>
  <c r="L500" i="7" s="1"/>
  <c r="L499" i="7" a="1"/>
  <c r="L499" i="7" s="1"/>
  <c r="L498" i="7"/>
  <c r="L498" i="7" a="1"/>
  <c r="L497" i="7"/>
  <c r="L497" i="7" a="1"/>
  <c r="L496" i="7"/>
  <c r="L496" i="7" a="1"/>
  <c r="L495" i="7" a="1"/>
  <c r="L495" i="7" s="1"/>
  <c r="L494" i="7" a="1"/>
  <c r="L494" i="7" s="1"/>
  <c r="L493" i="7" a="1"/>
  <c r="L493" i="7" s="1"/>
  <c r="L492" i="7" a="1"/>
  <c r="L492" i="7" s="1"/>
  <c r="L491" i="7" a="1"/>
  <c r="L491" i="7" s="1"/>
  <c r="L490" i="7"/>
  <c r="L490" i="7" a="1"/>
  <c r="L489" i="7" a="1"/>
  <c r="L489" i="7" s="1"/>
  <c r="L488" i="7"/>
  <c r="L488" i="7" a="1"/>
  <c r="L487" i="7" a="1"/>
  <c r="L487" i="7" s="1"/>
  <c r="L486" i="7" a="1"/>
  <c r="L486" i="7" s="1"/>
  <c r="L485" i="7" a="1"/>
  <c r="L485" i="7" s="1"/>
  <c r="L484" i="7" a="1"/>
  <c r="L484" i="7" s="1"/>
  <c r="L483" i="7" a="1"/>
  <c r="L483" i="7" s="1"/>
  <c r="L482" i="7"/>
  <c r="L482" i="7" a="1"/>
  <c r="L481" i="7"/>
  <c r="L481" i="7" a="1"/>
  <c r="L480" i="7"/>
  <c r="L480" i="7" a="1"/>
  <c r="L479" i="7" a="1"/>
  <c r="L479" i="7" s="1"/>
  <c r="L478" i="7" a="1"/>
  <c r="L478" i="7" s="1"/>
  <c r="L477" i="7" a="1"/>
  <c r="L477" i="7" s="1"/>
  <c r="L476" i="7" a="1"/>
  <c r="L476" i="7" s="1"/>
  <c r="L475" i="7" a="1"/>
  <c r="L475" i="7" s="1"/>
  <c r="L474" i="7" a="1"/>
  <c r="L474" i="7" s="1"/>
  <c r="L473" i="7"/>
  <c r="L473" i="7" a="1"/>
  <c r="L472" i="7" a="1"/>
  <c r="L472" i="7" s="1"/>
  <c r="L471" i="7" a="1"/>
  <c r="L471" i="7" s="1"/>
  <c r="L470" i="7" a="1"/>
  <c r="L470" i="7" s="1"/>
  <c r="L469" i="7" a="1"/>
  <c r="L469" i="7" s="1"/>
  <c r="L468" i="7" a="1"/>
  <c r="L468" i="7" s="1"/>
  <c r="L467" i="7" a="1"/>
  <c r="L467" i="7" s="1"/>
  <c r="L466" i="7" a="1"/>
  <c r="L466" i="7" s="1"/>
  <c r="L465" i="7" a="1"/>
  <c r="L465" i="7" s="1"/>
  <c r="L464" i="7"/>
  <c r="L464" i="7" a="1"/>
  <c r="L463" i="7" a="1"/>
  <c r="L463" i="7" s="1"/>
  <c r="L462" i="7" a="1"/>
  <c r="L462" i="7" s="1"/>
  <c r="L461" i="7" a="1"/>
  <c r="L461" i="7" s="1"/>
  <c r="L460" i="7" a="1"/>
  <c r="L460" i="7" s="1"/>
  <c r="L459" i="7" a="1"/>
  <c r="L459" i="7" s="1"/>
  <c r="L458" i="7"/>
  <c r="L458" i="7" a="1"/>
  <c r="L457" i="7"/>
  <c r="L457" i="7" a="1"/>
  <c r="L456" i="7" a="1"/>
  <c r="L456" i="7" s="1"/>
  <c r="L455" i="7" a="1"/>
  <c r="L455" i="7" s="1"/>
  <c r="L454" i="7" a="1"/>
  <c r="L454" i="7" s="1"/>
  <c r="L453" i="7" a="1"/>
  <c r="L453" i="7" s="1"/>
  <c r="L452" i="7" a="1"/>
  <c r="L452" i="7" s="1"/>
  <c r="L451" i="7" a="1"/>
  <c r="L451" i="7" s="1"/>
  <c r="L450" i="7"/>
  <c r="L450" i="7" a="1"/>
  <c r="L449" i="7"/>
  <c r="L449" i="7" a="1"/>
  <c r="L448" i="7"/>
  <c r="L448" i="7" a="1"/>
  <c r="L447" i="7" a="1"/>
  <c r="L447" i="7" s="1"/>
  <c r="L446" i="7" a="1"/>
  <c r="L446" i="7" s="1"/>
  <c r="L445" i="7" a="1"/>
  <c r="L445" i="7" s="1"/>
  <c r="L444" i="7" a="1"/>
  <c r="L444" i="7" s="1"/>
  <c r="L443" i="7" a="1"/>
  <c r="L443" i="7" s="1"/>
  <c r="L442" i="7"/>
  <c r="L442" i="7" a="1"/>
  <c r="L441" i="7"/>
  <c r="L441" i="7" a="1"/>
  <c r="L440" i="7"/>
  <c r="L440" i="7" a="1"/>
  <c r="L439" i="7" a="1"/>
  <c r="L439" i="7" s="1"/>
  <c r="L438" i="7" a="1"/>
  <c r="L438" i="7" s="1"/>
  <c r="L437" i="7" a="1"/>
  <c r="L437" i="7" s="1"/>
  <c r="L436" i="7" a="1"/>
  <c r="L436" i="7" s="1"/>
  <c r="L435" i="7" a="1"/>
  <c r="L435" i="7" s="1"/>
  <c r="L434" i="7" a="1"/>
  <c r="L434" i="7" s="1"/>
  <c r="L433" i="7"/>
  <c r="L433" i="7" a="1"/>
  <c r="L432" i="7" a="1"/>
  <c r="L432" i="7" s="1"/>
  <c r="L431" i="7" a="1"/>
  <c r="L431" i="7" s="1"/>
  <c r="L430" i="7" a="1"/>
  <c r="L430" i="7" s="1"/>
  <c r="L429" i="7" a="1"/>
  <c r="L429" i="7" s="1"/>
  <c r="L428" i="7" a="1"/>
  <c r="L428" i="7" s="1"/>
  <c r="L427" i="7" a="1"/>
  <c r="L427" i="7" s="1"/>
  <c r="L426" i="7"/>
  <c r="L426" i="7" a="1"/>
  <c r="L425" i="7"/>
  <c r="L425" i="7" a="1"/>
  <c r="L424" i="7" a="1"/>
  <c r="L424" i="7" s="1"/>
  <c r="L423" i="7" a="1"/>
  <c r="L423" i="7" s="1"/>
  <c r="L422" i="7" a="1"/>
  <c r="L422" i="7" s="1"/>
  <c r="L421" i="7" a="1"/>
  <c r="L421" i="7" s="1"/>
  <c r="L420" i="7" a="1"/>
  <c r="L420" i="7" s="1"/>
  <c r="L419" i="7" a="1"/>
  <c r="L419" i="7" s="1"/>
  <c r="L418" i="7"/>
  <c r="L418" i="7" a="1"/>
  <c r="L417" i="7"/>
  <c r="L417" i="7" a="1"/>
  <c r="L416" i="7"/>
  <c r="L416" i="7" a="1"/>
  <c r="L415" i="7" a="1"/>
  <c r="L415" i="7" s="1"/>
  <c r="L414" i="7" a="1"/>
  <c r="L414" i="7" s="1"/>
  <c r="L413" i="7" a="1"/>
  <c r="L413" i="7" s="1"/>
  <c r="L412" i="7" a="1"/>
  <c r="L412" i="7" s="1"/>
  <c r="L411" i="7" a="1"/>
  <c r="L411" i="7" s="1"/>
  <c r="L410" i="7" a="1"/>
  <c r="L410" i="7" s="1"/>
  <c r="L409" i="7"/>
  <c r="L409" i="7" a="1"/>
  <c r="L408" i="7" a="1"/>
  <c r="L408" i="7" s="1"/>
  <c r="L407" i="7" a="1"/>
  <c r="L407" i="7" s="1"/>
  <c r="L406" i="7" a="1"/>
  <c r="L406" i="7" s="1"/>
  <c r="L405" i="7" a="1"/>
  <c r="L405" i="7" s="1"/>
  <c r="L404" i="7" a="1"/>
  <c r="L404" i="7" s="1"/>
  <c r="L403" i="7" a="1"/>
  <c r="L403" i="7" s="1"/>
  <c r="L402" i="7"/>
  <c r="L402" i="7" a="1"/>
  <c r="L401" i="7"/>
  <c r="L401" i="7" a="1"/>
  <c r="L400" i="7" a="1"/>
  <c r="L400" i="7" s="1"/>
  <c r="L399" i="7" a="1"/>
  <c r="L399" i="7" s="1"/>
  <c r="L398" i="7" a="1"/>
  <c r="L398" i="7" s="1"/>
  <c r="L397" i="7" a="1"/>
  <c r="L397" i="7" s="1"/>
  <c r="L396" i="7" a="1"/>
  <c r="L396" i="7" s="1"/>
  <c r="L395" i="7" a="1"/>
  <c r="L395" i="7" s="1"/>
  <c r="L394" i="7" a="1"/>
  <c r="L394" i="7" s="1"/>
  <c r="L393" i="7"/>
  <c r="L393" i="7" a="1"/>
  <c r="L392" i="7" a="1"/>
  <c r="L392" i="7" s="1"/>
  <c r="L391" i="7" a="1"/>
  <c r="L391" i="7" s="1"/>
  <c r="L390" i="7" a="1"/>
  <c r="L390" i="7" s="1"/>
  <c r="L389" i="7" a="1"/>
  <c r="L389" i="7" s="1"/>
  <c r="L388" i="7"/>
  <c r="L388" i="7" a="1"/>
  <c r="L387" i="7" a="1"/>
  <c r="L387" i="7" s="1"/>
  <c r="L386" i="7"/>
  <c r="L386" i="7" a="1"/>
  <c r="L385" i="7" a="1"/>
  <c r="L385" i="7" s="1"/>
  <c r="L384" i="7" a="1"/>
  <c r="L384" i="7" s="1"/>
  <c r="L383" i="7" a="1"/>
  <c r="L383" i="7" s="1"/>
  <c r="L382" i="7" a="1"/>
  <c r="L382" i="7" s="1"/>
  <c r="L381" i="7" a="1"/>
  <c r="L381" i="7" s="1"/>
  <c r="L380" i="7" a="1"/>
  <c r="L380" i="7" s="1"/>
  <c r="L379" i="7" a="1"/>
  <c r="L379" i="7" s="1"/>
  <c r="L378" i="7"/>
  <c r="L378" i="7" a="1"/>
  <c r="L377" i="7" a="1"/>
  <c r="L377" i="7" s="1"/>
  <c r="L376" i="7"/>
  <c r="L376" i="7" a="1"/>
  <c r="L375" i="7" a="1"/>
  <c r="L375" i="7" s="1"/>
  <c r="L374" i="7"/>
  <c r="L374" i="7" a="1"/>
  <c r="L373" i="7" a="1"/>
  <c r="L373" i="7" s="1"/>
  <c r="L372" i="7" a="1"/>
  <c r="L372" i="7" s="1"/>
  <c r="L371" i="7" a="1"/>
  <c r="L371" i="7" s="1"/>
  <c r="L370" i="7" a="1"/>
  <c r="L370" i="7" s="1"/>
  <c r="L369" i="7" a="1"/>
  <c r="L369" i="7" s="1"/>
  <c r="L368" i="7" a="1"/>
  <c r="L368" i="7" s="1"/>
  <c r="L367" i="7" a="1"/>
  <c r="L367" i="7" s="1"/>
  <c r="L366" i="7"/>
  <c r="L366" i="7" a="1"/>
  <c r="L365" i="7" a="1"/>
  <c r="L365" i="7" s="1"/>
  <c r="L364" i="7" a="1"/>
  <c r="L364" i="7" s="1"/>
  <c r="L363" i="7" a="1"/>
  <c r="L363" i="7" s="1"/>
  <c r="L362" i="7" a="1"/>
  <c r="L362" i="7" s="1"/>
  <c r="L361" i="7" a="1"/>
  <c r="L361" i="7" s="1"/>
  <c r="L360" i="7" a="1"/>
  <c r="L360" i="7" s="1"/>
  <c r="L359" i="7" a="1"/>
  <c r="L359" i="7" s="1"/>
  <c r="L358" i="7" a="1"/>
  <c r="L358" i="7" s="1"/>
  <c r="L357" i="7" a="1"/>
  <c r="L357" i="7" s="1"/>
  <c r="L356" i="7" a="1"/>
  <c r="L356" i="7" s="1"/>
  <c r="L355" i="7" a="1"/>
  <c r="L355" i="7" s="1"/>
  <c r="L354" i="7" a="1"/>
  <c r="L354" i="7" s="1"/>
  <c r="L353" i="7" a="1"/>
  <c r="L353" i="7" s="1"/>
  <c r="L352" i="7"/>
  <c r="L352" i="7" a="1"/>
  <c r="L351" i="7" a="1"/>
  <c r="L351" i="7" s="1"/>
  <c r="L350" i="7" a="1"/>
  <c r="L350" i="7" s="1"/>
  <c r="L349" i="7" a="1"/>
  <c r="L349" i="7" s="1"/>
  <c r="L348" i="7" a="1"/>
  <c r="L348" i="7" s="1"/>
  <c r="L347" i="7" a="1"/>
  <c r="L347" i="7" s="1"/>
  <c r="L346" i="7" a="1"/>
  <c r="L346" i="7" s="1"/>
  <c r="L345" i="7" a="1"/>
  <c r="L345" i="7" s="1"/>
  <c r="L344" i="7" a="1"/>
  <c r="L344" i="7" s="1"/>
  <c r="L343" i="7" a="1"/>
  <c r="L343" i="7" s="1"/>
  <c r="L342" i="7" a="1"/>
  <c r="L342" i="7" s="1"/>
  <c r="L341" i="7" a="1"/>
  <c r="L341" i="7" s="1"/>
  <c r="L340" i="7" a="1"/>
  <c r="L340" i="7" s="1"/>
  <c r="L339" i="7" a="1"/>
  <c r="L339" i="7" s="1"/>
  <c r="L338" i="7" a="1"/>
  <c r="L338" i="7" s="1"/>
  <c r="L337" i="7" a="1"/>
  <c r="L337" i="7" s="1"/>
  <c r="L336" i="7" a="1"/>
  <c r="L336" i="7" s="1"/>
  <c r="L335" i="7" a="1"/>
  <c r="L335" i="7" s="1"/>
  <c r="L334" i="7" a="1"/>
  <c r="L334" i="7" s="1"/>
  <c r="L333" i="7" a="1"/>
  <c r="L333" i="7" s="1"/>
  <c r="L332" i="7"/>
  <c r="L332" i="7" a="1"/>
  <c r="L331" i="7" a="1"/>
  <c r="L331" i="7" s="1"/>
  <c r="L330" i="7" a="1"/>
  <c r="L330" i="7" s="1"/>
  <c r="L329" i="7" a="1"/>
  <c r="L329" i="7" s="1"/>
  <c r="L328" i="7" a="1"/>
  <c r="L328" i="7" s="1"/>
  <c r="L327" i="7" a="1"/>
  <c r="L327" i="7" s="1"/>
  <c r="L326" i="7" a="1"/>
  <c r="L326" i="7" s="1"/>
  <c r="L325" i="7" a="1"/>
  <c r="L325" i="7" s="1"/>
  <c r="L324" i="7" a="1"/>
  <c r="L324" i="7" s="1"/>
  <c r="L323" i="7"/>
  <c r="L323" i="7" a="1"/>
  <c r="L322" i="7" a="1"/>
  <c r="L322" i="7" s="1"/>
  <c r="L321" i="7" a="1"/>
  <c r="L321" i="7" s="1"/>
  <c r="L320" i="7" a="1"/>
  <c r="L320" i="7" s="1"/>
  <c r="L319" i="7"/>
  <c r="L319" i="7" a="1"/>
  <c r="L318" i="7" a="1"/>
  <c r="L318" i="7" s="1"/>
  <c r="L317" i="7" a="1"/>
  <c r="L317" i="7" s="1"/>
  <c r="L316" i="7" a="1"/>
  <c r="L316" i="7" s="1"/>
  <c r="L315" i="7" a="1"/>
  <c r="L315" i="7" s="1"/>
  <c r="L314" i="7" a="1"/>
  <c r="L314" i="7" s="1"/>
  <c r="L313" i="7" a="1"/>
  <c r="L313" i="7" s="1"/>
  <c r="L312" i="7" a="1"/>
  <c r="L312" i="7" s="1"/>
  <c r="L311" i="7" a="1"/>
  <c r="L311" i="7" s="1"/>
  <c r="L310" i="7" a="1"/>
  <c r="L310" i="7" s="1"/>
  <c r="L309" i="7"/>
  <c r="L309" i="7" a="1"/>
  <c r="L308" i="7" a="1"/>
  <c r="L308" i="7" s="1"/>
  <c r="L307" i="7" a="1"/>
  <c r="L307" i="7" s="1"/>
  <c r="L306" i="7" a="1"/>
  <c r="L306" i="7" s="1"/>
  <c r="L305" i="7" a="1"/>
  <c r="L305" i="7" s="1"/>
  <c r="L304" i="7" a="1"/>
  <c r="L304" i="7" s="1"/>
  <c r="L303" i="7" a="1"/>
  <c r="L303" i="7" s="1"/>
  <c r="L302" i="7" a="1"/>
  <c r="L302" i="7" s="1"/>
  <c r="L301" i="7" a="1"/>
  <c r="L301" i="7" s="1"/>
  <c r="L300" i="7"/>
  <c r="L300" i="7" a="1"/>
  <c r="L299" i="7" a="1"/>
  <c r="L299" i="7" s="1"/>
  <c r="L298" i="7" a="1"/>
  <c r="L298" i="7" s="1"/>
  <c r="L297" i="7" a="1"/>
  <c r="L297" i="7" s="1"/>
  <c r="L296" i="7"/>
  <c r="L296" i="7" a="1"/>
  <c r="L295" i="7" a="1"/>
  <c r="L295" i="7" s="1"/>
  <c r="L294" i="7" a="1"/>
  <c r="L294" i="7" s="1"/>
  <c r="L293" i="7" a="1"/>
  <c r="L293" i="7" s="1"/>
  <c r="L292" i="7" a="1"/>
  <c r="L292" i="7" s="1"/>
  <c r="L291" i="7" a="1"/>
  <c r="L291" i="7" s="1"/>
  <c r="L290" i="7" a="1"/>
  <c r="L290" i="7" s="1"/>
  <c r="L289" i="7" a="1"/>
  <c r="L289" i="7" s="1"/>
  <c r="L288" i="7" a="1"/>
  <c r="L288" i="7" s="1"/>
  <c r="L287" i="7"/>
  <c r="L287" i="7" a="1"/>
  <c r="L286" i="7" a="1"/>
  <c r="L286" i="7" s="1"/>
  <c r="L285" i="7" a="1"/>
  <c r="L285" i="7" s="1"/>
  <c r="L284" i="7" a="1"/>
  <c r="L284" i="7" s="1"/>
  <c r="L283" i="7" a="1"/>
  <c r="L283" i="7" s="1"/>
  <c r="L282" i="7" a="1"/>
  <c r="L282" i="7" s="1"/>
  <c r="L281" i="7"/>
  <c r="L281" i="7" a="1"/>
  <c r="L280" i="7" a="1"/>
  <c r="L280" i="7" s="1"/>
  <c r="L279" i="7" a="1"/>
  <c r="L279" i="7" s="1"/>
  <c r="L278" i="7" a="1"/>
  <c r="L278" i="7" s="1"/>
  <c r="L277" i="7" a="1"/>
  <c r="L277" i="7" s="1"/>
  <c r="L276" i="7" a="1"/>
  <c r="L276" i="7" s="1"/>
  <c r="L275" i="7" a="1"/>
  <c r="L275" i="7" s="1"/>
  <c r="L274" i="7" a="1"/>
  <c r="L274" i="7" s="1"/>
  <c r="L273" i="7"/>
  <c r="L273" i="7" a="1"/>
  <c r="L272" i="7" a="1"/>
  <c r="L272" i="7" s="1"/>
  <c r="L271" i="7" a="1"/>
  <c r="L271" i="7" s="1"/>
  <c r="L270" i="7" a="1"/>
  <c r="L270" i="7" s="1"/>
  <c r="L269" i="7" a="1"/>
  <c r="L269" i="7" s="1"/>
  <c r="L268" i="7" a="1"/>
  <c r="L268" i="7" s="1"/>
  <c r="L267" i="7" a="1"/>
  <c r="L267" i="7" s="1"/>
  <c r="L266" i="7" a="1"/>
  <c r="L266" i="7" s="1"/>
  <c r="L265" i="7" a="1"/>
  <c r="L265" i="7" s="1"/>
  <c r="L264" i="7" a="1"/>
  <c r="L264" i="7" s="1"/>
  <c r="L263" i="7"/>
  <c r="L263" i="7" a="1"/>
  <c r="L262" i="7" a="1"/>
  <c r="L262" i="7" s="1"/>
  <c r="L261" i="7" a="1"/>
  <c r="L261" i="7" s="1"/>
  <c r="L260" i="7" a="1"/>
  <c r="L260" i="7" s="1"/>
  <c r="L259" i="7" a="1"/>
  <c r="L259" i="7" s="1"/>
  <c r="L258" i="7" a="1"/>
  <c r="L258" i="7" s="1"/>
  <c r="L257" i="7" a="1"/>
  <c r="L257" i="7" s="1"/>
  <c r="L256" i="7" a="1"/>
  <c r="L256" i="7" s="1"/>
  <c r="L255" i="7" a="1"/>
  <c r="L255" i="7" s="1"/>
  <c r="L254" i="7"/>
  <c r="L254" i="7" a="1"/>
  <c r="L253" i="7" a="1"/>
  <c r="L253" i="7" s="1"/>
  <c r="L252" i="7" a="1"/>
  <c r="L252" i="7" s="1"/>
  <c r="L251" i="7"/>
  <c r="L251" i="7" a="1"/>
  <c r="L250" i="7" a="1"/>
  <c r="L250" i="7" s="1"/>
  <c r="L249" i="7" a="1"/>
  <c r="L249" i="7" s="1"/>
  <c r="L248" i="7" a="1"/>
  <c r="L248" i="7" s="1"/>
  <c r="L247" i="7" a="1"/>
  <c r="L247" i="7" s="1"/>
  <c r="L246" i="7"/>
  <c r="L246" i="7" a="1"/>
  <c r="L245" i="7" a="1"/>
  <c r="L245" i="7" s="1"/>
  <c r="L244" i="7" a="1"/>
  <c r="L244" i="7" s="1"/>
  <c r="L243" i="7"/>
  <c r="L243" i="7" a="1"/>
  <c r="L242" i="7" a="1"/>
  <c r="L242" i="7" s="1"/>
  <c r="L241" i="7" a="1"/>
  <c r="L241" i="7" s="1"/>
  <c r="L240" i="7" a="1"/>
  <c r="L240" i="7" s="1"/>
  <c r="L239" i="7" a="1"/>
  <c r="L239" i="7" s="1"/>
  <c r="L238" i="7"/>
  <c r="L238" i="7" a="1"/>
  <c r="L237" i="7" a="1"/>
  <c r="L237" i="7" s="1"/>
  <c r="L236" i="7" a="1"/>
  <c r="L236" i="7" s="1"/>
  <c r="L235" i="7"/>
  <c r="L235" i="7" a="1"/>
  <c r="L234" i="7" a="1"/>
  <c r="L234" i="7" s="1"/>
  <c r="L233" i="7" a="1"/>
  <c r="L233" i="7" s="1"/>
  <c r="L232" i="7" a="1"/>
  <c r="L232" i="7" s="1"/>
  <c r="L231" i="7" a="1"/>
  <c r="L231" i="7" s="1"/>
  <c r="L230" i="7"/>
  <c r="L230" i="7" a="1"/>
  <c r="L229" i="7" a="1"/>
  <c r="L229" i="7" s="1"/>
  <c r="L228" i="7" a="1"/>
  <c r="L228" i="7" s="1"/>
  <c r="L227" i="7" a="1"/>
  <c r="L227" i="7" s="1"/>
  <c r="L226" i="7"/>
  <c r="L226" i="7" a="1"/>
  <c r="L225" i="7" a="1"/>
  <c r="L225" i="7" s="1"/>
  <c r="L224" i="7" a="1"/>
  <c r="L224" i="7" s="1"/>
  <c r="L223" i="7" a="1"/>
  <c r="L223" i="7" s="1"/>
  <c r="L222" i="7" a="1"/>
  <c r="L222" i="7" s="1"/>
  <c r="L221" i="7" a="1"/>
  <c r="L221" i="7" s="1"/>
  <c r="L220" i="7" a="1"/>
  <c r="L220" i="7" s="1"/>
  <c r="L219" i="7" a="1"/>
  <c r="L219" i="7" s="1"/>
  <c r="L218" i="7" a="1"/>
  <c r="L218" i="7" s="1"/>
  <c r="L217" i="7" a="1"/>
  <c r="L217" i="7" s="1"/>
  <c r="L216" i="7" a="1"/>
  <c r="L216" i="7" s="1"/>
  <c r="L215" i="7" a="1"/>
  <c r="L215" i="7" s="1"/>
  <c r="L214" i="7" a="1"/>
  <c r="L214" i="7" s="1"/>
  <c r="L213" i="7" a="1"/>
  <c r="L213" i="7" s="1"/>
  <c r="L212" i="7" a="1"/>
  <c r="L212" i="7" s="1"/>
  <c r="L211" i="7" a="1"/>
  <c r="L211" i="7" s="1"/>
  <c r="L210" i="7" a="1"/>
  <c r="L210" i="7" s="1"/>
  <c r="L209" i="7" a="1"/>
  <c r="L209" i="7" s="1"/>
  <c r="L208" i="7" a="1"/>
  <c r="L208" i="7" s="1"/>
  <c r="L207" i="7" a="1"/>
  <c r="L207" i="7" s="1"/>
  <c r="L206" i="7" a="1"/>
  <c r="L206" i="7" s="1"/>
  <c r="L205" i="7" a="1"/>
  <c r="L205" i="7" s="1"/>
  <c r="L204" i="7" a="1"/>
  <c r="L204" i="7" s="1"/>
  <c r="L203" i="7" a="1"/>
  <c r="L203" i="7" s="1"/>
  <c r="L202" i="7" a="1"/>
  <c r="L202" i="7" s="1"/>
  <c r="L201" i="7" a="1"/>
  <c r="L201" i="7" s="1"/>
  <c r="L200" i="7" a="1"/>
  <c r="L200" i="7" s="1"/>
  <c r="L199" i="7" a="1"/>
  <c r="L199" i="7" s="1"/>
  <c r="L198" i="7" a="1"/>
  <c r="L198" i="7" s="1"/>
  <c r="L197" i="7" a="1"/>
  <c r="L197" i="7" s="1"/>
  <c r="L196" i="7" a="1"/>
  <c r="L196" i="7" s="1"/>
  <c r="L195" i="7" a="1"/>
  <c r="L195" i="7" s="1"/>
  <c r="L194" i="7" a="1"/>
  <c r="L194" i="7" s="1"/>
  <c r="L193" i="7" a="1"/>
  <c r="L193" i="7" s="1"/>
  <c r="L192" i="7" a="1"/>
  <c r="L192" i="7" s="1"/>
  <c r="L191" i="7" a="1"/>
  <c r="L191" i="7" s="1"/>
  <c r="L190" i="7" a="1"/>
  <c r="L190" i="7" s="1"/>
  <c r="L189" i="7" a="1"/>
  <c r="L189" i="7" s="1"/>
  <c r="L188" i="7" a="1"/>
  <c r="L188" i="7" s="1"/>
  <c r="L187" i="7" a="1"/>
  <c r="L187" i="7" s="1"/>
  <c r="L186" i="7" a="1"/>
  <c r="L186" i="7" s="1"/>
  <c r="L185" i="7" a="1"/>
  <c r="L185" i="7" s="1"/>
  <c r="L184" i="7" a="1"/>
  <c r="L184" i="7" s="1"/>
  <c r="L183" i="7" a="1"/>
  <c r="L183" i="7" s="1"/>
  <c r="L182" i="7" a="1"/>
  <c r="L182" i="7" s="1"/>
  <c r="L181" i="7" a="1"/>
  <c r="L181" i="7" s="1"/>
  <c r="L180" i="7" a="1"/>
  <c r="L180" i="7" s="1"/>
  <c r="L179" i="7" a="1"/>
  <c r="L179" i="7" s="1"/>
  <c r="L178" i="7" a="1"/>
  <c r="L178" i="7" s="1"/>
  <c r="L177" i="7" a="1"/>
  <c r="L177" i="7" s="1"/>
  <c r="L176" i="7" a="1"/>
  <c r="L176" i="7" s="1"/>
  <c r="L175" i="7" a="1"/>
  <c r="L175" i="7" s="1"/>
  <c r="L174" i="7" a="1"/>
  <c r="L174" i="7" s="1"/>
  <c r="L173" i="7" a="1"/>
  <c r="L173" i="7" s="1"/>
  <c r="L172" i="7" a="1"/>
  <c r="L172" i="7" s="1"/>
  <c r="L171" i="7" a="1"/>
  <c r="L171" i="7" s="1"/>
  <c r="L170" i="7" a="1"/>
  <c r="L170" i="7" s="1"/>
  <c r="L169" i="7" a="1"/>
  <c r="L169" i="7" s="1"/>
  <c r="L168" i="7" a="1"/>
  <c r="L168" i="7" s="1"/>
  <c r="L167" i="7" a="1"/>
  <c r="L167" i="7" s="1"/>
  <c r="L166" i="7" a="1"/>
  <c r="L166" i="7" s="1"/>
  <c r="L165" i="7" a="1"/>
  <c r="L165" i="7" s="1"/>
  <c r="L164" i="7" a="1"/>
  <c r="L164" i="7" s="1"/>
  <c r="L163" i="7" a="1"/>
  <c r="L163" i="7" s="1"/>
  <c r="L162" i="7" a="1"/>
  <c r="L162" i="7" s="1"/>
  <c r="L161" i="7" a="1"/>
  <c r="L161" i="7" s="1"/>
  <c r="L160" i="7" a="1"/>
  <c r="L160" i="7" s="1"/>
  <c r="L159" i="7" a="1"/>
  <c r="L159" i="7" s="1"/>
  <c r="L158" i="7" a="1"/>
  <c r="L158" i="7" s="1"/>
  <c r="L157" i="7" a="1"/>
  <c r="L157" i="7" s="1"/>
  <c r="L156" i="7" a="1"/>
  <c r="L156" i="7" s="1"/>
  <c r="L155" i="7" a="1"/>
  <c r="L155" i="7" s="1"/>
  <c r="L154" i="7" a="1"/>
  <c r="L154" i="7" s="1"/>
  <c r="L153" i="7" a="1"/>
  <c r="L153" i="7" s="1"/>
  <c r="L152" i="7" a="1"/>
  <c r="L152" i="7" s="1"/>
  <c r="L151" i="7" a="1"/>
  <c r="L151" i="7" s="1"/>
  <c r="L150" i="7" a="1"/>
  <c r="L150" i="7" s="1"/>
  <c r="L149" i="7" a="1"/>
  <c r="L149" i="7" s="1"/>
  <c r="L148" i="7" a="1"/>
  <c r="L148" i="7" s="1"/>
  <c r="L147" i="7" a="1"/>
  <c r="L147" i="7" s="1"/>
  <c r="L146" i="7" a="1"/>
  <c r="L146" i="7" s="1"/>
  <c r="L145" i="7" a="1"/>
  <c r="L145" i="7" s="1"/>
  <c r="L144" i="7" a="1"/>
  <c r="L144" i="7" s="1"/>
  <c r="L143" i="7" a="1"/>
  <c r="L143" i="7" s="1"/>
  <c r="L142" i="7" a="1"/>
  <c r="L142" i="7" s="1"/>
  <c r="L141" i="7" a="1"/>
  <c r="L141" i="7" s="1"/>
  <c r="L140" i="7" a="1"/>
  <c r="L140" i="7" s="1"/>
  <c r="L139" i="7" a="1"/>
  <c r="L139" i="7" s="1"/>
  <c r="L138" i="7" a="1"/>
  <c r="L138" i="7" s="1"/>
  <c r="L137" i="7" a="1"/>
  <c r="L137" i="7" s="1"/>
  <c r="L136" i="7" a="1"/>
  <c r="L136" i="7" s="1"/>
  <c r="L135" i="7" a="1"/>
  <c r="L135" i="7" s="1"/>
  <c r="L134" i="7" a="1"/>
  <c r="L134" i="7" s="1"/>
  <c r="L133" i="7" a="1"/>
  <c r="L133" i="7" s="1"/>
  <c r="L132" i="7" a="1"/>
  <c r="L132" i="7" s="1"/>
  <c r="L131" i="7" a="1"/>
  <c r="L131" i="7" s="1"/>
  <c r="L130" i="7" a="1"/>
  <c r="L130" i="7" s="1"/>
  <c r="L129" i="7" a="1"/>
  <c r="L129" i="7" s="1"/>
  <c r="L128" i="7" a="1"/>
  <c r="L128" i="7" s="1"/>
  <c r="L127" i="7" a="1"/>
  <c r="L127" i="7" s="1"/>
  <c r="L126" i="7" a="1"/>
  <c r="L126" i="7" s="1"/>
  <c r="L125" i="7" a="1"/>
  <c r="L125" i="7" s="1"/>
  <c r="L124" i="7" a="1"/>
  <c r="L124" i="7" s="1"/>
  <c r="L123" i="7" a="1"/>
  <c r="L123" i="7" s="1"/>
  <c r="L122" i="7" a="1"/>
  <c r="L122" i="7" s="1"/>
  <c r="L121" i="7" a="1"/>
  <c r="L121" i="7" s="1"/>
  <c r="L120" i="7" a="1"/>
  <c r="L120" i="7" s="1"/>
  <c r="L119" i="7" a="1"/>
  <c r="L119" i="7" s="1"/>
  <c r="L118" i="7" a="1"/>
  <c r="L118" i="7" s="1"/>
  <c r="L117" i="7" a="1"/>
  <c r="L117" i="7" s="1"/>
  <c r="L116" i="7" a="1"/>
  <c r="L116" i="7" s="1"/>
  <c r="L115" i="7" a="1"/>
  <c r="L115" i="7" s="1"/>
  <c r="L114" i="7" a="1"/>
  <c r="L114" i="7" s="1"/>
  <c r="L113" i="7" a="1"/>
  <c r="L113" i="7" s="1"/>
  <c r="L112" i="7" a="1"/>
  <c r="L112" i="7" s="1"/>
  <c r="L111" i="7" a="1"/>
  <c r="L111" i="7" s="1"/>
  <c r="L110" i="7" a="1"/>
  <c r="L110" i="7" s="1"/>
  <c r="L109" i="7" a="1"/>
  <c r="L109" i="7" s="1"/>
  <c r="L108" i="7" a="1"/>
  <c r="L108" i="7" s="1"/>
  <c r="L107" i="7" a="1"/>
  <c r="L107" i="7" s="1"/>
  <c r="L106" i="7" a="1"/>
  <c r="L106" i="7" s="1"/>
  <c r="L105" i="7" a="1"/>
  <c r="L105" i="7" s="1"/>
  <c r="L104" i="7" a="1"/>
  <c r="L104" i="7" s="1"/>
  <c r="L103" i="7" a="1"/>
  <c r="L103" i="7" s="1"/>
  <c r="L102" i="7" a="1"/>
  <c r="L102" i="7" s="1"/>
  <c r="L101" i="7" a="1"/>
  <c r="L101" i="7" s="1"/>
  <c r="L100" i="7" a="1"/>
  <c r="L100" i="7" s="1"/>
  <c r="L99" i="7" a="1"/>
  <c r="L99" i="7" s="1"/>
  <c r="L98" i="7" a="1"/>
  <c r="L98" i="7" s="1"/>
  <c r="L97" i="7" a="1"/>
  <c r="L97" i="7" s="1"/>
  <c r="L96" i="7" a="1"/>
  <c r="L96" i="7" s="1"/>
  <c r="L95" i="7" a="1"/>
  <c r="L95" i="7" s="1"/>
  <c r="L94" i="7" a="1"/>
  <c r="L94" i="7" s="1"/>
  <c r="L93" i="7" a="1"/>
  <c r="L93" i="7" s="1"/>
  <c r="L92" i="7" a="1"/>
  <c r="L92" i="7" s="1"/>
  <c r="L91" i="7" a="1"/>
  <c r="L91" i="7" s="1"/>
  <c r="L90" i="7" a="1"/>
  <c r="L90" i="7" s="1"/>
  <c r="L89" i="7" a="1"/>
  <c r="L89" i="7" s="1"/>
  <c r="L88" i="7" a="1"/>
  <c r="L88" i="7" s="1"/>
  <c r="L87" i="7" a="1"/>
  <c r="L87" i="7" s="1"/>
  <c r="L86" i="7" a="1"/>
  <c r="L86" i="7" s="1"/>
  <c r="L85" i="7" a="1"/>
  <c r="L85" i="7" s="1"/>
  <c r="L84" i="7" a="1"/>
  <c r="L84" i="7" s="1"/>
  <c r="L83" i="7" a="1"/>
  <c r="L83" i="7" s="1"/>
  <c r="L82" i="7" a="1"/>
  <c r="L82" i="7" s="1"/>
  <c r="L81" i="7" a="1"/>
  <c r="L81" i="7" s="1"/>
  <c r="L80" i="7" a="1"/>
  <c r="L80" i="7" s="1"/>
  <c r="L79" i="7" a="1"/>
  <c r="L79" i="7" s="1"/>
  <c r="L78" i="7" a="1"/>
  <c r="L78" i="7" s="1"/>
  <c r="L77" i="7" a="1"/>
  <c r="L77" i="7" s="1"/>
  <c r="L76" i="7" a="1"/>
  <c r="L76" i="7" s="1"/>
  <c r="L75" i="7" a="1"/>
  <c r="L75" i="7" s="1"/>
  <c r="L74" i="7" a="1"/>
  <c r="L74" i="7" s="1"/>
  <c r="L73" i="7" a="1"/>
  <c r="L73" i="7" s="1"/>
  <c r="L72" i="7" a="1"/>
  <c r="L72" i="7" s="1"/>
  <c r="L71" i="7" a="1"/>
  <c r="L71" i="7" s="1"/>
  <c r="L70" i="7" a="1"/>
  <c r="L70" i="7" s="1"/>
  <c r="L69" i="7" a="1"/>
  <c r="L69" i="7" s="1"/>
  <c r="L68" i="7" a="1"/>
  <c r="L68" i="7" s="1"/>
  <c r="L67" i="7" a="1"/>
  <c r="L67" i="7" s="1"/>
  <c r="L66" i="7" a="1"/>
  <c r="L66" i="7" s="1"/>
  <c r="L65" i="7" a="1"/>
  <c r="L65" i="7" s="1"/>
  <c r="L64" i="7" a="1"/>
  <c r="L64" i="7" s="1"/>
  <c r="L63" i="7" a="1"/>
  <c r="L63" i="7" s="1"/>
  <c r="L62" i="7" a="1"/>
  <c r="L62" i="7" s="1"/>
  <c r="L61" i="7" a="1"/>
  <c r="L61" i="7" s="1"/>
  <c r="L60" i="7" a="1"/>
  <c r="L60" i="7" s="1"/>
  <c r="L59" i="7" a="1"/>
  <c r="L59" i="7" s="1"/>
  <c r="L58" i="7" a="1"/>
  <c r="L58" i="7" s="1"/>
  <c r="L57" i="7" a="1"/>
  <c r="L57" i="7" s="1"/>
  <c r="L56" i="7" a="1"/>
  <c r="L56" i="7" s="1"/>
  <c r="L55" i="7" a="1"/>
  <c r="L55" i="7" s="1"/>
  <c r="L54" i="7" a="1"/>
  <c r="L54" i="7" s="1"/>
  <c r="L53" i="7" a="1"/>
  <c r="L53" i="7" s="1"/>
  <c r="L52" i="7" a="1"/>
  <c r="L52" i="7" s="1"/>
  <c r="L51" i="7" a="1"/>
  <c r="L51" i="7" s="1"/>
  <c r="L50" i="7" a="1"/>
  <c r="L50" i="7" s="1"/>
  <c r="L49" i="7" a="1"/>
  <c r="L49" i="7" s="1"/>
  <c r="L48" i="7" a="1"/>
  <c r="L48" i="7" s="1"/>
  <c r="L47" i="7" a="1"/>
  <c r="L47" i="7" s="1"/>
  <c r="L46" i="7" a="1"/>
  <c r="L46" i="7" s="1"/>
  <c r="L45" i="7" a="1"/>
  <c r="L45" i="7" s="1"/>
  <c r="L44" i="7" a="1"/>
  <c r="L44" i="7" s="1"/>
  <c r="L43" i="7" a="1"/>
  <c r="L43" i="7" s="1"/>
  <c r="L42" i="7" a="1"/>
  <c r="L42" i="7" s="1"/>
  <c r="L41" i="7" a="1"/>
  <c r="L41" i="7" s="1"/>
  <c r="L40" i="7" a="1"/>
  <c r="L40" i="7" s="1"/>
  <c r="L39" i="7" a="1"/>
  <c r="L39" i="7" s="1"/>
  <c r="L38" i="7" a="1"/>
  <c r="L38" i="7" s="1"/>
  <c r="L37" i="7" a="1"/>
  <c r="L37" i="7" s="1"/>
  <c r="L36" i="7" a="1"/>
  <c r="L36" i="7" s="1"/>
  <c r="L35" i="7" a="1"/>
  <c r="L35" i="7" s="1"/>
  <c r="L34" i="7" a="1"/>
  <c r="L34" i="7" s="1"/>
  <c r="L33" i="7" a="1"/>
  <c r="L33" i="7" s="1"/>
  <c r="L32" i="7" a="1"/>
  <c r="L32" i="7" s="1"/>
  <c r="L31" i="7" a="1"/>
  <c r="L31" i="7" s="1"/>
  <c r="L30" i="7" a="1"/>
  <c r="L30" i="7" s="1"/>
  <c r="L29" i="7" a="1"/>
  <c r="L29" i="7" s="1"/>
  <c r="L28" i="7" a="1"/>
  <c r="L28" i="7" s="1"/>
  <c r="L27" i="7" a="1"/>
  <c r="L27" i="7" s="1"/>
  <c r="L26" i="7" a="1"/>
  <c r="L26" i="7" s="1"/>
  <c r="L25" i="7" a="1"/>
  <c r="L25" i="7" s="1"/>
  <c r="L24" i="7" a="1"/>
  <c r="L24" i="7" s="1"/>
  <c r="L23" i="7" a="1"/>
  <c r="L23" i="7" s="1"/>
  <c r="L22" i="7" a="1"/>
  <c r="L22" i="7" s="1"/>
  <c r="L21" i="7" a="1"/>
  <c r="L21" i="7" s="1"/>
  <c r="L20" i="7" a="1"/>
  <c r="L20" i="7" s="1"/>
  <c r="L19" i="7" a="1"/>
  <c r="L19" i="7" s="1"/>
  <c r="L18" i="7" a="1"/>
  <c r="L18" i="7" s="1"/>
  <c r="L17" i="7" a="1"/>
  <c r="L17" i="7" s="1"/>
  <c r="L16" i="7" a="1"/>
  <c r="L16" i="7" s="1"/>
  <c r="L15" i="7" a="1"/>
  <c r="L15" i="7" s="1"/>
  <c r="L14" i="7" a="1"/>
  <c r="L14" i="7" s="1"/>
  <c r="L13" i="7" a="1"/>
  <c r="L13" i="7" s="1"/>
  <c r="L12" i="7" a="1"/>
  <c r="L12" i="7" s="1"/>
  <c r="L11" i="7" a="1"/>
  <c r="L11" i="7" s="1"/>
  <c r="L10" i="7" a="1"/>
  <c r="L10" i="7" s="1"/>
  <c r="L9" i="7" a="1"/>
  <c r="L9" i="7" s="1"/>
  <c r="L8" i="7" a="1"/>
  <c r="L8" i="7" s="1"/>
  <c r="L7" i="7" a="1"/>
  <c r="L7" i="7" s="1"/>
  <c r="L6" i="7" a="1"/>
  <c r="L6" i="7" s="1"/>
  <c r="L5" i="7" a="1"/>
  <c r="L5" i="7" s="1"/>
  <c r="L4" i="7" a="1"/>
  <c r="L4" i="7" s="1"/>
  <c r="L3" i="7" a="1"/>
  <c r="L3" i="7" s="1"/>
  <c r="L2" i="7" a="1"/>
  <c r="L2" i="7" s="1"/>
  <c r="K2" i="5" a="1"/>
  <c r="K2" i="5" s="1"/>
  <c r="K3" i="5" a="1"/>
  <c r="K3" i="5" s="1"/>
  <c r="K4" i="5" a="1"/>
  <c r="K4" i="5" s="1"/>
  <c r="K5" i="5" a="1"/>
  <c r="K5" i="5" s="1"/>
  <c r="K6" i="5" a="1"/>
  <c r="K6" i="5" s="1"/>
  <c r="K7" i="5" a="1"/>
  <c r="K7" i="5" s="1"/>
  <c r="K8" i="5" a="1"/>
  <c r="K8" i="5" s="1"/>
  <c r="K9" i="5" a="1"/>
  <c r="K9" i="5" s="1"/>
  <c r="K10" i="5" a="1"/>
  <c r="K10" i="5" s="1"/>
  <c r="K11" i="5" a="1"/>
  <c r="K11" i="5" s="1"/>
  <c r="K12" i="5" a="1"/>
  <c r="K12" i="5" s="1"/>
  <c r="K13" i="5" a="1"/>
  <c r="K13" i="5" s="1"/>
  <c r="K14" i="5" a="1"/>
  <c r="K14"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26" i="5" a="1"/>
  <c r="K26" i="5" s="1"/>
  <c r="K27" i="5" a="1"/>
  <c r="K27" i="5" s="1"/>
  <c r="K28" i="5" a="1"/>
  <c r="K28" i="5" s="1"/>
  <c r="K29" i="5" a="1"/>
  <c r="K29" i="5" s="1"/>
  <c r="K30" i="5" a="1"/>
  <c r="K30" i="5" s="1"/>
  <c r="K31" i="5" a="1"/>
  <c r="K31" i="5" s="1"/>
  <c r="K32" i="5" a="1"/>
  <c r="K32" i="5" s="1"/>
  <c r="K33" i="5" a="1"/>
  <c r="K33" i="5" s="1"/>
  <c r="K34" i="5" a="1"/>
  <c r="K34" i="5" s="1"/>
  <c r="K35" i="5" a="1"/>
  <c r="K35" i="5" s="1"/>
  <c r="K36" i="5" a="1"/>
  <c r="K36"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c r="K72" i="5" a="1"/>
  <c r="K72" i="5" s="1"/>
  <c r="K73" i="5" a="1"/>
  <c r="K73" i="5" s="1"/>
  <c r="K74" i="5" a="1"/>
  <c r="K74" i="5"/>
  <c r="K75" i="5" a="1"/>
  <c r="K75" i="5"/>
  <c r="K76" i="5" a="1"/>
  <c r="K76" i="5" s="1"/>
  <c r="K77" i="5" a="1"/>
  <c r="K77" i="5" s="1"/>
  <c r="K78" i="5" a="1"/>
  <c r="K78" i="5" s="1"/>
  <c r="K79" i="5" a="1"/>
  <c r="K79" i="5" s="1"/>
  <c r="K80" i="5" a="1"/>
  <c r="K80" i="5"/>
  <c r="K81" i="5" a="1"/>
  <c r="K81" i="5" s="1"/>
  <c r="K82" i="5" a="1"/>
  <c r="K82" i="5" s="1"/>
  <c r="K83" i="5" a="1"/>
  <c r="K83" i="5" s="1"/>
  <c r="K84" i="5" a="1"/>
  <c r="K84" i="5"/>
  <c r="K85" i="5" a="1"/>
  <c r="K85" i="5" s="1"/>
  <c r="K86" i="5" a="1"/>
  <c r="K86" i="5" s="1"/>
  <c r="K87" i="5" a="1"/>
  <c r="K87" i="5"/>
  <c r="K88" i="5" a="1"/>
  <c r="K88" i="5" s="1"/>
  <c r="K89" i="5" a="1"/>
  <c r="K89" i="5" s="1"/>
  <c r="K90" i="5" a="1"/>
  <c r="K90" i="5" s="1"/>
  <c r="K91" i="5" a="1"/>
  <c r="K91" i="5" s="1"/>
  <c r="K92" i="5" a="1"/>
  <c r="K92" i="5" s="1"/>
  <c r="K93" i="5" a="1"/>
  <c r="K93" i="5" s="1"/>
  <c r="K94" i="5" a="1"/>
  <c r="K94" i="5"/>
  <c r="K95" i="5" a="1"/>
  <c r="K95" i="5"/>
  <c r="K96" i="5" a="1"/>
  <c r="K96" i="5"/>
  <c r="K97" i="5" a="1"/>
  <c r="K97" i="5" s="1"/>
  <c r="K98" i="5" a="1"/>
  <c r="K98" i="5"/>
  <c r="K99" i="5" a="1"/>
  <c r="K99" i="5" s="1"/>
  <c r="K100" i="5" a="1"/>
  <c r="K100" i="5" s="1"/>
  <c r="K101" i="5" a="1"/>
  <c r="K101" i="5" s="1"/>
  <c r="K102" i="5" a="1"/>
  <c r="K102" i="5" s="1"/>
  <c r="K103" i="5" a="1"/>
  <c r="K103" i="5" s="1"/>
  <c r="K104" i="5" a="1"/>
  <c r="K104" i="5"/>
  <c r="K105" i="5" a="1"/>
  <c r="K105" i="5" s="1"/>
  <c r="K106" i="5" a="1"/>
  <c r="K106" i="5"/>
  <c r="K107" i="5" a="1"/>
  <c r="K107" i="5" s="1"/>
  <c r="K108" i="5" a="1"/>
  <c r="K108" i="5" s="1"/>
  <c r="K109" i="5" a="1"/>
  <c r="K109" i="5" s="1"/>
  <c r="K110" i="5" a="1"/>
  <c r="K110" i="5" s="1"/>
  <c r="K111" i="5" a="1"/>
  <c r="K111" i="5" s="1"/>
  <c r="K112" i="5" a="1"/>
  <c r="K112" i="5"/>
  <c r="K113" i="5" a="1"/>
  <c r="K113" i="5" s="1"/>
  <c r="K114" i="5" a="1"/>
  <c r="K114" i="5" s="1"/>
  <c r="K115" i="5" a="1"/>
  <c r="K115" i="5"/>
  <c r="K116" i="5" a="1"/>
  <c r="K116" i="5"/>
  <c r="K117" i="5" a="1"/>
  <c r="K117" i="5" s="1"/>
  <c r="K118" i="5" a="1"/>
  <c r="K118" i="5" s="1"/>
  <c r="K119" i="5" a="1"/>
  <c r="K119" i="5" s="1"/>
  <c r="K120" i="5" a="1"/>
  <c r="K120" i="5" s="1"/>
  <c r="K121" i="5" a="1"/>
  <c r="K121" i="5" s="1"/>
  <c r="K122" i="5" a="1"/>
  <c r="K122" i="5" s="1"/>
  <c r="K123" i="5" a="1"/>
  <c r="K123" i="5" s="1"/>
  <c r="K124" i="5" a="1"/>
  <c r="K124" i="5"/>
  <c r="K125" i="5" a="1"/>
  <c r="K125" i="5" s="1"/>
  <c r="K126" i="5" a="1"/>
  <c r="K126" i="5" s="1"/>
  <c r="K127" i="5" a="1"/>
  <c r="K127" i="5" s="1"/>
  <c r="K128" i="5" a="1"/>
  <c r="K128" i="5" s="1"/>
  <c r="K129" i="5" a="1"/>
  <c r="K129" i="5" s="1"/>
  <c r="K130" i="5" a="1"/>
  <c r="K130" i="5" s="1"/>
  <c r="K131" i="5" a="1"/>
  <c r="K131" i="5" s="1"/>
  <c r="K132" i="5" a="1"/>
  <c r="K132" i="5" s="1"/>
  <c r="K133" i="5" a="1"/>
  <c r="K133" i="5" s="1"/>
  <c r="K134" i="5" a="1"/>
  <c r="K134" i="5" s="1"/>
  <c r="K135" i="5" a="1"/>
  <c r="K135" i="5" s="1"/>
  <c r="K136" i="5" a="1"/>
  <c r="K136" i="5" s="1"/>
  <c r="K137" i="5" a="1"/>
  <c r="K137" i="5" s="1"/>
  <c r="K138" i="5" a="1"/>
  <c r="K138" i="5"/>
  <c r="K139" i="5" a="1"/>
  <c r="K139" i="5"/>
  <c r="K140" i="5" a="1"/>
  <c r="K140" i="5" s="1"/>
  <c r="K141" i="5" a="1"/>
  <c r="K141" i="5" s="1"/>
  <c r="K142" i="5" a="1"/>
  <c r="K142" i="5" s="1"/>
  <c r="K143" i="5" a="1"/>
  <c r="K143" i="5" s="1"/>
  <c r="K144" i="5" a="1"/>
  <c r="K144" i="5"/>
  <c r="K145" i="5" a="1"/>
  <c r="K145" i="5" s="1"/>
  <c r="K146" i="5" a="1"/>
  <c r="K146" i="5" s="1"/>
  <c r="K147" i="5" a="1"/>
  <c r="K147" i="5"/>
  <c r="K148" i="5" a="1"/>
  <c r="K148" i="5"/>
  <c r="K149" i="5" a="1"/>
  <c r="K149" i="5" s="1"/>
  <c r="K150" i="5" a="1"/>
  <c r="K150" i="5" s="1"/>
  <c r="K151" i="5" a="1"/>
  <c r="K151" i="5" s="1"/>
  <c r="K152" i="5" a="1"/>
  <c r="K152" i="5" s="1"/>
  <c r="K153" i="5" a="1"/>
  <c r="K153" i="5" s="1"/>
  <c r="K154" i="5" a="1"/>
  <c r="K154" i="5" s="1"/>
  <c r="K155" i="5" a="1"/>
  <c r="K155" i="5" s="1"/>
  <c r="K156" i="5" a="1"/>
  <c r="K156" i="5"/>
  <c r="K157" i="5" a="1"/>
  <c r="K157" i="5" s="1"/>
  <c r="K158" i="5" a="1"/>
  <c r="K158" i="5" s="1"/>
  <c r="K159" i="5" a="1"/>
  <c r="K159" i="5" s="1"/>
  <c r="K160" i="5" a="1"/>
  <c r="K160" i="5" s="1"/>
  <c r="K161" i="5" a="1"/>
  <c r="K161" i="5" s="1"/>
  <c r="K162" i="5" a="1"/>
  <c r="K162" i="5" s="1"/>
  <c r="K163" i="5" a="1"/>
  <c r="K163" i="5" s="1"/>
  <c r="K164" i="5" a="1"/>
  <c r="K164" i="5" s="1"/>
  <c r="K165" i="5" a="1"/>
  <c r="K165" i="5" s="1"/>
  <c r="K166" i="5" a="1"/>
  <c r="K166" i="5" s="1"/>
  <c r="K167" i="5" a="1"/>
  <c r="K167" i="5"/>
  <c r="K168" i="5" a="1"/>
  <c r="K168" i="5" s="1"/>
  <c r="K169" i="5" a="1"/>
  <c r="K169" i="5" s="1"/>
  <c r="K170" i="5" a="1"/>
  <c r="K170" i="5"/>
  <c r="K171" i="5" a="1"/>
  <c r="K171" i="5" s="1"/>
  <c r="K172" i="5" a="1"/>
  <c r="K172" i="5" s="1"/>
  <c r="K173" i="5" a="1"/>
  <c r="K173" i="5" s="1"/>
  <c r="K174" i="5" a="1"/>
  <c r="K174" i="5" s="1"/>
  <c r="K175" i="5" a="1"/>
  <c r="K175" i="5" s="1"/>
  <c r="K176" i="5" a="1"/>
  <c r="K176" i="5" s="1"/>
  <c r="K177" i="5" a="1"/>
  <c r="K177" i="5" s="1"/>
  <c r="K178" i="5" a="1"/>
  <c r="K178" i="5" s="1"/>
  <c r="K179" i="5" a="1"/>
  <c r="K179" i="5" s="1"/>
  <c r="K180" i="5" a="1"/>
  <c r="K180" i="5" s="1"/>
  <c r="K181" i="5" a="1"/>
  <c r="K181" i="5" s="1"/>
  <c r="K182" i="5" a="1"/>
  <c r="K182" i="5" s="1"/>
  <c r="K183" i="5" a="1"/>
  <c r="K183" i="5" s="1"/>
  <c r="K184" i="5" a="1"/>
  <c r="K184" i="5" s="1"/>
  <c r="K185" i="5" a="1"/>
  <c r="K185" i="5" s="1"/>
  <c r="K186" i="5" a="1"/>
  <c r="K186" i="5" s="1"/>
  <c r="K187" i="5" a="1"/>
  <c r="K187" i="5" s="1"/>
  <c r="K188" i="5" a="1"/>
  <c r="K188" i="5"/>
  <c r="K189" i="5" a="1"/>
  <c r="K189" i="5" s="1"/>
  <c r="K190" i="5" a="1"/>
  <c r="K190" i="5" s="1"/>
  <c r="K191" i="5" a="1"/>
  <c r="K191" i="5" s="1"/>
  <c r="K192" i="5" a="1"/>
  <c r="K192" i="5" s="1"/>
  <c r="K193" i="5" a="1"/>
  <c r="K193" i="5" s="1"/>
  <c r="K194" i="5" a="1"/>
  <c r="K194" i="5" s="1"/>
  <c r="K195" i="5" a="1"/>
  <c r="K195" i="5" s="1"/>
  <c r="K196" i="5" a="1"/>
  <c r="K196" i="5" s="1"/>
  <c r="K197" i="5" a="1"/>
  <c r="K197" i="5" s="1"/>
  <c r="K198" i="5" a="1"/>
  <c r="K198" i="5" s="1"/>
  <c r="K199" i="5" a="1"/>
  <c r="K199" i="5" s="1"/>
  <c r="K200" i="5" a="1"/>
  <c r="K200" i="5" s="1"/>
  <c r="K201" i="5" a="1"/>
  <c r="K201" i="5" s="1"/>
  <c r="K202" i="5" a="1"/>
  <c r="K202" i="5" s="1"/>
  <c r="K203" i="5" a="1"/>
  <c r="K203" i="5" s="1"/>
  <c r="K204" i="5" a="1"/>
  <c r="K204" i="5" s="1"/>
  <c r="K205" i="5" a="1"/>
  <c r="K205" i="5" s="1"/>
  <c r="K206" i="5" a="1"/>
  <c r="K206" i="5" s="1"/>
  <c r="K207" i="5" a="1"/>
  <c r="K207" i="5" s="1"/>
  <c r="K208" i="5" a="1"/>
  <c r="K208" i="5" s="1"/>
  <c r="K209" i="5" a="1"/>
  <c r="K209" i="5" s="1"/>
  <c r="K210" i="5" a="1"/>
  <c r="K210" i="5" s="1"/>
  <c r="K211" i="5" a="1"/>
  <c r="K211" i="5" s="1"/>
  <c r="K212" i="5" a="1"/>
  <c r="K212" i="5"/>
  <c r="K213" i="5" a="1"/>
  <c r="K213" i="5" s="1"/>
  <c r="K214" i="5" a="1"/>
  <c r="K214" i="5" s="1"/>
  <c r="K215" i="5" a="1"/>
  <c r="K215" i="5" s="1"/>
  <c r="K216" i="5" a="1"/>
  <c r="K216" i="5" s="1"/>
  <c r="K217" i="5" a="1"/>
  <c r="K217" i="5" s="1"/>
  <c r="K218" i="5" a="1"/>
  <c r="K218" i="5" s="1"/>
  <c r="K219" i="5" a="1"/>
  <c r="K219" i="5" s="1"/>
  <c r="K220" i="5" a="1"/>
  <c r="K220" i="5"/>
  <c r="K221" i="5" a="1"/>
  <c r="K221" i="5" s="1"/>
  <c r="K222" i="5" a="1"/>
  <c r="K222" i="5" s="1"/>
  <c r="K223" i="5" a="1"/>
  <c r="K223" i="5" s="1"/>
  <c r="K224" i="5" a="1"/>
  <c r="K224" i="5" s="1"/>
  <c r="K225" i="5" a="1"/>
  <c r="K225" i="5" s="1"/>
  <c r="K226" i="5" a="1"/>
  <c r="K226" i="5"/>
  <c r="K227" i="5" a="1"/>
  <c r="K227" i="5"/>
  <c r="K228" i="5" a="1"/>
  <c r="K228" i="5" s="1"/>
  <c r="K229" i="5" a="1"/>
  <c r="K229" i="5" s="1"/>
  <c r="K230" i="5" a="1"/>
  <c r="K230" i="5" s="1"/>
  <c r="K231" i="5" a="1"/>
  <c r="K231" i="5" s="1"/>
  <c r="K232" i="5" a="1"/>
  <c r="K232" i="5" s="1"/>
  <c r="K233" i="5" a="1"/>
  <c r="K233" i="5" s="1"/>
  <c r="K234" i="5" a="1"/>
  <c r="K234" i="5" s="1"/>
  <c r="K235" i="5" a="1"/>
  <c r="K235" i="5" s="1"/>
  <c r="K236" i="5" a="1"/>
  <c r="K236" i="5" s="1"/>
  <c r="K237" i="5" a="1"/>
  <c r="K237" i="5" s="1"/>
  <c r="K238" i="5" a="1"/>
  <c r="K238" i="5" s="1"/>
  <c r="K239" i="5" a="1"/>
  <c r="K239" i="5" s="1"/>
  <c r="K240" i="5" a="1"/>
  <c r="K240" i="5" s="1"/>
  <c r="K241" i="5" a="1"/>
  <c r="K241" i="5" s="1"/>
  <c r="K242" i="5" a="1"/>
  <c r="K242" i="5" s="1"/>
  <c r="K243" i="5" a="1"/>
  <c r="K243" i="5" s="1"/>
  <c r="K244" i="5" a="1"/>
  <c r="K244" i="5" s="1"/>
  <c r="K245" i="5" a="1"/>
  <c r="K245" i="5" s="1"/>
  <c r="K246" i="5" a="1"/>
  <c r="K246" i="5" s="1"/>
  <c r="K247" i="5" a="1"/>
  <c r="K247" i="5" s="1"/>
  <c r="K248" i="5" a="1"/>
  <c r="K248" i="5" s="1"/>
  <c r="K249" i="5" a="1"/>
  <c r="K249" i="5" s="1"/>
  <c r="K250" i="5" a="1"/>
  <c r="K250" i="5" s="1"/>
  <c r="K251" i="5" a="1"/>
  <c r="K251" i="5" s="1"/>
  <c r="K252" i="5" a="1"/>
  <c r="K252" i="5"/>
  <c r="K253" i="5" a="1"/>
  <c r="K253" i="5" s="1"/>
  <c r="K254" i="5" a="1"/>
  <c r="K254" i="5" s="1"/>
  <c r="K255" i="5" a="1"/>
  <c r="K255" i="5" s="1"/>
  <c r="K256" i="5" a="1"/>
  <c r="K256" i="5" s="1"/>
  <c r="K257" i="5" a="1"/>
  <c r="K257" i="5" s="1"/>
  <c r="K258" i="5" a="1"/>
  <c r="K258" i="5"/>
  <c r="K259" i="5" a="1"/>
  <c r="K259" i="5"/>
  <c r="K260" i="5" a="1"/>
  <c r="K260" i="5" s="1"/>
  <c r="K261" i="5" a="1"/>
  <c r="K261" i="5" s="1"/>
  <c r="K262" i="5" a="1"/>
  <c r="K262" i="5" s="1"/>
  <c r="K263" i="5" a="1"/>
  <c r="K263" i="5" s="1"/>
  <c r="K264" i="5" a="1"/>
  <c r="K264" i="5" s="1"/>
  <c r="K265" i="5" a="1"/>
  <c r="K265" i="5" s="1"/>
  <c r="K266" i="5" a="1"/>
  <c r="K266" i="5" s="1"/>
  <c r="K267" i="5" a="1"/>
  <c r="K267" i="5" s="1"/>
  <c r="K268" i="5" a="1"/>
  <c r="K268" i="5" s="1"/>
  <c r="K269" i="5" a="1"/>
  <c r="K269" i="5" s="1"/>
  <c r="K270" i="5" a="1"/>
  <c r="K270" i="5" s="1"/>
  <c r="K271" i="5" a="1"/>
  <c r="K271" i="5" s="1"/>
  <c r="K272" i="5" a="1"/>
  <c r="K272" i="5"/>
  <c r="K273" i="5" a="1"/>
  <c r="K273" i="5" s="1"/>
  <c r="K274" i="5" a="1"/>
  <c r="K274" i="5" s="1"/>
  <c r="K275" i="5" a="1"/>
  <c r="K275" i="5"/>
  <c r="K276" i="5" a="1"/>
  <c r="K276" i="5"/>
  <c r="K277" i="5" a="1"/>
  <c r="K277" i="5" s="1"/>
  <c r="K278" i="5" a="1"/>
  <c r="K278" i="5" s="1"/>
  <c r="K279" i="5" a="1"/>
  <c r="K279" i="5" s="1"/>
  <c r="K280" i="5" a="1"/>
  <c r="K280" i="5" s="1"/>
  <c r="K281" i="5" a="1"/>
  <c r="K281" i="5" s="1"/>
  <c r="K282" i="5" a="1"/>
  <c r="K282" i="5" s="1"/>
  <c r="K283" i="5" a="1"/>
  <c r="K283" i="5" s="1"/>
  <c r="K284" i="5" a="1"/>
  <c r="K284" i="5"/>
  <c r="K285" i="5" a="1"/>
  <c r="K285" i="5" s="1"/>
  <c r="K286" i="5" a="1"/>
  <c r="K286" i="5" s="1"/>
  <c r="K287" i="5" a="1"/>
  <c r="K287" i="5" s="1"/>
  <c r="K288" i="5" a="1"/>
  <c r="K288" i="5" s="1"/>
  <c r="K289" i="5" a="1"/>
  <c r="K289" i="5" s="1"/>
  <c r="K290" i="5" a="1"/>
  <c r="K290" i="5"/>
  <c r="K291" i="5" a="1"/>
  <c r="K291" i="5" s="1"/>
  <c r="K292" i="5" a="1"/>
  <c r="K292" i="5" s="1"/>
  <c r="K293" i="5" a="1"/>
  <c r="K293" i="5" s="1"/>
  <c r="K294" i="5" a="1"/>
  <c r="K294" i="5" s="1"/>
  <c r="K295" i="5" a="1"/>
  <c r="K295" i="5"/>
  <c r="K296" i="5" a="1"/>
  <c r="K296" i="5" s="1"/>
  <c r="K297" i="5" a="1"/>
  <c r="K297" i="5" s="1"/>
  <c r="K298" i="5" a="1"/>
  <c r="K298" i="5"/>
  <c r="K299" i="5" a="1"/>
  <c r="K299" i="5"/>
  <c r="K300" i="5" a="1"/>
  <c r="K300" i="5"/>
  <c r="K301" i="5" a="1"/>
  <c r="K301" i="5" s="1"/>
  <c r="K302" i="5" a="1"/>
  <c r="K302" i="5" s="1"/>
  <c r="K303" i="5" a="1"/>
  <c r="K303" i="5" s="1"/>
  <c r="K304" i="5" a="1"/>
  <c r="K304" i="5" s="1"/>
  <c r="K305" i="5" a="1"/>
  <c r="K305" i="5" s="1"/>
  <c r="K306" i="5" a="1"/>
  <c r="K306" i="5"/>
  <c r="K307" i="5" a="1"/>
  <c r="K307" i="5"/>
  <c r="K308" i="5" a="1"/>
  <c r="K308" i="5"/>
  <c r="K309" i="5" a="1"/>
  <c r="K309" i="5" s="1"/>
  <c r="K310" i="5" a="1"/>
  <c r="K310" i="5" s="1"/>
  <c r="K311" i="5" a="1"/>
  <c r="K311" i="5" s="1"/>
  <c r="K312" i="5" a="1"/>
  <c r="K312" i="5" s="1"/>
  <c r="K313" i="5" a="1"/>
  <c r="K313" i="5" s="1"/>
  <c r="K314" i="5" a="1"/>
  <c r="K314" i="5" s="1"/>
  <c r="K315" i="5" a="1"/>
  <c r="K315" i="5" s="1"/>
  <c r="K316" i="5" a="1"/>
  <c r="K316" i="5"/>
  <c r="K317" i="5" a="1"/>
  <c r="K317" i="5" s="1"/>
  <c r="K318" i="5" a="1"/>
  <c r="K318" i="5" s="1"/>
  <c r="K319" i="5" a="1"/>
  <c r="K319" i="5"/>
  <c r="K320" i="5" a="1"/>
  <c r="K320" i="5" s="1"/>
  <c r="K321" i="5" a="1"/>
  <c r="K321" i="5" s="1"/>
  <c r="K322" i="5" a="1"/>
  <c r="K322" i="5"/>
  <c r="K323" i="5" a="1"/>
  <c r="K323" i="5"/>
  <c r="K324" i="5" a="1"/>
  <c r="K324" i="5" s="1"/>
  <c r="K325" i="5" a="1"/>
  <c r="K325" i="5" s="1"/>
  <c r="K326" i="5" a="1"/>
  <c r="K326" i="5" s="1"/>
  <c r="K327" i="5" a="1"/>
  <c r="K327" i="5" s="1"/>
  <c r="K328" i="5" a="1"/>
  <c r="K328" i="5" s="1"/>
  <c r="K329" i="5" a="1"/>
  <c r="K329" i="5" s="1"/>
  <c r="K330" i="5" a="1"/>
  <c r="K330" i="5" s="1"/>
  <c r="K331" i="5" a="1"/>
  <c r="K331" i="5" s="1"/>
  <c r="K332" i="5" a="1"/>
  <c r="K332" i="5" s="1"/>
  <c r="K333" i="5" a="1"/>
  <c r="K333" i="5" s="1"/>
  <c r="K334" i="5" a="1"/>
  <c r="K334" i="5" s="1"/>
  <c r="K335" i="5" a="1"/>
  <c r="K335" i="5" s="1"/>
  <c r="K336" i="5" a="1"/>
  <c r="K336" i="5" s="1"/>
  <c r="K337" i="5" a="1"/>
  <c r="K337" i="5" s="1"/>
  <c r="K338" i="5" a="1"/>
  <c r="K338" i="5" s="1"/>
  <c r="K339" i="5" a="1"/>
  <c r="K339" i="5" s="1"/>
  <c r="K340" i="5" a="1"/>
  <c r="K340" i="5"/>
  <c r="K341" i="5" a="1"/>
  <c r="K341" i="5" s="1"/>
  <c r="K342" i="5" a="1"/>
  <c r="K342" i="5" s="1"/>
  <c r="K343" i="5" a="1"/>
  <c r="K343" i="5"/>
  <c r="K344" i="5" a="1"/>
  <c r="K344" i="5" s="1"/>
  <c r="K345" i="5" a="1"/>
  <c r="K345" i="5" s="1"/>
  <c r="K346" i="5" a="1"/>
  <c r="K346" i="5" s="1"/>
  <c r="K347" i="5" a="1"/>
  <c r="K347" i="5" s="1"/>
  <c r="K348" i="5" a="1"/>
  <c r="K348" i="5" s="1"/>
  <c r="K349" i="5" a="1"/>
  <c r="K349" i="5" s="1"/>
  <c r="K350" i="5" a="1"/>
  <c r="K350" i="5" s="1"/>
  <c r="K351" i="5" a="1"/>
  <c r="K351" i="5" s="1"/>
  <c r="K352" i="5" a="1"/>
  <c r="K352" i="5" s="1"/>
  <c r="K353" i="5" a="1"/>
  <c r="K353" i="5" s="1"/>
  <c r="K354" i="5" a="1"/>
  <c r="K354" i="5"/>
  <c r="K355" i="5" a="1"/>
  <c r="K355" i="5" s="1"/>
  <c r="K356" i="5" a="1"/>
  <c r="K356" i="5" s="1"/>
  <c r="K357" i="5" a="1"/>
  <c r="K357" i="5" s="1"/>
  <c r="K358" i="5" a="1"/>
  <c r="K358" i="5" s="1"/>
  <c r="K359" i="5" a="1"/>
  <c r="K359" i="5" s="1"/>
  <c r="K360" i="5" a="1"/>
  <c r="K360" i="5" s="1"/>
  <c r="K361" i="5" a="1"/>
  <c r="K361" i="5" s="1"/>
  <c r="K362" i="5" a="1"/>
  <c r="K362" i="5" s="1"/>
  <c r="K363" i="5" a="1"/>
  <c r="K363" i="5" s="1"/>
  <c r="K364" i="5" a="1"/>
  <c r="K364" i="5" s="1"/>
  <c r="K365" i="5" a="1"/>
  <c r="K365" i="5" s="1"/>
  <c r="K366" i="5" a="1"/>
  <c r="K366" i="5" s="1"/>
  <c r="K367" i="5" a="1"/>
  <c r="K367" i="5" s="1"/>
  <c r="K368" i="5" a="1"/>
  <c r="K368" i="5" s="1"/>
  <c r="K369" i="5" a="1"/>
  <c r="K369" i="5" s="1"/>
  <c r="K370" i="5" a="1"/>
  <c r="K370" i="5" s="1"/>
  <c r="K371" i="5" a="1"/>
  <c r="K371" i="5" s="1"/>
  <c r="K372" i="5" a="1"/>
  <c r="K372" i="5" s="1"/>
  <c r="K373" i="5" a="1"/>
  <c r="K373" i="5" s="1"/>
  <c r="K374" i="5" a="1"/>
  <c r="K374" i="5" s="1"/>
  <c r="K375" i="5" a="1"/>
  <c r="K375" i="5"/>
  <c r="K376" i="5" a="1"/>
  <c r="K376" i="5" s="1"/>
  <c r="K377" i="5" a="1"/>
  <c r="K377" i="5" s="1"/>
  <c r="K378" i="5" a="1"/>
  <c r="K378" i="5" s="1"/>
  <c r="K379" i="5" a="1"/>
  <c r="K379" i="5" s="1"/>
  <c r="K380" i="5" a="1"/>
  <c r="K380" i="5" s="1"/>
  <c r="K381" i="5" a="1"/>
  <c r="K381" i="5" s="1"/>
  <c r="K382" i="5" a="1"/>
  <c r="K382" i="5" s="1"/>
  <c r="K383" i="5" a="1"/>
  <c r="K383" i="5" s="1"/>
  <c r="K384" i="5" a="1"/>
  <c r="K384" i="5" s="1"/>
  <c r="K385" i="5" a="1"/>
  <c r="K385" i="5" s="1"/>
  <c r="K386" i="5" a="1"/>
  <c r="K386" i="5"/>
  <c r="K387" i="5" a="1"/>
  <c r="K387" i="5"/>
  <c r="K388" i="5" a="1"/>
  <c r="K388" i="5" s="1"/>
  <c r="K389" i="5" a="1"/>
  <c r="K389" i="5" s="1"/>
  <c r="K390" i="5" a="1"/>
  <c r="K390" i="5" s="1"/>
  <c r="K391" i="5" a="1"/>
  <c r="K391" i="5" s="1"/>
  <c r="K392" i="5" a="1"/>
  <c r="K392" i="5" s="1"/>
  <c r="K393" i="5" a="1"/>
  <c r="K393" i="5"/>
  <c r="K394" i="5" a="1"/>
  <c r="K394" i="5" s="1"/>
  <c r="K395" i="5" a="1"/>
  <c r="K395" i="5" s="1"/>
  <c r="K396" i="5" a="1"/>
  <c r="K396" i="5" s="1"/>
  <c r="K397" i="5" a="1"/>
  <c r="K397" i="5" s="1"/>
  <c r="K398" i="5" a="1"/>
  <c r="K398" i="5" s="1"/>
  <c r="K399" i="5" a="1"/>
  <c r="K399" i="5" s="1"/>
  <c r="K400" i="5" a="1"/>
  <c r="K400" i="5" s="1"/>
  <c r="K401" i="5" a="1"/>
  <c r="K401" i="5" s="1"/>
  <c r="K402" i="5" a="1"/>
  <c r="K402" i="5" s="1"/>
  <c r="K403" i="5" a="1"/>
  <c r="K403" i="5" s="1"/>
  <c r="K404" i="5" a="1"/>
  <c r="K404" i="5" s="1"/>
  <c r="K405" i="5" a="1"/>
  <c r="K405" i="5" s="1"/>
  <c r="K406" i="5" a="1"/>
  <c r="K406" i="5" s="1"/>
  <c r="K407" i="5" a="1"/>
  <c r="K407" i="5" s="1"/>
  <c r="K408" i="5" a="1"/>
  <c r="K408" i="5" s="1"/>
  <c r="K409" i="5" a="1"/>
  <c r="K409" i="5"/>
  <c r="K410" i="5" a="1"/>
  <c r="K410" i="5"/>
  <c r="K411" i="5" a="1"/>
  <c r="K411" i="5"/>
  <c r="K412" i="5" a="1"/>
  <c r="K412" i="5" s="1"/>
  <c r="K413" i="5" a="1"/>
  <c r="K413" i="5" s="1"/>
  <c r="K414" i="5" a="1"/>
  <c r="K414" i="5" s="1"/>
  <c r="K415" i="5" a="1"/>
  <c r="K415" i="5" s="1"/>
  <c r="K416" i="5" a="1"/>
  <c r="K416" i="5" s="1"/>
  <c r="K417" i="5" a="1"/>
  <c r="K417" i="5" s="1"/>
  <c r="K418" i="5" a="1"/>
  <c r="K418" i="5"/>
  <c r="K419" i="5" a="1"/>
  <c r="K419" i="5"/>
  <c r="K420" i="5" a="1"/>
  <c r="K420" i="5" s="1"/>
  <c r="K421" i="5" a="1"/>
  <c r="K421" i="5" s="1"/>
  <c r="K422" i="5" a="1"/>
  <c r="K422" i="5" s="1"/>
  <c r="K423" i="5" a="1"/>
  <c r="K423" i="5" s="1"/>
  <c r="K424" i="5" a="1"/>
  <c r="K424" i="5" s="1"/>
  <c r="K425" i="5" a="1"/>
  <c r="K425" i="5"/>
  <c r="K426" i="5" a="1"/>
  <c r="K426" i="5" s="1"/>
  <c r="K427" i="5" a="1"/>
  <c r="K427" i="5" s="1"/>
  <c r="K428" i="5" a="1"/>
  <c r="K428" i="5" s="1"/>
  <c r="K429" i="5" a="1"/>
  <c r="K429" i="5" s="1"/>
  <c r="K430" i="5" a="1"/>
  <c r="K430" i="5" s="1"/>
  <c r="K431" i="5" a="1"/>
  <c r="K431" i="5" s="1"/>
  <c r="K432" i="5" a="1"/>
  <c r="K432" i="5" s="1"/>
  <c r="K433" i="5" a="1"/>
  <c r="K433" i="5" s="1"/>
  <c r="K434" i="5" a="1"/>
  <c r="K434" i="5" s="1"/>
  <c r="K435" i="5" a="1"/>
  <c r="K435" i="5" s="1"/>
  <c r="K436" i="5" a="1"/>
  <c r="K436" i="5" s="1"/>
  <c r="K437" i="5" a="1"/>
  <c r="K437" i="5" s="1"/>
  <c r="K438" i="5" a="1"/>
  <c r="K438" i="5" s="1"/>
  <c r="K439" i="5" a="1"/>
  <c r="K439" i="5" s="1"/>
  <c r="K440" i="5" a="1"/>
  <c r="K440" i="5" s="1"/>
  <c r="K441" i="5" a="1"/>
  <c r="K441" i="5" s="1"/>
  <c r="K442" i="5" a="1"/>
  <c r="K442" i="5" s="1"/>
  <c r="K443" i="5" a="1"/>
  <c r="K443" i="5" s="1"/>
  <c r="K444" i="5" a="1"/>
  <c r="K444" i="5" s="1"/>
  <c r="K445" i="5" a="1"/>
  <c r="K445" i="5" s="1"/>
  <c r="K446" i="5" a="1"/>
  <c r="K446" i="5" s="1"/>
  <c r="K447" i="5" a="1"/>
  <c r="K447" i="5" s="1"/>
  <c r="K448" i="5" a="1"/>
  <c r="K448" i="5" s="1"/>
  <c r="K449" i="5" a="1"/>
  <c r="K449" i="5" s="1"/>
  <c r="K450" i="5" a="1"/>
  <c r="K450" i="5"/>
  <c r="K451" i="5" a="1"/>
  <c r="K451" i="5" s="1"/>
  <c r="K452" i="5" a="1"/>
  <c r="K452" i="5" s="1"/>
  <c r="K453" i="5" a="1"/>
  <c r="K453" i="5" s="1"/>
  <c r="K454" i="5" a="1"/>
  <c r="K454" i="5" s="1"/>
  <c r="K455" i="5" a="1"/>
  <c r="K455" i="5" s="1"/>
  <c r="K456" i="5" a="1"/>
  <c r="K456" i="5" s="1"/>
  <c r="K457" i="5" a="1"/>
  <c r="K457" i="5" s="1"/>
  <c r="K458" i="5" a="1"/>
  <c r="K458" i="5" s="1"/>
  <c r="K459" i="5" a="1"/>
  <c r="K459" i="5"/>
  <c r="K460" i="5" a="1"/>
  <c r="K460" i="5" s="1"/>
  <c r="K461" i="5" a="1"/>
  <c r="K461" i="5" s="1"/>
  <c r="K462" i="5" a="1"/>
  <c r="K462" i="5"/>
  <c r="K463" i="5" a="1"/>
  <c r="K463" i="5" s="1"/>
  <c r="K464" i="5" a="1"/>
  <c r="K464" i="5" s="1"/>
  <c r="K465" i="5" a="1"/>
  <c r="K465" i="5"/>
  <c r="K466" i="5" a="1"/>
  <c r="K466" i="5" s="1"/>
  <c r="K467" i="5" a="1"/>
  <c r="K467" i="5" s="1"/>
  <c r="K468" i="5" a="1"/>
  <c r="K468" i="5" s="1"/>
  <c r="K469" i="5" a="1"/>
  <c r="K469" i="5" s="1"/>
  <c r="K470" i="5" a="1"/>
  <c r="K470" i="5" s="1"/>
  <c r="K471" i="5" a="1"/>
  <c r="K471" i="5" s="1"/>
  <c r="K472" i="5" a="1"/>
  <c r="K472" i="5" s="1"/>
  <c r="K473" i="5" a="1"/>
  <c r="K473" i="5"/>
  <c r="K474" i="5" a="1"/>
  <c r="K474" i="5"/>
  <c r="K475" i="5" a="1"/>
  <c r="K475" i="5" s="1"/>
  <c r="K476" i="5" a="1"/>
  <c r="K476" i="5" s="1"/>
  <c r="K477" i="5" a="1"/>
  <c r="K477" i="5" s="1"/>
  <c r="K478" i="5" a="1"/>
  <c r="K478" i="5" s="1"/>
  <c r="K479" i="5" a="1"/>
  <c r="K479" i="5" s="1"/>
  <c r="K480" i="5" a="1"/>
  <c r="K480" i="5" s="1"/>
  <c r="K481" i="5" a="1"/>
  <c r="K481" i="5" s="1"/>
  <c r="K482" i="5" a="1"/>
  <c r="K482" i="5" s="1"/>
  <c r="K483" i="5" a="1"/>
  <c r="K483" i="5" s="1"/>
  <c r="K484" i="5" a="1"/>
  <c r="K484" i="5" s="1"/>
  <c r="K485" i="5" a="1"/>
  <c r="K485" i="5"/>
  <c r="K486" i="5" a="1"/>
  <c r="K486" i="5" s="1"/>
  <c r="K487" i="5" a="1"/>
  <c r="K487" i="5" s="1"/>
  <c r="K488" i="5" a="1"/>
  <c r="K488" i="5" s="1"/>
  <c r="K489" i="5" a="1"/>
  <c r="K489" i="5" s="1"/>
  <c r="K490" i="5" a="1"/>
  <c r="K490" i="5" s="1"/>
  <c r="K491" i="5" a="1"/>
  <c r="K491" i="5" s="1"/>
  <c r="K492" i="5" a="1"/>
  <c r="K492" i="5" s="1"/>
  <c r="K493" i="5" a="1"/>
  <c r="K493" i="5" s="1"/>
  <c r="K494" i="5" a="1"/>
  <c r="K494" i="5" s="1"/>
  <c r="K495" i="5" a="1"/>
  <c r="K495" i="5" s="1"/>
  <c r="K496" i="5" a="1"/>
  <c r="K496" i="5" s="1"/>
  <c r="K497" i="5" a="1"/>
  <c r="K497" i="5" s="1"/>
  <c r="K498" i="5" a="1"/>
  <c r="K498" i="5" s="1"/>
  <c r="K499" i="5" a="1"/>
  <c r="K499" i="5" s="1"/>
  <c r="K500" i="5" a="1"/>
  <c r="K500" i="5" s="1"/>
  <c r="K501" i="5" a="1"/>
  <c r="K501" i="5" s="1"/>
  <c r="K502" i="5" a="1"/>
  <c r="K502" i="5" s="1"/>
  <c r="K503" i="5" a="1"/>
  <c r="K503" i="5"/>
  <c r="K504" i="5" a="1"/>
  <c r="K504" i="5" s="1"/>
  <c r="K505" i="5" a="1"/>
  <c r="K505" i="5" s="1"/>
  <c r="K506" i="5" a="1"/>
  <c r="K506" i="5"/>
  <c r="K507" i="5" a="1"/>
  <c r="K507" i="5" s="1"/>
  <c r="K508" i="5" a="1"/>
  <c r="K508" i="5" s="1"/>
  <c r="K509" i="5" a="1"/>
  <c r="K509" i="5" s="1"/>
  <c r="K510" i="5" a="1"/>
  <c r="K510" i="5" s="1"/>
  <c r="K511" i="5" a="1"/>
  <c r="K511" i="5" s="1"/>
  <c r="K512" i="5" a="1"/>
  <c r="K512" i="5" s="1"/>
  <c r="K513" i="5" a="1"/>
  <c r="K513" i="5" s="1"/>
  <c r="K514" i="5" a="1"/>
  <c r="K514" i="5" s="1"/>
  <c r="K515" i="5" a="1"/>
  <c r="K515" i="5"/>
  <c r="K516" i="5" a="1"/>
  <c r="K516" i="5" s="1"/>
  <c r="K517" i="5" a="1"/>
  <c r="K517" i="5" s="1"/>
  <c r="K518" i="5" a="1"/>
  <c r="K518" i="5" s="1"/>
  <c r="K519" i="5" a="1"/>
  <c r="K519" i="5" s="1"/>
  <c r="K520" i="5" a="1"/>
  <c r="K520" i="5" s="1"/>
  <c r="K521" i="5" a="1"/>
  <c r="K521" i="5"/>
  <c r="K522" i="5" a="1"/>
  <c r="K522" i="5" s="1"/>
  <c r="K523" i="5" a="1"/>
  <c r="K523" i="5" s="1"/>
  <c r="K524" i="5" a="1"/>
  <c r="K524" i="5" s="1"/>
  <c r="K525" i="5" a="1"/>
  <c r="K525" i="5" s="1"/>
  <c r="K526" i="5" a="1"/>
  <c r="K526" i="5" s="1"/>
  <c r="K527" i="5" a="1"/>
  <c r="K527" i="5" s="1"/>
  <c r="K528" i="5" a="1"/>
  <c r="K528" i="5" s="1"/>
  <c r="K529" i="5" a="1"/>
  <c r="K529" i="5" s="1"/>
  <c r="K530" i="5" a="1"/>
  <c r="K530" i="5" s="1"/>
  <c r="K531" i="5" a="1"/>
  <c r="K531" i="5" s="1"/>
  <c r="K532" i="5" a="1"/>
  <c r="K532" i="5" s="1"/>
  <c r="K533" i="5" a="1"/>
  <c r="K533" i="5" s="1"/>
  <c r="K534" i="5" a="1"/>
  <c r="K534" i="5" s="1"/>
  <c r="K535" i="5" a="1"/>
  <c r="K535" i="5" s="1"/>
  <c r="K536" i="5" a="1"/>
  <c r="K536" i="5" s="1"/>
  <c r="K537" i="5" a="1"/>
  <c r="K537" i="5" s="1"/>
  <c r="K538" i="5" a="1"/>
  <c r="K538" i="5"/>
  <c r="K539" i="5" a="1"/>
  <c r="K539" i="5"/>
  <c r="K540" i="5" a="1"/>
  <c r="K540" i="5" s="1"/>
  <c r="K541" i="5" a="1"/>
  <c r="K541" i="5" s="1"/>
  <c r="K542" i="5" a="1"/>
  <c r="K542" i="5" s="1"/>
  <c r="K543" i="5" a="1"/>
  <c r="K543" i="5" s="1"/>
  <c r="K544" i="5" a="1"/>
  <c r="K544" i="5" s="1"/>
  <c r="K545" i="5" a="1"/>
  <c r="K545" i="5" s="1"/>
  <c r="K546" i="5" a="1"/>
  <c r="K546" i="5"/>
  <c r="K547" i="5" a="1"/>
  <c r="K547" i="5" s="1"/>
  <c r="K548" i="5" a="1"/>
  <c r="K548" i="5" s="1"/>
  <c r="K549" i="5" a="1"/>
  <c r="K549" i="5" s="1"/>
  <c r="K550" i="5" a="1"/>
  <c r="K550" i="5" s="1"/>
  <c r="K551" i="5" a="1"/>
  <c r="K551" i="5" s="1"/>
  <c r="K552" i="5" a="1"/>
  <c r="K552" i="5" s="1"/>
  <c r="K553" i="5" a="1"/>
  <c r="K553" i="5"/>
  <c r="K554" i="5" a="1"/>
  <c r="K554" i="5" s="1"/>
  <c r="K555" i="5" a="1"/>
  <c r="K555" i="5" s="1"/>
  <c r="K556" i="5" a="1"/>
  <c r="K556" i="5" s="1"/>
  <c r="K557" i="5" a="1"/>
  <c r="K557" i="5"/>
  <c r="K558" i="5" a="1"/>
  <c r="K558" i="5" s="1"/>
  <c r="K559" i="5" a="1"/>
  <c r="K559" i="5" s="1"/>
  <c r="K560" i="5" a="1"/>
  <c r="K560" i="5" s="1"/>
  <c r="K561" i="5" a="1"/>
  <c r="K561" i="5"/>
  <c r="K562" i="5" a="1"/>
  <c r="K562" i="5" s="1"/>
  <c r="K563" i="5" a="1"/>
  <c r="K563" i="5" s="1"/>
  <c r="K564" i="5" a="1"/>
  <c r="K564" i="5" s="1"/>
  <c r="K565" i="5" a="1"/>
  <c r="K565" i="5" s="1"/>
  <c r="K566" i="5" a="1"/>
  <c r="K566" i="5" s="1"/>
  <c r="K567" i="5" a="1"/>
  <c r="K567" i="5" s="1"/>
  <c r="K568" i="5" a="1"/>
  <c r="K568" i="5" s="1"/>
  <c r="K569" i="5" a="1"/>
  <c r="K569" i="5" s="1"/>
  <c r="K570" i="5" a="1"/>
  <c r="K570" i="5" s="1"/>
  <c r="K571" i="5" a="1"/>
  <c r="K571" i="5"/>
  <c r="K572" i="5" a="1"/>
  <c r="K572" i="5"/>
  <c r="K573" i="5" a="1"/>
  <c r="K573" i="5" s="1"/>
  <c r="K574" i="5" a="1"/>
  <c r="K574" i="5" s="1"/>
  <c r="K575" i="5" a="1"/>
  <c r="K575" i="5" s="1"/>
  <c r="K576" i="5" a="1"/>
  <c r="K576" i="5"/>
  <c r="K577" i="5" a="1"/>
  <c r="K577" i="5" s="1"/>
  <c r="K578" i="5" a="1"/>
  <c r="K578" i="5" s="1"/>
  <c r="K579" i="5" a="1"/>
  <c r="K579" i="5"/>
  <c r="K580" i="5" a="1"/>
  <c r="K580" i="5" s="1"/>
  <c r="K581" i="5" a="1"/>
  <c r="K581" i="5" s="1"/>
  <c r="K582" i="5" a="1"/>
  <c r="K582" i="5"/>
  <c r="K583" i="5" a="1"/>
  <c r="K583" i="5" s="1"/>
  <c r="K584" i="5" a="1"/>
  <c r="K584" i="5" s="1"/>
  <c r="K585" i="5" a="1"/>
  <c r="K585" i="5" s="1"/>
  <c r="K586" i="5" a="1"/>
  <c r="K586" i="5" s="1"/>
  <c r="K587" i="5" a="1"/>
  <c r="K587" i="5" s="1"/>
  <c r="K588" i="5" a="1"/>
  <c r="K588" i="5"/>
  <c r="K589" i="5" a="1"/>
  <c r="K589" i="5" s="1"/>
  <c r="K590" i="5" a="1"/>
  <c r="K590" i="5" s="1"/>
  <c r="K591" i="5" a="1"/>
  <c r="K591" i="5" s="1"/>
  <c r="K592" i="5" a="1"/>
  <c r="K592" i="5" s="1"/>
  <c r="K593" i="5" a="1"/>
  <c r="K593" i="5" s="1"/>
  <c r="K594" i="5" a="1"/>
  <c r="K594" i="5" s="1"/>
  <c r="K595" i="5" a="1"/>
  <c r="K595" i="5"/>
  <c r="K596" i="5" a="1"/>
  <c r="K596" i="5" s="1"/>
  <c r="K597" i="5" a="1"/>
  <c r="K597" i="5" s="1"/>
  <c r="K598" i="5" a="1"/>
  <c r="K598" i="5" s="1"/>
  <c r="K599" i="5" a="1"/>
  <c r="K599" i="5" s="1"/>
  <c r="K600" i="5" a="1"/>
  <c r="K600" i="5" s="1"/>
  <c r="K601" i="5" a="1"/>
  <c r="K601" i="5" s="1"/>
  <c r="K602" i="5" a="1"/>
  <c r="K602" i="5"/>
  <c r="K603" i="5" a="1"/>
  <c r="K603" i="5" s="1"/>
  <c r="K604" i="5" a="1"/>
  <c r="K604" i="5" s="1"/>
  <c r="K605" i="5" a="1"/>
  <c r="K605" i="5" s="1"/>
  <c r="K606" i="5" a="1"/>
  <c r="K606" i="5" s="1"/>
  <c r="K607" i="5" a="1"/>
  <c r="K607" i="5" s="1"/>
  <c r="K608" i="5" a="1"/>
  <c r="K608" i="5"/>
  <c r="K609" i="5" a="1"/>
  <c r="K609" i="5" s="1"/>
  <c r="K610" i="5" a="1"/>
  <c r="K610" i="5" s="1"/>
  <c r="K611" i="5" a="1"/>
  <c r="K611" i="5"/>
  <c r="K612" i="5" a="1"/>
  <c r="K612" i="5" s="1"/>
  <c r="K613" i="5" a="1"/>
  <c r="K613" i="5" s="1"/>
  <c r="K614" i="5" a="1"/>
  <c r="K614" i="5"/>
  <c r="K615" i="5" a="1"/>
  <c r="K615" i="5" s="1"/>
  <c r="K616" i="5" a="1"/>
  <c r="K616" i="5" s="1"/>
  <c r="K617" i="5" a="1"/>
  <c r="K617" i="5" s="1"/>
  <c r="K618" i="5" a="1"/>
  <c r="K618" i="5" s="1"/>
  <c r="K619" i="5" a="1"/>
  <c r="K619" i="5" s="1"/>
  <c r="K620" i="5" a="1"/>
  <c r="K620" i="5"/>
  <c r="K621" i="5" a="1"/>
  <c r="K621" i="5" s="1"/>
  <c r="K622" i="5" a="1"/>
  <c r="K622" i="5" s="1"/>
  <c r="K623" i="5" a="1"/>
  <c r="K623" i="5" s="1"/>
  <c r="K624" i="5" a="1"/>
  <c r="K624" i="5" s="1"/>
  <c r="K625" i="5" a="1"/>
  <c r="K625" i="5" s="1"/>
  <c r="K626" i="5" a="1"/>
  <c r="K626" i="5" s="1"/>
  <c r="K627" i="5" a="1"/>
  <c r="K627" i="5" s="1"/>
  <c r="K628" i="5" a="1"/>
  <c r="K628" i="5" s="1"/>
  <c r="K629" i="5" a="1"/>
  <c r="K629" i="5" s="1"/>
  <c r="K630" i="5" a="1"/>
  <c r="K630" i="5" s="1"/>
  <c r="K631" i="5" a="1"/>
  <c r="K631" i="5" s="1"/>
  <c r="K632" i="5" a="1"/>
  <c r="K632" i="5" s="1"/>
  <c r="K633" i="5" a="1"/>
  <c r="K633" i="5" s="1"/>
  <c r="K634" i="5" a="1"/>
  <c r="K634" i="5"/>
  <c r="K635" i="5" a="1"/>
  <c r="K635" i="5" s="1"/>
  <c r="K636" i="5" a="1"/>
  <c r="K636" i="5" s="1"/>
  <c r="K637" i="5" a="1"/>
  <c r="K637" i="5" s="1"/>
  <c r="K638" i="5" a="1"/>
  <c r="K638" i="5" s="1"/>
  <c r="K639" i="5" a="1"/>
  <c r="K639" i="5" s="1"/>
  <c r="K640" i="5" a="1"/>
  <c r="K640" i="5"/>
  <c r="K641" i="5" a="1"/>
  <c r="K641" i="5" s="1"/>
  <c r="K642" i="5" a="1"/>
  <c r="K642" i="5" s="1"/>
  <c r="K643" i="5" a="1"/>
  <c r="K643" i="5"/>
  <c r="K644" i="5" a="1"/>
  <c r="K644" i="5" s="1"/>
  <c r="K645" i="5" a="1"/>
  <c r="K645" i="5" s="1"/>
  <c r="K646" i="5" a="1"/>
  <c r="K646" i="5"/>
  <c r="K647" i="5" a="1"/>
  <c r="K647" i="5" s="1"/>
  <c r="K648" i="5" a="1"/>
  <c r="K648" i="5" s="1"/>
  <c r="K649" i="5" a="1"/>
  <c r="K649" i="5" s="1"/>
  <c r="K650" i="5" a="1"/>
  <c r="K650" i="5" s="1"/>
  <c r="K651" i="5" a="1"/>
  <c r="K651" i="5" s="1"/>
  <c r="K652" i="5" a="1"/>
  <c r="K652" i="5" s="1"/>
  <c r="K653" i="5" a="1"/>
  <c r="K653" i="5" s="1"/>
  <c r="K654" i="5" a="1"/>
  <c r="K654" i="5"/>
  <c r="K655" i="5" a="1"/>
  <c r="K655" i="5"/>
  <c r="K656" i="5" a="1"/>
  <c r="K656" i="5" s="1"/>
  <c r="K657" i="5" a="1"/>
  <c r="K657" i="5" s="1"/>
  <c r="K658" i="5" a="1"/>
  <c r="K658" i="5" s="1"/>
  <c r="K659" i="5" a="1"/>
  <c r="K659" i="5" s="1"/>
  <c r="K660" i="5" a="1"/>
  <c r="K660" i="5" s="1"/>
  <c r="K661" i="5" a="1"/>
  <c r="K661" i="5" s="1"/>
  <c r="K662" i="5" a="1"/>
  <c r="K662" i="5" s="1"/>
  <c r="K663" i="5" a="1"/>
  <c r="K663" i="5" s="1"/>
  <c r="K664" i="5" a="1"/>
  <c r="K664" i="5" s="1"/>
  <c r="K665" i="5" a="1"/>
  <c r="K665" i="5" s="1"/>
  <c r="K666" i="5" a="1"/>
  <c r="K666" i="5"/>
  <c r="K667" i="5" a="1"/>
  <c r="K667" i="5" s="1"/>
  <c r="K668" i="5" a="1"/>
  <c r="K668" i="5" s="1"/>
  <c r="K669" i="5" a="1"/>
  <c r="K669" i="5" s="1"/>
  <c r="K670" i="5" a="1"/>
  <c r="K670" i="5" s="1"/>
  <c r="K671" i="5" a="1"/>
  <c r="K671" i="5" s="1"/>
  <c r="K672" i="5" a="1"/>
  <c r="K672" i="5" s="1"/>
  <c r="K673" i="5" a="1"/>
  <c r="K673" i="5" s="1"/>
  <c r="K674" i="5" a="1"/>
  <c r="K674" i="5" s="1"/>
  <c r="K675" i="5" a="1"/>
  <c r="K675" i="5"/>
  <c r="K676" i="5" a="1"/>
  <c r="K676" i="5" s="1"/>
  <c r="K677" i="5" a="1"/>
  <c r="K677" i="5" s="1"/>
  <c r="K678" i="5" a="1"/>
  <c r="K678" i="5" s="1"/>
  <c r="K679" i="5" a="1"/>
  <c r="K679" i="5" s="1"/>
  <c r="K680" i="5" a="1"/>
  <c r="K680" i="5" s="1"/>
  <c r="K681" i="5" a="1"/>
  <c r="K681" i="5" s="1"/>
  <c r="K682" i="5" a="1"/>
  <c r="K682" i="5"/>
  <c r="K683" i="5" a="1"/>
  <c r="K683" i="5" s="1"/>
  <c r="K684" i="5" a="1"/>
  <c r="K684" i="5"/>
  <c r="K685" i="5" a="1"/>
  <c r="K685" i="5" s="1"/>
  <c r="K686" i="5" a="1"/>
  <c r="K686" i="5" s="1"/>
  <c r="K687" i="5" a="1"/>
  <c r="K687" i="5" s="1"/>
  <c r="K688" i="5" a="1"/>
  <c r="K688" i="5" s="1"/>
  <c r="K689" i="5" a="1"/>
  <c r="K689" i="5" s="1"/>
  <c r="K690" i="5" a="1"/>
  <c r="K690" i="5" s="1"/>
  <c r="K691" i="5" a="1"/>
  <c r="K691" i="5" s="1"/>
  <c r="K692" i="5" a="1"/>
  <c r="K692" i="5" s="1"/>
  <c r="K693" i="5" a="1"/>
  <c r="K693" i="5" s="1"/>
  <c r="K694" i="5" a="1"/>
  <c r="K694" i="5" s="1"/>
  <c r="K695" i="5" a="1"/>
  <c r="K695" i="5" s="1"/>
  <c r="K696" i="5" a="1"/>
  <c r="K696" i="5" s="1"/>
  <c r="K697" i="5" a="1"/>
  <c r="K697" i="5" s="1"/>
  <c r="K698" i="5" a="1"/>
  <c r="K698" i="5"/>
  <c r="K699" i="5" a="1"/>
  <c r="K699" i="5" s="1"/>
  <c r="K700" i="5" a="1"/>
  <c r="K700" i="5" s="1"/>
  <c r="K701" i="5" a="1"/>
  <c r="K701" i="5" s="1"/>
  <c r="K702" i="5" a="1"/>
  <c r="K702" i="5" s="1"/>
  <c r="K703" i="5" a="1"/>
  <c r="K703" i="5" s="1"/>
  <c r="K704" i="5" a="1"/>
  <c r="K704" i="5" s="1"/>
  <c r="K705" i="5" a="1"/>
  <c r="K705" i="5" s="1"/>
  <c r="K706" i="5" a="1"/>
  <c r="K706" i="5" s="1"/>
  <c r="K707" i="5" a="1"/>
  <c r="K707" i="5" s="1"/>
  <c r="K708" i="5" a="1"/>
  <c r="K708" i="5" s="1"/>
  <c r="K709" i="5" a="1"/>
  <c r="K709" i="5" s="1"/>
  <c r="K710" i="5" a="1"/>
  <c r="K710" i="5" s="1"/>
  <c r="K711" i="5" a="1"/>
  <c r="K711" i="5" s="1"/>
  <c r="K712" i="5" a="1"/>
  <c r="K712" i="5" s="1"/>
  <c r="K713" i="5" a="1"/>
  <c r="K713" i="5" s="1"/>
  <c r="K714" i="5" a="1"/>
  <c r="K714" i="5" s="1"/>
  <c r="K715" i="5" a="1"/>
  <c r="K715" i="5" s="1"/>
  <c r="K716" i="5" a="1"/>
  <c r="K716" i="5"/>
  <c r="K717" i="5" a="1"/>
  <c r="K717" i="5" s="1"/>
  <c r="K718" i="5" a="1"/>
  <c r="K718" i="5" s="1"/>
  <c r="K719" i="5" a="1"/>
  <c r="K719" i="5" s="1"/>
  <c r="K720" i="5" a="1"/>
  <c r="K720" i="5" s="1"/>
  <c r="K721" i="5" a="1"/>
  <c r="K721" i="5" s="1"/>
  <c r="K722" i="5" a="1"/>
  <c r="K722" i="5" s="1"/>
  <c r="K723" i="5" a="1"/>
  <c r="K723" i="5" s="1"/>
  <c r="K724" i="5" a="1"/>
  <c r="K724" i="5" s="1"/>
  <c r="K725" i="5" a="1"/>
  <c r="K725" i="5" s="1"/>
  <c r="K726" i="5" a="1"/>
  <c r="K726" i="5" s="1"/>
  <c r="K727" i="5" a="1"/>
  <c r="K727" i="5"/>
  <c r="K728" i="5" a="1"/>
  <c r="K728" i="5" s="1"/>
  <c r="K729" i="5" a="1"/>
  <c r="K729" i="5" s="1"/>
  <c r="K730" i="5" a="1"/>
  <c r="K730" i="5"/>
  <c r="K731" i="5" a="1"/>
  <c r="K731" i="5" s="1"/>
  <c r="K732" i="5" a="1"/>
  <c r="K732" i="5" s="1"/>
  <c r="K733" i="5" a="1"/>
  <c r="K733" i="5" s="1"/>
  <c r="K734" i="5" a="1"/>
  <c r="K734" i="5" s="1"/>
  <c r="K735" i="5" a="1"/>
  <c r="K735" i="5" s="1"/>
  <c r="K736" i="5" a="1"/>
  <c r="K736" i="5"/>
  <c r="K737" i="5" a="1"/>
  <c r="K737" i="5" s="1"/>
  <c r="K738" i="5" a="1"/>
  <c r="K738" i="5" s="1"/>
  <c r="K739" i="5" a="1"/>
  <c r="K739" i="5"/>
  <c r="K740" i="5" a="1"/>
  <c r="K740" i="5" s="1"/>
  <c r="K741" i="5" a="1"/>
  <c r="K741" i="5" s="1"/>
  <c r="K742" i="5" a="1"/>
  <c r="K742" i="5" s="1"/>
  <c r="K743" i="5" a="1"/>
  <c r="K743" i="5" s="1"/>
  <c r="K744" i="5" a="1"/>
  <c r="K744" i="5" s="1"/>
  <c r="K745" i="5" a="1"/>
  <c r="K745" i="5" s="1"/>
  <c r="K746" i="5" a="1"/>
  <c r="K746" i="5" s="1"/>
  <c r="K747" i="5" a="1"/>
  <c r="K747" i="5" s="1"/>
  <c r="K748" i="5" a="1"/>
  <c r="K748" i="5"/>
  <c r="K749" i="5" a="1"/>
  <c r="K749" i="5" s="1"/>
  <c r="K750" i="5" a="1"/>
  <c r="K750" i="5" s="1"/>
  <c r="K751" i="5" a="1"/>
  <c r="K751" i="5" s="1"/>
  <c r="K752" i="5" a="1"/>
  <c r="K752" i="5"/>
  <c r="K753" i="5" a="1"/>
  <c r="K753" i="5" s="1"/>
  <c r="K754" i="5" a="1"/>
  <c r="K754" i="5" s="1"/>
  <c r="K755" i="5" a="1"/>
  <c r="K755" i="5" s="1"/>
  <c r="K756" i="5" a="1"/>
  <c r="K756" i="5" s="1"/>
  <c r="K757" i="5" a="1"/>
  <c r="K757" i="5" s="1"/>
  <c r="K758" i="5" a="1"/>
  <c r="K758" i="5" s="1"/>
  <c r="K759" i="5" a="1"/>
  <c r="K759" i="5" s="1"/>
  <c r="K760" i="5" a="1"/>
  <c r="K760" i="5"/>
  <c r="K761" i="5" a="1"/>
  <c r="K761" i="5" s="1"/>
  <c r="K762" i="5" a="1"/>
  <c r="K762" i="5"/>
  <c r="K763" i="5" a="1"/>
  <c r="K763" i="5" s="1"/>
  <c r="K764" i="5" a="1"/>
  <c r="K764" i="5" s="1"/>
  <c r="K765" i="5" a="1"/>
  <c r="K765" i="5" s="1"/>
  <c r="K766" i="5" a="1"/>
  <c r="K766" i="5" s="1"/>
  <c r="K767" i="5" a="1"/>
  <c r="K767" i="5" s="1"/>
  <c r="K768" i="5" a="1"/>
  <c r="K768" i="5"/>
  <c r="K769" i="5" a="1"/>
  <c r="K769" i="5" s="1"/>
  <c r="K770" i="5" a="1"/>
  <c r="K770" i="5" s="1"/>
  <c r="K771" i="5" a="1"/>
  <c r="K771" i="5"/>
  <c r="K772" i="5" a="1"/>
  <c r="K772" i="5" s="1"/>
  <c r="K773" i="5" a="1"/>
  <c r="K773" i="5" s="1"/>
  <c r="K774" i="5" a="1"/>
  <c r="K774" i="5" s="1"/>
  <c r="K775" i="5" a="1"/>
  <c r="K775" i="5" s="1"/>
  <c r="K776" i="5" a="1"/>
  <c r="K776" i="5" s="1"/>
  <c r="K777" i="5" a="1"/>
  <c r="K777" i="5" s="1"/>
  <c r="K778" i="5" a="1"/>
  <c r="K778" i="5"/>
  <c r="K779" i="5" a="1"/>
  <c r="K779" i="5" s="1"/>
  <c r="K780" i="5" a="1"/>
  <c r="K780" i="5"/>
  <c r="K781" i="5" a="1"/>
  <c r="K781" i="5" s="1"/>
  <c r="K782" i="5" a="1"/>
  <c r="K782" i="5" s="1"/>
  <c r="K783" i="5" a="1"/>
  <c r="K783" i="5" s="1"/>
  <c r="K784" i="5" a="1"/>
  <c r="K784" i="5" s="1"/>
  <c r="K785" i="5" a="1"/>
  <c r="K785" i="5" s="1"/>
  <c r="K786" i="5" a="1"/>
  <c r="K786" i="5" s="1"/>
  <c r="K787" i="5" a="1"/>
  <c r="K787" i="5" s="1"/>
  <c r="K788" i="5" a="1"/>
  <c r="K788" i="5" s="1"/>
  <c r="K789" i="5" a="1"/>
  <c r="K789" i="5" s="1"/>
  <c r="K790" i="5" a="1"/>
  <c r="K790" i="5" s="1"/>
  <c r="K791" i="5" a="1"/>
  <c r="K791" i="5"/>
  <c r="K792" i="5" a="1"/>
  <c r="K792" i="5" s="1"/>
  <c r="K793" i="5" a="1"/>
  <c r="K793" i="5" s="1"/>
  <c r="K794" i="5" a="1"/>
  <c r="K794" i="5"/>
  <c r="K795" i="5" a="1"/>
  <c r="K795" i="5" s="1"/>
  <c r="K796" i="5" a="1"/>
  <c r="K796" i="5"/>
  <c r="K797" i="5" a="1"/>
  <c r="K797" i="5" s="1"/>
  <c r="K798" i="5" a="1"/>
  <c r="K798" i="5" s="1"/>
  <c r="K799" i="5" a="1"/>
  <c r="K799" i="5" s="1"/>
  <c r="K800" i="5" a="1"/>
  <c r="K800" i="5"/>
  <c r="K801" i="5" a="1"/>
  <c r="K801" i="5" s="1"/>
  <c r="K802" i="5" a="1"/>
  <c r="K802" i="5" s="1"/>
  <c r="K803" i="5" a="1"/>
  <c r="K803" i="5" s="1"/>
  <c r="K804" i="5" a="1"/>
  <c r="K804" i="5" s="1"/>
  <c r="K805" i="5" a="1"/>
  <c r="K805" i="5" s="1"/>
  <c r="K806" i="5" a="1"/>
  <c r="K806" i="5" s="1"/>
  <c r="K807" i="5" a="1"/>
  <c r="K807" i="5" s="1"/>
  <c r="K808" i="5" a="1"/>
  <c r="K808" i="5"/>
  <c r="K809" i="5" a="1"/>
  <c r="K809" i="5" s="1"/>
  <c r="K810" i="5" a="1"/>
  <c r="K810" i="5" s="1"/>
  <c r="K811" i="5" a="1"/>
  <c r="K811" i="5" s="1"/>
  <c r="K812" i="5" a="1"/>
  <c r="K812" i="5" s="1"/>
  <c r="K813" i="5" a="1"/>
  <c r="K813" i="5" s="1"/>
  <c r="K814" i="5" a="1"/>
  <c r="K814" i="5" s="1"/>
  <c r="K815" i="5" a="1"/>
  <c r="K815" i="5" s="1"/>
  <c r="K816" i="5" a="1"/>
  <c r="K816" i="5" s="1"/>
  <c r="K817" i="5" a="1"/>
  <c r="K817" i="5" s="1"/>
  <c r="K818" i="5" a="1"/>
  <c r="K818" i="5" s="1"/>
  <c r="K819" i="5" a="1"/>
  <c r="K819" i="5"/>
  <c r="K820" i="5" a="1"/>
  <c r="K820" i="5" s="1"/>
  <c r="K821" i="5" a="1"/>
  <c r="K821" i="5" s="1"/>
  <c r="K822" i="5" a="1"/>
  <c r="K822" i="5" s="1"/>
  <c r="K823" i="5" a="1"/>
  <c r="K823" i="5" s="1"/>
  <c r="K824" i="5" a="1"/>
  <c r="K824" i="5" s="1"/>
  <c r="K825" i="5" a="1"/>
  <c r="K825" i="5" s="1"/>
  <c r="K826" i="5" a="1"/>
  <c r="K826" i="5" s="1"/>
  <c r="K827" i="5" a="1"/>
  <c r="K827" i="5" s="1"/>
  <c r="K828" i="5" a="1"/>
  <c r="K828" i="5"/>
  <c r="K829" i="5" a="1"/>
  <c r="K829" i="5" s="1"/>
  <c r="K830" i="5" a="1"/>
  <c r="K830" i="5" s="1"/>
  <c r="K831" i="5" a="1"/>
  <c r="K831" i="5" s="1"/>
  <c r="K832" i="5" a="1"/>
  <c r="K832" i="5"/>
  <c r="K833" i="5" a="1"/>
  <c r="K833" i="5" s="1"/>
  <c r="K834" i="5" a="1"/>
  <c r="K834" i="5" s="1"/>
  <c r="K835" i="5" a="1"/>
  <c r="K835" i="5"/>
  <c r="K836" i="5" a="1"/>
  <c r="K836" i="5" s="1"/>
  <c r="K837" i="5" a="1"/>
  <c r="K837" i="5" s="1"/>
  <c r="K838" i="5" a="1"/>
  <c r="K838" i="5" s="1"/>
  <c r="K839" i="5" a="1"/>
  <c r="K839" i="5" s="1"/>
  <c r="K840" i="5" a="1"/>
  <c r="K840" i="5"/>
  <c r="K841" i="5" a="1"/>
  <c r="K841" i="5" s="1"/>
  <c r="K842" i="5" a="1"/>
  <c r="K842" i="5" s="1"/>
  <c r="K843" i="5" a="1"/>
  <c r="K843" i="5" s="1"/>
  <c r="K844" i="5" a="1"/>
  <c r="K844" i="5"/>
  <c r="K845" i="5" a="1"/>
  <c r="K845" i="5" s="1"/>
  <c r="K846" i="5" a="1"/>
  <c r="K846" i="5" s="1"/>
  <c r="K847" i="5" a="1"/>
  <c r="K847" i="5" s="1"/>
  <c r="K848" i="5" a="1"/>
  <c r="K848" i="5" s="1"/>
  <c r="K849" i="5" a="1"/>
  <c r="K849" i="5" s="1"/>
  <c r="K850" i="5" a="1"/>
  <c r="K850" i="5" s="1"/>
  <c r="K851" i="5" a="1"/>
  <c r="K851" i="5"/>
  <c r="K852" i="5" a="1"/>
  <c r="K852" i="5" s="1"/>
  <c r="K853" i="5" a="1"/>
  <c r="K853" i="5" s="1"/>
  <c r="K854" i="5" a="1"/>
  <c r="K854" i="5" s="1"/>
  <c r="K855" i="5" a="1"/>
  <c r="K855" i="5"/>
  <c r="K856" i="5" a="1"/>
  <c r="K856" i="5"/>
  <c r="K857" i="5" a="1"/>
  <c r="K857" i="5"/>
  <c r="K858" i="5" a="1"/>
  <c r="K858" i="5" s="1"/>
  <c r="K859" i="5" a="1"/>
  <c r="K859" i="5" s="1"/>
  <c r="K860" i="5" a="1"/>
  <c r="K860" i="5" s="1"/>
  <c r="K861" i="5" a="1"/>
  <c r="K861" i="5"/>
  <c r="K862" i="5" a="1"/>
  <c r="K862" i="5" s="1"/>
  <c r="K863" i="5" a="1"/>
  <c r="K863" i="5" s="1"/>
  <c r="K864" i="5" a="1"/>
  <c r="K864" i="5" s="1"/>
  <c r="K865" i="5" a="1"/>
  <c r="K865" i="5" s="1"/>
  <c r="K866" i="5" a="1"/>
  <c r="K866" i="5" s="1"/>
  <c r="K867" i="5" a="1"/>
  <c r="K867" i="5"/>
  <c r="K868" i="5" a="1"/>
  <c r="K868" i="5" s="1"/>
  <c r="K869" i="5" a="1"/>
  <c r="K869" i="5" s="1"/>
  <c r="K870" i="5" a="1"/>
  <c r="K870" i="5" s="1"/>
  <c r="K871" i="5" a="1"/>
  <c r="K871" i="5" s="1"/>
  <c r="K872" i="5" a="1"/>
  <c r="K872" i="5" s="1"/>
  <c r="K873" i="5" a="1"/>
  <c r="K873" i="5" s="1"/>
  <c r="K874" i="5" a="1"/>
  <c r="K874" i="5" s="1"/>
  <c r="K875" i="5" a="1"/>
  <c r="K875" i="5"/>
  <c r="K876" i="5" a="1"/>
  <c r="K876" i="5" s="1"/>
  <c r="K877" i="5" a="1"/>
  <c r="K877" i="5" s="1"/>
  <c r="K878" i="5" a="1"/>
  <c r="K878" i="5" s="1"/>
  <c r="K879" i="5" a="1"/>
  <c r="K879" i="5" s="1"/>
  <c r="K880" i="5" a="1"/>
  <c r="K880" i="5"/>
  <c r="K881" i="5" a="1"/>
  <c r="K881" i="5"/>
  <c r="K882" i="5" a="1"/>
  <c r="K882" i="5" s="1"/>
  <c r="K883" i="5" a="1"/>
  <c r="K883" i="5" s="1"/>
  <c r="K884" i="5" a="1"/>
  <c r="K884" i="5" s="1"/>
  <c r="K885" i="5" a="1"/>
  <c r="K885" i="5" s="1"/>
  <c r="K886" i="5" a="1"/>
  <c r="K886" i="5" s="1"/>
  <c r="K887" i="5" a="1"/>
  <c r="K887" i="5" s="1"/>
  <c r="K888" i="5" a="1"/>
  <c r="K888" i="5" s="1"/>
  <c r="K889" i="5" a="1"/>
  <c r="K889" i="5" s="1"/>
  <c r="K890" i="5" a="1"/>
  <c r="K890" i="5" s="1"/>
  <c r="K891" i="5" a="1"/>
  <c r="K891" i="5" s="1"/>
  <c r="K892" i="5" a="1"/>
  <c r="K892" i="5" s="1"/>
  <c r="K893" i="5" a="1"/>
  <c r="K893" i="5"/>
  <c r="K894" i="5" a="1"/>
  <c r="K894" i="5" s="1"/>
  <c r="K895" i="5" a="1"/>
  <c r="K895" i="5" s="1"/>
  <c r="K896" i="5" a="1"/>
  <c r="K896" i="5" s="1"/>
  <c r="K897" i="5" a="1"/>
  <c r="K897" i="5" s="1"/>
  <c r="K898" i="5" a="1"/>
  <c r="K898" i="5"/>
  <c r="K899" i="5" a="1"/>
  <c r="K899" i="5" s="1"/>
  <c r="K900" i="5" a="1"/>
  <c r="K900" i="5" s="1"/>
  <c r="K901" i="5" a="1"/>
  <c r="K901" i="5" s="1"/>
  <c r="K902" i="5" a="1"/>
  <c r="K902" i="5" s="1"/>
  <c r="K903" i="5" a="1"/>
  <c r="K903" i="5" s="1"/>
  <c r="K904" i="5" a="1"/>
  <c r="K904" i="5" s="1"/>
  <c r="K905" i="5" a="1"/>
  <c r="K905" i="5"/>
  <c r="K906" i="5" a="1"/>
  <c r="K906" i="5" s="1"/>
  <c r="K907" i="5" a="1"/>
  <c r="K907" i="5" s="1"/>
  <c r="K908" i="5" a="1"/>
  <c r="K908" i="5" s="1"/>
  <c r="K909" i="5" a="1"/>
  <c r="K909" i="5" s="1"/>
  <c r="K910" i="5" a="1"/>
  <c r="K910" i="5" s="1"/>
  <c r="K911" i="5" a="1"/>
  <c r="K911" i="5" s="1"/>
  <c r="K912" i="5" a="1"/>
  <c r="K912" i="5"/>
  <c r="K913" i="5" a="1"/>
  <c r="K913" i="5" s="1"/>
  <c r="K914" i="5" a="1"/>
  <c r="K914" i="5" s="1"/>
  <c r="K915" i="5" a="1"/>
  <c r="K915" i="5" s="1"/>
  <c r="K916" i="5" a="1"/>
  <c r="K916" i="5" s="1"/>
  <c r="K917" i="5" a="1"/>
  <c r="K917" i="5" s="1"/>
  <c r="K918" i="5" a="1"/>
  <c r="K918" i="5" s="1"/>
  <c r="K919" i="5" a="1"/>
  <c r="K919" i="5" s="1"/>
  <c r="K920" i="5" a="1"/>
  <c r="K920" i="5" s="1"/>
  <c r="K921" i="5" a="1"/>
  <c r="K921" i="5" s="1"/>
  <c r="K922" i="5" a="1"/>
  <c r="K922" i="5" s="1"/>
  <c r="K923" i="5" a="1"/>
  <c r="K923" i="5" s="1"/>
  <c r="K924" i="5" a="1"/>
  <c r="K924" i="5" s="1"/>
  <c r="K925" i="5" a="1"/>
  <c r="K925" i="5" s="1"/>
  <c r="K926" i="5" a="1"/>
  <c r="K926" i="5" s="1"/>
  <c r="K927" i="5" a="1"/>
  <c r="K927" i="5" s="1"/>
  <c r="K928" i="5" a="1"/>
  <c r="K928" i="5"/>
  <c r="K929" i="5" a="1"/>
  <c r="K929" i="5" s="1"/>
  <c r="K930" i="5" a="1"/>
  <c r="K930" i="5"/>
  <c r="K931" i="5" a="1"/>
  <c r="K931" i="5" s="1"/>
  <c r="K932" i="5" a="1"/>
  <c r="K932" i="5" s="1"/>
  <c r="K933" i="5" a="1"/>
  <c r="K933" i="5" s="1"/>
  <c r="K934" i="5" a="1"/>
  <c r="K934" i="5" s="1"/>
  <c r="K935" i="5" a="1"/>
  <c r="K935" i="5" s="1"/>
  <c r="K936" i="5" a="1"/>
  <c r="K936" i="5" s="1"/>
  <c r="K937" i="5" a="1"/>
  <c r="K937" i="5" s="1"/>
  <c r="K938" i="5" a="1"/>
  <c r="K938" i="5" s="1"/>
  <c r="K939" i="5" a="1"/>
  <c r="K939" i="5" s="1"/>
  <c r="K940" i="5" a="1"/>
  <c r="K940" i="5" s="1"/>
  <c r="K941" i="5" a="1"/>
  <c r="K941" i="5"/>
  <c r="K942" i="5" a="1"/>
  <c r="K942" i="5" s="1"/>
  <c r="K943" i="5" a="1"/>
  <c r="K943" i="5" s="1"/>
  <c r="K944" i="5" a="1"/>
  <c r="K944" i="5" s="1"/>
  <c r="K945" i="5" a="1"/>
  <c r="K945" i="5" s="1"/>
  <c r="K946" i="5" a="1"/>
  <c r="K946" i="5"/>
  <c r="K947" i="5" a="1"/>
  <c r="K947" i="5" s="1"/>
  <c r="K948" i="5" a="1"/>
  <c r="K948" i="5" s="1"/>
  <c r="K949" i="5" a="1"/>
  <c r="K949" i="5" s="1"/>
  <c r="K950" i="5" a="1"/>
  <c r="K950" i="5"/>
  <c r="K951" i="5" a="1"/>
  <c r="K951" i="5" s="1"/>
  <c r="K952" i="5" a="1"/>
  <c r="K952" i="5" s="1"/>
  <c r="K953" i="5" a="1"/>
  <c r="K953" i="5" s="1"/>
  <c r="K954" i="5" a="1"/>
  <c r="K954" i="5" s="1"/>
  <c r="K955" i="5" a="1"/>
  <c r="K955" i="5" s="1"/>
  <c r="K956" i="5" a="1"/>
  <c r="K956" i="5" s="1"/>
  <c r="K957" i="5" a="1"/>
  <c r="K957" i="5" s="1"/>
  <c r="K958" i="5" a="1"/>
  <c r="K958" i="5" s="1"/>
  <c r="K959" i="5" a="1"/>
  <c r="K959" i="5" s="1"/>
  <c r="K960" i="5" a="1"/>
  <c r="K960" i="5" s="1"/>
  <c r="K961" i="5" a="1"/>
  <c r="K961" i="5" s="1"/>
  <c r="K962" i="5" a="1"/>
  <c r="K962" i="5"/>
  <c r="K963" i="5" a="1"/>
  <c r="K963" i="5" s="1"/>
  <c r="K964" i="5" a="1"/>
  <c r="K964" i="5"/>
  <c r="K965" i="5" a="1"/>
  <c r="K965" i="5" s="1"/>
  <c r="K966" i="5" a="1"/>
  <c r="K966" i="5" s="1"/>
  <c r="K967" i="5" a="1"/>
  <c r="K967" i="5" s="1"/>
  <c r="K968" i="5" a="1"/>
  <c r="K968" i="5" s="1"/>
  <c r="K969" i="5" a="1"/>
  <c r="K969" i="5"/>
  <c r="K970" i="5" a="1"/>
  <c r="K970" i="5" s="1"/>
  <c r="K971" i="5" a="1"/>
  <c r="K971" i="5" s="1"/>
  <c r="K972" i="5" a="1"/>
  <c r="K972" i="5" s="1"/>
  <c r="K973" i="5" a="1"/>
  <c r="K973" i="5" s="1"/>
  <c r="K974" i="5" a="1"/>
  <c r="K974" i="5" s="1"/>
  <c r="K975" i="5" a="1"/>
  <c r="K975" i="5" s="1"/>
  <c r="K976" i="5" a="1"/>
  <c r="K976" i="5"/>
  <c r="K977" i="5" a="1"/>
  <c r="K977" i="5" s="1"/>
  <c r="K978" i="5" a="1"/>
  <c r="K978" i="5"/>
  <c r="K979" i="5" a="1"/>
  <c r="K979" i="5" s="1"/>
  <c r="K980" i="5" a="1"/>
  <c r="K980" i="5" s="1"/>
  <c r="K981" i="5" a="1"/>
  <c r="K981" i="5" s="1"/>
  <c r="K982" i="5" a="1"/>
  <c r="K982" i="5" s="1"/>
  <c r="K983" i="5" a="1"/>
  <c r="K983" i="5" s="1"/>
  <c r="K984" i="5" a="1"/>
  <c r="K984" i="5" s="1"/>
  <c r="K985" i="5" a="1"/>
  <c r="K985" i="5"/>
  <c r="K986" i="5" a="1"/>
  <c r="K986" i="5" s="1"/>
  <c r="K987" i="5" a="1"/>
  <c r="K987" i="5" s="1"/>
  <c r="K988" i="5" a="1"/>
  <c r="K988" i="5" s="1"/>
  <c r="K989" i="5" a="1"/>
  <c r="K989" i="5" s="1"/>
  <c r="K990" i="5" a="1"/>
  <c r="K990" i="5" s="1"/>
  <c r="K991" i="5" a="1"/>
  <c r="K991" i="5" s="1"/>
  <c r="K992" i="5" a="1"/>
  <c r="K992" i="5" s="1"/>
  <c r="K993" i="5" a="1"/>
  <c r="K993" i="5" s="1"/>
  <c r="K994" i="5" a="1"/>
  <c r="K994" i="5" s="1"/>
  <c r="K995" i="5" a="1"/>
  <c r="K995" i="5" s="1"/>
  <c r="K996" i="5" a="1"/>
  <c r="K996" i="5" s="1"/>
  <c r="K997" i="5" a="1"/>
  <c r="K997" i="5" s="1"/>
  <c r="K998" i="5" a="1"/>
  <c r="K998" i="5"/>
  <c r="K999" i="5" a="1"/>
  <c r="K999" i="5" s="1"/>
  <c r="K1000" i="5" a="1"/>
  <c r="K1000" i="5" s="1"/>
  <c r="K1001" i="5" a="1"/>
  <c r="K1001" i="5" s="1"/>
  <c r="K1002" i="5" a="1"/>
  <c r="K1002" i="5" s="1"/>
  <c r="K1003" i="5" a="1"/>
  <c r="K1003" i="5" s="1"/>
  <c r="K1004" i="5" a="1"/>
  <c r="K1004" i="5" s="1"/>
  <c r="K1005" i="5" a="1"/>
  <c r="K1005" i="5"/>
  <c r="K1006" i="5" a="1"/>
  <c r="K1006" i="5" s="1"/>
  <c r="K1007" i="5" a="1"/>
  <c r="K1007" i="5" s="1"/>
  <c r="K1008" i="5" a="1"/>
  <c r="K1008" i="5" s="1"/>
  <c r="K1009" i="5" a="1"/>
  <c r="K1009" i="5" s="1"/>
  <c r="K1010" i="5" a="1"/>
  <c r="K1010" i="5"/>
  <c r="K1011" i="5" a="1"/>
  <c r="K1011" i="5" s="1"/>
  <c r="K1012" i="5" a="1"/>
  <c r="K1012" i="5" s="1"/>
  <c r="K1013" i="5" a="1"/>
  <c r="K1013" i="5" s="1"/>
  <c r="K1014" i="5" a="1"/>
  <c r="K1014" i="5"/>
  <c r="K1015" i="5" a="1"/>
  <c r="K1015" i="5" s="1"/>
  <c r="K1016" i="5" a="1"/>
  <c r="K1016" i="5" s="1"/>
  <c r="K1017" i="5" a="1"/>
  <c r="K1017" i="5" s="1"/>
  <c r="K1018" i="5" a="1"/>
  <c r="K1018" i="5" s="1"/>
  <c r="K1019" i="5" a="1"/>
  <c r="K1019" i="5" s="1"/>
  <c r="K1020" i="5" a="1"/>
  <c r="K1020" i="5" s="1"/>
  <c r="K1021" i="5" a="1"/>
  <c r="K1021" i="5" s="1"/>
  <c r="K1022" i="5" a="1"/>
  <c r="K1022" i="5" s="1"/>
  <c r="K1023" i="5" a="1"/>
  <c r="K1023" i="5" s="1"/>
  <c r="K1024" i="5" a="1"/>
  <c r="K1024" i="5" s="1"/>
  <c r="K1025" i="5" a="1"/>
  <c r="K1025" i="5" s="1"/>
  <c r="K1026" i="5" a="1"/>
  <c r="K1026" i="5"/>
  <c r="K1027" i="5" a="1"/>
  <c r="K1027" i="5" s="1"/>
  <c r="K1028" i="5" a="1"/>
  <c r="K1028" i="5"/>
  <c r="K1029" i="5" a="1"/>
  <c r="K1029" i="5" s="1"/>
  <c r="K1030" i="5" a="1"/>
  <c r="K1030" i="5" s="1"/>
  <c r="K1031" i="5" a="1"/>
  <c r="K1031" i="5" s="1"/>
  <c r="K1032" i="5" a="1"/>
  <c r="K1032" i="5" s="1"/>
  <c r="K1033" i="5" a="1"/>
  <c r="K1033" i="5"/>
  <c r="K1034" i="5" a="1"/>
  <c r="K1034" i="5" s="1"/>
  <c r="K1035" i="5" a="1"/>
  <c r="K1035" i="5" s="1"/>
  <c r="K1036" i="5" a="1"/>
  <c r="K1036" i="5" s="1"/>
  <c r="K1037" i="5" a="1"/>
  <c r="K1037" i="5" s="1"/>
  <c r="K1038" i="5" a="1"/>
  <c r="K1038" i="5" s="1"/>
  <c r="K1039" i="5" a="1"/>
  <c r="K1039" i="5" s="1"/>
  <c r="K1040" i="5" a="1"/>
  <c r="K1040" i="5"/>
  <c r="K1041" i="5" a="1"/>
  <c r="K1041" i="5" s="1"/>
  <c r="K1042" i="5" a="1"/>
  <c r="K1042" i="5" s="1"/>
  <c r="K1043" i="5" a="1"/>
  <c r="K1043" i="5" s="1"/>
  <c r="K1044" i="5" a="1"/>
  <c r="K1044" i="5" s="1"/>
  <c r="K1045" i="5" a="1"/>
  <c r="K1045" i="5" s="1"/>
  <c r="K1046" i="5" a="1"/>
  <c r="K1046" i="5" s="1"/>
  <c r="K1047" i="5" a="1"/>
  <c r="K1047" i="5" s="1"/>
  <c r="K1048" i="5" a="1"/>
  <c r="K1048" i="5" s="1"/>
  <c r="K1049" i="5" a="1"/>
  <c r="K1049" i="5" s="1"/>
  <c r="K1050" i="5" a="1"/>
  <c r="K1050" i="5" s="1"/>
  <c r="K1051" i="5" a="1"/>
  <c r="K1051" i="5" s="1"/>
  <c r="K1052" i="5" a="1"/>
  <c r="K1052" i="5" s="1"/>
  <c r="K1053" i="5" a="1"/>
  <c r="K1053" i="5" s="1"/>
  <c r="K1054" i="5" a="1"/>
  <c r="K1054" i="5" s="1"/>
  <c r="K1055" i="5" a="1"/>
  <c r="K1055" i="5" s="1"/>
  <c r="K1056" i="5" a="1"/>
  <c r="K1056" i="5"/>
  <c r="K1057" i="5" a="1"/>
  <c r="K1057" i="5" s="1"/>
  <c r="K1058" i="5" a="1"/>
  <c r="K1058" i="5" s="1"/>
  <c r="K1059" i="5" a="1"/>
  <c r="K1059" i="5" s="1"/>
  <c r="K1060" i="5" a="1"/>
  <c r="K1060" i="5" s="1"/>
  <c r="K1061" i="5" a="1"/>
  <c r="K1061" i="5" s="1"/>
  <c r="K1062" i="5" a="1"/>
  <c r="K1062" i="5"/>
  <c r="K1063" i="5" a="1"/>
  <c r="K1063" i="5" s="1"/>
  <c r="K1064" i="5" a="1"/>
  <c r="K1064" i="5" s="1"/>
  <c r="K1065" i="5" a="1"/>
  <c r="K1065" i="5" s="1"/>
  <c r="K1066" i="5" a="1"/>
  <c r="K1066" i="5" s="1"/>
  <c r="K1067" i="5" a="1"/>
  <c r="K1067" i="5" s="1"/>
  <c r="K1068" i="5" a="1"/>
  <c r="K1068" i="5" s="1"/>
  <c r="K1069" i="5" a="1"/>
  <c r="K1069" i="5" s="1"/>
  <c r="K1070" i="5" a="1"/>
  <c r="K1070" i="5" s="1"/>
  <c r="K1071" i="5" a="1"/>
  <c r="K1071" i="5" s="1"/>
  <c r="K1072" i="5" a="1"/>
  <c r="K1072" i="5" s="1"/>
  <c r="K1073" i="5" a="1"/>
  <c r="K1073" i="5" s="1"/>
  <c r="K1074" i="5" a="1"/>
  <c r="K1074" i="5" s="1"/>
  <c r="K1075" i="5" a="1"/>
  <c r="K1075" i="5" s="1"/>
  <c r="K1076" i="5" a="1"/>
  <c r="K1076" i="5" s="1"/>
  <c r="K1077" i="5" a="1"/>
  <c r="K1077" i="5" s="1"/>
  <c r="K1078" i="5" a="1"/>
  <c r="K1078" i="5" s="1"/>
  <c r="K1079" i="5" a="1"/>
  <c r="K1079" i="5" s="1"/>
  <c r="K1080" i="5" a="1"/>
  <c r="K1080" i="5" s="1"/>
  <c r="K1081" i="5" a="1"/>
  <c r="K1081" i="5" s="1"/>
  <c r="K1082" i="5" a="1"/>
  <c r="K1082" i="5" s="1"/>
  <c r="K1083" i="5" a="1"/>
  <c r="K1083" i="5" s="1"/>
  <c r="K1084" i="5" a="1"/>
  <c r="K1084" i="5" s="1"/>
  <c r="K1085" i="5" a="1"/>
  <c r="K1085" i="5"/>
  <c r="K1086" i="5" a="1"/>
  <c r="K1086" i="5" s="1"/>
  <c r="K1087" i="5" a="1"/>
  <c r="K1087" i="5" s="1"/>
  <c r="K1088" i="5" a="1"/>
  <c r="K1088" i="5"/>
  <c r="K1089" i="5" a="1"/>
  <c r="K1089" i="5" s="1"/>
  <c r="K1090" i="5" a="1"/>
  <c r="K1090" i="5" s="1"/>
  <c r="K1091" i="5" a="1"/>
  <c r="K1091" i="5" s="1"/>
  <c r="K1092" i="5" a="1"/>
  <c r="K1092" i="5" s="1"/>
  <c r="K1093" i="5" a="1"/>
  <c r="K1093" i="5" s="1"/>
  <c r="K1094" i="5" a="1"/>
  <c r="K1094" i="5"/>
  <c r="K1095" i="5" a="1"/>
  <c r="K1095" i="5" s="1"/>
  <c r="K1096" i="5" a="1"/>
  <c r="K1096" i="5" s="1"/>
  <c r="K1097" i="5" a="1"/>
  <c r="K1097" i="5"/>
  <c r="K1098" i="5" a="1"/>
  <c r="K1098" i="5" s="1"/>
  <c r="K1099" i="5" a="1"/>
  <c r="K1099" i="5" s="1"/>
  <c r="K1100" i="5" a="1"/>
  <c r="K1100" i="5" s="1"/>
  <c r="K1101" i="5" a="1"/>
  <c r="K1101" i="5"/>
  <c r="K1102" i="5" a="1"/>
  <c r="K1102" i="5" s="1"/>
  <c r="K1103" i="5" a="1"/>
  <c r="K1103" i="5" s="1"/>
  <c r="K1104" i="5" a="1"/>
  <c r="K1104" i="5" s="1"/>
  <c r="K1105" i="5" a="1"/>
  <c r="K1105" i="5" s="1"/>
  <c r="K1106" i="5" a="1"/>
  <c r="K1106" i="5" s="1"/>
  <c r="K1107" i="5" a="1"/>
  <c r="K1107" i="5" s="1"/>
  <c r="K1108" i="5" a="1"/>
  <c r="K1108" i="5"/>
  <c r="K1109" i="5" a="1"/>
  <c r="K1109" i="5" s="1"/>
  <c r="K1110" i="5" a="1"/>
  <c r="K1110" i="5"/>
  <c r="K1111" i="5" a="1"/>
  <c r="K1111" i="5" s="1"/>
  <c r="K1112" i="5" a="1"/>
  <c r="K1112" i="5" s="1"/>
  <c r="K1113" i="5" a="1"/>
  <c r="K1113" i="5" s="1"/>
  <c r="K1114" i="5" a="1"/>
  <c r="K1114" i="5" s="1"/>
  <c r="K1115" i="5" a="1"/>
  <c r="K1115" i="5" s="1"/>
  <c r="K1116" i="5" a="1"/>
  <c r="K1116" i="5" s="1"/>
  <c r="K1117" i="5" a="1"/>
  <c r="K1117" i="5"/>
  <c r="K1118" i="5" a="1"/>
  <c r="K1118" i="5" s="1"/>
  <c r="K1119" i="5" a="1"/>
  <c r="K1119" i="5" s="1"/>
  <c r="K1120" i="5" a="1"/>
  <c r="K1120" i="5"/>
  <c r="K1121" i="5" a="1"/>
  <c r="K1121" i="5" s="1"/>
  <c r="K1122" i="5" a="1"/>
  <c r="K1122" i="5" s="1"/>
  <c r="K1123" i="5" a="1"/>
  <c r="K1123" i="5" s="1"/>
  <c r="K1124" i="5" a="1"/>
  <c r="K1124" i="5" s="1"/>
  <c r="K1125" i="5" a="1"/>
  <c r="K1125" i="5" s="1"/>
  <c r="K1126" i="5" a="1"/>
  <c r="K1126" i="5" s="1"/>
  <c r="K1127" i="5" a="1"/>
  <c r="K1127" i="5" s="1"/>
  <c r="K1128" i="5" a="1"/>
  <c r="K1128" i="5" s="1"/>
  <c r="K1129" i="5" a="1"/>
  <c r="K1129" i="5" s="1"/>
  <c r="K1130" i="5" a="1"/>
  <c r="K1130" i="5" s="1"/>
  <c r="K1131" i="5" a="1"/>
  <c r="K1131" i="5" s="1"/>
  <c r="K1132" i="5" a="1"/>
  <c r="K1132" i="5" s="1"/>
  <c r="K1133" i="5" a="1"/>
  <c r="K1133" i="5" s="1"/>
  <c r="K1134" i="5" a="1"/>
  <c r="K1134" i="5" s="1"/>
  <c r="K1135" i="5" a="1"/>
  <c r="K1135" i="5" s="1"/>
  <c r="K1136" i="5" a="1"/>
  <c r="K1136" i="5" s="1"/>
  <c r="K1137" i="5" a="1"/>
  <c r="K1137" i="5"/>
  <c r="K1138" i="5" a="1"/>
  <c r="K1138" i="5" s="1"/>
  <c r="K1139" i="5" a="1"/>
  <c r="K1139" i="5" s="1"/>
  <c r="K1140" i="5" a="1"/>
  <c r="K1140" i="5"/>
  <c r="K1141" i="5" a="1"/>
  <c r="K1141" i="5" s="1"/>
  <c r="K1142" i="5" a="1"/>
  <c r="K1142" i="5" s="1"/>
  <c r="K1143" i="5" a="1"/>
  <c r="K1143" i="5" s="1"/>
  <c r="K1144" i="5" a="1"/>
  <c r="K1144" i="5" s="1"/>
  <c r="K1145" i="5" a="1"/>
  <c r="K1145" i="5" s="1"/>
  <c r="K1146" i="5" a="1"/>
  <c r="K1146" i="5"/>
  <c r="K1147" i="5" a="1"/>
  <c r="K1147" i="5" s="1"/>
  <c r="K1148" i="5" a="1"/>
  <c r="K1148" i="5" s="1"/>
  <c r="K1149" i="5" a="1"/>
  <c r="K1149" i="5"/>
  <c r="K1150" i="5" a="1"/>
  <c r="K1150" i="5" s="1"/>
  <c r="K1151" i="5" a="1"/>
  <c r="K1151" i="5" s="1"/>
  <c r="K1152" i="5" a="1"/>
  <c r="K1152" i="5"/>
  <c r="K1153" i="5" a="1"/>
  <c r="K1153" i="5" s="1"/>
  <c r="K1154" i="5" a="1"/>
  <c r="K1154" i="5" s="1"/>
  <c r="K1155" i="5" a="1"/>
  <c r="K1155" i="5" s="1"/>
  <c r="K1156" i="5" a="1"/>
  <c r="K1156" i="5" s="1"/>
  <c r="K1157" i="5" a="1"/>
  <c r="K1157" i="5" s="1"/>
  <c r="K1158" i="5" a="1"/>
  <c r="K1158" i="5" s="1"/>
  <c r="K1159" i="5" a="1"/>
  <c r="K1159" i="5" s="1"/>
  <c r="K1160" i="5" a="1"/>
  <c r="K1160" i="5" s="1"/>
  <c r="K1161" i="5" a="1"/>
  <c r="K1161" i="5"/>
  <c r="K1162" i="5" a="1"/>
  <c r="K1162" i="5" s="1"/>
  <c r="K1163" i="5" a="1"/>
  <c r="K1163" i="5" s="1"/>
  <c r="K1164" i="5" a="1"/>
  <c r="K1164" i="5" s="1"/>
  <c r="K1165" i="5" a="1"/>
  <c r="K1165" i="5" s="1"/>
  <c r="K1166" i="5" a="1"/>
  <c r="K1166" i="5" s="1"/>
  <c r="K1167" i="5" a="1"/>
  <c r="K1167" i="5" s="1"/>
  <c r="K1168" i="5" a="1"/>
  <c r="K1168" i="5" s="1"/>
  <c r="K1169" i="5" a="1"/>
  <c r="K1169" i="5" s="1"/>
  <c r="K1170" i="5" a="1"/>
  <c r="K1170" i="5" s="1"/>
  <c r="K1171" i="5" a="1"/>
  <c r="K1171" i="5" s="1"/>
  <c r="K1172" i="5" a="1"/>
  <c r="K1172" i="5" s="1"/>
  <c r="K1173" i="5" a="1"/>
  <c r="K1173" i="5" s="1"/>
  <c r="K1174" i="5" a="1"/>
  <c r="K1174" i="5" s="1"/>
  <c r="K1175" i="5" a="1"/>
  <c r="K1175" i="5" s="1"/>
  <c r="K1176" i="5" a="1"/>
  <c r="K1176" i="5" s="1"/>
  <c r="K1177" i="5" a="1"/>
  <c r="K1177" i="5" s="1"/>
  <c r="K1178" i="5" a="1"/>
  <c r="K1178" i="5"/>
  <c r="K1179" i="5" a="1"/>
  <c r="K1179" i="5" s="1"/>
  <c r="K1180" i="5" a="1"/>
  <c r="K1180" i="5" s="1"/>
  <c r="K1181" i="5" a="1"/>
  <c r="K1181" i="5" s="1"/>
  <c r="K1182" i="5" a="1"/>
  <c r="K1182" i="5" s="1"/>
  <c r="K1183" i="5" a="1"/>
  <c r="K1183" i="5" s="1"/>
  <c r="K1184" i="5" a="1"/>
  <c r="K1184" i="5"/>
  <c r="K1185" i="5" a="1"/>
  <c r="K1185" i="5" s="1"/>
  <c r="K1186" i="5" a="1"/>
  <c r="K1186" i="5" s="1"/>
  <c r="K1187" i="5" a="1"/>
  <c r="K1187" i="5" s="1"/>
  <c r="K1188" i="5" a="1"/>
  <c r="K1188" i="5" s="1"/>
  <c r="K1189" i="5" a="1"/>
  <c r="K1189" i="5" s="1"/>
  <c r="K1190" i="5" a="1"/>
  <c r="K1190" i="5"/>
  <c r="K1191" i="5" a="1"/>
  <c r="K1191" i="5" s="1"/>
  <c r="K1192" i="5" a="1"/>
  <c r="K1192" i="5"/>
  <c r="K1193" i="5" a="1"/>
  <c r="K1193" i="5" s="1"/>
  <c r="K1194" i="5" a="1"/>
  <c r="K1194" i="5" s="1"/>
  <c r="K1195" i="5" a="1"/>
  <c r="K1195" i="5" s="1"/>
  <c r="K1196" i="5" a="1"/>
  <c r="K1196" i="5" s="1"/>
  <c r="K1197" i="5" a="1"/>
  <c r="K1197" i="5" s="1"/>
  <c r="K1198" i="5" a="1"/>
  <c r="K1198" i="5" s="1"/>
  <c r="K1199" i="5" a="1"/>
  <c r="K1199" i="5" s="1"/>
  <c r="K1200" i="5" a="1"/>
  <c r="K1200" i="5" s="1"/>
  <c r="K1201" i="5" a="1"/>
  <c r="K1201" i="5" s="1"/>
  <c r="K1202" i="5" a="1"/>
  <c r="K1202" i="5"/>
  <c r="K1203" i="5" a="1"/>
  <c r="K1203" i="5" s="1"/>
  <c r="K1204" i="5" a="1"/>
  <c r="K1204" i="5" s="1"/>
  <c r="K1205" i="5" a="1"/>
  <c r="K1205" i="5" s="1"/>
  <c r="K1206" i="5" a="1"/>
  <c r="K1206" i="5" s="1"/>
  <c r="K1207" i="5" a="1"/>
  <c r="K1207" i="5" s="1"/>
  <c r="K1208" i="5" a="1"/>
  <c r="K1208" i="5" s="1"/>
  <c r="K1209" i="5" a="1"/>
  <c r="K1209" i="5" s="1"/>
  <c r="K1210" i="5" a="1"/>
  <c r="K1210" i="5" s="1"/>
  <c r="K1211" i="5" a="1"/>
  <c r="K1211" i="5" s="1"/>
  <c r="K1212" i="5" a="1"/>
  <c r="K1212" i="5" s="1"/>
  <c r="K1213" i="5" a="1"/>
  <c r="K1213" i="5" s="1"/>
  <c r="K1214" i="5" a="1"/>
  <c r="K1214" i="5" s="1"/>
  <c r="K1215" i="5" a="1"/>
  <c r="K1215" i="5" s="1"/>
  <c r="K1216" i="5" a="1"/>
  <c r="K1216" i="5" s="1"/>
  <c r="K1217" i="5" a="1"/>
  <c r="K1217" i="5" s="1"/>
  <c r="K1218" i="5" a="1"/>
  <c r="K1218" i="5" s="1"/>
  <c r="K1219" i="5" a="1"/>
  <c r="K1219" i="5" s="1"/>
  <c r="K1220" i="5" a="1"/>
  <c r="K1220" i="5" s="1"/>
  <c r="K1221" i="5" a="1"/>
  <c r="K1221" i="5" s="1"/>
  <c r="K1222" i="5" a="1"/>
  <c r="K1222" i="5"/>
  <c r="K1223" i="5" a="1"/>
  <c r="K1223" i="5" s="1"/>
  <c r="K1224" i="5" a="1"/>
  <c r="K1224" i="5"/>
  <c r="K1225" i="5" a="1"/>
  <c r="K1225" i="5" s="1"/>
  <c r="K1226" i="5" a="1"/>
  <c r="K1226" i="5" s="1"/>
  <c r="K1227" i="5" a="1"/>
  <c r="K1227" i="5" s="1"/>
  <c r="K1228" i="5" a="1"/>
  <c r="K1228" i="5" s="1"/>
  <c r="K1229" i="5" a="1"/>
  <c r="K1229" i="5" s="1"/>
  <c r="K1230" i="5" a="1"/>
  <c r="K1230" i="5" s="1"/>
  <c r="K1231" i="5" a="1"/>
  <c r="K1231" i="5" s="1"/>
  <c r="K1232" i="5" a="1"/>
  <c r="K1232" i="5" s="1"/>
  <c r="K1233" i="5" a="1"/>
  <c r="K1233" i="5" s="1"/>
  <c r="K1234" i="5" a="1"/>
  <c r="K1234" i="5"/>
  <c r="K1235" i="5" a="1"/>
  <c r="K1235" i="5" s="1"/>
  <c r="K1236" i="5" a="1"/>
  <c r="K1236" i="5"/>
  <c r="K1237" i="5" a="1"/>
  <c r="K1237" i="5" s="1"/>
  <c r="K1238" i="5" a="1"/>
  <c r="K1238" i="5" s="1"/>
  <c r="K1239" i="5" a="1"/>
  <c r="K1239" i="5" s="1"/>
  <c r="K1240" i="5" a="1"/>
  <c r="K1240" i="5" s="1"/>
  <c r="K1241" i="5" a="1"/>
  <c r="K1241" i="5" s="1"/>
  <c r="K1242" i="5" a="1"/>
  <c r="K1242" i="5" s="1"/>
  <c r="K1243" i="5" a="1"/>
  <c r="K1243" i="5" s="1"/>
  <c r="K1244" i="5" a="1"/>
  <c r="K1244" i="5" s="1"/>
  <c r="K1245" i="5" a="1"/>
  <c r="K1245" i="5" s="1"/>
  <c r="K1246" i="5" a="1"/>
  <c r="K1246" i="5" s="1"/>
  <c r="K1247" i="5" a="1"/>
  <c r="K1247" i="5" s="1"/>
  <c r="K1248" i="5" a="1"/>
  <c r="K1248" i="5" s="1"/>
  <c r="K1249" i="5" a="1"/>
  <c r="K1249" i="5" s="1"/>
  <c r="K1250" i="5" a="1"/>
  <c r="K1250" i="5" s="1"/>
  <c r="K1251" i="5" a="1"/>
  <c r="K1251" i="5" s="1"/>
  <c r="K1252" i="5" a="1"/>
  <c r="K1252" i="5" s="1"/>
  <c r="K1253" i="5" a="1"/>
  <c r="K1253" i="5" s="1"/>
  <c r="K1254" i="5" a="1"/>
  <c r="K1254" i="5" s="1"/>
  <c r="K1255" i="5" a="1"/>
  <c r="K1255" i="5" s="1"/>
  <c r="K1256" i="5" a="1"/>
  <c r="K1256" i="5" s="1"/>
  <c r="K1257" i="5" a="1"/>
  <c r="K1257" i="5" s="1"/>
  <c r="K1258" i="5" a="1"/>
  <c r="K1258" i="5" s="1"/>
  <c r="K1259" i="5" a="1"/>
  <c r="K1259" i="5" s="1"/>
  <c r="K1260" i="5" a="1"/>
  <c r="K1260" i="5" s="1"/>
  <c r="K1261" i="5" a="1"/>
  <c r="K1261" i="5" s="1"/>
  <c r="K1262" i="5" a="1"/>
  <c r="K1262" i="5" s="1"/>
  <c r="K1263" i="5" a="1"/>
  <c r="K1263" i="5" s="1"/>
  <c r="K1264" i="5" a="1"/>
  <c r="K1264" i="5" s="1"/>
  <c r="K1265" i="5" a="1"/>
  <c r="K1265" i="5"/>
  <c r="K1266" i="5" a="1"/>
  <c r="K1266" i="5" s="1"/>
  <c r="K1267" i="5" a="1"/>
  <c r="K1267" i="5" s="1"/>
  <c r="K1268" i="5" a="1"/>
  <c r="K1268" i="5" s="1"/>
  <c r="K1269" i="5" a="1"/>
  <c r="K1269" i="5" s="1"/>
  <c r="K1270" i="5" a="1"/>
  <c r="K1270" i="5" s="1"/>
  <c r="K1271" i="5" a="1"/>
  <c r="K1271" i="5" s="1"/>
  <c r="K1272" i="5" a="1"/>
  <c r="K1272" i="5" s="1"/>
  <c r="K1273" i="5" a="1"/>
  <c r="K1273" i="5" s="1"/>
  <c r="K1274" i="5" a="1"/>
  <c r="K1274" i="5"/>
  <c r="K1275" i="5" a="1"/>
  <c r="K1275" i="5" s="1"/>
  <c r="K1276" i="5" a="1"/>
  <c r="K1276" i="5" s="1"/>
  <c r="K1277" i="5" a="1"/>
  <c r="K1277" i="5" s="1"/>
  <c r="K1278" i="5" a="1"/>
  <c r="K1278" i="5" s="1"/>
  <c r="K1279" i="5" a="1"/>
  <c r="K1279" i="5" s="1"/>
  <c r="K1280" i="5" a="1"/>
  <c r="K1280" i="5"/>
  <c r="K1281" i="5" a="1"/>
  <c r="K1281" i="5" s="1"/>
  <c r="K1282" i="5" a="1"/>
  <c r="K1282" i="5" s="1"/>
  <c r="K1283" i="5" a="1"/>
  <c r="K1283" i="5" s="1"/>
  <c r="K1284" i="5" a="1"/>
  <c r="K1284" i="5" s="1"/>
  <c r="K1285" i="5" a="1"/>
  <c r="K1285" i="5" s="1"/>
  <c r="K1286" i="5" a="1"/>
  <c r="K1286" i="5" s="1"/>
  <c r="K1287" i="5" a="1"/>
  <c r="K1287" i="5" s="1"/>
  <c r="K1288" i="5" a="1"/>
  <c r="K1288" i="5" s="1"/>
  <c r="K1289" i="5" a="1"/>
  <c r="K1289" i="5"/>
  <c r="K1290" i="5" a="1"/>
  <c r="K1290" i="5" s="1"/>
  <c r="K1291" i="5" a="1"/>
  <c r="K1291" i="5" s="1"/>
  <c r="K1292" i="5" a="1"/>
  <c r="K1292" i="5" s="1"/>
  <c r="K1293" i="5" a="1"/>
  <c r="K1293" i="5" s="1"/>
  <c r="K1294" i="5" a="1"/>
  <c r="K1294" i="5" s="1"/>
  <c r="K1295" i="5" a="1"/>
  <c r="K1295" i="5" s="1"/>
  <c r="K1296" i="5" a="1"/>
  <c r="K1296" i="5" s="1"/>
  <c r="K1297" i="5" a="1"/>
  <c r="K1297" i="5" s="1"/>
  <c r="K1298" i="5" a="1"/>
  <c r="K1298" i="5" s="1"/>
  <c r="K1299" i="5" a="1"/>
  <c r="K1299" i="5" s="1"/>
  <c r="K1300" i="5" a="1"/>
  <c r="K1300" i="5" s="1"/>
  <c r="K1301" i="5" a="1"/>
  <c r="K1301" i="5" s="1"/>
  <c r="K1302" i="5" a="1"/>
  <c r="K1302" i="5" s="1"/>
  <c r="K1303" i="5" a="1"/>
  <c r="K1303" i="5" s="1"/>
  <c r="K1304" i="5" a="1"/>
  <c r="K1304" i="5" s="1"/>
  <c r="K1305" i="5" a="1"/>
  <c r="K1305" i="5" s="1"/>
  <c r="K1306" i="5" a="1"/>
  <c r="K1306" i="5"/>
  <c r="K1307" i="5" a="1"/>
  <c r="K1307" i="5" s="1"/>
  <c r="K1308" i="5" a="1"/>
  <c r="K1308" i="5" s="1"/>
  <c r="K1309" i="5" a="1"/>
  <c r="K1309" i="5"/>
  <c r="K1310" i="5" a="1"/>
  <c r="K1310" i="5" s="1"/>
  <c r="K1311" i="5" a="1"/>
  <c r="K1311" i="5" s="1"/>
  <c r="K1312" i="5" a="1"/>
  <c r="K1312" i="5"/>
  <c r="K1313" i="5" a="1"/>
  <c r="K1313" i="5" s="1"/>
  <c r="K1314" i="5" a="1"/>
  <c r="K1314" i="5" s="1"/>
  <c r="K1315" i="5" a="1"/>
  <c r="K1315" i="5" s="1"/>
  <c r="K1316" i="5" a="1"/>
  <c r="K1316" i="5" s="1"/>
  <c r="K1317" i="5" a="1"/>
  <c r="K1317" i="5" s="1"/>
  <c r="K1318" i="5" a="1"/>
  <c r="K1318" i="5" s="1"/>
  <c r="K1319" i="5" a="1"/>
  <c r="K1319" i="5" s="1"/>
  <c r="K1320" i="5" a="1"/>
  <c r="K1320" i="5" s="1"/>
  <c r="K1321" i="5" a="1"/>
  <c r="K1321" i="5"/>
  <c r="K1322" i="5" a="1"/>
  <c r="K1322" i="5" s="1"/>
  <c r="K1323" i="5" a="1"/>
  <c r="K1323" i="5" s="1"/>
  <c r="K1324" i="5" a="1"/>
  <c r="K1324" i="5" s="1"/>
  <c r="K1325" i="5" a="1"/>
  <c r="K1325" i="5" s="1"/>
  <c r="K1326" i="5" a="1"/>
  <c r="K1326" i="5" s="1"/>
  <c r="K1327" i="5" a="1"/>
  <c r="K1327" i="5" s="1"/>
  <c r="K1328" i="5" a="1"/>
  <c r="K1328" i="5" s="1"/>
  <c r="K1329" i="5" a="1"/>
  <c r="K1329" i="5"/>
  <c r="K1330" i="5" a="1"/>
  <c r="K1330" i="5" s="1"/>
  <c r="K1331" i="5" a="1"/>
  <c r="K1331" i="5" s="1"/>
  <c r="K1332" i="5" a="1"/>
  <c r="K1332" i="5" s="1"/>
  <c r="K1333" i="5" a="1"/>
  <c r="K1333" i="5" s="1"/>
  <c r="K1334" i="5" a="1"/>
  <c r="K1334" i="5" s="1"/>
  <c r="K1335" i="5" a="1"/>
  <c r="K1335" i="5" s="1"/>
  <c r="K1336" i="5" a="1"/>
  <c r="K1336" i="5" s="1"/>
  <c r="K1337" i="5" a="1"/>
  <c r="K1337" i="5" s="1"/>
  <c r="K1338" i="5" a="1"/>
  <c r="K1338" i="5" s="1"/>
  <c r="K1339" i="5" a="1"/>
  <c r="K1339" i="5" s="1"/>
  <c r="K1340" i="5" a="1"/>
  <c r="K1340" i="5" s="1"/>
  <c r="K1341" i="5" a="1"/>
  <c r="K1341" i="5"/>
  <c r="K1342" i="5" a="1"/>
  <c r="K1342" i="5" s="1"/>
  <c r="K1343" i="5" a="1"/>
  <c r="K1343" i="5" s="1"/>
  <c r="K1344" i="5" a="1"/>
  <c r="K1344" i="5" s="1"/>
  <c r="K1345" i="5" a="1"/>
  <c r="K1345" i="5" s="1"/>
  <c r="K1346" i="5" a="1"/>
  <c r="K1346" i="5" s="1"/>
  <c r="K1347" i="5" a="1"/>
  <c r="K1347" i="5" s="1"/>
  <c r="K1348" i="5" a="1"/>
  <c r="K1348" i="5" s="1"/>
  <c r="K1349" i="5" a="1"/>
  <c r="K1349" i="5" s="1"/>
  <c r="K1350" i="5" a="1"/>
  <c r="K1350" i="5"/>
  <c r="K1351" i="5" a="1"/>
  <c r="K1351" i="5" s="1"/>
  <c r="K1352" i="5" a="1"/>
  <c r="K1352" i="5"/>
  <c r="K1353" i="5" a="1"/>
  <c r="K1353" i="5"/>
  <c r="K1354" i="5" a="1"/>
  <c r="K1354" i="5" s="1"/>
  <c r="K1355" i="5" a="1"/>
  <c r="K1355" i="5" s="1"/>
  <c r="K1356" i="5" a="1"/>
  <c r="K1356" i="5" s="1"/>
  <c r="K1357" i="5" a="1"/>
  <c r="K1357" i="5" s="1"/>
  <c r="K1358" i="5" a="1"/>
  <c r="K1358" i="5" s="1"/>
  <c r="K1359" i="5" a="1"/>
  <c r="K1359" i="5" s="1"/>
  <c r="K1360" i="5" a="1"/>
  <c r="K1360" i="5" s="1"/>
  <c r="K1361" i="5" a="1"/>
  <c r="K1361" i="5" s="1"/>
  <c r="K1362" i="5" a="1"/>
  <c r="K1362" i="5"/>
  <c r="K1363" i="5" a="1"/>
  <c r="K1363" i="5" s="1"/>
  <c r="K1364" i="5" a="1"/>
  <c r="K1364" i="5"/>
  <c r="K1365" i="5" a="1"/>
  <c r="K1365" i="5" s="1"/>
  <c r="K1366" i="5" a="1"/>
  <c r="K1366" i="5" s="1"/>
  <c r="K1367" i="5" a="1"/>
  <c r="K1367" i="5" s="1"/>
  <c r="K1368" i="5" a="1"/>
  <c r="K1368" i="5" s="1"/>
  <c r="K1369" i="5" a="1"/>
  <c r="K1369" i="5" s="1"/>
  <c r="K1370" i="5" a="1"/>
  <c r="K1370" i="5" s="1"/>
  <c r="K1371" i="5" a="1"/>
  <c r="K1371" i="5" s="1"/>
  <c r="K1372" i="5" a="1"/>
  <c r="K1372" i="5" s="1"/>
  <c r="K1373" i="5" a="1"/>
  <c r="K1373" i="5" s="1"/>
  <c r="K1374" i="5" a="1"/>
  <c r="K1374" i="5" s="1"/>
  <c r="K1375" i="5" a="1"/>
  <c r="K1375" i="5" s="1"/>
  <c r="K1376" i="5" a="1"/>
  <c r="K1376" i="5" s="1"/>
  <c r="K1377" i="5" a="1"/>
  <c r="K1377" i="5" s="1"/>
  <c r="K1378" i="5" a="1"/>
  <c r="K1378" i="5" s="1"/>
  <c r="K1379" i="5" a="1"/>
  <c r="K1379" i="5" s="1"/>
  <c r="K1380" i="5" a="1"/>
  <c r="K1380" i="5" s="1"/>
  <c r="K1381" i="5" a="1"/>
  <c r="K1381" i="5" s="1"/>
  <c r="K1382" i="5" a="1"/>
  <c r="K1382" i="5" s="1"/>
  <c r="K1383" i="5" a="1"/>
  <c r="K1383" i="5" s="1"/>
  <c r="K1384" i="5" a="1"/>
  <c r="K1384" i="5"/>
  <c r="K1385" i="5" a="1"/>
  <c r="K1385" i="5" s="1"/>
  <c r="K1386" i="5" a="1"/>
  <c r="K1386" i="5" s="1"/>
  <c r="K1387" i="5" a="1"/>
  <c r="K1387" i="5" s="1"/>
  <c r="K1388" i="5" a="1"/>
  <c r="K1388" i="5" s="1"/>
  <c r="K1389" i="5" a="1"/>
  <c r="K1389" i="5" s="1"/>
  <c r="K1390" i="5" a="1"/>
  <c r="K1390" i="5" s="1"/>
  <c r="K1391" i="5" a="1"/>
  <c r="K1391" i="5" s="1"/>
  <c r="K1392" i="5" a="1"/>
  <c r="K1392" i="5" s="1"/>
  <c r="K1393" i="5" a="1"/>
  <c r="K1393" i="5" s="1"/>
  <c r="K1394" i="5" a="1"/>
  <c r="K1394" i="5" s="1"/>
  <c r="K1395" i="5" a="1"/>
  <c r="K1395" i="5" s="1"/>
  <c r="K1396" i="5" a="1"/>
  <c r="K1396" i="5"/>
  <c r="K1397" i="5" a="1"/>
  <c r="K1397" i="5" s="1"/>
  <c r="K1398" i="5" a="1"/>
  <c r="K1398" i="5" s="1"/>
  <c r="K1399" i="5" a="1"/>
  <c r="K1399" i="5" s="1"/>
  <c r="K1400" i="5" a="1"/>
  <c r="K1400" i="5" s="1"/>
  <c r="K1401" i="5" a="1"/>
  <c r="K1401" i="5" s="1"/>
  <c r="K1402" i="5" a="1"/>
  <c r="K1402" i="5" s="1"/>
  <c r="K1403" i="5" a="1"/>
  <c r="K1403" i="5" s="1"/>
  <c r="K1404" i="5" a="1"/>
  <c r="K1404" i="5" s="1"/>
  <c r="K1405" i="5" a="1"/>
  <c r="K1405" i="5"/>
  <c r="K1406" i="5" a="1"/>
  <c r="K1406" i="5" s="1"/>
  <c r="K1407" i="5" a="1"/>
  <c r="K1407" i="5" s="1"/>
  <c r="K1408" i="5" a="1"/>
  <c r="K1408" i="5" s="1"/>
  <c r="K1409" i="5" a="1"/>
  <c r="K1409" i="5" s="1"/>
  <c r="K1410" i="5" a="1"/>
  <c r="K1410" i="5" s="1"/>
  <c r="K1411" i="5" a="1"/>
  <c r="K1411" i="5" s="1"/>
  <c r="K1412" i="5" a="1"/>
  <c r="K1412" i="5" s="1"/>
  <c r="K1413" i="5" a="1"/>
  <c r="K1413" i="5" s="1"/>
  <c r="K1414" i="5" a="1"/>
  <c r="K1414" i="5" s="1"/>
  <c r="K1415" i="5" a="1"/>
  <c r="K1415" i="5" s="1"/>
  <c r="K1416" i="5" a="1"/>
  <c r="K1416" i="5"/>
  <c r="K1417" i="5" a="1"/>
  <c r="K1417" i="5" s="1"/>
  <c r="K1418" i="5" a="1"/>
  <c r="K1418" i="5" s="1"/>
  <c r="K1419" i="5" a="1"/>
  <c r="K1419" i="5" s="1"/>
  <c r="K1420" i="5" a="1"/>
  <c r="K1420" i="5" s="1"/>
  <c r="K1421" i="5" a="1"/>
  <c r="K1421" i="5" s="1"/>
  <c r="K1422" i="5" a="1"/>
  <c r="K1422" i="5" s="1"/>
  <c r="K1423" i="5" a="1"/>
  <c r="K1423" i="5" s="1"/>
  <c r="K1424" i="5" a="1"/>
  <c r="K1424" i="5" s="1"/>
  <c r="K1425" i="5" a="1"/>
  <c r="K1425" i="5"/>
  <c r="K1426" i="5" a="1"/>
  <c r="K1426" i="5" s="1"/>
  <c r="K1427" i="5" a="1"/>
  <c r="K1427" i="5" s="1"/>
  <c r="K1428" i="5" a="1"/>
  <c r="K1428" i="5"/>
  <c r="K1429" i="5" a="1"/>
  <c r="K1429" i="5" s="1"/>
  <c r="K1430" i="5" a="1"/>
  <c r="K1430" i="5" s="1"/>
  <c r="K1431" i="5" a="1"/>
  <c r="K1431" i="5" s="1"/>
  <c r="K1432" i="5" a="1"/>
  <c r="K1432" i="5" s="1"/>
  <c r="K1433" i="5" a="1"/>
  <c r="K1433" i="5" s="1"/>
  <c r="K1434" i="5" a="1"/>
  <c r="K1434" i="5"/>
  <c r="K1435" i="5" a="1"/>
  <c r="K1435" i="5" s="1"/>
  <c r="K1436" i="5" a="1"/>
  <c r="K1436" i="5" s="1"/>
  <c r="K1437" i="5" a="1"/>
  <c r="K1437" i="5"/>
  <c r="K1438" i="5" a="1"/>
  <c r="K1438" i="5" s="1"/>
  <c r="K1439" i="5" a="1"/>
  <c r="K1439" i="5" s="1"/>
  <c r="K1440" i="5" a="1"/>
  <c r="K1440" i="5" s="1"/>
  <c r="K1441" i="5" a="1"/>
  <c r="K1441" i="5" s="1"/>
  <c r="K1442" i="5" a="1"/>
  <c r="K1442" i="5" s="1"/>
  <c r="K1443" i="5" a="1"/>
  <c r="K1443" i="5" s="1"/>
  <c r="K1444" i="5" a="1"/>
  <c r="K1444" i="5" s="1"/>
  <c r="K1445" i="5" a="1"/>
  <c r="K1445" i="5" s="1"/>
  <c r="K1446" i="5" a="1"/>
  <c r="K1446" i="5"/>
  <c r="K1447" i="5" a="1"/>
  <c r="K1447" i="5" s="1"/>
  <c r="K1448" i="5" a="1"/>
  <c r="K1448" i="5" s="1"/>
  <c r="K1449" i="5" a="1"/>
  <c r="K1449" i="5"/>
  <c r="K1450" i="5" a="1"/>
  <c r="K1450" i="5" s="1"/>
  <c r="K1451" i="5" a="1"/>
  <c r="K1451" i="5" s="1"/>
  <c r="K1452" i="5" a="1"/>
  <c r="K1452" i="5" s="1"/>
  <c r="K1453" i="5" a="1"/>
  <c r="K1453" i="5" s="1"/>
  <c r="K1454" i="5" a="1"/>
  <c r="K1454" i="5" s="1"/>
  <c r="K1455" i="5" a="1"/>
  <c r="K1455" i="5" s="1"/>
  <c r="K1456" i="5" a="1"/>
  <c r="K1456" i="5" s="1"/>
  <c r="K1457" i="5" a="1"/>
  <c r="K1457" i="5"/>
  <c r="K1458" i="5" a="1"/>
  <c r="K1458" i="5" s="1"/>
  <c r="K1459" i="5" a="1"/>
  <c r="K1459" i="5" s="1"/>
  <c r="K1460" i="5" a="1"/>
  <c r="K1460" i="5" s="1"/>
  <c r="K1461" i="5" a="1"/>
  <c r="K1461" i="5" s="1"/>
  <c r="K1462" i="5" a="1"/>
  <c r="K1462" i="5" s="1"/>
  <c r="K1463" i="5" a="1"/>
  <c r="K1463" i="5" s="1"/>
  <c r="K1464" i="5" a="1"/>
  <c r="K1464" i="5" s="1"/>
  <c r="K1465" i="5" a="1"/>
  <c r="K1465" i="5" s="1"/>
  <c r="K1466" i="5" a="1"/>
  <c r="K1466" i="5"/>
  <c r="K1467" i="5" a="1"/>
  <c r="K1467" i="5" s="1"/>
  <c r="K1468" i="5" a="1"/>
  <c r="K1468" i="5" s="1"/>
  <c r="K1469" i="5" a="1"/>
  <c r="K1469" i="5"/>
  <c r="K1470" i="5" a="1"/>
  <c r="K1470" i="5" s="1"/>
  <c r="K1471" i="5" a="1"/>
  <c r="K1471" i="5" s="1"/>
  <c r="K1472" i="5" a="1"/>
  <c r="K1472" i="5"/>
  <c r="K1473" i="5" a="1"/>
  <c r="K1473" i="5" s="1"/>
  <c r="K1474" i="5" a="1"/>
  <c r="K1474" i="5" s="1"/>
  <c r="K1475" i="5" a="1"/>
  <c r="K1475" i="5" s="1"/>
  <c r="K1476" i="5" a="1"/>
  <c r="K1476" i="5" s="1"/>
  <c r="K1477" i="5" a="1"/>
  <c r="K1477" i="5" s="1"/>
  <c r="K1478" i="5" a="1"/>
  <c r="K1478" i="5" s="1"/>
  <c r="K1479" i="5" a="1"/>
  <c r="K1479" i="5" s="1"/>
  <c r="K1480" i="5" a="1"/>
  <c r="K1480" i="5"/>
  <c r="K1481" i="5" a="1"/>
  <c r="K1481" i="5"/>
  <c r="K1482" i="5" a="1"/>
  <c r="K1482" i="5" s="1"/>
  <c r="K1483" i="5" a="1"/>
  <c r="K1483" i="5" s="1"/>
  <c r="K1484" i="5" a="1"/>
  <c r="K1484" i="5" s="1"/>
  <c r="K1485" i="5" a="1"/>
  <c r="K1485" i="5" s="1"/>
  <c r="K1486" i="5" a="1"/>
  <c r="K1486" i="5" s="1"/>
  <c r="K1487" i="5" a="1"/>
  <c r="K1487" i="5" s="1"/>
  <c r="K1488" i="5" a="1"/>
  <c r="K1488" i="5" s="1"/>
  <c r="K1489" i="5" a="1"/>
  <c r="K1489" i="5" s="1"/>
  <c r="K1490" i="5" a="1"/>
  <c r="K1490" i="5" s="1"/>
  <c r="K1491" i="5" a="1"/>
  <c r="K1491" i="5" s="1"/>
  <c r="K1492" i="5" a="1"/>
  <c r="K1492" i="5" s="1"/>
  <c r="K1493" i="5" a="1"/>
  <c r="K1493" i="5" s="1"/>
  <c r="K1494" i="5" a="1"/>
  <c r="K1494" i="5" s="1"/>
  <c r="K1495" i="5" a="1"/>
  <c r="K1495" i="5" s="1"/>
  <c r="K1496" i="5" a="1"/>
  <c r="K1496" i="5" s="1"/>
  <c r="K1497" i="5" a="1"/>
  <c r="K1497" i="5" s="1"/>
  <c r="K1498" i="5" a="1"/>
  <c r="K1498" i="5" s="1"/>
  <c r="K1499" i="5" a="1"/>
  <c r="K1499" i="5" s="1"/>
  <c r="K1500" i="5" a="1"/>
  <c r="K1500" i="5" s="1"/>
  <c r="K1501" i="5" a="1"/>
  <c r="K1501" i="5" s="1"/>
  <c r="K1502" i="5" a="1"/>
  <c r="K1502" i="5" s="1"/>
  <c r="K1503" i="5" a="1"/>
  <c r="K1503" i="5" s="1"/>
  <c r="K1504" i="5" a="1"/>
  <c r="K1504" i="5" s="1"/>
  <c r="K1505" i="5" a="1"/>
  <c r="K1505" i="5" s="1"/>
  <c r="K1506" i="5" a="1"/>
  <c r="K1506" i="5" s="1"/>
  <c r="K1507" i="5" a="1"/>
  <c r="K1507" i="5" s="1"/>
  <c r="K1508" i="5" a="1"/>
  <c r="K1508" i="5" s="1"/>
  <c r="K1509" i="5" a="1"/>
  <c r="K1509" i="5" s="1"/>
  <c r="K1510" i="5" a="1"/>
  <c r="K1510" i="5"/>
  <c r="K1511" i="5" a="1"/>
  <c r="K1511" i="5" s="1"/>
  <c r="K1512" i="5" a="1"/>
  <c r="K1512" i="5"/>
  <c r="K1513" i="5" a="1"/>
  <c r="K1513" i="5" s="1"/>
  <c r="K1514" i="5" a="1"/>
  <c r="K1514" i="5" s="1"/>
  <c r="K1515" i="5" a="1"/>
  <c r="K1515" i="5" s="1"/>
  <c r="K1516" i="5" a="1"/>
  <c r="K1516" i="5" s="1"/>
  <c r="K1517" i="5" a="1"/>
  <c r="K1517" i="5" s="1"/>
  <c r="K1518" i="5" a="1"/>
  <c r="K1518" i="5" s="1"/>
  <c r="K1519" i="5" a="1"/>
  <c r="K1519" i="5" s="1"/>
  <c r="K1520" i="5" a="1"/>
  <c r="K1520" i="5"/>
  <c r="K1521" i="5" a="1"/>
  <c r="K1521" i="5"/>
  <c r="K1522" i="5" a="1"/>
  <c r="K1522" i="5" s="1"/>
  <c r="K1523" i="5" a="1"/>
  <c r="K1523" i="5" s="1"/>
  <c r="K1524" i="5" a="1"/>
  <c r="K1524" i="5" s="1"/>
  <c r="K1525" i="5" a="1"/>
  <c r="K1525" i="5" s="1"/>
  <c r="K1526" i="5" a="1"/>
  <c r="K1526" i="5" s="1"/>
  <c r="K1527" i="5" a="1"/>
  <c r="K1527" i="5" s="1"/>
  <c r="K1528" i="5" a="1"/>
  <c r="K1528" i="5" s="1"/>
  <c r="K1529" i="5" a="1"/>
  <c r="K1529" i="5" s="1"/>
  <c r="K1530" i="5" a="1"/>
  <c r="K1530" i="5" s="1"/>
  <c r="K1531" i="5" a="1"/>
  <c r="K1531" i="5" s="1"/>
  <c r="K1532" i="5" a="1"/>
  <c r="K1532" i="5"/>
  <c r="K1533" i="5" a="1"/>
  <c r="K1533" i="5"/>
  <c r="K1534" i="5" a="1"/>
  <c r="K1534" i="5" s="1"/>
  <c r="K1535" i="5" a="1"/>
  <c r="K1535" i="5" s="1"/>
  <c r="K1536" i="5" a="1"/>
  <c r="K1536" i="5" s="1"/>
  <c r="K1537" i="5" a="1"/>
  <c r="K1537" i="5" s="1"/>
  <c r="K1538" i="5" a="1"/>
  <c r="K1538" i="5" s="1"/>
  <c r="K1539" i="5" a="1"/>
  <c r="K1539" i="5" s="1"/>
  <c r="K1540" i="5" a="1"/>
  <c r="K1540" i="5" s="1"/>
  <c r="K1541" i="5" a="1"/>
  <c r="K1541" i="5" s="1"/>
  <c r="K1542" i="5" a="1"/>
  <c r="K1542" i="5" s="1"/>
  <c r="K1543" i="5" a="1"/>
  <c r="K1543" i="5" s="1"/>
  <c r="K1544" i="5" a="1"/>
  <c r="K1544" i="5" s="1"/>
  <c r="K1545" i="5" a="1"/>
  <c r="K1545" i="5" s="1"/>
  <c r="K1546" i="5" a="1"/>
  <c r="K1546" i="5" s="1"/>
  <c r="K1547" i="5" a="1"/>
  <c r="K1547" i="5" s="1"/>
  <c r="K1548" i="5" a="1"/>
  <c r="K1548" i="5" s="1"/>
  <c r="K1549" i="5" a="1"/>
  <c r="K1549" i="5"/>
  <c r="K1550" i="5" a="1"/>
  <c r="K1550" i="5"/>
  <c r="K1551" i="5" a="1"/>
  <c r="K1551" i="5" s="1"/>
  <c r="K1552" i="5" a="1"/>
  <c r="K1552" i="5" s="1"/>
  <c r="K1553" i="5" a="1"/>
  <c r="K1553" i="5" s="1"/>
  <c r="K1554" i="5" a="1"/>
  <c r="K1554" i="5" s="1"/>
  <c r="K1555" i="5" a="1"/>
  <c r="K1555" i="5" s="1"/>
  <c r="K1556" i="5" a="1"/>
  <c r="K1556" i="5"/>
  <c r="K1557" i="5" a="1"/>
  <c r="K1557" i="5" s="1"/>
  <c r="K1558" i="5" a="1"/>
  <c r="K1558" i="5"/>
  <c r="K1559" i="5" a="1"/>
  <c r="K1559" i="5" s="1"/>
  <c r="K1560" i="5" a="1"/>
  <c r="K1560" i="5" s="1"/>
  <c r="K1561" i="5" a="1"/>
  <c r="K1561" i="5" s="1"/>
  <c r="K1562" i="5" a="1"/>
  <c r="K1562" i="5" s="1"/>
  <c r="K1563" i="5" a="1"/>
  <c r="K1563" i="5" s="1"/>
  <c r="K1564" i="5" a="1"/>
  <c r="K1564" i="5" s="1"/>
  <c r="K1565" i="5" a="1"/>
  <c r="K1565" i="5" s="1"/>
  <c r="K1566" i="5" a="1"/>
  <c r="K1566" i="5"/>
  <c r="K1567" i="5" a="1"/>
  <c r="K1567" i="5" s="1"/>
  <c r="K1568" i="5" a="1"/>
  <c r="K1568" i="5" s="1"/>
  <c r="K1569" i="5" a="1"/>
  <c r="K1569" i="5" s="1"/>
  <c r="K1570" i="5" a="1"/>
  <c r="K1570" i="5" s="1"/>
  <c r="K1571" i="5" a="1"/>
  <c r="K1571" i="5" s="1"/>
  <c r="K1572" i="5" a="1"/>
  <c r="K1572" i="5" s="1"/>
  <c r="K1573" i="5" a="1"/>
  <c r="K1573" i="5" s="1"/>
  <c r="K1574" i="5" a="1"/>
  <c r="K1574" i="5" s="1"/>
  <c r="K1575" i="5" a="1"/>
  <c r="K1575" i="5" s="1"/>
  <c r="K1576" i="5" a="1"/>
  <c r="K1576" i="5" s="1"/>
  <c r="K1577" i="5" a="1"/>
  <c r="K1577" i="5" s="1"/>
  <c r="K1578" i="5" a="1"/>
  <c r="K1578" i="5" s="1"/>
  <c r="K1579" i="5" a="1"/>
  <c r="K1579" i="5" s="1"/>
  <c r="K1580" i="5" a="1"/>
  <c r="K1580" i="5" s="1"/>
  <c r="K1581" i="5" a="1"/>
  <c r="K1581" i="5"/>
  <c r="K1582" i="5" a="1"/>
  <c r="K1582" i="5" s="1"/>
  <c r="K1583" i="5" a="1"/>
  <c r="K1583" i="5" s="1"/>
  <c r="K1584" i="5" a="1"/>
  <c r="K1584" i="5" s="1"/>
  <c r="K1585" i="5" a="1"/>
  <c r="K1585" i="5" s="1"/>
  <c r="K1586" i="5" a="1"/>
  <c r="K1586" i="5" s="1"/>
  <c r="K1587" i="5" a="1"/>
  <c r="K1587" i="5" s="1"/>
  <c r="K1588" i="5" a="1"/>
  <c r="K1588" i="5" s="1"/>
  <c r="K1589" i="5" a="1"/>
  <c r="K1589" i="5" s="1"/>
  <c r="K1590" i="5" a="1"/>
  <c r="K1590" i="5" s="1"/>
  <c r="K1591" i="5" a="1"/>
  <c r="K1591" i="5" s="1"/>
  <c r="K1592" i="5" a="1"/>
  <c r="K1592" i="5" s="1"/>
  <c r="K1593" i="5" a="1"/>
  <c r="K1593" i="5" s="1"/>
  <c r="K1594" i="5" a="1"/>
  <c r="K1594" i="5" s="1"/>
  <c r="K1595" i="5" a="1"/>
  <c r="K1595" i="5" s="1"/>
  <c r="K1596" i="5" a="1"/>
  <c r="K1596" i="5"/>
  <c r="K1597" i="5" a="1"/>
  <c r="K1597" i="5" s="1"/>
  <c r="K1598" i="5" a="1"/>
  <c r="K1598" i="5" s="1"/>
  <c r="K1599" i="5" a="1"/>
  <c r="K1599" i="5" s="1"/>
  <c r="K1600" i="5" a="1"/>
  <c r="K1600" i="5" s="1"/>
  <c r="K1601" i="5" a="1"/>
  <c r="K1601" i="5" s="1"/>
  <c r="K1602" i="5" a="1"/>
  <c r="K1602" i="5" s="1"/>
  <c r="K1603" i="5" a="1"/>
  <c r="K1603" i="5" s="1"/>
  <c r="K1604" i="5" a="1"/>
  <c r="K1604" i="5" s="1"/>
  <c r="K1605" i="5" a="1"/>
  <c r="K1605" i="5"/>
  <c r="K1606" i="5" a="1"/>
  <c r="K1606" i="5"/>
  <c r="K1607" i="5" a="1"/>
  <c r="K1607" i="5" s="1"/>
  <c r="K1608" i="5" a="1"/>
  <c r="K1608" i="5" s="1"/>
  <c r="K1609" i="5" a="1"/>
  <c r="K1609" i="5" s="1"/>
  <c r="K1610" i="5" a="1"/>
  <c r="K1610" i="5" s="1"/>
  <c r="K1611" i="5" a="1"/>
  <c r="K1611" i="5" s="1"/>
  <c r="K1612" i="5" a="1"/>
  <c r="K1612" i="5" s="1"/>
  <c r="K1613" i="5" a="1"/>
  <c r="K1613" i="5" s="1"/>
  <c r="K1614" i="5" a="1"/>
  <c r="K1614" i="5"/>
  <c r="K1615" i="5" a="1"/>
  <c r="K1615" i="5" s="1"/>
  <c r="K1616" i="5" a="1"/>
  <c r="K1616" i="5" s="1"/>
  <c r="K1617" i="5" a="1"/>
  <c r="K1617" i="5" s="1"/>
  <c r="K1618" i="5" a="1"/>
  <c r="K1618" i="5"/>
  <c r="K1619" i="5" a="1"/>
  <c r="K1619" i="5" s="1"/>
  <c r="K1620" i="5" a="1"/>
  <c r="K1620" i="5"/>
  <c r="K1621" i="5" a="1"/>
  <c r="K1621" i="5" s="1"/>
  <c r="K1622" i="5" a="1"/>
  <c r="K1622" i="5" s="1"/>
  <c r="K1623" i="5" a="1"/>
  <c r="K1623" i="5" s="1"/>
  <c r="K1624" i="5" a="1"/>
  <c r="K1624" i="5" s="1"/>
  <c r="K1625" i="5" a="1"/>
  <c r="K1625" i="5" s="1"/>
  <c r="K1626" i="5" a="1"/>
  <c r="K1626" i="5" s="1"/>
  <c r="K1627" i="5" a="1"/>
  <c r="K1627" i="5" s="1"/>
  <c r="K1628" i="5" a="1"/>
  <c r="K1628" i="5" s="1"/>
  <c r="K1629" i="5" a="1"/>
  <c r="K1629" i="5" s="1"/>
  <c r="K1630" i="5" a="1"/>
  <c r="K1630" i="5" s="1"/>
  <c r="K1631" i="5" a="1"/>
  <c r="K1631" i="5" s="1"/>
  <c r="K1632" i="5" a="1"/>
  <c r="K1632" i="5"/>
  <c r="K1633" i="5" a="1"/>
  <c r="K1633" i="5" s="1"/>
  <c r="K1634" i="5" a="1"/>
  <c r="K1634" i="5" s="1"/>
  <c r="K1635" i="5" a="1"/>
  <c r="K1635" i="5" s="1"/>
  <c r="K1636" i="5" a="1"/>
  <c r="K1636" i="5"/>
  <c r="K1637" i="5" a="1"/>
  <c r="K1637" i="5"/>
  <c r="K1638" i="5" a="1"/>
  <c r="K1638" i="5" s="1"/>
  <c r="K1639" i="5" a="1"/>
  <c r="K1639" i="5" s="1"/>
  <c r="K1640" i="5" a="1"/>
  <c r="K1640" i="5" s="1"/>
  <c r="K1641" i="5" a="1"/>
  <c r="K1641" i="5" s="1"/>
  <c r="K1642" i="5" a="1"/>
  <c r="K1642" i="5" s="1"/>
  <c r="K1643" i="5" a="1"/>
  <c r="K1643" i="5" s="1"/>
  <c r="K1644" i="5" a="1"/>
  <c r="K1644" i="5" s="1"/>
  <c r="K1645" i="5" a="1"/>
  <c r="K1645" i="5" s="1"/>
  <c r="K1646" i="5" a="1"/>
  <c r="K1646" i="5" s="1"/>
  <c r="K1647" i="5" a="1"/>
  <c r="K1647" i="5" s="1"/>
  <c r="K1648" i="5" a="1"/>
  <c r="K1648" i="5" s="1"/>
  <c r="K1649" i="5" a="1"/>
  <c r="K1649" i="5" s="1"/>
  <c r="K1650" i="5" a="1"/>
  <c r="K1650" i="5" s="1"/>
  <c r="K1651" i="5" a="1"/>
  <c r="K1651" i="5" s="1"/>
  <c r="K1652" i="5" a="1"/>
  <c r="K1652" i="5" s="1"/>
  <c r="K1653" i="5" a="1"/>
  <c r="K1653" i="5" s="1"/>
  <c r="K1654" i="5" a="1"/>
  <c r="K1654" i="5" s="1"/>
  <c r="K1655" i="5" a="1"/>
  <c r="K1655" i="5" s="1"/>
  <c r="K1656" i="5" a="1"/>
  <c r="K1656" i="5" s="1"/>
  <c r="K1657" i="5" a="1"/>
  <c r="K1657" i="5" s="1"/>
  <c r="K1658" i="5" a="1"/>
  <c r="K1658" i="5" s="1"/>
  <c r="K1659" i="5" a="1"/>
  <c r="K1659" i="5" s="1"/>
  <c r="K1660" i="5" a="1"/>
  <c r="K1660" i="5" s="1"/>
  <c r="K1661" i="5" a="1"/>
  <c r="K1661" i="5" s="1"/>
  <c r="K1662" i="5" a="1"/>
  <c r="K1662" i="5" s="1"/>
  <c r="K1663" i="5" a="1"/>
  <c r="K1663" i="5" s="1"/>
  <c r="K1664" i="5" a="1"/>
  <c r="K1664" i="5" s="1"/>
  <c r="K1665" i="5" a="1"/>
  <c r="K1665" i="5" s="1"/>
  <c r="K1666" i="5" a="1"/>
  <c r="K1666" i="5" s="1"/>
  <c r="K1667" i="5" a="1"/>
  <c r="K1667" i="5" s="1"/>
  <c r="K1668" i="5" a="1"/>
  <c r="K1668" i="5" s="1"/>
  <c r="K1669" i="5" a="1"/>
  <c r="K1669" i="5" s="1"/>
  <c r="K1670" i="5" a="1"/>
  <c r="K1670" i="5" s="1"/>
  <c r="K1671" i="5" a="1"/>
  <c r="K1671" i="5" s="1"/>
  <c r="K1672" i="5" a="1"/>
  <c r="K1672" i="5" s="1"/>
  <c r="K1673" i="5" a="1"/>
  <c r="K1673" i="5" s="1"/>
  <c r="K1674" i="5" a="1"/>
  <c r="K1674" i="5" s="1"/>
  <c r="K1675" i="5" a="1"/>
  <c r="K1675" i="5" s="1"/>
  <c r="K1676" i="5" a="1"/>
  <c r="K1676" i="5" s="1"/>
  <c r="K1677" i="5" a="1"/>
  <c r="K1677" i="5" s="1"/>
  <c r="K1678" i="5" a="1"/>
  <c r="K1678" i="5" s="1"/>
  <c r="K1679" i="5" a="1"/>
  <c r="K1679" i="5" s="1"/>
  <c r="K1680" i="5" a="1"/>
  <c r="K1680" i="5" s="1"/>
  <c r="K1681" i="5" a="1"/>
  <c r="K1681" i="5" s="1"/>
  <c r="K1682" i="5" a="1"/>
  <c r="K1682" i="5" s="1"/>
  <c r="K1683" i="5" a="1"/>
  <c r="K1683" i="5" s="1"/>
  <c r="K1684" i="5" a="1"/>
  <c r="K1684" i="5" s="1"/>
  <c r="K1685" i="5" a="1"/>
  <c r="K1685" i="5" s="1"/>
  <c r="K1686" i="5" a="1"/>
  <c r="K1686" i="5" s="1"/>
  <c r="K1687" i="5" a="1"/>
  <c r="K1687" i="5" s="1"/>
  <c r="K1688" i="5" a="1"/>
  <c r="K1688" i="5" s="1"/>
  <c r="K1689" i="5" a="1"/>
  <c r="K1689" i="5" s="1"/>
  <c r="K1690" i="5" a="1"/>
  <c r="K1690" i="5" s="1"/>
  <c r="K1691" i="5" a="1"/>
  <c r="K1691" i="5" s="1"/>
  <c r="K1692" i="5" a="1"/>
  <c r="K1692" i="5" s="1"/>
  <c r="K1693" i="5" a="1"/>
  <c r="K1693" i="5" s="1"/>
  <c r="K1694" i="5" a="1"/>
  <c r="K1694" i="5" s="1"/>
  <c r="K1695" i="5" a="1"/>
  <c r="K1695" i="5" s="1"/>
  <c r="K1696" i="5" a="1"/>
  <c r="K1696" i="5" s="1"/>
  <c r="K1697" i="5" a="1"/>
  <c r="K1697" i="5" s="1"/>
  <c r="K1698" i="5" a="1"/>
  <c r="K1698" i="5" s="1"/>
  <c r="K1699" i="5" a="1"/>
  <c r="K1699" i="5" s="1"/>
  <c r="K1700" i="5" a="1"/>
  <c r="K1700" i="5" s="1"/>
  <c r="K1701" i="5" a="1"/>
  <c r="K1701" i="5" s="1"/>
  <c r="K1702" i="5" a="1"/>
  <c r="K1702" i="5" s="1"/>
  <c r="K1703" i="5" a="1"/>
  <c r="K1703" i="5" s="1"/>
  <c r="K1704" i="5" a="1"/>
  <c r="K1704" i="5" s="1"/>
  <c r="K1705" i="5" a="1"/>
  <c r="K1705" i="5" s="1"/>
  <c r="K1706" i="5" a="1"/>
  <c r="K1706" i="5" s="1"/>
  <c r="K1707" i="5" a="1"/>
  <c r="K1707" i="5" s="1"/>
  <c r="K1708" i="5" a="1"/>
  <c r="K1708" i="5" s="1"/>
  <c r="K1709" i="5" a="1"/>
  <c r="K1709" i="5" s="1"/>
  <c r="K1710" i="5" a="1"/>
  <c r="K1710" i="5" s="1"/>
  <c r="K1711" i="5" a="1"/>
  <c r="K1711" i="5" s="1"/>
  <c r="K1712" i="5" a="1"/>
  <c r="K1712" i="5" s="1"/>
  <c r="K1713" i="5" a="1"/>
  <c r="K1713" i="5" s="1"/>
  <c r="K1714" i="5" a="1"/>
  <c r="K1714" i="5" s="1"/>
  <c r="K1715" i="5" a="1"/>
  <c r="K1715" i="5" s="1"/>
  <c r="K1716" i="5" a="1"/>
  <c r="K1716" i="5" s="1"/>
  <c r="K1717" i="5" a="1"/>
  <c r="K1717" i="5" s="1"/>
  <c r="K1718" i="5" a="1"/>
  <c r="K1718" i="5" s="1"/>
  <c r="K1719" i="5" a="1"/>
  <c r="K1719" i="5" s="1"/>
  <c r="K1720" i="5" a="1"/>
  <c r="K1720" i="5" s="1"/>
  <c r="K1721" i="5" a="1"/>
  <c r="K1721" i="5" s="1"/>
  <c r="K1722" i="5" a="1"/>
  <c r="K1722" i="5" s="1"/>
  <c r="K1723" i="5" a="1"/>
  <c r="K1723" i="5" s="1"/>
  <c r="K1724" i="5" a="1"/>
  <c r="K1724" i="5" s="1"/>
  <c r="K1725" i="5" a="1"/>
  <c r="K1725" i="5" s="1"/>
  <c r="K1726" i="5" a="1"/>
  <c r="K1726" i="5" s="1"/>
  <c r="K1727" i="5" a="1"/>
  <c r="K1727" i="5" s="1"/>
  <c r="K1728" i="5" a="1"/>
  <c r="K1728" i="5" s="1"/>
  <c r="K1729" i="5" a="1"/>
  <c r="K1729" i="5" s="1"/>
  <c r="K1730" i="5" a="1"/>
  <c r="K1730" i="5" s="1"/>
  <c r="K1731" i="5" a="1"/>
  <c r="K1731" i="5" s="1"/>
  <c r="K1732" i="5" a="1"/>
  <c r="K1732" i="5" s="1"/>
  <c r="K1733" i="5" a="1"/>
  <c r="K1733" i="5" s="1"/>
  <c r="K1734" i="5" a="1"/>
  <c r="K1734" i="5" s="1"/>
  <c r="K1735" i="5" a="1"/>
  <c r="K1735" i="5" s="1"/>
  <c r="K1736" i="5" a="1"/>
  <c r="K1736" i="5" s="1"/>
  <c r="K1737" i="5" a="1"/>
  <c r="K1737" i="5" s="1"/>
  <c r="K1738" i="5" a="1"/>
  <c r="K1738" i="5" s="1"/>
  <c r="K1739" i="5" a="1"/>
  <c r="K1739" i="5" s="1"/>
  <c r="K1740" i="5" a="1"/>
  <c r="K1740" i="5" s="1"/>
  <c r="K1741" i="5" a="1"/>
  <c r="K1741" i="5" s="1"/>
  <c r="K1742" i="5" a="1"/>
  <c r="K1742" i="5" s="1"/>
  <c r="K1743" i="5" a="1"/>
  <c r="K1743" i="5" s="1"/>
  <c r="K1744" i="5" a="1"/>
  <c r="K1744" i="5" s="1"/>
  <c r="K1745" i="5" a="1"/>
  <c r="K1745" i="5" s="1"/>
  <c r="K1746" i="5" a="1"/>
  <c r="K1746" i="5" s="1"/>
  <c r="K1747" i="5" a="1"/>
  <c r="K1747" i="5" s="1"/>
  <c r="K1748" i="5" a="1"/>
  <c r="K1748" i="5" s="1"/>
  <c r="K1749" i="5" a="1"/>
  <c r="K1749" i="5" s="1"/>
  <c r="K1750" i="5" a="1"/>
  <c r="K1750" i="5" s="1"/>
  <c r="K1751" i="5" a="1"/>
  <c r="K1751" i="5" s="1"/>
  <c r="K1752" i="5" a="1"/>
  <c r="K1752" i="5" s="1"/>
  <c r="K1753" i="5" a="1"/>
  <c r="K1753" i="5" s="1"/>
  <c r="K1754" i="5" a="1"/>
  <c r="K1754" i="5" s="1"/>
  <c r="K1755" i="5" a="1"/>
  <c r="K1755" i="5" s="1"/>
  <c r="K1756" i="5" a="1"/>
  <c r="K1756" i="5" s="1"/>
  <c r="K1757" i="5" a="1"/>
  <c r="K1757" i="5" s="1"/>
  <c r="K1758" i="5" a="1"/>
  <c r="K1758" i="5" s="1"/>
  <c r="K1759" i="5" a="1"/>
  <c r="K1759" i="5" s="1"/>
  <c r="K1760" i="5" a="1"/>
  <c r="K1760" i="5" s="1"/>
  <c r="K1761" i="5" a="1"/>
  <c r="K1761" i="5" s="1"/>
  <c r="K1762" i="5" a="1"/>
  <c r="K1762" i="5" s="1"/>
  <c r="K1763" i="5" a="1"/>
  <c r="K1763" i="5" s="1"/>
  <c r="K1764" i="5" a="1"/>
  <c r="K1764" i="5" s="1"/>
  <c r="K1765" i="5" a="1"/>
  <c r="K1765" i="5" s="1"/>
  <c r="K1766" i="5" a="1"/>
  <c r="K1766" i="5" s="1"/>
  <c r="K1767" i="5" a="1"/>
  <c r="K1767" i="5" s="1"/>
  <c r="K1768" i="5" a="1"/>
  <c r="K1768" i="5" s="1"/>
  <c r="K1769" i="5" a="1"/>
  <c r="K1769" i="5" s="1"/>
  <c r="K1770" i="5" a="1"/>
  <c r="K1770" i="5" s="1"/>
  <c r="K1771" i="5" a="1"/>
  <c r="K1771" i="5" s="1"/>
  <c r="K1772" i="5" a="1"/>
  <c r="K1772" i="5" s="1"/>
  <c r="K1773" i="5" a="1"/>
  <c r="K1773" i="5" s="1"/>
  <c r="K1774" i="5" a="1"/>
  <c r="K1774" i="5" s="1"/>
  <c r="K1775" i="5" a="1"/>
  <c r="K1775" i="5" s="1"/>
  <c r="K1776" i="5" a="1"/>
  <c r="K1776" i="5" s="1"/>
  <c r="K1777" i="5" a="1"/>
  <c r="K1777" i="5" s="1"/>
  <c r="K1778" i="5" a="1"/>
  <c r="K1778" i="5" s="1"/>
  <c r="K1779" i="5" a="1"/>
  <c r="K1779" i="5" s="1"/>
  <c r="K1780" i="5" a="1"/>
  <c r="K1780" i="5" s="1"/>
  <c r="K1781" i="5" a="1"/>
  <c r="K1781" i="5" s="1"/>
  <c r="K1782" i="5" a="1"/>
  <c r="K1782" i="5" s="1"/>
  <c r="K1783" i="5" a="1"/>
  <c r="K1783" i="5" s="1"/>
  <c r="K1784" i="5" a="1"/>
  <c r="K1784" i="5" s="1"/>
  <c r="K1785" i="5" a="1"/>
  <c r="K1785" i="5" s="1"/>
  <c r="K1786" i="5" a="1"/>
  <c r="K1786" i="5" s="1"/>
  <c r="K1787" i="5" a="1"/>
  <c r="K1787"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1EC0E80-9EF6-4CE8-949B-9F80B70A6B5D}" keepAlive="1" name="Consulta - Boletim" description="Conexão com a consulta 'Boletim' na pasta de trabalho." type="5" refreshedVersion="7" background="1" saveData="1">
    <dbPr connection="Provider=Microsoft.Mashup.OleDb.1;Data Source=$Workbook$;Location=Boletim;Extended Properties=&quot;&quot;" command="SELECT * FROM [Boletim]"/>
  </connection>
  <connection id="2" xr16:uid="{49E23666-27A4-4A16-B574-E439425DE397}" keepAlive="1" name="Consulta - Boletim (10)" description="Conexão com a consulta 'Boletim (10)' na pasta de trabalho." type="5" refreshedVersion="7" background="1" saveData="1">
    <dbPr connection="Provider=Microsoft.Mashup.OleDb.1;Data Source=$Workbook$;Location=&quot;Boletim (10)&quot;;Extended Properties=&quot;&quot;" command="SELECT * FROM [Boletim (10)]"/>
  </connection>
  <connection id="3" xr16:uid="{000F73FD-23C5-4C75-9A84-F035CB0E7BB6}" keepAlive="1" name="Consulta - Boletim (100)" description="Conexão com a consulta 'Boletim (100)' na pasta de trabalho." type="5" refreshedVersion="7" background="1" saveData="1">
    <dbPr connection="Provider=Microsoft.Mashup.OleDb.1;Data Source=$Workbook$;Location=&quot;Boletim (100)&quot;;Extended Properties=&quot;&quot;" command="SELECT * FROM [Boletim (100)]"/>
  </connection>
  <connection id="4" xr16:uid="{D020628E-7512-4283-A404-F6AA91ECA960}" keepAlive="1" name="Consulta - Boletim (101)" description="Conexão com a consulta 'Boletim (101)' na pasta de trabalho." type="5" refreshedVersion="7" background="1" saveData="1">
    <dbPr connection="Provider=Microsoft.Mashup.OleDb.1;Data Source=$Workbook$;Location=&quot;Boletim (101)&quot;;Extended Properties=&quot;&quot;" command="SELECT * FROM [Boletim (101)]"/>
  </connection>
  <connection id="5" xr16:uid="{6BAFA9C4-21E1-4563-984F-DB268C6C18F3}" keepAlive="1" name="Consulta - Boletim (102)" description="Conexão com a consulta 'Boletim (102)' na pasta de trabalho." type="5" refreshedVersion="7" background="1" saveData="1">
    <dbPr connection="Provider=Microsoft.Mashup.OleDb.1;Data Source=$Workbook$;Location=&quot;Boletim (102)&quot;;Extended Properties=&quot;&quot;" command="SELECT * FROM [Boletim (102)]"/>
  </connection>
  <connection id="6" xr16:uid="{57F14ECC-4866-494E-B366-B6C62E00F0B1}" keepAlive="1" name="Consulta - Boletim (103)" description="Conexão com a consulta 'Boletim (103)' na pasta de trabalho." type="5" refreshedVersion="7" background="1" saveData="1">
    <dbPr connection="Provider=Microsoft.Mashup.OleDb.1;Data Source=$Workbook$;Location=&quot;Boletim (103)&quot;;Extended Properties=&quot;&quot;" command="SELECT * FROM [Boletim (103)]"/>
  </connection>
  <connection id="7" xr16:uid="{392C26EC-9404-4611-890C-3A1953DC7B63}" keepAlive="1" name="Consulta - Boletim (104)" description="Conexão com a consulta 'Boletim (104)' na pasta de trabalho." type="5" refreshedVersion="7" background="1" saveData="1">
    <dbPr connection="Provider=Microsoft.Mashup.OleDb.1;Data Source=$Workbook$;Location=&quot;Boletim (104)&quot;;Extended Properties=&quot;&quot;" command="SELECT * FROM [Boletim (104)]"/>
  </connection>
  <connection id="8" xr16:uid="{F4B58BB1-590B-4BEF-8829-1758C74886EA}" keepAlive="1" name="Consulta - Boletim (105)" description="Conexão com a consulta 'Boletim (105)' na pasta de trabalho." type="5" refreshedVersion="7" background="1" saveData="1">
    <dbPr connection="Provider=Microsoft.Mashup.OleDb.1;Data Source=$Workbook$;Location=&quot;Boletim (105)&quot;;Extended Properties=&quot;&quot;" command="SELECT * FROM [Boletim (105)]"/>
  </connection>
  <connection id="9" xr16:uid="{38F4E3AD-9958-40D1-8F18-17184D9C0129}" keepAlive="1" name="Consulta - Boletim (106)" description="Conexão com a consulta 'Boletim (106)' na pasta de trabalho." type="5" refreshedVersion="7" background="1" saveData="1">
    <dbPr connection="Provider=Microsoft.Mashup.OleDb.1;Data Source=$Workbook$;Location=&quot;Boletim (106)&quot;;Extended Properties=&quot;&quot;" command="SELECT * FROM [Boletim (106)]"/>
  </connection>
  <connection id="10" xr16:uid="{4EA661E8-30FC-48E7-99F0-E4BA0547490F}" keepAlive="1" name="Consulta - Boletim (107)" description="Conexão com a consulta 'Boletim (107)' na pasta de trabalho." type="5" refreshedVersion="7" background="1" saveData="1">
    <dbPr connection="Provider=Microsoft.Mashup.OleDb.1;Data Source=$Workbook$;Location=&quot;Boletim (107)&quot;;Extended Properties=&quot;&quot;" command="SELECT * FROM [Boletim (107)]"/>
  </connection>
  <connection id="11" xr16:uid="{FB668FD7-CA85-4978-8C65-72B20D3F8C47}" keepAlive="1" name="Consulta - Boletim (108)" description="Conexão com a consulta 'Boletim (108)' na pasta de trabalho." type="5" refreshedVersion="7" background="1" saveData="1">
    <dbPr connection="Provider=Microsoft.Mashup.OleDb.1;Data Source=$Workbook$;Location=&quot;Boletim (108)&quot;;Extended Properties=&quot;&quot;" command="SELECT * FROM [Boletim (108)]"/>
  </connection>
  <connection id="12" xr16:uid="{5424ED18-E597-43AD-B0DD-2F491F456392}" keepAlive="1" name="Consulta - Boletim (109)" description="Conexão com a consulta 'Boletim (109)' na pasta de trabalho." type="5" refreshedVersion="7" background="1" saveData="1">
    <dbPr connection="Provider=Microsoft.Mashup.OleDb.1;Data Source=$Workbook$;Location=&quot;Boletim (109)&quot;;Extended Properties=&quot;&quot;" command="SELECT * FROM [Boletim (109)]"/>
  </connection>
  <connection id="13" xr16:uid="{F7ED11AF-C871-40C2-BF25-8B894F0CD2DF}" keepAlive="1" name="Consulta - Boletim (11)" description="Conexão com a consulta 'Boletim (11)' na pasta de trabalho." type="5" refreshedVersion="7" background="1" saveData="1">
    <dbPr connection="Provider=Microsoft.Mashup.OleDb.1;Data Source=$Workbook$;Location=&quot;Boletim (11)&quot;;Extended Properties=&quot;&quot;" command="SELECT * FROM [Boletim (11)]"/>
  </connection>
  <connection id="14" xr16:uid="{76E92BC1-7758-4495-91B5-082BA9E62986}" keepAlive="1" name="Consulta - Boletim (110)" description="Conexão com a consulta 'Boletim (110)' na pasta de trabalho." type="5" refreshedVersion="7" background="1" saveData="1">
    <dbPr connection="Provider=Microsoft.Mashup.OleDb.1;Data Source=$Workbook$;Location=&quot;Boletim (110)&quot;;Extended Properties=&quot;&quot;" command="SELECT * FROM [Boletim (110)]"/>
  </connection>
  <connection id="15" xr16:uid="{89AEADBB-3FB6-478D-9BCB-06591AAB2B2E}" keepAlive="1" name="Consulta - Boletim (111)" description="Conexão com a consulta 'Boletim (111)' na pasta de trabalho." type="5" refreshedVersion="7" background="1" saveData="1">
    <dbPr connection="Provider=Microsoft.Mashup.OleDb.1;Data Source=$Workbook$;Location=&quot;Boletim (111)&quot;;Extended Properties=&quot;&quot;" command="SELECT * FROM [Boletim (111)]"/>
  </connection>
  <connection id="16" xr16:uid="{53C6C1EC-301E-4A5A-B19F-3E5785CAD95E}" keepAlive="1" name="Consulta - Boletim (112)" description="Conexão com a consulta 'Boletim (112)' na pasta de trabalho." type="5" refreshedVersion="7" background="1" saveData="1">
    <dbPr connection="Provider=Microsoft.Mashup.OleDb.1;Data Source=$Workbook$;Location=&quot;Boletim (112)&quot;;Extended Properties=&quot;&quot;" command="SELECT * FROM [Boletim (112)]"/>
  </connection>
  <connection id="17" xr16:uid="{879549E9-BD75-4D71-AC03-812294FAEB9F}" keepAlive="1" name="Consulta - Boletim (113)" description="Conexão com a consulta 'Boletim (113)' na pasta de trabalho." type="5" refreshedVersion="7" background="1" saveData="1">
    <dbPr connection="Provider=Microsoft.Mashup.OleDb.1;Data Source=$Workbook$;Location=&quot;Boletim (113)&quot;;Extended Properties=&quot;&quot;" command="SELECT * FROM [Boletim (113)]"/>
  </connection>
  <connection id="18" xr16:uid="{80CD8D05-2B01-44BF-A1D4-BDEF4E28C09A}" keepAlive="1" name="Consulta - Boletim (114)" description="Conexão com a consulta 'Boletim (114)' na pasta de trabalho." type="5" refreshedVersion="7" background="1" saveData="1">
    <dbPr connection="Provider=Microsoft.Mashup.OleDb.1;Data Source=$Workbook$;Location=&quot;Boletim (114)&quot;;Extended Properties=&quot;&quot;" command="SELECT * FROM [Boletim (114)]"/>
  </connection>
  <connection id="19" xr16:uid="{6F206097-0416-4678-B5DE-B25D0C345AA4}" keepAlive="1" name="Consulta - Boletim (115)" description="Conexão com a consulta 'Boletim (115)' na pasta de trabalho." type="5" refreshedVersion="7" background="1" saveData="1">
    <dbPr connection="Provider=Microsoft.Mashup.OleDb.1;Data Source=$Workbook$;Location=&quot;Boletim (115)&quot;;Extended Properties=&quot;&quot;" command="SELECT * FROM [Boletim (115)]"/>
  </connection>
  <connection id="20" xr16:uid="{FD2792FA-F3A5-42AF-85B8-5954244BCF46}" keepAlive="1" name="Consulta - Boletim (116)" description="Conexão com a consulta 'Boletim (116)' na pasta de trabalho." type="5" refreshedVersion="7" background="1" saveData="1">
    <dbPr connection="Provider=Microsoft.Mashup.OleDb.1;Data Source=$Workbook$;Location=&quot;Boletim (116)&quot;;Extended Properties=&quot;&quot;" command="SELECT * FROM [Boletim (116)]"/>
  </connection>
  <connection id="21" xr16:uid="{F9620CBE-FBA8-4358-AA19-6674E250AEFA}" keepAlive="1" name="Consulta - Boletim (117)" description="Conexão com a consulta 'Boletim (117)' na pasta de trabalho." type="5" refreshedVersion="7" background="1" saveData="1">
    <dbPr connection="Provider=Microsoft.Mashup.OleDb.1;Data Source=$Workbook$;Location=&quot;Boletim (117)&quot;;Extended Properties=&quot;&quot;" command="SELECT * FROM [Boletim (117)]"/>
  </connection>
  <connection id="22" xr16:uid="{FF5ED39B-73B3-4F75-86CE-F291F73CEA69}" keepAlive="1" name="Consulta - Boletim (118)" description="Conexão com a consulta 'Boletim (118)' na pasta de trabalho." type="5" refreshedVersion="7" background="1" saveData="1">
    <dbPr connection="Provider=Microsoft.Mashup.OleDb.1;Data Source=$Workbook$;Location=&quot;Boletim (118)&quot;;Extended Properties=&quot;&quot;" command="SELECT * FROM [Boletim (118)]"/>
  </connection>
  <connection id="23" xr16:uid="{BD5BB41D-AF89-4AA8-8E37-C056818D517C}" keepAlive="1" name="Consulta - Boletim (119)" description="Conexão com a consulta 'Boletim (119)' na pasta de trabalho." type="5" refreshedVersion="7" background="1" saveData="1">
    <dbPr connection="Provider=Microsoft.Mashup.OleDb.1;Data Source=$Workbook$;Location=&quot;Boletim (119)&quot;;Extended Properties=&quot;&quot;" command="SELECT * FROM [Boletim (119)]"/>
  </connection>
  <connection id="24" xr16:uid="{41E712AF-0BAD-4DA2-9E2D-C129FA696A30}" keepAlive="1" name="Consulta - Boletim (12)" description="Conexão com a consulta 'Boletim (12)' na pasta de trabalho." type="5" refreshedVersion="7" background="1" saveData="1">
    <dbPr connection="Provider=Microsoft.Mashup.OleDb.1;Data Source=$Workbook$;Location=&quot;Boletim (12)&quot;;Extended Properties=&quot;&quot;" command="SELECT * FROM [Boletim (12)]"/>
  </connection>
  <connection id="25" xr16:uid="{7838793F-B99A-450E-993F-A3C45EF59A6C}" keepAlive="1" name="Consulta - Boletim (120)" description="Conexão com a consulta 'Boletim (120)' na pasta de trabalho." type="5" refreshedVersion="7" background="1" saveData="1">
    <dbPr connection="Provider=Microsoft.Mashup.OleDb.1;Data Source=$Workbook$;Location=&quot;Boletim (120)&quot;;Extended Properties=&quot;&quot;" command="SELECT * FROM [Boletim (120)]"/>
  </connection>
  <connection id="26" xr16:uid="{E58B9CC5-45DF-471B-9DF5-527214C90239}" keepAlive="1" name="Consulta - Boletim (121)" description="Conexão com a consulta 'Boletim (121)' na pasta de trabalho." type="5" refreshedVersion="7" background="1" saveData="1">
    <dbPr connection="Provider=Microsoft.Mashup.OleDb.1;Data Source=$Workbook$;Location=&quot;Boletim (121)&quot;;Extended Properties=&quot;&quot;" command="SELECT * FROM [Boletim (121)]"/>
  </connection>
  <connection id="27" xr16:uid="{7E177FE6-53C8-4277-BB38-21EC1F3758F0}" keepAlive="1" name="Consulta - Boletim (13)" description="Conexão com a consulta 'Boletim (13)' na pasta de trabalho." type="5" refreshedVersion="7" background="1" saveData="1">
    <dbPr connection="Provider=Microsoft.Mashup.OleDb.1;Data Source=$Workbook$;Location=&quot;Boletim (13)&quot;;Extended Properties=&quot;&quot;" command="SELECT * FROM [Boletim (13)]"/>
  </connection>
  <connection id="28" xr16:uid="{30C798BB-BF2C-48C0-AFAE-8EE3C2668537}" keepAlive="1" name="Consulta - Boletim (14)" description="Conexão com a consulta 'Boletim (14)' na pasta de trabalho." type="5" refreshedVersion="7" background="1" saveData="1">
    <dbPr connection="Provider=Microsoft.Mashup.OleDb.1;Data Source=$Workbook$;Location=&quot;Boletim (14)&quot;;Extended Properties=&quot;&quot;" command="SELECT * FROM [Boletim (14)]"/>
  </connection>
  <connection id="29" xr16:uid="{468BBB12-C684-4BFE-886D-F6326C2ACC04}" keepAlive="1" name="Consulta - Boletim (15)" description="Conexão com a consulta 'Boletim (15)' na pasta de trabalho." type="5" refreshedVersion="7" background="1" saveData="1">
    <dbPr connection="Provider=Microsoft.Mashup.OleDb.1;Data Source=$Workbook$;Location=&quot;Boletim (15)&quot;;Extended Properties=&quot;&quot;" command="SELECT * FROM [Boletim (15)]"/>
  </connection>
  <connection id="30" xr16:uid="{85A762A5-27B0-44CB-9F43-9D851AF862EC}" keepAlive="1" name="Consulta - Boletim (16)" description="Conexão com a consulta 'Boletim (16)' na pasta de trabalho." type="5" refreshedVersion="7" background="1" saveData="1">
    <dbPr connection="Provider=Microsoft.Mashup.OleDb.1;Data Source=$Workbook$;Location=&quot;Boletim (16)&quot;;Extended Properties=&quot;&quot;" command="SELECT * FROM [Boletim (16)]"/>
  </connection>
  <connection id="31" xr16:uid="{5E2622B9-B725-4602-9C47-F385DD476594}" keepAlive="1" name="Consulta - Boletim (17)" description="Conexão com a consulta 'Boletim (17)' na pasta de trabalho." type="5" refreshedVersion="7" background="1" saveData="1">
    <dbPr connection="Provider=Microsoft.Mashup.OleDb.1;Data Source=$Workbook$;Location=&quot;Boletim (17)&quot;;Extended Properties=&quot;&quot;" command="SELECT * FROM [Boletim (17)]"/>
  </connection>
  <connection id="32" xr16:uid="{3E2CC7E1-9EFA-439B-8D32-1FCAD6860C63}" keepAlive="1" name="Consulta - Boletim (18)" description="Conexão com a consulta 'Boletim (18)' na pasta de trabalho." type="5" refreshedVersion="7" background="1" saveData="1">
    <dbPr connection="Provider=Microsoft.Mashup.OleDb.1;Data Source=$Workbook$;Location=&quot;Boletim (18)&quot;;Extended Properties=&quot;&quot;" command="SELECT * FROM [Boletim (18)]"/>
  </connection>
  <connection id="33" xr16:uid="{55166FDB-306A-41B2-BA07-89ADF04753C0}" keepAlive="1" name="Consulta - Boletim (19)" description="Conexão com a consulta 'Boletim (19)' na pasta de trabalho." type="5" refreshedVersion="7" background="1" saveData="1">
    <dbPr connection="Provider=Microsoft.Mashup.OleDb.1;Data Source=$Workbook$;Location=&quot;Boletim (19)&quot;;Extended Properties=&quot;&quot;" command="SELECT * FROM [Boletim (19)]"/>
  </connection>
  <connection id="34" xr16:uid="{31EA9961-3071-4CA9-A1AD-50BCDE834F4F}" keepAlive="1" name="Consulta - Boletim (2)" description="Conexão com a consulta 'Boletim (2)' na pasta de trabalho." type="5" refreshedVersion="7" background="1" saveData="1">
    <dbPr connection="Provider=Microsoft.Mashup.OleDb.1;Data Source=$Workbook$;Location=&quot;Boletim (2)&quot;;Extended Properties=&quot;&quot;" command="SELECT * FROM [Boletim (2)]"/>
  </connection>
  <connection id="35" xr16:uid="{C8B00131-DC7E-49ED-9A71-8BA23D21584E}" keepAlive="1" name="Consulta - Boletim (20)" description="Conexão com a consulta 'Boletim (20)' na pasta de trabalho." type="5" refreshedVersion="7" background="1" saveData="1">
    <dbPr connection="Provider=Microsoft.Mashup.OleDb.1;Data Source=$Workbook$;Location=&quot;Boletim (20)&quot;;Extended Properties=&quot;&quot;" command="SELECT * FROM [Boletim (20)]"/>
  </connection>
  <connection id="36" xr16:uid="{B927CCE2-98B5-4B20-A85A-8BDE06DA3C21}" keepAlive="1" name="Consulta - Boletim (21)" description="Conexão com a consulta 'Boletim (21)' na pasta de trabalho." type="5" refreshedVersion="7" background="1" saveData="1">
    <dbPr connection="Provider=Microsoft.Mashup.OleDb.1;Data Source=$Workbook$;Location=&quot;Boletim (21)&quot;;Extended Properties=&quot;&quot;" command="SELECT * FROM [Boletim (21)]"/>
  </connection>
  <connection id="37" xr16:uid="{B06985E0-4AB9-4532-8CE1-2F1C35CF9B37}" keepAlive="1" name="Consulta - Boletim (22)" description="Conexão com a consulta 'Boletim (22)' na pasta de trabalho." type="5" refreshedVersion="7" background="1" saveData="1">
    <dbPr connection="Provider=Microsoft.Mashup.OleDb.1;Data Source=$Workbook$;Location=&quot;Boletim (22)&quot;;Extended Properties=&quot;&quot;" command="SELECT * FROM [Boletim (22)]"/>
  </connection>
  <connection id="38" xr16:uid="{12474514-5FB3-42FE-842F-0D611351176B}" keepAlive="1" name="Consulta - Boletim (23)" description="Conexão com a consulta 'Boletim (23)' na pasta de trabalho." type="5" refreshedVersion="7" background="1" saveData="1">
    <dbPr connection="Provider=Microsoft.Mashup.OleDb.1;Data Source=$Workbook$;Location=&quot;Boletim (23)&quot;;Extended Properties=&quot;&quot;" command="SELECT * FROM [Boletim (23)]"/>
  </connection>
  <connection id="39" xr16:uid="{D915216D-784D-4F72-A399-16972F03E4CF}" keepAlive="1" name="Consulta - Boletim (24)" description="Conexão com a consulta 'Boletim (24)' na pasta de trabalho." type="5" refreshedVersion="7" background="1" saveData="1">
    <dbPr connection="Provider=Microsoft.Mashup.OleDb.1;Data Source=$Workbook$;Location=&quot;Boletim (24)&quot;;Extended Properties=&quot;&quot;" command="SELECT * FROM [Boletim (24)]"/>
  </connection>
  <connection id="40" xr16:uid="{2AC69D74-3410-4191-B9EB-ECD0230ABD8C}" keepAlive="1" name="Consulta - Boletim (25)" description="Conexão com a consulta 'Boletim (25)' na pasta de trabalho." type="5" refreshedVersion="7" background="1" saveData="1">
    <dbPr connection="Provider=Microsoft.Mashup.OleDb.1;Data Source=$Workbook$;Location=&quot;Boletim (25)&quot;;Extended Properties=&quot;&quot;" command="SELECT * FROM [Boletim (25)]"/>
  </connection>
  <connection id="41" xr16:uid="{B27224B2-32A0-46D5-BF61-AE584AB28858}" keepAlive="1" name="Consulta - Boletim (26)" description="Conexão com a consulta 'Boletim (26)' na pasta de trabalho." type="5" refreshedVersion="7" background="1" saveData="1">
    <dbPr connection="Provider=Microsoft.Mashup.OleDb.1;Data Source=$Workbook$;Location=&quot;Boletim (26)&quot;;Extended Properties=&quot;&quot;" command="SELECT * FROM [Boletim (26)]"/>
  </connection>
  <connection id="42" xr16:uid="{314151E8-94BA-40DB-BC5F-B2FAF78DBD75}" keepAlive="1" name="Consulta - Boletim (27)" description="Conexão com a consulta 'Boletim (27)' na pasta de trabalho." type="5" refreshedVersion="7" background="1" saveData="1">
    <dbPr connection="Provider=Microsoft.Mashup.OleDb.1;Data Source=$Workbook$;Location=&quot;Boletim (27)&quot;;Extended Properties=&quot;&quot;" command="SELECT * FROM [Boletim (27)]"/>
  </connection>
  <connection id="43" xr16:uid="{CE4B63BF-8415-4ED1-B8DE-512C54FF1D09}" keepAlive="1" name="Consulta - Boletim (28)" description="Conexão com a consulta 'Boletim (28)' na pasta de trabalho." type="5" refreshedVersion="7" background="1" saveData="1">
    <dbPr connection="Provider=Microsoft.Mashup.OleDb.1;Data Source=$Workbook$;Location=&quot;Boletim (28)&quot;;Extended Properties=&quot;&quot;" command="SELECT * FROM [Boletim (28)]"/>
  </connection>
  <connection id="44" xr16:uid="{FA578CF8-0B51-48D6-ADED-CE44BEFE9C07}" keepAlive="1" name="Consulta - Boletim (29)" description="Conexão com a consulta 'Boletim (29)' na pasta de trabalho." type="5" refreshedVersion="7" background="1" saveData="1">
    <dbPr connection="Provider=Microsoft.Mashup.OleDb.1;Data Source=$Workbook$;Location=&quot;Boletim (29)&quot;;Extended Properties=&quot;&quot;" command="SELECT * FROM [Boletim (29)]"/>
  </connection>
  <connection id="45" xr16:uid="{17B6050E-70EC-472E-A994-8EDCF1633977}" keepAlive="1" name="Consulta - Boletim (3)" description="Conexão com a consulta 'Boletim (3)' na pasta de trabalho." type="5" refreshedVersion="7" background="1" saveData="1">
    <dbPr connection="Provider=Microsoft.Mashup.OleDb.1;Data Source=$Workbook$;Location=&quot;Boletim (3)&quot;;Extended Properties=&quot;&quot;" command="SELECT * FROM [Boletim (3)]"/>
  </connection>
  <connection id="46" xr16:uid="{F6FE89B7-9F01-459B-865B-97ADBE363029}" keepAlive="1" name="Consulta - Boletim (30)" description="Conexão com a consulta 'Boletim (30)' na pasta de trabalho." type="5" refreshedVersion="7" background="1" saveData="1">
    <dbPr connection="Provider=Microsoft.Mashup.OleDb.1;Data Source=$Workbook$;Location=&quot;Boletim (30)&quot;;Extended Properties=&quot;&quot;" command="SELECT * FROM [Boletim (30)]"/>
  </connection>
  <connection id="47" xr16:uid="{F966C3E5-B68E-4821-993B-8FF4D3257C41}" keepAlive="1" name="Consulta - Boletim (31)" description="Conexão com a consulta 'Boletim (31)' na pasta de trabalho." type="5" refreshedVersion="7" background="1" saveData="1">
    <dbPr connection="Provider=Microsoft.Mashup.OleDb.1;Data Source=$Workbook$;Location=&quot;Boletim (31)&quot;;Extended Properties=&quot;&quot;" command="SELECT * FROM [Boletim (31)]"/>
  </connection>
  <connection id="48" xr16:uid="{2B92EBC7-6856-42F4-B5B0-932929D2A661}" keepAlive="1" name="Consulta - Boletim (32)" description="Conexão com a consulta 'Boletim (32)' na pasta de trabalho." type="5" refreshedVersion="7" background="1" saveData="1">
    <dbPr connection="Provider=Microsoft.Mashup.OleDb.1;Data Source=$Workbook$;Location=&quot;Boletim (32)&quot;;Extended Properties=&quot;&quot;" command="SELECT * FROM [Boletim (32)]"/>
  </connection>
  <connection id="49" xr16:uid="{1E2E6312-8A2B-48D7-AC2D-42BC7BC79C56}" keepAlive="1" name="Consulta - Boletim (33)" description="Conexão com a consulta 'Boletim (33)' na pasta de trabalho." type="5" refreshedVersion="7" background="1" saveData="1">
    <dbPr connection="Provider=Microsoft.Mashup.OleDb.1;Data Source=$Workbook$;Location=&quot;Boletim (33)&quot;;Extended Properties=&quot;&quot;" command="SELECT * FROM [Boletim (33)]"/>
  </connection>
  <connection id="50" xr16:uid="{F215089A-3AB0-4F46-94E0-CDB9266C574B}" keepAlive="1" name="Consulta - Boletim (34)" description="Conexão com a consulta 'Boletim (34)' na pasta de trabalho." type="5" refreshedVersion="7" background="1" saveData="1">
    <dbPr connection="Provider=Microsoft.Mashup.OleDb.1;Data Source=$Workbook$;Location=&quot;Boletim (34)&quot;;Extended Properties=&quot;&quot;" command="SELECT * FROM [Boletim (34)]"/>
  </connection>
  <connection id="51" xr16:uid="{A72AE003-895F-465C-871A-8685A5897E1A}" keepAlive="1" name="Consulta - Boletim (35)" description="Conexão com a consulta 'Boletim (35)' na pasta de trabalho." type="5" refreshedVersion="7" background="1" saveData="1">
    <dbPr connection="Provider=Microsoft.Mashup.OleDb.1;Data Source=$Workbook$;Location=&quot;Boletim (35)&quot;;Extended Properties=&quot;&quot;" command="SELECT * FROM [Boletim (35)]"/>
  </connection>
  <connection id="52" xr16:uid="{D97D26DF-2DBA-4325-AFA9-5A6C43275492}" keepAlive="1" name="Consulta - Boletim (36)" description="Conexão com a consulta 'Boletim (36)' na pasta de trabalho." type="5" refreshedVersion="7" background="1" saveData="1">
    <dbPr connection="Provider=Microsoft.Mashup.OleDb.1;Data Source=$Workbook$;Location=&quot;Boletim (36)&quot;;Extended Properties=&quot;&quot;" command="SELECT * FROM [Boletim (36)]"/>
  </connection>
  <connection id="53" xr16:uid="{1823B9A4-ABF2-476E-9541-6B0978863878}" keepAlive="1" name="Consulta - Boletim (37)" description="Conexão com a consulta 'Boletim (37)' na pasta de trabalho." type="5" refreshedVersion="7" background="1" saveData="1">
    <dbPr connection="Provider=Microsoft.Mashup.OleDb.1;Data Source=$Workbook$;Location=&quot;Boletim (37)&quot;;Extended Properties=&quot;&quot;" command="SELECT * FROM [Boletim (37)]"/>
  </connection>
  <connection id="54" xr16:uid="{CC949EFB-F460-4E8C-964E-25081B713A61}" keepAlive="1" name="Consulta - Boletim (38)" description="Conexão com a consulta 'Boletim (38)' na pasta de trabalho." type="5" refreshedVersion="7" background="1" saveData="1">
    <dbPr connection="Provider=Microsoft.Mashup.OleDb.1;Data Source=$Workbook$;Location=&quot;Boletim (38)&quot;;Extended Properties=&quot;&quot;" command="SELECT * FROM [Boletim (38)]"/>
  </connection>
  <connection id="55" xr16:uid="{94422CC9-2A6D-4359-B76C-DE66ABC33F5B}" keepAlive="1" name="Consulta - Boletim (39)" description="Conexão com a consulta 'Boletim (39)' na pasta de trabalho." type="5" refreshedVersion="7" background="1" saveData="1">
    <dbPr connection="Provider=Microsoft.Mashup.OleDb.1;Data Source=$Workbook$;Location=&quot;Boletim (39)&quot;;Extended Properties=&quot;&quot;" command="SELECT * FROM [Boletim (39)]"/>
  </connection>
  <connection id="56" xr16:uid="{6B545D17-BBA7-43ED-ABF6-7F5A9F8572B7}" keepAlive="1" name="Consulta - Boletim (4)" description="Conexão com a consulta 'Boletim (4)' na pasta de trabalho." type="5" refreshedVersion="7" background="1" saveData="1">
    <dbPr connection="Provider=Microsoft.Mashup.OleDb.1;Data Source=$Workbook$;Location=&quot;Boletim (4)&quot;;Extended Properties=&quot;&quot;" command="SELECT * FROM [Boletim (4)]"/>
  </connection>
  <connection id="57" xr16:uid="{DBC6D7F9-FC40-4812-947B-7559D4C6C60F}" keepAlive="1" name="Consulta - Boletim (40)" description="Conexão com a consulta 'Boletim (40)' na pasta de trabalho." type="5" refreshedVersion="7" background="1" saveData="1">
    <dbPr connection="Provider=Microsoft.Mashup.OleDb.1;Data Source=$Workbook$;Location=&quot;Boletim (40)&quot;;Extended Properties=&quot;&quot;" command="SELECT * FROM [Boletim (40)]"/>
  </connection>
  <connection id="58" xr16:uid="{757EF974-CC02-4565-A895-C84C8648AC90}" keepAlive="1" name="Consulta - Boletim (41)" description="Conexão com a consulta 'Boletim (41)' na pasta de trabalho." type="5" refreshedVersion="7" background="1" saveData="1">
    <dbPr connection="Provider=Microsoft.Mashup.OleDb.1;Data Source=$Workbook$;Location=&quot;Boletim (41)&quot;;Extended Properties=&quot;&quot;" command="SELECT * FROM [Boletim (41)]"/>
  </connection>
  <connection id="59" xr16:uid="{1F2BB458-9E5E-4734-B437-E250B34AD6D7}" keepAlive="1" name="Consulta - Boletim (42)" description="Conexão com a consulta 'Boletim (42)' na pasta de trabalho." type="5" refreshedVersion="7" background="1" saveData="1">
    <dbPr connection="Provider=Microsoft.Mashup.OleDb.1;Data Source=$Workbook$;Location=&quot;Boletim (42)&quot;;Extended Properties=&quot;&quot;" command="SELECT * FROM [Boletim (42)]"/>
  </connection>
  <connection id="60" xr16:uid="{EA709B5A-D208-4920-B477-67483D591B9A}" keepAlive="1" name="Consulta - Boletim (43)" description="Conexão com a consulta 'Boletim (43)' na pasta de trabalho." type="5" refreshedVersion="7" background="1" saveData="1">
    <dbPr connection="Provider=Microsoft.Mashup.OleDb.1;Data Source=$Workbook$;Location=&quot;Boletim (43)&quot;;Extended Properties=&quot;&quot;" command="SELECT * FROM [Boletim (43)]"/>
  </connection>
  <connection id="61" xr16:uid="{ADC73B1F-26E1-46D7-BF1A-4861B7CF7026}" keepAlive="1" name="Consulta - Boletim (44)" description="Conexão com a consulta 'Boletim (44)' na pasta de trabalho." type="5" refreshedVersion="7" background="1" saveData="1">
    <dbPr connection="Provider=Microsoft.Mashup.OleDb.1;Data Source=$Workbook$;Location=&quot;Boletim (44)&quot;;Extended Properties=&quot;&quot;" command="SELECT * FROM [Boletim (44)]"/>
  </connection>
  <connection id="62" xr16:uid="{E9FE06FB-B993-415C-89B9-8276E295BC0E}" keepAlive="1" name="Consulta - Boletim (45)" description="Conexão com a consulta 'Boletim (45)' na pasta de trabalho." type="5" refreshedVersion="7" background="1" saveData="1">
    <dbPr connection="Provider=Microsoft.Mashup.OleDb.1;Data Source=$Workbook$;Location=&quot;Boletim (45)&quot;;Extended Properties=&quot;&quot;" command="SELECT * FROM [Boletim (45)]"/>
  </connection>
  <connection id="63" xr16:uid="{7C486CF7-FA09-43A0-A880-2561A4407683}" keepAlive="1" name="Consulta - Boletim (46)" description="Conexão com a consulta 'Boletim (46)' na pasta de trabalho." type="5" refreshedVersion="7" background="1" saveData="1">
    <dbPr connection="Provider=Microsoft.Mashup.OleDb.1;Data Source=$Workbook$;Location=&quot;Boletim (46)&quot;;Extended Properties=&quot;&quot;" command="SELECT * FROM [Boletim (46)]"/>
  </connection>
  <connection id="64" xr16:uid="{ABB2532C-F068-4AAA-9EB0-1CEE38C4D566}" keepAlive="1" name="Consulta - Boletim (47)" description="Conexão com a consulta 'Boletim (47)' na pasta de trabalho." type="5" refreshedVersion="7" background="1" saveData="1">
    <dbPr connection="Provider=Microsoft.Mashup.OleDb.1;Data Source=$Workbook$;Location=&quot;Boletim (47)&quot;;Extended Properties=&quot;&quot;" command="SELECT * FROM [Boletim (47)]"/>
  </connection>
  <connection id="65" xr16:uid="{4D722E90-61FD-4B7A-9322-6CC7E0BBC37E}" keepAlive="1" name="Consulta - Boletim (48)" description="Conexão com a consulta 'Boletim (48)' na pasta de trabalho." type="5" refreshedVersion="7" background="1" saveData="1">
    <dbPr connection="Provider=Microsoft.Mashup.OleDb.1;Data Source=$Workbook$;Location=&quot;Boletim (48)&quot;;Extended Properties=&quot;&quot;" command="SELECT * FROM [Boletim (48)]"/>
  </connection>
  <connection id="66" xr16:uid="{92D08845-E9FA-4FF9-B8A7-214D3A8AC579}" keepAlive="1" name="Consulta - Boletim (49)" description="Conexão com a consulta 'Boletim (49)' na pasta de trabalho." type="5" refreshedVersion="7" background="1" saveData="1">
    <dbPr connection="Provider=Microsoft.Mashup.OleDb.1;Data Source=$Workbook$;Location=&quot;Boletim (49)&quot;;Extended Properties=&quot;&quot;" command="SELECT * FROM [Boletim (49)]"/>
  </connection>
  <connection id="67" xr16:uid="{112120A0-142A-450E-9CFD-16E3CD83FC10}" keepAlive="1" name="Consulta - Boletim (5)" description="Conexão com a consulta 'Boletim (5)' na pasta de trabalho." type="5" refreshedVersion="7" background="1" saveData="1">
    <dbPr connection="Provider=Microsoft.Mashup.OleDb.1;Data Source=$Workbook$;Location=&quot;Boletim (5)&quot;;Extended Properties=&quot;&quot;" command="SELECT * FROM [Boletim (5)]"/>
  </connection>
  <connection id="68" xr16:uid="{3BE1958D-A95D-4DB6-996D-3445F71B7E8E}" keepAlive="1" name="Consulta - Boletim (50)" description="Conexão com a consulta 'Boletim (50)' na pasta de trabalho." type="5" refreshedVersion="7" background="1" saveData="1">
    <dbPr connection="Provider=Microsoft.Mashup.OleDb.1;Data Source=$Workbook$;Location=&quot;Boletim (50)&quot;;Extended Properties=&quot;&quot;" command="SELECT * FROM [Boletim (50)]"/>
  </connection>
  <connection id="69" xr16:uid="{652B69F5-C4EF-4F35-9362-8CE2F01A3786}" keepAlive="1" name="Consulta - Boletim (51)" description="Conexão com a consulta 'Boletim (51)' na pasta de trabalho." type="5" refreshedVersion="7" background="1" saveData="1">
    <dbPr connection="Provider=Microsoft.Mashup.OleDb.1;Data Source=$Workbook$;Location=&quot;Boletim (51)&quot;;Extended Properties=&quot;&quot;" command="SELECT * FROM [Boletim (51)]"/>
  </connection>
  <connection id="70" xr16:uid="{78FE5646-A145-450B-AEC6-78B1E3459004}" keepAlive="1" name="Consulta - Boletim (52)" description="Conexão com a consulta 'Boletim (52)' na pasta de trabalho." type="5" refreshedVersion="7" background="1" saveData="1">
    <dbPr connection="Provider=Microsoft.Mashup.OleDb.1;Data Source=$Workbook$;Location=&quot;Boletim (52)&quot;;Extended Properties=&quot;&quot;" command="SELECT * FROM [Boletim (52)]"/>
  </connection>
  <connection id="71" xr16:uid="{5348452F-A346-4836-B8A3-EB740FC95326}" keepAlive="1" name="Consulta - Boletim (53)" description="Conexão com a consulta 'Boletim (53)' na pasta de trabalho." type="5" refreshedVersion="7" background="1" saveData="1">
    <dbPr connection="Provider=Microsoft.Mashup.OleDb.1;Data Source=$Workbook$;Location=&quot;Boletim (53)&quot;;Extended Properties=&quot;&quot;" command="SELECT * FROM [Boletim (53)]"/>
  </connection>
  <connection id="72" xr16:uid="{0A5CC68E-3C95-4E78-B185-3F3BF73FCB0C}" keepAlive="1" name="Consulta - Boletim (54)" description="Conexão com a consulta 'Boletim (54)' na pasta de trabalho." type="5" refreshedVersion="7" background="1" saveData="1">
    <dbPr connection="Provider=Microsoft.Mashup.OleDb.1;Data Source=$Workbook$;Location=&quot;Boletim (54)&quot;;Extended Properties=&quot;&quot;" command="SELECT * FROM [Boletim (54)]"/>
  </connection>
  <connection id="73" xr16:uid="{35DF4435-B208-41F9-880D-A2F969FC63FB}" keepAlive="1" name="Consulta - Boletim (55)" description="Conexão com a consulta 'Boletim (55)' na pasta de trabalho." type="5" refreshedVersion="7" background="1" saveData="1">
    <dbPr connection="Provider=Microsoft.Mashup.OleDb.1;Data Source=$Workbook$;Location=&quot;Boletim (55)&quot;;Extended Properties=&quot;&quot;" command="SELECT * FROM [Boletim (55)]"/>
  </connection>
  <connection id="74" xr16:uid="{72D9EAD6-3A3B-418B-8A36-9E98AAEBF398}" keepAlive="1" name="Consulta - Boletim (56)" description="Conexão com a consulta 'Boletim (56)' na pasta de trabalho." type="5" refreshedVersion="7" background="1" saveData="1">
    <dbPr connection="Provider=Microsoft.Mashup.OleDb.1;Data Source=$Workbook$;Location=&quot;Boletim (56)&quot;;Extended Properties=&quot;&quot;" command="SELECT * FROM [Boletim (56)]"/>
  </connection>
  <connection id="75" xr16:uid="{C5BA95B8-73D1-4B09-838C-87EC864A52A6}" keepAlive="1" name="Consulta - Boletim (57)" description="Conexão com a consulta 'Boletim (57)' na pasta de trabalho." type="5" refreshedVersion="7" background="1" saveData="1">
    <dbPr connection="Provider=Microsoft.Mashup.OleDb.1;Data Source=$Workbook$;Location=&quot;Boletim (57)&quot;;Extended Properties=&quot;&quot;" command="SELECT * FROM [Boletim (57)]"/>
  </connection>
  <connection id="76" xr16:uid="{BD1868AB-9B70-4AA5-BE48-2955B50D039A}" keepAlive="1" name="Consulta - Boletim (58)" description="Conexão com a consulta 'Boletim (58)' na pasta de trabalho." type="5" refreshedVersion="7" background="1" saveData="1">
    <dbPr connection="Provider=Microsoft.Mashup.OleDb.1;Data Source=$Workbook$;Location=&quot;Boletim (58)&quot;;Extended Properties=&quot;&quot;" command="SELECT * FROM [Boletim (58)]"/>
  </connection>
  <connection id="77" xr16:uid="{A3F42696-6C09-451E-96BC-8EE1F9317297}" keepAlive="1" name="Consulta - Boletim (59)" description="Conexão com a consulta 'Boletim (59)' na pasta de trabalho." type="5" refreshedVersion="7" background="1" saveData="1">
    <dbPr connection="Provider=Microsoft.Mashup.OleDb.1;Data Source=$Workbook$;Location=&quot;Boletim (59)&quot;;Extended Properties=&quot;&quot;" command="SELECT * FROM [Boletim (59)]"/>
  </connection>
  <connection id="78" xr16:uid="{197F0ED5-B6A4-4203-8CBB-CEBA69048BA8}" keepAlive="1" name="Consulta - Boletim (6)" description="Conexão com a consulta 'Boletim (6)' na pasta de trabalho." type="5" refreshedVersion="7" background="1" saveData="1">
    <dbPr connection="Provider=Microsoft.Mashup.OleDb.1;Data Source=$Workbook$;Location=&quot;Boletim (6)&quot;;Extended Properties=&quot;&quot;" command="SELECT * FROM [Boletim (6)]"/>
  </connection>
  <connection id="79" xr16:uid="{50E04818-0BE8-40F8-BF50-ABA2EBFBD4EA}" keepAlive="1" name="Consulta - Boletim (60)" description="Conexão com a consulta 'Boletim (60)' na pasta de trabalho." type="5" refreshedVersion="7" background="1" saveData="1">
    <dbPr connection="Provider=Microsoft.Mashup.OleDb.1;Data Source=$Workbook$;Location=&quot;Boletim (60)&quot;;Extended Properties=&quot;&quot;" command="SELECT * FROM [Boletim (60)]"/>
  </connection>
  <connection id="80" xr16:uid="{9F4BBD54-4E22-4AC5-BB7A-99FE7568428C}" keepAlive="1" name="Consulta - Boletim (61)" description="Conexão com a consulta 'Boletim (61)' na pasta de trabalho." type="5" refreshedVersion="7" background="1" saveData="1">
    <dbPr connection="Provider=Microsoft.Mashup.OleDb.1;Data Source=$Workbook$;Location=&quot;Boletim (61)&quot;;Extended Properties=&quot;&quot;" command="SELECT * FROM [Boletim (61)]"/>
  </connection>
  <connection id="81" xr16:uid="{C9CDBC94-F8CB-4A23-B888-B029BB2372A7}" keepAlive="1" name="Consulta - Boletim (62)" description="Conexão com a consulta 'Boletim (62)' na pasta de trabalho." type="5" refreshedVersion="7" background="1" saveData="1">
    <dbPr connection="Provider=Microsoft.Mashup.OleDb.1;Data Source=$Workbook$;Location=&quot;Boletim (62)&quot;;Extended Properties=&quot;&quot;" command="SELECT * FROM [Boletim (62)]"/>
  </connection>
  <connection id="82" xr16:uid="{56ECA7EA-E22C-48B1-B81E-DCC9ED1BB2F4}" keepAlive="1" name="Consulta - Boletim (63)" description="Conexão com a consulta 'Boletim (63)' na pasta de trabalho." type="5" refreshedVersion="7" background="1" saveData="1">
    <dbPr connection="Provider=Microsoft.Mashup.OleDb.1;Data Source=$Workbook$;Location=&quot;Boletim (63)&quot;;Extended Properties=&quot;&quot;" command="SELECT * FROM [Boletim (63)]"/>
  </connection>
  <connection id="83" xr16:uid="{0E12D7A9-C203-40B0-91AD-E794D6DE108E}" keepAlive="1" name="Consulta - Boletim (64)" description="Conexão com a consulta 'Boletim (64)' na pasta de trabalho." type="5" refreshedVersion="7" background="1" saveData="1">
    <dbPr connection="Provider=Microsoft.Mashup.OleDb.1;Data Source=$Workbook$;Location=&quot;Boletim (64)&quot;;Extended Properties=&quot;&quot;" command="SELECT * FROM [Boletim (64)]"/>
  </connection>
  <connection id="84" xr16:uid="{8B9CA00A-4E27-47A0-B302-FF91DE6F5C72}" keepAlive="1" name="Consulta - Boletim (65)" description="Conexão com a consulta 'Boletim (65)' na pasta de trabalho." type="5" refreshedVersion="7" background="1" saveData="1">
    <dbPr connection="Provider=Microsoft.Mashup.OleDb.1;Data Source=$Workbook$;Location=&quot;Boletim (65)&quot;;Extended Properties=&quot;&quot;" command="SELECT * FROM [Boletim (65)]"/>
  </connection>
  <connection id="85" xr16:uid="{5B38630D-587B-4C98-A089-0561D333527F}" keepAlive="1" name="Consulta - Boletim (66)" description="Conexão com a consulta 'Boletim (66)' na pasta de trabalho." type="5" refreshedVersion="7" background="1" saveData="1">
    <dbPr connection="Provider=Microsoft.Mashup.OleDb.1;Data Source=$Workbook$;Location=&quot;Boletim (66)&quot;;Extended Properties=&quot;&quot;" command="SELECT * FROM [Boletim (66)]"/>
  </connection>
  <connection id="86" xr16:uid="{C9FCB376-85D0-42C7-B29E-D8194FACA2BF}" keepAlive="1" name="Consulta - Boletim (67)" description="Conexão com a consulta 'Boletim (67)' na pasta de trabalho." type="5" refreshedVersion="7" background="1" saveData="1">
    <dbPr connection="Provider=Microsoft.Mashup.OleDb.1;Data Source=$Workbook$;Location=&quot;Boletim (67)&quot;;Extended Properties=&quot;&quot;" command="SELECT * FROM [Boletim (67)]"/>
  </connection>
  <connection id="87" xr16:uid="{52642FDE-920C-47F5-A03F-FBC711937F98}" keepAlive="1" name="Consulta - Boletim (68)" description="Conexão com a consulta 'Boletim (68)' na pasta de trabalho." type="5" refreshedVersion="7" background="1" saveData="1">
    <dbPr connection="Provider=Microsoft.Mashup.OleDb.1;Data Source=$Workbook$;Location=&quot;Boletim (68)&quot;;Extended Properties=&quot;&quot;" command="SELECT * FROM [Boletim (68)]"/>
  </connection>
  <connection id="88" xr16:uid="{53079B98-A091-4C83-A373-3163580E1F42}" keepAlive="1" name="Consulta - Boletim (69)" description="Conexão com a consulta 'Boletim (69)' na pasta de trabalho." type="5" refreshedVersion="7" background="1" saveData="1">
    <dbPr connection="Provider=Microsoft.Mashup.OleDb.1;Data Source=$Workbook$;Location=&quot;Boletim (69)&quot;;Extended Properties=&quot;&quot;" command="SELECT * FROM [Boletim (69)]"/>
  </connection>
  <connection id="89" xr16:uid="{0C958F29-327F-4DBD-9D29-FA7EC0760941}" keepAlive="1" name="Consulta - Boletim (7)" description="Conexão com a consulta 'Boletim (7)' na pasta de trabalho." type="5" refreshedVersion="7" background="1" saveData="1">
    <dbPr connection="Provider=Microsoft.Mashup.OleDb.1;Data Source=$Workbook$;Location=&quot;Boletim (7)&quot;;Extended Properties=&quot;&quot;" command="SELECT * FROM [Boletim (7)]"/>
  </connection>
  <connection id="90" xr16:uid="{0D0AF97F-57C3-4572-BAF7-971130D5A041}" keepAlive="1" name="Consulta - Boletim (70)" description="Conexão com a consulta 'Boletim (70)' na pasta de trabalho." type="5" refreshedVersion="7" background="1" saveData="1">
    <dbPr connection="Provider=Microsoft.Mashup.OleDb.1;Data Source=$Workbook$;Location=&quot;Boletim (70)&quot;;Extended Properties=&quot;&quot;" command="SELECT * FROM [Boletim (70)]"/>
  </connection>
  <connection id="91" xr16:uid="{029E6678-63B8-40BA-B6DA-1BEDF43815F6}" keepAlive="1" name="Consulta - Boletim (71)" description="Conexão com a consulta 'Boletim (71)' na pasta de trabalho." type="5" refreshedVersion="7" background="1" saveData="1">
    <dbPr connection="Provider=Microsoft.Mashup.OleDb.1;Data Source=$Workbook$;Location=&quot;Boletim (71)&quot;;Extended Properties=&quot;&quot;" command="SELECT * FROM [Boletim (71)]"/>
  </connection>
  <connection id="92" xr16:uid="{9E7F170E-22A0-4CFB-8A72-7819CBB54405}" keepAlive="1" name="Consulta - Boletim (72)" description="Conexão com a consulta 'Boletim (72)' na pasta de trabalho." type="5" refreshedVersion="7" background="1" saveData="1">
    <dbPr connection="Provider=Microsoft.Mashup.OleDb.1;Data Source=$Workbook$;Location=&quot;Boletim (72)&quot;;Extended Properties=&quot;&quot;" command="SELECT * FROM [Boletim (72)]"/>
  </connection>
  <connection id="93" xr16:uid="{446C9761-8483-48F5-BE04-AEBEC9BC2559}" keepAlive="1" name="Consulta - Boletim (73)" description="Conexão com a consulta 'Boletim (73)' na pasta de trabalho." type="5" refreshedVersion="7" background="1" saveData="1">
    <dbPr connection="Provider=Microsoft.Mashup.OleDb.1;Data Source=$Workbook$;Location=&quot;Boletim (73)&quot;;Extended Properties=&quot;&quot;" command="SELECT * FROM [Boletim (73)]"/>
  </connection>
  <connection id="94" xr16:uid="{3E483729-1F70-4029-811D-8281D9472097}" keepAlive="1" name="Consulta - Boletim (74)" description="Conexão com a consulta 'Boletim (74)' na pasta de trabalho." type="5" refreshedVersion="7" background="1" saveData="1">
    <dbPr connection="Provider=Microsoft.Mashup.OleDb.1;Data Source=$Workbook$;Location=&quot;Boletim (74)&quot;;Extended Properties=&quot;&quot;" command="SELECT * FROM [Boletim (74)]"/>
  </connection>
  <connection id="95" xr16:uid="{0D05BF54-A31A-44A3-91A9-A5EE1B033363}" keepAlive="1" name="Consulta - Boletim (75)" description="Conexão com a consulta 'Boletim (75)' na pasta de trabalho." type="5" refreshedVersion="7" background="1" saveData="1">
    <dbPr connection="Provider=Microsoft.Mashup.OleDb.1;Data Source=$Workbook$;Location=&quot;Boletim (75)&quot;;Extended Properties=&quot;&quot;" command="SELECT * FROM [Boletim (75)]"/>
  </connection>
  <connection id="96" xr16:uid="{AA78AD46-447E-4D09-A37C-F843E37915C8}" keepAlive="1" name="Consulta - Boletim (76)" description="Conexão com a consulta 'Boletim (76)' na pasta de trabalho." type="5" refreshedVersion="7" background="1" saveData="1">
    <dbPr connection="Provider=Microsoft.Mashup.OleDb.1;Data Source=$Workbook$;Location=&quot;Boletim (76)&quot;;Extended Properties=&quot;&quot;" command="SELECT * FROM [Boletim (76)]"/>
  </connection>
  <connection id="97" xr16:uid="{E7D5F030-3353-486D-8686-21A583379995}" keepAlive="1" name="Consulta - Boletim (77)" description="Conexão com a consulta 'Boletim (77)' na pasta de trabalho." type="5" refreshedVersion="7" background="1" saveData="1">
    <dbPr connection="Provider=Microsoft.Mashup.OleDb.1;Data Source=$Workbook$;Location=&quot;Boletim (77)&quot;;Extended Properties=&quot;&quot;" command="SELECT * FROM [Boletim (77)]"/>
  </connection>
  <connection id="98" xr16:uid="{D21A6FB7-6428-4DC3-90E2-D516DE4F947A}" keepAlive="1" name="Consulta - Boletim (78)" description="Conexão com a consulta 'Boletim (78)' na pasta de trabalho." type="5" refreshedVersion="7" background="1" saveData="1">
    <dbPr connection="Provider=Microsoft.Mashup.OleDb.1;Data Source=$Workbook$;Location=&quot;Boletim (78)&quot;;Extended Properties=&quot;&quot;" command="SELECT * FROM [Boletim (78)]"/>
  </connection>
  <connection id="99" xr16:uid="{B1804904-ED33-4D2F-877D-96846CA6DEE8}" keepAlive="1" name="Consulta - Boletim (79)" description="Conexão com a consulta 'Boletim (79)' na pasta de trabalho." type="5" refreshedVersion="7" background="1" saveData="1">
    <dbPr connection="Provider=Microsoft.Mashup.OleDb.1;Data Source=$Workbook$;Location=&quot;Boletim (79)&quot;;Extended Properties=&quot;&quot;" command="SELECT * FROM [Boletim (79)]"/>
  </connection>
  <connection id="100" xr16:uid="{A42358F6-BAC8-431A-8160-023559F76211}" keepAlive="1" name="Consulta - Boletim (8)" description="Conexão com a consulta 'Boletim (8)' na pasta de trabalho." type="5" refreshedVersion="7" background="1" saveData="1">
    <dbPr connection="Provider=Microsoft.Mashup.OleDb.1;Data Source=$Workbook$;Location=&quot;Boletim (8)&quot;;Extended Properties=&quot;&quot;" command="SELECT * FROM [Boletim (8)]"/>
  </connection>
  <connection id="101" xr16:uid="{6571B710-C21F-4F4C-AD46-7C8E581548EC}" keepAlive="1" name="Consulta - Boletim (80)" description="Conexão com a consulta 'Boletim (80)' na pasta de trabalho." type="5" refreshedVersion="7" background="1" saveData="1">
    <dbPr connection="Provider=Microsoft.Mashup.OleDb.1;Data Source=$Workbook$;Location=&quot;Boletim (80)&quot;;Extended Properties=&quot;&quot;" command="SELECT * FROM [Boletim (80)]"/>
  </connection>
  <connection id="102" xr16:uid="{2E5AC06A-86F6-4841-BFBC-922D736E8B1D}" keepAlive="1" name="Consulta - Boletim (81)" description="Conexão com a consulta 'Boletim (81)' na pasta de trabalho." type="5" refreshedVersion="7" background="1" saveData="1">
    <dbPr connection="Provider=Microsoft.Mashup.OleDb.1;Data Source=$Workbook$;Location=&quot;Boletim (81)&quot;;Extended Properties=&quot;&quot;" command="SELECT * FROM [Boletim (81)]"/>
  </connection>
  <connection id="103" xr16:uid="{A4396E32-7578-4AFE-9046-894DD2003D70}" keepAlive="1" name="Consulta - Boletim (82)" description="Conexão com a consulta 'Boletim (82)' na pasta de trabalho." type="5" refreshedVersion="7" background="1" saveData="1">
    <dbPr connection="Provider=Microsoft.Mashup.OleDb.1;Data Source=$Workbook$;Location=&quot;Boletim (82)&quot;;Extended Properties=&quot;&quot;" command="SELECT * FROM [Boletim (82)]"/>
  </connection>
  <connection id="104" xr16:uid="{47EC179A-2DA2-497A-920A-99FFE6822E07}" keepAlive="1" name="Consulta - Boletim (83)" description="Conexão com a consulta 'Boletim (83)' na pasta de trabalho." type="5" refreshedVersion="7" background="1" saveData="1">
    <dbPr connection="Provider=Microsoft.Mashup.OleDb.1;Data Source=$Workbook$;Location=&quot;Boletim (83)&quot;;Extended Properties=&quot;&quot;" command="SELECT * FROM [Boletim (83)]"/>
  </connection>
  <connection id="105" xr16:uid="{78B2C53E-C5DF-415A-BA34-753E5BE7C770}" keepAlive="1" name="Consulta - Boletim (84)" description="Conexão com a consulta 'Boletim (84)' na pasta de trabalho." type="5" refreshedVersion="7" background="1" saveData="1">
    <dbPr connection="Provider=Microsoft.Mashup.OleDb.1;Data Source=$Workbook$;Location=&quot;Boletim (84)&quot;;Extended Properties=&quot;&quot;" command="SELECT * FROM [Boletim (84)]"/>
  </connection>
  <connection id="106" xr16:uid="{1E5C9848-9443-47E0-A0ED-2E31109B2B38}" keepAlive="1" name="Consulta - Boletim (85)" description="Conexão com a consulta 'Boletim (85)' na pasta de trabalho." type="5" refreshedVersion="7" background="1" saveData="1">
    <dbPr connection="Provider=Microsoft.Mashup.OleDb.1;Data Source=$Workbook$;Location=&quot;Boletim (85)&quot;;Extended Properties=&quot;&quot;" command="SELECT * FROM [Boletim (85)]"/>
  </connection>
  <connection id="107" xr16:uid="{47A72686-BFFF-4283-AE50-29964E940251}" keepAlive="1" name="Consulta - Boletim (86)" description="Conexão com a consulta 'Boletim (86)' na pasta de trabalho." type="5" refreshedVersion="7" background="1" saveData="1">
    <dbPr connection="Provider=Microsoft.Mashup.OleDb.1;Data Source=$Workbook$;Location=&quot;Boletim (86)&quot;;Extended Properties=&quot;&quot;" command="SELECT * FROM [Boletim (86)]"/>
  </connection>
  <connection id="108" xr16:uid="{2D7DE88C-FAD8-4316-BC5F-23AC4BC5E986}" keepAlive="1" name="Consulta - Boletim (87)" description="Conexão com a consulta 'Boletim (87)' na pasta de trabalho." type="5" refreshedVersion="7" background="1" saveData="1">
    <dbPr connection="Provider=Microsoft.Mashup.OleDb.1;Data Source=$Workbook$;Location=&quot;Boletim (87)&quot;;Extended Properties=&quot;&quot;" command="SELECT * FROM [Boletim (87)]"/>
  </connection>
  <connection id="109" xr16:uid="{EA364CD0-C424-420D-A3B5-AF5EE640AE21}" keepAlive="1" name="Consulta - Boletim (88)" description="Conexão com a consulta 'Boletim (88)' na pasta de trabalho." type="5" refreshedVersion="7" background="1" saveData="1">
    <dbPr connection="Provider=Microsoft.Mashup.OleDb.1;Data Source=$Workbook$;Location=&quot;Boletim (88)&quot;;Extended Properties=&quot;&quot;" command="SELECT * FROM [Boletim (88)]"/>
  </connection>
  <connection id="110" xr16:uid="{9339CC45-533C-41E2-8B69-D92F90C044CB}" keepAlive="1" name="Consulta - Boletim (89)" description="Conexão com a consulta 'Boletim (89)' na pasta de trabalho." type="5" refreshedVersion="7" background="1" saveData="1">
    <dbPr connection="Provider=Microsoft.Mashup.OleDb.1;Data Source=$Workbook$;Location=&quot;Boletim (89)&quot;;Extended Properties=&quot;&quot;" command="SELECT * FROM [Boletim (89)]"/>
  </connection>
  <connection id="111" xr16:uid="{7A16A40F-14A9-442A-9D58-A204D616CDF2}" keepAlive="1" name="Consulta - Boletim (9)" description="Conexão com a consulta 'Boletim (9)' na pasta de trabalho." type="5" refreshedVersion="7" background="1" saveData="1">
    <dbPr connection="Provider=Microsoft.Mashup.OleDb.1;Data Source=$Workbook$;Location=&quot;Boletim (9)&quot;;Extended Properties=&quot;&quot;" command="SELECT * FROM [Boletim (9)]"/>
  </connection>
  <connection id="112" xr16:uid="{2922BD85-6336-4E96-84C5-E94F702190FB}" keepAlive="1" name="Consulta - Boletim (90)" description="Conexão com a consulta 'Boletim (90)' na pasta de trabalho." type="5" refreshedVersion="7" background="1" saveData="1">
    <dbPr connection="Provider=Microsoft.Mashup.OleDb.1;Data Source=$Workbook$;Location=&quot;Boletim (90)&quot;;Extended Properties=&quot;&quot;" command="SELECT * FROM [Boletim (90)]"/>
  </connection>
  <connection id="113" xr16:uid="{E17DD643-DD19-4338-84CE-F9D78A02E57F}" keepAlive="1" name="Consulta - Boletim (91)" description="Conexão com a consulta 'Boletim (91)' na pasta de trabalho." type="5" refreshedVersion="7" background="1" saveData="1">
    <dbPr connection="Provider=Microsoft.Mashup.OleDb.1;Data Source=$Workbook$;Location=&quot;Boletim (91)&quot;;Extended Properties=&quot;&quot;" command="SELECT * FROM [Boletim (91)]"/>
  </connection>
  <connection id="114" xr16:uid="{160C871C-EFEC-44F1-A817-70B450703AFC}" keepAlive="1" name="Consulta - Boletim (92)" description="Conexão com a consulta 'Boletim (92)' na pasta de trabalho." type="5" refreshedVersion="7" background="1" saveData="1">
    <dbPr connection="Provider=Microsoft.Mashup.OleDb.1;Data Source=$Workbook$;Location=&quot;Boletim (92)&quot;;Extended Properties=&quot;&quot;" command="SELECT * FROM [Boletim (92)]"/>
  </connection>
  <connection id="115" xr16:uid="{285DC2A6-BB41-4B7B-9085-BB88792E345E}" keepAlive="1" name="Consulta - Boletim (93)" description="Conexão com a consulta 'Boletim (93)' na pasta de trabalho." type="5" refreshedVersion="7" background="1" saveData="1">
    <dbPr connection="Provider=Microsoft.Mashup.OleDb.1;Data Source=$Workbook$;Location=&quot;Boletim (93)&quot;;Extended Properties=&quot;&quot;" command="SELECT * FROM [Boletim (93)]"/>
  </connection>
  <connection id="116" xr16:uid="{099D0725-A2A5-4AD9-94F0-92F32A2C00EE}" keepAlive="1" name="Consulta - Boletim (94)" description="Conexão com a consulta 'Boletim (94)' na pasta de trabalho." type="5" refreshedVersion="7" background="1" saveData="1">
    <dbPr connection="Provider=Microsoft.Mashup.OleDb.1;Data Source=$Workbook$;Location=&quot;Boletim (94)&quot;;Extended Properties=&quot;&quot;" command="SELECT * FROM [Boletim (94)]"/>
  </connection>
  <connection id="117" xr16:uid="{739FC045-C396-4E9E-8A4C-ACEEDA78A677}" keepAlive="1" name="Consulta - Boletim (95)" description="Conexão com a consulta 'Boletim (95)' na pasta de trabalho." type="5" refreshedVersion="7" background="1" saveData="1">
    <dbPr connection="Provider=Microsoft.Mashup.OleDb.1;Data Source=$Workbook$;Location=&quot;Boletim (95)&quot;;Extended Properties=&quot;&quot;" command="SELECT * FROM [Boletim (95)]"/>
  </connection>
  <connection id="118" xr16:uid="{971799F7-17B2-44A9-8A9F-53C4AC7D7DB0}" keepAlive="1" name="Consulta - Boletim (96)" description="Conexão com a consulta 'Boletim (96)' na pasta de trabalho." type="5" refreshedVersion="7" background="1" saveData="1">
    <dbPr connection="Provider=Microsoft.Mashup.OleDb.1;Data Source=$Workbook$;Location=&quot;Boletim (96)&quot;;Extended Properties=&quot;&quot;" command="SELECT * FROM [Boletim (96)]"/>
  </connection>
  <connection id="119" xr16:uid="{7C47C7B0-3C70-4E34-9546-2872C06A4D6D}" keepAlive="1" name="Consulta - Boletim (97)" description="Conexão com a consulta 'Boletim (97)' na pasta de trabalho." type="5" refreshedVersion="7" background="1" saveData="1">
    <dbPr connection="Provider=Microsoft.Mashup.OleDb.1;Data Source=$Workbook$;Location=&quot;Boletim (97)&quot;;Extended Properties=&quot;&quot;" command="SELECT * FROM [Boletim (97)]"/>
  </connection>
  <connection id="120" xr16:uid="{81D932C7-3D06-4A40-962E-A3A1E09D7B81}" keepAlive="1" name="Consulta - Boletim (98)" description="Conexão com a consulta 'Boletim (98)' na pasta de trabalho." type="5" refreshedVersion="7" background="1" saveData="1">
    <dbPr connection="Provider=Microsoft.Mashup.OleDb.1;Data Source=$Workbook$;Location=&quot;Boletim (98)&quot;;Extended Properties=&quot;&quot;" command="SELECT * FROM [Boletim (98)]"/>
  </connection>
  <connection id="121" xr16:uid="{1E0725F9-528A-4C15-84FB-8C45760C1650}" keepAlive="1" name="Consulta - Boletim (99)" description="Conexão com a consulta 'Boletim (99)' na pasta de trabalho." type="5" refreshedVersion="7" background="1" saveData="1">
    <dbPr connection="Provider=Microsoft.Mashup.OleDb.1;Data Source=$Workbook$;Location=&quot;Boletim (99)&quot;;Extended Properties=&quot;&quot;" command="SELECT * FROM [Boletim (99)]"/>
  </connection>
  <connection id="122" xr16:uid="{8A0251EF-C686-4EF6-8758-E02A16DAF029}" keepAlive="1" name="Consulta - Erros em Boletim" description="Conexão com a consulta 'Erros em Boletim' na pasta de trabalho." type="5" refreshedVersion="0" background="1">
    <dbPr connection="Provider=Microsoft.Mashup.OleDb.1;Data Source=$Workbook$;Location=&quot;Erros em Boletim&quot;;Extended Properties=&quot;&quot;" command="SELECT * FROM [Erros em Boletim]"/>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<sst xmlns="http://schemas.openxmlformats.org/spreadsheetml/2006/main" count="27341" uniqueCount="3457">
  <si>
    <t>Palavras-Chave</t>
  </si>
  <si>
    <t>SBL</t>
  </si>
  <si>
    <t>BOMBEAMENTO</t>
  </si>
  <si>
    <t>BOOSTER</t>
  </si>
  <si>
    <t>DIP</t>
  </si>
  <si>
    <t>ELEVATORIA</t>
  </si>
  <si>
    <t>EM LINHA</t>
  </si>
  <si>
    <t>IN LINE</t>
  </si>
  <si>
    <t>INLINE</t>
  </si>
  <si>
    <t>DIAGNÓSTICO</t>
  </si>
  <si>
    <t>DIAGNOSTICO</t>
  </si>
  <si>
    <t>EFICIÊNCIA</t>
  </si>
  <si>
    <t>EFICIENCIA</t>
  </si>
  <si>
    <t>MEDIÇÃO</t>
  </si>
  <si>
    <t>RENDIMENTO</t>
  </si>
  <si>
    <t>TERMODIN</t>
  </si>
  <si>
    <t>APOIADO</t>
  </si>
  <si>
    <t>CILINDRICO</t>
  </si>
  <si>
    <t>ELEVADO</t>
  </si>
  <si>
    <t>INOX PARAFUSADO</t>
  </si>
  <si>
    <t>PARAFUSADO</t>
  </si>
  <si>
    <t>RESERVAT</t>
  </si>
  <si>
    <t>TAÇA</t>
  </si>
  <si>
    <t>TANQUE</t>
  </si>
  <si>
    <t>VITRIFICADO</t>
  </si>
  <si>
    <t>OZÔNIO</t>
  </si>
  <si>
    <t>OZONIO</t>
  </si>
  <si>
    <t>ABRACADEIRA</t>
  </si>
  <si>
    <t>ACOPLAMENTO</t>
  </si>
  <si>
    <t>BI PARTI</t>
  </si>
  <si>
    <t>BI-PARTI</t>
  </si>
  <si>
    <t>BIPARTI</t>
  </si>
  <si>
    <t>JUNTA</t>
  </si>
  <si>
    <t>OPEN FLEX</t>
  </si>
  <si>
    <t>UNIAO</t>
  </si>
  <si>
    <t>Número ConLicitação</t>
  </si>
  <si>
    <t>Órgão</t>
  </si>
  <si>
    <t>Cidade</t>
  </si>
  <si>
    <t>Estado</t>
  </si>
  <si>
    <t>Edital</t>
  </si>
  <si>
    <t>Situação</t>
  </si>
  <si>
    <t>Abertura</t>
  </si>
  <si>
    <t>Objeto</t>
  </si>
  <si>
    <t>Atualizada em</t>
  </si>
  <si>
    <t>Observação</t>
  </si>
  <si>
    <t>Palavra Chave</t>
  </si>
  <si>
    <t>INOX</t>
  </si>
  <si>
    <t>ELEVATÓRIA</t>
  </si>
  <si>
    <t>ELEVAT</t>
  </si>
  <si>
    <t>UNIÃO</t>
  </si>
  <si>
    <t>AM</t>
  </si>
  <si>
    <t>URGENTE</t>
  </si>
  <si>
    <t>Manaus</t>
  </si>
  <si>
    <t>Salvador</t>
  </si>
  <si>
    <t>BA</t>
  </si>
  <si>
    <t>COMPRAS ELETRÔNICAS</t>
  </si>
  <si>
    <t>Não informado</t>
  </si>
  <si>
    <t>Camaçari</t>
  </si>
  <si>
    <t>SENAI-Serviço Nacional de Aprendizagem Industrial - Departamento Regional da Bahia</t>
  </si>
  <si>
    <t>Fortaleza</t>
  </si>
  <si>
    <t>CE</t>
  </si>
  <si>
    <t>Brasília</t>
  </si>
  <si>
    <t>DF</t>
  </si>
  <si>
    <t>ES</t>
  </si>
  <si>
    <t>GO</t>
  </si>
  <si>
    <t>Belo Horizonte</t>
  </si>
  <si>
    <t>MG</t>
  </si>
  <si>
    <t>MS</t>
  </si>
  <si>
    <t>PA</t>
  </si>
  <si>
    <t>Recife</t>
  </si>
  <si>
    <t>PE</t>
  </si>
  <si>
    <t>PI</t>
  </si>
  <si>
    <t>PR</t>
  </si>
  <si>
    <t>Curitiba</t>
  </si>
  <si>
    <t>PETROBRÁS-Petróleo Brasileiro S/A</t>
  </si>
  <si>
    <t>Rio de Janeiro</t>
  </si>
  <si>
    <t>RJ</t>
  </si>
  <si>
    <t>RN</t>
  </si>
  <si>
    <t>RO</t>
  </si>
  <si>
    <t>Porto Alegre</t>
  </si>
  <si>
    <t>RS</t>
  </si>
  <si>
    <t>SC</t>
  </si>
  <si>
    <t>SP</t>
  </si>
  <si>
    <t>São Paulo</t>
  </si>
  <si>
    <t>TO</t>
  </si>
  <si>
    <t>NOVA</t>
  </si>
  <si>
    <t>AL</t>
  </si>
  <si>
    <t>Maceió</t>
  </si>
  <si>
    <t>Vitória</t>
  </si>
  <si>
    <t>MA</t>
  </si>
  <si>
    <t/>
  </si>
  <si>
    <t>MT</t>
  </si>
  <si>
    <t>PB</t>
  </si>
  <si>
    <t>SE</t>
  </si>
  <si>
    <t>RETIFICAÇÃO</t>
  </si>
  <si>
    <t>PRORROGADA</t>
  </si>
  <si>
    <t>REABERTURA</t>
  </si>
  <si>
    <t>SUSPENSA</t>
  </si>
  <si>
    <t>REVOGADA</t>
  </si>
  <si>
    <t xml:space="preserve">COPASA-Companhia de Saneamento de Minas Gerais </t>
  </si>
  <si>
    <t>João Pessoa</t>
  </si>
  <si>
    <t>Goiânia</t>
  </si>
  <si>
    <t>Natal</t>
  </si>
  <si>
    <t>abraçadeira</t>
  </si>
  <si>
    <t>Florianópolis</t>
  </si>
  <si>
    <t>DL/2/2026</t>
  </si>
  <si>
    <t>PE/3/2026</t>
  </si>
  <si>
    <t>PE/2/2026</t>
  </si>
  <si>
    <t>CR/1/2026</t>
  </si>
  <si>
    <t>PE/1/2026</t>
  </si>
  <si>
    <t>DL/1/2026</t>
  </si>
  <si>
    <t>Cuiabá</t>
  </si>
  <si>
    <t>PE/90001/2026</t>
  </si>
  <si>
    <t>CR/3/2026</t>
  </si>
  <si>
    <t>CR/2/2026</t>
  </si>
  <si>
    <t>PE/4/2026</t>
  </si>
  <si>
    <t>DL/SN</t>
  </si>
  <si>
    <t>PE/5/2026</t>
  </si>
  <si>
    <t>DL/3/2026</t>
  </si>
  <si>
    <t>DL/6/2026</t>
  </si>
  <si>
    <t>PE/6/2026</t>
  </si>
  <si>
    <t>PE/7/2026</t>
  </si>
  <si>
    <t>PE/8/2026</t>
  </si>
  <si>
    <t>Campo Grande</t>
  </si>
  <si>
    <t>PE/10/2026</t>
  </si>
  <si>
    <t>DL/7/2026</t>
  </si>
  <si>
    <t>PE/11/2026</t>
  </si>
  <si>
    <t>CR/4/2026</t>
  </si>
  <si>
    <t>PE/12/2026</t>
  </si>
  <si>
    <t>DL/5/2026</t>
  </si>
  <si>
    <t>Belém</t>
  </si>
  <si>
    <t>www.copasa.com.br link: Licitações e Contratos/Licitação.
 - Licitação sujeita a confirmação pois não foi informado que trata-se de prorrogação.</t>
  </si>
  <si>
    <t>www.copasa.com.br link: Licitações e Contratos/Licitação.</t>
  </si>
  <si>
    <t>Teresina</t>
  </si>
  <si>
    <t>PE/13/2026</t>
  </si>
  <si>
    <t>PE/9/2026</t>
  </si>
  <si>
    <t>Porto Velho</t>
  </si>
  <si>
    <t>DL/12/2026</t>
  </si>
  <si>
    <t xml:space="preserve">
 - Licitação sujeita a confirmação pois não foi informado que trata-se de prorrogação.</t>
  </si>
  <si>
    <t>DL/10/2026</t>
  </si>
  <si>
    <t>PE/90006/2026</t>
  </si>
  <si>
    <t>DL/9/2026</t>
  </si>
  <si>
    <t>PE/16/2026</t>
  </si>
  <si>
    <t>PE/15/2026</t>
  </si>
  <si>
    <t>AC</t>
  </si>
  <si>
    <t>DL/4/2026</t>
  </si>
  <si>
    <t>PE/14/2026</t>
  </si>
  <si>
    <t>DL/8/2026</t>
  </si>
  <si>
    <t>CR/5/2026</t>
  </si>
  <si>
    <t>CR/6/2026</t>
  </si>
  <si>
    <t>Serviço Nacional de Aprendizagem Industrial -  SENAI CIMATEC Park</t>
  </si>
  <si>
    <t>Governo do Estado do Ceará</t>
  </si>
  <si>
    <t>PE/90005/2026</t>
  </si>
  <si>
    <t>SESI-Serviço Social da Indústria</t>
  </si>
  <si>
    <t>Ribeirão Preto</t>
  </si>
  <si>
    <t>PE/17/2026</t>
  </si>
  <si>
    <t>SANEPAR-Companhia de Saneamento do Paraná</t>
  </si>
  <si>
    <t>PE/90002/2026</t>
  </si>
  <si>
    <t>SM/1/2026</t>
  </si>
  <si>
    <t>São Luís</t>
  </si>
  <si>
    <t>Aracaju</t>
  </si>
  <si>
    <t>DL/13/2026</t>
  </si>
  <si>
    <t>Rio Branco</t>
  </si>
  <si>
    <t>EMBASA-Empresa Baiana de Águas e Saneamento S/A</t>
  </si>
  <si>
    <t>Campinas</t>
  </si>
  <si>
    <t>PE/18/2026</t>
  </si>
  <si>
    <t>PE/19/2026</t>
  </si>
  <si>
    <t>ADIADA</t>
  </si>
  <si>
    <t>SUSPENSA SINE DIE</t>
  </si>
  <si>
    <t>*</t>
  </si>
  <si>
    <t>SM/2/2026</t>
  </si>
  <si>
    <t>PE/24/2026</t>
  </si>
  <si>
    <t>CP/SN</t>
  </si>
  <si>
    <t>PR/7/2026</t>
  </si>
  <si>
    <t>Secretaria Estadual da Administração</t>
  </si>
  <si>
    <t>PE/90020/2026</t>
  </si>
  <si>
    <t>Petrobrás Transporte S/A - TRANSPETRO</t>
  </si>
  <si>
    <t>PE/90013/2026</t>
  </si>
  <si>
    <t xml:space="preserve"> - Licitação sujeita a confirmação pois não foi informado que trata-se de prorrogação.</t>
  </si>
  <si>
    <t>DL/11/2026</t>
  </si>
  <si>
    <t>Prefeitura Municipal de Assis</t>
  </si>
  <si>
    <t>Assis</t>
  </si>
  <si>
    <t>Jequié</t>
  </si>
  <si>
    <t>PE/90003/2026</t>
  </si>
  <si>
    <t>ALTERADA</t>
  </si>
  <si>
    <t>NÃO INFORMADO</t>
  </si>
  <si>
    <t xml:space="preserve"> </t>
  </si>
  <si>
    <t>SESI - Serviço Social da Indústria</t>
  </si>
  <si>
    <t>PE/27/2026</t>
  </si>
  <si>
    <t>FIEC - Federação das Industrias do Estado do Ceará</t>
  </si>
  <si>
    <t>Niterói</t>
  </si>
  <si>
    <t>DL/20/2026</t>
  </si>
  <si>
    <t>DL/32/2026</t>
  </si>
  <si>
    <t>Joinville</t>
  </si>
  <si>
    <t>Montes Claros</t>
  </si>
  <si>
    <t>Prefeitura Municipal de Braço do Trombudo</t>
  </si>
  <si>
    <t>Braço do Trombudo</t>
  </si>
  <si>
    <t>Prefeitura Municipal de Quirinópolis</t>
  </si>
  <si>
    <t>Quirinópolis</t>
  </si>
  <si>
    <t>CR/7/2026</t>
  </si>
  <si>
    <t>Ponta Grossa</t>
  </si>
  <si>
    <t>CR/9/2026</t>
  </si>
  <si>
    <t>PE/22/2026</t>
  </si>
  <si>
    <t>Anápolis</t>
  </si>
  <si>
    <t>DL/19/2026</t>
  </si>
  <si>
    <t>SENAI-Serviço Nacional de Aprendizagem Industrial</t>
  </si>
  <si>
    <t>FAEPA-Fundação de Apoio ao Ensino, Pesquisa e Assistência do Hospital das Clínicas de Ribeirão Preto</t>
  </si>
  <si>
    <t>** Confirmar prazo na Unidade Licitante, pois não foi informado pela Fonte Oficial **</t>
  </si>
  <si>
    <t>DL/26/2026</t>
  </si>
  <si>
    <t>CR/90003/2026</t>
  </si>
  <si>
    <t>PE/90004/2026</t>
  </si>
  <si>
    <t>PE/26/2026</t>
  </si>
  <si>
    <t>PE/90015/2026</t>
  </si>
  <si>
    <t>Resende</t>
  </si>
  <si>
    <t>Hospital Geral Ernesto Simões Filho</t>
  </si>
  <si>
    <t>Rondonópolis</t>
  </si>
  <si>
    <t>Atibaia</t>
  </si>
  <si>
    <t>Prefeitura Municipal da Estância de Atibaia</t>
  </si>
  <si>
    <t>PE/90014/2026</t>
  </si>
  <si>
    <t>Barbacena</t>
  </si>
  <si>
    <t>PE/90007/2026</t>
  </si>
  <si>
    <t>Sete Lagoas</t>
  </si>
  <si>
    <t>SANEAR - Serviço de Saneamento Ambiental de Rondonópolis</t>
  </si>
  <si>
    <t>Foz do Iguaçu</t>
  </si>
  <si>
    <t>PE/90009/2026</t>
  </si>
  <si>
    <t>Prefeitura Municipal do Rio de Janeiro</t>
  </si>
  <si>
    <t>Americana</t>
  </si>
  <si>
    <t>DL/14/2026</t>
  </si>
  <si>
    <t>DL/64/2026</t>
  </si>
  <si>
    <t>PE/53/2026</t>
  </si>
  <si>
    <t>CEMIG Geração e Transmissão S.A.</t>
  </si>
  <si>
    <t>SM/14/2026</t>
  </si>
  <si>
    <t>CAGEPA-Companhia de Água e Esgotos da Paraíba</t>
  </si>
  <si>
    <t>Iguatu</t>
  </si>
  <si>
    <t>FIRJAN - Federação das Industrias do Estado do Rio de Janeiro</t>
  </si>
  <si>
    <t>Jaú</t>
  </si>
  <si>
    <t>METRÔ-Companhia do Metropolitano de São Paulo</t>
  </si>
  <si>
    <t>Pirassununga</t>
  </si>
  <si>
    <t>DL/24/2026</t>
  </si>
  <si>
    <t>DL/22/2026</t>
  </si>
  <si>
    <t>PE/28/2026</t>
  </si>
  <si>
    <t>PE/90011/2026</t>
  </si>
  <si>
    <t>PE/90010/2026</t>
  </si>
  <si>
    <t>Prefeitura Municipal de Toledo</t>
  </si>
  <si>
    <t>Toledo</t>
  </si>
  <si>
    <t>PE/31/2026</t>
  </si>
  <si>
    <t>Fundação Norte-Rio-Grandense de Pesquisa e Cultura - FUNPEC</t>
  </si>
  <si>
    <t>Casa Civil</t>
  </si>
  <si>
    <t>Superintendência dos Serviços Penitenciários</t>
  </si>
  <si>
    <t>PE/90018/2026</t>
  </si>
  <si>
    <t>Araras</t>
  </si>
  <si>
    <t>SAAE-Serviço Autônomo de Água e Esgotos de Garça</t>
  </si>
  <si>
    <t>Garça</t>
  </si>
  <si>
    <t>SANASA-Sociedade de Abastecimento de Água e Saneamento S/A</t>
  </si>
  <si>
    <t>Prefeitura Municipal de Lages</t>
  </si>
  <si>
    <t>Lages</t>
  </si>
  <si>
    <t>RR</t>
  </si>
  <si>
    <t>ANULADA</t>
  </si>
  <si>
    <t>EDITAL</t>
  </si>
  <si>
    <t>Fundação de Apoio à Universidade Federal de Lavras - UFLA</t>
  </si>
  <si>
    <t>Lavras</t>
  </si>
  <si>
    <t>SENAI - Serviço Nacional de Aprendizagem Industrial</t>
  </si>
  <si>
    <t>SM/3/2026</t>
  </si>
  <si>
    <t>Capinzal</t>
  </si>
  <si>
    <t>UNEB-Universidade do Estado da Bahia</t>
  </si>
  <si>
    <t>DL/18/2026</t>
  </si>
  <si>
    <t>Juazeiro</t>
  </si>
  <si>
    <t>Defensoria Pública do Estado</t>
  </si>
  <si>
    <t>Paulo Afonso</t>
  </si>
  <si>
    <t>Secretaria Estadual da Saude - Diretoria Geral</t>
  </si>
  <si>
    <t>Crato</t>
  </si>
  <si>
    <t>Juazeiro do Norte</t>
  </si>
  <si>
    <t>ISGH - Instituto de Saúde e Gestão Hospitalar</t>
  </si>
  <si>
    <t>Itajubá</t>
  </si>
  <si>
    <t>DL/39/2026</t>
  </si>
  <si>
    <t>DL/31/2026</t>
  </si>
  <si>
    <t>Prefeitura Municipal do Recife - Comissão Central de Licitação</t>
  </si>
  <si>
    <t>SM/6/2026</t>
  </si>
  <si>
    <t>AQUISIÇÃO DE BENS DAS FAMÍLIAS:
0450-FERRAGENS/ABRASIVOS;0465-EQUIPAMENTOS/MATERIAIS P/CONSTRUCAO CIVIL;</t>
  </si>
  <si>
    <t>DL/17/2026</t>
  </si>
  <si>
    <t>Jacareí</t>
  </si>
  <si>
    <t>DL/49/2026</t>
  </si>
  <si>
    <t>Jundiaí</t>
  </si>
  <si>
    <t>DL/56/2026</t>
  </si>
  <si>
    <t>Prefeitura Municipal de Itamaraju</t>
  </si>
  <si>
    <t>Itamaraju</t>
  </si>
  <si>
    <t>Prefeitura Municipal de Cariacica</t>
  </si>
  <si>
    <t>Cariacica</t>
  </si>
  <si>
    <t>DL/44/2026</t>
  </si>
  <si>
    <t>Prefeitura Municipal de Juatuba</t>
  </si>
  <si>
    <t>Juatuba</t>
  </si>
  <si>
    <t>PR/5/2026</t>
  </si>
  <si>
    <t>PE/29/2026</t>
  </si>
  <si>
    <t>PE/25/2026</t>
  </si>
  <si>
    <t>PE/80/2026</t>
  </si>
  <si>
    <t>SM/55/2026</t>
  </si>
  <si>
    <t>PE/90023/2026</t>
  </si>
  <si>
    <t>Jaraguá do Sul</t>
  </si>
  <si>
    <t>Porto Belo</t>
  </si>
  <si>
    <t>PE/72/2026</t>
  </si>
  <si>
    <t>CR/50/2026</t>
  </si>
  <si>
    <t>PE/49/2026</t>
  </si>
  <si>
    <t>Companhia Águas de Joinville</t>
  </si>
  <si>
    <t>Prefeitura Municipal de Franca</t>
  </si>
  <si>
    <t>Franca</t>
  </si>
  <si>
    <t>Taubaté</t>
  </si>
  <si>
    <t>Itaipu Binacional</t>
  </si>
  <si>
    <t>PR/3/2026</t>
  </si>
  <si>
    <t>Brumado</t>
  </si>
  <si>
    <t>Prefeitura Municipal de Santa Bárbara</t>
  </si>
  <si>
    <t>Santa Bárbara</t>
  </si>
  <si>
    <t xml:space="preserve">Belo Horizonte </t>
  </si>
  <si>
    <t>Barra do Piraí</t>
  </si>
  <si>
    <t>Ji-Paraná</t>
  </si>
  <si>
    <t>DL/211/2026</t>
  </si>
  <si>
    <t>DL/35/2026</t>
  </si>
  <si>
    <t>Prefeitura Municipal de Jaú</t>
  </si>
  <si>
    <t>SESC-Serviço Social do Comércio - Administração Regional de Góias</t>
  </si>
  <si>
    <t>PE/50/2026</t>
  </si>
  <si>
    <t>Alagoinhas</t>
  </si>
  <si>
    <t>Hospital Geral Roberto Santos</t>
  </si>
  <si>
    <t>Secretaria Estadual de Educação Básica -  EEEP Maria Violeta Arraes de Alencar Gervaiseau</t>
  </si>
  <si>
    <t>* Licitação Eletrônica * AQUISIÇÃO - MATERIAL DE CONSUMO - FERRAMENTAS * https://pncp.gov.br *</t>
  </si>
  <si>
    <t>Itapiúna</t>
  </si>
  <si>
    <t>Secretaria Estadual de Educação Básica - EEFM FRANKLIM TÁVORA</t>
  </si>
  <si>
    <t>Secretaria Estadual de Educação Básica - E.E.F.M. DOM ANTÔNIO DE ALMEIDA LUSTOSA</t>
  </si>
  <si>
    <t>DL/13067/2026</t>
  </si>
  <si>
    <t>* Licitação Eletrônica * A aquisição de materiais elétricos e eletrônicos visando à manutenção preventiva e corretiva das instalações físicas, bem como à atualização tecnológica dos ambientes administrativos e pedagógicos da unidade escolar, garantindo a segurança elétrica e a continuidade das atividades de ensino, visando atender as necessidades desta unidade escolar da rede Estadual de Ensino do Estado do Ceará. * https://pncp.gov.br *</t>
  </si>
  <si>
    <t>Unidade compradora: 228082 - ESTADO DO CEARA - EEFM DOM ANTONIO DE ALMEIDA LUSTOSA
Local: Fortaleza/CE
Órgão: ESTADO DO CEARA
Id contratação PNCP: 07954480000179-1-008244/2026
Fonte: Secretaria do Planejamento e Gestão do Ceará
A aquisição de materiais elétricos e eletrônicos é fundamental para garantir a continuidade das atividades pedagógicas e administrativas, assegurando a manutenção da infraestrutura física e o funcionamento de equipamentos essenciais, como computadores, projetores e sistemas de iluminação. A disponibilidade desses itens permite um ambiente de aprendizagem seguro, moderno e tecnologicamente integrado, prevenindo a interrupção de aulas por falhas técnicas e viabilizando o uso de ferramentas digitais que são indispensáveis para a formação contemporânea dos alunos e para a eficiência da gestão escolar. - Dispensa</t>
  </si>
  <si>
    <t>DL/52/2026</t>
  </si>
  <si>
    <t>Secretaria Estadual de Educação Básica -  EEM  Monsenhor Antonio Feitosa</t>
  </si>
  <si>
    <t>Missão Velha</t>
  </si>
  <si>
    <t>DL/12123/2026</t>
  </si>
  <si>
    <t>* Licitação Eletrônica * AQUISIÇÃO OUTROS SERVIÇOS DE TERCEIROS.
 MANUTENÇÃO PREDIAL * https://pncp.gov.br *</t>
  </si>
  <si>
    <t>Unidade compradora: 228641 - ESTADO DO CEARA - EEM MONSENHOR ANTÔNIO FEITOSA
Local: Missão Velha/CE
Órgão: ESTADO DO CEARA
Id contratação PNCP: 07954480000179-1-008254/2026
Fonte: Secretaria do Planejamento e Gestão do Ceará
PARA SUPRIR AS NECESSIDADES DA UNIDADE ESCOLAR. - Dispensa</t>
  </si>
  <si>
    <t>DL/75/2026</t>
  </si>
  <si>
    <t>Prefeitura Municipal de Varginha</t>
  </si>
  <si>
    <t>Varginha</t>
  </si>
  <si>
    <t xml:space="preserve"> * Licitação Eletrônica * - * Orçamentação Eletrônica * AQUISICAO DE CURVA 90o RL GALV. ELETROD.JRE DN 3/4"</t>
  </si>
  <si>
    <t>EMATER-Empresa de Assistência Técnica e Extensão Rural</t>
  </si>
  <si>
    <t>DL/33/2026</t>
  </si>
  <si>
    <t>Prefeitura Municipal de Cristais</t>
  </si>
  <si>
    <t>Cristais</t>
  </si>
  <si>
    <t>DL/157/2026</t>
  </si>
  <si>
    <t>Agência Estadual de Regulação de Serviços Públicos de Mato Grosso do Sul - AGEMS</t>
  </si>
  <si>
    <t>Colniza</t>
  </si>
  <si>
    <t>DL/23/2026</t>
  </si>
  <si>
    <t>Universidade Estadual do Pará</t>
  </si>
  <si>
    <t>* Licitação Eletrônica * A aquisição de material permanente tribunas e mastros para bandeiras aos campi da UEPA * https://pncp.gov.br *</t>
  </si>
  <si>
    <t>Unidade compradora: 37 - UNIVERSIDADE DO ESTADO DO PARA UEP - UEPA
Local: Belém/PA
Órgão: UNIVERSIDADE DO ESTADO DO PARA UEP
Id contratação PNCP: 34860833000144-1-000013/2026
Fonte: Compras Pará
 - Dispensa</t>
  </si>
  <si>
    <t>Universidade de Pernambuco - Pronto Socorro Cardiológico de Pernambuco Prof. Luiz Tavares</t>
  </si>
  <si>
    <t>DL/224/2026</t>
  </si>
  <si>
    <t>São Francisco de Itabapoana</t>
  </si>
  <si>
    <t>Casa da Moeda do Brasil</t>
  </si>
  <si>
    <t>CEDAE-Companhia Estadual de Águas e Esgotos</t>
  </si>
  <si>
    <t>Câmara Municipal de Nova Friburgo</t>
  </si>
  <si>
    <t>Nova Friburgo</t>
  </si>
  <si>
    <t>Estaleiro de Manutenção da Ilha da Madeira</t>
  </si>
  <si>
    <t>Itaguaí</t>
  </si>
  <si>
    <t>RIOPREVIDÊNCIA-Fundo Único de Previdência Social do Estado do Rio de Janeiro</t>
  </si>
  <si>
    <t>Pelotas</t>
  </si>
  <si>
    <t>Prefeitura Municipal de Xanxerê</t>
  </si>
  <si>
    <t>Xanxerê</t>
  </si>
  <si>
    <t>DL/60/2026</t>
  </si>
  <si>
    <t>DL/38/2026</t>
  </si>
  <si>
    <t>DAE-Departamento de Água e Esgoto de Santa Bárbara D'Oeste</t>
  </si>
  <si>
    <t>Santa Bárbara D'Oeste</t>
  </si>
  <si>
    <t>* Licitação Eletrônica * Aquisição de luvas DEFOFO, para utilização das equipes de manutenção de redes. * https://jornaldolicitante.com.br *</t>
  </si>
  <si>
    <t>Segmento: Engenharia - materiais</t>
  </si>
  <si>
    <t>Piracicaba</t>
  </si>
  <si>
    <t>DL/21/2026</t>
  </si>
  <si>
    <t>DL/98/2026</t>
  </si>
  <si>
    <t>* Licitação Eletrônica * Contratação de empresa especializada para fornecimento de 60 kg sessenta quilogramas de graxa para manutenção preventiva lubrificação de bombas, motores, equipamentos e materiais mecânicos dos Reservatórios e Estações de Tratamento de Água do DAE de Santa Bárbara d'Oeste. * https://jornaldolicitante.com.br *</t>
  </si>
  <si>
    <t>Segmento: Combustíveis</t>
  </si>
  <si>
    <t>SAAE-Serviço Autônomo de Água e Esgoto de São Carlos</t>
  </si>
  <si>
    <t>São Carlos</t>
  </si>
  <si>
    <t>SAEMA - Serviço de Água, Esgoto e Meio Ambiente do Município de Araras</t>
  </si>
  <si>
    <t>Prefeitura Municipal de Louveira</t>
  </si>
  <si>
    <t>Louveira</t>
  </si>
  <si>
    <t>DL/53/2026</t>
  </si>
  <si>
    <t>Secretaria Municipal de Coordenação das Subprefeituras - Subprefeitura Pinheiros</t>
  </si>
  <si>
    <t>DL/66/2026</t>
  </si>
  <si>
    <t>Bauru</t>
  </si>
  <si>
    <t>Segmento: Prestação de Serviços - Outros</t>
  </si>
  <si>
    <t xml:space="preserve"> CONTRATAÇÃO DE EMPRESA PARA ELABORAÇÃO DE PROJETO BÁSICO DE ENGENHARIA PARA TRANSPOSIÇÃO DE REDES ATRAVÉS DE RODOVIAS E FERROVIAS EM GARÇA/SP, PELO MÉTODO NÃO DESTRUTIVO. * https://jornaldolicitante.com.br *</t>
  </si>
  <si>
    <t>Segmento: Engenharia - serviços
 - Licitação sujeita a confirmação pois não foi informado que trata-se de prorrogação.</t>
  </si>
  <si>
    <t>Prefeitura Municipal de Andirá</t>
  </si>
  <si>
    <t>Andirá</t>
  </si>
  <si>
    <t>* Licitação eletrônica * REGISTRO DE PREÇO PARA FUTURA E EVENTUAL AQUISIÇÃO DE MATERIAIS E
EQUIPAMENTOS DE PINTURA, ATENDENDO ÀS DIVERSAS SECRETARIAS MUNICIPAIS,
FUNPESPA E SAMAE.</t>
  </si>
  <si>
    <t>* Retificação do número do edital conforme Coleta Conlicitação. * 
Onde se lê: PR/11/2026
Leia-se: pe/11/2026
** Favor DESCONSIDERAR o presente aviso, pois a oportunidade já está informada através do Número ConLicitação 18791197 **</t>
  </si>
  <si>
    <t>PE/32/2026</t>
  </si>
  <si>
    <t>PE/90028/2026</t>
  </si>
  <si>
    <t>Prefeitura Municipal de Dom Basílio</t>
  </si>
  <si>
    <t>Dom Basílio</t>
  </si>
  <si>
    <t>* Licitação Eletrônica * Aquisição de materiais hidráulicos diversos, destinados à manutenção e operação do sistema de abastecimento de água do SAAE, incluindo tubos, conexões, registros, válvulas e acessórios, visando garantir melhores condições de atendimento à população</t>
  </si>
  <si>
    <t>Unidade compradora: 983501 - PREFEITURA MUNICIPAL DE DOM BASILIO
Local: Dom Basílio/BA
Órgão: MUNICIPIO DE DOM BASILIO
Id contratação PNCP: 13673314000105-1-000067/2026
Fonte: Compras.gov.br
 Para as respostas de esclarecimentos e impugnações deste edital acesse o link: https://cnetmobile.estaleiro.serpro.gov.br/comprasnet-web/public/landing?destino=quadro-informativo&amp;compra=98350105900202026 - Número compra: 90020 - Pregão - Eletrônico</t>
  </si>
  <si>
    <t xml:space="preserve">Aquisição tubos PEAD 90 e 110mm pe 100 pn10 sdr 17, no Sistema de Registro de Preços. </t>
  </si>
  <si>
    <t>AVISO DE LICITAÇÃO PELO RITO SIMILAR AO PREGÃO ELETRÔNICO NO SISTEMA DE
REGISTRO DE PREÇO N.º 055/2026.
Objeto: Aquisição tubos PEAD 90 e 110mm pe 100 pn10 sdr 17, no Sistema de Registro
de Preços. Disputa: 24/04/2026 às 09h Horário de Brasília-DF. Edital: https://licitacoes-e2.
bb.com.br/aop-inter-estatico Licitação nº 1090928 Recursos: Próprios/Financiados.
Informações: glclc.esclarecimentos@embasa.ba.gov.br ou telefone 71 3372-4770/4807. A
licitação será processada de acordo com as disposições da Lei nº 13.303/2016, Lei Complementar
nº 123/2006 e Regulamento Interno de Licitações e Contratos da EMBASA - Salvador, 07 de
Abril de 2026 - Paula Ferreira Papa dos Santos Lyra - Agente de Licitação.</t>
  </si>
  <si>
    <t>SM/54/2026</t>
  </si>
  <si>
    <t>Aquisição curva 90 pvc rc pb jei 100mm col esg, no sistema de registro de preços.</t>
  </si>
  <si>
    <t>AVISO DE LICITAÇÃO PELO RITO SIMILAR AO PREGÃO ELETRÔNICO NO SISTEMA DE
REGISTRO DE PREÇO N.º 054/2026.
Objeto: Aquisição curva 90 pvc rc pb jei 100mm col esg, no sistema de registro de preços. Disputa:
16/04/2026 às 09h Horário de Brasília-DF. Edital: https://licitacoes-e2.bb.com.br/aop-inter-estatico
Licitação nº 1090892 Recursos: Próprios. Informações: glclc.esclarecimentos@embasa.ba.gov.br
ou telefone 71 3372-4770/4807. A licitação será processada de acordo com as disposições da Lei
nº 13.303/2016, Lei Complementar nº 123/2006 e Regulamento Interno de Licitações e Contratos da
EMBASA - Salvador, 07 de Abril de 2026 - Patrícia dos Santos Lyra - Agente de Licitação.</t>
  </si>
  <si>
    <t>Prefeitura Municipal de Coribe</t>
  </si>
  <si>
    <t>Coribe</t>
  </si>
  <si>
    <t>Valença</t>
  </si>
  <si>
    <t>Prefeitura Municipal de Guanambi</t>
  </si>
  <si>
    <t>Guanambi</t>
  </si>
  <si>
    <t>SM/53/2026</t>
  </si>
  <si>
    <t>Aquisição adesivo plastico conexoes PVC 75g, no Sistema de Registro de Preços.</t>
  </si>
  <si>
    <t>AVISO DE LICITAÇÃO PELO RITO SIMILAR AO PREGÃO ELETRÔNICO NO SISTEMA DE
REGISTRO DE PREÇO N.º 053/2026.
Objeto: Aquisição adesivo plastico conexoes PVC 75g, no Sistema de Registro de Preços. Disputa:
15/04/2026 às 09h Horário de Brasília-DF. Edital: https://licitacoes-e2.bb.com.br/aop-inter-estatico
Licitação nº 1090874 Recursos: Próprios. Informações: glclc.esclarecimentos@embasa.ba.gov.br
ou telefone 71 3372-4770/4807. A licitação será processada de acordo com as disposições da Lei
nº 13.303/2016, Lei Complementar nº 123/2006 e Regulamento Interno de Licitações e Contratos da
EMBASA - Salvador, 07 de Abril de 2026 - Jorge Carlos da Silva Filho - Agente de Licitação.</t>
  </si>
  <si>
    <t>SM/45/2026</t>
  </si>
  <si>
    <t xml:space="preserve">Ampliação do Sistema Integrado de Abastecimento de Água SIAA de Serrinha-Conceição do Coité para atendimento às localidades de Biongo, Simão e Torta - Município de Conceição do Coité-BA. </t>
  </si>
  <si>
    <t>AVISO DA LICITAÇÃO Nº 045/26
A Embasa torna público que realizará a LICITAÇÃO n.º 045/26, processada de acordo com
as disposições da Lei nº 13.303/2016, Lei Complementar 123/2006 e Regulamento Interno de
Licitações e Contratos da EMBASA. Objeto: Ampliação do Sistema Integrado de Abastecimento
de Água SIAA de Serrinha-Conceição do Coité para atendimento às localidades de Biongo, Simão
e Torta - Município de Conceição do Coité-BA. Abertura de Propostas: 04/05/2026 às 14:00.
Horário de Brasília-DF. Recursos Financeiros: Próprios. O Edital e seus anexos encontram-se
disponíveis para download no site https://licitacoes-e2.bb.com.br/aop-inter-estatico/, Licitação
BB nº: 1090831. O cadastro da proposta deverá ser feito no site https://licitacoes-e2.bb.com.
br/aop-inter-estatico/, antes da abertura da sessão pública. Informações através do e-mail: glcle.
esclarecimentos@embasa.ba.gov.br ou por telefone: 71 3372-4015/4022. Salvador, 07 de abril
de 2026. - Samuel Cordeiro de Jesus- Agente de Licitação.</t>
  </si>
  <si>
    <t>Serviço Autônomo de Água e Esgoto de Itapetinga</t>
  </si>
  <si>
    <t>Itapetinga</t>
  </si>
  <si>
    <t>Prefeitura Municipal de Baixio</t>
  </si>
  <si>
    <t>Baixio</t>
  </si>
  <si>
    <t>PE/7.04.01/2026</t>
  </si>
  <si>
    <t>* Licitação Eletrônica * AQUISIÇÃO DE RECARGA DE CILINDRO DE OXIGÊNIO MEDICINAL EM REGIME DE COMODATO E EQUIPAMENTOS DESTINADO A ATENDER AS NECESSIDADES DO HOSPITAL MUNICIPAL POR INTERMÉDIO DA SECRETARIA MUNICIPAL DE SAÚDE DE BAIXIO-CE.</t>
  </si>
  <si>
    <t>Pregão Eletrônico
CERTAME LICITATÓRIO Nº 07.04.01.2026PE
Tipo de apuração: Lote
Critério de julgamento: Menor Preço</t>
  </si>
  <si>
    <t>Prefeitura Municipal de Juazeiro do Norte</t>
  </si>
  <si>
    <t>PE/2026.04.06.1</t>
  </si>
  <si>
    <t>* Licitação Eletrônica * Aquisição de Equipamento de Proteção Individual - EPI, para serem distribuídos aos servidores das diversas Unidades Gestoras pertencentes ao Município de Juazeiro do Norte/CE * https://bllcompras.com *</t>
  </si>
  <si>
    <t>LOCAL: https://bllcompras.com/
Nº PROC. ADM: 2026.04.06.1
 TIPO CONTRATO: AQUISIÇÃO
 INÍCIO REC. PROPOSTA: 08/04/2026 17:00:00
 FIM REC. PROPOSTA: 22/04/2026 09:00:00
 INÍCIO DISPUTA: 22/04/2026 09:30:00
 CIDADE: JUAZEIRO DO NORTE
 FASE: PUBLICADO
 EXCLUSIVO ME: NÃO
 EXCLUSIVO REGIONAL: NÃO
 MODO DE DISPUTA: ABERTO E FECHADO
 TIPO DE LANCE: MENOR LANCE
 FONE PROMOTOR: 8835661044
 E-MAIL PROMOTOR: sead@juazeiro.ce.gov.br
 CONDUTOR: IARA PEREIRA DE SOUSA
 AUTORIDADE: GLÊDSON LIMA BEZERRA
 INFORMACÕES ADICIONAIS: 
 VALOR ESTIMADO: R$619.201,14</t>
  </si>
  <si>
    <t>MINISTÉRIO DA DEFESA - Comando da Aeronáutica - Grupamento de Apoio do Distrito Federal</t>
  </si>
  <si>
    <t>PE/90025/2026</t>
  </si>
  <si>
    <t>CAESB-Companhia de Saneamento Ambiental do Distrito Federal</t>
  </si>
  <si>
    <t>Vila Velha</t>
  </si>
  <si>
    <t>Santa Maria de Jetibá</t>
  </si>
  <si>
    <t>Prefeitura Municipal de Santa Maria de Jetibá</t>
  </si>
  <si>
    <t>CR/11/2026</t>
  </si>
  <si>
    <t>Prefeitura Municipal de Mossâmedes</t>
  </si>
  <si>
    <t>Mossâmedes</t>
  </si>
  <si>
    <t>Prefeitura Municipal de São Miguel de Passa Quatro</t>
  </si>
  <si>
    <t>São Miguel do Passa Quatro</t>
  </si>
  <si>
    <t>* Licitação Eletrônica * CONTRATAÇÃO DE EMPRESA PARA FORNECMENTO DE MATERIAIS DE CONSTRUÇÃO E FERRAMENTAS. * https://bllcompras.com *</t>
  </si>
  <si>
    <t>LOCAL: https://bllcompras.com/
Nº PROC. ADM: 125/2026
 TIPO CONTRATO: REGISTRO DE PREÇO
 INÍCIO REC. PROPOSTA: 08/04/2026 08:50:00
 FIM REC. PROPOSTA: 22/04/2026 08:50:00
 INÍCIO DISPUTA: 22/04/2026 09:00:00
 CIDADE: SÃO MIGUEL DO PASSA QUATRO
 FASE: PUBLICADO
 EXCLUSIVO ME: NÃO
 EXCLUSIVO REGIONAL: NÃO
 MODO DE DISPUTA: ABERTO
 TIPO DE LANCE: MENOR LANCE
 FONE PROMOTOR: 6293402962
 E-MAIL PROMOTOR: prefeitura.smp4@gmail.com
 CONDUTOR: ELENILSON JOSE DE OLIVEIRA
 AUTORIDADE: GILMAR PEREIRA DE SOUZA
 INFORMACÕES ADICIONAIS: 
 VALOR ESTIMADO: R$1.344.113,11</t>
  </si>
  <si>
    <t>Prefeitura Municipal de Itaguaru</t>
  </si>
  <si>
    <t>Itaguaru</t>
  </si>
  <si>
    <t>Prefeitura Municipal de Acreúna</t>
  </si>
  <si>
    <t>Acreúna</t>
  </si>
  <si>
    <t>Elói Mendes</t>
  </si>
  <si>
    <t>PE/21/2026</t>
  </si>
  <si>
    <t>Ouro Fino</t>
  </si>
  <si>
    <t>ICISMEP - Instituição de Cooperação Intermunicipal do Médio Paraopeba</t>
  </si>
  <si>
    <t>São Joaquim de Bicas</t>
  </si>
  <si>
    <t>MINISTÉRIO DA DEFESA - Comando do Exército - Comando Militar do Sudeste - 1ª Brigada de Artilharia Antiaérea - 4ºgrupo de Artilharia Antiaérea</t>
  </si>
  <si>
    <t>PE/43/2026</t>
  </si>
  <si>
    <t>Passos</t>
  </si>
  <si>
    <t>Prefeitura Municipal de Quartel Geral</t>
  </si>
  <si>
    <t>Quartel Geral</t>
  </si>
  <si>
    <t>PE/20/2026</t>
  </si>
  <si>
    <t>PE/90012/2026</t>
  </si>
  <si>
    <t>Prefeitura Municipal de Terra Nova do Norte</t>
  </si>
  <si>
    <t>Terra Nova do Norte</t>
  </si>
  <si>
    <t>Prefeitura Municipal de Vila Rica</t>
  </si>
  <si>
    <t>Vila Rica</t>
  </si>
  <si>
    <t>* Licitação Eletrônica * REGISTRO DE PREÇO PARA FUTURA E EVENTUAL AQUISIÇÃO DE 01 UM TUBO DE RAIOS X NOVO, COMPATÍVEL COM O TOMÓGRAFO COMPUTADORIZADO SIEMENS SOMATOM GO.UP, INSTALADO NO HOSPITAL MUNICIPAL DE VILA RICA - MT, INCLUINDO A PRESTAÇÃO DE SERVIÇOS TÉCNICOS ESPECIALIZADOS PARA SUA SUBSTITUIÇÃO, INSTALAÇÃO, TESTES DE FUNCIONAMENTO, CALIBRAÇÃO E VALIDAÇÃO OPERACIONAL DO EQUIPAMENTO, BEM COMO O FORNECIMENTO DE TODA A DOCUMENTAÇÃO TÉCNICA PERTINENTE, TAIS COMO MANUAIS, CERTIFICADOS, LAUDOS TÉCNICOS E TERMOS DE GARANTIA, VISANDO ASSEGURAR O PLENO FUNCIONAMENTO, A SEGURANÇA OPERACIONAL E A CONTINUIDADE DOS SERVIÇOS DE DIAGNÓSTICO POR IMAGEM, EM ATENDIMENTO ÀS DEMANDAS DA SECRETARIA MUNICIPAL DE SAÚDE / FUNDO MUNICIPAL DE SAÚDE DO MUNICÍPIO DE VILA RICA - MT. * http://www.licitacoes-e.com.br *</t>
  </si>
  <si>
    <t>Edital : 15/2026 
Modalidade : Pregão 
Nº Licitação : 1090974 
Início acolhimento de propostas : 17/04/2026-08:00 
Limite acolhimento de propostas : 22/04/2026-08:30 
Abertura das propostas : 22/04/2026-08:30 
Data e a hora da disputa : 22/04/2026-09:00 
Pregoeiro : CRISTINA MAGALHAES CASTRO</t>
  </si>
  <si>
    <t>Santarém</t>
  </si>
  <si>
    <t>Secretaria Municipal de Educação de Santarém</t>
  </si>
  <si>
    <t>* Licitação Eletrônica * REGISTRO DE PREÇO PARA AQUISIÇÃO DE MOLA HIDRÁULICA AÉREA PARA PORTAS PARA AS UNIDADES E CENTROS DE EDUCAÇÃO INFANTIL VINCULADOS A SECRETARIA MUNICIPAL DE EDUCAÇÃO</t>
  </si>
  <si>
    <t>Órgão: SECRETARIA MUNICIPAL DE EDUCAÇÃO - SEMED - Prefeitura Municipal de Santarém - PA
				Processo: 001/2026 -SEMED
				Edital: 005/2026 - SEMED/2026
				Modalidade: Pregão
				Início de envio das propostas: 09-04-2026 ás 08:00
				Término de envio das propostas: 22/04/2026 ás 08:59		
				Início dos lances: 22/04/2026 ás 09:00</t>
  </si>
  <si>
    <t>Fundo Municipal de Saúde de Canaã dos Carajás</t>
  </si>
  <si>
    <t>Canaã dos Carajás</t>
  </si>
  <si>
    <t>CR/12/2026</t>
  </si>
  <si>
    <t>COMPESA-Companhia Pernambucana de Saneamento</t>
  </si>
  <si>
    <t>SM/27/2026</t>
  </si>
  <si>
    <t xml:space="preserve">FORNECIMENTO E INSTALAÇÃO DE ESTAÇÃO DE TRATAMENTO DE ÁGUA 200 l/s, TIPO CONVENCIONAL EM PRFV COM FILTROS MULTICELULARES, INCLUINDO O FORNECIMENTO E INSTALAÇÃO DE UM SISTEMA BOOSTER DE CONTROLE DE PRESSÃO, PARA IMPLANTAÇÃO DO SISTEMA ADUTOR DO RIO PARATIBE, PAULISTA/PE </t>
  </si>
  <si>
    <t xml:space="preserve">COMPESA Nº 027/2026 CEL2
PROCESSO Nº 3975/2025 - FORNECIMENTO E INSTALAÇÃO
DE ESTAÇÃO DE TRATAMENTO DE ÁGUA 200 l/s, TIPO
CONVENCIONAL EM PRFV COM FILTROS MULTICELULARES,
INCLUINDO O FORNECIMENTO E INSTALAÇÃO DE UM
SISTEMA BOOSTER DE CONTROLE DE PRESSÃO, PARA
IMPLANTAÇÃO DO SISTEMA ADUTOR DO RIO PARATIBE,
PAULISTA/PE. Abertura: 16/04/2026 às 09:00h. Disputa:
16/04/2026 às 10:00h. Edital disponível 09/04/2026. Alessandra
Vasconcelos da Silva - Agente de Licitação. </t>
  </si>
  <si>
    <t>Prefeitura Municipal de Piên</t>
  </si>
  <si>
    <t>Piên</t>
  </si>
  <si>
    <t>SURG-Companhia de Serviços de Urbanização de Guarapuava</t>
  </si>
  <si>
    <t>Guarapuava</t>
  </si>
  <si>
    <t>PE/35/2026</t>
  </si>
  <si>
    <t>PE/23/2026</t>
  </si>
  <si>
    <t>* Licitação Eletrônica * Registro de Preços, pelo período de 12 doze meses, para eventual aquisição de peças e materiais para manutenção de parquinhos infantis, academias da terceira idade e balanços adaptados, localizados nos espaços públicos na cidade de Toledo/PR, de responsabilidade da Secretaria Municipal de Infraestrutura Rural e Urbana e de Serviços Públicos.</t>
  </si>
  <si>
    <t>Unidade compradora: 702 - GAB DA SECRETARIA DE INFRAESTRUTURA RURAL E URBANA E DE SERVICOS
Local: Toledo/PR
Órgão: MUNICIPIO DE TOLEDO
Id contratação PNCP: 76205806000188-1-000051/2026
Fonte: Equiplano Sistemas LTDA / Equiplano Sistemas 
Inexistente - Número compra: 23 - Pregão - Eletrônico</t>
  </si>
  <si>
    <t>Sarandi</t>
  </si>
  <si>
    <t>Prefeitura Municipal de Telêmaco Borba</t>
  </si>
  <si>
    <t>Telêmaco Borba</t>
  </si>
  <si>
    <t>MINISTÉRIO DA SAÚDE - Fundação Oswaldo Cruz - Instituto de Tecnologia em Imunobiológicos Bio-Manguinhos</t>
  </si>
  <si>
    <t>PE/90050/2026</t>
  </si>
  <si>
    <t>Prefeitura Municipal de Ji-Paraná</t>
  </si>
  <si>
    <t>PE/90034/2026</t>
  </si>
  <si>
    <t>Superintendência Estadual de Licitações - SUPEL</t>
  </si>
  <si>
    <t>CR/90251/2025</t>
  </si>
  <si>
    <t>* Licitação Eletrônica * Contratação de empresa especializada em engenharia para construção de galeria de concreto do tipo Bueiro Duplo de Concreto Celular, no curso d'água sem denominação, com dimensões 3,0m x 3,0m, contendo drenagem superficial e passeio, na rodovia RO-470, na estância turística de Ouro Preto do Oeste/RO, km 0,36, no trecho entre à BR-364 e o município de Vale do Paraíso.</t>
  </si>
  <si>
    <t>Unidade compradora: 925373 - SUPERINTEND.ESTAD.DE COMPRAS E LICITAÇÕES-RO
Local: Porto Velho/RO
Órgão: SUP. EST. DE LICITACAO
Id contratação PNCP: 04696490000163-1-000431/2025
Fonte: Compras.gov.br
Item 33.14. No caso de eventual divergência entre o Edital de Licitação e seus documentos complementares, prevalecerão as disposições do primeiro. Para as respostas de esclarecimentos e impugnações deste edital acesse o link: https://cnetmobile.estaleiro.serpro.gov.br/comprasnet-web/public/landing?destino=quadro-informativo&amp;compra=92537303902512025 - Número compra: 90251 - Concorrência - Eletrônica</t>
  </si>
  <si>
    <t>Prefeitura Municipal de Nova Santa Rita</t>
  </si>
  <si>
    <t>Nova Santa Rita</t>
  </si>
  <si>
    <t>DL/263/2026</t>
  </si>
  <si>
    <t>Edital : DL/263/2026
Modalidade : Dispensa eletrônica com disputa
Nº Licitação : 349471</t>
  </si>
  <si>
    <t>DEMAE-Departamento Municipal de Água e Esgotos de Porto Alegre</t>
  </si>
  <si>
    <t>Prefeitura Municipal de Gravataí</t>
  </si>
  <si>
    <t>Gravataí</t>
  </si>
  <si>
    <t>Garibaldi</t>
  </si>
  <si>
    <t>Prefeitura Municipal de Nova Petrópolis</t>
  </si>
  <si>
    <t>Nova Petrópolis</t>
  </si>
  <si>
    <t>PE/33/2026</t>
  </si>
  <si>
    <t>Prefeitura Municipal de Nova Hartz</t>
  </si>
  <si>
    <t>Nova Hartz</t>
  </si>
  <si>
    <t>Prefeitura Municipal de São Valentim do Sul</t>
  </si>
  <si>
    <t>São Valentim do Sul</t>
  </si>
  <si>
    <t>* Registro de preços * * Licitação Eletrônica * VALOR REF. DESPESA COM CONTRATAÇÃO EVENTUAL E FUTURA, ATRAVÉS DE REGISTRO DE PREÇOS DE EMPRESA ESPECIALIZADA EM SERVIÇOS DE PERFURAÇÃO E DETONAÇÃO DE ROCHAS, COM USO DE EXPLOSIVOS, INCLUINDO TRANSPORTE, PERFURAÇÃO, CARREGAMENTO DE EXPLOSIVOS, E DETONAÇÃO, COM VANGODRIL, BROCA DE 2,5 A 3 POLEGADAS, NA PEDREIRA MUNICIPAL E EM ESTRADAS VICINAIS DO MUNICÍPIO.</t>
  </si>
  <si>
    <t>Unidade compradora: 933415 - MRS-PREFEITURA MUNIC. DE SÃO VALENTIM DO SUL
Local: São Valentim do Sul/RS
Órgão: MUNICIPIO DE SAO VALENTIM DO SUL
Id contratação PNCP: 92902055000105-1-000041/2026
Fonte: CITTÀ INFORMÁTICA LTDA
 - Número compra: 5 - Pregão - Eletrônico</t>
  </si>
  <si>
    <t>PE/37/2026</t>
  </si>
  <si>
    <t>* Registro de preços * * Licitação Eletrônica * A CONTRATAÇÃO DE EMPRESA PARA O FORNECIMENTO DE PEDRAS DE ARDÓSIA E BRITAS DE ARDÓSIA, EM DIMENSÕES E ESPECIFICAÇÕES CONFORME ESTABELECIDO NO TERMO DE REFERÊNCIA, DESTINADAS À MANUTENÇÃO, RECUPERAÇÃO E CONSERVAÇÃO DE PONTES, BUEIROS E GALERIAS PLUVIAIS, LOCALIZADAS NAS ZONAS URBANA E RURAL DO MUNICÍPIO DE BRAÇO DO TROMBUDO/SC</t>
  </si>
  <si>
    <t>Unidade compradora: 3 - Prefeitura Municipal de Braço do Trombudo - SC
Local: Braço do Trombudo/SC
Órgão: MUNICIPIO DE BRACO DO TROMBUDO
Id contratação PNCP: 95952230000167-1-000041/2026
Fonte: AZ INFORMATICA LTDA
 - Número compra: 37 - Pregão - Eletrônico</t>
  </si>
  <si>
    <t>* Registro de preços * * Licitação Eletrônica * Aquisição de materiais hidráulicos</t>
  </si>
  <si>
    <t>SIMAE - Serviço Intermunicipal de Água e Esgoto de Capinzal e Ouro</t>
  </si>
  <si>
    <t>* Licitação Eletrônica * Aquisição de tubos, conexões e materiais diversos em PEAD, PVC, DEFOFO, destinados a implantação e/ou substituição de redes e para manutenção do estoque do almoxarifado.</t>
  </si>
  <si>
    <t>Órgão: Serviço Intermunicipal de Água e Esgosto - SIMAE/CAO - Serviço Intermunicipal de Água e Esgosto - SIMAE/CAO - SC
				Processo: 29/2026
				Edital: 1/2026
				Modalidade: Pregão
				Início de envio das propostas: 08-04-2026 ás 00:00
				Término de envio das propostas: 20/04/2026 ás 07:55		
				Início dos lances: 20/04/2026 ás 08:00</t>
  </si>
  <si>
    <t>Prefeitura Municipal de Mafra</t>
  </si>
  <si>
    <t>Mafra</t>
  </si>
  <si>
    <t>Prefeitura Municipal de São Bento do Sul</t>
  </si>
  <si>
    <t>São Bento do Sul</t>
  </si>
  <si>
    <t>PE/54/2026</t>
  </si>
  <si>
    <t>* Registro de preços * * Licitação Eletrônica * REGISTRO DE PREÇOS PARA A AQUISIÇÃO PARCELADA DE MADEIRAS DE EUCALIPTO E PINUS PARA CONSTRUÇÃO E REFORMA DE PONTES E PARA USO NAS TUBULAÇÕES DE ÁGUAS PLUVIAIS EM VIAS PÚBLICAS DO MUNICÍPIO, PELO PRAZO DE 12 DOZE MESES PARA A SECRETARIA MUNICIPAL DE OBRAS E SERVIÇOS URBANOS, CONFORME TERMO DE REFERENCIA ANEXO.</t>
  </si>
  <si>
    <t>Unidade compradora: 08012 - Infraestrutura Urbana e Rural - SEMOB
Local: São Bento do Sul/SC
Órgão: MUNICIPIO DE SAO BENTO DO SUL
Id contratação PNCP: 86051398000100-1-000063/2026
Fonte: IPM Sistemas
 - Número compra: PCE 54 - Pregão - Eletrônico</t>
  </si>
  <si>
    <t>Prefeitura Municipal de Balneário Gaivota</t>
  </si>
  <si>
    <t>Balneário Gaivota</t>
  </si>
  <si>
    <t>Prefeitura Municipal de Major Gercino</t>
  </si>
  <si>
    <t>Major Gercino</t>
  </si>
  <si>
    <t>Prefeitura Municipal de Tijucas</t>
  </si>
  <si>
    <t>Tijucas</t>
  </si>
  <si>
    <t>* Registro de preços * * Licitação Eletrônica * Contratação de empresa especializada na execução de serviços de manutenção preventiva e corretiva, limpeza e troca de filtros de bebedouros, incluindo todos os deslocamentos necessários para atendimento nas unidades correspondentes, visando suprir as demandas da Prefeitura Municipal de Tijucas, suas secretarias, fundos, fundações, autarquias e demais entes conveniados</t>
  </si>
  <si>
    <t>Unidade compradora: 06001 - Secretaria Municipal de Administração
Local: Tijucas/SC
Órgão: MUNICIPIO DE TIJUCAS
Id contratação PNCP: 82577636000165-1-000041/2026
Fonte: IPM Sistemas
 - Número compra: PCE 26 - Pregão - Eletrônico</t>
  </si>
  <si>
    <t>Prefeitura Municipal de São Miguel da Boa Vista</t>
  </si>
  <si>
    <t>São Miguel da Boa Vista</t>
  </si>
  <si>
    <t>CR/65/2026</t>
  </si>
  <si>
    <t>Contratação de empresa para execução de terraplenagem, drenagem pluvial, calçamento e sinalização na comunidade de Linha Trairas acesso ao cemitério, com área de 1.394,70m².</t>
  </si>
  <si>
    <t>Maiores informações e cópia do edital poderão ser obtidas com o setor de Licitações e setor de compras, de segunda a sexta-feira, das 07:30 às 11:30 e das 13:00 às 17:00. Site: www.saomigueldaboavista.sc.gov.br</t>
  </si>
  <si>
    <t>* Licitação Eletrônica * O PRESENTE PROCEDIMENTO LICITATÓRIO TEM COMO OBJETIVO REGISTRAR PREÇOS COM A FINALIDADE DE SELECIONAR A PROPOSTA MAIS VANTAJOSA PARA FUTURAS E EVENTUALIS AQUISIÇÕES DE MADEIRAS COM OU SEM TRATAMENTO, DESTINADOS A ATENDER AS DEMANDAS DA SECRETARIA...</t>
  </si>
  <si>
    <t>Órgão: MUNICIPIO DE BALNEARIO GAIVOTA - Prefeitura Municipal de Balneário Gaivota - SC
				Processo: 38/2026
				Edital: 5/2026
				Modalidade: Pregão para Registro de Preço
				Início de envio das propostas: 08-04-2026 ás 17:00
				Término de envio das propostas: 20/04/2026 ás 08:59		
				Início dos lances: 20/04/2026 ás 09:00</t>
  </si>
  <si>
    <t>* Registro de preços * * Licitação Eletrônica * Registro de Preços para eventual aquisição de ferramentas.</t>
  </si>
  <si>
    <t>Unidade compradora: 956 - DAE Santa Bárbara d'Oeste
Local: Santa Bárbara d'Oeste/SP
Órgão: DEPARTAMENTO DE AGUA E ESGOTO DE SANTA BARBARA D OESTE
Id contratação PNCP: 54010863000179-1-000103/2026
Fonte: SMARAPD INFORMATICA LTDA
 - Número compra: 13 - Pregão - Eletrônico</t>
  </si>
  <si>
    <t>PE/34/2026</t>
  </si>
  <si>
    <t>DAE-Departamento de Água e Esgoto S/A</t>
  </si>
  <si>
    <t xml:space="preserve">* Licitação eletrônica * Aquisição de tubos e conexões em PEAD. </t>
  </si>
  <si>
    <t>TIPO: Menor
Preço por Item. ABERTURA: às 09:30 do dia 17/04/2026. LOCAL PARA
RETIRADA DO EDITAL: No site http://compraabertadae.jundiai.sp.gov.
br acessar o link Editais gratuitamente.
Jundiaí, 27 de março de 2026
ELOI DE CASTRO NETO
Diretor Administrativo</t>
  </si>
  <si>
    <t>SAAE-Serviço Autônomo de Água e Esgoto de Jacareí</t>
  </si>
  <si>
    <t>Prefeitura Municipal de Jaboticabal</t>
  </si>
  <si>
    <t>Jaboticabal</t>
  </si>
  <si>
    <t xml:space="preserve">* Licitação eletrônica * registro de preços para eventual aquisição de materiais básicos de construção e revestimentos cerâmicos para manutenção de bens imóveis, vias públicas e parcerias, de forma parcelada, por um período de 12 doze meses. </t>
  </si>
  <si>
    <t>RECEBIMENTO DE PROPOSTAS INICIAIS ATÉ: 24/04/26 ÀS 09H00. INÍCIO DA SESSÃO PÚBLICA: 24/04/26 ÀS 09H01.
Para aquisição do edital, os interessados deverão acessar os sites http://www.atibaia.sp.gov.br e http://www.portaldecompraspublicas. com.br ou ainda, na sede da Prefeitura da Estancia de Atibaia, em dias uteis das 10 h as 16 h, apos recolhimento do valor correspondente ao custo das copias que serão fornecidas. PUBLICADO NA SECRETARIA DE ADMINISTRAÇÃO - DEPARTAMENTO DE LICITAÇÕES, 07 de abril de 2.026. Patricia Maria Machado Santos - Secretária de Administração</t>
  </si>
  <si>
    <t>PE/83/2026</t>
  </si>
  <si>
    <t>* Licitação Eletrônica * Fornecimento de conexões de ferro fundido dúctil, sendo que os itens que compõem os lotes 3 a 6 já foram objeto de pré-qualificação. * http://www.licitacoes-e.com.br *</t>
  </si>
  <si>
    <t>Edital : 83/2026 
Modalidade : Pregão 
Nº Licitação : 1090271 
Início acolhimento de propostas : 22/04/2026-08:00 
Limite acolhimento de propostas : 24/04/2026-08:00 
Abertura das propostas : 24/04/2026-08:00 
Data e a hora da disputa : 24/04/2026-09:00 
Pregoeiro : FERNANDO BORGES DOS REIS BARBOSA</t>
  </si>
  <si>
    <t>PE/78/2026</t>
  </si>
  <si>
    <t>* Licitação Eletrônica * REGISTRO DE PREÇOS PARA AQUISIÇÃO DE TUBOS DE POLIETILENO DE ALTA DENSIDADE PEAD.</t>
  </si>
  <si>
    <t>Órgão: Prefeitura Municipal de Franca - Prefeitura Municipal de Franca - SP
				Processo: 07600/2026
				Edital: 78/2026
				Modalidade: Pregão para Registro de Preço
				Início de envio das propostas: 09-04-2026 ás 08:00
				Término de envio das propostas: 06/05/2026 ás 14:30		
				Início dos lances: 06/05/2026 ás 14:31</t>
  </si>
  <si>
    <t>Cordeirópolis</t>
  </si>
  <si>
    <t>SENAI-Serviço Nacional de Aprendizagem Industrial - SP</t>
  </si>
  <si>
    <t>PE/133/2026</t>
  </si>
  <si>
    <t xml:space="preserve"> AQUISIÇÃO DE COMPONENTES DE AUTOMAÇÃO INDUSTRIAL RELÉS, INTERFACE 2 CANAIS, BOTÕES 2 E 4 CANAIS, INTERRUPTORES, ENTRE OUTROS PARA USO NOS CURSOS DAS UNIDADES DO SENAI-SP</t>
  </si>
  <si>
    <t>Órgão: SERVICO NACIONAL DE APRENDIZAGEM INDUSTRIAL
Id: 1090933
Edital: 133/2026
Modalidade: Pregão
Tipo: Menor preço
Pregoeiro: CLAUDIA FERREIRA
Participação do fornecedor: Ampla
Data de publicação: 08/04/2026
Início do acolhimento de propostas: 08/04/2026 10:30
Limite do acolhimento de propostas: 22/04/2026 09:30
Data e hora da disputa: 22/04/2026 09:30</t>
  </si>
  <si>
    <t>Prefeitura Municipal de São José dos Campos</t>
  </si>
  <si>
    <t>São José dos Campos</t>
  </si>
  <si>
    <t>* Licitação Eletrônica * AQUISICAO DE PLACA DE POLICARBONATO ALVEOLAR</t>
  </si>
  <si>
    <t>Unidade compradora: 020 - SECRETARIA DE GESTAO ADMINISTRATIVA E FINANCAS
Local: São José dos Campos/SP
Órgão: MUNICIPIO DE SAO JOSE DOS CAMPOS
Id contratação PNCP: 46643466000106-1-000239/2026
Fonte: Município de São José dos Campos
 - Número compra: PREGAO ELETRONICO: 53/2026/SGAF - Pregão - Eletrônico</t>
  </si>
  <si>
    <t>Instituto de Previdência de Santo André</t>
  </si>
  <si>
    <t>Santo André</t>
  </si>
  <si>
    <t>* Licitação Eletrônica * Aquisição de materiais de manutenção 2026, para atender demanda do Instituto de Previdência de Santo André * https://jornaldolicitante.com.br *</t>
  </si>
  <si>
    <t>Segmento: ENGENHARIA - MATERIAIS
 - Licitação sujeita a confirmação pois não foi informado que trata-se de prorrogação.</t>
  </si>
  <si>
    <t>Prefeitura Municipal de Mogi Mirim</t>
  </si>
  <si>
    <t>Mogi Mirim</t>
  </si>
  <si>
    <t>Prefeitura Municipal de Governador Valadares</t>
  </si>
  <si>
    <t>Governador Valadares</t>
  </si>
  <si>
    <t>* Licitação Eletrônica * REGISTRO DE PREÇO PARA FUTURA E EVENTUAL AQUISIÇÃO DE MATERIAIS E EQUIPAMENTOS DE PINTURA, ATENDENDO ÀS DIVERSAS SECRETARIAS MUNICIPAIS, FUNPESPA E SAMAE. * https://bnccompras.com *</t>
  </si>
  <si>
    <t xml:space="preserve">ESTADO DO PARANÁ PREFEITURA MUNICIPAL DE ANDIRÁ SECRETARIA MUNICIPAL DE ADMINISTRAÇÃO AVISO DE LICITAÇÃO - PREGÃO ELETRÔNICO Nº 011 - 2026 - RETIFICAÇÃO OBJETO: REGISTRO DE PREÇO PARA FUTURA E EVENTUAL AQUISIÇÃO DE MATERIAIS E EQUIPAMENTOS DE PINTURA, ATENDENDO ÀS DIVERSAS SECRETARIAS MUNICIPAIS, FUNPESPA E SAMAE. DISPONIBILIDADE DO EDITAL: A partir do dia 08/04/2026. RECEBIMENTO DAS PROPOSTAS: Até às 08h59min do dia 27/04/2026. INÍCIO DA SESSÃO DE DISPUTA DE PREÇOS: às 09h00min do dia 27/04/2026. LOCAL: BNC Bolsa Nacional de Compras - www.bnc.org.br. EDITAL: sítio da PMA: https://andira.pr.gov.br/licitacoes ou Portal da Transparência: https://servicos.andira.pr.gov.br:9095/portaltransparencia/1/licitacoes. INFORMAÇÕES ADICIONAIS: 0800 115 1500 Ramal 229 ou licitacao@andira.pr.gov.br.   Andirá, 07 de abril de 2026.   STÉPHANIE DOS SANTOS PAPINI SOUZA Pregoeira Municipal   Publicado por: Stephanie Dos Santos Papini Souza Código Identificador:8C336041 Matéria publicada no Diário Oficial dos Municípios do Paraná no dia 08/04/2026. Edição 3505 </t>
  </si>
  <si>
    <t>Prefeitura Municipal de Paracatu</t>
  </si>
  <si>
    <t>Paracatu</t>
  </si>
  <si>
    <t>Prefeitura Municipal de Hidrolândia</t>
  </si>
  <si>
    <t>Hidrolândia</t>
  </si>
  <si>
    <t>* Licitação Eletrônica * Registro de Preços, com a finalidade de contratação de empresa especializada em fornecimento de materiais e peças de reposição para aquecimento de piscina, com a instalação, para atender as secretarias e Fundos do Município de Hidrolândia-Go. * https://bnccompras.com *</t>
  </si>
  <si>
    <t>LOCAL: https://bnccompras.com/
Nº PROC. ADM: 1167/2026
 TIPO CONTRATO: REGISTRO DE PREÇO
 INÍCIO REC. PROPOSTA: 09/04/2026 09:00:00
 FIM REC. PROPOSTA: 28/04/2026 08:30:00
 INÍCIO DISPUTA: 28/04/2026 09:00:00
 CIDADE: HIDROLÂNDIA
 FASE: PUBLICADO
 EXCLUSIVO ME: NÃO
 EXCLUSIVO REGIONAL: NÃO
 MODO DE DISPUTA: ABERTO
 TIPO DE LANCE: MENOR LANCE
 FONE PROMOTOR: 6235538555
 E-MAIL PROMOTOR: licitacoesecontratos.hdd@gmail.com
 CONDUTOR: MARIA LUIZA FERNANDES DE SOUZA
 AUTORIDADE: BRUNO CHAVES SILVA
 VALOR ESTIMADO: R$301.302,00
 - Licitação sujeita a confirmação pois não foi informado que trata-se de prorrogação.</t>
  </si>
  <si>
    <t>Prefeitura Municipal de Nazareno</t>
  </si>
  <si>
    <t>Nazareno</t>
  </si>
  <si>
    <t>Maricá</t>
  </si>
  <si>
    <t>Prefeitura Municipal de Barra dos Coqueiros</t>
  </si>
  <si>
    <t>Barra dos Coqueiros</t>
  </si>
  <si>
    <t>* Registro de preços * * Licitação Eletrônica * REGISTRO DE PREÇOS PARA FUTURA E EVENTUAL AQUISIÇÃO DE MATERIAIS DE CONSTRUÇÃO, A SEREM ADQUIRIDOS PELA PREFEITURA MUNICIPAL DE BARRA DOS COQUEIROS/SE, ATRAVÉS DA SECRETARIA MUNICIPAL DE SERVIÇOS URBANOS.</t>
  </si>
  <si>
    <t>Unidade compradora: 1 - MUNICIPIO DE BARRA DOS COQUEIROS
Local: Barra dos Coqueiros/SE
Órgão: MUNICIPIO DE BARRA DOS COQUEIROS
Id contratação PNCP: 13128863000190-1-000040/2026
Fonte: 3Tecnos Tecnologia LTDA
 - Número compra: 4 - Pregão - Eletrônico
 - Licitação sujeita a confirmação pois não foi informado que trata-se de prorrogação.</t>
  </si>
  <si>
    <t>Secretaria de Estado de Governo</t>
  </si>
  <si>
    <t>SM/475/2026</t>
  </si>
  <si>
    <t>Contratação de serviço de ensaio de exposição em câmara de intemperismo acelerado por UV em peças poliméricas produzidas por manufatura aditiva, incluindo logística de coleta e entrega das peças. * https://compras.fieb.org.br *</t>
  </si>
  <si>
    <t>SM/551/2026</t>
  </si>
  <si>
    <t>Fornecimento de elementos de fixação e enclausuramento. * https://compras.fieb.org.br *</t>
  </si>
  <si>
    <t>SM/15309/2026</t>
  </si>
  <si>
    <t>Processo EMERGENCIAL de seleção sem disputa, com entrega por demanda, para prestação do serviço de calibração e/ou verificação legal e técnica dos equipamentos de medição, conforme especificações detalhadas no termo de referência em anexo. * https://compras.fieb.org.br *</t>
  </si>
  <si>
    <t>DL/1000/2026</t>
  </si>
  <si>
    <t>COMPONENTES AUTOMAÇÃO - SAEP</t>
  </si>
  <si>
    <t>Prefeitura Municipal de Vermelho Novo</t>
  </si>
  <si>
    <t>Vermelho Novo</t>
  </si>
  <si>
    <t>Em andamento - Dispensa</t>
  </si>
  <si>
    <t>CE/720260387</t>
  </si>
  <si>
    <t>* Licitação eletrônica * AQUISICAO DE MASSA PLASTICA 800G E RESINA POLIESTER E CATALIZADOR, PARA O SISTEMA DE MONTES CLAROS.</t>
  </si>
  <si>
    <t xml:space="preserve"> * Licitação Eletrônica * - * Orçamentação Eletrônica * AQUISICAO DE MATERIAIS DIVERSOS</t>
  </si>
  <si>
    <t>Prefeitura Municipal de Mantena</t>
  </si>
  <si>
    <t>Mantena</t>
  </si>
  <si>
    <t>Contratação de empresa especializada de engenharia para execução de ações de resposta em defesa civil, consistente na construção de bueiros tubulares de concreto com recursos do MDR - Portaria 1.508/2025.</t>
  </si>
  <si>
    <t>Sessão será realizada na plataforma https://licitar.digital/. Proc. 59051.040026/2025-02.</t>
  </si>
  <si>
    <t>SM/69/2026</t>
  </si>
  <si>
    <t>* Licitação Eletrônica * LOTE ÚNICO: Contratação de Serviço de Apoio e Assessoramento Técnico à Fiscalização de Obras na Área de abrangência da Gerência de Projetos e Obras do Sudoeste - GPOSO, conforme detalhado nos anexos do edital, sendo UNIDADE 01: Sistema de abastecimento de Água e UNIDADE 02: Sistema de Esgotamento Sanitário. * http://www.licitacoes-e.com.br *</t>
  </si>
  <si>
    <t>Edital : 6926 
Modalidade : LRE 
Nº Licitação : 1088353 
Início acolhimento de propostas : 09/03/2026-08:00 
Limite acolhimento de propostas : 10/04/2026-11:00 
Abertura das propostas : 10/04/2026-11:00 
Data e a hora da disputa : Português 
Pregoeiro : VIVIANE MARIA LUDER
 - Licitação sujeita a confirmação pois não foi informado que trata-se de prorrogação.</t>
  </si>
  <si>
    <t>Câmara Municipal de São Jorge D'Oeste</t>
  </si>
  <si>
    <t>São Jorge D'Oeste</t>
  </si>
  <si>
    <t>DL/154/2026</t>
  </si>
  <si>
    <t>DL/63/2026</t>
  </si>
  <si>
    <t>Prefeitura Municipal de Alfredo Wagner</t>
  </si>
  <si>
    <t>Alfredo Wagner</t>
  </si>
  <si>
    <t>Prefeitura Municipal de Americana</t>
  </si>
  <si>
    <t>Prefeitura Municipal de São Pedro</t>
  </si>
  <si>
    <t>São Pedro</t>
  </si>
  <si>
    <t>Prefeitura Municipal de Cruz das Almas</t>
  </si>
  <si>
    <t>Cruz das Almas</t>
  </si>
  <si>
    <t>Prefeitura Municipal de Irará</t>
  </si>
  <si>
    <t>Irará</t>
  </si>
  <si>
    <t>Contratação de empresa especializada de engenharia para execução de revitalização da Fonte da Nação localizada no município de Irará/BA - Convênio nº 001/2026 celebrado entre a Companhia de Desenvolvimento Urbano do Estado da Bahia - Conder e o Município de Irará, Bahia.</t>
  </si>
  <si>
    <t>Licitação BB: 1090995. Endereço: www.licitacoes-e.com.br. Maiores informações através do e-mail: licitacaoirara@gmail.com. Início da sessão para disputa: 23/04/2026 às 10:00.</t>
  </si>
  <si>
    <t>SM/8/2026</t>
  </si>
  <si>
    <t>Prefeitura Municipal de Viçosa do Ceará</t>
  </si>
  <si>
    <t>Viçosa do Ceará</t>
  </si>
  <si>
    <t xml:space="preserve">Construção de dispositivos e drenagem viária bueiros retangulares capeados com implantação de meio fio e descidas d'água em diversos trechos do Município de Viçosa do Ceará-CE, </t>
  </si>
  <si>
    <t>Estado do Ceará - Prefeitura Municipal de Viçosa do Ceará - Aviso de Licitação. O Agente de Contratação comunica que estará abrindo Licitação na
modalidade Concorrência Eletrônica CE 04/2026-SEINFRA, cujo objeto construção de dispositivos e drenagem viária bueiros retangulares capeados com
implantação de meio fio e descidas d'água em diversos trechos do Município de Viçosa do Ceará-CE, o sistema receberá o cadastramento das propostas até
23 de abril de 2026, às 08:00h, abertura e classificação das propostas às 08:15h, disputa de lances a partir das 08:30h horários de Brasília. 
O Edital estará à
disposição dos interessados nos dias úteis após esta publicação no site: www.novobbmnet.com.br, https://municipios-licitacoes.tce.ce.gov.br/ e https://www.
vicosa.ce.gov.br/ e de 08:00h às 12:00h, 13:30h às 17:00h na Rua José Joaquim de Carvalho, 473 - Centro - Viçosa do Ceará/CE, em 06 de abril de 2026.</t>
  </si>
  <si>
    <t>SESC-Servico Social do Comércio - Departamento Regional do Espírito Santo</t>
  </si>
  <si>
    <t>* Licitação Eletrônica * Aquisição de materiais de pintura, visando atender às demandas de manutenção do Centro de Atividades de Aracruz CAA, Centro de Esporte e Lazer de Cariacica CELC, Centro de Atividades de Cachoeiro de Itapemirim CACI, Centro de Atividades de Linhares CAL e do Centro de Turismo Social e Lazer de Praia Formosa CTSLPF, do Sesc/ES. * http://www.licitacoes-e.com.br *</t>
  </si>
  <si>
    <t>Edital : 031/2026 
Modalidade : Pregão 
Nº Licitação : 1090864 
Início acolhimento de propostas : 07/04/2026-17:00 
Limite acolhimento de propostas : 15/04/2026-14:00 
Abertura das propostas : 15/04/2026-14:00 
Data e a hora da disputa : 15/04/2026-15:00 
Pregoeiro : LINDOMAR DOS REIS ALMEIDA</t>
  </si>
  <si>
    <t>Prefeitura Municipal de Ponto Belo</t>
  </si>
  <si>
    <t>Ponto Belo</t>
  </si>
  <si>
    <t>CR/2/2025</t>
  </si>
  <si>
    <t>Contratação de empresa especializada de engenharia para a execução da obra da rede de drenagem pluvial profunda para o Polo Industrial na sede do Município de Ponto Belo - ES, conforme as especificações técnicas, estudos, levantamentos, memoriais e demais documentos que integram o processo licitatório</t>
  </si>
  <si>
    <t>Maiores informações entrar em contato com a Prefeitura Municipal de Ponto
Belo/ES pelo e-mail: licitacao@pontobelo.es.gov.br.</t>
  </si>
  <si>
    <t>Prefeitura Municipal de Santa Terezinha de Goias</t>
  </si>
  <si>
    <t>Santa Terezinha de Goiás</t>
  </si>
  <si>
    <t>Senador Canedo</t>
  </si>
  <si>
    <t>* Licitação eletrônica * Contratação de empresa especializada para o fornecimento e instalação de revestimento sintético decorativo destinado à utilização em áreas recreativas do Município de Santa Terezinha de Goiás, conforme especificado no anexo I.</t>
  </si>
  <si>
    <t>Edital e informações na Rua Dona Julia, s/n, Centro e nos sítios: www.santaterezinhadegoias.go.gov.br e www.slicx.com.br. Data da publicação: 07/04/2026.</t>
  </si>
  <si>
    <t>Arari</t>
  </si>
  <si>
    <t>CAEMA-Companhia de Saneamento Ambiental do Maranhão</t>
  </si>
  <si>
    <t>SM/13/2026</t>
  </si>
  <si>
    <t>* Licitação Eletrônica * Registro de Preços, pelo prazo de 12 doze meses, para a aquisição de instrumentação destinada à manutenção preditiva, compreendendo alinhador a laser, analisador de vibração e câmera termográfica, conforme quantitativos e especificações constantes no Termo de Referência, Anexo I do Edital. * http://www.licitacoes-e.com.br *</t>
  </si>
  <si>
    <t>Edital : LE0132026 
Modalidade : LRE 
Nº Licitação : 1090617 
Início acolhimento de propostas : 08/04/2026-08:00 
Limite acolhimento de propostas : 23/04/2026-09:15 
Abertura das propostas : 23/04/2026-09:15 
Data e a hora da disputa : 23/04/2026-09:30 
Pregoeiro : ANDRE LUIS DE SA FERREIRA</t>
  </si>
  <si>
    <t>SM/12/2026</t>
  </si>
  <si>
    <t>* Licitação Eletrônica * Contratação, em 9 nove Lotes, de empresa para prestação de serviços contínuos de manutenção corretiva, sob demanda, em conjunto motobomba submersa de água, conforme especificações, quantitativos e condições do Termo de Referência, Anexo I do Edital. * http://www.licitacoes-e.com.br *</t>
  </si>
  <si>
    <t>Edital : LE0122026 
Modalidade : LRE 
Nº Licitação : 1090566 
Início acolhimento de propostas : 08/04/2026-08:00 
Limite acolhimento de propostas : 04/05/2026-09:15 
Abertura das propostas : 04/05/2026-09:15 
Data e a hora da disputa : 04/05/2026-09:30 
Pregoeiro : ANDRE LUIS DE SA FERREIRA</t>
  </si>
  <si>
    <t>Prefeitura Municipal de Pedro do Rosario</t>
  </si>
  <si>
    <t>Pedro do Rosário</t>
  </si>
  <si>
    <t>ECT-Empresa Brasileira de Correios e Telégrafos - Diretoria Regional em Minas Gerais</t>
  </si>
  <si>
    <t>* Licitação Eletrônica * PREGÃO ELETRÔNICO Nº 26000072/2026 - SE/MG - Prestação de serviços para manutenção preventiva e corretiva em portões de enrolar, deslizante e basculante e portas instaladas em unidades dos CORREIOS/MG, com fornecimento de peças e componentes sob demanda. IMPORTANTE: ao registrar as propostas, atentar para o item 6.9 e seus subitens, sob pena de desclassificação. Os documentos de habilitação deverão ser inseridos dentro do lote antes do horário previsto para a abertura das propostas. A Licitação será realizada pela CPL/MG. O valor estimado da contratação é sigiloso e será divulgado após o encerramento da fase de lances. REGISTRAR VALOR TOTAL DO LOTE - SUGERIMOS MINUCIOSA LEITURA DO EDITAL E SEUS ANEXOS. * http://www.licitacoes-e.com.br *</t>
  </si>
  <si>
    <t>Edital : PGE 072/26 
Modalidade : Pregão 
Nº Licitação : 1090808 
Início acolhimento de propostas : 09/04/2026-09:00 
Limite acolhimento de propostas : 05/05/2026-09:00 
Abertura das propostas : 05/05/2026-09:00 
Data e a hora da disputa : 05/05/2026-10:00 
Pregoeiro : ALESSANDRA MACEDO CHAUVET PEIXOTO ELLER</t>
  </si>
  <si>
    <t>* Licitação eletrônica * Aquisição de ferramentas e materiais de construção para atendimento a diversos setores da Prefeitura Municipal de Quartel Geral/MG.</t>
  </si>
  <si>
    <t>Site para realização do Pregão Eletrônico/RP: https://ammlicita.org.br/. Informações 37 99957-5102. Publicado no Diário Oficial dos Municípios Mineiros em 08/04/2026.</t>
  </si>
  <si>
    <t>CEMIG Distribuição - S.A.</t>
  </si>
  <si>
    <t>PE/21675</t>
  </si>
  <si>
    <t>* Licitação eletrônica * Manilha Sapatilha, Gancho Olhal e Balancim.</t>
  </si>
  <si>
    <t>Edital e demais informações: https://app2-compras. cemig.com.br/pesquisa</t>
  </si>
  <si>
    <t>Consórcio Intermunicipal de Saúde da Microrregião do Vale do Piranga</t>
  </si>
  <si>
    <t>Ponte Nova</t>
  </si>
  <si>
    <t>* Licitação Eletrônica * Aquisição de painel ripado, palco e letreiro, itens frustrados no PROCESSO LICITATÓRIO Nº. 36/2025 -PREGÃO ELETRÔNICO Nº. 28/2025. * https://licitar.digital *</t>
  </si>
  <si>
    <t>Id: 96597
Unidade licitante: CONSORCIO INTERMUNICIPAL DE SAUDE DA MICROREGIAO DO VALE DO PIRANGA - CISAMAPI - Unidade Única
Plataforma: licitardigital</t>
  </si>
  <si>
    <t>Secretaria de Estado de Infraestrutura e Logística</t>
  </si>
  <si>
    <t>CR/42/2026</t>
  </si>
  <si>
    <t>Prefeitura Municipal de Pau D'Arco</t>
  </si>
  <si>
    <t>Pau D'Arco</t>
  </si>
  <si>
    <t>* Licitação eletrônica * Contratação de empresa especializada no fornecimento de manilhas de concreto armado, em diferentes diâmetros e conforme especificações técnicas, destinados à implantação, recuperação e manutenção de bueiras nas estradas vicinais e zona urbana do município de Pau D´Arco/PA.</t>
  </si>
  <si>
    <t>Edital disponível nos sites do TCM-PA, Portal da Transparência da Prefeitura de Pau D'Arco/PA https://paudarco.pa.gov.br/, PNCP https://pncp.gov.br/app/editais e será realizado através do portal https://www.portaldecompraspublicas.com.br/. Publicado no Diário Oficial dos Municípios do Estado do Pará em 08/04/2026.</t>
  </si>
  <si>
    <t>Prefeitura Municipal de Imaculada</t>
  </si>
  <si>
    <t>Imaculada</t>
  </si>
  <si>
    <t>* Licitação eletrônica * Aquisição de material de construção em geral equipamentos e ferramentas com entrega parcelada destinado a manutenção urbana e conservação de prédios públicos do município de Imaculada.</t>
  </si>
  <si>
    <t xml:space="preserve">Sessão: 22/04/2026 às 09h. Início da fase de lances: às 09h01 horário de Brasília no site www.portaldecompraspublicas.com.br. Recursos: previstos no orçamento vigente. Informações: das 08h às 12h dos
dias úteis, na Rua Antônio Caetano, 92 Centro, e-mail licitacaopmi2021@gmail.com. Edital: site, www.
imaculada.pb.gov.br, www.tce.pb.gov.br, www.gov.br/PNCP. </t>
  </si>
  <si>
    <t>CONTRATAÇÃO DE EMPRESA ESPECIALIZADA EM ENGENHARIA PARA A EXECUÇÃO DAS OBRAS E SERVIÇOS DE IMPLANTAÇÃO DA VIA PARQUE, DO PARQUE LINEAR E DE ESPAÇOS SOCIAIS, INTEGRANDO AÇÕES DE REQUALIFICAÇÃO URBANA NA COMUNIDADE DO BEM, INCLUINDO A ÁREA DE ARITANA, LOCALIZADAS NO BAIRRO DA IMBIRIBEIRA, NO MUNICÍPIO DO RECIFE/PE.</t>
  </si>
  <si>
    <t xml:space="preserve"> 
R$ 54.963.075,61 cinquenta e quatro milhões novecentos e sessenta e três mil e setenta e cinco reais e
sessenta e um centavos Local e Data de abertura: Prefeitura do Recife, sito à Av. Cais do Apolo, 925
-- Bairro do Recife; 14.05.2026, às 11:00 horas. A sessão será realizada na sala de reunião do Gabinete
de Gerenciamento do ProMorar, no térreo, do edifício sede da Prefeitura do Recife. O edital c seus
anexos estarão à disposição aos interessados no endereço eletrônico:
http//www.recife.pe.gov.br/portalcompras/ e no site
https://promorar.recife.pe.gov.br/aquisicoes//  </t>
  </si>
  <si>
    <t>CONTRATAÇÃO DE EMPRESA DE ENGENHARIA PARA EXECUÇÃO DAS OBRAS E SERVIÇOS DO PARQUE ALAGÁVEL UMUARAMA, LOCALIZADO NO BAIRRO DO BARRO, RECIFE/PE.</t>
  </si>
  <si>
    <t xml:space="preserve"> 
 RS 3.748.201,05 três milhões, setecentos e
quarenta e oito mil, duzentos e um reais e cinco centavos Local e Data de abertura: Prefeitura do
Recife, sito à Av. Cais do Apolo, 925 -- Bairro do Recife; 20.05.2026 às 11:00 horas. A sessão sera
realizada na sala de reunião do Gabinete de Gerenciamento do ProMorar, no térreo, do edifício sede da
Prefeitura do Recife. O edital e seus anexos estarão à disposição aos interessados no endereço
eletrônico: http//www.recife.pe.gov.br/portalcompras/ e no site
https://promorar.recife.pe.gov.br/aquisicoes//  </t>
  </si>
  <si>
    <t>Prefeitura Municipal de Baixa Grande do Ribeiro</t>
  </si>
  <si>
    <t>Baixa Grande do Ribeiro</t>
  </si>
  <si>
    <t>CONTRATAÇÃO DE EMPRESA ESPECIALIZADA DE ENGENHARIA PARA A EXECUÇÃO DE OBRA OE CONSTRUÇÃO DE 20 VINTE UNIDADES HABITACIONAIS NO MUNICÍPIO DE BAIXA GRANDE DO RIBEIRO PI.</t>
  </si>
  <si>
    <t>Tipo de Licitação: Menor Preço Global
Fonte de Recursos: PROPOSTA Nº 040532/2025 - PROGRAMA: MCMV FNHIS -
PROGRAMA MINHA CASA, MINHA VIDA. FUNDO NACIONAL DE HABITAÇÃO
DE INTERESSE SOCIAL
Data da Abertura: 24 de abril de 2026.
 Hora da Abertura: 10 h dez horas
Valor: R$ 2.480.719,60 dois milhões, quatrocentos e oitenta mil, setecentos e dezenove
reais e sessenta centavos
Endereço eletrônico: https://www.llcitacaobgrpl.eom.br/ e no site do TCE/PI
Informações: Sede da Prefeitura Municipal de Baixa Grande do Ribeiro, localizada na
Praça Chiquinho Ezequiel, 2222. centro; E-mail:cplbgrpi@gmail.com Fone: 89 98106-
5898</t>
  </si>
  <si>
    <t>CR/22/2026</t>
  </si>
  <si>
    <t>Prefeitura Municipal de Lupionópolis</t>
  </si>
  <si>
    <t>Lupionópolis</t>
  </si>
  <si>
    <t>* Licitação eletrônica * Registro de preço para contratação de empresa para aquisição de concreto usinado FKC 15 Slump 80+ -10 concreto convencional brita 1/2, conforme especificações constantes neste edital e em seu anexo I.</t>
  </si>
  <si>
    <t>O edital completo estará à disposição dos interessados na Plataforma Bolsa de Licitações BLL, disponível também na Prefeitura Municipal, com retirada no endereço Praça Padre Antonio Pozzato, nº 880, ou via internet através do site: http://lupionopolis.pr.gov.br/licitacao/. Informações: 43 3660-1100, das 08h às 12h e das 14h às 16h.</t>
  </si>
  <si>
    <t>Prefeitura Municipal de Nova Aliança do Ivaí</t>
  </si>
  <si>
    <t>Nova Aliança do Ivaí</t>
  </si>
  <si>
    <t>* Licitação Eletrônica * Contratação de empresa especializada em construção civil, visando a execução de obra para construção de sanitários destinados ao atendimento dos alunos e funcionários da Jornada Ampliada da Escola/ Municipal Profª Irma Pereira da Rocha Boletta - ** www.comprasbr.com.br **</t>
  </si>
  <si>
    <t>PE/77/2026</t>
  </si>
  <si>
    <t>Prefeitura Municipal de Tupanci do Sul</t>
  </si>
  <si>
    <t>Tupanci do Sul</t>
  </si>
  <si>
    <t>Prefeitura Municipal de Lauro Muller</t>
  </si>
  <si>
    <t>Lauro Müller</t>
  </si>
  <si>
    <t>Prefeitura Municipal de Pescaria Brava</t>
  </si>
  <si>
    <t>Pescaria Brava</t>
  </si>
  <si>
    <t>Prefeitura Municipal de Barra do Chapéu</t>
  </si>
  <si>
    <t>Barra do Chapéu</t>
  </si>
  <si>
    <t>São Paulo Obras</t>
  </si>
  <si>
    <t>Prefeitura Municipal de Lourdes</t>
  </si>
  <si>
    <t>Lourdes</t>
  </si>
  <si>
    <t>Contratação de empresa, por empreitada global, para construção de 20 unidades habitacionais - programa 5600020250030 - Novo Pac - FNHIS sub-50 - portaria nº 892/2025 ministério das cidades.</t>
  </si>
  <si>
    <t>Regime de execução: Contratação Integrada.</t>
  </si>
  <si>
    <t>Prefeitura Municipal de Pindorama</t>
  </si>
  <si>
    <t>Pindorama</t>
  </si>
  <si>
    <t>* Licitação Eletrônica * AQUISIÇÃO DE TUBOS EM AÇO CARBONO. * http://www.licitacoes-e.com.br *</t>
  </si>
  <si>
    <t>Edital : 2026/80 
Modalidade : Pregão 
Nº Licitação : 1091015 
Início acolhimento de propostas : 17/04/2026-08:00 
Limite acolhimento de propostas : 22/04/2026-08:00 
Abertura das propostas : 22/04/2026-08:00 
Data e a hora da disputa : 22/04/2026-09:00 
Pregoeiro : ALEXANDRE AUGUSTO GUIDA GASPAR</t>
  </si>
  <si>
    <t>* Licitação eletrônica * Registro de preços de materiais de construção - pedrisco, pedra, tijolos, blocos de 08 e 09 furos, areia, pó de pedra, cimento, cal, argamassa e rejunte, para atender as demandas da Secretaria de Obras e Serviços do Município de Pindorama/SP.</t>
  </si>
  <si>
    <t>Edital disponível em https://pindorama.govbr.cloud/pronimtb/index.asp?acao=1&amp;item=2&amp;flagRedFiltroLicitacao=2. Data e hora da sessão: 29/04/2026 às 14:30.</t>
  </si>
  <si>
    <t>CR/10/2026</t>
  </si>
  <si>
    <t>Prefeitura Municipal de Barrocas</t>
  </si>
  <si>
    <t>Barrocas</t>
  </si>
  <si>
    <t xml:space="preserve">* Licitação eletrônica * CONTRATAÇÃO DE EMPRESA PARA LOCAÇÃO DE CAMINHÃO EQUIPADO COM LIMPADORA A SUCÇÃO HIDROJATO/VACALL, COM OPERADOR, destinado à execução de serviços de limpeza de fossas sépticas, remoção de águas servidas, desobstrução de redes de drenagem pluvial e de esgoto sanitário, em atendimento às demandas da Secretaria De Infraestrutura Do Município De Barrocas - Ba. </t>
  </si>
  <si>
    <t>PREGÃO ELETRÔNICO Nº 16/2026
PA. N° 152/2026 - PE Nº 16/2026 - EDITAL Nº 18/2026
O Município De Barrocas-Ba, por meio de sua pregoeira, torna público que decide adiar, com devolução de prazo, a sessão referente ao PREGÃO ELETRÔNICO Nº. 016/2026, com abertura da sessão prevista para 15/04/2026 às 09h:05min e acolhimento de proposta até às 09h:00min do dia 15/04/2026 no portal de compras publicas site https://www.portaldecompraspublicas.com.br/, Licitação ID. N° 467994, para adequação do termo de referência. OBJETO: CONTRATAÇÃO DE EMPRESA PARA LOCAÇÃO DE CAMINHÃO EQUIPADO COM LIMPADORA A SUCÇÃO HIDROJATO/VACALL, COM OPERADOR, DESTINADO À EXECUÇÃO DE SERVIÇOS DE LIMPEZA DE FOSSAS SÉPTICAS, REMOÇÃO DE ÁGUAS SERVIDAS, DESOBSTRUÇÃO DE REDES DE DRENAGEM PLUVIAL E DE ESGOTO SANITÁRIO, em atendimento às demandas da secretaria de infraestrutura do Município De Barrocas - Ba. TIPO: menor preço. A data e horário para abertura da sessão será no dia 22/04/2026 às 09h:05min e acolhimento de proposta a partir das 12:00h do dia 07/04/2026 até às 09h:00min do dia 22/04/2026. Para mais informações no site https://pmbarrocas.transparenciaoficialba.com/diariooficial, e no Portal Nacional de Contratações Públicas PNCP, e-mail: licitacao@barrocas.ba.gov.br.</t>
  </si>
  <si>
    <t>CASAL-Companhia de Abastecimento de Água e Saneamento do Estado de Alagoas</t>
  </si>
  <si>
    <t>SM/34/2025</t>
  </si>
  <si>
    <t>* Licitação Eletrônica * CONTRATAÇÃO DE EMPRESA ESPECIALIZADA DE ENGENHARIA PARA EXECUTAR SERVIÇOS DE MANUTENÇÃO DE ÁREAS E MELHORIAS NA BARRAGEM CARANGUEJA, NO MUNICÍPIO DE QUEBRANGULO/AL, CONFORME PROJETO BÁSICO. * http://www.licitacoes-e.com.br *</t>
  </si>
  <si>
    <t>Edital : 34/25 2ª C 
Modalidade : LRE 
Nº Licitação : 1090100 
Início acolhimento de propostas : 07/04/2026-17:00 
Limite acolhimento de propostas : 30/04/2026-08:00 
Abertura das propostas : 30/04/2026-08:00 
Data e a hora da disputa : 30/04/2026-09:00 
Pregoeiro : SUELY DA COSTA BARBOSA PEDROSA
 - Licitação sujeita a confirmação pois não foi informado que trata-se de prorrogação.</t>
  </si>
  <si>
    <t>PE/223/2026</t>
  </si>
  <si>
    <t>* Licitação Eletrônica * contratação de serviços de  limpeza e melhoramento fluvial nos Rios Itajaí-Açu e Lontras, localizados no Município de Lontras/SC para a Secretaria de Estado da Proteção e Defesa Civil.</t>
  </si>
  <si>
    <t>Unidade compradora: 78 - Diretoria de Gestão de Licitações e Contratos
Local: Florianópolis/SC
Órgão: SECRETARIA DE ESTADO DA ADMINISTRACAO
Id contratação PNCP: 82951351000142-1-000208/2026
Fonte: Secretaria de Estado da Administração de Santa Catarina
 - Número compra: 223 - Pregão - Eletrônico
 - Licitação sujeita a confirmação pois não foi informado que trata-se de prorrogação.</t>
  </si>
  <si>
    <t>Prefeitura Municipal de Assaré</t>
  </si>
  <si>
    <t>Assaré</t>
  </si>
  <si>
    <t>CR/40/2026</t>
  </si>
  <si>
    <t>CR/44/2026</t>
  </si>
  <si>
    <t>CR/45/2026</t>
  </si>
  <si>
    <t>filtro</t>
  </si>
  <si>
    <t>Diretoria de Teatros do Estado de Alagoas</t>
  </si>
  <si>
    <t>DL/48/2026</t>
  </si>
  <si>
    <t>* Licitação Eletrônica * Contratação de serviços para manutenção corretiva  e preventiva do reservatório de água cisterna e pintura da sala de música, com fornecimento de materiais, mão de obra e equipamentos. * https://pncp.gov.br *</t>
  </si>
  <si>
    <t>Unidade compradora: 453366 - DIRETORIA DE TEATROS DO ESTADO DE ALAGOAS - DIRETORIA DE TEATROS DO ESTADO DE ALAGOAS
Local: Maceió/AL
Órgão: DIRETORIA DE TEATROS DO ESTADO DE ALAGOAS
Id contratação PNCP: 04702028000121-1-000011/2026
Fonte: Compras.gov.br
 - Dispensa</t>
  </si>
  <si>
    <t>Comando da Marinha - Aviso Hidroceanografico Fluvial Rio Negro</t>
  </si>
  <si>
    <t>* Licitação Eletrônica * FILTRO DE AR PARA GERADOR 3 CILINDROS MWM, FILTRO DE AR B125005, FILTRO DE ÓLEO PSL962 e MASSA DE VEDAÇÃO EPÓXI SUBAQUÁTICA * https://pncp.gov.br *</t>
  </si>
  <si>
    <t>Unidade compradora: 788513 - COMANDO DA MARINHA - AVISO HIDROCEANOGRáFICO FLUVIAL RIO NEGRO
Local: Manaus/AM
Órgão: COMANDO DA MARINHA
Id contratação PNCP: 00394502000144-1-002583/2026
Fonte: Compras.gov.br
 - Dispensa</t>
  </si>
  <si>
    <t>* Licitação Eletrônica * Serviço  de  revisão  parcial  do  motor  de  popa Yamaha  F  115  BET,  incluindo  inspeção  completa dos  sistemas  mecânicos  e  elétricos,  inspeção  de componentes internos, substituição desses componentes que apresentarem desgastes por  peças  originais,  teste  de  funcionamento  e demais  procedimentos  necessários  na  revisão parcial  do  motor  de  popa conforme  manual. * https://pncp.gov.br *</t>
  </si>
  <si>
    <t>Unidade compradora: 788513 - COMANDO DA MARINHA - AVISO HIDROCEANOGRáFICO FLUVIAL RIO NEGRO
Local: Manaus/AM
Órgão: COMANDO DA MARINHA
Id contratação PNCP: 00394502000144-1-002579/2026
Fonte: Compras.gov.br
 - Dispensa</t>
  </si>
  <si>
    <t>SM/7004583002</t>
  </si>
  <si>
    <t>* Licitação Eletrônica * Aquisição de tubo e conector</t>
  </si>
  <si>
    <t>** Esta publicação está sendo informada para os estados AM, BA, SE e RJ onde será realizado o objeto da licitação. Informamos que a publicação oficial é do estado de RJ. **
Regiões: AM BA SE 
Inicio: 2026/04/14 - 17:00:00 Término dos lances: 2026/04/14 17:00:00
 - Licitação sujeita a confirmação pois não foi informado que trata-se de prorrogação.</t>
  </si>
  <si>
    <t>SM/7004577288</t>
  </si>
  <si>
    <t>* Licitação Eletrônica * Aquisição de Manta de fibra vegetal.</t>
  </si>
  <si>
    <t>** Esta publicação está sendo informada para os estados AM e RJ onde será realizado o objeto da licitação. Informamos que a publicação oficial é do estado de RJ. **
Regiões: AM 
Inicio: 2026/04/10 - 20:00:00 Término dos lances: 2026/04/10 20:00:00
 - Licitação sujeita a confirmação pois não foi informado que trata-se de prorrogação.</t>
  </si>
  <si>
    <t>* Licitação Eletrônica * ASSENTO SANITÁRIO COM ABERTURA FRONTAL PNE E VALVULA PARA MICTORIO * www.comprasnet.ba.gov.br *</t>
  </si>
  <si>
    <t xml:space="preserve">Nº do PCE 19.004.2026.0151
Data da Disputa 14/04/2026 08:30:00
Período 08:30 às 10:30h
Endereço Unidade: QUARTA AVENIDA Nº 400 PLATAFORMA 6 LADO B - CAB - Salvador - BA - 41745002
Local de Entrega: 190040840 - SESAB ALMOXARIFADO SEDE
Observações: NECESSARIO APRESENTAR AMOSTRA/PROSPECTO APOS DISPUTA ELETRONICA
Contato: ELISABETE ALMEIDA
E-mail: sesab.dam@saude.ba.gov.br
Telefone: 0XX71 3115-8388
Fax: </t>
  </si>
  <si>
    <t>* Licitação Eletrônica * MAÇARICO portátil e outros * www.comprasnet.ba.gov.br *</t>
  </si>
  <si>
    <t xml:space="preserve">Nº do PCE 11.236.2026.0009
Data da Disputa 14/04/2026 14:30:00
Período 14:30 às 16:30h
Endereço Unidade: RUA DO BOM CONSELHO, 179 - ALVES DE SOUZA - Paulo Afonso - BA - 48608230
Local de Entrega: 112360016 - ALMOXARIFADO CAMPUS VIII
Observações: Atenção: Inserir MARCA e MODELO do item. Entrega: Paulo Afonso - Ba, CAMPUS DEDC VIII.
Contato: Rogéria Vilela
E-mail: rvsgomes@uneb.br
Telefone: 71996967919
Fax: </t>
  </si>
  <si>
    <t>SM/15354/2026</t>
  </si>
  <si>
    <t>Fornecimento e Instalação de Piso Vinílico e Rodapé * https://compras.fieb.org.br *</t>
  </si>
  <si>
    <t>Acesse o Central de Compras BA Fieb https://compras.fieb.org.br/portal/Mural.aspx e consulte os detalhes. 
Em andamento
 Edital: SDE 2026015354
 Inicio dos lances: 08/04/2026 15:54:00 Término dos lances: 10/04/2026 16:00:00</t>
  </si>
  <si>
    <t xml:space="preserve"> ADAPTADOR uso rede hidraulica em PVC 25 mm TRES QUARTOS polegadas liso x rosca para agua fria * www.comprasnet.ba.gov.br *</t>
  </si>
  <si>
    <t xml:space="preserve">Nº do PCE 50.003.2026.0047
Data da Disputa 14/04/2026 08:30:00
Período 08:30 às 10:30h
Endereço Unidade: AV. ULISSES GUIMARÃES, Nº 3.386 - SUSSUARANA - Salvador - BA - 41745007
Local de Entrega: 500030001 - ALMOXARIFADO-SEDE
Observações: Sob pena de NOTIFICAÇÃO da Saeb em caso de descumprimento do prazo de entrega
Contato: Thaís Franco
E-mail: thais.franco@defensoria.ba.def.br
Telefone: 0XX71 3117-9106
Fax: </t>
  </si>
  <si>
    <t>Secretaria de Assistência e Desenvolvimento Social - Diretoria Geral</t>
  </si>
  <si>
    <t>* Licitação Eletrônica * Assento sanitario * www.comprasnet.ba.gov.br *</t>
  </si>
  <si>
    <t xml:space="preserve">Nº do PCE 45.001.2026.0046
Data da Disputa 14/04/2026 09:30:00
Período 09:30 às 11:30h
Endereço Unidade: LUIS VIANA FILHO, 3ª AVENIDA, 390, CAB -SUBSOLO - CAB - Salvador - BA - 41745005
Local de Entrega: 450010001 - ALMOXARIFADO - SEADES
Observações: 
Contato: cleia
E-mail: cleia.goncalves@seades.bagov.br
Telefone: 0XX71 3115-6055
Fax: </t>
  </si>
  <si>
    <t>* Licitação Eletrônica * ELETRODUTO em PVC rigido anti chama para caixa de passagem tipo condulete 3 m cor branca * www.comprasnet.ba.gov.br *</t>
  </si>
  <si>
    <t xml:space="preserve">Nº do PCE 19.123.2026.0140
Data da Disputa 14/04/2026 15:30:00
Período 15:30 às 17:30h
Endereço Unidade: PRAÇA CONSELHEIRO JOÃO ALFREDO, S/N - PAU MIUDO - Salvador - BA - 40320350
Local de Entrega: 191230021 - MANUTENÇÃO
Observações: O vencedor deve enviar a amostra ou prospecto em até 24 horas após a finalização do certame.
Contato: COMPRAS
E-mail: gabrielle.muricy@saude.ba.gov.br
Telefone: 0XX71 3117-1605
Fax: </t>
  </si>
  <si>
    <t>SM/15358/2026</t>
  </si>
  <si>
    <t>Material de Pintura * https://compras.fieb.org.br *</t>
  </si>
  <si>
    <t>Acesse o Central de Compras BA Fieb https://compras.fieb.org.br/portal/Mural.aspx e consulte os detalhes. 
Em andamento
 Edital: SDE 2026015358
 Inicio dos lances: 08/04/2026 16:38:00 Término dos lances: 10/04/2026 16:00:00</t>
  </si>
  <si>
    <t>SM/15350/2026</t>
  </si>
  <si>
    <t>Aquisição de material anel e mola para estampo Lugger. * https://compras.fieb.org.br *</t>
  </si>
  <si>
    <t>Acesse o Central de Compras BA Fieb https://compras.fieb.org.br/portal/Mural.aspx e consulte os detalhes. 
Em andamento
 Edital: SDE 2026015350
 Inicio dos lances: 08/04/2026 16:00:00 Término dos lances: 10/04/2026 16:00:00</t>
  </si>
  <si>
    <t>CREASI-Centro de Referência Estadual de Atenção à Saúde do Idoso</t>
  </si>
  <si>
    <t>* Licitação Eletrônica * INSTALACAO E MONTAGEM DE CORTINA para janela tipo rolo * www.comprasnet.ba.gov.br *</t>
  </si>
  <si>
    <t xml:space="preserve">Nº do PCE 19.147.2026.0021
Data da Disputa 15/04/2026 15:30:00
Período 15:30 às 17:30h
Endereço Unidade: ,S/N,CENTRO PROF. JOSE MARIA MAGALHAES NETO - IGUATEMI - Salvador - BA - 41820000
Local de Entrega: 191470001 - ALMOXARIFADO GERAL CREASI
Observações: Empresa vencedora enviar prospecto e o ñ comprimento o PCE será cancelado e notificado junto a SAEB
Contato: Kenia Souza Chaves
E-mail: creasi.copel@saude.ba.gov.br
Telefone: 0XX71 3103-6119
Fax: </t>
  </si>
  <si>
    <t>* Licitação Eletrônica * Materiais de Hidráulica * www.comprasnet.ba.gov.br *</t>
  </si>
  <si>
    <t xml:space="preserve">Nº do PCE 19.076.2026.0298
Data da Disputa 16/04/2026 14:30:00
Período 14:30 às 16:30h
Endereço Unidade: ESTRADA DO SABOEIRO, S/N, - NARANDIBA - CABULA - Salvador - BA - 41187900
Local de Entrega: 190760001 - ALMOXARIFADO CENTRAL - HGRS
Observações: 
Contato: THALIA
E-mail: HGRS.COMAT@SAUDE.BA.GOV.BR
Telefone: 0XX71 3103-8863
Fax: </t>
  </si>
  <si>
    <t>Companhia Baiana de Pesquisa Mineral</t>
  </si>
  <si>
    <t>* Licitação Eletrônica * TELA PARA MICTÓRIO * www.comprasnet.ba.gov.br *</t>
  </si>
  <si>
    <t xml:space="preserve">Nº do PCE 15.900.2026.0027
Data da Disputa 15/04/2026 08:30:00
Período 08:30 às 10:30h
Endereço Unidade: 4 AVENIDA, 460. - CAB - Salvador - BA - 41745000
Local de Entrega: 159000004 - ALMOXARIFADO
Observações: SRs FORNECEDORES, POR GENTILEZA, OBSERVAR A DESCRIÇÃO CONTIDA NO PCE
Contato: NARA FERNANDES SANTOS
E-mail: narafernandes.santos@cbpm.ba.gov.br
Telefone: 0XX71 3115-7410
Fax: </t>
  </si>
  <si>
    <t>SUVISA - Superintendência de Vigilância e Proteção da Saúde</t>
  </si>
  <si>
    <t>* Licitação Eletrônica * VASSOURA CERDAS EM NYLON * www.comprasnet.ba.gov.br *</t>
  </si>
  <si>
    <t xml:space="preserve">Nº do PCE 19.008.2026.0038
Data da Disputa 15/04/2026 09:30:00
Período 09:30 às 11:30h
Endereço Unidade: SETE DE SETEMBRO, Nº 4161, ANEXO HOSP 2 DE JUL - BARRA - Salvador - BA - 40140110
Local de Entrega: 190080047 - SUP VIGILANCIA E PROTECAO DA SAUDE - SUVISA BARRA
Observações: 
Contato: ÁTILA ALMEIDA
E-mail: suvisa.compras@saude.ba.gov.br
Telefone: 0XX71 3244-7307
Fax: </t>
  </si>
  <si>
    <t>* Licitação Eletrônica * DISPOSITIVOS E ACESSORIOS PARA INSTALACOES HIDRAULICAS * www.comprasnet.ba.gov.br *</t>
  </si>
  <si>
    <t xml:space="preserve">Nº do PCE 19.076.2026.0295
Data da Disputa 15/04/2026 08:30:00
Período 08:30 às 10:30h
Endereço Unidade: ESTRADA DO SABOEIRO, S/N, - NARANDIBA - CABULA - Salvador - BA - 41187900
Local de Entrega: 190760001 - ALMOXARIFADO CENTRAL - HGRS
Observações: ENVIAR O PROSPECTO EM ATÉ 24H APÓS TÉRMINO DO CERTAME
Contato: Kailane Silva
E-mail: hgrs.comat@saude.ba.gov.br
Telefone: 0XX71 3103-8863
Fax: </t>
  </si>
  <si>
    <t>Hospital Couto Maia</t>
  </si>
  <si>
    <t>* Licitação Eletrônica * AQUISIÇÃO DE TERMOHIGROMETRO * www.comprasnet.ba.gov.br *</t>
  </si>
  <si>
    <t xml:space="preserve">Nº do PCE 19.078.2026.0143
Data da Disputa 15/04/2026 08:30:00
Período 08:30 às 10:30h
Endereço Unidade: L AZEVEDO, S/N, SETOR IV, ÁGUAS CLARAS - CAJAZEIRAS II - Salvador - BA - 41332010
Local de Entrega: 190780044 - ALMOXARIFADO CENTRAL MATERIAL ICOM
Observações: 
Contato: CARLA SENA
E-mail: CARLA.SALMEIDA@SAUDE.BA.GOV.BR
Telefone: 0XX71 3103-7166
Fax: </t>
  </si>
  <si>
    <t>SM/543/2026</t>
  </si>
  <si>
    <t>Aquisição sob demanda de mangueiras e conexões hidráulicas * https://compras.fieb.org.br *</t>
  </si>
  <si>
    <t>Acesse o Central de Compras BA Fieb https://compras.fieb.org.br/portal/Mural.aspx e consulte os detalhes. 
Recebimento de lances
 Edital: 31000532.2026.CD.0543.PARK
 Inicio dos lances: 27/03/2026 14:40:00 Término dos lances: 10/04/2026 10:00:00
 - Licitação sujeita a confirmação pois não foi informado que trata-se de prorrogação.</t>
  </si>
  <si>
    <t>SM/573/2026</t>
  </si>
  <si>
    <t>Aquisição de 1 uma Peneira Rotativa Autolimpante com capacidade de 120 m³/h. * https://compras.fieb.org.br *</t>
  </si>
  <si>
    <t>Acesse o Central de Compras BA Fieb https://compras.fieb.org.br/portal/Mural.aspx e consulte os detalhes. 
Recebimento de lances
 Edital: 31000704.2026.CD.0573.PARK
 Inicio dos lances: 31/03/2026 16:00:00 Término dos lances: 14/04/2026 10:00:00
 - Licitação sujeita a confirmação pois não foi informado que trata-se de prorrogação.</t>
  </si>
  <si>
    <t>SM/620/2026</t>
  </si>
  <si>
    <t>Aquisição de 01um Tanque de Efluentes * https://compras.fieb.org.br *</t>
  </si>
  <si>
    <t>Acesse o Central de Compras BA Fieb https://compras.fieb.org.br/portal/Mural.aspx e consulte os detalhes. 
Recebimento de lances
 Edital: 31001350.2026.CD.0620.PARK
 Inicio dos lances: 09/04/2026 10:00:00 Término dos lances: 13/04/2026 13:00:00</t>
  </si>
  <si>
    <t>SM/15060/2026</t>
  </si>
  <si>
    <t>Processo de seleção sem Disputa para Contratação de empresa especializada através de modalidade menor preço, sob o regime de menor valor global para desenvolvimento de projetos de instalações elétricas de baixa e média tensão, climatização, hidrossanitário, gás, PCI, SPDA, redes eletrônicas e CFTV para reforma e ampliação da unidade Sesi Rio Vermelho. * https://compras.fieb.org.br *</t>
  </si>
  <si>
    <t>Acesse o Central de Compras BA Fieb https://compras.fieb.org.br/portal/Mural.aspx e consulte os detalhes. 
Em andamento
 Edital: SDE 2026015060
 Inicio dos lances: 26/03/2026 15:00:00 Término dos lances: 13/04/2026 11:00:00
 - Licitação sujeita a confirmação pois não foi informado que trata-se de prorrogação.</t>
  </si>
  <si>
    <t>SM/15339/2026</t>
  </si>
  <si>
    <t>Compra na Modalidade sem Disputa- Entrega Programada: Aquisição de chapas de acrílico destinadas ao atendimento das atividades desenvolvidas no Laboratório Maker da Unidade SENAI de Alagoinhas, conforme termo de referência * https://compras.fieb.org.br *</t>
  </si>
  <si>
    <t>Acesse o Central de Compras BA Fieb https://compras.fieb.org.br/portal/Mural.aspx e consulte os detalhes. 
Em andamento
 Edital: SDE 2026015339
 Inicio dos lances: 08/04/2026 14:25:00 Término dos lances: 10/04/2026 16:30:00</t>
  </si>
  <si>
    <t>SM/15371/2026</t>
  </si>
  <si>
    <t>Aquisição de equipamentos de automação e elétrica, para confecção de bancada didática de Instrumentação Industrial, Controle e Automação Industrial para uso em atividades de ensino, pesquisa e extensão sob a gestão da área de automação * https://compras.fieb.org.br *</t>
  </si>
  <si>
    <t>Acesse o Central de Compras BA Fieb https://compras.fieb.org.br/portal/Mural.aspx e consulte os detalhes. 
Em andamento
 Edital: SDE 2026015371
 Inicio dos lances: 09/04/2026 10:55:00 Término dos lances: 13/04/2026 10:00:00</t>
  </si>
  <si>
    <t>Acesse o Central de Compras BA Fieb https://compras.fieb.org.br/portal/Mural.aspx e consulte os detalhes. 
Recebimento de lances
 Edital: 31000561.2026.CD.0551.SENAICI
 Inicio dos lances: 27/03/2026 17:00:00 Término dos lances: 10/04/2026 15:00:00
 - Licitação sujeita a confirmação pois não foi informado que trata-se de prorrogação.</t>
  </si>
  <si>
    <t>SM/593/2026</t>
  </si>
  <si>
    <t>Fornecimento de barras chatas, redondas e quadradas * https://compras.fieb.org.br *</t>
  </si>
  <si>
    <t>Acesse o Central de Compras BA Fieb https://compras.fieb.org.br/portal/Mural.aspx e consulte os detalhes. 
Recebimento de lances
 Edital: 31001047.2026.CD.0593.PARK
 Inicio dos lances: 06/04/2026 16:00:00 Término dos lances: 13/04/2026 10:00:00
 - Licitação sujeita a confirmação pois não foi informado que trata-se de prorrogação.</t>
  </si>
  <si>
    <t>SM/15372/2026</t>
  </si>
  <si>
    <t>Processo de seleção SEM DISPUTA, com entrega única, para aquisição de Equipamento de construção civil para escola técnica do SENAI BAHIA, que será utilizado no atendimento ao curso Técnico em Edificações e afins., conforme Termo de Referencia. * https://compras.fieb.org.br *</t>
  </si>
  <si>
    <t>Acesse o Central de Compras BA Fieb https://compras.fieb.org.br/portal/Mural.aspx e consulte os detalhes. 
Em andamento
 Edital: SDE 2026015372
 Inicio dos lances: 09/04/2026 11:05:00 Término dos lances: 10/04/2026 14:00:00</t>
  </si>
  <si>
    <t>SM/431/2026</t>
  </si>
  <si>
    <t>Aquisição de Ferramentas para montagem do protótipo, conforme descrição e projeto referência no Item 01 um da seção 3 Escopo/ Especificação para prova de conceitos do projeto Robin * https://compras.fieb.org.br *</t>
  </si>
  <si>
    <t>Acesse o Central de Compras BA Fieb https://compras.fieb.org.br/portal/Mural.aspx e consulte os detalhes. 
Recebimento de lances
 Edital: 30998710.2026.CIMATEC.CD.0431.SENAICI
 Inicio dos lances: 10/03/2026 10:55:00 Término dos lances: 10/04/2026 15:00:00
 - Licitação sujeita a confirmação pois não foi informado que trata-se de prorrogação.</t>
  </si>
  <si>
    <t>SM/143/2026</t>
  </si>
  <si>
    <t>Aquisição de Sistema cromatografia líquida de ultra-alta performance hifenada à espectrometria de massas de alta resolução com quadrupolo híbrido tempo de voo UHPLC-QTOF-MS, bem como, a instalação, treinamento e manutenção corretiva/preventiva, de acordo com as condições e especificações contidas neste Instrumento e seus Anexos * https://compras.fieb.org.br *</t>
  </si>
  <si>
    <t>Acesse o Central de Compras BA Fieb https://compras.fieb.org.br/portal/Mural.aspx e consulte os detalhes. 
Chamamento público
 Edital: CDE 2026000143
 Inicio dos lances: 09/04/2026 13:00:00 Término dos lances: 22/04/2026 09:00:00</t>
  </si>
  <si>
    <t>Secretaria Estadual de Educação Básica - E.E.F.M. Etelvina Gomes Bezerra</t>
  </si>
  <si>
    <t>Pentecoste</t>
  </si>
  <si>
    <t>DL/12871/2026</t>
  </si>
  <si>
    <t>* Licitação Eletrônica * COTAÇÃO ELTETRÔNICA 07/2026 - AQUISIÇÃO DE FERRAGENS E UTENSILIOS EM PROL DA EEMTI ETELVINA GOMES BEZERRA - PENTECOSTE/CE * https://pncp.gov.br *</t>
  </si>
  <si>
    <t>Unidade compradora: 228257 - ESTADO DO CEARA - EEM ETELVINA GOMES BEZERRA
Local: Pentecoste/CE
Órgão: ESTADO DO CEARA
Id contratação PNCP: 07954480000179-1-008285/2026
Fonte: Secretaria do Planejamento e Gestão do Ceará
TENDO EM VISTA NECESSIDADE DA ESCOLA - Dispensa</t>
  </si>
  <si>
    <t>Fundação de Apoio ao Ensino, a Pesquisa e a Extensão do Instituto Federal de Educação, Ciência e Tecnologia do Ceará</t>
  </si>
  <si>
    <t>Produto/Serviço Quant. Unidade
Produto/Serviço: Incinerador Infravermelho
Descrição: Diâmetro máximo da alça/agulha: Ø 14 mm Comprimento útil de esterilização: 100 mm Potência: 320 W Peso: 1,1 kg Dimensões L A P : 97 225 162 mm Voltagem: 110 V / 220 V 1 Unidade
Produto/Serviço: Contador de Colônias
Descrição: Equipamento 2 em 1: Possibilidade de alternar as placas de visualização entre Ø90mm e Ø150mm sem a necessidade de adquirir um novo equipamento Fonte de Luz Interna: LED interno Contador Digital: Possibilidade de contabilizar as colônias diretamente nos botões do painel ou através da caneta de contagem Sinal Sonoro: O equipamento emite um sinal sonoro durante a contagem, facilitando o processo Caneta de Contagem: Sistema de cápsula que permite ao usuário utilizar canetas de sua preferência até Ø10mm, consultar medidas compatíveis Lupa Superior: Aumento de 3X com braço articulável haste para melhor posicionamento da lupa Modelo da Placa: 110001020A / 110001030A Diâmetros das Placas: Ø90mm / Ø150mm Capacidade do Contador: 0 9999 Ampliação: 3X Tensão: Bivolt Potência: 25W Peso: 3,8kg Dimensões L x P x A : 26,5 x 34,8 x 13,3 cm O Equipamento deve ser acompanhado de: 01 Contador de Colônia 01 Caneta de Contagem 1 Unidade</t>
  </si>
  <si>
    <t>Dispensa de licitação
A FAIFCE recebe as entregas de segunda a sexta-feira nos horários de 08h às 12h e 13h às 17h.
Outras Compras</t>
  </si>
  <si>
    <t>Secretaria Estadual de Educação Básica - EEM João Alves Moreira</t>
  </si>
  <si>
    <t>Aracoiaba</t>
  </si>
  <si>
    <t>DL/13015/2026</t>
  </si>
  <si>
    <t>* Licitação Eletrônica * AQUISIÇÃO DE SERVIÇOS DE TERCEIROS MANUTENÇÃO E CONSERVAÇÃO DE MÁQUINAS E EQUIPAMENTOS AR CONDICIONADOS EM FAVOR DA EEMTI JOÃO ALVES MOREIRA * https://pncp.gov.br *</t>
  </si>
  <si>
    <t>Unidade compradora: 228413 - ESTADO DO CEARA - EEM JOÃO ALVES MOREIRA
Local: Aracoiaba/CE
Órgão: ESTADO DO CEARA
Id contratação PNCP: 07954480000179-1-008317/2026
Fonte: Secretaria do Planejamento e Gestão do Ceará
ATENDER AS NECESSIDADES DOS ALUNOS - Dispensa</t>
  </si>
  <si>
    <t xml:space="preserve">Secretaria Estadual de Educação Básica - EEM DELMIRO GOUVEIA </t>
  </si>
  <si>
    <t>Ipu</t>
  </si>
  <si>
    <t>DL/13064/2026</t>
  </si>
  <si>
    <t>* Licitação Eletrônica * AQUISIÇÃO - MATERIAL DE CONSUMO - MATERIAL LABORATORIAL * https://pncp.gov.br *</t>
  </si>
  <si>
    <t>Unidade compradora: 228306 - ESTADO DO CEARA - EEM DELMIRO GOUVEIA
Local: Ipu/CE
Órgão: ESTADO DO CEARA
Id contratação PNCP: 07954480000179-1-008276/2026
Fonte: Secretaria do Planejamento e Gestão do Ceará
A presente Aquisição de Material de consumo - Material laboratorial visa suprir as necessidades e é essencial para garantir o bem estar no ambiente de ensino, assim atendendo a Escola EEMTI DELMIRO GOUVEIA/CREDE 05 - Dispensa</t>
  </si>
  <si>
    <t>DL/55/2026</t>
  </si>
  <si>
    <t>Produto/Serviço Quant. Unidade
Produto/Serviço: Pia Aço Inox Industrial 140x60x90 cm Cuba Dupla
Descrição: Capacidade de carga de até 120kg contando com reforço para maior resistência e capacidade de carga do estrado inferior de até 60kg Pia Aço Inox Industrial 140x60x90 cm Cuba Dupla Ideal para Bares, Restaurantes, Lanchonetes, Açougues, Padarias e para todo o tipo de Cozinha Industrial que não dispensa a higienização e prática limpeza, a Pia Inox Nortinox é a melhor do mercado! Essa Pia de Manipulação com Cuba tem capacidade de carga de até 120kg contando com reforço para maior resistência e capacidade de carga do estrado inferior de até 60kg, sendo o melhor do mercado Tamanho: 140x60x90 cm Tamanho da Cuba: 2 Unidades de 50x40x30 cm Cada Produto em aço inox Acabamento: Escovado Pés: Tubo de 1" Chapa #20 Espessura da chapa: #22 0,8mm AISI 430 Capacidade de carga mesa: 120 kg distribuídos Capacidade estrado inferior: 60 kg distribuídos Reforço debaixo do tampo para maior resistência Travamento inferior em fenestrado para utilização como prateleira Sapatas de regulagem Nylon Cuba soldada em argônio Peso: 26,400 kg Medidas: 140x60x90 cm 1 Unidade</t>
  </si>
  <si>
    <t>Secretaria Estadual de Educação Básica - EEEP MARIA CÉLIA PINHEIRO FALCÃO</t>
  </si>
  <si>
    <t>Pereiro</t>
  </si>
  <si>
    <t>DL/12691/2026</t>
  </si>
  <si>
    <t>Unidade compradora: 228458 - ESTADO DO CEARA - EEEP PROFESSORA MARIA CÉLIA PINHEIRO FALCÃO
Local: Pereiro/CE
Órgão: ESTADO DO CEARA
Id contratação PNCP: 07954480000179-1-008332/2026
Fonte: Secretaria do Planejamento e Gestão do Ceará
Para atender às necessidade da EEEP Professora Maria Célia Pinheiro Falcão. - Dispensa</t>
  </si>
  <si>
    <t>Eeep Analia Maia Saraiva Esmeraldo - Ce</t>
  </si>
  <si>
    <t>DL/11759/2026</t>
  </si>
  <si>
    <t>* Licitação Eletrônica * Ferramentas e Utensílios</t>
  </si>
  <si>
    <t>GOVERNO DO ESTADO DO CEARÁ - SEPLAG - Secretaria do Planejamento e Gestão
**  https://s2gpr.sefaz.ce.gov.br/licita-web/paginas/licita/PublicacaoList.seam  ** 
Número da publicação: 2026/11759
Nº Edital - Contratante - Entrega: 20260010 - EEEP ANALIA MAIA SARAIVA ESMERALDO -
Sistemática - Forma de Aquisição: DISPENSA - COTAÇÃO ELETRÔNICA
Gestor Contratante: WERGILA DE SOUZA TAVARES</t>
  </si>
  <si>
    <t>Secretaria Estadual de Educação Básica - EEM CORONEL APOLIANO</t>
  </si>
  <si>
    <t>Senador Sá</t>
  </si>
  <si>
    <t>DL/12273/2026</t>
  </si>
  <si>
    <t>Unidade compradora: 228352 - ESTADO DO CEARA - EEM CORONEL APOLIANO
Local: Senador Sá/CE
Órgão: ESTADO DO CEARA
Id contratação PNCP: 07954480000179-1-008298/2026
Fonte: Secretaria do Planejamento e Gestão do Ceará
Para atender as necessidades da EEMTI Coronel Apoliano - Dispensa</t>
  </si>
  <si>
    <t>Secretaria Estadual de Educação Básica - E.E.F.M. PROFESSORA MARIA GONÇALVES</t>
  </si>
  <si>
    <t>DL/11854/2026</t>
  </si>
  <si>
    <t>* Licitação Eletrônica * Ferramentas * https://pncp.gov.br *</t>
  </si>
  <si>
    <t>Unidade compradora: 228096 - ESTADO DO CEARA - EEFM PROFESSORA MARIA GONÇALVES
Local: Fortaleza/CE
Órgão: ESTADO DO CEARA
Id contratação PNCP: 07954480000179-1-008337/2026
Fonte: Secretaria do Planejamento e Gestão do Ceará
Ajudar na manutenção escolar - Dispensa</t>
  </si>
  <si>
    <t>Secretaria Estadual de Educação Básica -  EEM José Correia Lima</t>
  </si>
  <si>
    <t>Várzea Alegre</t>
  </si>
  <si>
    <t>DL/11249/2026</t>
  </si>
  <si>
    <t>* Licitação Eletrônica * Material Elétrico Eletrônico * https://pncp.gov.br *</t>
  </si>
  <si>
    <t>Unidade compradora: 228570 - ESTADO DO CEARA - EEM JOSÉ CORREIA LIMA
Local: Várzea Alegre/CE
Órgão: ESTADO DO CEARA
Id contratação PNCP: 07954480000179-1-008336/2026
Fonte: Secretaria do Planejamento e Gestão do Ceará
Reposição e atualização de itens que contribuem para a conservação do patrimônio público e para a continuidade dos serviços, promovendo um ambiente mais adequado e funcional. - Dispensa</t>
  </si>
  <si>
    <t>Secretaria Estadual de Educação Básica - EEFM PROFESSORA TELINA BARBOSA DA COSTA</t>
  </si>
  <si>
    <t>DL/13037/2026</t>
  </si>
  <si>
    <t>* Licitação Eletrônica * Material de Proteção e Segurança Luvas, Toucas, Máscara, Avental, cadeados * https://pncp.gov.br *</t>
  </si>
  <si>
    <t>Unidade compradora: 228104 - ESTADO DO CEARA - EEFM PROFESSORA TELINA BARBOSA DA COSTA
Local: Fortaleza/CE
Órgão: ESTADO DO CEARA
Id contratação PNCP: 07954480000179-1-008282/2026
Fonte: Secretaria do Planejamento e Gestão do Ceará
Suprir as necessidades dos materiais de proteção e segurança - Dispensa</t>
  </si>
  <si>
    <t>DL/12953/2026</t>
  </si>
  <si>
    <t>* Licitação Eletrônica * MATERIAL PARA MANUTENÇÃO DE BENS IMÓVEIS</t>
  </si>
  <si>
    <t>GOVERNO DO ESTADO DO CEARÁ - SEPLAG - Secretaria do Planejamento e Gestão
**  https://s2gpr.sefaz.ce.gov.br/licita-web/paginas/licita/PublicacaoList.seam  ** 
Número da publicação: 2026/12953
Nº Edital - Contratante - Entrega: 20260010 - EEEP MARIA VIOLETA ARRAES DE ALENCAR GERVAISEAU -
Sistemática - Forma de Aquisição: DISPENSA - COTAÇÃO ELETRÔNICA
Gestor Contratante: ANTONIA CYRA ESMERALDO ARRAIS</t>
  </si>
  <si>
    <t>DL/12552/2026</t>
  </si>
  <si>
    <t>* Licitação Eletrônica * Aquisição de ferramentas para atender a demanda da EEMTI Franklin távora, ano 2026.  * https://pncp.gov.br *</t>
  </si>
  <si>
    <t>Unidade compradora: 228397 - ESTADO DO CEARA - EEM FRANKLIN TÁVORA
Local: Itapiúna/CE
Órgão: ESTADO DO CEARA
Id contratação PNCP: 07954480000179-1-008394/2026
Fonte: Secretaria do Planejamento e Gestão do Ceará
Atender a demanda da EEMTI Franklin Távora, ano 2026 - Dispensa</t>
  </si>
  <si>
    <t>DL/11291/2026</t>
  </si>
  <si>
    <t>* Licitação Eletrônica * Material para manutenção de bens imóveis * https://pncp.gov.br *</t>
  </si>
  <si>
    <t>Unidade compradora: 228096 - ESTADO DO CEARA - EEFM PROFESSORA MARIA GONÇALVES
Local: Fortaleza/CE
Órgão: ESTADO DO CEARA
Id contratação PNCP: 07954480000179-1-008335/2026
Fonte: Secretaria do Planejamento e Gestão do Ceará
Manutenção e conservação da escola - Dispensa</t>
  </si>
  <si>
    <t>Secretaria Estadual de Educação Básica - EEM TOMÉ GOMES DOS SANTOS</t>
  </si>
  <si>
    <t>Paramoti</t>
  </si>
  <si>
    <t>DL/11825/2026</t>
  </si>
  <si>
    <t>* Licitação Eletrônica * AQUISIÇÃO DE MATERIAL PARA MANUTENÇÃO DE BENS IMÓVEIS * https://pncp.gov.br *</t>
  </si>
  <si>
    <t>Unidade compradora: 228388 - ESTADO DO CEARA - EEM TOMÉ GOMES DOS SANTOS
Local: Paramoti/CE
Órgão: ESTADO DO CEARA
Id contratação PNCP: 07954480000179-1-008326/2026
Fonte: Secretaria do Planejamento e Gestão do Ceará
Visa suprir as necessidades de aquisição de materiais para manutenção regular na estrutura física, e reposição de materiais danificados, prevenindo deteriorações mais graves no ambiente escolar. - Dispensa</t>
  </si>
  <si>
    <t>Secretaria Estadual de Educação Básica - EEEP Sandra Carvalho Costa</t>
  </si>
  <si>
    <t>Jijoca de Jericoacoara</t>
  </si>
  <si>
    <t>DL/9441/2026</t>
  </si>
  <si>
    <t>* Licitação Eletrônica * AQUISIÇÃO DE MATERIAL PARA MANUTENÇÃO DE BENS IMÓVEIS  * https://pncp.gov.br *</t>
  </si>
  <si>
    <t>Unidade compradora: 229219 - ESTADO DO CEARA - EEEP SANDRA CARVALHO COSTA
Local: Jijoca de Jericoacoara/CE
Órgão: ESTADO DO CEARA
Id contratação PNCP: 07954480000179-1-008442/2026
Fonte: Secretaria do Planejamento e Gestão do Ceará
AQUISIÇÃO DE MATERIAL PARA MA MANUTENÇÃO DE BENS IMÓVEIS EM PROL DA EEEP SANDRA CARVALHO - Dispensa</t>
  </si>
  <si>
    <t>Secretaria Estadual de Educação Básica -  EEM Joaquim Josué da Costa (nivel C)</t>
  </si>
  <si>
    <t>Deputado Irapuan Pinheiro</t>
  </si>
  <si>
    <t>DL/11378/2026</t>
  </si>
  <si>
    <t>* Licitação Eletrônica * AQUISIÇÃO DE PROCESSAMENTO DE DADOS.</t>
  </si>
  <si>
    <t>GOVERNO DO ESTADO DO CEARÁ - SEPLAG - Secretaria do Planejamento e Gestão
**  https://s2gpr.sefaz.ce.gov.br/licita-web/paginas/licita/PublicacaoList.seam  ** 
Número da publicação: 2026/11378
Nº Edital - Contratante - Entrega: 20260015 - EEM JOAQUIM JOSUÉ DA COSTA NIVEL C -
Sistemática - Forma de Aquisição: DISPENSA - COTAÇÃO ELETRÔNICA
Gestor Contratante: FRANCISCO CLIUDEILSON PINHEIRO</t>
  </si>
  <si>
    <t>Secretaria Estadual de Educação Básica - EEM Sabino Nunes da Silva</t>
  </si>
  <si>
    <t>São Luís do Curu</t>
  </si>
  <si>
    <t>DL/12863/2026</t>
  </si>
  <si>
    <t>* Licitação Eletrônica * Cotação Eletrônica 0003/2026 - Aquisição de Material de Limpeza e Produção de Higienização. * https://pncp.gov.br *</t>
  </si>
  <si>
    <t>Unidade compradora: 228255 - ESTADO DO CEARA - EEM SABINO NUNES DA SILVA
Local: São Luís do Curu/CE
Órgão: ESTADO DO CEARA
Id contratação PNCP: 07954480000179-1-008426/2026
Fonte: Secretaria do Planejamento e Gestão do Ceará
Aquisição de material de limpeza e higienização para utilizar na limpeza dos espaços da escola, para que seja um ambiente limpo e confortável para atender nossos discentes, docentes e demais integrantes da comunidade escolar. - Dispensa</t>
  </si>
  <si>
    <t>Secretaria Estadual de Educação Básica  - Escola de Ensino Medio Guilherme Correia Lima</t>
  </si>
  <si>
    <t>Quixeramobim</t>
  </si>
  <si>
    <t>DL/12799/2026</t>
  </si>
  <si>
    <t>* Licitação Eletrônica * MATERIAL DE LIMPEZA  * https://pncp.gov.br *</t>
  </si>
  <si>
    <t>Unidade compradora: 228801 - ESTADO DO CEARA - ESCOLA DE ENSINO MEDIO GUILHERME CORREIA LIMA
Local: Quixeramobim/CE
Órgão: ESTADO DO CEARA
Id contratação PNCP: 07954480000179-1-008432/2026
Fonte: Secretaria do Planejamento e Gestão do Ceará
NECESSIDADE ESCOLAR  - Dispensa</t>
  </si>
  <si>
    <t>DL/9434/2026</t>
  </si>
  <si>
    <t>* Licitação Eletrônica * AQUISIÇÃO DE MATERIAL LABORATORIAL  * https://pncp.gov.br *</t>
  </si>
  <si>
    <t>Unidade compradora: 229219 - ESTADO DO CEARA - EEEP SANDRA CARVALHO COSTA
Local: Jijoca de Jericoacoara/CE
Órgão: ESTADO DO CEARA
Id contratação PNCP: 07954480000179-1-008446/2026
Fonte: Secretaria do Planejamento e Gestão do Ceará
AQUISIÇÃO DE MATERIAL LABORATORIAL EM PROL DA EEEP SANDRA CARVALHO COSTA - Dispensa</t>
  </si>
  <si>
    <t>Secretaria Estadual de Educação Básica - E.E.F.M. PRESIDENTE ROOSEVELT</t>
  </si>
  <si>
    <t>DL/12065/2026</t>
  </si>
  <si>
    <t>Unidade compradora: 228022 - ESTADO DO CEARA - EEEP PRESIDENTE ROOSEVELT
Local: Fortaleza/CE
Órgão: ESTADO DO CEARA
Id contratação PNCP: 07954480000179-1-008368/2026
Fonte: Secretaria do Planejamento e Gestão do Ceará
AQUISIÇÃO - MATERIAL DE CONSUMO - FERRAMENTAS - Dispensa</t>
  </si>
  <si>
    <t>Hospital Regional do Sertao Central</t>
  </si>
  <si>
    <t>CP/190316/2026</t>
  </si>
  <si>
    <t>AQUISIÇÃO DE MATERIAIS PARA ATENDER OS SETORES DA CME, LABORATÓRIO, ITEM FRACASSADO EM SOLICITAÇÃO ANTERIOR E REPOSIÇÃO DE ESTOQUE.</t>
  </si>
  <si>
    <t>Eventuais dúvidas poderão ser esclarecidas através do e-mail suprimentosapoio@isgh.org.br, observada a antecedência de 24h antes do término doprazo previsto para o encerramento da Cotação
HOSPITAL REGIONAL DO SERTAO CENTRAL
Data solicitação: 08/04/2026
Categoria: INSUMOS DE MANUTENÇÃO</t>
  </si>
  <si>
    <t xml:space="preserve">HOSPITAL GERAL DR. WALDEMAR ALCÂNTARA	</t>
  </si>
  <si>
    <t>CP/190322/2026</t>
  </si>
  <si>
    <t>REPOSIÇÃO DE ABRAÇADEIRA PARA SERVIÇO DE HOTELARIA DO HGWA.</t>
  </si>
  <si>
    <t>Eventuais dúvidas poderão ser esclarecidas através do e-mail suprimentosapoio@isgh.org.br, observada a antecedência de 24h antes do término doprazo previsto para o encerramento da Cotação
HOSPITAL GERAL DR. WALDEMAR ALCÂNTARA
Data solicitação: 08/04/2026
Categoria: INSUMOS DE MANUTENÇÃO</t>
  </si>
  <si>
    <t>CP/190292/2026</t>
  </si>
  <si>
    <t>AQUISIÇÃO DE CHUVEIRO COM DUCHA PARA REPOSIÇÃO DE ESTOQUE DE MANUTENÇÃO.</t>
  </si>
  <si>
    <t>Eventuais dúvidas poderão ser esclarecidas através do e-mail suprimentos@isgh.org.br, observada a antecedência de 24h antes do término do prazoprevisto para o encerramento da Cotação
ISGH - GOVERNO DO ESTADO DO CEARA
Data solicitação: 08/04/2026
Categoria: INSUMOS DE MANUTENÇÃO</t>
  </si>
  <si>
    <t>MINISTÉRIO DA DEFESA - Comando do Exército - Comando Militar do Planalto - Comando da 11ª Região Militar - 11 Depósito de Suprimento</t>
  </si>
  <si>
    <t>DL/51/2026</t>
  </si>
  <si>
    <t>* Licitação Eletrônica * O objeto será a aquisição de material de consumo higiene, limpeza e descartável para o 11 D Sup * https://pncp.gov.br *</t>
  </si>
  <si>
    <t>Unidade compradora: 160072 - COMANDO DO EXERCITO - 11. DEPOSITO DE SUPRIMENTOS-MEX/DF
Local: Brasília/DF
Órgão: COMANDO DO EXERCITO
Id contratação PNCP: 00394452000103-1-007268/2026
Fonte: Compras.gov.br
 - Dispensa</t>
  </si>
  <si>
    <t>Associação Goiana de Integralização e Reabilitação - AGIR</t>
  </si>
  <si>
    <t>CP/171/2026</t>
  </si>
  <si>
    <t>PA SUA VITORIA/ES - REPOSICAO DE ESTOQUE - MAT ODONTOLOGIA - SC 00171</t>
  </si>
  <si>
    <t>** Esta publicação está sendo informada para os estados ES e GO onde será realizado o objeto da licitação. Informamos que a publicação oficial é do estado de GO. **
Data de Publicação: 08/04/2026
Modalidade: cotação</t>
  </si>
  <si>
    <t>MINISTÉRIO DA EDUCAÇÃO - Subsecretaria de Planejamento e Orçamento - Instituto Federal de Educação, Ciência e Tecnologia do Espírito Santo</t>
  </si>
  <si>
    <t>Ibatiba</t>
  </si>
  <si>
    <t>* Licitação Eletrônica * CONTRATAÇÃO DE SERVIÇO PARA INSTALAÇÃO DE PORTÃO AUTOMOTIZADO NA ENTRADA DO IFES - CAMPUS IBATIBA * https://pncp.gov.br *</t>
  </si>
  <si>
    <t>Unidade compradora: 158428 - INSTITUTO FEDERAL DE EDUCACAO CIENCIA E TECNOLOGIA DO ESPIRITO SANTO - IFES - CAMPUS IBATIBA
Local: Ibatiba/ES
Órgão: INSTITUTO FEDERAL DE EDUCACAO CIENCIA E TECNOLOGIA DO ESPIRITO SANTO
Id contratação PNCP: 10838653000106-1-000176/2026
Fonte: Compras.gov.br
 - Dispensa</t>
  </si>
  <si>
    <t>MINISTERIO DA EDUCACAO - Instituto Federal de Educacao Ciencia e Tecnologia do Espirito Santo - Ifes - Campus Centro Serrano</t>
  </si>
  <si>
    <t>* Licitação Eletrônica * Aquisição de materiais para Enfermaria do Ifes Campus Centro-Serrano, conforme as condições e exigências detalhadas neste Aviso de Contratação Direta e seus anexos. * https://pncp.gov.br *</t>
  </si>
  <si>
    <t>Unidade compradora: 158885 - INSTITUTO FEDERAL DE EDUCACAO CIENCIA E TECNOLOGIA DO ESPIRITO SANTO - IFES - CAMPUS CENTRO SERRANO
Local: Santa Maria de Jetibá/ES
Órgão: INSTITUTO FEDERAL DE EDUCACAO CIENCIA E TECNOLOGIA DO ESPIRITO SANTO
Id contratação PNCP: 10838653000106-1-000177/2026
Fonte: Compras.gov.br
 - Dispensa</t>
  </si>
  <si>
    <t>Câmara Municipal de Formosa</t>
  </si>
  <si>
    <t>Formosa</t>
  </si>
  <si>
    <t>* Licitação Eletrônica * CONTRATAÇÃO DE EMPRESA ESPECIALIZADA EM CONFCÇÃO E INSTALAÇÃO DE CALHAS PARA O PRÉDIO DA CÂMARA MUNICIPAL DE FORMOSA/GO. * https://pncp.gov.br *</t>
  </si>
  <si>
    <t>Unidade compradora: 20 - CAMARA MUNICIPAL DE FORMOSA - CAMARA MUNICIPAL DE FORMOSA
Local: Formosa/GO
Órgão: CAMARA MUNICIPAL DE FORMOSA
Id contratação PNCP: 24855363000177-1-000020/2026
Fonte: Sigep - Sistemas Integrados
 - Dispensa</t>
  </si>
  <si>
    <t>Prefeitura Municipal de Itapaci</t>
  </si>
  <si>
    <t>Itapaci</t>
  </si>
  <si>
    <t>DL/3329/2026</t>
  </si>
  <si>
    <t>* Licitação Eletrônica * CONTRATAÇÃO DE EMPRESA PARA FORNECIMENTO DE PEDRAS DE GRANITO, INCLUSO INSTALAÇÃO, VISANDO ATENDER AS NECESSIDADES DO MUNICÍPIO * https://bllcompras.com *</t>
  </si>
  <si>
    <t>LOCAL: https://bllcompras.com/
Nº PROC. ADM: 3329/2026
 TIPO CONTRATO: AQUISIÇÃO
 INÍCIO REC. PROPOSTA: 09/04/2026 08:00:00
 FIM REC. PROPOSTA: 14/04/2026 08:00:00
 INÍCIO DISPUTA: 14/04/2026 08:30:00
 CIDADE: ITAPACI
 FASE: PUBLICADO
 EXCLUSIVO ME: NÃO
 EXCLUSIVO REGIONAL: NÃO
 MODO DE DISPUTA: ABERTO
 TIPO DE LANCE: MENOR LANCE
 FONE PROMOTOR: 6233611099
 E-MAIL PROMOTOR: licitacao@itapaci.go.gov.br
 CONDUTOR: ANA CARLA MACHADO
 AUTORIDADE: FABIO MARCOS DE OLIVEIRA
 INFORMACÕES ADICIONAIS: 
 VALOR ESTIMADO: R$26.197,31</t>
  </si>
  <si>
    <t>Fundo Municipal de Saúde de Aragoiânia</t>
  </si>
  <si>
    <t>Aragoiânia</t>
  </si>
  <si>
    <t>DL/74/2026</t>
  </si>
  <si>
    <t>Contratação de empresa especializada, para Aquisição de Materiais Para Manutenção Corretiva e Preventiva de Bebedouros, para atender as necessidades das Secretarias Municipais da Prefeitura de Aragoiânia - GO.</t>
  </si>
  <si>
    <t>FUNDO MUNICIPAL DE SAUDE - Aragoiania - GO
Id: 7870
DISPENSA DE LICITAÇÃO
 - Licitação sujeita a confirmação pois não foi informado que trata-se de prorrogação.</t>
  </si>
  <si>
    <t>Fundo Municipal de Meio Ambiente de Padre Bernardo</t>
  </si>
  <si>
    <t>Padre Bernardo</t>
  </si>
  <si>
    <t>DL/2496/2026</t>
  </si>
  <si>
    <t>* Licitação Eletrônica *  serviços de engenharia para elaboração de projetos técnicos básico e executivo, incluindo memoriais descritivos, orçamentos detalhados e cronograma físico-financeiro, destinados à Implantação de melhorias sanitárias domiciliares, com aquisição e instalação de utensílios sanitários lixeiras, para atender ao Convênio nº 949332/2023, celebrado entre o Ministério das Cidades e o Município de Padre Bernardo/GO, com interveniência da Caixa Econômica Federal. * https://pncp.gov.br *</t>
  </si>
  <si>
    <t>Unidade compradora: 29 - FUNDO MUNICIPAL DO MEIO AMBIENTE - FMMA - FUNDO MUNICIPAL DE MEIO AMBIENTE
Local: Padre Bernardo/GO
Órgão: FUNDO MUNICIPAL DO MEIO AMBIENTE - FMMA
Id contratação PNCP: 28736680000125-1-000005/2026
Fonte: Megasoft Informática
 - Dispensa</t>
  </si>
  <si>
    <t>FUNEV – Unidade de Pronto Atendimento Dr. Lineu Gonzaga Jaime</t>
  </si>
  <si>
    <t>CP/7384/2026</t>
  </si>
  <si>
    <t>Aquisição de material para manutenção predial - pedido de cotação nº 7384/2026 - informamos que a cotação estará disponível neste site e na plataforma apoio cotações sob a ID 1498765 e neste site, conforme solicitação em anexo, no período de 08/04/2026 a 15/04/2026, às 23h55.</t>
  </si>
  <si>
    <t>Data publicação: 2026-04-08 03:00:00.000</t>
  </si>
  <si>
    <t>Prefeitura Municipal de Nova Roma</t>
  </si>
  <si>
    <t>Nova Roma</t>
  </si>
  <si>
    <t>Contratação de empresa para o fornecimento de grânulos de borracha termoligada, destinada à manutenção do campo Society do municipio, conforme as especificações técnicas estabelecidas no presente Termo de Referência</t>
  </si>
  <si>
    <t>Detalhes da Licitação: https://acessoainformacao.novaroma.go.gov.br/informacao/licitacao_mg/id=1553
Órgão: PODER EXECUTIVO DE NOVA ROMA</t>
  </si>
  <si>
    <t>Fundo Municipal de Saúde do Município de Iaciara</t>
  </si>
  <si>
    <t>Iaciara</t>
  </si>
  <si>
    <t>* Licitação Eletrônica * CONTRATAÇÃO DE EMPRESA PARA O FORNECIMENTO DE CÂMERAS DE SEGURANÇA, DESTINADAS À VIGILÂNCIA DOS PRÉDIOS DA ATENÇÃO BÁSICA, BEM COMO DE MOTOR PARA PORTÃO DO HOSPITAL MUNICIPAL. * https://pncp.gov.br *</t>
  </si>
  <si>
    <t>Unidade compradora: 5 - MUNICIPIO DE IACIARA - FMS
Local: Iaciara/GO
Órgão: MUNICIPIO DE IACIARA
Id contratação PNCP: 01740448000104-1-000068/2026
Fonte: CENTI
CONTRATAÇÃO DE EMPRESA PARA O FORNECIMENTO DE CÂMERAS DE SEGURANÇA, DESTINADAS À VIGILÂNCIA DOS PRÉDIOS DA ATENÇÃO BÁSICA, BEM COMO DE MOTOR PARA PORTÃO DO HOSPITAL MUNICIPAL, AMBOS VOLTADOS À MELHORIA DA SEGURANÇA PATRIMONIAL, VISANDO ATENDER ÀS NECESSIDADES DA SECRETARIA MUNICIPAL DE SAÚDE DO MUNICÍPIO DE IACIARA/GO. - Dispensa</t>
  </si>
  <si>
    <t>Prefeitura Municipal de Arari</t>
  </si>
  <si>
    <t>* Registro de preços *  Registro de Preços para Contratação de empresa especializada para serviços de perfuração de poços tubulares revestidos, reservação, distribuição e manutenção, afim de atender as demandas do município de ARARI/MA.</t>
  </si>
  <si>
    <t>Unidade compradora: 291 - MUNICIPIO DE ARARI
Local: Arari/MA
Órgão: MUNICIPIO DE ARARI
Id contratação PNCP: 06242846000114-1-000016/2026
Fonte: STARTGOV SOLUCOES EM TECNOLOGIA LTDA
 - Número compra: 06 - Concorrência - Eletrônica
 - Licitação sujeita a confirmação pois não foi informado que trata-se de prorrogação.</t>
  </si>
  <si>
    <t>Prefeitura Municipal de Anajatuba</t>
  </si>
  <si>
    <t>Anajatuba</t>
  </si>
  <si>
    <t>* Licitação Eletrônica * Seleção da proposta apta a gerar o resultado de contratação mais vantajosa visando o fornecimento de equipamentos para instalação/complementação de casas de farinha em Anajatuba/MA * https://pncp.gov.br *</t>
  </si>
  <si>
    <t>Unidade compradora: 87 - MUNICIPIO DE ANAJATUBA - Secretaria Municipal de Administração
Local: Anajatuba/MA
Órgão: MUNICIPIO DE ANAJATUBA
Id contratação PNCP: 06002372000133-1-000034/2026
Fonte: STARTGOV SOLUCOES EM TECNOLOGIA LTDA
 - Dispensa</t>
  </si>
  <si>
    <t>MINISTÉRIO DA DEFESA - Comando da Marinha - Capitânia dos Portos do Maranhão</t>
  </si>
  <si>
    <t>DL/25/2026</t>
  </si>
  <si>
    <t>* Licitação Eletrônica * AQUISIÇÃO DE MATERIAIS COMUNS E PERMANENTES PARA A SEÇÃO DO BALIZAMENTO * https://pncp.gov.br *</t>
  </si>
  <si>
    <t>Unidade compradora: 784320 - COMANDO DA MARINHA - CAPITANIA DOS PORTOS DO ESTADO DO MARANHAO
Local: São Luís/MA
Órgão: COMANDO DA MARINHA
Id contratação PNCP: 00394502000144-1-002597/2026
Fonte: Compras.gov.br
 - Dispensa</t>
  </si>
  <si>
    <t>SM/7004582319</t>
  </si>
  <si>
    <t>* Licitação Eletrônica * Aquisição de Partes de Fornos de Processo, conforme as especificações deste documento e de seus adendos</t>
  </si>
  <si>
    <t>** Esta publicação está sendo informada para os estados MG, PR, SP e RJ onde será realizado o objeto da licitação. Informamos que a publicação oficial é do estado de RJ. **
Regiões: MG PR SP 
Inicio: 2026/04/10 - 17:00:00 Término dos lances: 2026/04/10 17:00:00
 - Licitação sujeita a confirmação pois não foi informado que trata-se de prorrogação.</t>
  </si>
  <si>
    <t>SM/7004579452</t>
  </si>
  <si>
    <t>* Licitação Eletrônica * Aquisição de Feixes Tubulares para Condensador e Permutador de Calor, conforme as especificações deste documento e de seus adendos</t>
  </si>
  <si>
    <t>** Esta publicação está sendo informada para os estados MG, SP e RJ onde será realizado o objeto da licitação. Informamos que a publicação oficial é do estado de RJ. **
Regiões: MG RJ SP 
Inicio: 2026/04/14 - 12:00:00 Término dos lances: 2026/04/14 12:00:00
 - Licitação sujeita a confirmação pois não foi informado que trata-se de prorrogação.</t>
  </si>
  <si>
    <t>SENAI - Serviço Nacional de Aprendizagem Industrial - Departamento Regional de Minas Gerais</t>
  </si>
  <si>
    <t>SM/1254/2026</t>
  </si>
  <si>
    <t xml:space="preserve">Aquisição de válvulas para preparação da sala de ensaios de motores do ISTAUTO - </t>
  </si>
  <si>
    <t>Acesse site https://compras.fiemg.com.br/Portal/Mural.aspx e consulte os detalhes. 
 Em andamento 
 Edital: SDE 2026001254 
 Inicio dos lances: 2026-04-08 11:40:00 Término dos lances: 2026-04-10 11:00:00</t>
  </si>
  <si>
    <t>SM/1257/2026</t>
  </si>
  <si>
    <t>Aquisição insumos para os treinamentos e Instalações Hidráulicas tubo de core, joelho e Tee - Entrega SENAI Praça Dom Bosco, 88A - Bairro do Carmo -  Barbacena - MG - Frete CIF. Pagt. Dep. B. 28.</t>
  </si>
  <si>
    <t>Acesse site https://compras.fiemg.com.br/Portal/Mural.aspx e consulte os detalhes. 
 Em andamento 
 Edital: SDE 2026001257 
 Inicio dos lances: 2026-04-08 11:35:00 Término dos lances: 2026-04-10 12:00:00</t>
  </si>
  <si>
    <t>SM/1288/2026</t>
  </si>
  <si>
    <t>Aquisição de aços para a construção de partes dos skids corpos de prova, necessários  para o desenvolvimento das atividades no projeto REVITE do ISTMM. - SENAI - CIT</t>
  </si>
  <si>
    <t>Acesse site https://compras.fiemg.com.br/Portal/Mural.aspx e consulte os detalhes. 
 Em andamento 
 Edital: SDE 2026001288 
 Inicio dos lances: 2026-04-08 16:41:00 Término dos lances: 2026-04-13 10:00:00</t>
  </si>
  <si>
    <t>SM/1259/2026</t>
  </si>
  <si>
    <t>Aquisição de Ferramentas conforme termo de referência jogo de chave  fenda, maleta, alicate - Entrega SENAI Rua Nossa Senhora da Piedade, s/n - Campestre - Itabira - MG - Frete CIF. Pagt. Dep. B. 28.</t>
  </si>
  <si>
    <t>Acesse site https://compras.fiemg.com.br/Portal/Mural.aspx e consulte os detalhes. 
 Em andamento 
 Edital: SDE 2026001259 
 Inicio dos lances: 2026-04-08 11:40:00 Término dos lances: 2026-04-10 12:00:00</t>
  </si>
  <si>
    <t>FIEMG - Federação das Indústrias do Estado de Minas Gerais</t>
  </si>
  <si>
    <t>SM/1269/2026</t>
  </si>
  <si>
    <t>Aquisição de 06 viscosimetro copo Ford em acho inox - KIT entrega conforme termo de referência em 06 escolas SENAI em MG - Frete CIF. Pagt. Dep. B. 28.</t>
  </si>
  <si>
    <t>Acesse site https://compras.fiemg.com.br/Portal/Mural.aspx e consulte os detalhes. 
 Em andamento 
 Edital: SDE 2026001269 
 Inicio dos lances: 2026-04-08 12:10:00 Término dos lances: 2026-04-10 12:00:00</t>
  </si>
  <si>
    <t>CE/720260405</t>
  </si>
  <si>
    <t>* Licitação eletrônica * CONTRATACAO DE SERVICO ESPECIALIZADO, PARA MANUTENCAO REPARATIVA NA SONDA PERFURATRIZ DE TATUZINHO - GRTO, UNIDADE PERTENCENTE A TEOFILO OTONI-MG.Obs.: GENTILEZA ATENTAR AOS ANEXOS.</t>
  </si>
  <si>
    <t>Prefeitura Municipal de Santa Maria de Itabira</t>
  </si>
  <si>
    <t>Santa Maria de Itabira</t>
  </si>
  <si>
    <t>Contratação de empresa especializada para aquisição de grades de isolamento metálicas, destinadas ao controle de público, isolamento de áreas e organização de fluxos durante eventos temporários, em atendimento a Secretaria Municipal de Cultura, Turismo e Desenvolvimento Econômico. * https://licitar.digital *</t>
  </si>
  <si>
    <t>Id: 96878
Unidade licitante: PREFEITURA MUNICIPAL DE SANTA MARIA DE ITABIRA - Unidade Única
Plataforma: licitardigital</t>
  </si>
  <si>
    <t>CE/720260395</t>
  </si>
  <si>
    <t>* Licitação eletrônica * Materiais de limpeza - Caxambu.</t>
  </si>
  <si>
    <t>SM/1285/2026</t>
  </si>
  <si>
    <t>Aquisição de bandejas para serem utilizadas em porta pallet para colocar na área de recebimento de motores e outros materiais no Instituto SENAI de Tecnologia - SENAI/CIT - BH</t>
  </si>
  <si>
    <t>Acesse site https://compras.fiemg.com.br/Portal/Mural.aspx e consulte os detalhes. 
 Em andamento 
 Edital: SDE 2026001285 
 Inicio dos lances: 2026-04-08 16:00:00 Término dos lances: 2026-04-13 10:00:00</t>
  </si>
  <si>
    <t>SM/1289/2026</t>
  </si>
  <si>
    <t>Aquisição de elementos de máquina TORNOS CNC 808 em atendimento SENAI/Itaúna conforme anexo - FRETE CIF - Rua Lilia Antunes, nº99, Bairro Nogueira Machado - Itaúna/MG, CEP: 35.680-270</t>
  </si>
  <si>
    <t>Acesse site https://compras.fiemg.com.br/Portal/Mural.aspx e consulte os detalhes. 
 Em andamento 
 Edital: SDE 2026001289 
 Inicio dos lances: 2026-04-08 17:00:00 Término dos lances: 2026-04-13 09:00:00</t>
  </si>
  <si>
    <t>SM/1255/2026</t>
  </si>
  <si>
    <t>Aquisição de materiais para aplicação da prova SAEP para as turmas de Energia Renováveis e Mecatrônica inversor, alicate  - Entrega SENAI Rua Dr Luiz Renno, 715 - Av.  Itajubá - MG - Frete CIF. Pagt. Dep. B. 28.</t>
  </si>
  <si>
    <t>Acesse site https://compras.fiemg.com.br/Portal/Mural.aspx e consulte os detalhes. 
 Em andamento 
 Edital: SDE 2026001255 
 Inicio dos lances: 2026-04-08 11:30:00 Término dos lances: 2026-04-10 12:00:00</t>
  </si>
  <si>
    <t>SM/820261581</t>
  </si>
  <si>
    <t xml:space="preserve"> * Licitação Eletrônica * - * Orçamentação Eletrônica * MATERIAL: BOMBONA BRANCA HOMOLOGADA PELO INMETRO;FABRICADO EM: POLIETILENO DE ALTA DENSIDADE - PEAD;APLICACAO: ARMAZENAMENTO E TRANSPORTE DE PRODUTO QUIMICOLIQUIDO;NORMA: DA AGENCIA NACIONAL DE TRANSPORTES TERRESTRES ANTTRESOLUCAO 3.665/11 ARTIGO 10;RESOLUCAO 5.232/16 ITEM 6.1.1.4;CAPACIDADE: 20 LITROS;DIMENSOES APROXIMADAS: 210MM DE DIAMETRO X 350MM DECOMPRIMENTO X 330MM DE ALTURACOM DIAMETRO INTERNO DA BOCA DE 32MM;DADOS COMPLEMENTARES:  TAMPA COM ROSCA E ALCA FIXA NAPARTE SUPERIOR DA ESTRUTURA;PESO APROXIMADO DE 1000G +-5%;O MATERIAL OFERTADO PODERA SER NOVO OU RECONDICIONADO EAPRESENTAR NA ENTREGA, O LAUDO DE DESCONTAMINACAO E ADEQUACAO AS RESOLUCOESESPECIFICADAS;O DOCUMENTO DE HOMOLOGACAO DEVERA SER RASTREAVEL;A BOMBONA DEVERA CONTER AS MARCACOES E DESIGNACOES EMCONFORMIDADE COM A RESOLUCAO 5.232/16JUNTAMENTE COM A PROPOSTA COMERCIAL DEVERA SER APRESENTADOCATALOGO DO FABRICANTE CONTENDO AS CARACTERISTICAS DOMATERIAL OFERTADO DE MODO A SER POSSIVEL A ANALISE DECONFORMIDADE COM ESTA ESPECIFICACAO.CRITERIOS DE ACEITACAO:A BOMBONA DEVERA SER HOMOLOGADA E CONTER AS MARCACOES EMCONFORMIDADE COM A RESOLUCAO 5.232 DA AGENCIA NACIONAL DE TRANSPORTESTERRESTRES ANTT.--------------------------------------------------------------------------------------------------------MATERIAL:        -BOMBONA PRFV 40L SOL. PROD. QUIMICOSAPLICACAO:    -PREPARODE SOLUCOES QUIMICASFABRICADA EM: -PRFV POLIESTER REFORCADO COM FIBRA DE VIDROCAPACIDADE:    40LITROSNORMAS:      -NBS-PS-15/69APLICACAO:    -SOLUCAOSULFATO DE ALUMINIO 40% OU               CLORETOFERRICO 28%, HIPOCLORITO DE SODIO,              SUSPENSAO DE CAL HIDRATADADIMENSOES:    -H:0,50mX LARGURA 0,20m E COMPRIMENTO 0,40mDADOS COMPL:  -DURANTEA INSPECAO DE RECEBIMENTO SERA EFETUADO              INSPECAO VISUAL E DIMENSIONAL, TESTE DE              SENSIDIBILIADE A ACETONA, E DUREZA BARCAL              CONFERENCIA DE NOTAS FISCAIS, ESPECIFICACOES DAS               RESINASUTILIZADAS               A PLACADEVERA CONTER O NOME DO FABRICANTE, RAZAO               SOCIALE ENDERECO              -A PLACADEVERA SER DE MATERIAL RESISTENTE A              INTEMPERIES</t>
  </si>
  <si>
    <t>Instituto de Metrologia e Qualidade do Estado - IPEM</t>
  </si>
  <si>
    <t>Contagem</t>
  </si>
  <si>
    <t>CE/13/2026</t>
  </si>
  <si>
    <t>* Licitação Eletrônica * Manutenção corretiva de motobomba  marca Thebe, modelo THL 18F TRIF, série: 000920986, Rotor 157mm, N 3500 RPM, CV 15.0, Ano 2016.</t>
  </si>
  <si>
    <t>2331032 - GLACO/IPEM
Modo de julgamento: Por item</t>
  </si>
  <si>
    <t>DL/527/2026</t>
  </si>
  <si>
    <t>Produto/Serviço Quant. Unidade
Produto/Serviço: PHmetro de bancada
Descrição: PHmetro de bancada com calibração automática para pH, mV ORP e temperatura. O aprarelho deve atender às seguintes características: 1. Faixa e resolução de medição Faixa de medição de pH: 2,000 a 20,000 pH ou superior Resolução mínima: 0,001 pH Exatidão mínima: 0,002 pH 2. Medição de potencial Faixa de medição ORP: 2000 mV ou superior Resolução: 0,1 mV Exatidão: 0,2 mV ou melhor 3. Compensação de temperatura Compensação automática de temperatura ATC Faixa de temperatura: 0 a 100 C ou superior Resolução mínima: 0,1 C 4. Calibração Calibração automática com reconhecimento de padrões Calibração multiponto mínimo 3 pontos, preferencialmente até 5 pontos Compatível com padrões NIST ou equivalentes Indicação de diagnóstico do eletrodo slope e offset 5. Interface e display Display digital LCD ou colorido de alta resolução Indicação simultânea de pH, temperatura e status de calibração Menu em português ou inglês 6. Conectividade Interface USB ou RS 232 para exportação de dados Possibilidade de conexão com impressora ou computador 7. Registro e rastreabilidade Memória interna para armazenamento de dados Registro de data, hora e parâmetros de calibração 8. Eletrodo Fornecido com eletrodo combinado de pH com sensor de temperatura integrado Conector padrão BNC ou equivalente Cabo mínimo 1 metro 9. Alimentação Alimentação elétrica 100240 V bivolt automático Fonte ou adaptador incluso 10. Acessórios mínimos Suporte para eletrodo Soluções tampão de calibração mínimo pH 4, 7 e 10 Manual de operação Certificado de calibração ou conformidade 11. Garantia Garantia mínima de 12 meses e dispor de assitência técnica especializada no brasil 1 Unidade</t>
  </si>
  <si>
    <t>Contratação direta
As autorizações de fornecimento serão consideradas válidas, somente quando enviadas por e-mail.
A FUNDECC recebe as entregas de segunda a sexta-feira nos horários de 8:00 às 12:00 hs e de 13:00 às 17:00 hs.
-</t>
  </si>
  <si>
    <t>Associação dos Municípios da Microrregião do Médio Rio Grande - AMEG</t>
  </si>
  <si>
    <t>Aquisição de acessórios para equipamentos topográficos GPS GNSS, destinados a atender às demandas da Associação dos Municípios da Microrregião do Médio Rio Grande  AMEG, conforme especificações técnicas, quantidades e condições estabelecidas neste documento, na modalidade DISPENSA ELETRÔNICA, do tipo MENOR PREÇO POR ITEM. * https://ammlicita.org.br *</t>
  </si>
  <si>
    <t>Id: 96467
Unidade licitante: Associação Pública dos Municípios da Microrregião do Médio Rio Grande - Consórcio AMEG - Unidade Única
Plataforma: ammlicita</t>
  </si>
  <si>
    <t>SM/820261595</t>
  </si>
  <si>
    <t>SM/820261590</t>
  </si>
  <si>
    <t>Polícia Militar de Minas Gerais - Coordenadoria de Suprimentos e Aquisição</t>
  </si>
  <si>
    <t>CE/23/2026</t>
  </si>
  <si>
    <t>* Licitação Eletrônica * Aquisição de Refil Filtro Purificador de Água para a Polícia Militar de Minas Gerais.</t>
  </si>
  <si>
    <t>1250071 - CSA-TIC/DTS
Modo de julgamento: Por lote</t>
  </si>
  <si>
    <t>SM/820261584</t>
  </si>
  <si>
    <t>SM/820261598</t>
  </si>
  <si>
    <t xml:space="preserve"> * Licitação Eletrônica * - * Orçamentação Eletrônica * AQUISICAO DE JUNTA DTA FOFO FF CL16 DN 300X 250</t>
  </si>
  <si>
    <t>CE/20260016</t>
  </si>
  <si>
    <t>* Licitação eletrônica * TREPANO DE BOTAO 8"</t>
  </si>
  <si>
    <t>CE/720260350</t>
  </si>
  <si>
    <t>* Licitação eletrônica * AQUISICAO DE PADROES CEMIG PARA 05 LICALIDADES DA REGIAO DE JANUARIA.</t>
  </si>
  <si>
    <t>DL/544/2026</t>
  </si>
  <si>
    <t>Produto/Serviço Quant. Unidade
Produto/Serviço: Antena para GNSS
Descrição: Antena com cabo coaxial de 5 m, padrão RG174: Peso 175 g incluindo o cabo Dimensões 60,0 x 82,0 x 25,5 mm. Conector SMA Montagem Base magnética, opção de instalação fixa. Frequência Banda L1: 1559 1606 MHz Bandas L2/L5/E5/B2/NavIC: 1166 1249 MHz VSWR Máx. 2 Impedância 50 Ohm Ganho de pico sobre plano de terra de 12 cm de diâmetro . Banda L1: Típ. 3,2 dBic Banda L2: Típ. 4,3 dBic Banda L5: Típ. 3,8 dBic Banda E5: Típ. 5,5 dBic Eficiência Banda L1: Típ. 50% Banda L2: Típ. 62% Banda L5: Típ. 50% Banda E5: Típ. 75% Relação axial zenite Banda L1: Típ. 1,0 2,5 dB Bandas L2/L5/E5: Típ. 1,0 2,5 dB. Polarização RHCP 5 Unidade</t>
  </si>
  <si>
    <t>DL/582/2026</t>
  </si>
  <si>
    <t>Produto/Serviço Quant. Unidade
Produto/Serviço: Kit Adaptador Plugue De Tomada
Descrição: 5 Kits contendo 10 unidades de Adaptador Plugue De Tomada Benjamin T 3 Saídas 10a e 20a 250v em cada kit, totalizando 50 unidades 5 Kit</t>
  </si>
  <si>
    <t>CE/20260049</t>
  </si>
  <si>
    <t>* Licitação eletrônica * RESERVATORIO EM FIBRA DE VIDRO /  REFORCADODIAMETRO = 1,5 M  ALTURA = 3,15M  VOLUME = 5.000 LITROS</t>
  </si>
  <si>
    <t xml:space="preserve">www.copasa.com.br link: Licitações e Contratos/Licitação.
 </t>
  </si>
  <si>
    <t>SM/820261594</t>
  </si>
  <si>
    <t>SM/820261589</t>
  </si>
  <si>
    <t xml:space="preserve"> * Licitação Eletrônica * - * Orçamentação Eletrônica * AQUISICAO DE MATERIAIS DIVERESOS</t>
  </si>
  <si>
    <t>Prefeitura Municipal de Elói Mendes</t>
  </si>
  <si>
    <t>* Licitação Eletrônica * AQUISIÇÃO DE MATERIAIS INFLÁVEIS PERSONALIZADOS, COMPREENDENDO TENDA INFLÁVEL 4X4 COM MOTOR INCLUSO, BALÃO INFLÁVEL MODELO ROOF TOP COM APROXIMADAMENTE 3 METROS DE ALTURA, EQUIPADO COM MOTOR E SISTEMA DE ILUMINAÇÃO INTERNA, PORTAL INFLÁVEL MEDINDO APROXIMADAMENTE 6X4 METROS COM MOTOR INCLUSO, E WIND BANNERS DE APROXIMADAMENTE 3 METROS DE ALTURA, DESTINADOS À ESTRUTURAÇÃO E PADRONIZAÇÃO VISUAL DOS EVENTOS ESPORTIVOS PROMOVIDOS PELA SECRETARIA MUNICIPAL DE ESPORTES. * https://pncp.gov.br *</t>
  </si>
  <si>
    <t>Unidade compradora: 02.04.00 - MUNICIPIO DE ELOI MENDES - SECRETARIA DE ADMINISTRACAO
Local: Elói Mendes/MG
Órgão: MUNICIPIO DE ELOI MENDES
Id contratação PNCP: 20347225000126-1-000050/2026
Fonte: Diretriz informatica eireli
A SECRETARIA MUNICIPAL DE ESPORTES PROMOVE, AO LONGO DO CALENDÁRIO ANUAL, DIVERSOS EVENTOS ESPORTIVOS DE ÂMBITO MUNICIPAL E REGIONAL, OS QUAIS DEMANDAM ESTRUTURA ADEQUADA, ORGANIZAÇÃO ESPACIAL EFICIENTE E PADRONIZAÇÃO VISUAL COMPATÍVEL COM O PORTE E A RELEVÂNCIA DAS COMPETIÇÕES REALIZADAS.
ATUALMENTE, VERIFICA-SE A NECESSIDADE DE AQUISIÇÃO DE MATERIAIS INFLÁVEIS PERSONALIZADOS, TENDA INFLÁVEL 4X4 COM MOTOR INCLUSO, BALÃO INFLÁVEL MODELO ROOF TOP DE APROXIMADAMENTE 3 METROS COM ILUMINAÇÃO INTERNA, PORTAL INFLÁVEL 6X4 COM MOTOR INCLUSO E WIND BANNER DE APROXIMADAMENTE 3 METROS, A FIM DE ESTRUTURAR E QUALIFICAR VISUALMENTE OS EVENTOS PROMOVIDOS PELO MUNICÍPIO.
A UTILIZAÇÃO DESSES MATERIAIS PERMITIRÁ:
•	MELHOR ORGANIZAÇÃO DAS ÁREAS DE LARGADA, CHEGADA, RECEPÇÃO, PREMIAÇÃO E ESPAÇOS INSTITUCIONAIS;
•	PADRONIZAÇÃO E FORTALECIMENTO DA IDENTIDADE VISUAL DA SECRETARIA MUNICIPAL DE ESPORTES E DO MUNICÍPIO;
•	MAIOR VISIBILIDADE INSTITUCIONAL DAS AÇÕES PÚBLICAS DESENVOLVIDAS;
•	VALORIZAÇÃO DE ATLETAS, EQUIPES E PÚBLICO PARTICIPANTE;
•	ELEVAÇÃO DO PADRÃO ESTRUTURAL E PROFISSIONAL DOS EVENTOS ESPORTIVOS.
RESSALTA-SE QUE OS REFERIDOS MATERIAIS CONSTITUEM INVESTIMENTO EM ESTRUTURA PERMANENTE, COM POSSIBILIDADE DE UTILIZAÇÃO CONTÍNUA EM MÚLTIPLOS EVENTOS AO LONGO DOS EXERCÍCIOS, PROMOVENDO ECONOMICIDADE, OTIMIZAÇÃO DE RECURSOS PÚBLICOS E REDUÇÃO DE CUSTOS COM LOCAÇÕES RECORRENTES.
CONFORME DOCUMENTOS INICIAIS. - Dispensa</t>
  </si>
  <si>
    <t>Instituto Estadual de Florestas</t>
  </si>
  <si>
    <t>CE/5/2026</t>
  </si>
  <si>
    <t>* Licitação eletrônica * Diversos - Materiais permanentes - Motobombas, GPS, Caixa Acústica, Tendas, Persianas ... * https://pncp.gov.br *</t>
  </si>
  <si>
    <t>Unidade compradora: 2101028 - INSTITUTO ESTADUAL DE FLORESTAS - URFBIO/CS/BARBACENA
Local: Barbacena/MG
Órgão: INSTITUTO ESTADUAL DE FLORESTAS
Id contratação PNCP: 18746164000128-1-000030/2026
Fonte: Portal de Compras do Estado de Minas Gerais
 - Dispensa
 - Licitação sujeita a confirmação pois não foi informado que trata-se de prorrogação.</t>
  </si>
  <si>
    <t>SM/820261583</t>
  </si>
  <si>
    <t>SM/820261577</t>
  </si>
  <si>
    <t>MINISTÉRIO DA DEFESA - EXÉRCITO BRASILEIRO - 2º Batalhão Ferroviário Batalhão Mauá</t>
  </si>
  <si>
    <t>Araguari</t>
  </si>
  <si>
    <t>* Licitação Eletrônica * Serviço de Confecção de Placas de Homenagem. Placas, chapas, fitas e laminados finos de ferro e de aço * https://pncp.gov.br *</t>
  </si>
  <si>
    <t>Unidade compradora: 160106 - COMANDO DO EXERCITO - 2 BATALHAO FERROVIáRIO
Local: Araguari/MG
Órgão: COMANDO DO EXERCITO
Id contratação PNCP: 00394452000103-1-007296/2026
Fonte: Compras.gov.br
 - Dispensa</t>
  </si>
  <si>
    <t>MINISTÉRIO DA EDUCAÇÃO - Universidade Federal de Alfenas - UNIFAL</t>
  </si>
  <si>
    <t>Alfenas</t>
  </si>
  <si>
    <t>* Licitação Eletrônica * Contração de serviço de reparo/manutenção no inversor Fronius Symo 15.0-3 208, SIGE n 149523, com fornecimento de peças, conforme solicitação da Coordenadoria de Projetos e Obras - CPO/PROPLAN e Diretoria do campus de Poços de Caldas, da Universidade Federal de Alfenas - UNIFAL-MG, conforme especificações e exigências constantes do Termo de Referência e no Aviso de Dispensa de Licitação Eletrônica. * https://pncp.gov.br *</t>
  </si>
  <si>
    <t>Unidade compradora: 153028 - UNIVERSIDADE FEDERAL DE ALFENAS - UNIFAL-MG - UNIVERSIDADE FEDERAL DE ALFENAS
Local: Alfenas/MG
Órgão: UNIVERSIDADE FEDERAL DE ALFENAS - UNIFAL-MG
Id contratação PNCP: 17879859000115-1-000030/2026
Fonte: Compras.gov.br
 - Dispensa</t>
  </si>
  <si>
    <t>Câmara Municipal de Padre Paraíso</t>
  </si>
  <si>
    <t>Padre Paraíso</t>
  </si>
  <si>
    <t>AQUISIÇÃO PARCELADA DE GÊNEROS ALIMENTÍCIOS, MATERIAIS DE LIMPEZA E UTENSÍLIOS DOMÉSTICOS DIVERSOS PARA A NECESSIDADE DIÁRIA DA CÂMARA MUNICIPAL DE PADRE PARAÍSO/MG * https://licitar.digital *</t>
  </si>
  <si>
    <t>Id: 96771
Unidade licitante: Câmara Municipal de Padre Paraíso - Unidade Única
Plataforma: licitardigital</t>
  </si>
  <si>
    <t>Câmara Municipal de Jaíba</t>
  </si>
  <si>
    <t>Jaíba</t>
  </si>
  <si>
    <t>EVENTUAL E FUTURA AQUISIÇÃO DE MATERIAIS DE HIGIENIZAÇÃO, DESCARTÁVEIS E UTENSÍLIOS DE COPACOZINHA PARA SUPRIR AS NECESSIDADES DA CÂMARA MUNICIPAL DE JAÍBAMG. * https://licitar.digital *</t>
  </si>
  <si>
    <t>Id: 96611
Unidade licitante: CÂMARA MUNICIPAL DE JAÍBA - Unidade Única
Plataforma: licitardigital</t>
  </si>
  <si>
    <t>SM/1253/2026</t>
  </si>
  <si>
    <t>Aquisição de insumos para composição do laboratório de eletrônica resistor, diodo, capacitor, regulador e diversos - Entrega SENAI Rua Sinval Florencio da Silva,2 - Centro - Muriaé - MG - Frete CIF. Pagt. Dep. B. 28.</t>
  </si>
  <si>
    <t>Acesse site https://compras.fiemg.com.br/Portal/Mural.aspx e consulte os detalhes. 
 Em andamento 
 Edital: SDE 2026001253 
 Inicio dos lances: 2026-04-08 11:30:00 Término dos lances: 2026-04-10 12:00:00</t>
  </si>
  <si>
    <t>Fundação Universidade do Estado de Mato Grosso - Campus Universitário Sinop</t>
  </si>
  <si>
    <t>Sinop</t>
  </si>
  <si>
    <t>SNP- AQUISIÇÃO DE MATERIAL DE MANUTENÇÃO DAS INSTALAÇÕES PREDIAIS E ÁREAS EXTERNAS Site: www.sad.mt.gov.br</t>
  </si>
  <si>
    <t>.</t>
  </si>
  <si>
    <t>Prefeitura Municipal de Garrafão do Norte</t>
  </si>
  <si>
    <t>Garrafão do Norte</t>
  </si>
  <si>
    <t>DL/7.2026.300301</t>
  </si>
  <si>
    <t>AQUISIÇÃO DE GRELHAS DE BUEIRO GRADES DE ESCOAMENTO, DESTINADAS À MANUTENÇÃO, RECUPERAÇÃO E AMPLIAÇÃO DA REDE DE DRENAGEM PLUVIAL DAS VIAS PÚBLICAS DA ZONA URBANA E DISTRITOS DO MUNICÍPIO DE GARRAFÃO DO NORTE -PA Referência à base legal: ART. Nº 75, INCISO II, § 3, da Lei 14.133/2021</t>
  </si>
  <si>
    <t>AVISO DE LICITAÇÃO
Nº da Licitação: Nº 7.2026-300301
Município/Órgão: GARRAFÃO DO NORTE-PA. Modalidade:
DISPENSA DE LICITAÇÃO Objeto: AQUISIÇÃO DE GRELHAS DE
BUEIRO GRADES DE ESCOAMENTO, DESTINADAS À
MANUTENÇÃO, RECUPERAÇÃO E AMPLIAÇÃO DA REDE DE
DRENAGEM PLUVIAL DAS VIAS PÚBLICAS DA ZONA URBANA E
DISTRITOS DO MUNICÍPIO DE GARRAFÃO DO NORTE -PA
Referência à base legal: ART. Nº 75, INCISO II, § 3, da Lei
14.133/2021 Data, hora e local da sessão pública: 13/04/2026 -
10:00HS. cpl.pmgn@gmail.com.
EDSON LOPES TORRES
Agente de Contratação-Pregoeiro</t>
  </si>
  <si>
    <t>Secretaria de Estado de Saúde Pública - 9º Centro Regional de Saúde</t>
  </si>
  <si>
    <t>* Licitação Eletrônica * Contratação de Empresa especializada para aquisição de MATERIAL DE CONSUMO INSUMOS, que visa o atendimento da demanda em favor do paciente, oriundo de liminar judicial * https://pncp.gov.br *</t>
  </si>
  <si>
    <t>Unidade compradora: 18 - SECRETARIA DE ESTADO DE SAUDE PUBLICA - 9 CRS/SESPA - 9 CENTRO REGIONAL DE SAÚDE
Local: Santarém/PA
Órgão: SECRETARIA DE ESTADO DE SAUDE PUBLICA
Id contratação PNCP: 05054929000117-1-000134/2026
Fonte: Compras Pará
 - Dispensa</t>
  </si>
  <si>
    <t>Comando da Marinha - Navio Hidrografico Balizador Tenente Castelo</t>
  </si>
  <si>
    <t>* Licitação Eletrônica * Aquisição de buchas destinadas à manutenção dos lemes do Navio Hidrográfico Balizador Tenente 
Castelo.  * https://pncp.gov.br *</t>
  </si>
  <si>
    <t>Unidade compradora: 784514 - COMANDO DA MARINHA - NAVIO HIDROGRAFICO BALIZADOR TENENTE CASTELO
Local: Belém/PA
Órgão: COMANDO DA MARINHA
Id contratação PNCP: 00394502000144-1-002602/2026
Fonte: Compras.gov.br
 - Dispensa</t>
  </si>
  <si>
    <t>Secretaria de Estado de Saúde Pública - Laboratório Central do Estado</t>
  </si>
  <si>
    <t>* Licitação Eletrônica * Aquisição de Termômetro digital.</t>
  </si>
  <si>
    <t>Dispensa</t>
  </si>
  <si>
    <t>Prefeitura Municipal de Ipojuca</t>
  </si>
  <si>
    <t>Ipojuca</t>
  </si>
  <si>
    <t>Contratação emergencial de empresa especializada na área de engenharia para a execução dos serviços de manutenção da infraestrutura viária urbana e rural e dos sistemas de macro e microdrenagem do Município de Ipojuca/PE, compreendendo, dentre outros, serviços de recuperação e recomposição de pavimentação, operação tapa-buracos, patrolamento de vias, limpeza e desobstrução de dispositivos de drenagem, desassoreamento de canais e galerias e execução de reparos emergenciais, conforme condições estabelecidas no Termo de Referência.</t>
  </si>
  <si>
    <t>** Confirmar prazo na Unidade Licitante, pois não foi informado pela Fonte Oficial ** 
PROCESSO ADMINISTRATIVO Nº 101/2026
PROCESSO LICITATÓRIO Nº 101/2026
DISPENSA EMERGENCIAL Nº 020/2026
AVISO DE DISPENSA EMERGENCIAL
O MUNICÍPIO DE IPOJUCA/PE, por intermédio da Secretaria de
Infraestrutura e Obras, no uso de suas atribuições legais, torna
público, para conhecimento dos interessados, que realizará Dispensa
Emergencial, com fundamento no art. 75, inciso VIII, c/c art. 75, §6º,
da Lei nº 14.133/2021, objetivando a contratação descrita a seguir:
1. OBJETO
Contratação emergencial de empresa especializada na área de
engenharia para a execução dos serviços de manutenção da
infraestrutura viária urbana e rural e dos sistemas de macro e
microdrenagem do Município de Ipojuca/PE, compreendendo, dentre
outros, serviços de recuperação e recomposição de pavimentação,
operação tapa-buracos, patrolamento de vias, limpeza e desobstrução
de dispositivos de drenagem, desassoreamento de canais e galerias e
execução de reparos emergenciais, conforme condições estabelecidas
no Termo de Referência.
Em observância ao disposto no art. 75, §3º, da Lei nº 14.133/2021,
eventuais interessados poderão apresentar manifestação de interesse
ou propostas adicionais, no prazo de 03 três dias úteis, contados da
publicação deste o aviso, por meio de envio ao endereço eletrônico
andre.felix@ipojuca.pe.gov.br ou mediante entrega presencial na sede
da Secretaria de Infraestrutura e Obras, no horário de expediente,
08:00 às 14:00.</t>
  </si>
  <si>
    <t>Prefeitura Municipal de Surubim</t>
  </si>
  <si>
    <t>Surubim</t>
  </si>
  <si>
    <t>* Licitação Eletrônica * Contratação de empresa objetivando o fornecimento de calhas e rufos para atender as necessidades da Prefeitura Municipal de Surubim-PE * https://pncp.gov.br *</t>
  </si>
  <si>
    <t>Unidade compradora: 01 - MUNICIPIO DE SURUBIM - Prefeitura Municipal de Surubim
Local: Surubim/PE
Órgão: MUNICIPIO DE SURUBIM
Id contratação PNCP: 11361862000166-1-000049/2026
Fonte: Elmar Tecnologia
 - Dispensa</t>
  </si>
  <si>
    <t>DL/105/2026</t>
  </si>
  <si>
    <t>* Licitação Eletrônica * CONTRATAÇÃO DE EMPRESA ESPECIALIZADA NO SERVIÇO CONTINUADO DE MANUTENÇÃO PREVENTIVA E CORRETIVA DO SISTEMA DE POÇO ARTESIANO * https://pncp.gov.br *</t>
  </si>
  <si>
    <t>Unidade compradora: 8332 - FUNDACAO UNIVERSIDADE DE PERNAMBUCO - UNID SETORIAL ADM E FINANCEIRA PROCAPE
Local: Recife/PE
Órgão: FUNDACAO UNIVERSIDADE DE PERNAMBUCO
Id contratação PNCP: 11022597001597-1-000093/2026
Fonte: Secretaria de Administração do Estado de Pernambuco
 - Dispensa</t>
  </si>
  <si>
    <t>Prefeitura Municipal de Vila Nova do Piaui</t>
  </si>
  <si>
    <t>Vila Nova do Piauí</t>
  </si>
  <si>
    <t>Contratação de empresa especializada para elaboração de projeto executivo para construção de passagem molhada no município de Vila Nova do Piauí/PI, referente ao Convênio n° 983999/2025, Proposta nº 061067/2025, celebrado entre a Prefeitura de Vila... * www.portaldecompraspublicas.com.br *</t>
  </si>
  <si>
    <t>Órgão: MUNICÍPIO DE VILA NOVA DO PIAUÍ - Prefeitura Municipal de Vila Nova do Piauí - PI
				Processo: 010/2026
				Edital: 025/2026
				Modalidade: Dispensa
				Início de envio das propostas: 08-04-2026 ás 23:00
				Término de envio das propostas: 13/04/2026 ás 13:00		
				Início dos lances: 14/04/2026 ás 09:00</t>
  </si>
  <si>
    <t>MINISTÉRIO DA DEFESA - Comando do Exército - Comando Militar do Sul - 5ª Região Militar/5ª Divisão de Exército - 5ªBrigada de Infantaria Blindada</t>
  </si>
  <si>
    <t>* Licitação Eletrônica * Proposta mais vantajosa para a contratação, por dispensa de licitação, para aquisição de materiais permanentes, conforme Termo de Referência 26/2026 para o Esquadrão de Comando da 5ª Brigada de Cavalaria Blindada, * https://pncp.gov.br *</t>
  </si>
  <si>
    <t>Unidade compradora: 160233 - COMANDO DO EXERCITO - 5ª BRIGADA DE CAVALARIA BLINDADA
Local: Ponta Grossa/PR
Órgão: COMANDO DO EXERCITO
Id contratação PNCP: 00394452000103-1-007244/2026
Fonte: Compras.gov.br
Sr Fornecedor, favor atentar a descrição dos item no Termo de Referência. - Dispensa</t>
  </si>
  <si>
    <t>Hospital Darcy Vargas</t>
  </si>
  <si>
    <t>Rebouças</t>
  </si>
  <si>
    <t>CP/1/2026</t>
  </si>
  <si>
    <t>* Portal SICONV *  Aquisição de materiais, equipamentos e/ou serviços.</t>
  </si>
  <si>
    <t xml:space="preserve">Código do Instrumento 988845
Número da Cotação Prévia 0001/2026
Situação Em Andamento
Data Início Disponibilização 09/04/2026
Data Início Recebimento 09/04/2026
Data Fim Recebimento 30/04/2026
E-mail para envio da Proposta compras@hospitaldarcyvargas.com.br
Endereço para envio da Proposta RUA ARMANDO COSTA, 619 - CENTRO - REBOUÇAS -PR CEP:84550-510.
Município e UF de Envio REBOUÇAS - PR
Prazo de entrega 45
Endereço para Entrega do material/serviço RUA ARMANDO COSTA, 619 - CENTRO - REBOUÇAS -PR CEP:84550-510.
Município e UF de Entrega REBOUÇAS - PR
 </t>
  </si>
  <si>
    <t>* Licitação Eletrônica * Aquisição de máquinas  e equipamentos diversos para realização da manutenção em diversas áreas e instalações  Comando  da  5ª  Brigada  de  Cavalaria  Blindada * https://pncp.gov.br *</t>
  </si>
  <si>
    <t>Unidade compradora: 160233 - COMANDO DO EXERCITO - 5ª BRIGADA DE CAVALARIA BLINDADA
Local: Ponta Grossa/PR
Órgão: COMANDO DO EXERCITO
Id contratação PNCP: 00394452000103-1-007234/2026
Fonte: Compras.gov.br
Sr fornecedor, favor atentar a descrição do Termo de Referência, o CATMAT é apenas para inclusão no sistema. - Dispensa</t>
  </si>
  <si>
    <t>* Licitação Eletrônica * Contratação de empresa especializada para o fornecimento de materiais e execução de serviços de engenharia/manutenção, compreendendo infraestrutura externa, vidraçaria e coberturas metálicas * https://pncp.gov.br *</t>
  </si>
  <si>
    <t>Unidade compradora: 1 - SAO JORGE D'OESTE CAMARA MUNICIPAL DE VEREADORES - Camara Municipal
Local: São Jorge d'Oeste/PR
Órgão: SAO JORGE D'OESTE CAMARA MUNICIPAL DE VEREADORES
Id contratação PNCP: 02232834000158-1-000004/2026
Fonte: Equiplano Sistemas LTDA / Equiplano Sistemas 
Inexistente - Dispensa
 - Licitação sujeita a confirmação pois não foi informado que trata-se de prorrogação.</t>
  </si>
  <si>
    <t>SM/7004575678</t>
  </si>
  <si>
    <t>* Licitação Eletrônica * Aquisição de Mangueira</t>
  </si>
  <si>
    <t>Regiões: RJ 
Inicio: 2026/04/13 - 12:00:00 Término dos lances: 2026/04/13 12:00:00
 - Licitação sujeita a confirmação pois não foi informado que trata-se de prorrogação.</t>
  </si>
  <si>
    <t>SM/7004576447</t>
  </si>
  <si>
    <t xml:space="preserve">* Licitação Eletrônica * Carvão Ativo e Carvão Betuminoso </t>
  </si>
  <si>
    <t>Regiões: RJ 
Inicio: 2026/04/10 - 17:00:00 Término dos lances: 2026/04/10 17:00:00
 - Licitação sujeita a confirmação pois não foi informado que trata-se de prorrogação.</t>
  </si>
  <si>
    <t>Ministério da Defesa - Comando da Marinha - Centro de Intendência da Marinha em Niterói</t>
  </si>
  <si>
    <t>DL/72/2026</t>
  </si>
  <si>
    <t>* Licitação Eletrônica * Contratação serviços de engenharia, para fabricação de mangotes e mangueiras feitos sob medida * https://pncp.gov.br *</t>
  </si>
  <si>
    <t>Unidade compradora: 791010 - COMANDO DA MARINHA - CENTRO DE INTENDENCIA DA MARINHA NITEROI
Local: Niterói/RJ
Órgão: COMANDO DA MARINHA
Id contratação PNCP: 00394502000144-1-002590/2026
Fonte: Compras.gov.br
 - Dispensa</t>
  </si>
  <si>
    <t>SM/7004577790</t>
  </si>
  <si>
    <t>* Licitação Eletrônica * Aquisição de Partes de Tanque de Armazenamento, conforme as especificações deste documento e de seus adendos.</t>
  </si>
  <si>
    <t>** Esta publicação está sendo informada para os estados RS, SP e RJ onde será realizado o objeto da licitação. Informamos que a publicação oficial é do estado de RJ. **
Regiões: RJ RS SP 
Inicio: 2026/04/14 - 20:00:00 Término dos lances: 2026/04/14 20:00:00
 - Licitação sujeita a confirmação pois não foi informado que trata-se de prorrogação.</t>
  </si>
  <si>
    <t>SM/7004581569</t>
  </si>
  <si>
    <t>* Licitação Eletrônica * Aquisição de Modulo de ventilação e modulo trocador, conforme as especificações deste documento e de seus adendos.</t>
  </si>
  <si>
    <t>** Esta publicação está sendo informada para os estados SP e RJ onde será realizado o objeto da licitação. Informamos que a publicação oficial é do estado de RJ. **
Regiões: SP 
Inicio: 2026/04/10 - 17:00:00 Término dos lances: 2026/04/10 17:00:00
 - Licitação sujeita a confirmação pois não foi informado que trata-se de prorrogação.</t>
  </si>
  <si>
    <t>SM/7004583807</t>
  </si>
  <si>
    <t>* Licitação Eletrônica * Aquisição de Vaso de Pressão Vertical Separador de Condensado Gás Combustível, conforme as especificações deste documento e de seus adendos.</t>
  </si>
  <si>
    <t>** Esta publicação está sendo informada para os estados SP e RJ onde será realizado o objeto da licitação. Informamos que a publicação oficial é do estado de RJ. **
Regiões: SP 
Inicio: 2026/04/13 - 12:00:00 Término dos lances: 2026/04/13 12:00:00
 - Licitação sujeita a confirmação pois não foi informado que trata-se de prorrogação.</t>
  </si>
  <si>
    <t>SM/7004582659</t>
  </si>
  <si>
    <t>* Licitação Eletrônica * Aquisição de Balão acumulador</t>
  </si>
  <si>
    <t>SM/7004582655</t>
  </si>
  <si>
    <t>* Licitação Eletrônica * Aquisição de Sistema de aquecimento por traço elétrico, conforme as especificações deste documento e de seus adendos</t>
  </si>
  <si>
    <t>** Esta publicação está sendo informada para os estados RS e RJ onde será realizado o objeto da licitação. Informamos que a publicação oficial é do estado de RJ. **
Regiões: RS 
Inicio: 2026/04/10 - 17:00:00 Término dos lances: 2026/04/10 17:00:00
 - Licitação sujeita a confirmação pois não foi informado que trata-se de prorrogação.</t>
  </si>
  <si>
    <t>SM/7004581513</t>
  </si>
  <si>
    <t>* Licitação Eletrônica * Aquisição de Sistema de intercomunicação industrial, conforme as especificações deste documento e de seus adendos.</t>
  </si>
  <si>
    <t>Regiões: RJ 
Inicio: 2026/04/10 - 20:00:00 Término dos lances: 2026/04/10 20:00:00
 - Licitação sujeita a confirmação pois não foi informado que trata-se de prorrogação.</t>
  </si>
  <si>
    <t>SM/7004581320</t>
  </si>
  <si>
    <t>* Licitação Eletrônica * Aquisição de Multiplicadores e redutores de velocidade, conforme as especificações deste documento e de seus adendos.</t>
  </si>
  <si>
    <t>** Esta publicação está sendo informada para os estados SP e RJ onde será realizado o objeto da licitação. Informamos que a publicação oficial é do estado de RJ. **
Regiões: RJ SP 
Inicio: 2026/04/10 - 17:00:00 Término dos lances: 2026/04/10 17:00:00
 - Licitação sujeita a confirmação pois não foi informado que trata-se de prorrogação.</t>
  </si>
  <si>
    <t>DL/69/2026</t>
  </si>
  <si>
    <t>* Licitação Eletrônica * Aquisição de válvulas e acessórios para abastecimento de Navios * https://pncp.gov.br *</t>
  </si>
  <si>
    <t>Unidade compradora: 791010 - COMANDO DA MARINHA - CENTRO DE INTENDENCIA DA MARINHA NITEROI
Local: Niterói/RJ
Órgão: COMANDO DA MARINHA
Id contratação PNCP: 00394502000144-1-002588/2026
Fonte: Compras.gov.br
 - Dispensa</t>
  </si>
  <si>
    <t>AQUISICAO DE CONSUMIVEIS  PARA USO EM LABORATORIO PARA ATENDIMENTO AO SENAI ISI EM BIOSSINTETICOS E FIBRAS. https://portaldecompras.firjan.com.br/Portal/Mural.aspx</t>
  </si>
  <si>
    <t>Acesse site https://portaldecompras.firjan.com.br/Portal/Mural.aspx e consulte os detalhes. 
Recebimento de lances
 Edital: 000394
 Inicio dos lances: 08/04/2026 17:00:00 Término dos lances: 13/04/2026 16:00:00</t>
  </si>
  <si>
    <t>UERJ - Fundação Universidade do Rio de Janeiro</t>
  </si>
  <si>
    <t>* licitação eletrônica * EQUIPAMENTOS DE SEGURANÇA ETC* www.compras.rj.gov.br *</t>
  </si>
  <si>
    <t>Data/Hora Limite de Apresentação de Propostas: 13/04/2026 08:59:00
 - Licitação sujeita a confirmação pois não foi informado que trata-se de prorrogação.</t>
  </si>
  <si>
    <t>* licitação eletrônica * AQUISIÇÃO DE MATERIAL DE CONSUMO* www.compras.rj.gov.br *</t>
  </si>
  <si>
    <t>Data/Hora Limite de Apresentação de Propostas: 10/04/2026 17:00:00
 - Licitação sujeita a confirmação pois não foi informado que trata-se de prorrogação.</t>
  </si>
  <si>
    <t>SENAI - Serviço Nacional de Aprendizagem Industrial - SENAI Barra do Piraí</t>
  </si>
  <si>
    <t>SM/1027/2026</t>
  </si>
  <si>
    <t>AQUISICAO DE PORTA, CAIXONETE, RODAMEIO E RODAPE PARA ATENDER A UNIDADE SENAI BARRA DO PIRAI https://portaldecompras.firjan.com.br/Portal/Mural.aspx</t>
  </si>
  <si>
    <t>Acesse site https://portaldecompras.firjan.com.br/Portal/Mural.aspx e consulte os detalhes. 
Em andamento
 Edital: SS 01027/2026
 Inicio dos lances: 08/04/2026 13:50:00 Término dos lances: 10/04/2026 16:00:00</t>
  </si>
  <si>
    <t>Administracao Central</t>
  </si>
  <si>
    <t>* Licitação Eletrônica * Aquisição de material para instalação de Sistema de Segurança para o Centro de Capacitação Profissional Jaime Lisandro Pacheco CCP. * https://pncp.gov.br *</t>
  </si>
  <si>
    <t>Unidade compradora: 404310 - ESTADO DO RIO DE JANEIRO - ADMINISTRACAO CENTRAL
Local: Rio de Janeiro/RJ
Órgão: ESTADO DO RIO DE JANEIRO
Id contratação PNCP: 42498600000171-1-001501/2026
Fonte: Portal de Compras Públicas do Estado do Rio de Janeiro
https://www.compras.rj.gov.br/EditaisLicitacoes/detalhar.action?idLic=36453 - Dispensa
 - Licitação sujeita a confirmação pois não foi informado que trata-se de prorrogação.</t>
  </si>
  <si>
    <t>SESC - Serviço Social do Comércio - Departamento Regional - FLAMENGO</t>
  </si>
  <si>
    <t>Contratação de Pessoa Jurídica para Aquisição de Equipamentos para Atendimento a Complementação do Rider Técnico do SESC Ginástico https://egov.paradigmabs.com.br/SESCRJ/portal/Mural.aspx?nNmTela=E</t>
  </si>
  <si>
    <t>MINISTÉRIO DA DEFESA - Comando da Marinha - Centro de Manutenção de Sistemas da Marinha</t>
  </si>
  <si>
    <t>DL/65/2026</t>
  </si>
  <si>
    <t>* Licitação Eletrônica * O objeto da presente dispensa é a escolha da proposta mais vantajosa para a aquisição, por dispensa de licitação, de Materiais para Manutenção Elétrica, conforme condições, quantidades e exigências estabelecidas neste Aviso de Contratação Direta e seus anexos. * https://pncp.gov.br *</t>
  </si>
  <si>
    <t>Unidade compradora: 744021 - COMANDO DA MARINHA - CENTRO DE MANUTENÇÃO DE SISTEMA DA MARINHA
Local: Rio de Janeiro/RJ
Órgão: COMANDO DA MARINHA
Id contratação PNCP: 00394502000144-1-002570/2026
Fonte: Compras.gov.br
 - Dispensa</t>
  </si>
  <si>
    <t>SM/1029/2026</t>
  </si>
  <si>
    <t>AQUISICAO DE DIVERSOS MATERIAIS PARA A MANUTENCAO DOS EQUIPAMENTOS DE REFRIGERACAO DE AR PARA O SENAI REGIAO DOS LAGOS. https://portaldecompras.firjan.com.br/Portal/Mural.aspx</t>
  </si>
  <si>
    <t>SM/7004576064</t>
  </si>
  <si>
    <t>* Licitação Eletrônica * Pre Aquecedores REPLAN</t>
  </si>
  <si>
    <t>** Esta publicação está sendo informada para os estados SP e RJ onde será realizado o objeto da licitação. Informamos que a publicação oficial é do estado de RJ. **
Regiões: SP 
Inicio: 2026/04/14 - 17:00:00 Término dos lances: 2026/04/14 17:00:00
 - Licitação sujeita a confirmação pois não foi informado que trata-se de prorrogação.</t>
  </si>
  <si>
    <t>SM/7004576335</t>
  </si>
  <si>
    <t>* Licitação Eletrônica * Serviços de Assistência Técnica e Manutenção de grande em motores Walkesha., conforme as especificações deste documento e de seus adendos.</t>
  </si>
  <si>
    <t>** Esta publicação está sendo informada para os estados AM e RJ onde será realizado o objeto da licitação. Informamos que a publicação oficial é do estado de RJ. **
Regiões: AM 
Inicio: 2026/04/13 - 12:00:00 Término dos lances: 2026/04/13 12:00:00
 - Licitação sujeita a confirmação pois não foi informado que trata-se de prorrogação.</t>
  </si>
  <si>
    <t>DL/164/2026</t>
  </si>
  <si>
    <t>* Licitação Eletrônica * Ferramentas manuais - ** www.comprasbr.com.br **</t>
  </si>
  <si>
    <t>Prefeitura Municipal de São Sebastião do Alto</t>
  </si>
  <si>
    <t>São Sebastião do Alto</t>
  </si>
  <si>
    <t>* Licitação Eletrônica * AQUISIÇÃO DE CAIXAS TERMICAS, GELO ARTIFICIAL REUTILIZAVEL E TERMÔMETROS PARA O SETOR DE IMUNIZAÇÃO DA SECRETARIA DE SAUDE E HIGIENE DE SÃO SEBASTIÃO DO ALTO.  * https://pncp.gov.br *</t>
  </si>
  <si>
    <t>Unidade compradora: 985905 - MUNICIPIO DE SAO SEBASTIAO DO ALTO - PREFEITURA MUNICIPAL SAO SEBASTIAO DO ALTO-RJ
Local: São Sebastião do Alto/RJ
Órgão: MUNICIPIO DE SAO SEBASTIAO DO ALTO
Id contratação PNCP: 28645786000113-1-000026/2026
Fonte: Compras.gov.br
 - Dispensa</t>
  </si>
  <si>
    <t>MINISTÉRIO DA DEFESA - Comando da Marinha - Diretoria-Geral do Pessoal - Diretoria de Ensino da Marinha</t>
  </si>
  <si>
    <t>* Licitação Eletrônica * Eventual e futura contratação de aquisição SRP e aparelhos de ar condicionado tipo Split Hi-Wall, com tecnologia Inverter, incluindo serviços de instalação e fornecimento de todos os materiais necessários à instalação e ao pleno funcionamento dos equipamentos, bem como materiais específicos de refrigeração, visando atender às  necessidades de manutenção e climatização dos sistemas de refrigeração desta Diretoria de Ensino * https://pncp.gov.br *</t>
  </si>
  <si>
    <t>Unidade compradora: 762000 - COMANDO DA MARINHA - DIRETORIA DE ENSINO DA MARINHA
Local: Rio de Janeiro/RJ
Órgão: COMANDO DA MARINHA
Id contratação PNCP: 00394502000144-1-002621/2026
Fonte: Compras.gov.br
 - Dispensa</t>
  </si>
  <si>
    <t xml:space="preserve">COMANDO DA MARINHA - COMANDO DO I ESQ.HELICOPT.DE EMPREGO GERAL	</t>
  </si>
  <si>
    <t>* Licitação Eletrônica * Aquisição de material de Micro Ventilador Para Freezer 1/40,
Refil Filtro Soft By Everest, Iluminação de Emergência LED, Lampada Led Tubular * https://pncp.gov.br *</t>
  </si>
  <si>
    <t>Unidade compradora: 791120 - COMANDO DA MARINHA - COMANDO DO I ESQ.HELICOPT.DE EMPREGO GERAL
Local: Rio de Janeiro/RJ
Órgão: COMANDO DA MARINHA
Id contratação PNCP: 00394502000144-1-002575/2026
Fonte: Compras.gov.br
As  condições deveram estar conforme quantidades e exigências estabelecidas neste Aviso de Contratação
Direta e seus anexos. - Dispensa</t>
  </si>
  <si>
    <t>DL/40/2026</t>
  </si>
  <si>
    <t>* Licitação Eletrônica * GRAXA LUBRIFICANTE	REF KLUBER PETAMO GY 193;
TOTAL ALTIS SH2; **RECOMENDAÇÃO TECNICA"; SÓ SERÁ ACEITA ESSA REFERÊNCIA, NÃO PERMITINDO ITEM SIMILAR
 * https://pncp.gov.br *</t>
  </si>
  <si>
    <t>Unidade compradora: 179083 - CASA DA MOEDA DO BRASIL - CASA DA MOEDA DO BRASIL/MF
Local: Rio de Janeiro/RJ
Órgão: CASA DA MOEDA DO BRASIL
Id contratação PNCP: 34164319000174-1-000060/2026
Fonte: Compras.gov.br
Considerar somente o descritivo do item que consta no arquivo TR anexado. Dúvidas: ffernandes@casadamoeda.gov.br - Dispensa</t>
  </si>
  <si>
    <t>* Licitação Eletrônica * SELO SEGURANCA EM POLIPROPILENO, NA COR AMARELA; CMP. TOTAL 160MM A 170MM; FILAMENTO C/ RABICHO DE 120MM; ESPS. FIO SELAGEM: 3,00 X 0,5MM, FORMATO RABICHO ESPINHA DE PEIXE; LOGOMARCA CMB  e NA COR VERMELHA; GRAVACAO A LASER DO TEXTO E DA NUMERACAO, AMBOS IMPRESSOS NA COR BRANCA OU PRETA; FECHAMENTO COMPOSTO POR PINO E CAPSULA FECHADA CONFORME PADRÄO FORNECIDO P/CMB; * https://pncp.gov.br *</t>
  </si>
  <si>
    <t>Unidade compradora: 179083 - CASA DA MOEDA DO BRASIL - CASA DA MOEDA DO BRASIL/MF
Local: Rio de Janeiro/RJ
Órgão: CASA DA MOEDA DO BRASIL
Id contratação PNCP: 34164319000174-1-000059/2026
Fonte: Compras.gov.br
A entrega dos bens se dará de forma parcelada de acordo com a necessidade da CMB.
O prazo de entrega dos bens é de até 30 trintanoventa dias consecutivos, contados do recebimento do pedido.
Pagamento em conta corrente em até 30 dias após apresentação da respectiva Nota Fiscal Fatura. Dúvidas: macarvalho@cmb.gov.br
Em caso de discordância existente entre as especificações deste objeto descritas no COMPRASNET - CATMAT e as especificações constantes do Anexo I desta especificação prevalecerão às últimas ESPECIFICAÇÃO.
As propostas apresentadas deverão atender, de forma integral, aos requisitos técnicos e demais condições estabelecidas no Termo de Referência, sob pena de desclassificação. ATENÇÃO AOS ITENS DETALHADOS NO TR
 - Dispensa</t>
  </si>
  <si>
    <t>CP/5422/2026</t>
  </si>
  <si>
    <t>COTAÇÃO DE CABINE ACÚSTICA - REQUISIÇÃO Nº 54222026</t>
  </si>
  <si>
    <t>A proposta deverá ser apresentada em papel timbrado da empresa interessada, contendo obrigatoriamente as seguintes informações: Número do CNPJ, Razão social, Endereço completo, Telefone para contato, E-mail atualizado, Dados bancários, Prazo de realização do serviço em número de dias, Prazo de entrega de material/equipamento, Validade da proposta; Prazo de garantia do item cotado e Forma de pagamento mediante emissão de nota de empenho o prazo de pagamento é iniciado após a realização do serviço ou entrega do produto. A proposta deve estar assinada digitalmente, utilizando um dos seguintes meios: Certificado Digital com token ou Assinatura eletrônica pelo portal Gov.br. Para propostas referentes ao fornecimento de material: O valor do frete deverá estar incluído no valor total do material e a entrega deverá ser realizada em Natal/RN. Cronograma da Cotação: Início do recebimento de propostas: 08/04/2026, Prazo final para envio: até às 17h do dia 13/04/2026 As propostas deverão ser enviadas A/C: Grupo de Compras - FUNPEC, para o e-mail: ????alessandra.pessoa@funpec.br</t>
  </si>
  <si>
    <t>MINISTÉRIO DA DEFESA - Comando da Marinha Comando de Operações Navais - Comando do 3º Distrito Naval</t>
  </si>
  <si>
    <t>DL/46/2026</t>
  </si>
  <si>
    <t>* Licitação Eletrônica * A presente demanda refere-se à aquisição de bens permanentes, consistentes em equipamentos de climatização, mobiliário, utensílios de apoio e equipamentos de cozinha industrial, destinados ao atendimento das necessidades do Comando do 3 Distrito Naval. A contratação visa assegurar condições adequadas de funcionamento das instalações, bem como a execução eficiente das atividades de apoio administrativo e logístico, especialmente no que se refere à preparação de alimentos, organização de ambiente * https://pncp.gov.br *</t>
  </si>
  <si>
    <t>Unidade compradora: 783000 - COMANDO DA MARINHA - COMANDO DO 3.DISTRITO NAVAL
Local: Natal/RN
Órgão: COMANDO DA MARINHA
Id contratação PNCP: 00394502000144-1-002591/2026
Fonte: Compras.gov.br
 - Dispensa
 - Licitação sujeita a confirmação pois não foi informado que trata-se de prorrogação.</t>
  </si>
  <si>
    <t>Comando da Marinha - Navio Patrulha Guaiba</t>
  </si>
  <si>
    <t>* Licitação Eletrônica * Aquisição, por dispensa de licitação, de Bomba de Esgoto e Incêndio para o Npa Guaíba * https://pncp.gov.br *</t>
  </si>
  <si>
    <t>Unidade compradora: 783141 - COMANDO DA MARINHA - NAVIO PATRULHA "GUAIBA"
Local: Natal/RN
Órgão: COMANDO DA MARINHA
Id contratação PNCP: 00394502000144-1-002620/2026
Fonte: Compras.gov.br
 - Dispensa</t>
  </si>
  <si>
    <t>* Licitação Eletrônica * Aquisição de ferramentas elétricas a bateria e acessórios correlatos, destinados à realização de análises técnicas e intervenções controladas em pavimentação asfáltica, bem como ao apoio às atividades operacionais da Secretaria Municipal de Obras e Serviços Públicos - SEMOSP de Ji-Paraná/RO, conforme condições, quantidades e exigências estabelecidas no aviso de dispensa e seus anexos. * https://pncp.gov.br *</t>
  </si>
  <si>
    <t>Unidade compradora: 980005 - MUNICIPIO DE JI-PARANA - PREFEITURA MUNICIPAL DE JI-PARANÁ
Local: Ji-Paraná/RO
Órgão: MUNICIPIO DE JI-PARANA
Id contratação PNCP: 04092672000125-1-000166/2026
Fonte: Compras.gov.br
 - Dispensa</t>
  </si>
  <si>
    <t>SM/2353/2026</t>
  </si>
  <si>
    <t>ITENS PARA TREINAMENTO DE DRYWALL https://compras.sistemafiergs.org.br/Portal/Mural.aspx</t>
  </si>
  <si>
    <t>Acesse site https://compras.sistemafiergs.org.br/Portal/Mural.aspx e consulte os detalhes. 
Em andamento
 Edital: CD023532026DR
 Inicio dos lances: 08/04/2026 15:50:00 Término dos lances: 15/04/2026 14:00:00</t>
  </si>
  <si>
    <t>MINISTÉRIO DA DEFESA - Comando do Exército - Comando Militar do Sul - 3ºBatalhão de Engenharia de Combate</t>
  </si>
  <si>
    <t>Cachoeira do Sul</t>
  </si>
  <si>
    <t>DL/68/2026</t>
  </si>
  <si>
    <t>* Licitação Eletrônica * aquisição de material para manutenção de bens móveis e imóveis * https://pncp.gov.br *</t>
  </si>
  <si>
    <t>Unidade compradora: 160367 - COMANDO DO EXERCITO - 3 BATALHAO DE ENGENHARIA DE COMBATE/RS
Local: Cachoeira do Sul/RS
Órgão: COMANDO DO EXERCITO
Id contratação PNCP: 00394452000103-1-007282/2026
Fonte: Compras.gov.br
Máquina de solda multiprocessos e serra circular - Dispensa</t>
  </si>
  <si>
    <t>MINISTÉRIO DA DEFESA - Comando do Exército - Comando Militar do Sul - 6ªDivisão de Exército - 8ºBatalhão Logístico</t>
  </si>
  <si>
    <t>* Licitação Eletrônica * Contratação de serviço de material de limpeza ralo e caixa de gordura * https://pncp.gov.br *</t>
  </si>
  <si>
    <t>Unidade compradora: 160389 - COMANDO DO EXERCITO - 8 BATALHAO LOGISTICO/RS
Local: Porto Alegre/RS
Órgão: COMANDO DO EXERCITO
Id contratação PNCP: 00394452000103-1-007306/2026
Fonte: Compras.gov.br
 - Dispensa</t>
  </si>
  <si>
    <t>MINISTÉRIO DA DEFESA - Exército Brasileiro - Comando Militar do Sul - 8ºEsquadrão de Cavalaria Mecanizado</t>
  </si>
  <si>
    <t>* Licitação Eletrônica * Aquisição de Reservatório Contêiner 1000L * https://pncp.gov.br *</t>
  </si>
  <si>
    <t>Unidade compradora: 160377 - COMANDO DO EXERCITO - 8 ESQUADRAO DE CAVALARIA MECANIZADO/RS
Local: Porto Alegre/RS
Órgão: COMANDO DO EXERCITO
Id contratação PNCP: 00394452000103-1-007248/2026
Fonte: Compras.gov.br
1. Após o encerramento da cotação, caso haja problemas no
sistema, a proposta deverá ser enviada para o seguinte endereço de e-mail: salc@8esqdcmec.eb.mil.br;
2. É de fundamental importância que os fornecedores que não estejam classificados em 1o lugar, porém
possuem lance igual ou menor ao valor máximo aceitável, também enviem sua proposta para, em caso de
desclassificação do 1o colocado, poderem ter seu lance analisado e habilitado;
3. Caso não seja enviada proposta os lances dos fornecedores em questão seráão cancelados,
estando o fornecedor que não mantiver a proposta, falhar ou fraudar a execução do fornecimento, sujeito às
sanções previstas na Lei;
4. Não será aceita qualquer entrega que não tenha sido autorizada por Nota de Empenho;
5. O Aviso de Dispensa Eletrônica, com as descrições completas dos produtos e as condições gerais de
aquisição, deverá ser lido e seguido integralmente. - Dispensa</t>
  </si>
  <si>
    <t>MINISTÉRIO DA DEFESA - Exército Brasileiro - Comando do Comando Militar do Sul</t>
  </si>
  <si>
    <t>DL/200/2026</t>
  </si>
  <si>
    <t>* Licitação Eletrônica * Fornecimento e instalaçao de  bomba submersa NOVA para poço tubular profundo, diametro 4" - 1CV - 380 V - em aço inox, com quadro de comando STD.  incluindo: Cabo pp  3 x ,2 mm 60m, Tubo pvc geomacânico  1" - com luva galvanizada42m, 
Corda de Segurança 12 mm  atoxica 42m, Tampa do poço com furos para cabo e corda, Registro de regulagem vazao e 
conexoes Sv de saída, Tubo monitoramento de niveis de agua 42m, Limpeza mecanica para quimica retirada e de residuos de parede e fundo ate 120m * https://pncp.gov.br *</t>
  </si>
  <si>
    <t>Unidade compradora: 160395 - COMANDO DO EXERCITO - COMANDO DO COMANDO MILITAR DO SUL/RS
Local: Porto Alegre/RS
Órgão: COMANDO DO EXERCITO
Id contratação PNCP: 00394452000103-1-007295/2026
Fonte: Compras.gov.br
 - Dispensa</t>
  </si>
  <si>
    <t>MINISTÉRIO DA DEFESA - Comando do Exército - Comando Militar do Sul - 3ªDivisão de Exército - 2ªBrigada de Cavalaria Mecanizada</t>
  </si>
  <si>
    <t>Uruguaiana</t>
  </si>
  <si>
    <t>* Licitação Eletrônica * Aquisição de Material Permanente, Postes de concreto padrão RGE para adequação de recebimento de energia junto a concessionária, atendendo as necessidades do Comando da 2ª Brigada de Cavalaria Mecanizada * https://pncp.gov.br *</t>
  </si>
  <si>
    <t>Unidade compradora: 160438 - COMANDO DO EXERCITO - COMANDO 2 BRIGADA DE CAVALARIA MECANIZADA/RS
Local: Uruguaiana/RS
Órgão: COMANDO DO EXERCITO
Id contratação PNCP: 00394452000103-1-007308/2026
Fonte: Compras.gov.br
 - Dispensa</t>
  </si>
  <si>
    <t>MINISTÉRIO DA DEFESA - Exército Brasileiro - Comando Militar do Sul - 5ª Região Militar/5ª Divisão de Exército - 14ªBrigada de Infantaria Motorizada - 63ºBatalhão de Infantaria</t>
  </si>
  <si>
    <t>* Licitação Eletrônica * Aquisição de painéis de MDF para construção de armários. * https://pncp.gov.br *</t>
  </si>
  <si>
    <t>Unidade compradora: 160443 - COMANDO DO EXERCITO - 63 BATALHAO DE INFANTARIA
Local: Florianópolis/SC
Órgão: COMANDO DO EXERCITO
Id contratação PNCP: 00394452000103-1-007251/2026
Fonte: Compras.gov.br
 - Dispensa</t>
  </si>
  <si>
    <t>* Licitação Eletrônica * Aquisição de ferragens, insumos e acessórios para a confecção de armários. * https://pncp.gov.br *</t>
  </si>
  <si>
    <t>Unidade compradora: 160443 - COMANDO DO EXERCITO - 63 BATALHAO DE INFANTARIA
Local: Florianópolis/SC
Órgão: COMANDO DO EXERCITO
Id contratação PNCP: 00394452000103-1-007252/2026
Fonte: Compras.gov.br
 - Dispensa</t>
  </si>
  <si>
    <t>Prefeitura Municipal de Canoinhas</t>
  </si>
  <si>
    <t>Canoinhas</t>
  </si>
  <si>
    <t>* Licitação Eletrônica * DISPENSA ELETRÔNICA DE LICITAÇÃO PARA AQUISIÇÃO DE PEÇAS DE REPOSIÇÃO E COMPONENTES TÉCNICOS ITENS #1 AO #23 PARA MANUTENÇÃO PREVENTIVA E CORRETIVA DA MÁQUINA DE PINTURA VIÁRIA HILÁRIO, MODELO ITH 2/100. * https://bllcompras.com *</t>
  </si>
  <si>
    <t>LOCAL: https://bllcompras.com/
Nº PROC. ADM: PMC 51/2026
 TIPO CONTRATO: AQUISIÇÃO
 INÍCIO REC. PROPOSTA: 07/04/2026 13:35:00
 FIM REC. PROPOSTA: 10/04/2026 08:15:00
 INÍCIO DISPUTA: 10/04/2026 08:30:00
 CIDADE: CANOINHAS
 FASE: RECEPÇÃO DE PROPOSTAS
 EXCLUSIVO ME: NÃO
 EXCLUSIVO REGIONAL: NÃO
 MODO DE DISPUTA: ABERTO
 TIPO DE LANCE: MENOR LANCE
 FONE PROMOTOR: 4736217756
 E-MAIL PROMOTOR: licitacao@pmc.sc.gov.br
 CONDUTOR: DANIELA CRISTINA DA SILVA
 AUTORIDADE: MAURICIO AFONSO SOBEZAK
 INFORMACÕES ADICIONAIS: 
 VALOR ESTIMADO: R$9.744,00</t>
  </si>
  <si>
    <t>Prefeitura Municipal de Anitapolis</t>
  </si>
  <si>
    <t>Anitápolis</t>
  </si>
  <si>
    <t>Contratação de empresa especializada para execução de serviços de reforma e manutenção na Estação de Tratamento de Água ETA, incluindo assentamento de piso, ajustes na calha de floculação, instalação de ponto de iluminação e remoção de guarda-corpo, com fornecimento exclusivo de mão de obra, sendo os materiais disponibilizados pela Prefeitura.</t>
  </si>
  <si>
    <t>Local: licita@anitapolis.sc.gov.br
Setor Responsável: Licitação</t>
  </si>
  <si>
    <t>Fornecimento de 01 Kit de Receptores GNSS RTK Sistema Global de Navegação por Satélite - Cinemático em Tempo Real, composto por Base GNSS integrada modelo iBase e Rover modelo i93 GNSS RTK, ambos da linha CHCNAV, incluindo todos os acessórios indispensáveis ao pleno funcionamento do sistema, bem como softwares com licença vitalícia.</t>
  </si>
  <si>
    <t>Período de envio de proposta e documentos de habilitação: das 08:00 do dia 09/04/2026 às 18:00 do dia 13/04/2026. Edital disponível em www.lages.sc.gov.br.</t>
  </si>
  <si>
    <t>Penitenciária de Franco da Rocha III</t>
  </si>
  <si>
    <t>Franco da Rocha</t>
  </si>
  <si>
    <t>* Licitação Eletrônica * Atender Despesas com aquisição de ferros para continuação dos serviços de implantação do projeto "Contato Zero" * https://pncp.gov.br *</t>
  </si>
  <si>
    <t>Unidade compradora: 380219 - SAO PAULO SECRETARIA DA ADMINISTRACAO PENITENCIARIA - ESP-PENIT."JOSE AP. RIBEIRO" DE FRANCO DA ROC
Local: Franco da Rocha/SP
Órgão: SAO PAULO SECRETARIA DA ADMINISTRACAO PENITENCIARIA
Id contratação PNCP: 96291141000180-1-001769/2026
Fonte: Compras.gov.br
 - Dispensa</t>
  </si>
  <si>
    <t>UNICAMP-Universidade Estadual de Campinas - Diretoria Geral de Administração</t>
  </si>
  <si>
    <t>DL/1079/2026</t>
  </si>
  <si>
    <t>* Licitação Eletrônica * Aquisição de Controladores Lógicos Programáveis para Monitoramento do Sistema de Abastecimento de Água do Campus Campinas. * https://pncp.gov.br *</t>
  </si>
  <si>
    <t>Unidade compradora: 450161 - UNIVERSIDADE ESTADUAL DE CAMPINAS - ESP-UNIVERSIDADE ESTADUAL DE CAMPINAS
Local: Campinas/SP
Órgão: UNIVERSIDADE ESTADUAL DE CAMPINAS
Id contratação PNCP: 46068425000133-1-000752/2026
Fonte: Compras.gov.br
Favor consultar o Termo de Referência. - Dispensa</t>
  </si>
  <si>
    <t>Prefeitura Municipal de Tuiuti</t>
  </si>
  <si>
    <t>Tuiuti</t>
  </si>
  <si>
    <t>* Licitação Eletrônica * Aquisição de materiais de construção e ferramentas para manutenção das unidades escolares do Município 
de Tuiut * https://pncp.gov.br *</t>
  </si>
  <si>
    <t>Unidade compradora: 982955 - MUNICIPIO DE TUIUTI - PREFEITURA MUNICIPAL DE TUIUTI - SP
Local: Tuiuti/SP
Órgão: MUNICIPIO DE TUIUTI
Id contratação PNCP: 67160481000173-1-000081/2026
Fonte: Compras.gov.br
 - Dispensa</t>
  </si>
  <si>
    <t>DL/16/2026</t>
  </si>
  <si>
    <t>* Licitação Eletrônica * Aquisição de materiais HIDRÁULICOS, visando a manutenção e conservação das edificações existentes na Subprefeitura Pinheiros. * https://pncp.gov.br *</t>
  </si>
  <si>
    <t>Unidade compradora: 928657 - SUBPREFEITURA DE PINHEIROS - PMSP - SUBPREFEITURA PINHEIROS
Local: São Paulo/SP
Órgão: SUBPREFEITURA DE PINHEIROS
Id contratação PNCP: 05649898000147-1-000015/2026
Fonte: Compras.gov.br
CONFORME ESPECIFICAÇÕES E EXIGÊNCIAS DO TERMO DE REFERÊNCIA E DEMAIS DOCUMENTOS - Dispensa</t>
  </si>
  <si>
    <t>CE/1552/2026</t>
  </si>
  <si>
    <t>AQUISIÇÃO FIO DE NYLON 3,00MM X 3MT - ROÇADEIRA</t>
  </si>
  <si>
    <t>Fase da Cotação:  EM ANDAMENTO 
Item: AQUISIÇÃO FIO DE NYLON 3,00MM X 3MT - ROÇADEIRA
Período de Cotação: 08/04/2026 - 00:00:00 até 13/04/2026 - 23:59:59
Tipo de Cotação:  Orçamento via ComprAssis
Responsável:   Verônica D. S.</t>
  </si>
  <si>
    <t>CE/895/2026</t>
  </si>
  <si>
    <t>* Licitação eletrônica * Contratação de Empresa Especializada Para Fornecimento e Instalação de Gramado Esportivo</t>
  </si>
  <si>
    <t>Fase da Cotação:  EM ANDAMENTO 
Item: Contratação de Empresa Especializada Para Fornecimento e Instalação de Gramado Esportivo
Período de Cotação: 08/04/2026 - 00:00:00 até 13/04/2026 - 23:59:59
Tipo de Cotação:  Orçamento via ComprAssis
Responsável:   Felipe M.
 - Licitação sujeita a confirmação pois não foi informado que trata-se de prorrogação.</t>
  </si>
  <si>
    <t>CE/1432/2026</t>
  </si>
  <si>
    <t>* Licitação eletrônica * AQUISIÇÃO DE MATERIAIS E EQUIPAMENTOS DESTINADOS À MANUTENÇÃO PREVENTIVA E À SEGURANÇA DA FROTA</t>
  </si>
  <si>
    <t>Fase da Cotação:  EM ANDAMENTO 
Item: AQUISIÇÃO DE MATERIAIS E EQUIPAMENTOS DESTINADOS À MANUTENÇÃO PREVENTIVA E À SEGURANÇA DA FROTA
Período de Cotação: 31/03/2026 - 00:00:00 até 12/04/2026 - 23:59:59
Tipo de Cotação:  Orçamento via ComprAssis
Responsável:   Junio A. D. M.
 - Licitação sujeita a confirmação pois não foi informado que trata-se de prorrogação.</t>
  </si>
  <si>
    <t>DL/144/2026</t>
  </si>
  <si>
    <t>Aquisição de 100 cem tampas de boca de lobo em concreto armado, medindo 1,20 m x 0,70 m, destinadas à substituição de peças danificadas, furtadas ou inexistentes na rede de drenagem pluvial do município de Atibaia/SP. * www.portaldecompraspublicas.com.br *</t>
  </si>
  <si>
    <t>Órgão: Prefeitura Municipal da Estância de Atibaia - Prefeitura Municipal da Estância de Atibaia - SP
				Processo: 274/2026
				Edital: 144/2026
				Modalidade: Dispensa
				Início de envio das propostas: 09-04-2026 ás 10:00
				Término de envio das propostas: 14/04/2026 ás 07:59		
				Início dos lances: 14/04/2026 ás 08:00</t>
  </si>
  <si>
    <t>Fundação Cultural de Jacarehy - José Maria de Abreu - FCJ</t>
  </si>
  <si>
    <t>* Licitação Eletrônica * MATERIAL PARA MANUTENÇÃO PREDIAL * https://pncp.gov.br *</t>
  </si>
  <si>
    <t>Unidade compradora: 1 - FUNDACAO CULTURAL DE JACAREHY-JOSE MARIA DE ABREU - GERAL
Local: Jacareí/SP
Órgão: FUNDACAO CULTURAL DE JACAREHY-JOSE MARIA DE ABREU
Id contratação PNCP: 50457753000107-1-000047/2026
Fonte: EMBRAS - EMPRESA BRASILEIRA DE TECNOLOGIA LTDA
 - Dispensa</t>
  </si>
  <si>
    <t>Fundação do ABC – Complexo Hospitalar Municipal de São Bernardo do Campo</t>
  </si>
  <si>
    <t>São Bernardo do Campo</t>
  </si>
  <si>
    <t>FUABC - COMPLEXO DE SAÚDE SÃO BERNARDO DO CAMPO - PROCESSO DE CONTRATOS Nº029/2026 - CONTRATAÇÃO DE EMPRESA ESPECIALIZADA EM PRESTAÇÃO DE SERVIÇOS EM ENGENHARIA CLINICA E ASSISTÊNCIA TÉCNICA PARA  REALIZAÇÃO DE GESTÃO DOS ATIVOS 
TECNOLÓGICOS, MANUTENÇÃO PREVENTIVA E CORRETIVA CUMULADO COM FORNECIMENTO DE PARTES E PEÇAS, CALIBRAÇÃO, QUALIFICAÇÃO E ENSAIOS  DE  SEGURANÇA ELÉTRICA DE  EQUIPAMENTOS MÉDICO HOSPITALARES, BEM COMO, COMPRESSORES EM GERAL, EQUIPAMENTOS ODONTOLÓGICOS, EQUIPAMENTOS OFTALMOLÓGICOS, EQUIPAMENTOS DE FISIOTERAPIA E FONOAUDIOLOGIA, CHAMADAS DE ENFERMAGEM E GASOTERAPIA PARA AS UNIDADES DO GRUPO A E GRUPO B, PERTENCENTES AO COMPLEXO DE SAÚDE DE SÃO BERNARDO DO CAMPO, PELO PRAZO DE 12 DOZE MESES, PRORROGAVEL ATÉ O LIMITE DE 60 SESSENTA MESES.</t>
  </si>
  <si>
    <t>A EMPRESA INTERESSADA EM PARTICIPAR DO CERTAME DEVERÁ APRESENTAR 02 ENVELOPES SENDO: ENVELOPE 1 - PROPOSTA COMERCIAL, ATESTADO DE VISTORIA OU DECLÍNIO E DECLARAÇÃO DE ACEITAÇÃO DO REGULAMENTO DE COMPRAS E CONTRATAÇÃO DA FUNDAÇÃO DO ABC, E, ENVELOPE 2 - DOCUMENTAÇÃO DE ACORDO COM O ITEM 4, OS QUAIS DEVERÃO SER ENTREGUES NO DEPARTAMENTO DE COMPRAS E CONTRATOS DO CSSBC, DAS 8H30 ÀS 16H, LOCALIZADO NA ESTRADA DOS ALVARENGAS, Nº 1001, 5º ANDAR - ALVARENGA - SÃO BERNARDO DO CAMPO - CEP: 09850-550, ATÉ O DIA 30 DE MARÇO DE 2026 ÀS 16H, CONFORME ESTABELECIDO NO MEMORIAL DESCRITIVO ANEXO.
AS VISTORIAS DEVERÃO SER AGENDADAS COM ANTECEDÊNCIA DE 02 DOIS DIAS DA DATA DA ENTREGA DOS ENVELOPES, PELO TELEFONE ABAIXO: NO HORÁRIO DAS 08HS ÀS 16HS, DE SEGUNDA A SEXTA FEIRA, PELO TELEFONE 11 4353-1500 - RAMAL 1827 E 1829 OU PELO E-MAIL TATIANA.SUCHER@CSSBC.ORG.BR E  ENGCLINICA.HC@CSSBC.ORG.BR@CSSBC.ORG.BR.</t>
  </si>
  <si>
    <t>DL/54/2026</t>
  </si>
  <si>
    <t>* Licitação Eletrônica * Aquisição de Tintas * https://pncp.gov.br *</t>
  </si>
  <si>
    <t>Unidade compradora: 000000001 - MUNICIPIO DE LOUVEIRA - LOUVEIRA SP
Local: Louveira/SP
Órgão: MUNICIPIO DE LOUVEIRA
Id contratação PNCP: 46363933000144-1-000099/2026
Fonte: AZ INFORMATICA LTDA
 - Dispensa</t>
  </si>
  <si>
    <t>CPTM-Companhia Paulista de Trens Metropolitanos</t>
  </si>
  <si>
    <t>* Licitação Eletrônica * FORNECIMENTO DE LENÇOL DE BORRACHA * https://pncp.gov.br *</t>
  </si>
  <si>
    <t>Unidade compradora: 373201 - UO ESP-CIA.PTA DE TRENS METROPS-CPTM - ESP-CIA. PTA DE TRENS METROPOLITANOS-CPTM
Local: São Paulo/SP
Órgão: UO ESP-CIA.PTA DE TRENS METROPS-CPTM
Id contratação PNCP: 71832679000123-1-000049/2026
Fonte: Compras.gov.br
 - Dispensa</t>
  </si>
  <si>
    <t>FUNDACC - Fundação Educacional e Cultural de Caraguatatuba</t>
  </si>
  <si>
    <t>Caraguatatuba</t>
  </si>
  <si>
    <t>AQUISIÇÃO DE MATERIAIS DESTINADOS À FUTURA COBERTURA DO PÁTIO DO POLO CULTURAL DO CENTRO - FUNDACC</t>
  </si>
  <si>
    <t xml:space="preserve">Modalidade: DISPENSA ELETRÔNICA
Edital nº: 00021
Unidade Gestora: PM
 </t>
  </si>
  <si>
    <t>DL/236/2026</t>
  </si>
  <si>
    <t>* Licitação Eletrônica * Contratação de empresa especializada para fornecimento de 2 dois conjuntos de acoplamento AT 50 para instalação nas bombas responsáveis pelo abastecimento do Reservatório Vila Brasil * https://jornaldolicitante.com.br *</t>
  </si>
  <si>
    <t>Segmento: Equipamentos/ferramentas</t>
  </si>
  <si>
    <t>Delegacia Seccional de Polícia de Bauru</t>
  </si>
  <si>
    <t>DL/109/2026</t>
  </si>
  <si>
    <t>* Licitação Eletrônica * AQUISIÇÃO DE MATERIAL DE CONSUMO - COLCHETES, COLAS, COADORES DE CAFÉ, LACRES DE SEGURANÇA, ETC PARA A DELEGACIA SECCIONAL DE POLÍCIA DE BAURU E UNIDADES SUBORDINADAS * https://pncp.gov.br *</t>
  </si>
  <si>
    <t>Unidade compradora: 180299 - SAO PAULO SECRETARIA DA SEGURANCA PUBLICA - ESP-DELEG.SECCIONAL DE POLICIA DE BAURU
Local: Bauru/SP
Órgão: SAO PAULO SECRETARIA DA SEGURANCA PUBLICA
Id contratação PNCP: 46377800000127-1-001210/2026
Fonte: Compras.gov.br
Art. 75, inciso II, da Lei n 14.133/2021 - Dispensa</t>
  </si>
  <si>
    <t>USP-Universidade de São Paulo - Escola de Engenharia de São Carlos</t>
  </si>
  <si>
    <t>* Licitação Eletrônica * Aquisição de ferramentas manuais de pequeno porte  * https://pncp.gov.br *</t>
  </si>
  <si>
    <t>Unidade compradora: 102117 - UNIVERSIDADE DE SAO PAULO - ESP-ESCOLA DE ENGENHARIA DE SÃO CARLOS
Local: São Carlos/SP
Órgão: UNIVERSIDADE DE SAO PAULO
Id contratação PNCP: 63025530000104-1-001001/2026
Fonte: Compras.gov.br
 - Dispensa
 - Licitação sujeita a confirmação pois não foi informado que trata-se de prorrogação.</t>
  </si>
  <si>
    <t>SAAE Ambiental - Serviço Autônomo de Água e Esgoto e Meio Ambiente de Salto</t>
  </si>
  <si>
    <t>Salto</t>
  </si>
  <si>
    <t>DL/47/2026</t>
  </si>
  <si>
    <t>* Licitação Eletrônica * Aquisição de kit fita impressão tacógrafo digital bvdr - fita para registro de velocidade, tempo, distância e rpm e discos tacógrafo semanal 180 km 20x20 - disco semanal 7 dias, escala 180 km/h * https://bllcompras.com *</t>
  </si>
  <si>
    <t>LOCAL: https://bllcompras.com/
Nº PROC. ADM: 2026/000273
 TIPO CONTRATO: AQUISIÇÃO
 INÍCIO REC. PROPOSTA: 09/04/2026 08:00:00
 FIM REC. PROPOSTA: 15/04/2026 08:00:00
 INÍCIO DISPUTA: 15/04/2026 09:00:00
 CIDADE: SALTO
 FASE: PUBLICADO
 EXCLUSIVO ME: NÃO
 EXCLUSIVO REGIONAL: NÃO
 MODO DE DISPUTA: FECHADO
 TIPO DE LANCE: MENOR LANCE
 FONE PROMOTOR: 1146026370
 E-MAIL PROMOTOR: licitacao@saaesalto.sp.gov.br
 CONDUTOR: ELAINE CRISTINA FELIX GROSSELI
 AUTORIDADE: ANGELO CESAR TURQUI PIVA
 INFORMACÕES ADICIONAIS: Consultar os anexos: aviso de dispensa e termo de referência
 VALOR ESTIMADO: R$2.574,00
 - Licitação sujeita a confirmação pois não foi informado que trata-se de prorrogação.</t>
  </si>
  <si>
    <t>MINISTÉRIO DA AGRICULTURA, PECUÁRIA E ABASTECIMENTO - CEAGESP-Companhia de Entrepostos e Armazéns Gerais de São Paulo</t>
  </si>
  <si>
    <t>* Licitação Eletrônica * Aquisição por dispensa de licitação do lote dos materiais de pintura e afins, conforme condições, quantidades e exigências estabelecidas neste Aviso de Contratação Direta e seus anexos. * https://pncp.gov.br *</t>
  </si>
  <si>
    <t>Unidade compradora: 225001 - CIA.DE ENTREPOSTOS E ARMAZENS GER.DE S.PAULO - CIA, DE ENTREPOSTOS E ARMAZENS GER. DE SP
Local: São Paulo/SP
Órgão: CIA.DE ENTREPOSTOS E ARMAZENS GER.DE S.PAULO
Id contratação PNCP: 62463005000108-1-000074/2026
Fonte: Compras.gov.br
 - Dispensa</t>
  </si>
  <si>
    <t>DER-Departamento de Estradas de Rodagem - 2º Divisão Regional de Itapetininga</t>
  </si>
  <si>
    <t>Itapetininga</t>
  </si>
  <si>
    <t>DL/412/2026</t>
  </si>
  <si>
    <t>* Licitação Eletrônica * Aquisição de material para pintura, hidráulicos para manutenção dos próprios da CGR.2 * https://pncp.gov.br *</t>
  </si>
  <si>
    <t>Unidade compradora: 262204 - DEPARTAMENTO DE ESTRADAS DE RODAGEM - ESP - DR.02 - ITAPETININGA
Local: Itapetininga/SP
Órgão: DEPARTAMENTO DE ESTRADAS DE RODAGEM
Id contratação PNCP: 43052497000102-1-000202/2026
Fonte: Compras.gov.br
Local de Entrega - Almoxarifado da CGR.2, na Rua General Carneiro n 196 Centro na cidade de Itapetininga - CEP 18.200-024
Prazo de Entrega - 10 dez dias corridos
Horário de Entrega - das 08:30 às 11:30 e das 14:30 às 17:30 horas. - Dispensa</t>
  </si>
  <si>
    <t>USP-Universidade de São Paulo - Centro de Praticas Esportivas</t>
  </si>
  <si>
    <t>DL/181/2026</t>
  </si>
  <si>
    <t>* Licitação Eletrônica * Aquisição de fios e cabos elétricos de diversas bitolas, cores e tipos * https://pncp.gov.br *</t>
  </si>
  <si>
    <t>Unidade compradora: 102151 - UNIVERSIDADE DE SAO PAULO - ESP-CENTRO DE PRATICAS ESPORTIVAS DA USP
Local: São Paulo/SP
Órgão: UNIVERSIDADE DE SAO PAULO
Id contratação PNCP: 63025530000104-1-001060/2026
Fonte: Compras.gov.br
 - Dispensa</t>
  </si>
  <si>
    <t>UNESP - Universidade Estadual Paulista Julio de Mesquita Filho - Instituto de Ciências e Engenharia do Câmpus de Itapeva</t>
  </si>
  <si>
    <t>Itapeva</t>
  </si>
  <si>
    <t>* Licitação Eletrônica * Aquisição de itens para laboratórios * https://pncp.gov.br *</t>
  </si>
  <si>
    <t>Unidade compradora: 102331 - UNIVERSIDADE ESTADUAL PAULISTA JULIO DE MESQUITA FILHO - ESP-UNESP-INST. DE CIENCIAS E ENGEN-C.ITAPEVA
Local: Itapeva/SP
Órgão: UNIVERSIDADE ESTADUAL PAULISTA JULIO DE MESQUITA FILHO
Id contratação PNCP: 48031918000124-1-000667/2026
Fonte: Compras.gov.br
 - Dispensa</t>
  </si>
  <si>
    <t>DL/50/2026</t>
  </si>
  <si>
    <t>* Licitação Eletrônica * Aquisição de bomba centrifuga magnética NH250 OS - 220/380V 25W
 * https://bllcompras.com *</t>
  </si>
  <si>
    <t>LOCAL: https://bllcompras.com/
Nº PROC. ADM: 2026/000520
 TIPO CONTRATO: AQUISIÇÃO
 INÍCIO REC. PROPOSTA: 10/04/2026 08:00:00
 FIM REC. PROPOSTA: 16/04/2026 08:00:00
 INÍCIO DISPUTA: 16/04/2026 09:00:00
 CIDADE: SALTO
 FASE: PUBLICADO
 EXCLUSIVO ME: NÃO
 EXCLUSIVO REGIONAL: NÃO
 MODO DE DISPUTA: FECHADO
 TIPO DE LANCE: MENOR LANCE
 FONE PROMOTOR: 1146026370
 E-MAIL PROMOTOR: licitacao@saaesalto.sp.gov.br
 CONDUTOR: ELAINE CRISTINA FELIX GROSSELI
 AUTORIDADE: ANGELO CESAR TURQUI PIVA
 INFORMACÕES ADICIONAIS: Consultar os anexos: Aviso de Dispensa e Termo de Referência.
 VALOR ESTIMADO: R$42.012,00
 - Licitação sujeita a confirmação pois não foi informado que trata-se de prorrogação.</t>
  </si>
  <si>
    <t>* Licitação Eletrônica * Aquisição de câmera de vídeo inspeção de esgoto, 9 polegadas, HD DVR,
cabeça 23mm, fibra 4.80mm, para uso do Serviço Autônomo de Água e
Esgoto de Salto - SP * https://bllcompras.com *</t>
  </si>
  <si>
    <t>LOCAL: https://bllcompras.com/
Nº PROC. ADM: 2025/002102
 TIPO CONTRATO: AQUISIÇÃO
 INÍCIO REC. PROPOSTA: 10/04/2026 08:00:00
 FIM REC. PROPOSTA: 16/04/2026 08:00:00
 INÍCIO DISPUTA: 16/04/2026 09:00:00
 CIDADE: SALTO
 FASE: PUBLICADO
 EXCLUSIVO ME: NÃO
 EXCLUSIVO REGIONAL: NÃO
 MODO DE DISPUTA: FECHADO
 TIPO DE LANCE: MENOR LANCE
 FONE PROMOTOR: 1146026370
 E-MAIL PROMOTOR: licitacao@saaesalto.sp.gov.br
 CONDUTOR: ELAINE CRISTINA FELIX GROSSELI
 AUTORIDADE: ANGELO CESAR TURQUI PIVA
 INFORMACÕES ADICIONAIS: Consultar os anexos: Aviso de Dispensa e Termo de Referência.
 VALOR ESTIMADO: R$8.579,67
 - Licitação sujeita a confirmação pois não foi informado que trata-se de prorrogação.</t>
  </si>
  <si>
    <t>PE/90016/2026</t>
  </si>
  <si>
    <t>* Registro de preços * * Licitação Eletrônica * Registro de Preços para aquisição de bebedouros e demais equipamentos destinados à melhoria da qualidade da água para atender a Secretaria Municipal de Saúde de Governador Valadares.</t>
  </si>
  <si>
    <t>** Favor DESCONSIDERAR o presente aviso, pois a oportunidade já está informada através do Número ConLicitação 18745569 **
Unidade compradora: 926607 - PREFEITURA MUNICIPAL DE GOVERNADOR VALADARES
Local: Governador Valadares/MG
Órgão: MUNICIPIO DE GOVERNADOR VALADARES
Id contratação PNCP: 20622890000180-1-000016/2026
Fonte: Compras.gov.br
 Para as respostas de esclarecimentos e impugnações deste edital acesse o link: https://cnetmobile.estaleiro.serpro.gov.br/comprasnet-web/public/landing?destino=quadro-informativo&amp;compra=92660705900162026 - Número compra: 90016 - Pregão - Eletrônico</t>
  </si>
  <si>
    <t>SM/7004574085</t>
  </si>
  <si>
    <t>* Licitação Eletrônica * Aquisição de Chuveiro e Lava-Olhos, por contrato global, conforme as especificações deste documento e de seus adendos.</t>
  </si>
  <si>
    <t>** Esta publicação está sendo informada para os estados AC, AL, AM, AP, BA, CE, DF, ES, GO, MA, MG, MS, MT, PA, PB, PE, PI, PR, RN, RO, RR, RS, SC, SE, SP, TO e RJ onde será realizado o objeto da licitação. Informamos que a publicação oficial é do estado de RJ. **
Regiões: AC AL AM AP BA CE DF ES GO MA MG MS MT PA PB PE PI PR RJ RN RO RR RS SC SE SP TO 
Inicio: 2026/04/22 - 17:00:00 Término dos lances: 2026/04/22 17:00:00</t>
  </si>
  <si>
    <t xml:space="preserve">Conselho Escolar/Unidade Executora Álvaro Vieira da Rocha </t>
  </si>
  <si>
    <t>O presente instrumento tem como objeto a aquisição de material de custeio e capital, para manter o funcionamento da Unidade Educativa Álvaro
Vieira da Rocha, localizada à Rua Estudante, nº 36, Bairro Conquista, neste município de Rio Branco/AC, Email: alvarorocha.semer.br@gmail.com, telefone
para contato:68 98109-0663 atendendo suas necessidades administrativas e pedagógicas conforme especificações técnicas expressas na planilha abaixo:
Da especificação Detalhada dos Itens:
Item Descrição e Especificação Técnica do Item Unidade Quantidade
1 Água sanitária alvejante, desinfetante e germicida para limpeza, frasco de 1 litro, similar ou
superior à Q-boa cx c/ 12. CX 20
2 Limpador instantâneo multiuso, frasco de 500ml, frasco de cor verde, fragrância silvestre,
similar ou superior ao veja. Cx com 12 unid. CX 08
3 Sabão em pó com micro partículas de alvejante, embalagem contendo 500g cx com 24
unidadessimilar ou superior a marca tixan ypé. CX 13
4 Saco plástico para lixo, resistente, com capacidade para 100 litros, na cor preta, pacote com
10 unidades cada. PACOTE 30
5 Saco plástico para lixo, resistente, com capacidade para 50 litros, na cor preta, pacote com 10
unidades cada. PACOTE 30
6 Saco plástico para lixo, resistente, com capacidade para 30 litros, na cor preto, pacote com 10 unidades. PACOTE 22
7 Detergente líquido biodegradável, embalagem contendo 500 ml, caixa com 24 unid. similar ou
superior a marca Minuano, na fragrância: neutro. CX 13
8 Sabão em barra, aspecto físico sólido,neutro, glicerinado. Pacote com 5 barras de 180g e cx
com 10 pacotes. Similar ou superior a Ypê. CX 06
9
ÁLCOOL 70% - Para desinfecção de superfícies, equipamentos, utensílios e mãos. Líquido,
incolor, isento de partículas visíveis ao olho nu, volátil e inflamável. Odor característico de
álcool. Composto por água purificada e álcool etílico hidratado neutro. Acondicionado em embalagem de 1 L, plástica, firme, opaca, com tampa rosca/lacre, com registro e validade. Com
registro no Ministério da Saúde, Certificado da ANVISA. Caixa com 12 unid.
CX 06
10 Desinfetante líquido para uso geral, com ação germicida, embalagem contendo 500ml, com
qualidade similar ou superior a marca pinho, nas fragrâncias. Cx com 12 unid. CX 10
11 Copo descartável para água de 180 ml, cx com 25 pac. de 100 unid. CX 06
12 Lâmpada led alta potência, luz branca 40w x 127v. CX 03
13
Fechadura externa 2600/40 - tráfego médio, resistência à corrosão: 1, alto grau de segurança,
distância de broca: 40 mm, com espelho e maçaneta em aço carbono e inox, acompanha 02
duas chaves e parafusos para instalação.
UNID. 06
14 Cadeados 50mm, superior ou similar a marca pado. UNID. 06
15 Pilha AAA caixa com 40 unid. similar ou superior rayovax. CX 03
16 Pilha AA caixa com 40 unid. similar ou superior rayovax. CX 03
18
IMPRESSORA MULTIFUNCIONAL: FORMATO TUDO EM UM SCANNER, IMPRESSÃO,
COPIADORA; VISOR LCD COLORIDO DE 1,44; CONEXÃO: WI-FI3, WI-FI DIRECT,
ETHERNET PARA FÁCIL COMPARTILHAMENTO, E SUPORTE PARA DISPOSITIVOS INTELIGENTES; IMPRESSÃO DE ATÉ 4.500 PÁGINAS EM PRETO E BRANCO OU 7.500
PÁGINAS COLORIDAS, COM UM KIT DE GARRAFAS DE TINTA DE REPOSIÇÃO ORIGINAIS; IMPRESSÃO FRENTE E VERSO AUTOMÁTICO E ALIMENTADOR AUTOMÁTICO DE
FOLHAS PARA ATÉ 30 PÁGINAS OU SUPERIOR. GARANTIA DE 1 ANO PELO FORNECEDOR. SIMILAR OU SUPERIOR A EPSON.
UNID. 02</t>
  </si>
  <si>
    <t>As propostas deverão ser apresentadas no prazo de 03 três dias úteis, a contar da data de publicação deste aviso, por meio digital E-mail uexalvarovieiradarocha@gmail.com ou fisico, no endereço da referida Unidade Educativa;
A apresentação, análise e julgamento das propostas de preços acontecerá na Unidade Educativa Álvaro Vieira da Rocha, Localizada à Rua Estudante, nº 36,
Bairro Conquista, no 4ºquarto dia útil a contar da data de publicação deste Termo de Referência às 9 horas.
A analise e julgamento das propostas poderá acontecer no mesmo dia, ou em até cinco dias corridos, a contar da data de apresentação das propostas;
A classificação da proposta que atender aos requisitos estabelecidos no Termo de Referência nº 01/2026, será na forma de menor preço por item.
Em caso de empate, os critérios utilizados serão os constantes no Artigo 60, Incisos I e II, da Lei Federal nº 14.133/2021.
Do local e prazo para a entrega dos produtos e forma de pagamento:
O objeto da contratação deverá ser entregue pela contratada, juntamente com a comprovação da despesa Notas Fiscais, na Unidade Educativa Álvaro Vieira
da Rocha, conforme endereço descrito acima, no prazo máximo de 15 quinze dias úteis, a contar da data de recebimento da ordem de entrega;
Os materiais recebidos serão conferidos pelo servidor responsável fiscal de contratos, que posteriormente atestará as notas fiscais, objetivando a comprovação de correspondência das especificações e valores dos produtos às propostas de preços apresentadas, os quantitativos expressos na ordem de entrega e
notas fiscais e ainda, verificação da habilitação da contratada, solicitando as certidões de regularidade fiscal vigentes, se for o caso;
O pagamento será efetuado mediante a comprovação de todas as etapas constantes nas sequências numéricas 8.1 e 8.2 ou em até 5 cinco dias úteis a contar
da data de entrega do material.</t>
  </si>
  <si>
    <t>Secretaria Adjunta de Licitações do Acre - SELIC</t>
  </si>
  <si>
    <t>PE/90123/2026</t>
  </si>
  <si>
    <t xml:space="preserve">* Licitação Eletrônica * Aquisição de equipamentos permanentes para a estruturação e funcionamento do Laboratório de  Solos do CEPT Roberval Cardoso, viabilizando a realização de atividades práticas e análises laboratoriais nos  cursos da área de Recursos Naturais, em atendimento a emenda individual impositiva n 23.291/2026 do Deputado  Tanízio Sá. </t>
  </si>
  <si>
    <t>Unidade compradora: 927996 - EAC-SECRETARIA DE EST.INDÚST.CIÊNCIA E TECNOL
Local: Rio Branco/AC
Órgão: SECRETARIA DE ESTADO DE INDUSTRIA, CIENCIA E TECNOLOGIA
Id contratação PNCP: 16958425000148-1-000161/2026
Fonte: Compras.gov.br
 Para as respostas de esclarecimentos e impugnações deste edital acesse o link: https://cnetmobile.estaleiro.serpro.gov.br/comprasnet-web/public/landing?destino=quadro-informativo&amp;compra=92799605901232026 - Número compra: 90123 - Pregão - Eletrônico</t>
  </si>
  <si>
    <t>Prefeitura Municipal de Taquarana</t>
  </si>
  <si>
    <t>Taquarana</t>
  </si>
  <si>
    <t>* Licitação Eletrônica * Registro de Preços para futura e eventual aquisição de materiais e equipamentos de informática * https://bnccompras.com *</t>
  </si>
  <si>
    <t>LOCAL: https://bnccompras.com/
Nº PROC. ADM: 02090012/2026
 TIPO CONTRATO: REGISTRO DE PREÇO
 INÍCIO REC. PROPOSTA: 09/04/2026 18:00:00
 FIM REC. PROPOSTA: 24/04/2026 08:30:00
 INÍCIO DISPUTA: 24/04/2026 09:30:00
 CIDADE: TAQUARANA
 FASE: PUBLICADO
 EXCLUSIVO ME: NÃO
 EXCLUSIVO REGIONAL: NÃO
 MODO DE DISPUTA: ABERTO
 TIPO DE LANCE: MENOR LANCE
 FONE PROMOTOR: 8234251281
 E-MAIL PROMOTOR: givaldoinacio@hotmail.com
 CONDUTOR: GIVALDO INÁCIO DOS SANTOS
 AUTORIDADE: GERALDO CICERO DA SILVA
 VALOR ESTIMADO: R$2.081.173,26</t>
  </si>
  <si>
    <t>Prefeitura Municipal de Girau do Ponciano</t>
  </si>
  <si>
    <t>Girau do Ponciano</t>
  </si>
  <si>
    <t>* Registro de preços * * Licitação Eletrônica * Solicitação da contratação para aquisição de equipamentos para cozinha e lavanderia de uso doméstico e industrial, mediante sistema de registro de preços.</t>
  </si>
  <si>
    <t>Unidade compradora: 982757 - PREFEITURA MUNICIPAL DE GIRAU DO PONCIANO/AL
Local: Girau do Ponciano/AL
Órgão: MUNICIPIO DE GIRAU DO PONCIANO
Id contratação PNCP: 12207536000161-1-000011/2026
Fonte: Compras.gov.br
 Para as respostas de esclarecimentos e impugnações deste edital acesse o link: https://cnetmobile.estaleiro.serpro.gov.br/comprasnet-web/public/landing?destino=quadro-informativo&amp;compra=98275705900052026 - Número compra: 90005 - Pregão - Eletrônico</t>
  </si>
  <si>
    <t>Agência de Licitações, Contratos e Convênios - ALICC</t>
  </si>
  <si>
    <t>SM/4/2026</t>
  </si>
  <si>
    <t>Selecionar empresas do ramo da construção civil para apresentação de empreendimentos cujas unidades habitacionais se enquadrem nas Faixas 02 e 03 do Programa Minha Casa Minha Vida, para a execução do Programa Minha Casa é Massa, conforme disposições constantes na Lei Delegada nº 15/2025, regulamentada pelo Decreto Municipal nº 10.265/2026, conforme Edital e seus anexos.</t>
  </si>
  <si>
    <t>Recebimento dos documentos a partir de 20/04/2026 até 29/04/2026. Edital disponível em www.maceio.al.gov.br. Entrega dos envelopes na Avenida da Paz, nº 900, Bairro Jaraguá, Maceió/AL. Telefone: 82 3312-5100.</t>
  </si>
  <si>
    <t>SM/34/2026</t>
  </si>
  <si>
    <t xml:space="preserve">* Chamada Pública * COMPONENTES MECÂNICOS  </t>
  </si>
  <si>
    <t>Local: Avenida Fernandes Lima, 385, Farol, Maceió, Alagoas.
Fone 82 2121 3000 - E-mail: licitacao@al.senai.br</t>
  </si>
  <si>
    <t>Prefeitura Municipal de Canapi</t>
  </si>
  <si>
    <t>Canapi</t>
  </si>
  <si>
    <t>* Licitação Eletrônica * Registro de preços para aquisição de material permanente para atender a demanda das secretarias do Município de Canapi/AL * https://bnccompras.com *</t>
  </si>
  <si>
    <t>LOCAL: https://bnccompras.com/
Nº PROC. ADM: 220260903009
 TIPO CONTRATO: REGISTRO DE PREÇO
 INÍCIO REC. PROPOSTA: 09/04/2026 14:00:00
 FIM REC. PROPOSTA: 27/04/2026 08:30:00
 INÍCIO DISPUTA: 27/04/2026 09:30:00
 CIDADE: CANAPI
 FASE: PUBLICADO
 EXCLUSIVO ME: NÃO
 EXCLUSIVO REGIONAL: NÃO
 MODO DE DISPUTA: ABERTO
 TIPO DE LANCE: MENOR LANCE
 FONE PROMOTOR: 82981820095
 E-MAIL PROMOTOR: licitacao.canapi@gmail.com
 CONDUTOR: GILMO MALTA DE MENEZES
 AUTORIDADE: JOSELIA MELO DE LIMA
 VALOR ESTIMADO: R$10.689.759,52</t>
  </si>
  <si>
    <t>Prefeitura Municipal de Penedo</t>
  </si>
  <si>
    <t>Penedo</t>
  </si>
  <si>
    <t>* Licitação Eletrônica * REGISTRO DE PREÇOS PARA FUTURA E EVENTUAL AQUISIÇÃO DE MATERIAIS MÉDICO HOSPITALARES E CORRELATOS, DESTINADOS AO ATENDIMENTO DAS DEMANDAS DAS UNIDADES DE SAÚDE VINCULADAS À SECRETARIA MUNICIPAL DE SAÚDE DO MUNICÍPIO DE PENEDO/AL, VISANDO ASSEGURAR A CONTINUIDADE, REGULARIDADE E SEGURANÇA DA ASSISTÊNCIA À SAÚDE * https://bnccompras.com *</t>
  </si>
  <si>
    <t>LOCAL: https://bnccompras.com/
Nº PROC. ADM: 2026.29014756372.PROCADM.PMP
 TIPO CONTRATO: REGISTRO DE PREÇO
 INÍCIO REC. PROPOSTA: 09/04/2026 13:00:00
 FIM REC. PROPOSTA: 24/04/2026 08:59:00
 INÍCIO DISPUTA: 24/04/2026 09:00:00
 CIDADE: PENEDO
 FASE: RECEPÇÃO DE PROPOSTAS
 EXCLUSIVO ME: NÃO
 EXCLUSIVO REGIONAL: NÃO
 MODO DE DISPUTA: ABERTO
 TIPO DE LANCE: MENOR LANCE
 FONE PROMOTOR: 8235512727
 E-MAIL PROMOTOR: penedolicitacoes.al@gmail.com
 CONDUTOR: HUGO BATISTA LIMA
 AUTORIDADE: GUSTAVO DE ALENCAR FREITAS
 VALOR ESTIMADO: R$15.195.215,30</t>
  </si>
  <si>
    <t>Sistema FIEA</t>
  </si>
  <si>
    <t>COMPONENTES MECÂNICOS</t>
  </si>
  <si>
    <t>Entidade contratante: SENAI - AL
 critérios de julgamento: Menor Preço 
status: Em andamento 
Processo nº 34/2026	Critério: Menor Preço Por Item
Abertura: 22/04/2026	Horário: 09h
Local: Avenida Fernandes Lima, 385, Farol, Maceió, Alagoas.  
Fone 82 2121 3000 - E-mail: licitacao@al.senai.br
O objeto desta seleção com disputa é a Aquisição de Componentes Mecânicos.</t>
  </si>
  <si>
    <t>SM/7004585781</t>
  </si>
  <si>
    <t>* Licitação Eletrônica * Aquisição de Compressor centrífugo</t>
  </si>
  <si>
    <t>** Esta publicação está sendo informada para os estados AM e RJ onde será realizado o objeto da licitação. Informamos que a publicação oficial é do estado de RJ. **
Regiões: AM 
Inicio: 2026/04/15 - 17:00:00 Término dos lances: 2026/04/15 17:00:00</t>
  </si>
  <si>
    <t>Prefeitura Municipal de Silves</t>
  </si>
  <si>
    <t>Silves</t>
  </si>
  <si>
    <t>* Registro de preços * * Licitação Eletrônica * Aquisição de materiais de obras</t>
  </si>
  <si>
    <t>Unidade compradora: 980277 - PREFEITURA MUNICIPAL DE SILVES - AM
Local: Silves/AM
Órgão: MUNICIPIO DE SILVES
Id contratação PNCP: 04477634000190-1-000021/2026
Fonte: Compras.gov.br
 Para as respostas de esclarecimentos e impugnações deste edital acesse o link: https://cnetmobile.estaleiro.serpro.gov.br/comprasnet-web/public/landing?destino=quadro-informativo&amp;compra=98027705900152026 - Número compra: 90015 - Pregão - Eletrônico</t>
  </si>
  <si>
    <t>Prefeitura Municipal de Eirunepé</t>
  </si>
  <si>
    <t>Eirunepé</t>
  </si>
  <si>
    <t>* Licitação Eletrônica * Registro de Preços para eventual aquisição de materiais e equipamentos para atender a rede municipal de saúde do município de Eirunepé</t>
  </si>
  <si>
    <t>Órgão: Prefeitura Municipal de Eirunepé - Prefeitura Municipal de Eirunepé - AM
				Processo: 051/2026
				Edital: 004/2026
				Modalidade: Pregão para Registro de Preço
				Início de envio das propostas: 08-04-2026 ás 23:55
				Término de envio das propostas: 20/04/2026 ás 13:59		
				Início dos lances: 20/04/2026 ás 14:00</t>
  </si>
  <si>
    <t>Macapá</t>
  </si>
  <si>
    <t>AP</t>
  </si>
  <si>
    <t>Prefeitura Municipal de Iaçu</t>
  </si>
  <si>
    <t>Iaçu</t>
  </si>
  <si>
    <t>* Licitação Eletrônica * Contratação de empresa especializada para a execução de obras de pavimentação em paralelepípedo com drenagem superficial, em vias urbanas da sede do Município de Iaçu-BA, com recursos oriundos do Convênio nº 066/2025, firmado entre a Companhia de Desenvolvimento Urbano do Estado da Bahia CONDER e o Município de Iaçu-Ba, em conformidade com o edital e seus anexos. * https://bnccompras.com *</t>
  </si>
  <si>
    <t>LOCAL: https://bnccompras.com/
Nº PROC. ADM: 013/2026
 TIPO CONTRATO: AQUISIÇÃO PARCELADA
 INÍCIO REC. PROPOSTA: 09/04/2026 08:00:00
 FIM REC. PROPOSTA: 23/04/2026 08:00:00
 INÍCIO DISPUTA: 23/04/2026 09:00:00
 CIDADE: IAÇU
 FASE: PUBLICADO
 EXCLUSIVO ME: NÃO
 EXCLUSIVO REGIONAL: NÃO
 MODO DE DISPUTA: ABERTO
 TIPO DE LANCE: MENOR LANCE
 FONE PROMOTOR: 7533252175
 E-MAIL PROMOTOR: gabinteiacu@iacu.ba.gov.br
 CONDUTOR: LUCIANO KLEBER BRAGA
 AUTORIDADE: NIXON DUARTE MUNIZ FERREIRA
 VALOR ESTIMADO: R$2.108.581,10</t>
  </si>
  <si>
    <t>Prefeitura Municipal de Lençóis</t>
  </si>
  <si>
    <t>Lençóis</t>
  </si>
  <si>
    <t>* Licitação Eletrônica * Aquisição de material de expediente/didático para atender às necessidades das secretarias deste Município de Lençóis-BA * https://bllcompras.com *</t>
  </si>
  <si>
    <t>LOCAL: https://bllcompras.com/
Nº PROC. ADM: 027/2026
 TIPO CONTRATO: AQUISIÇÃO
 INÍCIO REC. PROPOSTA: 09/04/2026 08:00:00
 FIM REC. PROPOSTA: 22/04/2026 14:00:00
 INÍCIO DISPUTA: 22/04/2026 14:30:00
 CIDADE: LENÇÓIS
 FASE: PUBLICADO
 EXCLUSIVO ME: NÃO
 EXCLUSIVO REGIONAL: NÃO
 MODO DE DISPUTA: ABERTO E FECHADO
 TIPO DE LANCE: MENOR LANCE
 FONE PROMOTOR: 7533341121
 E-MAIL PROMOTOR: licitacoespmlencois@gmail.com
 CONDUTOR: WENILSON DIAS DE ALMEIDA
 AUTORIDADE: KATIUSKARIZA DAMASCENO TELES
 INFORMACÕES ADICIONAIS: MATERIAL DE EXPEDIENTE
 VALOR ESTIMADO: R$927.275,30</t>
  </si>
  <si>
    <t>Prefeitura Municipal de Antônio Cardoso</t>
  </si>
  <si>
    <t>Antônio Cardoso</t>
  </si>
  <si>
    <t>Contratação de empresa especializada em Engenharia Civil para a elaboração dos projetos Básico e Executivo, bem como para a execução das obras de construção de 20 vinte Unidades Habitacionais no Distrito de Oleiro, no âmbito do Programa Minha Casa, Minha Vida, integrante do Novo PAC, no município de Antônio Cardoso - BA.</t>
  </si>
  <si>
    <t>Local do certame: PREFEITURA MUNICIPAL 
Status: EM ANDAMENTO</t>
  </si>
  <si>
    <t>Prefeitura Municipal de Tanque Novo</t>
  </si>
  <si>
    <t>Tanque Novo</t>
  </si>
  <si>
    <t>* Licitação Eletrônica * Aquisição de peças destinadas às instalações e manutenções de motores, geradores, bombas submersas, para atender a demanda da Secretaria de Agricultura e Meio Ambiente * https://bnccompras.com *</t>
  </si>
  <si>
    <t>LOCAL: https://bnccompras.com/
Nº PROC. ADM: 094/2026
 TIPO CONTRATO: REGISTRO DE PREÇO
 INÍCIO REC. PROPOSTA: 08/04/2026 14:20:00
 FIM REC. PROPOSTA: 22/04/2026 08:00:00
 INÍCIO DISPUTA: 22/04/2026 08:30:00
 CIDADE: TANQUE NOVO
 FASE: RECEPÇÃO DE PROPOSTAS
 EXCLUSIVO ME: NÃO
 EXCLUSIVO REGIONAL: NÃO
 MODO DE DISPUTA: ABERTO
 TIPO DE LANCE: MENOR LANCE
 FONE PROMOTOR: 7736951162
 E-MAIL PROMOTOR: cpl.tanquenovo@gmail.com
 CONDUTOR: ARI WESLEY GUEDES ALVES
 AUTORIDADE: PAULO RICARDO BONFIM CARNEIRO
 VALOR ESTIMADO: R$641.340,00</t>
  </si>
  <si>
    <t xml:space="preserve"> CONTRATAÇÃO DE EMPRESA ESPECIALIZADA EM OBRAS DE INFRAESTRUTURA PARA A EXECUÇÃO DOS SERVIÇOS DE DRENAGEM NO BAIRRO BEIJA-FLOR, LOCALIZADO NA SEDE DO MUNICÍPIO DE GUANAMBI-BA * https://bnccompras.com *</t>
  </si>
  <si>
    <t>LOCAL: https://bnccompras.com/
Nº PROC. ADM: 201-25-PMG
 TIPO CONTRATO: AQUISIÇÃO PARCELADA
 INÍCIO REC. PROPOSTA: 09/04/2026 11:00:00
 FIM REC. PROPOSTA: 21/05/2026 07:30:00
 INÍCIO DISPUTA: 21/05/2026 08:00:00
 CIDADE: GUANAMBI
 FASE: RECEPÇÃO DE PROPOSTAS
 EXCLUSIVO ME: NÃO
 EXCLUSIVO REGIONAL: NÃO
 MODO DE DISPUTA: ABERTO
 TIPO DE LANCE: MENOR LANCE
 FONE PROMOTOR: 7798471392
 E-MAIL PROMOTOR: sec.adm@edu.guanambi.ba.gov.br
 CONDUTOR: DAVID XAVIER SOUZA JÚNIOR
 AUTORIDADE: ARNALDO PEREIRA DE AZEVEDO
 VALOR ESTIMADO: R$1.171.619,66</t>
  </si>
  <si>
    <t>* Registro de preços * * Licitação Eletrônica * [LICITANET] - Aquisição de materiais em ferro fundido destinados à instalação do conjunto motobomba a ser implantado na Estação de Tratamento de Água ETA.</t>
  </si>
  <si>
    <t>Unidade compradora: 2463 - SAAE-SERVIÇO AUTÔNOMO DE ÁGUA E ESGOTO DE ITAPETINGA/BA
Local: Itapetinga/BA
Órgão: SERVICO AUTONOMO DE AGUA E ESGOTO
Id contratação PNCP: 14464143000169-1-000020/2026
Fonte: Licitanet Licitações Eletrônicas LTDA
 - Número compra: 08 - Pregão - Eletrônico</t>
  </si>
  <si>
    <t>Indústrias Nucleares do Brasil S/A</t>
  </si>
  <si>
    <t>PE/91025/2026</t>
  </si>
  <si>
    <t>* Licitação Eletrônica * Fornecimento de postes e cruzetas de concreto, posto CIF, nas Indústrias Nucleares do Brasil S/A - INB, localizada no município de Caetité/BA, em conformidade com o Termo de Referência.</t>
  </si>
  <si>
    <t>** Esta publicação está sendo informada para os estados BA e RJ onde será realizado o objeto da licitação. Informamos que a publicação oficial é do estado de RJ. **
Unidade compradora: 113206 - INDUSTRIAS NUCLEARES DO BRASIL S/A
Local: Rio de Janeiro/RJ
Órgão: MINISTERIO DE MINAS E ENERGIA
Id contratação PNCP: 37115383000153-1-000029/2026
Fonte: Compras.gov.br
O Edital e suplementos referentes a esta licitação estarão disponíveis no site da INB www.inb.gov.br/licitacoes Para as respostas de esclarecimentos e impugnações deste edital acesse o link: https://cnetmobile.estaleiro.serpro.gov.br/comprasnet-web/public/landing?destino=quadro-informativo&amp;compra=11320605910252026 - Número compra: 91025 - Pregão - Eletrônico</t>
  </si>
  <si>
    <t>Prefeitura Municipal de Nova Fátima</t>
  </si>
  <si>
    <t>Nova Fátima</t>
  </si>
  <si>
    <t>PE/3.005/2026</t>
  </si>
  <si>
    <t>* Licitação Eletrônica * EVENTUAL CONTRATAÇÃO DE EMPRESA PARA FORNECIMENTO DE BRITA, MATERIAIS DE CONSTRUÇÃO, HIDRÁULICOS, MADEIRAS, FERRAMENTAS, FERRAGENS E CORRELATOS DE FORMA PARCELADA DESTINADA A ATENDER AS NECESSIDADES DAS SECRETARIAS DESTE MUNICÍPIO. * https://bllcompras.com *</t>
  </si>
  <si>
    <t>LOCAL: https://bllcompras.com/
Nº PROC. ADM: 035/2026
 TIPO CONTRATO: REGISTRO DE PREÇO
 INÍCIO REC. PROPOSTA: 09/04/2026 17:00:00
 FIM REC. PROPOSTA: 23/04/2026 08:00:00
 INÍCIO DISPUTA: 23/04/2026 10:00:00
 CIDADE: NOVA FÁTIMA
 FASE: PUBLICADO
 EXCLUSIVO ME: NÃO
 EXCLUSIVO REGIONAL: NÃO
 MODO DE DISPUTA: ABERTO
 TIPO DE LANCE: MENOR LANCE
 FONE PROMOTOR: 7583408989
 E-MAIL PROMOTOR: prefeituranovafatima2017@gmail.com
 CONDUTOR: JOELVAN CUNHA DE ALMEIDA
 AUTORIDADE: JOSE DE ASSIS DE OLIVEIRA PORTO
 INFORMACÕES ADICIONAIS: 
 VALOR ESTIMADO: R$3.116.913,68</t>
  </si>
  <si>
    <t>* Licitação Eletrônica * Aquisição de motosserras, roçadeiras, bombas, ferramentas, peças/material de reposição, equipamentos de borracharia e equipamentos EPI, para atender as demandas da Secretaria Municipal de Obras, Serviços Público e Habitação do Município de Itamaraju BA. * https://licitanet.com.br *</t>
  </si>
  <si>
    <t>Processo: 000087/2026
Quantidade de lotes: 4</t>
  </si>
  <si>
    <t>Prefeitura Municipal de Vera Cruz</t>
  </si>
  <si>
    <t>Vera Cruz</t>
  </si>
  <si>
    <t>* Licitação eletrônica * Registro de preço para futura e eventual aquisição de cascalho e solo brita para serviços de encascalhamento das estradas vicinais do Município de Vera Cruz/BA.</t>
  </si>
  <si>
    <t>plataforma https://licitanet.com.br/. Edital e Anexos estão disponíveis no sítio https://licitanet.com.br/. ou através do site de transparência http://pmveracruzba.imprensaoficial.org, https://pncp.gov.br. Informações: licitacao@veracruz.ba.gov.br.</t>
  </si>
  <si>
    <t>Prefeitura Municipal de Jeremoabo</t>
  </si>
  <si>
    <t>Jeremoabo</t>
  </si>
  <si>
    <t>* Registro de preços * * Licitação Eletrônica * [LICITANET] - CONTRATAÇÃO DE EMPRESA ESPECIALIZADA PARA EVENTUAL E FUTURA AQUISIÇÃO DE MATERIAIS HIDRÁULICOS E CORRELATOS DESTINADOS A ATENDER AS NECESSIDADES DA SECRETARIA MUNICIPAL DE INFRA ESTRUTURA DO MUNICÍPIO DE JEREMOABO/BAHIA</t>
  </si>
  <si>
    <t>Unidade compradora: 3056 - MUNICÍPIO DE JEREMOABO/BA 
Local: Jeremoabo/BA
Órgão: MUNICIPIO DE JEREMOABO
Id contratação PNCP: 13809041000175-1-000045/2026
Fonte: Licitanet Licitações Eletrônicas LTDA
 - Número compra: 021 - Pregão - Eletrônico</t>
  </si>
  <si>
    <t>* Registro de preços * * Licitação Eletrônica * Registro de Preços para futura e eventual Aquisição de materiais de confecção, ambientação e decoração de eventos promovidos pela Secretaria Municipal de Educação.</t>
  </si>
  <si>
    <t>Unidade compradora: 983495 - PREFEITURA MUNICIPAL DE CRUZ DAS ALMAS - BA
Local: Cruz das Almas/BA
Órgão: MUNICIPIO DE CRUZ DAS ALMAS
Id contratação PNCP: 14006977000120-1-000045/2026
Fonte: Compras.gov.br
 Para as respostas de esclarecimentos e impugnações deste edital acesse o link: https://cnetmobile.estaleiro.serpro.gov.br/comprasnet-web/public/landing?destino=quadro-informativo&amp;compra=98349505900162026 - Número compra: 90016 - Pregão - Eletrônico</t>
  </si>
  <si>
    <t>Prefeitura Municipal de Boquira</t>
  </si>
  <si>
    <t>Boquira</t>
  </si>
  <si>
    <t xml:space="preserve">* Licitação Eletrônica *  Prestação de serviços relativos à implantação de melhorias sanitárias domiciliares nas comunidades de Palmeira e Gameleira, neste município, nos termos do Convênios n.º CV 1800/17, firmado com a FUNASA, conforme especificações técnicas contidas no projeto arquitetônico, planilhas orçamentárias e cronograma físico-financeiro e demais condições e exigências estabelecidas no Edital e seus anexos. </t>
  </si>
  <si>
    <t>AVISOS DE LICITAÇÃO CONCORRÊNCIA ELETRÔNICA N° 5/2026-CO
A PREFEITURA MUNICIPAL DE BOQUIRA, vem tornar público a abertura do processo de licitação Concorrência Eletrônica n°. 005-2026-CO, objeto: Prestação de serviços relativos à implantação de melhorias sanitárias domiciliares nas comunidades de Palmeira e Gameleira, neste município, nos termos do Convênios n.º CV 1800/17, firmado com a FUNASA, conforme especificações técnicas contidas no projeto arquitetônico, planilhas orçamentárias e cronograma físico-financeiro e demais condições e exigências estabelecidas no Edital e seus anexos. Tipo de julgamento: Menor Preço Global. Horário, Data de Recebimento das propostas: a partir do dia 27/04/2026 Sessão: às 09:00h do dia 27/04/2026 horários de Brasília/DF, no site https://www.licitanet.com.br/. Edital disponível: http:// https://www.boquira.ba.gov.br/Site/DiarioOficial e http:// https://www.licitanet.com.br/ ou na sede desta Prefeitura. Informações: 77 3645-2291 ou licitacao@boquira.ba.gov.br.</t>
  </si>
  <si>
    <t>Prefeitura Municipal de Presidente Dutra</t>
  </si>
  <si>
    <t>Presidente Dutra</t>
  </si>
  <si>
    <t>* Licitação Eletrônica * Registro de Preços para futura e eventual contratação de empresa especializada na prestação de serviços terceirizados com fornecimento de mão de obra, destinados ao atendimento das necessidades operacionais, administrativas, prediais e de infraestrutura da Prefeitura Municipal de Presidente Dutra - BA. * https://bnccompras.com *</t>
  </si>
  <si>
    <t>LOCAL: https://bnccompras.com/
Nº PROC. ADM: 010704/2026
 TIPO CONTRATO: REGISTRO DE PREÇO
 INÍCIO REC. PROPOSTA: 09/04/2026 11:05:00
 FIM REC. PROPOSTA: 27/04/2026 11:05:00
 INÍCIO DISPUTA: 28/04/2026 09:00:00
 CIDADE: PRESIDENTE DUTRA
 FASE: RECEPÇÃO DE PROPOSTAS
 EXCLUSIVO ME: NÃO
 EXCLUSIVO REGIONAL: NÃO
 MODO DE DISPUTA: FECHADO E ABERTO
 TIPO DE LANCE: MENOR LANCE
 FONE PROMOTOR: 7436401011
 E-MAIL PROMOTOR: pmpdba@hotmail.com
 CONDUTOR: HERBETE NEIVA MACHADO
 AUTORIDADE: ROBERTO CARLOS ALVES DE SOUZA
 VALOR ESTIMADO: R$0,00</t>
  </si>
  <si>
    <t>Prefeitura Municipal de Canindé</t>
  </si>
  <si>
    <t>Canindé</t>
  </si>
  <si>
    <t>PE/15.003/2026</t>
  </si>
  <si>
    <t>* Licitação Eletrônica * REGISTRO DE PREÇO PARA FUTURAS E EVENTUAIS AQUISIÇÕES HIDRÔMETROS VELOCIMÉTRICOS, PORCAS PARA TUBETES, TUBETES E GUARNIÇÕES  PARA ATENDER AS DEMANDAS DO SERVIÇO AUTÔNOMO DE ÁGUA E ESGOTO DO MUNICIPIO DE CANINDE/CE.</t>
  </si>
  <si>
    <t>Pregão Eletrônico
CERTAME LICITATÓRIO Nº 15.003/2026-PERP
Tipo de apuração: Lote
Critério de julgamento: Menor Preço</t>
  </si>
  <si>
    <t>PE/90263/2026</t>
  </si>
  <si>
    <t>* Licitação Eletrônica * O objeto da licitação é o Registro de Preço para futuras e eventuais Aquisições de CORDAS E ESCADAS, nas condições estabelecidas neste edital e seus anexos.</t>
  </si>
  <si>
    <t>Unidade compradora: 943001 - GOVERNO DO ESTADO DO CEARA
Local: Fortaleza/CE
Órgão: ESTADO DO CEARA
Id contratação PNCP: 07954480000179-1-008360/2026
Fonte: Compras.gov.br
O edital poderá ser adquirido no site: www.seplag.ce.gov.br Para as respostas de esclarecimentos e impugnações deste edital acesse o link: https://cnetmobile.estaleiro.serpro.gov.br/comprasnet-web/public/landing?destino=quadro-informativo&amp;compra=94300105902632026 - Número compra: 90263 - Pregão - Eletrônico</t>
  </si>
  <si>
    <t>Prefeitura Municipal de Altaneira</t>
  </si>
  <si>
    <t>Altaneira</t>
  </si>
  <si>
    <t>PE/2026.04.08.1</t>
  </si>
  <si>
    <t>* Licitação eletrônica * Aquisição de material para manutenção de vias públicas.</t>
  </si>
  <si>
    <t xml:space="preserve">com abertura marcada para o dia 23 de abril de 2026, a partir das 09:30 horas. O início de acolhimento das propostas a partir do dia 10 de abril de 2026, às 09:00 horas. Através da plataforma eletrônica brconectado.com.br, no sítio eletrônico www.licitacaoaltaneira.com.br. Maiores informações na sede do Setor de Licitações, sito na Rua Deputado Furtado Leite, N° 272, Centro, CEP: 63.195-000, no horário de 08:00 as 14:00 horas ou ainda pelo E-mail: licitacao@altaneira.ce.gov.br.
</t>
  </si>
  <si>
    <t>* Licitação Eletrônica * REGISTRO DE PREÇOS PARA AQUISIÇÃO DE MATERIAL DE CONSTRUÇÃO, PINTURA, ELÉTRICO, HIDRÁULICO E OUTROS CORRELATOS, DESTINADOS À MANUTENÇÃO, CONSERVAÇÃO, PEQUENOS REPAROS E ADEQUAÇÕES DE PRÉDIOS PÚBLICOS E DEMAIS INSTALAÇÕES PARA ATENDER AS NECESSIDADES DAS DIVERSAS SECRETARIAS DO MUNICÍPIO DE CANINDÉ/CE</t>
  </si>
  <si>
    <t>Pregão Eletrônico
CERTAME LICITATÓRIO Nº 005.2026-PERP
Tipo de apuração: Lote
Critério de julgamento: Menor Preço</t>
  </si>
  <si>
    <t>PODER JUDICIÁRIO - Tribunal Superior Eleitoral - Tribunal Regional Eleitoral do Ceará</t>
  </si>
  <si>
    <t>* Licitação Eletrônica * Aquisição de ferramentas, equipamentos e acessórios destinados às atividades de manutenção predial, conforme   condições estabelecidas no edital e anexos.</t>
  </si>
  <si>
    <t>Unidade compradora: 070007 - TRIBUNAL REGIONAL ELEITORAL DO CEARA
Local: Fortaleza/CE
Órgão: TRIBUNAL SUPERIOR ELEITORAL
Id contratação PNCP: 00509018000113-1-000753/2026
Fonte: Compras.gov.br
 Para as respostas de esclarecimentos e impugnações deste edital acesse o link: https://cnetmobile.estaleiro.serpro.gov.br/comprasnet-web/public/landing?destino=quadro-informativo&amp;compra=07000705900202026 - Número compra: 90020 - Pregão - Eletrônico</t>
  </si>
  <si>
    <t>INTERNACIONAL</t>
  </si>
  <si>
    <t xml:space="preserve">construção de obras na Estação de Tratamento de Água Brasília 01ETA.BSB.001, Plano Piloto/DF. </t>
  </si>
  <si>
    <t>SECRETARIA DE ESTADO DE OBRAS E INFRAESTRUTURA
COMPANHIA DE SANEAMENTO AMBIENTAL DO DISTRITO FEDERAL
AVISO DE LICITAÇÃO
LPN Nº 2/2026 - BID
Data da publicação: 31/03/2026 Controle de Empréstimo nº 5890/OC - BR
Edital nº: LPN 002/2026 - BID
1.A Companhia de Saneamento Ambiental do Distrito Federal - Caesb recebeu
um empréstimo do Banco Interamericano de Desenvolvimento doravante denominado
"Banco", no montante de US$ 125 milhões de dólares, sendo US$ 100 milhões de dólares
financiados pelo BID e US$ 25 milhões de dólares de contrapartida local, e pretende aplicar
parte dos recursos em pagamentos decorrentes do contrato para construção de obras na
Estação de Tratamento de Água Brasília 01ETA.BSB.001, Plano Piloto/DF. A licitação está
aberta a todos os Concorrentes oriundos de países elegíveis do Banco.
2.A Companhia de Saneamento Ambiental do Distrito Federal - Caesb,
doravante denominado Contratante, convida os interessados a se habilitarem e
apresentarem propostas para a execução de obras de Reforma para Adequações e
Melhorias no processo de tratamento de água e no sistema de automação da Estação de
Tratamento de Água de Brasília 01. Valor estimado total com BDI: R$ 16.142.245,74.
3.O Edital e cópias adicionais poderão ser adquiridos no site da Caesb
https://www.caesb.df.gov.br/. Os interessados poderão obter maiores informações
poderão ser obtidas por meio do telefone 61 3213-7164 e do e-mail
licitacoesespeciais@caesb.df.gov.br.
4.As propostas deverão ser entregues por sistema eletrônico, via
Peticionamento Web, disponível no site da Caesb, na data de entrega das propostas:
22/04/2026 às 23:59h, e serão abertas em um evento público, em uma plataforma de
reuniões online. Todos os participantes serão convocados para a abertura das propostas no
dia 24/04/2026 às 9h. A participação é obrigatória.
5.O Concorrente poderá apresentar proposta individualmente ou como
participante de um Joint-Venture e/ou Consórcio.
CARLOS HENRIQUE ISAÍAS DO CARMO CARVALHO
p/ Comissão Especial de Licitação</t>
  </si>
  <si>
    <t>* Licitação Eletrônica * Aquisição de Material de Consumo e Permanente álcool, coador de café, bule, garrafa, chaleira, balde, escada, fita, etiqueta, filtro de linha, ventilador, capacho, caneta, placa patrimonial, pincel, e pasta, conforme especificações e condições constantes do Edital e seus Anexos.</t>
  </si>
  <si>
    <t>Unidade compradora: 926241 - EMPRESA DE ASSITENCIA TECNICA E EXT. RURAL
Local: Brasília/DF
Órgão: Empresa de Assistência Técnica e Extensão Rural do Distrito Federal
Id contratação PNCP: 00509612000104-1-000006/2026
Fonte: Compras.gov.br
 Para as respostas de esclarecimentos e impugnações deste edital acesse o link: https://cnetmobile.estaleiro.serpro.gov.br/comprasnet-web/public/landing?destino=quadro-informativo&amp;compra=92624105900022026 - Número compra: 90002 - Pregão - Eletrônico</t>
  </si>
  <si>
    <t>SM/32/2026</t>
  </si>
  <si>
    <t>Aquisição de materiais para construção e acabamento, na forma do Sistema de Registro de Preços - SRP. * www.portaldecompraspublicas.com.br *</t>
  </si>
  <si>
    <t>Órgão: Companhia de Saneamento Ambiental do Distrito Federal - CAESB - Companhia de Saneamento Ambiental do Distrito Federal - CAESB - DF
				Processo: 00092-00007070/2026-34
				Edital: LC 032/2026
				Modalidade: RCE-Regime de Contratação Estatal
				Início de envio das propostas: 09-04-2026 ás 09:00
				Término de envio das propostas: 28/04/2026 ás 08:59		
				Início dos lances: 28/04/2026 ás 09:00</t>
  </si>
  <si>
    <t>MINISTÉRIO DA DEFESA - Secretaria de Organização Institucional - Hospital das Forças Armadas</t>
  </si>
  <si>
    <t>* Licitação Eletrônica * Aquisição de material permanente hospitalar, a fim de equipar o Centro de Reabilitação em Fisioterapia do HFA no atendimento aos pacientes ambulatoriais e em unidades de internação</t>
  </si>
  <si>
    <t>Unidade compradora: 112408 - HOSPITAL DAS FORCAS ARMADAS
Local: Brasília/DF
Órgão: MINISTERIO DA DEFESA
Id contratação PNCP: 03277610000125-1-000159/2026
Fonte: Compras.gov.br
 Para as respostas de esclarecimentos e impugnações deste edital acesse o link: https://cnetmobile.estaleiro.serpro.gov.br/comprasnet-web/public/landing?destino=quadro-informativo&amp;compra=11240805900252026 - Número compra: 90025 - Pregão - Eletrônico</t>
  </si>
  <si>
    <t>MINISTÉRIO DA DEFESA - Comando do Exército - Comando Militar do Planalto - Base de Administração e Apoio do Comando Militar do Planalto</t>
  </si>
  <si>
    <t>* Registro de preços * * Licitação Eletrônica * Aquisição de Materiais Permanentes</t>
  </si>
  <si>
    <t>Unidade compradora: 160148 - BASE DE ADMINISTRAÇÃO E APOIO DO CMP
Local: Brasília/DF
Órgão: COMANDO DO EXERCITO
Id contratação PNCP: 00394452000103-1-007271/2026
Fonte: Compras.gov.br
 Para as respostas de esclarecimentos e impugnações deste edital acesse o link: https://cnetmobile.estaleiro.serpro.gov.br/comprasnet-web/public/landing?destino=quadro-informativo&amp;compra=16014805900032026 - Número compra: 90003 - Pregão - Eletrônico</t>
  </si>
  <si>
    <t>SM/31/2026</t>
  </si>
  <si>
    <t>Aquisição de rolamentos, mancais, retentores e rótulas da marca SKF, na forma do Sistema de Registro de Preços - SRP. * www.portaldecompraspublicas.com.br *</t>
  </si>
  <si>
    <t>Órgão: Companhia de Saneamento Ambiental do Distrito Federal - CAESB - Companhia de Saneamento Ambiental do Distrito Federal - CAESB - DF
				Processo: 00092-00013825/2025-91
				Edital: LC 031/2026
				Modalidade: RCE-Regime de Contratação Estatal
				Início de envio das propostas: 09-04-2026 ás 09:00
				Término de envio das propostas: 27/04/2026 ás 08:59		
				Início dos lances: 27/04/2026 ás 09:00</t>
  </si>
  <si>
    <t>Fundação de Empreendimentos Científicos e Tecnológicos - FINATEC</t>
  </si>
  <si>
    <t>SM/46/2026</t>
  </si>
  <si>
    <t>* Licitação Eletrônica * Contratação de empresa especializada de serviços de Tecnologia da Informação. A contratação consiste no fornecimento, instalação, configuração, licenciamento e comissionamento de solução de rede para transmissão de dados do sistema de aquisição de dados em pista experimental, incluindo, logística, transporte, montagem, testes, ativação, suporte técnico e manutenção corretiva durante o período de garantia, conforme as especificações contidas no Termo de Referência - Anexo I. * https://bllcompras.com *</t>
  </si>
  <si>
    <t>LOCAL: https://bllcompras.com/
Nº PROC. ADM: 046/2026
 TIPO CONTRATO: AQUISIÇÃO
 INÍCIO REC. PROPOSTA: 09/04/2026 13:00:00
 FIM REC. PROPOSTA: 16/04/2026 10:00:00
 INÍCIO DISPUTA: 16/04/2026 10:10:00
 CIDADE: BRASÍLIA
 FASE: PUBLICADO
 EXCLUSIVO ME: NÃO
 EXCLUSIVO REGIONAL: NÃO
 MODO DE DISPUTA: ABERTO E FECHADO
 TIPO DE LANCE: MENOR LANCE
 FONE PROMOTOR: 6133480400
 E-MAIL PROMOTOR: selecao@finatec.org.br
 CONDUTOR: PAULO ANDRE SILVA CAMPOS
 AUTORIDADE: GUSTAVO ABRANTES CONDEIXA
 INFORMACÕES ADICIONAIS: 
 VALOR ESTIMADO: R$43.000,00</t>
  </si>
  <si>
    <t>Prefeitura Municipal de Alfredo Chaves</t>
  </si>
  <si>
    <t>Alfredo Chaves</t>
  </si>
  <si>
    <t>* Licitação Eletrônica * Contratacao de empresa especializada para execucao de obra de engenharia destinada ao calcamento de via publica no Municipio de Alfredo Chaves/ES, compreendendo a execucao de servicos preliminares, regularizacao e compactacao do subleito, execucao de...</t>
  </si>
  <si>
    <t>Órgão: Prefeitura Municipal de Alfredo Chaves - Prefeitura Municipal de Alfredo Chaves - ES
				Processo: 002950/2026
				Edital: 000001/2026
				Modalidade: Concorrência
				Início de envio das propostas: 09-04-2026 ás 08:00
				Término de envio das propostas: 28/04/2026 ás 08:00		
				Início dos lances: 28/04/2026 ás 08:30</t>
  </si>
  <si>
    <t>Prefeitura Municipal de Itaguaçu</t>
  </si>
  <si>
    <t>Itaguaçu</t>
  </si>
  <si>
    <t>* Licitação Eletrônica * Contratação de Empresa Especializada para Construção de 20 edificações residenciais do programa FNHIS Sub 50, com área total de 47,46 m² por unidade no Loteamento Solar de Itaguaçu - localizado na Rod. Gumercindo Moura Nunes, município de Itaguaçu-ES.</t>
  </si>
  <si>
    <t>Unidade compradora: 985653 - MES-PREFEITURA MUNICIPAL DE ITAGUAÇU
Local: Itaguaçu/ES
Órgão: MUNICIPIO DE ITAGUACU
Id contratação PNCP: 27167451000174-1-000049/2026
Fonte: Compras.gov.br
Em caso de eventual diferença entre as especificaçãoões do objeto descritas no "sistema de compras do governo federal www.gov.br/compras" e as especificações constantes neste edital de concorrência, prevalecerão as do instrumento convocatório. Para as respostas de esclarecimentos e impugnações deste edital acesse o link: https://cnetmobile.estaleiro.serpro.gov.br/comprasnet-web/public/landing?destino=quadro-informativo&amp;compra=98565303900032026 - Número compra: 90003 - Concorrência - Eletrônica</t>
  </si>
  <si>
    <t>Defensoria Publica do Estado do Espírito Santo</t>
  </si>
  <si>
    <t>* Licitação eletrônica * Contratação de empresa para fornecimento de purificador de água e filtros/refis de reposição.</t>
  </si>
  <si>
    <t>Envio das propostas a partir de 09/04/2026. Informações: licitacao@defensoria.es.def.br. Sessão pública no site www.comprasgovernamentais.gov.br, UASG: 926622.</t>
  </si>
  <si>
    <t>* Licitação Eletrônica * Contratação de empresa especializada, com fornecimento de todos os materiais, ferramentas, equipamentos e mão de obra necessários, para a confecção, fornecimento e instalação de gradil e portão no Centro de Atividades de Cachoeiro de Itapemirim - CACI, do Sesc/ES. * http://www.licitacoes-e.com.br *</t>
  </si>
  <si>
    <t>Edital : 033/2026 
Modalidade : Pregão 
Nº Licitação : 1091051 
Início acolhimento de propostas : 08/04/2026-17:30 
Limite acolhimento de propostas : 16/04/2026-14:00 
Abertura das propostas : 16/04/2026-14:00 
Data e a hora da disputa : 16/04/2026-15:00 
Pregoeiro : AISLAN CAMARGO DE MELO BIGOSSI</t>
  </si>
  <si>
    <t>Prefeitura Municipal de Iconha</t>
  </si>
  <si>
    <t>Iconha</t>
  </si>
  <si>
    <t>* Licitação Eletrônica * Registro de Preços para futura contratação de Materiais Elétricos para rede de Iluminação Publica, para atender às demandas da 
Secretaria Municipal de Serviços Urbanos do Município de Iconha.</t>
  </si>
  <si>
    <t>Órgão: Prefeitura Municipal de Iconha - Prefeitura Municipal de Iconha - ES
				Processo: 2026-GRLD0/2026
				Edital: 000002/2026
				Modalidade: Pregão para Registro de Preço
				Início de envio das propostas: 09-04-2026 ás 09:00
				Término de envio das propostas: 24/04/2026 ás 07:59		
				Início dos lances: 24/04/2026 ás 08:00</t>
  </si>
  <si>
    <t>Prefeitura Municipal de São Mateus</t>
  </si>
  <si>
    <t>São Mateus</t>
  </si>
  <si>
    <t>* Licitação Eletrônica * REGISTRO DE PREÇOS PARA CONTRATAÇÃO DE EMPRESA ESPECIALIZADA PARA A AQUISIÇÃO DE TUBO CORRUGADO COM PAREDE ESTRUTURADA DE PEAD Polietileno de Alta Densidade.</t>
  </si>
  <si>
    <t>Unidade compradora: 27167477000112-023 - SECRETARIA MUNICIPAL DE AGRICULTURA  ABASTECIMENTO
Local: São Mateus/ES
Órgão: MUNICIPIO DE SAO MATEUS
Id contratação PNCP: 27167477000112-1-000230/2026
Fonte: E &amp; L PRODUCOES DE SOFTWARE LTDA
É MOTIVADA PELA EXECUÇÃO EFICAZ DAS OBRAS DE DRENAGEM E ESCOAMENTO DE ÁGUAS PLUVIAIS, MINIMIZANDO PROBLEMAS RELACIONADOS À ALAGAMENTOS E À DETERIORAÇÃO DAS ESTRADAS, DESENVOLVIDO PARA USO EM INSTALAÇÃO ENTERRADA, É APLICADO NA DRENAGEM PLUVIAL, PROPORCION - Número compra: 000013 - Pregão - Eletrônico</t>
  </si>
  <si>
    <t>Fundo Municipal de Assistência Social de Ponto Belo</t>
  </si>
  <si>
    <t>* Licitação Eletrônica * Contratação de empresa para construção das Unidades habitacionais do Bairro Vila Esperança em Ponto Belo ES. * https://bllcompras.com *</t>
  </si>
  <si>
    <t xml:space="preserve">LOCAL: https://bllcompras.com/
Nº PROC. ADM: 0000009
 TIPO CONTRATO: AQUISIÇÃO
 INÍCIO REC. PROPOSTA: 09/04/2026 08:00:00
 FIM REC. PROPOSTA: 29/04/2026 08:30:00
 INÍCIO DISPUTA: 29/04/2026 09:00:00
 CIDADE: PONTO BELO
 FASE: PUBLICADO
 EXCLUSIVO ME: NÃO
 EXCLUSIVO REGIONAL: NÃO
 MODO DE DISPUTA: ABERTO
 TIPO DE LANCE: MENOR LANCE
 FONE PROMOTOR: 2737571137
 E-MAIL PROMOTOR: licitacao@pontobelo.es.gov.br
 CONDUTOR: FRANCIELY PINTO SILVA
 AUTORIDADE: ERICA LOUBACK DA CUNHA OLIVEIRA
 INFORMACÕES ADICIONAIS: 
 VALOR ESTIMADO: R$3.103.512,73
 </t>
  </si>
  <si>
    <t>MINISTÉRIO DA DEFESA - Comando do Exército - Comando Militar do Leste - 1ªDivisão de Exército - COMANDO DE ARTILHARIA DIVISIONARIA DA 1ª DE - 38ºBatalhão de Infantaria</t>
  </si>
  <si>
    <t>PE/90019/2025</t>
  </si>
  <si>
    <t>* Registro de preços * * Licitação Eletrônica * Aquisição de materiais de construção, elétrico, hidráulico e ferramental.</t>
  </si>
  <si>
    <t>Unidade compradora: 160093 - 38  BATALHAO DE INFANTARIA/MEX/ES
Local: Vila Velha/ES
Órgão: COMANDO DO EXERCITO
Id contratação PNCP: 00394452000103-1-025433/2025
Fonte: Compras.gov.br
 Para as respostas de esclarecimentos e impugnações deste edital acesse o link: https://cnetmobile.estaleiro.serpro.gov.br/comprasnet-web/public/landing?destino=quadro-informativo&amp;compra=16009305900192025 - Número compra: 90019 - Pregão - Eletrônico</t>
  </si>
  <si>
    <t>* Licitação Eletrônica * Contratação de empresa especializada para a execução das obras de drenagem pluvial e pavimentação com blocos intertravados nas Ruas Daniel Lidig, extensão da Dório Salomão, David Butzke, Luzia Maria Carolina Reblin Berger, Projetada e Clóvis Berger, na localidade de Rio Possmoser, neste Município * https://bnccompras.com *</t>
  </si>
  <si>
    <t>LOCAL: https://bnccompras.com/
Nº PROC. ADM: 2026-R96Z6/2026
 TIPO CONTRATO: AQUISIÇÃO
 INÍCIO REC. PROPOSTA: 17/04/2026 08:00:00
 FIM REC. PROPOSTA: 06/05/2026 07:59:00
 INÍCIO DISPUTA: 06/05/2026 08:00:00
 CIDADE: SANTA MARIA DE JETIBÁ
 FASE: PUBLICADO
 EXCLUSIVO ME: NÃO
 EXCLUSIVO REGIONAL: NÃO
 MODO DE DISPUTA: ABERTO
 TIPO DE LANCE: MENOR LANCE
 FONE PROMOTOR: 2732634350
 E-MAIL PROMOTOR: ronanzocoloto@gmail.com
 CONDUTOR: MARCOS ROBERTO PELLACANI
 AUTORIDADE: RONAN ZOCOLOTO SOUZA DUTRA
 VALOR ESTIMADO: R$1.717.537,56</t>
  </si>
  <si>
    <t>* Licitação Eletrônica * Contratação de empresa para a execução das obras de drenagem pluvial e pavimentação nas Ruas Daniel Lidig e Dório Salomão, na localidade de Rio Possmoser.</t>
  </si>
  <si>
    <t>Unidade compradora: 36388445000138 - PREFEITURA MUNICIPAL DE SANTA MARIA DE JETIBÁ
Local: Santa Maria de Jetibá/ES
Órgão: MUNICIPIO DE SANTA MARIA DE JETIBA
Id contratação PNCP: 36388445000138-1-000074/2026
Fonte: E &amp; L PRODUCOES DE SOFTWARE LTDA
As Ruas Daniel Lidig e Dório Salomão, localizadas na comunidade de Rio Possmoser, no município de Santa Maria de Jetibá, não possuem infraestrutura adequada de drenagem pluvial e pavimentação, apresentando condições que comprometem diretamente a mobilidade urbana, a segurança viária e a qualidade de vida da população - Número compra: 000012 - Concorrência - Eletrônica</t>
  </si>
  <si>
    <t>Prefeitura Municipal de Governador Lindenberg</t>
  </si>
  <si>
    <t>Governador Lindenberg</t>
  </si>
  <si>
    <t>* Licitação Eletrônica * FORMALIZAÇÃO DE REGISTRO DE PREÇOS PARA FUTURA E EVENTUAL AQUISIÇÃO DE MANILHAS DE CONCRETO TUBOS DE CONCRETO. * https://licitanet.com.br *</t>
  </si>
  <si>
    <t>Processo: 123.305/2026
Quantidade de lotes: 7</t>
  </si>
  <si>
    <t>Prefeitura Municipal de Iúna</t>
  </si>
  <si>
    <t>Iúna</t>
  </si>
  <si>
    <t>* Licitação Eletrônica * Registro de preço para eventual e futura aquisição de ferramentas.</t>
  </si>
  <si>
    <t>Órgão: Prefeitura Municipal de Iúna - Prefeitura Municipal de Iúna - ES
				Processo: H5V79-/2026
				Edital: 000016/2026
				Modalidade: Pregão para Registro de Preço
				Início de envio das propostas: 10-04-2026 ás 08:00
				Término de envio das propostas: 28/04/2026 ás 08:30		
				Início dos lances: 28/04/2026 ás 09:00</t>
  </si>
  <si>
    <t>* Registro de preços * * Licitação Eletrônica * Aquisição de cama, mesa e banho.</t>
  </si>
  <si>
    <t>Unidade compradora: 36388445000138 - PREFEITURA MUNICIPAL DE SANTA MARIA DE JETIBÁ
Local: Santa Maria de Jetibá/ES
Órgão: MUNICIPIO DE SANTA MARIA DE JETIBA
Id contratação PNCP: 36388445000138-1-000075/2026
Fonte: E &amp; L PRODUCOES DE SOFTWARE LTDA
x - Número compra: 000034 - Pregão - Eletrônico</t>
  </si>
  <si>
    <t>CESAN-Companhia Espírito-Santense de Saneamento</t>
  </si>
  <si>
    <t>* Licitação Eletrônica * AQUISIÇÃO DE TÊ DE SERVIÇO. * http://www.licitacoes-e.com.br *</t>
  </si>
  <si>
    <t>Edital : PEL0202026 
Modalidade : Pregão 
Nº Licitação : 1091079 
Início acolhimento de propostas : 15/04/2026-08:00 
Limite acolhimento de propostas : 24/04/2026-08:45 
Abertura das propostas : 24/04/2026-08:45 
Data e a hora da disputa : 24/04/2026-09:00 
Pregoeiro : THATIANA SANTOS DE MELLO</t>
  </si>
  <si>
    <t>* Registro de preços * * Licitação Eletrônica * REGISTRO DE PREÇOS PARA FUTURA E EVENTUAL CONTRATAÇÃO 
DE EMPRESA ESPECIALIZADA PARA AQUISIÇÃO DE MATERIAL 
PARA MANUTENÇÃO DE BENS MOVEIS PARA ATENDER AS 
DEMANDAS NA MANUTENÇÃO E CONSERTO DAS ROÇADEIRAS DA 
MARCA STIHL PERTENCENTES A SECRETARIA MUNICIPAL DE OBRAS, 
INFRAESTRUTURA E PLANEJAMENTO URBANO E SEUS DEPARTAMENTOS.</t>
  </si>
  <si>
    <t>Unidade compradora: 0 - PODER EXECUTIVO
Local: Acreúna/GO
Órgão: MUNICIPIO DE ACREUNA
Id contratação PNCP: 02218683000183-1-000156/2026
Fonte: CENTI
Registro de Preços para futura e eventual contratação 
de empresa especializada para aquisição de material 
para manutenção de bens moveis para atender as 
demandas na manutenção e conserto das roçadeiras da 
marca Stihl pertencentes a Secretaria Municipal de obras, 
infraestrutura e planejamento urbano e seus departamentos. - Número compra: 15 - Pregão - Eletrônico</t>
  </si>
  <si>
    <t>SAAE-Serviço Autônomo de Água e Esgoto</t>
  </si>
  <si>
    <t>Abadiânia</t>
  </si>
  <si>
    <t>Fornecimento varetas aço cromo silício e equipamentos de manutenção para sistema de esgoto, conforme normas técnicas do produto aço cromo silício que será obrigatório para o fornecimento dos itens solicitados para atender demandas sistema de esgoto do SAAE- Serviço Autônomo de Água e Esgoto de Abadiânia-GO, pelo período de 12 meses.</t>
  </si>
  <si>
    <t>Maiores informações: 062-3343-1323. E-mail: saaeabadianiacompras@hotmail.com. Data da publicação: 09/04/2026.</t>
  </si>
  <si>
    <t>* Licitação Eletrônica * Aquisição de equipamentos para realização de avaliações ambientais ocupacionais, destinados ao Sesc Med</t>
  </si>
  <si>
    <t>Prefeitura Municipal de Itajá</t>
  </si>
  <si>
    <t>Itajá</t>
  </si>
  <si>
    <t>* Licitação eletrônica * Aquisição de materiais para construção de calçadas no município de Itajá/GO em conformidade com o Plano de Trabalho</t>
  </si>
  <si>
    <t>Edital disponível em: www.itaja.go.gov.br. Abertura em 28/04/2026 às 09:00 h, no site www.slicx.com.br.</t>
  </si>
  <si>
    <t>Prefeitura Municipal de Senador Canedo</t>
  </si>
  <si>
    <t>PE/47/2026</t>
  </si>
  <si>
    <t>* Licitação Eletrônica * REGISTRO DE PREÇO PARA FUTURA AQUISIÇÃO DE MATERIAIS, FERRAMENTAS E EQUIPAMENTOS DIVERSOS DESTINADOS AO ATENDIMENTO DAS DEMANDAS DA SECRETARIA MUNICIPAL DE EDUCAÇÃO.</t>
  </si>
  <si>
    <t>Órgão: FUNDO MUNICIPAL DE EDUCAÇÃO E CULTURA - Prefeitura Municipal de Senador Canedo - GO
				Processo: 009497/26
				Edital: 47/2026
				Modalidade: Pregão para Registro de Preço
				Início de envio das propostas: 09-04-2026 ás 17:00
				Término de envio das propostas: 08/05/2026 ás 08:30		
				Início dos lances: 08/05/2026 ás 09:00</t>
  </si>
  <si>
    <t>Prefeitura Municipal de Esperantinópolis</t>
  </si>
  <si>
    <t>Esperantinópolis</t>
  </si>
  <si>
    <t>Contratação de empresa especializada em serviços de obras e engenharia para Urbanização da Entrada do Município de Esperantinópolis/MA.</t>
  </si>
  <si>
    <t>O Edital e seus anexos encontram-se à disposição dos interessados na sala da Comissão de Licitação, na Rua Jefferson Moreira, S/N, Centro, Esperantinópolis - MA, horário de 08:00 às 12:00 horas, no endereço eletrônico: www.licitaesperantinopolisma.com.br. Esclarecimento adicional no mesmo endereço, através do E-mail: esperantinopoliscpl@gmail.com ou na página www.esperantinopolis.ma.gov.br.</t>
  </si>
  <si>
    <t>Prefeitura Municipal de São Roberto</t>
  </si>
  <si>
    <t>São Roberto</t>
  </si>
  <si>
    <t>* Licitação eletrônica * Registro de preços para prestação de serviços de limpeza, sucção, transporte e destinação final de resíduos de fossas sépticas, visando atender às necessidades do Município de São Roberto - MA.</t>
  </si>
  <si>
    <t>A Licitação será regida pela Lei nº. 14.133/21 e suas alterações. O Edital poderá ser consultado na sala da Comissão Permanente de Licitação - CPL, no Prédio da Prefeitura Municipal, localizado na Praça Dois Poderes, s/n, Centro, São Roberto, Maranhão, CEP - 65.758-000; ou pelo Tel. 99 98488-0882; ou pelo e-mail: cpl@saoroberto.ma.gov.br, de segunda a sexta-feira, no horário de expediente da CPL, das 8h às 12h; ou pelo sítio da Prefeitura de São Roberto/MA/Portal da Transparência: https://www.saoroberto.ma.gov.br, ou pelo SINC-Contrata/TCEMA ou https://www.licitasaoroberto.com.br/, ou pelo ou Portal Nacional de Compras Públicas.</t>
  </si>
  <si>
    <t>Prefeitura Municipal de Maranhãozinho</t>
  </si>
  <si>
    <t>Maranhãozinho</t>
  </si>
  <si>
    <t>* Registro de preços * * Licitação Eletrônica * REGISTRO DE PREÇOS PARA FUTURA E EVENTUAL CONTRATAÇÃO DE EMPRESA ESPECIALIZADA NO FORNECIMENTO DE MATERIAIS E EXECUÇÃO DE SERVIÇOS DE VIDRAÇARIA E ESQUADRIAS DE ALUMÍNIO, INCLUINDO INSTALAÇÃO, REMOÇÃO E SUBSTITUIÇÃO, PARA ATENDER ÀS DEMANDAS DO MUNICÍPIO DE MARANHÃOZINHO-MA.</t>
  </si>
  <si>
    <t>Unidade compradora: 9 - MUNICIPIO DE MARANHAOZINHO
Local: Maranhãozinho/MA
Órgão: MUNICIPIO DE MARANHAOZINHO
Id contratação PNCP: 01612327000187-1-000017/2026
Fonte: STARTGOV SOLUCOES EM TECNOLOGIA LTDA
 - Número compra: 011 - Pregão - Eletrônico</t>
  </si>
  <si>
    <t>* Registro de preços * * Licitação Eletrônica * [LICITANET] - Registro de preços para futura e eventual Contratação de empresa para fornecimento de materiais diversos, para atender as necessidades do Município de Pedro do Rosário-MA</t>
  </si>
  <si>
    <t>Unidade compradora: 868 - MUNICÍPIO DE PEDRO DO ROSÁRIO/MA
Local: Pedro do Rosário/MA
Órgão: MUNICIPIO DE PEDRO DO ROSARIO
Id contratação PNCP: 01614946000100-1-000012/2026
Fonte: Licitanet Licitações Eletrônicas LTDA
 - Número compra: 12 - Pregão - Eletrônico</t>
  </si>
  <si>
    <t>Prefeitura Municipal de Oratórios</t>
  </si>
  <si>
    <t>Oratórios</t>
  </si>
  <si>
    <t>* Licitação Eletrônica *  Contratação integrada de empresa para elaboração e desenvolvimento dos projetos Básico e Executivo em plataforma BIM, prestação de serviços de engenharia com fornecimento de materiais e mão de obra, incluindo a disponibilização de todos os equipamentos, ferramentas e insumos necessários à execução integral das obras e serviços de engenharia, abrangendo montagem, realização de testes, comissionamento e demais operações indispensáveis à entrega final de 20 Unidades Habitacionais de Interesse Social no Município de Oratórios/MG, destinadas às famílias beneficiárias, contemplando também a implantação da infraestrutura essencial necessária ao pleno funcionamento do conjunto habitacional, bem como a entrega do modelo digital conforme executado as built em ambiente BIM e a elaboração e fornecimento do Manual de Uso, Operação e Manutenção do Imóvel.</t>
  </si>
  <si>
    <t>Demais informações e esclarecimentos/edital, através da plataforma eletrônica Licitar Digital, no endereço https://licitar.digital/, pelo e-mail: licitacao@oratorios.mg.gov.br ou por telefone no nº 31 38769101. Obra a ser implantada com recursos do PROGRAMA 5600020250030, MCMV FNHIS Sub-50 do NOVO PAC 2025, Termo de Compromisso Convênio nº 992603/2025, Proposta Novo PAC - Seleção 56000003878/2025.</t>
  </si>
  <si>
    <t>Prefeitura Municipal de São Francisco do Glória</t>
  </si>
  <si>
    <t>São Francisco do Glória</t>
  </si>
  <si>
    <t>* Licitação eletrônica * Registro de preço e futura contratação de empresa especializada para aquisição de placas de concreto pré-moldado destinadas à construção de muros, conforme especificações constantes no Edital nº 033 e seus anexos.</t>
  </si>
  <si>
    <t>O Edital completo está à disposição dos interessados na Prefeitura Municipal de São Francisco do Glória, Setor de Licitações, nos dias úteis, das 08h às 11h e de 13h às 16h, sito à Rua Azarias Varella de Azevedo/esquina com a Praça São Francisco do Assis, nº. 32, Bairro Centro, São Francisco do Glória/MG, gratuitamente a ser disponibilizado através de mídia gravada em dispositivo do interessado ou em download nos seguintes sites: https://ammlicita.org.br/ e www.saofranciscodogloria.mg.gov.br.</t>
  </si>
  <si>
    <t>Prefeitura Municipal de Araponga</t>
  </si>
  <si>
    <t>Araponga</t>
  </si>
  <si>
    <t>* Licitação Eletrônica * O objeto da presente demanda é o Registro de Preços para futuras e eventuais aquisições de bens permanentes, conforme especificações técnicas constantes no Anexo I, destinados ao atendimento das necessidades das diversas áreas e Secretarias do Município de Araponga/MG, compreendendo também o fornecimento de bens permanentes destinados ao uso hospitalar, odontológico e de fisioterapia, em conformidade com as exigências técnicas e operacionais de cada área. * https://bllcompras.com *</t>
  </si>
  <si>
    <t>LOCAL: https://bllcompras.com/
Nº PROC. ADM: 017/2026
 TIPO CONTRATO: REGISTRO DE PREÇO
 INÍCIO REC. PROPOSTA: 08/04/2026 18:01:00
 FIM REC. PROPOSTA: 23/04/2026 08:30:00
 INÍCIO DISPUTA: 23/04/2026 09:30:00
 CIDADE: ARAPONGA
 FASE: RECEPÇÃO DE PROPOSTAS
 EXCLUSIVO ME: SIM
 EXCLUSIVO REGIONAL: NÃO
 MODO DE DISPUTA: ABERTO
 TIPO DE LANCE: MENOR LANCE
 FONE PROMOTOR: 3131194110
 E-MAIL PROMOTOR: henriquedojuarez@gmail.com
 CONDUTOR: DEOSIMAR DO PRADO MARTINS
 AUTORIDADE: CARLOS ASSUNÇÃO GOMES
 INFORMACÕES ADICIONAIS: 
 VALOR ESTIMADO: R$469.245,10</t>
  </si>
  <si>
    <t>SAAE-Serviço Autônomo de Água, Esgoto e Saneamento Urbano de Sete Lagoas</t>
  </si>
  <si>
    <t>* Licitação Eletrônica * Contratação de empresa especializada, devidamente registrada no órgão de classe competente CREA, para execução da Etapa II da alteração de traçado da rede interceptora de esgoto no Bairro Titamar Travessia do Cecé, no município de Sete Lagoas/MG, conforme ETP, Termo de referência e projetos e demais anexos constantes dos autos. DID n 232/2026</t>
  </si>
  <si>
    <t>Unidade compradora: 11 - Licitações e Compras
Local: Sete Lagoas/MG
Órgão: SERVICO AUTONOMO DE AGUA, ESGOTO E SANEAMENTO URBANO
Id contratação PNCP: 24996845000147-1-000046/2026
Fonte: LIBRE SOLUÇÕES EM TECNOLOGIA LTDA
 - Número compra: 4 - Concorrência - Eletrônica</t>
  </si>
  <si>
    <t>Prefeitura Municipal de Alagoa</t>
  </si>
  <si>
    <t>Alagoa</t>
  </si>
  <si>
    <t>* Licitação Eletrônica * REGISTRO DE PREÇO PARA FUTURO E EVENTUAL AQUISIÇÃO DE MATERIAL HIDRÁULICO TUBOS, CONEXÕES, CAIXAS D'ÁGUA E DEMAIS ITENS CORRELATOS PARA ATENDER AS NECESSIDADES DO MUNICÍPIO DE ALAGOA/MG. * https://bnccompras.com *</t>
  </si>
  <si>
    <t>LOCAL: https://bnccompras.com/
Nº PROC. ADM: 12/2026
 TIPO CONTRATO: REGISTRO DE PREÇO
 INÍCIO REC. PROPOSTA: 09/04/2026 00:00:00
 FIM REC. PROPOSTA: 22/04/2026 09:00:00
 INÍCIO DISPUTA: 22/04/2026 10:00:00
 CIDADE: ALAGOA
 FASE: RECEPÇÃO DE PROPOSTAS
 EXCLUSIVO ME: NÃO
 EXCLUSIVO REGIONAL: NÃO
 MODO DE DISPUTA: ABERTO
 TIPO DE LANCE: MENOR LANCE
 FONE PROMOTOR: 3533661448
 E-MAIL PROMOTOR: procuradoria@alagoa.mg.gov.br
 CONDUTOR: JANSEN MONTEIRO JUNIOR
 AUTORIDADE: SEBASTIÃO MENDES PINTO NETO
INFORMACÕES ADICIONAIS: O prazo de entrega é de 10 dez dias corridos, contados do recebimento da AF - Autorização de Fornecimento, sem quantitativos mínimos para cada pedido, podendo ter mais de um pedido dentro do mesmo mês. VALOR ESTIMADO: R$349.042,94</t>
  </si>
  <si>
    <t>Prefeitura Municipal de São José do Alegre</t>
  </si>
  <si>
    <t>São José do Alegre</t>
  </si>
  <si>
    <t>* Licitação Eletrônica * FORNECIMENTO DE AREIA E CASCALHO DO TIPO PEDREGULHO SEIXO ROLADO, DESTINADOS À EXECUÇÃO DE SERVIÇOS DE MANUTENÇÃO E CONSERVAÇÃO DE ESTRADAS VICINAIS, VIAS PÚBLICAS E DEMAIS SERVIÇOS DE INFRAESTRUTURA REALIZADOS PELA SECRETARIA MUNICIPAL DE OBRAS PÚBLICAS E SERVIÇOS URBANOS DO MUNICÍPIO DE SÃO JOSÉ DO ALEGRE/MG, PARA EVENTUAL E FUTURA AQUISIÇÃO, COM INSCRIÇÃO EM ATA DE REGISTRO DE PREÇOS. * https://bnccompras.com *</t>
  </si>
  <si>
    <t>LOCAL: https://bnccompras.com/
Nº PROC. ADM: 44/2026
 TIPO CONTRATO: REGISTRO DE PREÇO
 INÍCIO REC. PROPOSTA: 09/04/2026 08:00:00
 FIM REC. PROPOSTA: 23/04/2026 08:59:00
 INÍCIO DISPUTA: 23/04/2026 09:00:00
 CIDADE: SÃO JOSÉ DO ALEGRE
 FASE: RECEPÇÃO DE PROPOSTAS
 EXCLUSIVO ME: NÃO
 EXCLUSIVO REGIONAL: NÃO
 MODO DE DISPUTA: ABERTO
 TIPO DE LANCE: MENOR LANCE
 FONE PROMOTOR: 3536451222
 E-MAIL PROMOTOR: compras@saojosedoalegre.mg.gov.br
 CONDUTOR: KELLY ROSA DE SOUSA
 AUTORIDADE: SAMANTA VITORIA DE OLIVEIRA LIMA COSTA
 VALOR ESTIMADO: R$225.000,00</t>
  </si>
  <si>
    <t>Prefeitura Municipal de Rio Vermelho</t>
  </si>
  <si>
    <t>Rio Vermelho</t>
  </si>
  <si>
    <t>* Licitação Eletrônica * REGISTRO DE PREÇOS PARA AQUISIÇÃO DE MATERIAL DE LIMPEZA E DE HIGIENE PESSOAL PARA MANUTENÇÃO DAS SECRETARIAS DO MUNICÍPIO DE RIO VERMELHO/MG. * https://licitar.digital *</t>
  </si>
  <si>
    <t>Id: 96882
Unidade licitante: Prefeitura Municipal de Rio Vermelho - Unidade Única
Plataforma: licitardigital</t>
  </si>
  <si>
    <t>SM/21675</t>
  </si>
  <si>
    <t>* Licitação Eletrônica * Manilha Sapatilha, Gancho Olhal e Balancim - https://app2-compras.cemig.com.br/pesquisa</t>
  </si>
  <si>
    <t>ID: 21675</t>
  </si>
  <si>
    <t>Prefeitura Municipal de Patrocínio do Muriaé</t>
  </si>
  <si>
    <t>Patrocínio do Muriaé</t>
  </si>
  <si>
    <t>* Licitação Eletrônica * Registro de Preços para futura e eventual contratação de empresa especializada no fornecimento de saibro, em atendimento as Secretarias Demandantes do Município de Patrocínio do Muriaé/MG.</t>
  </si>
  <si>
    <t>Órgão: Município de Patrocínio do Muriaé - Município de Patrocínio do Muriaé - MG
				Processo: 26-2026
				Edital: 54/2026
				Modalidade: Pregão para Registro de Preço
				Início de envio das propostas: 08-04-2026 ás 16:00
				Término de envio das propostas: 22/04/2026 ás 08:50		
				Início dos lances: 22/04/2026 ás 09:50
 - Licitação sujeita a confirmação pois não foi informado que trata-se de prorrogação.</t>
  </si>
  <si>
    <t>Prefeitura Municipal de Fortuna de Minas</t>
  </si>
  <si>
    <t>Fortuna de Minas</t>
  </si>
  <si>
    <t>* Licitação Eletrônica * Contratação de empresa para construção de casas populares na Bacia do Paraopeba em Fortuna de Minas/MG [Recurso Acordo Reparação Vale].</t>
  </si>
  <si>
    <t>[CONCORRÊNCIA PÚBLICA ELETRÔNICA] - O edital e seus anexos estão à disposição dos interessados na Av. Renato Azeredo, 210, Centro, Fortuna de Minas/MG-CEP: 35.760-000, para consulta através do e-mail: licitacao@fortunademinas.mg.gov.br, pelo site www.fortunademinas.mg.gov.br e pelo portal eletrônico AMM Licita https://ammlicita.org.br/.</t>
  </si>
  <si>
    <t>Prefeitura Municipal de Guapé</t>
  </si>
  <si>
    <t>Guapé</t>
  </si>
  <si>
    <t>* Registro de preços * * Licitação Eletrônica * REGISTRO DE PREÇOS PARA FUTURA E EVENTUAL AQUISIÇÃO DE BEBEDOUROS INDUSTRIAIS, PURIFICADORES DE ÁGUA E FILTROS DE REPOSIÇÃO PARA BEBEDOUROS, EM ATENDIMENTO A SECRETARIA MUNICIPAL DE EDUCAÇÃO.</t>
  </si>
  <si>
    <t>Unidade compradora: 18239616000185-001 - PREFEITURA MUNICIPAL DE GUAPE
Local: Guapé/MG
Órgão: MUNICIPIO DE GUAPE
Id contratação PNCP: 18239616000185-1-000015/2026
Fonte: E &amp; L PRODUCOES DE SOFTWARE LTDA
REGISTRO DE PREÇOS PARA FUTURA E EVENTUAL AQUISIÇÃO DE BEBEDOUROS INDUSTRIAIS, PURIFICADORES DE ÁGUA E FILTROS DE REPOSIÇÃO PARA BEBEDOUROS, EM ATENDIMENTO A SECRETARIA MUNICIPAL DE EDUCAÇÃO. - Número compra: 000021 - Pregão - Eletrônico</t>
  </si>
  <si>
    <t>Prefeitura Municipal de Poço Fundo</t>
  </si>
  <si>
    <t>Poço Fundo</t>
  </si>
  <si>
    <t>* Licitação eletrônica * Registro de preços para futuras e eventuais aquisições de pulverizadores costais e telas de nylon para atender as necessidades da Vigilância em Saúde, conforme descrito no edital.</t>
  </si>
  <si>
    <t>O edital na íntegra encontra-se no site http://pe.pocofundo.mg.gov.br e os manuais para participação no sistema eletrônico encontram-se no site http://www.pocofundo.mg.gov.br. Data de abertura: 28/04/2026, 13:00 horas.</t>
  </si>
  <si>
    <t>* Licitação Eletrônica * Aquisição de 01 barco, 01 carreta rodoviária para barcos e 01 motor para barco.</t>
  </si>
  <si>
    <t>Unidade compradora: 982691 - PREFEITURA MUNICIPAL DE JUATUBA - MG
Local: Juatuba/MG
Órgão: MUNICIPIO DE JUATUBA
Id contratação PNCP: 64487614000122-1-000062/2026
Fonte: Compras.gov.br
 Para as respostas de esclarecimentos e impugnações deste edital acesse o link: https://cnetmobile.estaleiro.serpro.gov.br/comprasnet-web/public/landing?destino=quadro-informativo&amp;compra=98269105900182026 - Número compra: 90018 - Pregão - Eletrônico</t>
  </si>
  <si>
    <t>Prefeitura Municipal de Mendes Pimentel</t>
  </si>
  <si>
    <t>Mendes Pimentel</t>
  </si>
  <si>
    <t>CONTRATAÇÃO DE PESSOA JURÍDICA COM HABILIDADE EM ENGENHARIA, PARA OBRA DE PAVIMENTAÇÃO DE 5.388,65 M² EM CBUQ, EXECUÇÃO DE 1.458,13 M DE SARJETA DE CONCRETO, 28 UNIDADES DE RAMPAS DE ACESSIBILIDADE E SINALIZAÇÃO VIÁRIA na Praça Benedito Quintino e nas Ruas Bom Jesus, José de Sá Barbosa, Duca Vieira, Wilton Iná- cio Malaquias e Professora Emília Moulin no bairro centro, conforme o Convênio n.º 1491002724/2025, celebrado entre o Estado de Minas Gerais, por intermédio da Secretaria de Estado de Governo e o munícipio de Mendes Pimentel.</t>
  </si>
  <si>
    <t>Torna público, para conhecimento dos interessados que fará realizar no dia 10
de abril de 2026, as 09h00min nove horas, licitação da modalidade
Concorrência, na forma Presencial, do tipo menor preço, sob a égide
da Lei n.º 14.133/21 e suas alterações posteriores, transmissão ao vivo
no canal do município no YouTube: https://www.youtube.com/@licitamendes
sendo conduzida pelo Agente de Contratação
Informações e esclarecimentos relativos
ao Edital, modelos, adendos e anexos poderão ser solicitados junto ao
Departamento de Licitações, no Paço Municipal, Praça Benedito Quin-
tino, n.º 15, centro, Mendes Pimentel, MG - Telefone 33 3246-1280
- e-mail: licitacao@mendespimentel.mg.gov.br. O Edital e seus respec-
tivos modelos, adendos e anexos, poderá ser examinado no Portal da
Transparência no sitio do Município www.mendespimentel.mg.gov.br,
link "Licitações", também poderão ser solicitados através do e-mail:
licitacao@mendespimentel.mg.gov.br, ou pessoalmente no endereço
citado, das 08h30 às 16 horas. Mendes Pimentel, 20 de março de 2026.
José Carlos Ferreira. Agente de Contratação.</t>
  </si>
  <si>
    <t>Santa Casa Nossa Senhora das Mercês</t>
  </si>
  <si>
    <t>* Licitação Eletrônica * O objetivo da presente licitação é a contratação de empresa especializada em serviços de assessoria técnica na área de engenharia, a fim de auxiliar na fiscalização de obras de infraestrutura, saneamento e construções em geral, promovendo uma gestão executiva e consultiva no âmbito técnico administrativo, físico e financeiro, bem como a fiscalização das atividades necessárias à execução das obras, consolidando o apoio no que se fizer necessário para garantir o cumprimento das metas estabelecidas referentes a custos, prazos e qualidades da obra, conforme termo de referência e demais anexos que integram o instrumento editalício. * https://licitar.digital *</t>
  </si>
  <si>
    <t>Id: 96628
Unidade licitante: Hospital Santa Casa Nossa das Merces - Unidade Única
Plataforma: licitardigital</t>
  </si>
  <si>
    <t>* Licitação Eletrônica * Aquisição de materiais de limpeza, utensílios de copa e cozinha, biscoito e descartáveis. * https://licitar.digital *</t>
  </si>
  <si>
    <t>Id: 96560
Unidade licitante: CONSORCIO INTERMUNICIPAL DE SAUDE DA MICROREGIAO DO VALE DO PIRANGA - CISAMAPI - Unidade Única
Plataforma: licitardigital</t>
  </si>
  <si>
    <t>Consórcio Intermunicipal de Saúde da Região do Calcário - CISREC</t>
  </si>
  <si>
    <t>Matozinhos</t>
  </si>
  <si>
    <t>* Licitação Eletrônica * Registro de Preços para Contratação de Empresa Especializada para Execução de Serviços de Sinalização Viária Horizontal, Vertical e Semafórica, com Intervenções Correlatas de Drenagem, para atendimento aos Municípios Consorciados ao CISREC. * https://licitar.digital *</t>
  </si>
  <si>
    <t>Id: 96257
Unidade licitante: Consórcio Intermunicipal de Saúde e de Políticas de Desenvolvimento da Região do Calcário - CISREC - Unidade Única
Plataforma: licitardigital</t>
  </si>
  <si>
    <t>* Licitação eletrônica * Aquisição de rações, materiais e equipamentos destinados ao setor de manejo de animais de pequeno, médio e grande porte da Secretaria Municipal de Meio Ambiente e Agropecuária de Santa Bárbara/MG.</t>
  </si>
  <si>
    <t>Edital disponível nos sites www.santabarbara.mg.gov.br, www.licitardigital.com.br, na Prefeitura e no Portal Nacional de Contratações Públicas PNCP.</t>
  </si>
  <si>
    <t>Prefeitura Municipal de Delfinópolis</t>
  </si>
  <si>
    <t>Delfinópolis</t>
  </si>
  <si>
    <t>PE/162026/2026</t>
  </si>
  <si>
    <t>* Registro de preços * * Licitação Eletrônica * AQUISIÇÃO PARCELADA DE MATERIAIS DE LIMPEZA E CONSUMO, PARA MANUTENÇÃO DAS ATIVIDADES DA SECRETARIA MUNICIPAL DE SAÚDE, ATENDENDO AS NECESSIDADES DE TODOS OS P.S.Fs. E PARA MANUTENÇÃO DAS ATIVIDADES DA SECRETARIA MUNICIPAL DE ADMINISTRAÇÃO, ATENDENDO AS NECESSIDADES DE TODOS OS PRÓPRIOS PÚBLICOS DESTA PREFEITURA.</t>
  </si>
  <si>
    <t>Unidade compradora: 012 - SECRETARIA MUNICIPAL DE ADMNISTRAÇÃO
Local: Delfinópolis/MG
Órgão: MUNICIPIO DE DELFINOPOLIS
Id contratação PNCP: 17894064000186-1-000026/2026
Fonte: SlicX - Rac Assessoria
 - Número compra: 00000162026 - Pregão - Eletrônico</t>
  </si>
  <si>
    <t>Prefeitura Municipal de Lagoa Santa</t>
  </si>
  <si>
    <t>Lagoa Santa</t>
  </si>
  <si>
    <t>* Licitação eletrônica * Registro de preços para fornecimento parcelado de materiais de consumo hidrossanitários, visando atender a demanda de implantação de Programa Social para esgotamento sanitário na cidade de Lagoa Santa/MG.</t>
  </si>
  <si>
    <t>O edital na íntegra estará disponível nos sites www.lagoasanta.mg.gov.br e https://licitar.digital/. Publicado no Diário Oficial dos Municípios Mineiros em 02/04/2026.</t>
  </si>
  <si>
    <t>* Licitação Eletrônica * CONTRATAÇÃO DE EMPRESA PARA FORNECIMENTO DE MATERIAL DE LIMPEZA, COPA E COZINHA, EM ATENDIMENTO ÀS DEMANDAS DA ADMINISTRAÇÃO PÚBLICA DO MUNICÍPIO DE CRISTAISMG.</t>
  </si>
  <si>
    <t>Órgão: Prefeitura Municipal de Cristais - Prefeitura Municipal de Cristais - MG
				Processo: 0076
				Edital: 24/2026
				Modalidade: Pregão para Registro de Preço
				Início de envio das propostas: 10-04-2026 ás 09:00
				Término de envio das propostas: 27/04/2026 ás 09:00		
				Início dos lances: 27/04/2026 ás 09:01</t>
  </si>
  <si>
    <t>Universidade Estadual de Montes Claros</t>
  </si>
  <si>
    <t>* Licitação Eletrônica * PRESTAÇÃO DE SERVIÇOS DE MANUTENÇÃO, REPAROS, ADAPTAÇÃO E CONSERVAÇÃO EM BOMBAS MANUAIS, MECÂNICAS, MOTO-BOMBAS E COMPRESSORES.</t>
  </si>
  <si>
    <t>2311076 - GERENCIA DE COMPRAS/HUCF
Modo de julgamento: Por lote</t>
  </si>
  <si>
    <t>Prefeitura Municipal de Itanhandu</t>
  </si>
  <si>
    <t>Itanhandu</t>
  </si>
  <si>
    <t>* Licitação Eletrônica * FORNECIMENTO EVENTUAL E PARCELADO DE MATERIAIS BÁSICOS DE CONSTRUÇÃO, PARA SUPRIR AS DEMANDAS DAS SECRETARIAS MUNICIPAIS DE ITANHANDU, ATRAVÉS DO SISTEMA DE REGISTRO DE PREÇOS * https://bnccompras.com *</t>
  </si>
  <si>
    <t>LOCAL: https://bnccompras.com/
Nº PROC. ADM: 035/2026
 TIPO CONTRATO: REGISTRO DE PREÇO
 INÍCIO REC. PROPOSTA: 09/04/2026 17:00:00
 FIM REC. PROPOSTA: 24/04/2026 09:00:00
 INÍCIO DISPUTA: 24/04/2026 09:30:00
 CIDADE: ITANHANDU
 FASE: PUBLICADO
 EXCLUSIVO ME: NÃO
 EXCLUSIVO REGIONAL: NÃO
 MODO DE DISPUTA: ABERTO
 TIPO DE LANCE: MENOR LANCE
 FONE PROMOTOR: 3533612000
 E-MAIL PROMOTOR: licitacao@itanhandu.mg.gov.br
 CONDUTOR: EDUARDO FRANCISCO IVO
 AUTORIDADE: PAULO HENRIQUE PINTO MONTEIRO
 VALOR ESTIMADO: R$0,00</t>
  </si>
  <si>
    <t>Prefeitura Municipal de Irai de Minas</t>
  </si>
  <si>
    <t>Iraí de Minas</t>
  </si>
  <si>
    <t>* Registro de preços * * Licitação Eletrônica * [LICITANET] - REGISTRO DE PREÇOS PARA A FUTURA E EVENTUAL
AQUISIÇÃO DE TUBOS, TELHAS E TORNEIRAS, DESTINADOS A ATENDER AS NECESSIDADES DAS SECRETARIAS MUNICIPAIS DE IRAÍ DE MINAS-MG, CONFORME QUANTIDADES, CARACTERÍSTICAS E ESPECIFICAÇÕES CONSTANTES
NO TERMO DE REFERÊNCIA - ANEXO I DESTE EDITAL.</t>
  </si>
  <si>
    <t>Unidade compradora: 345 - MUNICÍPIO DE IRAÍ DE MINAS/MG
Local: Iraí de Minas/MG
Órgão: MUNICIPIO DE IRAI DE MINAS
Id contratação PNCP: 18158642000189-1-000012/2026
Fonte: Licitanet Licitações Eletrônicas LTDA
 - Número compra: 006 - Pregão - Eletrônico</t>
  </si>
  <si>
    <t>Hospital Municipal Santana de Carandaí</t>
  </si>
  <si>
    <t>Carandaí</t>
  </si>
  <si>
    <t>PE/726/2026</t>
  </si>
  <si>
    <t>* Registro de preços * * Licitação Eletrônica * Escolha da proposta mais vantajosa para a Autarquia, de menor preço por item, para o REGISTRO DE PREÇO, consignados em Ata de Registro de Preço, visando a futura e eventual aquisição de Materiais de Construção diversos e Materiais para Manutenção Civil, Elétrica e Hidráulica, para atender as necessidades da Autarquia Hospital Municipal Sant?Ana de Carandaí.</t>
  </si>
  <si>
    <t>Unidade compradora: 03002 - HOSPITAL MUNICIPAL SANTANA DE CARANDAÍ
Local: Carandaí/MG
Órgão: HOSPITAL MUNICIPAL SANTANA DE CARANDAI
Id contratação PNCP: 19558782000107-1-000007/2026
Fonte: SH3 Informática Ltda.
 - Número compra: 00000726 - Pregão - Eletrônico</t>
  </si>
  <si>
    <t>CEMIG Geração Sul S.A.</t>
  </si>
  <si>
    <t>SM/21673</t>
  </si>
  <si>
    <t>* Licitação Eletrônica * Serviços de reforma das válvulas de entrada e seus acionamentos, das unidades geradoras 01 e 02 da Usina Hidrelétrica de Joasal. - https://app2-compras.cemig.com.br/pesquisa</t>
  </si>
  <si>
    <t>ID: 21673</t>
  </si>
  <si>
    <t>BHTRANS-Empresa de Transportes e Trânsito de Belo Horizonte S/A</t>
  </si>
  <si>
    <t>* Licitação Eletrônica * Prestação de serviço de engenharia de implantação de faixas exclusivas e preferenciais, bem como das demais intervenções necessárias, abrangendo obras civis correlatas, sinalização viária vertical, horizontal e semafórica, incluindo fornecimento de materiais, conforme condições e exigências estabelecidas neste Edital, Termo de Referência - Anexo I e demais Anexos.</t>
  </si>
  <si>
    <t>Unidade compradora: 930310 - EMPRESA TRANSP.TRÂNSITO DE BELO HORIZONTE S/A
Local: Belo Horizonte/MG
Órgão: EMPRESA DE TRANSP E TRANSITO DE BELO HORIZONTE S/A
Id contratação PNCP: 41657081000184-1-000008/2026
Fonte: Compras.gov.br
Em caso de discrepância entre as especificações do objeto descritas no Compras.gov.br e as constantes do Termo de Referência - Anexo I, prevalecerão as últimas.  Para as respostas de esclarecimentos e impugnações deste edital acesse o link: https://cnetmobile.estaleiro.serpro.gov.br/comprasnet-web/public/landing?destino=quadro-informativo&amp;compra=93031005900032026 - Número compra: 90003 - Pregão - Eletrônico</t>
  </si>
  <si>
    <t>FHEMIG-Fundação Hospitalar do Estado de Minas Gerais - Hospital Júlia Kubitschek</t>
  </si>
  <si>
    <t>PE/206/2026</t>
  </si>
  <si>
    <t>* Licitação Eletrônica * CONTRATACAO DE EMPRESA ESPECIALIZADA PARA O FORNECIMENTO DE MATERIAIS DE CONSTRUCAO, HIDRAULICOS E ELETRICOS, DESTINADOS AO ATENDIMENTO DA MANUTENCAO PREDIAL E DE INFRAESTRUTURA DO CHE</t>
  </si>
  <si>
    <t>Unidade compradora: 510037 - SERVICO DE COMPRAS/HJK
Local: Belo Horizonte/MG
Órgão: FUNDACAO HOSPITALAR DO ESTADO DE MINAS GERAIS
Id contratação PNCP: 19843929000100-1-000165/2026
Fonte: Portal de Compras do Estado de Minas Gerais
 - Número compra: 206 - Pregão - Eletrônico</t>
  </si>
  <si>
    <t>* Registro de preços * * Licitação Eletrônica * AQUISIÇÃO DE CONJUNTOS DE VIGAS DE 12,15 E 18 METROS ELEMENTOS ESTRUTURAIS METÁLICOS PARA UTILIZAÇÃO EM CONSTRUÇÕES DE PONTES EM VIAS PÚBLICAS URBANAS E NA ZONA RURAL DO MUNICÍPIO DE PARACATU-MG</t>
  </si>
  <si>
    <t>Unidade compradora: 021201 - Secretaria Municipal de Transporte
Local: Paracatu/MG
Órgão: MUNICIPIO DE PARACATU
Id contratação PNCP: 18278051000145-1-000087/2026
Fonte: J BRASIL SISTEMAS LTDA
 - Número compra: PL-4 - Pregão - Eletrônico
 - Licitação sujeita a confirmação pois não foi informado que trata-se de prorrogação.</t>
  </si>
  <si>
    <t>Prefeitura Municipal de Olímpio Noronha</t>
  </si>
  <si>
    <t>Olímpio Noronha</t>
  </si>
  <si>
    <t>* Licitação Eletrônica * Registro de Preço para eventual e futura aquisição de materiais de higiene e limpeza, materiais descartáveis e utensílios domésticos para atender a demanda dos departamentos da Prefeitura Municipal de Olímpio Noronha, conforme condições, quantidades e exigências estabelecidas neste Edital e seus anexos. * https://licitar.digital *</t>
  </si>
  <si>
    <t>Id: 96913
Unidade licitante: Prefeitura Municipal de Olimpio Noronha - Unidade Única
Plataforma: licitardigital</t>
  </si>
  <si>
    <t>CIMAMS - Consórcio Intermunicipal Multifinalitário da Área Mineira da Sudene</t>
  </si>
  <si>
    <t>* Licitação Eletrônica * REGISTRO DE PREÇO PARA FUTURA E EVENTUAL CONTRATAÇÃO DE EMPRESA PARA AQUISIÇÃO DE MATERIAIS DE CONSTRUÇÃO, EM ATENDIMENTO À DEMANDA DOS MUNICÍPIOS CONSORCIADOS AO CONSÓRCIO INTERMUNICIPAL MULTIFINALITÁRIO DA ÁREA MINEIRA DA SUDENE - CIMAMS.</t>
  </si>
  <si>
    <t xml:space="preserve">Órgão: Consórcio Intermunicipal Multifinalitário da Área Mineira da Sudene - CIMANS - Consórcio Intermunicipal Multifinalitário da Área Mineira da Sudene - CIMAMS - MG
				Processo: 014/2026
				Edital: 027/2026
				Modalidade: Pregão para Registro de Preço
				Início de envio das propostas: 08-04-2026 ás 15:30
				Término de envio das propostas: 22/04/2026 ás 08:55		
				Início dos lances: 22/04/2026 ás 09:00
 </t>
  </si>
  <si>
    <t>Prefeitura Municipal de Monte Belo</t>
  </si>
  <si>
    <t>Monte Belo</t>
  </si>
  <si>
    <t>* Registro de preços * * Licitação Eletrônica * FORMAÇÃO DE ATA DE REGISTRO DE PREÇOS, POR UM PERÍODO DE 12 MESES, PARA FUTURA E EVENTUAL CONTRATAÇÃO DE EMPRESA ESPECIALIZADA NO FORNECIMENTO DE MATERIAIS PARA PINTURA.</t>
  </si>
  <si>
    <t>Unidade compradora: 02.02.01 - SECRETARIA MUNICIPAL DE ADMINISTRACAO
Local: Monte Belo/MG
Órgão: MUNICIPIO DE MONTE BELO
Id contratação PNCP: 18668376000134-1-000031/2026
Fonte: Diretriz informatica eireli
EM RAZÃO DAS MANUTENÇÕES DOS PRÉDIOS MUNICIPAIS E OUTRAS OBRAS QUE NECESSITAM DESSES MATERIAIS, O SECRETÁRIO DE OBRAS FAZ NECESSÁRIO OS SEGUINTES ITENS PARA EVENTUAL AQUISIÇÃO. - Número compra: 13 - Pregão - Eletrônico</t>
  </si>
  <si>
    <t>* Licitação Eletrônica * Contratação de empresa especializada para fornecimento, instalação e homologação do Sistema PAPI para o Aeroporto Major Brigadeiro Trompowky nas cabeceiras designadas 22/04.</t>
  </si>
  <si>
    <t>Órgão: Prefeitura do Município de Varginha - Prefeitura do Município de Varginha - MG
				Processo: 70/2026
				Edital: 27/2026
				Modalidade: Pregão
				Início de envio das propostas: 10-04-2026 ás 08:30
				Término de envio das propostas: 28/04/2026 ás 08:30		
				Início dos lances: 28/04/2026 ás 08:31</t>
  </si>
  <si>
    <t>* Registro de preços * * Licitação Eletrônica * A contratação dos serviços de dedetização, desratização, descupinização, recarga de extintores e limpeza de caixas d'água para o 4 Grupo de Artilharia Antiaérea 4 GAAAe e unidades pertencentes ao Grupo de Coordenação e Acompanhamento de Licitações e Contratos GCALC</t>
  </si>
  <si>
    <t>Unidade compradora: 160127 - 4 GRUPO DE ARTILHARIA ANTIAEREA
Local: Sete Lagoas/MG
Órgão: COMANDO DO EXERCITO
Id contratação PNCP: 00394452000103-1-007294/2026
Fonte: Compras.gov.br
 Para as respostas de esclarecimentos e impugnações deste edital acesse o link: https://cnetmobile.estaleiro.serpro.gov.br/comprasnet-web/public/landing?destino=quadro-informativo&amp;compra=16012705900032026 - Número compra: 90003 - Pregão - Eletrônico</t>
  </si>
  <si>
    <t>Prefeitura Municipal de São João Nepomuceno</t>
  </si>
  <si>
    <t>São João Nepomuceno</t>
  </si>
  <si>
    <t>* Licitação Eletrônica * REGISTRAR PREÇOS PARA FUTURA E EVENTUAL AQUISIÇÃO DE EQUIPAMENTOS, PERIFÉRICOS, COMPONENTES E MATERIAIS DE INFORMÁTICA, VISANDO ATENDER ÀS NECESSIDADES DE MANUTENÇÃO, MODERNIZAÇÃO E AMPLIAÇÃO DA INFRAESTRUTURA TECNOLÓGICA DA SECRETARIAS MUNICIPAIS * https://ammlicita.org.br *</t>
  </si>
  <si>
    <t>Id: 95872
Unidade licitante: Prefeitura Municipal  de São João Nepomuceno - SECRETARIA DE ADMINISTRAÇÃO
Plataforma: ammlicita</t>
  </si>
  <si>
    <t>Serviço Autônomo de Água e Esgoto de Sacramento</t>
  </si>
  <si>
    <t>Sacramento</t>
  </si>
  <si>
    <t>Contratação de empresa especializada para prestação de serviços técnicos em mecatrônica aplicada à automação, operação e manutenção de sistemas eletrônicos prediais, compreendendo a execução de serviços de instalação, manutenção preventiva e corretiva, configuração, programação, testes e suporte técnico, com o objetivo de garantir o pleno funcionamento, a eficiência e a integração dos sistemas existentes na edificação.</t>
  </si>
  <si>
    <t>Em cumprimento ao §3º, do art. 75, da Lei Federal nº. 14.133/2021, abre-se o prazo de 3 três dias úteis, contados da publicação
deste, para o recebimento de propostas adicionais de eventuais interessados, sendo estas, enviadas para o e-mail
propostas@saaesac.mg.gov.br ou protocoladas na SAAE de Sacramento, no Setor de Licitações, situado na Rua Silva Jardim, nº 48,
bairro Centro, nesta cidade, até o dia 18/04/2026 às 14:00 horas.</t>
  </si>
  <si>
    <t>Prefeitura Municipal de Delta</t>
  </si>
  <si>
    <t>Delta</t>
  </si>
  <si>
    <t>* Licitação Eletrônica * [LICITANET] - Construção de Casas Habitacionais.</t>
  </si>
  <si>
    <t>Unidade compradora: 276 - MUNICÍPIO DE DELTA/MG
Local: Delta/MG
Órgão: MUNICIPIO DE DELTA
Id contratação PNCP: 01020881000175-1-000006/2026
Fonte: Licitanet Licitações Eletrônicas LTDA
 - Número compra: 002 - Concorrência - Eletrônica</t>
  </si>
  <si>
    <t>Prefeitura Municipal de Couto de Magalhães de Minas</t>
  </si>
  <si>
    <t>Couto de Magalhães de Minas</t>
  </si>
  <si>
    <t>* Licitação Eletrônica * REGISTRO DE PREÇOS PARA FUTURA E EVENTUAL AQUISIÇÃO DE PRODUTOS DE LIMPEZA PARA MANUTENÇÃO DOS DIVERSOS SETORES DA PREFEITURA DE COUTO DE MAGALHÃES DE MINAS. * https://ammlicita.org.br *</t>
  </si>
  <si>
    <t>Id: 96914
Unidade licitante: PREFEITURA MUNICIPAL DE COUTO DE MAGALHÃES DE MINAS - Unidade Única
Plataforma: ammlicita</t>
  </si>
  <si>
    <t>CONTRATAÇÃO POR DISPENSA DE LICITAÇÃO PARA AQUISIÇÃO DE 08 OITO UNIDADES DE DATA LOGGER DE TEMPERATURA E UMIDADE COM CONECTIVIDADE WI-FI E SENSOR EXTERNO, DESTINADO AO MONITORAMENTO CONTÍNUO DE TEMPERATURA E UMIDADE EM AMBIENTES CONTROLADOS,... * www.portaldecompraspublicas.com.br *</t>
  </si>
  <si>
    <t>Órgão: Prefeitura Municipal de Elói Mendes - Prefeitura Municipal de Elói Mendes - MG
				Processo: 51/2026
				Edital: 9/2026
				Modalidade: Dispensa
				Início de envio das propostas: 09-04-2026 ás 17:00
				Término de envio das propostas: 15/04/2026 ás 08:00		
				Início dos lances: 15/04/2026 ás 09:00</t>
  </si>
  <si>
    <t>Prefeitura Municipal de Novorizonte</t>
  </si>
  <si>
    <t>Novorizonte</t>
  </si>
  <si>
    <t>* Registro de preços * * Licitação Eletrônica * [Portal de Compras Públicas] - REGISTRO DE PREÇOS PARA FUTURO E EVENTUAL AQUISIÇÃO DE ÁGUA MINERAL E GÁS DE COZINHA COM RECARGA EM REGIME DE COMODATO, PARA ATENDER DE FORMA CONTÍNUA A DEMANDA DAS SECRETARIAS DA PREFEITURA MUNICIPAL DE NOVORIZONTEMG</t>
  </si>
  <si>
    <t>Unidade compradora: 9080 - Prefeitura Municipal de Novorizonte
Local: Novorizonte/MG
Órgão: MUNICIPIO DE NOVORIZONTE
Id contratação PNCP: 01616420000160-1-000028/2026
Fonte: ECustomize Consultoria em Software S.A
 - Número compra: 22 - Pregão - Eletrônico</t>
  </si>
  <si>
    <t>Prefeitura Municipal de Jacutinga</t>
  </si>
  <si>
    <t>Jacutinga</t>
  </si>
  <si>
    <t>* Licitação Eletrônica * EQUIPAMENTOS E MATERIAIS PARA SISTEMA DE MONITORAMENTO E ALARMES</t>
  </si>
  <si>
    <t>* Registro de preços * * Licitação Eletrônica * Aquisição de materiais permanentes para atender às necessidades do 4 Grupo de Artilharia Antiaérea, sediado em Sete Lagoas - MG e demais Organizações Militares da 4ª Região Militar, sediadas em Belo Horizonte - MG.</t>
  </si>
  <si>
    <t>Unidade compradora: 160127 - 4 GRUPO DE ARTILHARIA ANTIAEREA
Local: Sete Lagoas/MG
Órgão: COMANDO DO EXERCITO
Id contratação PNCP: 00394452000103-1-007291/2026
Fonte: Compras.gov.br
 Para as respostas de esclarecimentos e impugnações deste edital acesse o link: https://cnetmobile.estaleiro.serpro.gov.br/comprasnet-web/public/landing?destino=quadro-informativo&amp;compra=16012705900052026 - Número compra: 90005 - Pregão - Eletrônico</t>
  </si>
  <si>
    <t>Prefeitura Municipal de Pompéu</t>
  </si>
  <si>
    <t>Pompéu</t>
  </si>
  <si>
    <t>* Licitação Eletrônica * Contratação de empresa especializada para execução de obra de drenagem pluvial profunda, substituição de rede de esgoto e execução de pavimentação asfáltica com sinalização horizontal na Rua Padre João Porto no município de Pompéu/ MG, incluindo o fornecimento de materiais e equipamentos, mão de obra, conforme projeto técnico, especificações técnicas e normas vigentes.</t>
  </si>
  <si>
    <t>Unidade compradora: 1 - MUNICIPIO DE POMPEU
Local: Pompéu/MG
Órgão: MUNICIPIO DE POMPEU
Id contratação PNCP: 18296681000142-1-000066/2026
Fonte: Fiorilli Software
Contratação de empresa especializada para execução de obra de drenagem pluvial profunda, substituição de rede de esgoto e execução de pavimentação asfáltica com sinalização horizontal na Rua Padre João Porto no município de Pompéu/ MG, incluindo o fornecimento de materiais e equipamentos, mão de obra, conforme projeto técnico, especificações técnicas e normas vigentes.
 - Número compra: 5 - Concorrência - Eletrônica</t>
  </si>
  <si>
    <t>CODAU-Centro Operacional de Desenvolvimento e Saneamento de Uberaba</t>
  </si>
  <si>
    <t>Uberaba</t>
  </si>
  <si>
    <t>* Licitação Eletrônica * Registro de preços para futuro e eventual fornecimento de ferramentas e acessórios para pintura, tintas e produtos de acabamento, materiais de preparação de superfícies, solventes e diluentes, além de materiais de acabamento e suporte, destinados à manutenção predial das unidades da Codau, pelo período de 12 doze meses, em atendimento à solicitação da Gerência de Hidrometria e Diretoria de Desenvolvimento e Saneamento. * https://bllcompras.com *</t>
  </si>
  <si>
    <t>LOCAL: https://bllcompras.com/
Nº PROC. ADM: 29/2026
 TIPO CONTRATO: REGISTRO DE PREÇO
 INÍCIO REC. PROPOSTA: 10/04/2026 08:30:00
 FIM REC. PROPOSTA: 27/04/2026 08:45:00
 INÍCIO DISPUTA: 27/04/2026 09:00:00
 CIDADE: UBERABA
 FASE: PUBLICADO
 EXCLUSIVO ME: NÃO
 EXCLUSIVO REGIONAL: NÃO
 MODO DE DISPUTA: ABERTO
 TIPO DE LANCE: MENOR LANCE
 FONE PROMOTOR: 3433186000
 E-MAIL PROMOTOR: licitacao@codau.com.br
 CONDUTOR: RODRIGO LUIZ DE ARAUJO
 AUTORIDADE: RUI GOMES NOGUEIRA RAMOS
 INFORMACÕES ADICIONAIS: 
 VALOR ESTIMADO: R$96.070,92</t>
  </si>
  <si>
    <t>Prefeitura Municipal de São João do Oriente</t>
  </si>
  <si>
    <t>São João do Oriente</t>
  </si>
  <si>
    <t>* Licitação Eletrônica * REGISTRO DE PREÇOS PARA A CONTRATAÇÃO DE EMPRESA PARA O FORNECIMENTO DE UTENSÍLIOS DE COZINHA EM GERAL, PARA ATENDER AS NECESSIDADES DESTE MUNICIPIO, * https://jornaldolicitante.com.br *</t>
  </si>
  <si>
    <t xml:space="preserve">Segmento: </t>
  </si>
  <si>
    <t>Prefeitura Municipal de São Lourenço</t>
  </si>
  <si>
    <t>São Lourenço</t>
  </si>
  <si>
    <t>* Licitação eletrônica * Fornecimento de ferramentas e materiais correlatos, destinados à manutenção, conservação e pequenos reparos em vias públicas, praças, imóveis e demais equipamentos públicos, em atendimento das necessidades da Secretaria Municipal de Infraestrutura Urbana de São Lourenço/MG, para eventual e futura aquisição, com inscrição em Ata de Registro de Preços.</t>
  </si>
  <si>
    <t>Editais e informações complementares na sede da Prefeitura Municipal, na Gerência de Licitações pelo telefone 35 99893-9005, ou no site www.saolourenco.mg.gov.br. Sessão Pública, credenciamento e apresentação das propostas até as 13:00h do dia 11/05/2026.</t>
  </si>
  <si>
    <t>Prefeitura Municipal de Nova Serrana</t>
  </si>
  <si>
    <t>Nova Serrana</t>
  </si>
  <si>
    <t>CONTRATAÇÃO DE EMPRESA DE ENGENHARIA ESPECIALIZADA PARA A EXECUÇÃO DE PAVIMENTAÇÃO EM PISO EM BLOCO DE CONCRETO, DRENAGEM E SINALIZAÇÃO HORIZONTAL NA RUA OLAVO JOSÉ FERREIRA, MUNICÍPIO DE NOVA SERRANA-MG * https://licitar.digital *</t>
  </si>
  <si>
    <t>Id: 96904
Unidade licitante: Prefeitura Municipal de Nova Serrana - Unidade Única
Plataforma: licitardigital</t>
  </si>
  <si>
    <t>* Licitação Eletrônica * Registro de preços para futuro e eventual fornecimento de ferramentas manuais e diversos materiais, destinados a atender as ações operacionais nas manutenções realizadas pelos setores da Supervisão de Controle de Almoxarifados e Diretoria de Gestão Administrativa. * https://bllcompras.com *</t>
  </si>
  <si>
    <t>LOCAL: https://bllcompras.com/
Nº PROC. ADM: 28/2026
 TIPO CONTRATO: REGISTRO DE PREÇO
 INÍCIO REC. PROPOSTA: 09/04/2026 08:45:00
 FIM REC. PROPOSTA: 24/04/2026 08:45:00
 INÍCIO DISPUTA: 24/04/2026 09:00:00
 CIDADE: UBERABA
 FASE: RECEPÇÃO DE PROPOSTAS
 EXCLUSIVO ME: NÃO
 EXCLUSIVO REGIONAL: NÃO
 MODO DE DISPUTA: ABERTO
 TIPO DE LANCE: MENOR LANCE
 FONE PROMOTOR: 3433186000
 E-MAIL PROMOTOR: licitacao@codau.com.br
 CONDUTOR: REGIS GASPAR ALVES
 AUTORIDADE: RUI GOMES NOGUEIRA RAMOS
 INFORMACÕES ADICIONAIS: 
 VALOR ESTIMADO: R$103.802,49</t>
  </si>
  <si>
    <t>Prefeitura Municipal de São João da Ponte</t>
  </si>
  <si>
    <t>São João da Ponte</t>
  </si>
  <si>
    <t>* Licitação Eletrônica * Registro de Preços para futura e eventual contratação de microempresas e/ou empresas de pequeno porte e/ou equiparadas na forma da Lei LC 123/2006, com exceção dos itens nº 03, 14, 18, 19, 34, 44, 45, 49, 50, 51, 52, 53, 54, 55, 56, 60, 61, 67, 75,...</t>
  </si>
  <si>
    <t>Órgão: Prefeitura Municipal de São João da Ponte - Prefeitura Municipal de São João da Ponte - MG
				Processo: 39
				Edital: 7/2026
				Modalidade: Pregão para Registro de Preço
				Início de envio das propostas: 10-04-2026 ás 08:00
				Término de envio das propostas: 27/04/2026 ás 08:00		
				Início dos lances: 27/04/2026 ás 08:30</t>
  </si>
  <si>
    <t>* Registro de preços * * Licitação Eletrônica * Registro de Preços para futura e eventual aquisição de materiais e equipamentos médico-hospitalares</t>
  </si>
  <si>
    <t>Unidade compradora: 02001 - PREFEITURA MUNICIPAL DE NAZARENO
Local: Nazareno/MG
Órgão: MUNICIPIO DE NAZARENO
Id contratação PNCP: 18557561000151-1-000051/2026
Fonte: SH3 Informática Ltda.
 - Número compra: 00006126 - Pregão - Eletrônico</t>
  </si>
  <si>
    <t>* Licitação Eletrônica * Registro de preços para futura e eventual aquisição de equipamentos e acessórios médico-assistenciais, incluindo a instalação, com os devidos laudos de calibração, além do fornecimento dos acessórios necessários para o funcionamento individual de cada...</t>
  </si>
  <si>
    <t>Órgão: ICISMEP - ICISMEP - MG
				Processo: 27/2026
				Edital: 19/2026
				Modalidade: Pregão para Registro de Preço
				Início de envio das propostas: 09-04-2026 ás 09:30
				Término de envio das propostas: 23/04/2026 ás 09:59		
				Início dos lances: 23/04/2026 ás 10:00</t>
  </si>
  <si>
    <t>Consórcio Intermunicipal Multifinalitário de Minas Gerais - Comgranbel</t>
  </si>
  <si>
    <t>* Licitação Eletrônica * REGISTRO DE PREÇOS na forma de LICITAÇÃO COMPARTILHADA para a futura e eventual CONTRATAÇÃO DE EMPRESA ESPECIALIZADA NO FORNECIMENTO E INSTALAÇÃO DE PISOS MODULARES INDOOR E OUTDOOR, DESTINADOS À MODERNIZAÇÃO DE ESPAÇOS LÚDICOS, ESPORTIVOS E PEDAGÓGICOS, COMPREENDENDO QUADRAS POLIESPORTIVAS, ÁREAS RECREATIVAS, SALAS DE AULA E BRINQUEDOTECAS, CONFORME ESPECIFICAÇÕES TÉCNICAS, PARA ATENDIMENTO AOS MUNICÍPIOS CONSORCIADOS AO CONSÓRCIO INTERMUNICIPAL MULTIFINALITÁRIO DE MINAS GERAIS COMGRANBEL. * https://licitar.digital *</t>
  </si>
  <si>
    <t>Id: 96795
Unidade licitante: Consorcio Intermunicipal Multifinalitario de Minas Gerais - Comgranbel - Unidade Única
Plataforma: licitardigital
 - Licitação sujeita a confirmação pois não foi informado que trata-se de prorrogação.</t>
  </si>
  <si>
    <t>Prefeitura Municipal de Água Clara</t>
  </si>
  <si>
    <t>Água Clara</t>
  </si>
  <si>
    <t>* Licitação Eletrônica * REGISTRO DE PREÇO PARA FUTURO EVENTUAL AQUISIÇÃO DE MATERIAIS DE CONSTRUÇÃO, HIDRAULICO, ELÉTRICOS, EQUIPAMENTOS E FERRAMENTAS, EM ATENDIMENTO AS NECESSIDADES E DEMANDAS DAS SECRETARIAS DO MUNICÍPIO DE ÁGUA CLARA/MS, CONFORME AS CONDIÇÕES, PRAZO E ESPECIFICAÇÕES DOS ITENS RELACIONADOS NO TERMO DE REFERÊNCIA, EDITAL E SEUS ANEXOS. - ** www.comprasbr.com.br **</t>
  </si>
  <si>
    <t>* Licitação Eletrônica * CONTRATAÇÃO DE EMPRESA PARA PRESTAÇÃO DO SERVIÇO DE INFRAESTRUTURÁ URBANA - PAVIMENTAÇÃO E DRENAGEM DE ÁGUAS PLUVIAIS NO BAIRRO JARDIM NOVO HORIZONTE LOTE 01 DO MUNICÍPIO DE ÁGUA CLARA/MS, CONSIDERANDO A RESCISÃO DO CONTRATO ADMINISTRATIVO Nº 045/2024, REFENTE AO PROCESSO ADMINISTRATIVO Nº 288/2023 NA MODALIDADE DE CONCORRÊNCIA Nº 003/2023, CONFORME ESPECIFICAÇÕES E EXIGÊNCIA NO PROJETO BÁSICO, PLANILHAS, EDITAL E SEUS ANEXOS - ** www.comprasbr.com.br **</t>
  </si>
  <si>
    <t>MINISTÉRIO DA DEFESA - Comando do Exército - Departamento de Educação e Cultura do Exército - Diretoria de Ensino Preparatório e Assistêncial - Colégio Militar de Campo Grande</t>
  </si>
  <si>
    <t>* Registro de preços * * Licitação Eletrônica * Registro de Preço para Eventual Aquisição de Material Esportivo, Troféus e Medalhas para o Colégio Militar de Campo Grande e Organizações Militares Participantes Integrantes do Grupo de Coordenação e Acompanhamento das Licitações e Contratos GCALC da Guarnição de Campo Grande/MS.</t>
  </si>
  <si>
    <t>Unidade compradora: 160078 - COLEGIO MILITAR DE CAMPO GRANDE
Local: Campo Grande/MS
Órgão: COMANDO DO EXERCITO
Id contratação PNCP: 00394452000103-1-007293/2026
Fonte: Compras.gov.br
 Para as respostas de esclarecimentos e impugnações deste edital acesse o link: https://cnetmobile.estaleiro.serpro.gov.br/comprasnet-web/public/landing?destino=quadro-informativo&amp;compra=16007805900012026 - Número compra: 90001 - Pregão - Eletrônico</t>
  </si>
  <si>
    <t>Prefeitura Municipal de Tabaporã</t>
  </si>
  <si>
    <t>Tabaporã</t>
  </si>
  <si>
    <t>* Licitação Eletrônica * REGISTRO DE PREÇOS PARA FUTURA E EVENTUAL CONTRATAÇÃO DE EMPRESA ESPECIALIZADA NO FORNECIMENTO DE MATERIAL ASFÁLTICO * https://bllcompras.com *</t>
  </si>
  <si>
    <t>LOCAL: https://bllcompras.com/
Nº PROC. ADM: 0000024/2026
 TIPO CONTRATO: REGISTRO DE PREÇO
 INÍCIO REC. PROPOSTA: 09/04/2026 08:00:00
 FIM REC. PROPOSTA: 22/04/2026 08:00:00
 INÍCIO DISPUTA: 22/04/2026 09:00:00
 CIDADE: TABAPORÃ
 FASE: PUBLICADO
 EXCLUSIVO ME: NÃO
 EXCLUSIVO REGIONAL: NÃO
 MODO DE DISPUTA: ABERTO
 TIPO DE LANCE: MENOR LANCE
 FONE PROMOTOR: 6635571248
 E-MAIL PROMOTOR: licitacao@tabapora.mt.gov.br
 CONDUTOR: EDILAINE APARECIDA PUTON DA FONSECA
 AUTORIDADE: CARLOS EDUARDO BORCHARDT
 INFORMACÕES ADICIONAIS: SUPORTE AO FORNECEDOR 41 3097-4600
 VALOR ESTIMADO: R$0,00</t>
  </si>
  <si>
    <t>Prefeitura Municipal de Água Boa</t>
  </si>
  <si>
    <t>Água Boa</t>
  </si>
  <si>
    <t>* Licitação Eletrônica * AQUISIÇÃO DE TUBOS EM PVC DEFOFO, TUBOS PBA, CONEXÕES EM FERRO FUNDIDO E REGISTROS, DESTINADOS À AMPLIAÇÃO DA REDE DE DISTRIBUIÇÃO DE ÁGUA TRATADA DO MUNICÍPIO DE ÁGUA BOA - MT * https://bllcompras.com *</t>
  </si>
  <si>
    <t>LOCAL: https://bllcompras.com/
Nº PROC. ADM: 0000042/2026
 TIPO CONTRATO: AQUISIÇÃO
 INÍCIO REC. PROPOSTA: 10/04/2026 08:00:00
 FIM REC. PROPOSTA: 27/04/2026 08:29:00
 INÍCIO DISPUTA: 27/04/2026 08:30:00
 CIDADE: ÁGUA BOA
 FASE: PUBLICADO
 EXCLUSIVO ME: NÃO
 EXCLUSIVO REGIONAL: NÃO
 MODO DE DISPUTA: ABERTO
 TIPO DE LANCE: MENOR LANCE
 FONE PROMOTOR: 6634686400
 E-MAIL PROMOTOR: licitacao@aguaboa.mt.gov.br
 CONDUTOR: KATIELLE MACHADO
 AUTORIDADE: MARIANO KOLANKIEWICS FILHO
 INFORMACÕES ADICIONAIS: 
 VALOR ESTIMADO: R$489.360,43</t>
  </si>
  <si>
    <t>Prefeitura Municipal de Sinop</t>
  </si>
  <si>
    <t>* Licitação Eletrônica * Aquisição de tintas e materiais de pintura, destinados ao atendimento das necessidades das Secretarias Municipais e demais órgãos da Administração Pública do Município de Sinop/MT.</t>
  </si>
  <si>
    <t>Órgão: Departamento de Licitações - Prefeitura Municipal de Sinop - MT
				Processo: 11
				Edital: 16/2026
				Modalidade: Pregão
				Início de envio das propostas: 13-04-2026 ás 09:00
				Término de envio das propostas: 27/04/2026 ás 09:00		
				Início dos lances: 27/04/2026 ás 09:01</t>
  </si>
  <si>
    <t>Prefeitura Municipal de São José do Rio Claro</t>
  </si>
  <si>
    <t>São José do Rio Claro</t>
  </si>
  <si>
    <t>* Licitação Eletrônica * REGISTRO DE PREÇO PARA FUTURA E EVENTUAL AQUISIÇÃO DE MATERIAIS DE EXPEDIENTES PARA ATENDER AS SECRETARIAS MUNICIPAIS DE SÃO JOSÉ DO RIO CLARO-MT. * https://bllcompras.com *</t>
  </si>
  <si>
    <t>LOCAL: https://bllcompras.com/
Nº PROC. ADM: 027/2026
 TIPO CONTRATO: REGISTRO DE PREÇO
 INÍCIO REC. PROPOSTA: 10/04/2026 08:00:00
 FIM REC. PROPOSTA: 23/04/2026 08:00:00
 INÍCIO DISPUTA: 23/04/2026 09:00:00
 CIDADE: SÃO JOSÉ DO RIO CLARO
 FASE: PUBLICADO
 EXCLUSIVO ME: NÃO
 EXCLUSIVO REGIONAL: NÃO
 MODO DE DISPUTA: ABERTO E FECHADO
 TIPO DE LANCE: MENOR LANCE
 FONE PROMOTOR: 6533861222
 E-MAIL PROMOTOR: prefeitura@saojosedorioclaro.mt.gov.br
 CONDUTOR: TATIANE ILMA GROLLI BAGGIO
 AUTORIDADE: LEVI RIBEIRO
 INFORMACÕES ADICIONAIS: 
 VALOR ESTIMADO: R$1.586.572,76</t>
  </si>
  <si>
    <t>Prefeitura Municipal de Colniza</t>
  </si>
  <si>
    <t>PR/11/2026</t>
  </si>
  <si>
    <t>AQUISIÇÃO DE INSUMOS DESTINADOS À EXECUÇÃO DE PAVIMENTAÇÃO ASFÁLTICA EM TRATAMENTO SUPERFICIAL DUPLO TSD, DRENAGEM SUPERFICIAL E SINALIZAÇÃO VIÁRIA EM VIAS URBANAS DO MUNICÍPIO DE COLNIZA/MT, BEM COMO A AQUISIÇÃO DE COMBUSTÍVEL NECESSÁRIO AO FUNCIONAMENTO DE MÁQUINAS, EQUIPAMENTOS E VEÍCULOS EMPREGADOS NA EXECUÇÃO DOS SERVIÇOS, CONFORME CONVÊNIO Nº 2294/2025- SINFRA." Rege a presente licitação a Lei nº. 14.133/21 e demais legislações aplicáveis.</t>
  </si>
  <si>
    <t>A abertura desta licitação ocorrerá no dia 22 de abril de 2026, às 08h:00min horário de local, no Departamento de
Licitação da Prefeitura Municipal de Colniza - MT no endereço Av. dos Pinhais nº 207, Centro, Colniza - MT. O Edital completo poderá ser obtido
pelos interessados no Setor de licitação, solicitado pelo e-mail: licitacao@colniza.mt.gov.br ou através do link https://scpicolnizamt.i7sgp.app.br/comprasedital/. Quaisquer dúvidas contatar pelo telefone 66 98146-0173.
Colniza - MT, 07 de abril de 2026.</t>
  </si>
  <si>
    <t>* Licitação Eletrônica * REGISTRO DE PREÇOS PARA FUTURA E EVENTUAL AQUISIÇÃO DE MATERIAIS, REAGENTES E INSUMOS LABORATORIAIS PARA ATENDER AS DEMANDAS DO LABORATORIO DE ANALISES CLINICAS DA SECRETARIA MUNICIPAL DE SAUDE DE TERRA NOVA DO NORTE- MT * https://bllcompras.com *</t>
  </si>
  <si>
    <t>LOCAL: https://bllcompras.com/
Nº PROC. ADM: 032/2026
 TIPO CONTRATO: REGISTRO DE PREÇO
 INÍCIO REC. PROPOSTA: 09/04/2026 08:00:00
 FIM REC. PROPOSTA: 27/04/2026 07:00:00
 INÍCIO DISPUTA: 27/04/2026 09:00:00
 CIDADE: TERRA NOVA DO NORTE
 FASE: PUBLICADO
 EXCLUSIVO ME: NÃO
 EXCLUSIVO REGIONAL: NÃO
 MODO DE DISPUTA: ABERTO
 TIPO DE LANCE: MENOR LANCE
 FONE PROMOTOR: 6635342500
 E-MAIL PROMOTOR: gabinete@terranovadonorte.mt.gov.br
 CONDUTOR: EDIVALDO MOREIRA DA SILVA
 AUTORIDADE: PASCOAL ALBERTON
 INFORMACÕES ADICIONAIS: 
 VALOR ESTIMADO: R$208.358,50</t>
  </si>
  <si>
    <t>Secretaria das Cidades e Integração Regional</t>
  </si>
  <si>
    <t>* Registro de preços * * Licitação Eletrônica * Registro de preços para futura e eventual aquisição de motor de rabeta 4 tempos, 6,5 a 7cv, horizontal, gasolina, ignição eletrônica, capacidade do tanque maior que 3l, comprimento rabeta mínimo 1,5m, hélice 5 1/2 x 5 3pás. garantia mínima de 12 meses.</t>
  </si>
  <si>
    <t>Unidade compradora: 930694 - EPA-SECRETARIA EST.CIDADES E INTEGRAÇÃO REG.
Local: Belém/PA
Órgão: SECRETARIA DE ESTADO DAS CIDADES E INTEGRACAO REGIONAL SECIR
Id contratação PNCP: 50448324000165-1-000003/2026
Fonte: Compras.gov.br
As divergencias entre caracteristicas do equipamento da plataforma e o Edital, prevalecerão as caracteristicas do Edital. Para as respostas de esclarecimentos e impugnações deste edital acesse o link: https://cnetmobile.estaleiro.serpro.gov.br/comprasnet-web/public/landing?destino=quadro-informativo&amp;compra=93069405900032026 - Número compra: 90003 - Pregão - Eletrônico</t>
  </si>
  <si>
    <t>Fundo Municipal de Saúde de Breves</t>
  </si>
  <si>
    <t>Breves</t>
  </si>
  <si>
    <t>PE/3002/2026</t>
  </si>
  <si>
    <t>* Licitação eletrônica * FORMAÇÃO DE REGISTRO DE PREÇOS PARA A FUTURA E EVENTUAL CONTRATAÇÃO DE EMPRESA ESPECIALIZADA PARA O FORNECIMENTO DE MATERIAL TÉCNICO HOSPITALAR, PARA ATENDIMENTO DA SECRETARIA/FUNDO MUNICIPAL DE SAÚDE DE BREVES E SUAS UNIDADES VINCULADAS.</t>
  </si>
  <si>
    <t xml:space="preserve"> Lei n° 14.133/2021  - #PREGÃO ELETRÔNICO Nº 03002-2026/CC/SEMSA/FMS
Local de Abertura:  MATERIAL DE CONSUMO </t>
  </si>
  <si>
    <t>* Licitação eletrônica * REGISTRO DE PREÇOS PARA FUTURA E EVENTUAL AQUISIÇÃO DE MATERIAIS, EQUIPAMENTOS LABORATORIAIS, INSTRUMENTOS E EPI´S DESTINADOS AO APOIO DAS ATIVIDADES TÉCNICAS E OPERACIONAIS DA VIGILÂNCIA EM SAÚDE, UTILIZADOS EM AÇÕES DE VIGILÂNCIA EPIDEMIOLÓGICA, CONTROLE E MONITORAMENTO DE ENDEMIAS, INSPEÇÕES SANITÁRIAS, COLETA E TRANSPORTE DE AMOSTRAS, BEM COMO NO SUPORTE ÀS ATIVIDADES DE CAMPO DAS EQUIPES TÉCNICAS, VISANDO ATENDER ÀS DEMANDAS DAS UNIDADES VINCULADAS AO FUNDO MUNICIPAL DE SAÚDE DE CANAÃ DOS CARAJÁS - PA.</t>
  </si>
  <si>
    <t xml:space="preserve"> Lei n° 14.133/2021  - #032/2026/SRP
Local de Abertura:  MATERIAL DE CONSUMO </t>
  </si>
  <si>
    <t>Prefeitura Municipal de Cacimbas</t>
  </si>
  <si>
    <t>Cacimbas</t>
  </si>
  <si>
    <t>* Licitação Eletrônica * CONTRATAÇÃO DE EMPRESA DE ENGENHARIA PARA EXECUÇÃO DOS SERVIÇOS DE CONSTRUÇÃO DE 20 UNIDADES HABITACIONAIS NO MUNICÍPIO DE CACIMBAS/PB, NOS TERMOS DO CONVÊNIO Nº 40212/2025.</t>
  </si>
  <si>
    <t>Órgão: Prefeitura Municipal de Cacimbas - Prefeitura Municipal de Cacimbas - PB
				Processo: 06/2026
				Edital: 06/2026
				Modalidade: Concorrência
				Início de envio das propostas: 08-04-2026 ás 20:00
				Término de envio das propostas: 23/04/2026 ás 14:00		
				Início dos lances: 23/04/2026 ás 14:01</t>
  </si>
  <si>
    <t>Prefeitura Municipal de Ouro Velho</t>
  </si>
  <si>
    <t>Ouro Velho</t>
  </si>
  <si>
    <t>* Licitação Eletrônica * Contratação de Empresa Especializada para prestação de serviços de Construção de Usina Leiteira, conforme Plano de Ação nº 09032025-081608, pelo período de 180 cento e oitenta dias, visando atender a Secretaria Municipal de Agricultura de Ouro Velho/PB</t>
  </si>
  <si>
    <t>Órgão: Prefeitura Municipal de Ouro Velho - Prefeitura Municipal de Ouro Velho - PB
				Processo: 010/2026
				Edital: 4/2026
				Modalidade: Concorrência
				Início de envio das propostas: 08-04-2026 ás 17:59
				Término de envio das propostas: 29/04/2026 ás 07:59		
				Início dos lances: 29/04/2026 ás 08:00</t>
  </si>
  <si>
    <t>Prefeitura Municipal de Santa Rita</t>
  </si>
  <si>
    <t>Santa Rita</t>
  </si>
  <si>
    <t>* Registro de preços * * Licitação Eletrônica * REGISTRO DE PREÇOS PARA FUTURA AQUISIÇÃO DE MOBILIÁRIO, MATERIAIS, EQUIPAMENTOS E UTENSÍLIOS DESTINADOS A SUPRIR AS NECESSIDADES DAS DIVERSAS SECRETARIAS DA PREFEITURA MUNICIPAL DE SANTA RITA/PB.</t>
  </si>
  <si>
    <t>Unidade compradora: 1 - Prefeitura Municipal de Santa Rita
Local: Santa Rita/PB
Órgão: MUNICIPIO DE SANTA RITA
Id contratação PNCP: 09159666000161-1-000060/2026
Fonte: Agili Software Brasil Ltda
 - Número compra: 16 - Pregão - Eletrônico</t>
  </si>
  <si>
    <t>Prefeitura Municipal de São Domingos</t>
  </si>
  <si>
    <t>São Domingos</t>
  </si>
  <si>
    <t>* Licitação Eletrônica * REGISTRO DE PREÇOS para futura e eventual aquisição de materiais de limpeza, de forma parcelada, destinados a manutenção das atividades de diversas Secretarias do Município de São Domingos</t>
  </si>
  <si>
    <t>Órgão: Prefeitura Municipal de São Domingos - Prefeitura Municipal de São Domingos - PB
				Processo: 260407PE00011
				Edital: 11/2026
				Modalidade: Pregão para Registro de Preço
				Início de envio das propostas: 08-04-2026 ás 23:59
				Término de envio das propostas: 22/04/2026 ás 10:30		
				Início dos lances: 22/04/2026 ás 10:31</t>
  </si>
  <si>
    <t>Prefeitura Municipal de Itabaiana</t>
  </si>
  <si>
    <t>Itabaiana</t>
  </si>
  <si>
    <t>* Licitação Eletrônica * Contratação de empresa especializada em engenharia para a execução de obras de pavimentação em paralelepípedos e construção de passagens molhadas nas Ruas Projetadas dos Sítios Guarita, Porto da Canoa e Lagoa do Rancho, localizados no Município de...</t>
  </si>
  <si>
    <t>Órgão: Prefeitura Municipal de Itabaiana - Prefeitura Municipal de Itabaiana - PB
				Processo: 260225CE00010
				Edital: 00010/2026
				Modalidade: Concorrência
				Início de envio das propostas: 10-04-2026 ás 09:00
				Término de envio das propostas: 27/04/2026 ás 09:00		
				Início dos lances: 27/04/2026 ás 09:01</t>
  </si>
  <si>
    <t>Prefeitura Municipal de Cajazeiras</t>
  </si>
  <si>
    <t>Cajazeiras</t>
  </si>
  <si>
    <t>* Licitação Eletrônica * CONTRATAÇÃO de EMPRESA PARA FORNECIMENTO DE MATERIAL DE EXPEDIENTE PARA ATENDER A DEMANDA DE TODAS AS SECRETARIAS DO MUNICIPIO DE CAJAZEIRAS - PB</t>
  </si>
  <si>
    <t>Unidade compradora: 981975 - PREFEITURA MUNICIPAL DE CAJAZEIRAS
Local: Cajazeiras/PB
Órgão: MUNICIPIO DE CAJAZEIRAS
Id contratação PNCP: 08923971000115-1-000032/2026
Fonte: Compras.gov.br
Os licitantes deverão seguir a nomenclatura e a unidade de medida descritas no Termo de Referência. Para as respostas de esclarecimentos e impugnações deste edital acesse o link: https://cnetmobile.estaleiro.serpro.gov.br/comprasnet-web/public/landing?destino=quadro-informativo&amp;compra=98197505900062026 - Número compra: 90006 - Pregão - Eletrônico</t>
  </si>
  <si>
    <t>Prefeitura Municipal de Natuba</t>
  </si>
  <si>
    <t>Natuba</t>
  </si>
  <si>
    <t>* Licitação Eletrônica * AQUISIÇÃO DE MATERIAIS HIDRÁULICOS DESTINADOS AO PROGRAMA ÁGUA NAS COMUNIDADES, NO MUNICÍPIO DE NATUBA/PB, CONFORME EMENDA PARLAMENTAR: 202342180014</t>
  </si>
  <si>
    <t>Órgão: Prefeitura Municipal de Natuba - Prefeitura Municipal de Natuba - PB
				Processo: 260406PE00016
				Edital: 16/2026
				Modalidade: Pregão
				Início de envio das propostas: 09-04-2026 ás 12:00
				Término de envio das propostas: 23/04/2026 ás 08:59		
				Início dos lances: 23/04/2026 ás 09:00</t>
  </si>
  <si>
    <t>SM/19/2026</t>
  </si>
  <si>
    <t>* Licitação Eletrônica * Prestação de serviços de engenharia para impermeabilização de reservatórios a serem prestados nos municípios de João Pessoa, Cabedelo, Alhandra, Boqueirão de Gurinhém, Caaporã, Capim, Conde, Cruz do Espírito Santo, Cuité de Mamanguape, Itabaiana, Jacumã, Juripiranga, Lucena, Mamanguape, Mata Redonda, Mogeiro, Pedras de Fogo, Pilar, Pitimbu, Rio Tinto, Salgado São Félix e São José dos Ramos, integrantes do Sistema de Abastecimento d'Água na Gerência Regional do Litoral, de acordo com o Projeto o Executivo e seus anexos, as Normas da Associação Brasileira de Normas Técnicas - ABNT * http://www.licitacoes-e.com.br *</t>
  </si>
  <si>
    <t>Edital : LC019/2026 
Modalidade : LRE 
Nº Licitação : 1091132 
Início acolhimento de propostas : 14/04/2026-08:00 
Limite acolhimento de propostas : 07/05/2026-08:00 
Abertura das propostas : 07/05/2026-08:00 
Data e a hora da disputa : 07/05/2026-09:00 
Pregoeiro : IEDA PATRICIA DE SOUZA RODRIGUES</t>
  </si>
  <si>
    <t>Prefeitura Municipal de Cubatí</t>
  </si>
  <si>
    <t>Cubati</t>
  </si>
  <si>
    <t>* Licitação Eletrônica * CONTRATAÇÃO DE EMPRESA DESTINADA A AQUISIÇÃO DE PATRULHA MECANIZADA PARA O MUNICÍPIO DE OLIVEDOS/PB, CONFOTME PLANO DE TRABALHO EM ANEXO</t>
  </si>
  <si>
    <t>Órgão: Prefeitura Municipal de Cubatí - Prefeitura Municipal de Cubati - PB
				Processo: 260401PE00008
				Edital: 8/2026
				Modalidade: Pregão
				Início de envio das propostas: 09-04-2026 ás 18:00
				Término de envio das propostas: 22/04/2026 ás 08:00		
				Início dos lances: 22/04/2026 ás 08:30</t>
  </si>
  <si>
    <t>Prefeitura Municipal de Cabo de Santo Agostinho</t>
  </si>
  <si>
    <t>Cabo de Santo Agostinho</t>
  </si>
  <si>
    <t>* Licitação Eletrônica * CONSTRUÇÃO DO CANAL - DRENAGEM, Escola Municipal Douglas Menezes, Rua Governador Miguel Arraes, Ponte dos Carvalhos, Cabo de Santo Agostinho/PE. * https://bnccompras.com *</t>
  </si>
  <si>
    <t>LOCAL: https://bnccompras.com/
Nº PROC. ADM: 71010029/2026
 TIPO CONTRATO: AQUISIÇÃO
 INÍCIO REC. PROPOSTA: 09/04/2026 00:00:00
 FIM REC. PROPOSTA: 24/04/2026 09:59:00
 INÍCIO DISPUTA: 24/04/2026 10:00:00
 CIDADE: CABO DE SANTO AGOSTINHO
 FASE: RECEPÇÃO DE PROPOSTAS
 EXCLUSIVO ME: NÃO
 EXCLUSIVO REGIONAL: NÃO
 MODO DE DISPUTA: ABERTO
 TIPO DE LANCE: MENOR LANCE
 FONE PROMOTOR: 8135216619
 E-MAIL PROMOTOR: pregaoeletronico@hotmail.com
 CONDUTOR: EDMILSON DUTRA DE LIMA JÚNIOR
 AUTORIDADE: EDUARDO FERNANDO VIDAL CORREA RIBEIRO
INFORMACÕES ADICIONAIS: OBSERVAR AS INFORMAÇÕES CONTIDAS NO EDITAL. VALOR ESTIMADO: R$1.120.053,56</t>
  </si>
  <si>
    <t>Fundo Municipal de Saúde de Cabrobó</t>
  </si>
  <si>
    <t>Cabrobó</t>
  </si>
  <si>
    <t>* Licitação Eletrônica * REGISTRO DE PREÇOS PARA FUTURAS E EVENTUALIS CONTRATAÇÃOÕES DE EMPRESAS PARA FORNECIMENTO DE REAGENTES, MATERIAIS E INSUMOS LABORATORIAS, DESTINADOS AO ATENDIMENTO DAS NECESSIDADES DO LABORATÓRIO DO HOSPITAL MUNICIPAL, COM ENTREGAS PARCELADAS E CONFORME DEMANDA, DURANTE 12DOZE MESES, DE ACORDO COM ESTE EDITAL E SEUS ANEXOS, TUDO EM CONFORMIDADE COM SOLICITAÇÃO EXPRESSA DA SECRETARIA DE SAÚDE  * https://bnccompras.com *</t>
  </si>
  <si>
    <t>LOCAL: https://bnccompras.com/
Nº PROC. ADM: 006/2026
 TIPO CONTRATO: REGISTRO DE PREÇO
 INÍCIO REC. PROPOSTA: 13/04/2026 08:00:00
 FIM REC. PROPOSTA: 24/04/2026 08:00:00
 INÍCIO DISPUTA: 24/04/2026 09:00:00
 CIDADE: CABROBÓ
 FASE: PUBLICADO
 EXCLUSIVO ME: SIM
 EXCLUSIVO REGIONAL: SIM
 MODO DE DISPUTA: ABERTO E FECHADO
 TIPO DE LANCE: MENOR LANCE
 FONE PROMOTOR: 8738751632
 E-MAIL PROMOTOR: olainetorres@hotmail.com
 CONDUTOR: THIAGO LOPES QUIRINO
 AUTORIDADE: GEORGIA FERNANDA TORRES DE OLIVEIRA GONÇALVES
 VALOR ESTIMADO: R$407.641,40</t>
  </si>
  <si>
    <t>Prefeitura Municipal de Poção</t>
  </si>
  <si>
    <t>Poção</t>
  </si>
  <si>
    <t>* Licitação Eletrônica * Contratação de empresa de engenharia para revitalização das ruas de acesso as ruas Maria Amélia e Antônio de Pádua do município de Poção - PE. * https://bnccompras.com *</t>
  </si>
  <si>
    <t>LOCAL: https://bnccompras.com/
Nº PROC. ADM: 010/2026
 TIPO CONTRATO: AQUISIÇÃO
 INÍCIO REC. PROPOSTA: 10/04/2026 00:00:00
 FIM REC. PROPOSTA: 30/04/2026 09:00:00
 INÍCIO DISPUTA: 30/04/2026 09:30:00
 CIDADE: POÇÃO
 FASE: PUBLICADO
 EXCLUSIVO ME: NÃO
 EXCLUSIVO REGIONAL: NÃO
 MODO DE DISPUTA: ABERTO
 TIPO DE LANCE: MENOR LANCE
 FONE PROMOTOR: 8738341234
 E-MAIL PROMOTOR: gabineteprefeitopocao@gmail.com
 CONDUTOR: LIZANDRA HELENA DE MENESES ESTEVÃO MERGULHÃO
 AUTORIDADE: JOÃO GUILHERME VASCONCELOS DE SOUSA
 VALOR ESTIMADO: R$81.407,86</t>
  </si>
  <si>
    <t>Prefeitura Municipal de Bezerros</t>
  </si>
  <si>
    <t>Bezerros</t>
  </si>
  <si>
    <t>* Registro de preços * * Licitação Eletrônica * Contratação de empresa para fornecimento de aditivos, impermeabilizantes, tintas, vernizes e insumos complementares correlatos para pintura, no âmbito da construção civil, para atender as necessidades de diversas secretarias do município de bezerros-pe- 2026, durante o período de 12 meses.</t>
  </si>
  <si>
    <t>Unidade compradora: 982337 - PREFEITURA MUNICIPAL DE BEZERROS
Local: Bezerros/PE
Órgão: MUNICIPIO DE BEZERROS
Id contratação PNCP: 10091510000175-1-000025/2026
Fonte: Compras.gov.br
Em caso de discordância existente entre as especificações deste objeto descritas no COMPRASNET CATMAT e CATSERV e as especificações constantes no Termo de Referência anexo I deste edital, prevalecerão estas últimas. Para as respostas de esclarecimentos e impugnações deste edital acesse o link: https://cnetmobile.estaleiro.serpro.gov.br/comprasnet-web/public/landing?destino=quadro-informativo&amp;compra=98233705900062026 - Número compra: 90006 - Pregão - Eletrônico</t>
  </si>
  <si>
    <t>Prefeitura Municipal de Correntes</t>
  </si>
  <si>
    <t>Correntes</t>
  </si>
  <si>
    <t>* Licitação Eletrônica * Registro de Preços - SRP, para aquisição de materiais para Construção em geral, Material Elétrico, Hidráulico, Tintas E EPI'S, cujo critério de julgamento é MAIOR DESCONTO, logo, o Tipo de execução, Maior Percentual de desconto sobre os preços unitários não desonerados sobre a base da Tabela SINAPI/PE, conforme Termo de Referência. * https://bnccompras.com *</t>
  </si>
  <si>
    <t>LOCAL: https://bnccompras.com/
Nº PROC. ADM: 016/2026
 TIPO CONTRATO: REGISTRO DE PREÇO
 INÍCIO REC. PROPOSTA: 09/04/2026 08:15:00
 FIM REC. PROPOSTA: 24/04/2026 07:00:00
 INÍCIO DISPUTA: 27/04/2026 08:00:00
 CIDADE: CORRENTES
 FASE: RECEPÇÃO DE PROPOSTAS
 EXCLUSIVO ME: NÃO
 EXCLUSIVO REGIONAL: NÃO
 MODO DE DISPUTA: ABERTO
 TIPO DE LANCE: MAIOR DESCONTO
 FONE PROMOTOR: 8737721142
 E-MAIL PROMOTOR: cplcorrentes@hotmail.com.br
 CONDUTOR: LUIZ CARLOS DE OLIVEIRA
 AUTORIDADE: FILOMENA FERREIRA GOMES
 VALOR ESTIMADO: R$2.725.903,37</t>
  </si>
  <si>
    <t>Prefeitura Municipal de Ribeirão</t>
  </si>
  <si>
    <t>Ribeirão</t>
  </si>
  <si>
    <t>* Licitação Eletrônica * Registro de Preços para eventual aquisição de MATERIAIS, EQUIPAMENTOS E FERRAMENTAS DE CONSTRUÇÃO, para atender às necessidades do Município de Ribeirão/PE. * https://bnccompras.com *</t>
  </si>
  <si>
    <t>LOCAL: https://bnccompras.com/
Nº PROC. ADM: 021/2026
 TIPO CONTRATO: REGISTRO DE PREÇO
 INÍCIO REC. PROPOSTA: 09/04/2026 13:00:00
 FIM REC. PROPOSTA: 24/04/2026 08:00:00
 INÍCIO DISPUTA: 24/04/2026 09:30:00
 CIDADE: RIBEIRÃO
 FASE: RECEPÇÃO DE PROPOSTAS
 EXCLUSIVO ME: NÃO
 EXCLUSIVO REGIONAL: NÃO
 MODO DE DISPUTA: ABERTO
 TIPO DE LANCE: MENOR LANCE
 FONE PROMOTOR: 8136711977
 E-MAIL PROMOTOR: cpl.ribeiraope@gmail.com
 CONDUTOR: EDSON SILVEIRA DE ALBUQUERQUE JÚNIOR
 AUTORIDADE: ANA CAROLINA COELHO JORDÃO
 VALOR ESTIMADO: R$924.683,19</t>
  </si>
  <si>
    <t>Prefeitura Municipal de Sebastião Leal</t>
  </si>
  <si>
    <t>Sebastião Leal</t>
  </si>
  <si>
    <t>* Licitação Eletrônica * [LICITANET] - CONTRATAÇÃO DE EMPRESA PARA FORNECIMENTO DE  MANILHAS DE CONDRETO ARMADO, PARA UTILIZAÇÃO NAS ESTRADAS VICINAIS DO MUNICIPIO,CONFORME SOLICITAÇÃO DE SECRETARIA MUNICIPAL DE OBRAS E DESENVOLVIMENTO;</t>
  </si>
  <si>
    <t>Unidade compradora: 1848 - MUNICÍPIO DE SEBASTIÃO LEAL/PI
Local: Sebastião Leal/PI
Órgão: MUNICIPIO DE SEBASTIAO LEAL
Id contratação PNCP: 01612610000109-1-000023/2026
Fonte: Licitanet Licitações Eletrônicas LTDA
 - Número compra: 09 - Pregão - Eletrônico</t>
  </si>
  <si>
    <t>Prefeitura Municipal de Pajeu do Piauí</t>
  </si>
  <si>
    <t>Pajeú do Piauí</t>
  </si>
  <si>
    <t>* Licitação Eletrônica * REGISTRO DE PREÇO PARA AQUISIÇÃO PARCELADA E SOB DEMANDA DE MATERIAIS PERMANENTES MOVEIS, ELETROS, ELETRÔNICOS E UTENSÍLIOS PARA ATENDER AS DEMANDAS DAS SECRETARIAS E FUNDOS DO MUNICÍPIO DE PAJEÚ DO PIAUÍ. * https://licitanet.com.br *</t>
  </si>
  <si>
    <t>Processo: 0.010.000769
Quantidade de lotes: 90</t>
  </si>
  <si>
    <t>CODEVASF - Companhia de Desenvolvimento dos Vales do São Francisco e do Parnaíba</t>
  </si>
  <si>
    <t>* Registro de preços * * Licitação Eletrônica * Fornecimento, por Sistema de Registro de Preços - SRP, transporte, carga e descarga de Equipamentos para atender demanda da Universidade Federal do Piauí - UFPI Laboratório de reprodução animal e, eventualmente, outras instituições parceiras no estado do Piauí, área de atuação da CODEVASF/7ª SR.</t>
  </si>
  <si>
    <t>Unidade compradora: 195012 - 42A DE DESENV.DOS VALES DO S.FRANC E PARNAIBA
Local: Teresina/PI
Órgão: COMPANHIA DE DESENV. DO VALE DO SAO FRANCISCO
Id contratação PNCP: 00399857000126-1-000099/2026
Fonte: Compras.gov.br
 Para as respostas de esclarecimentos e impugnações deste edital acesse o link: https://cnetmobile.estaleiro.serpro.gov.br/comprasnet-web/public/landing?destino=quadro-informativo&amp;compra=19501205900062026 - Número compra: 90006 - Pregão - Eletrônico</t>
  </si>
  <si>
    <t>Prefeitura Municipal de São João do Arraial</t>
  </si>
  <si>
    <t>São João do Arraial</t>
  </si>
  <si>
    <t>* Licitação Eletrônica * CONTRATAÇÃO DE EMPRESAS PARA PRESTAÇÃO DE SERVIÇOS E FORNECIMENTO DE EQUIPAMENTOS DESTINADOS À MANUTENÇÃO DE POÇOS TUBULARES NO MUNICÍPIO DE SÃO JOÃO DO ARRAIAL</t>
  </si>
  <si>
    <t>Órgão: Município de São João do Arraial - Município de São João do Arraial - PI
				Processo: PE 001/2026
				Edital: PE001/2026
				Modalidade: Pregão
				Início de envio das propostas: 09-04-2026 ás 08:00
				Término de envio das propostas: 22/04/2026 ás 08:00		
				Início dos lances: 22/04/2026 ás 08:01</t>
  </si>
  <si>
    <t>Coordenadoria de Desenvolvimento dos Territórios - CDTER</t>
  </si>
  <si>
    <t>EXECUÇÃO DE PAVIMENTAÇÃO EM PARALELEPÍPEDO COM 3.500,00 M² E PASSAGEM MOLHADA COM 50M DE EXTENSÃO POR 6M DE LARGURA NA ZONA RURAL DO MUNICÍPIO DE FLORIANO-PI</t>
  </si>
  <si>
    <t>Local em que
os
interessados
poderão ter
acesso ao
texto integral
do edital
Rua Genes Celeste, nº 2194, 1º andar, Bairro Horto, Teresina-PI, durante o horário de
expediente do Órgão 7:30 às 13:30 horas, no endereço
eletrônico https://sistemas.tce.pi.gov.br/muralic/ e https://www.comprascdterpi.com.br/.
Data de
abertura e
entrega das
propostas
08h30min oito horas e trinta minutos do dia 27 de abril de 2026.
Valor global
estimado R$ 1.223.125,00 um milhão duzentos e vinte e três mil cento e vinte e cinco reais
Dotação
orçamentária 04.122.0106.5033
Fonte de
recursos
754
Natureza da
despesa 449051</t>
  </si>
  <si>
    <t>Prefeitura Municipal de São José do Divino</t>
  </si>
  <si>
    <t>São José do Divino</t>
  </si>
  <si>
    <t>* Licitação Eletrônica * CONTRATAÇÃO DE PESSOA JURÍDICA PARA AQUISIÇÃO DE MATERIAIS CERÂMICOS, ELÉTRICOS E EM GERAL, PARA ATENDER ÀS NECESSIDADES DAS SECRETARIAS E ÓRGÃOS DO MUNICÍPIO DE SÃO JOSÉ DO DIVINO-PI</t>
  </si>
  <si>
    <t>Órgão: Prefeitura Municipal São José do Divino - Prefeitura Municipal São José do Divino - PI
				Processo: 371/2026
				Edital: PE03/2026
				Modalidade: Pregão
				Início de envio das propostas: 09-04-2026 ás 09:00
				Término de envio das propostas: 22/04/2026 ás 09:00		
				Início dos lances: 22/04/2026 ás 09:01</t>
  </si>
  <si>
    <t>Prefeitura Municipal de Olho d'Agua do Piauí</t>
  </si>
  <si>
    <t>Olho D'Água do Piauí</t>
  </si>
  <si>
    <t>* Licitação eletrônica * CONTRATAÇÃO DE EMPRESA PARA A AQUISIÇÃO DE MATERIAIS DE CONSTRUÇÃO EM GERAL PARA ATENDER AS NECESSIDADES DO MUNICÍPIO DE OLHO D'ÁGUA DO PIAUÍ.</t>
  </si>
  <si>
    <t>Sistema Eletrônico no endereço: https://licitacoese2.bb.com.br/. Fonte de Recursos: Recursos Próprios do Município /Ministério da Saúde/ Emendas e Recursos Federais, que será regida pela Lei nº 14.133/2021 e suas alterações posteriores, Lei Complementar nº 123/2006 e outras normas aplicáveis ao objeto deste certame. O edital se encontra disponível no site do Tribunal de Contas do Estado do Piauí, na sede da Prefeitura Municipal de Olho D' Água do Piauí-PI e no Portal de Compras Públicas. E-mail: cplprefeituraolhodagua@gmail.com.</t>
  </si>
  <si>
    <t>CONTRATAÇÃO DE EMPRESA PARA EXECUÇÃO DOS SERVIÇOS DE CONCLUSÃO DE DOIS SISTEMAS DE ABASTECIMENTO DE ÁGUA SIMPLIFICADA NA ZONA RURAL DE PAJEU DO PIAUI, CONFORME DEFINIDO NO PROJETO BÁSICO E EDITAL. * https://licitanet.com.br *</t>
  </si>
  <si>
    <t>Processo: 0.010.00001061
Quantidade de lotes: 1</t>
  </si>
  <si>
    <t>PE/1163/2026</t>
  </si>
  <si>
    <t xml:space="preserve">* Licitação Eletrônica * AQUIS MOT. ELETRICO/AUTOMATIZADOR/BOMBA </t>
  </si>
  <si>
    <t xml:space="preserve">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09/04/2026 a 27/04/2026 às 08:00 hs </t>
  </si>
  <si>
    <t>Secretaria Municipal de Obras Públicas</t>
  </si>
  <si>
    <t>* Licitação Eletrônica * Construção de Trincheira sob a Avenida Prefeito Lothário Meissner, as Alças de Acesso e o Complexo Viário.</t>
  </si>
  <si>
    <t>Unidade compradora: 13 - SMOP - SECRETARIA MUNICIPAL DE OBRAS PÚBLICAS
Local: Curitiba/PR
Órgão: MUNICIPIO DE CURITIBA
Id contratação PNCP: 76417005000186-1-000083/2026
Fonte: Município de Curitiba
 - Número compra: 5 - Concorrência - Eletrônica</t>
  </si>
  <si>
    <t>SM/7004586312</t>
  </si>
  <si>
    <t>* Licitação Eletrônica * Aquisição de Acessórios de bombas em geral, conforme as especificações deste documento e de seus adendos</t>
  </si>
  <si>
    <t>** Esta publicação está sendo informada para os estados PR e RJ onde será realizado o objeto da licitação. Informamos que a publicação oficial é do estado de RJ. **
Regiões: PR RJ 
Inicio: 2026/04/22 - 17:00:00 Término dos lances: 2026/04/22 17:00:00</t>
  </si>
  <si>
    <t>Prefeitura Municipal de Turvo</t>
  </si>
  <si>
    <t>Turvo</t>
  </si>
  <si>
    <t>* Licitação Eletrônica * Contratação de empresa especializada para a implantação de 20 unidades habitacionais do programa minha casa minha vida no distrito faxinal da boa vista, município de turvo/pr.</t>
  </si>
  <si>
    <t>Unidade compradora: 988453 - PREFEITURA MUNICIPAL DE TURVO - PR
Local: Turvo/PR
Órgão: MUNICIPIO DE TURVO
Id contratação PNCP: 78279973000107-1-000047/2026
Fonte: Compras.gov.br
 Para as respostas de esclarecimentos e impugnações deste edital acesse o link: https://cnetmobile.estaleiro.serpro.gov.br/comprasnet-web/public/landing?destino=quadro-informativo&amp;compra=98845303900032026 - Número compra: 90003 - Concorrência - Eletrônica</t>
  </si>
  <si>
    <t>Prefeitura Municipal de Paranavaí</t>
  </si>
  <si>
    <t>Paranavaí</t>
  </si>
  <si>
    <t>* Registro de preços * * Licitação Eletrônica * Registro de preços para aquisição de EMULSÕES ASFÁLTICAS RL 1C, RR 2C e RC 1CE, a serem utilizados em execução de serviços nas vias urbanas.</t>
  </si>
  <si>
    <t>Unidade compradora: 05001 - COORDENAÇÃO DA SECRETARIA DE INFRAESTRUTURA
Local: Paranavaí/PR
Órgão: MUNICIPIO DE PARANAVAI
Id contratação PNCP: 76977768000181-1-000055/2026
Fonte: IPM Sistemas
Requisição ao Compras n 049/2025 - Processo Digital n 10.379/2026 - Número compra: PCE 16 - Pregão - Eletrônico</t>
  </si>
  <si>
    <t>Prefeitura Municipal de Juranda</t>
  </si>
  <si>
    <t>Juranda</t>
  </si>
  <si>
    <t>* Licitação Eletrônica * REGISTRO DE PREÇOS PARA FORNECIMENTO DE MATERIAIS E INSUMOS MEDICO HOSPITALAR, DESTINADOS A SUPRIR AS DEMANDAS DA SECRETARIA DE SAÚDE DO MUNICÍPIO DE JURANDA-PR  * https://bllcompras.com *</t>
  </si>
  <si>
    <t>LOCAL: https://bllcompras.com/
Nº PROC. ADM: 53/2026
 TIPO CONTRATO: REGISTRO DE PREÇO
 INÍCIO REC. PROPOSTA: 10/04/2026 07:30:00
 FIM REC. PROPOSTA: 28/04/2026 08:59:00
 INÍCIO DISPUTA: 28/04/2026 09:00:00
 CIDADE: JURANDA
 FASE: PUBLICADO
 EXCLUSIVO ME: NÃO
 EXCLUSIVO REGIONAL: NÃO
 MODO DE DISPUTA: ABERTO
 TIPO DE LANCE: MENOR LANCE
 FONE PROMOTOR: 4435691185
 E-MAIL PROMOTOR: compras@juranda.pr.gov.br
 CONDUTOR: ALINE DE SOUSA PINTO DE ALMEIDA
 AUTORIDADE: JOELMA DAMASCENO DEMENECK
 INFORMACÕES ADICIONAIS: 
 VALOR ESTIMADO: R$1.702.289,01</t>
  </si>
  <si>
    <t>Prefeitura Municipal de Leópolis</t>
  </si>
  <si>
    <t>Leópolis</t>
  </si>
  <si>
    <t>* Licitação Eletrônica * Registro de preço para futuras aquisições de Concreto Usinado Concreto de Cimento Portland com serviço de bombeamento em atendimento a Secretaria Municipal de desenvolvimento comércio e turismo. * https://bnccompras.com *</t>
  </si>
  <si>
    <t>LOCAL: https://bnccompras.com/
Nº PROC. ADM: 035/2026
 TIPO CONTRATO: REGISTRO DE PREÇO
 INÍCIO REC. PROPOSTA: 09/04/2026 09:00:00
 FIM REC. PROPOSTA: 24/04/2026 08:00:00
 INÍCIO DISPUTA: 24/04/2026 09:00:00
 CIDADE: LEÓPOLIS
 FASE: RECEPÇÃO DE PROPOSTAS
 EXCLUSIVO ME: NÃO
 EXCLUSIVO REGIONAL: SIM
 MODO DE DISPUTA: ABERTO
 TIPO DE LANCE: MENOR LANCE
 FONE PROMOTOR: 4336271361
 E-MAIL PROMOTOR: gabinete@leopolis.pr.gov.br
 CONDUTOR: VANESSA ARHANITSCH
 AUTORIDADE: LEOMAR MONTEIRO
 VALOR ESTIMADO: R$164.632,30</t>
  </si>
  <si>
    <t>Prefeitura Municipal de Foz do Iguaçu</t>
  </si>
  <si>
    <t>PE/90019/2026</t>
  </si>
  <si>
    <t>* Registro de preços * * Licitação Eletrônica * Sistema de Registro de preços para futura e eventual aquisição de Concreto Betuminoso Usinado a Quente - CBUQ Faixas B, C e D, com fornecimento do material, e de Emulsão Asfáltica RR-1C, com aplicação, destinados à execução de serviços de recapeamento, tapa-buracos e capa asfáltica em vias públicas do Município de Foz do Iguaçu, pelo período de 12 doze meses.....</t>
  </si>
  <si>
    <t>Unidade compradora: 987563 - PREFEITURA MUNICIPAL DE FOZ DO IGUAÇU - PR
Local: Foz do Iguaçu/PR
Órgão: MUNICIPIO DE FOZ DO IGUACU
Id contratação PNCP: 76206606000140-1-000149/2026
Fonte: Compras.gov.br
 Para as respostas de esclarecimentos e impugnações deste edital acesse o link: https://cnetmobile.estaleiro.serpro.gov.br/comprasnet-web/public/landing?destino=quadro-informativo&amp;compra=98756305900192026 - Número compra: 90019 - Pregão - Eletrônico</t>
  </si>
  <si>
    <t>Serviço Autônomo de Água e Esgoto de Andirá</t>
  </si>
  <si>
    <t>* Licitação Eletrônica * CONTRATAÇÃO DE EMPRESA ESPECIALIZADA PARA PRESTAÇÃO DE SERVIÇOS ELETROMECÂNICOS PARA MANUTENÇÃO E CONSERVAÇÃO DA ESTAÇÃO DE CAPTAÇÃO DE ÁGUA BRUTA, ESTAÇÃO DE TRATAMENTO DE ÁGUA, ESTAÇÃO ELEVATÓRIA DE ÁGUA E ESGOTO PARA ATENDER O SAMAE, PARA FUTURAS CONTRATAÇÕES</t>
  </si>
  <si>
    <t>Data abertura: 2026-04-24
Situação: Aguardando Abertura
 - Licitação sujeita a confirmação pois não foi informado que trata-se de prorrogação.</t>
  </si>
  <si>
    <t>Prefeitura Municipal de Tamboara</t>
  </si>
  <si>
    <t>Tamboara</t>
  </si>
  <si>
    <t>* Licitação Eletrônica * REGISTRO DE PREÇOS PARA EVENTUAL AQUISIÇÃO FUTURA E PARCELADA DE MATERIAIS PEDAGÓGICOS, EM SUPRIMENTO DAS SECRETARIAS MUNICIPAIS DE EDUCAÇÃO E ASSISTÊNCIA SOCIAL * https://bnccompras.com *</t>
  </si>
  <si>
    <t>LOCAL: https://bnccompras.com/
Nº PROC. ADM: 039/2026
 TIPO CONTRATO: REGISTRO DE PREÇO
 INÍCIO REC. PROPOSTA: 10/04/2026 08:00:00
 FIM REC. PROPOSTA: 30/04/2026 08:00:00
 INÍCIO DISPUTA: 30/04/2026 09:00:00
 CIDADE: TAMBOARA
 FASE: PUBLICADO
 EXCLUSIVO ME: SIM
 EXCLUSIVO REGIONAL: NÃO
 MODO DE DISPUTA: ABERTO E FECHADO
 TIPO DE LANCE: MENOR LANCE
 FONE PROMOTOR: 4434601109
 E-MAIL PROMOTOR: prefeitura@tamboara.pr.gov.br
 CONDUTOR: REGINALDO MACHADO DE SOUZA
 AUTORIDADE: GIOVANE MONTEIRO DA SILVA
INFORMACÕES ADICIONAIS: BNC  - Atendimento Fornecedores:
Telefone: 42 3026-4555
Whatsapp: 42 3026-4550
Setor Financeiro: 41 3097-4250
contato@bnc.org.br
 VALOR ESTIMADO: R$123.102,97</t>
  </si>
  <si>
    <t>Prefeitura Municipal de Boa Vista da Aparecida</t>
  </si>
  <si>
    <t>Boa Vista da Aparecida</t>
  </si>
  <si>
    <t>* Registro de preços * * Licitação Eletrônica * Registro de preços para aquisição de materiais e equipamentos de proteção individual - EPI's, em atendimento a Secretaria de Serviços Rodoviários e Urbanos do Município de Boa Vista da Aparecida/PR.</t>
  </si>
  <si>
    <t>Unidade compradora: 456578 - PREFEITURA MUN. DE BOA VISTA DA APARECIDA-PR
Local: Boa Vista da Aparecida/PR
Órgão: MUNICIPIO DE BOA VISTA DA APARECIDA
Id contratação PNCP: 78121985000109-1-000039/2026
Fonte: Compras.gov.br
Em caso de discordância existente entre as especificações dos objetos descritos no site Compras Governamentais e as especificações constantes deste Edital, prevalecerão as especificações do Edital. Para as respostas de esclarecimentos e impugnações deste edital acesse o link: https://cnetmobile.estaleiro.serpro.gov.br/comprasnet-web/public/landing?destino=quadro-informativo&amp;compra=45657805900102026 - Número compra: 90010 - Pregão - Eletrônico</t>
  </si>
  <si>
    <t>Prefeitura Municipal de Miraselva</t>
  </si>
  <si>
    <t>Miraselva</t>
  </si>
  <si>
    <t>* Licitação Eletrônica * Contratação de empresa especializada para execução de obra de engenharia destinada à reforma do Centro Cívico do Município de Miraselva/PR, compreendendo a remoção e substituição de forros, instalação de luminárias, execução de pinturas internas e implantação de rufos metálicos para correção de infiltrações, conforme projetos, memorial descritivo, planilha orçamentária e demais documentos técnicos que integram o presente processo. * https://bllcompras.com *</t>
  </si>
  <si>
    <t>LOCAL: https://bllcompras.com/
Nº PROC. ADM: 24/2026
 TIPO CONTRATO: AQUISIÇÃO
 INÍCIO REC. PROPOSTA: 10/04/2026 08:00:00
 FIM REC. PROPOSTA: 28/04/2026 08:30:00
 INÍCIO DISPUTA: 28/04/2026 09:00:00
 CIDADE: MIRASELVA
 FASE: PUBLICADO
 EXCLUSIVO ME: SIM
 EXCLUSIVO REGIONAL: NÃO
 MODO DE DISPUTA: ABERTO
 TIPO DE LANCE: MENOR LANCE
 FONE PROMOTOR: 4332731177
 E-MAIL PROMOTOR: gabinete@miraselva.pr.gov.br
 CONDUTOR: PAULO CESAR VIEIRA DE MELO
 AUTORIDADE: JOÃO MARCOS FERRER
 INFORMACÕES ADICIONAIS: No campo "OUTROS DOCUMENTOS" deverá ser anexado todos os documentos solicitados em edital. 
 VALOR ESTIMADO: R$23.628,87</t>
  </si>
  <si>
    <t>* Licitação Eletrônica * Pavimentação de vias urbanas em concreto de cimento Portland: Ruas Dom Pedro II com área de 1.212,76 m2, Morretes com área de 994,93 m2, Rua Tiradentes com área de 238,93 m2 e Rua Rio Claro com área de 812,84 m2, totalizando 3.259,46 m2, incluindo serviços preliminares, terraplenagem, drenagem, base e sub-base, revestimento, meio-fio e sarjeta, serviços de urbanização, sinalização de trânsito, iluminação pública e ensaios tecnológicos * https://bnccompras.com *</t>
  </si>
  <si>
    <t>LOCAL: https://bnccompras.com/
Nº PROC. ADM: 00000000000000000104
 TIPO CONTRATO: AQUISIÇÃO
 INÍCIO REC. PROPOSTA: 10/04/2026 09:00:00
 FIM REC. PROPOSTA: 29/04/2026 09:29:00
 INÍCIO DISPUTA: 29/04/2026 09:30:00
 CIDADE: PIÊN
 FASE: PUBLICADO
 EXCLUSIVO ME: NÃO
 EXCLUSIVO REGIONAL: NÃO
 MODO DE DISPUTA: ABERTO
 TIPO DE LANCE: MENOR LANCE
 FONE PROMOTOR: 4136321136
 E-MAIL PROMOTOR: licitacoes.administracao@pien.pr.gov.br
 CONDUTOR: MARCOS AURELIO MELENEK
 AUTORIDADE: MAICON GROSSKOPF
 VALOR ESTIMADO: R$914.902,40</t>
  </si>
  <si>
    <t>CE/1635/2025</t>
  </si>
  <si>
    <t>AQUISIÇÃO DE PEÇAS PARA REPOSIÇÃO. https://compras.itaipu.gov.br/Default.aspx</t>
  </si>
  <si>
    <t xml:space="preserve">Acesse site https://compras.itaipu.gov.br/Default.aspx e consulte os detalhes. 
Em proposta
 Edital: AF 1635A-25
 Inicio dos lances: 08/04/2026 16:00:00 Término dos lances: 16/04/2026 09:00:00
 </t>
  </si>
  <si>
    <t>Prefeitura Municipal de Paranapoema</t>
  </si>
  <si>
    <t>Paranapoema</t>
  </si>
  <si>
    <t>* Licitação Eletrônica * REGISTRO DE PREÇOS PARA FUTURA E EVENTUAL AQUISIÇÃO DE EQUIPAMENTOS ODONTOLÓGICOS PARA A UBS APARECIDO STUANI, CONFORME SOLICITAÇÃO DA SECRETARIA MUNICIPAL DE SAÚDE DE PARANAPOEMA/PR. * https://bllcompras.com *</t>
  </si>
  <si>
    <t>LOCAL: https://bllcompras.com/
Nº PROC. ADM: 35/2026
 TIPO CONTRATO: REGISTRO DE PREÇO
 INÍCIO REC. PROPOSTA: 09/04/2026 13:24:00
 FIM REC. PROPOSTA: 24/04/2026 08:45:00
 INÍCIO DISPUTA: 24/04/2026 09:00:00
 CIDADE: PARANAPOEMA
 FASE: RECEPÇÃO DE PROPOSTAS
 EXCLUSIVO ME: SIM
 EXCLUSIVO REGIONAL: NÃO
 MODO DE DISPUTA: ABERTO
 TIPO DE LANCE: MENOR LANCE
 FONE PROMOTOR: 4433421133
 E-MAIL PROMOTOR: prefeitura@paranapoema.pr.gov.br
 CONDUTOR: LEANDRO APARECIDO MEREDA MARTINHO
 AUTORIDADE: SIDNEI FRAZATTO
 INFORMACÕES ADICIONAIS: 
 VALOR ESTIMADO: R$89.967,73</t>
  </si>
  <si>
    <t>Prefeitura Municipal de Terra Roxa</t>
  </si>
  <si>
    <t>Terra Roxa</t>
  </si>
  <si>
    <t>* Registro de preços * * Licitação Eletrônica * Aquisição De Materiais E Equipamentos Destinados À Implantação De Laboratórios De Ciências Nas Escolas Da Rede Municipal De Ensino Do Município De Terra Roxa/PR</t>
  </si>
  <si>
    <t>Unidade compradora: 987921 - PREFEITURA MUN. DE TERRA ROXA - PR
Local: Terra Roxa/PR
Órgão: MUNICIPIO DE TERRA ROXA
Id contratação PNCP: 75587204000170-1-000087/2026
Fonte: Compras.gov.br
 Para as respostas de esclarecimentos e impugnações deste edital acesse o link: https://cnetmobile.estaleiro.serpro.gov.br/comprasnet-web/public/landing?destino=quadro-informativo&amp;compra=98792105900342026 - Número compra: 90034 - Pregão - Eletrônico</t>
  </si>
  <si>
    <t>PE/1173/2026</t>
  </si>
  <si>
    <t xml:space="preserve">* Licitação Eletrônica * AQUIS DE EQUIPAMENTOS P/ LABORATORIO 5 </t>
  </si>
  <si>
    <t xml:space="preserve">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09/04/2026 a 04/05/2026 às 08:00 hs </t>
  </si>
  <si>
    <t>Prefeitura Municipal de Wenceslau Braz</t>
  </si>
  <si>
    <t>Wenceslau Braz</t>
  </si>
  <si>
    <t>* Licitação Eletrônica * A possível aquisição de material de artesanato para atender a demanda da Secretaria Municipal de Assistência Social. * https://bllcompras.com *</t>
  </si>
  <si>
    <t>LOCAL: https://bllcompras.com/
Nº PROC. ADM: 41-2026
 TIPO CONTRATO: AQUISIÇÃO
 INÍCIO REC. PROPOSTA: 09/04/2026 14:00:00
 FIM REC. PROPOSTA: 27/04/2026 07:59:00
 INÍCIO DISPUTA: 27/04/2026 09:00:00
 CIDADE: WENCESLAU BRAZ
 FASE: RECEPÇÃO DE PROPOSTAS
 EXCLUSIVO ME: SIM
 EXCLUSIVO REGIONAL: NÃO
 MODO DE DISPUTA: ABERTO
 TIPO DE LANCE: MENOR LANCE
 FONE PROMOTOR: 4335281010
 E-MAIL PROMOTOR: licitacaowbz@gmail.com
 CONDUTOR: ANDREIA BATISTA PADILHA DOS SANTOS
 AUTORIDADE: LUIZ CARLOS VIDAL
 INFORMACÕES ADICIONAIS: 
 VALOR ESTIMADO: R$620.510,88</t>
  </si>
  <si>
    <t>Prefeitura Municipal de Rebouças</t>
  </si>
  <si>
    <t>* Licitação Eletrônica * O objeto  é a aquisição de materiais e equipamentos de enfermagem, visando suprir as necessidades do Município de  Rebouças - PR.  * https://bllcompras.com *</t>
  </si>
  <si>
    <t>LOCAL: https://bllcompras.com/
Nº PROC. ADM: 62/2026
 TIPO CONTRATO: REGISTRO DE PREÇO
 INÍCIO REC. PROPOSTA: 13/04/2026 08:30:00
 FIM REC. PROPOSTA: 28/04/2026 08:00:00
 INÍCIO DISPUTA: 28/04/2026 09:00:00
 CIDADE: REBOUÇAS
 FASE: PUBLICADO
 EXCLUSIVO ME: NÃO
 EXCLUSIVO REGIONAL: NÃO
 MODO DE DISPUTA: ABERTO
 TIPO DE LANCE: MENOR LANCE
 FONE PROMOTOR: 4234571299
 E-MAIL PROMOTOR: licitacao@reboucas.pr.gov.br
 CONDUTOR: SOLANGE DA LUZ SZCZERBA SAQUETO
 AUTORIDADE: LAÉRCIO ANTONIO CIPRIANO
 INFORMACÕES ADICIONAIS: 
 VALOR ESTIMADO: R$1.317.327,82</t>
  </si>
  <si>
    <t>* Licitação eletrônica * REGISTRO DE PREÇO PARA A AQUISIÇÃO DE MATERIAIS HIDRÁULICOS PARA MANUTENÇÃO DE REDES DE ÁGUA E ESGOTO POR MAIOR DESCONTO LINEAR SOBRE OS PREÇOS DA TABELA SINAPI.</t>
  </si>
  <si>
    <t>Data abertura: 2026-04-23
Situação: Aguardando Abertura
 - Licitação sujeita a confirmação pois não foi informado que trata-se de prorrogação.</t>
  </si>
  <si>
    <t>Prefeitura Municipal de Nova Santa Rosa</t>
  </si>
  <si>
    <t>Nova Santa Rosa</t>
  </si>
  <si>
    <t>* Registro de preços * * Licitação Eletrônica * Contratação de empresas para fornecimento de tubos de concreto e PEAD novos, visando atender a demanda da secretaria desta municipalidade.</t>
  </si>
  <si>
    <t>Unidade compradora: 08002 - DEPARTAMENTO DE SERVICOS URBANOS
Local: Nova Santa Rosa/PR
Órgão: MUNICIPIO DE NOVA SANTA ROSA
Id contratação PNCP: 77116663000109-1-000036/2026
Fonte: IPM Sistemas
 - Número compra: PCE 18 - Pregão - Eletrônico</t>
  </si>
  <si>
    <t>Prefeitura Municipal de Itaperuçu</t>
  </si>
  <si>
    <t>Itaperuçu</t>
  </si>
  <si>
    <t>* Licitação Eletrônica * CONTRATAÇÃO DE EMPRESA ESPECIALIZADA PARA A PRESTAÇÃO DE SERVIÇOS DE JARDINAGEM, MANUTENÇÃO E CONSERVAÇÃO DE ÁREAS VERDES E DEMAIS ATIVIDADES NECESSÁRIAS À MANUTENÇÃO DOS JARDINS E ESPAÇOS VERDES, DESTINADOS A ATENDER AS NECESSIDADES DA SECRETARIA MUNICIPAL DE ADMINISTRAÇÃO E DEMAIS SECRETARIAS MUNICIPAIS DO MUNICÍPIO DE ITAPERUÇU/PR.</t>
  </si>
  <si>
    <t>Unidade compradora: 30029 - Gabinete do Secretario Municipal de Administracao
Local: Itaperuçu/PR
Órgão: MUNICIPIO DE ITAPERUCU
Id contratação PNCP: 95422846000126-1-000059/2026
Fonte: Equiplano Sistemas LTDA / Equiplano Sistemas 
Inexistente - Número compra: 23 - Pregão - Eletrônico</t>
  </si>
  <si>
    <t>Prefeitura Municipal de Rio Negro</t>
  </si>
  <si>
    <t>Rio Negro</t>
  </si>
  <si>
    <t>* Registro de preços * * Licitação Eletrônica * Aquisição de materiais e utensílios de copa, cozinha, higiene e limpeza.</t>
  </si>
  <si>
    <t>Unidade compradora: 05003 - Departamento Licitações e Compras - Dlc
Local: Rio Negro/PR
Órgão: MUNICIPIO DE RIO NEGRO
Id contratação PNCP: 76002641000147-1-000123/2026
Fonte: IPM Sistemas
 - Número compra: PCE 20 - Pregão - Eletrônico</t>
  </si>
  <si>
    <t>Consórcio Intergestores de Saúde da 5ª Região de Saúde - CIS5RS</t>
  </si>
  <si>
    <t>* Registro de preços * * Licitação Eletrônica * REGISTRO DE PREÇOS PARA AQUISIÇÃO DE BOTIJÕES DE GÁS LIQUEFEITO DE PETRÓLEO GLP, COM RECARGAS E KIT DE INSTALAÇÃO PARA ATENDIMENTO ÀS DEMANDANDAS DO CIS5ªRS.</t>
  </si>
  <si>
    <t>Unidade compradora: 90 - Diretoria Executiva
Local: Guarapuava/PR
Órgão: CONSORCIO INTERGESTORES DE SAUDE DA 5A REGIAO DE SAUDE DO PARANA - CIS5RS
Id contratação PNCP: 36330988000102-1-000097/2026
Fonte: Equiplano Sistemas LTDA / Equiplano Sistemas 
Inexistente - Número compra: 5 - Pregão - Eletrônico</t>
  </si>
  <si>
    <t>Prefeitura Municipal de Rondon</t>
  </si>
  <si>
    <t>Rondon</t>
  </si>
  <si>
    <t>* Licitação Eletrônica * Registro de preços para futura e eventual aquisição e instalação de totens de hidratação, destinados ao fornecimento de água potável em espaços públicos do Município de Rondon/PR.</t>
  </si>
  <si>
    <t>Unidade compradora: 5002 - LICITACOES
Local: Rondon/PR
Órgão: MUNICIPIO DE RONDON
Id contratação PNCP: 75380071000166-1-000053/2026
Fonte: Equiplano Sistemas LTDA / Equiplano Sistemas 
Inexistente - Número compra: 14 - Pregão - Eletrônico</t>
  </si>
  <si>
    <t>* Licitação Eletrônica * Registro de preço para aquisição de materiais e equipamentos para combate à dengue.</t>
  </si>
  <si>
    <t>Unidade compradora: 987915 - PREFEITURA MUNUNICIPAL DE TELEMARCO BORBA-PR
Local: Telêmaco Borba/PR
Órgão: MUNICIPIO DE TELEMACO BORBA
Id contratação PNCP: 76170240000104-1-000076/2026
Fonte: Compras.gov.br
Prezados fornecedores, o código utilizado pelo catálogo de materiais/serviços do Siasgnet é gerado pelo sistema, portanto cumpre-se o exigido em edital, quanto as especificações de cada lote ou item. Para as respostas de esclarecimentos e impugnações deste edital acesse o link: https://cnetmobile.estaleiro.serpro.gov.br/comprasnet-web/public/landing?destino=quadro-informativo&amp;compra=98791505900162026 - Número compra: 90016 - Pregão - Eletrônico</t>
  </si>
  <si>
    <t>Prefeitura Municipal de São Manoel do Paraná</t>
  </si>
  <si>
    <t>São Manoel do Paraná</t>
  </si>
  <si>
    <t>* Licitação Eletrônica * REGISTRO DE PREÇOS PARA AQUISIÇÃO DE EQUIPAMENTOS DE PROTEÇÃO INDIVIDUAL EPIS E EQUIPAMENTOS DE PROTEÇÃO COLETIVA EPCS PARA ATENDER ÀS NECESSIDADES DOS PROFISSIONAIS DAS SECRETARIAS MUNICIPAIS DO MUNICÍPIO DE SÃO MANOEL DO PARANÁ. * https://bllcompras.com *</t>
  </si>
  <si>
    <t>LOCAL: https://bllcompras.com/
Nº PROC. ADM: 063/2026
 TIPO CONTRATO: REGISTRO DE PREÇO
 INÍCIO REC. PROPOSTA: 09/04/2026 08:30:00
 FIM REC. PROPOSTA: 24/04/2026 08:30:00
 INÍCIO DISPUTA: 24/04/2026 09:00:00
 CIDADE: SÃO MANOEL DO PARANÁ
 FASE: PUBLICADO
 EXCLUSIVO ME: SIM
 EXCLUSIVO REGIONAL: NÃO
 MODO DE DISPUTA: ABERTO
 TIPO DE LANCE: MENOR LANCE
 FONE PROMOTOR: 4436441114
 E-MAIL PROMOTOR: gabinete@saomanoeldoparana.pr.gov.br
 CONDUTOR: ANDRESSA RODRIGUES BRUNHARA
 AUTORIDADE: VITOR HUGO RODRIGUES
 INFORMACÕES ADICIONAIS: 
 VALOR ESTIMADO: R$143.134,70</t>
  </si>
  <si>
    <t>Prefeitura Municipal de Candói</t>
  </si>
  <si>
    <t>Candói</t>
  </si>
  <si>
    <t>PE/90024/2026</t>
  </si>
  <si>
    <t>* Licitação Eletrônica * Registro de preço de materiais de limpeza e cozinha para uso das diversas secretarias municipais * https://licitar.digital *</t>
  </si>
  <si>
    <t>Id: 96871
Unidade licitante: Prefeitura Municipal de Candói - Unidade Única
Plataforma: licitardigital</t>
  </si>
  <si>
    <t>SM/7004587548</t>
  </si>
  <si>
    <t>* Licitação Eletrônica * Aquisição de Válvulas esferas</t>
  </si>
  <si>
    <t>Regiões: RJ 
Inicio: 2026/04/27 - 17:00:00 Término dos lances: 2026/04/27 17:00:00</t>
  </si>
  <si>
    <t>SM/7004587209</t>
  </si>
  <si>
    <t>* Licitação Eletrônica * Aquisição de Permutadores de Calor de Placas Gaxetadas, Resfriador
Vertical, Contrafluxo, conforme as especificações deste documento e de seus
adendos.</t>
  </si>
  <si>
    <t>Regiões: RJ 
Inicio: 2026/04/20 - 17:00:00 Término dos lances: 2026/04/20 17:00:00</t>
  </si>
  <si>
    <t>SM/7004586258</t>
  </si>
  <si>
    <t>* Licitação Eletrônica * Aquisição de Instrumentos de medidas elétricas, conforme as especificações deste documento e de seus adendos.</t>
  </si>
  <si>
    <t>** Esta publicação está sendo informada para os estados RS, SP e RJ onde será realizado o objeto da licitação. Informamos que a publicação oficial é do estado de RJ. **
Regiões: RJ RS SP 
Inicio: 2026/04/15 - 17:00:00 Término dos lances: 2026/04/15 17:00:00</t>
  </si>
  <si>
    <t>Fundação de Apoio ao Desenvolvimento da Computação Científica - FACC</t>
  </si>
  <si>
    <t>* Licitação Eletrônica * Aquisição Ordenhadeiras Mecânicas Móveis, Resfriadores de Leite de 500 Litros e Caminhões Baú Refrigerados * https://bllcompras.com *</t>
  </si>
  <si>
    <t>LOCAL: https://bllcompras.com/
Nº PROC. ADM: 11/2026
 TIPO CONTRATO: AQUISIÇÃO
 INÍCIO REC. PROPOSTA: 09/04/2026 10:00:00
 FIM REC. PROPOSTA: 16/04/2026 10:00:00
 INÍCIO DISPUTA: 16/04/2026 10:30:00
 CIDADE: PETRÓPOLIS
 FASE: PUBLICADO
 EXCLUSIVO ME: NÃO
 EXCLUSIVO REGIONAL: NÃO
 MODO DE DISPUTA: ABERTO
 TIPO DE LANCE: MENOR LANCE
 FONE PROMOTOR: 2121417271
 E-MAIL PROMOTOR: dirgeral@facc10.org.br
 CONDUTOR: DANIELLE LAFONTAINE CASTEDO FERRÃO
 AUTORIDADE: RIKCHAINNE IBRAHIM SILVESTRE
 INFORMACÕES ADICIONAIS: Seleção Pública Eletrônica de Fornecedores, embasamento legal conforme o Decreto 8241/14.
 VALOR ESTIMADO: R$6.802.000,00</t>
  </si>
  <si>
    <t>Ministério da Saúde - Secretaria de Atenção à Saúde - Instituto Nacional de Cardiologia</t>
  </si>
  <si>
    <t>PE/90134/2025</t>
  </si>
  <si>
    <t>* Registro de preços * * Licitação Eletrônica * Aquisição de Materiais Hospitalares Ventilatórios. Processo 33409.008001/2025-25</t>
  </si>
  <si>
    <t>Unidade compradora: 250059 - INSTITUTO NACIONAL DE CARDIOLOGIA
Local: Rio de Janeiro/RJ
Órgão: MINISTERIO DA SAUDE
Id contratação PNCP: 00394544000185-1-003175/2025
Fonte: Compras.gov.br
 Para as respostas de esclarecimentos e impugnações deste edital acesse o link: https://cnetmobile.estaleiro.serpro.gov.br/comprasnet-web/public/landing?destino=quadro-informativo&amp;compra=25005905901342025 - Número compra: 90134 - Pregão - Eletrônico</t>
  </si>
  <si>
    <t>Companhia Maricá Alimentos S.A.</t>
  </si>
  <si>
    <t>* Licitação Eletrônica * Aquisição de materiais de manutenção, sinalização e conservação, incluindo escadas de alumínio, placas de advertência, mangueiras e contentor de resíduos.</t>
  </si>
  <si>
    <t>Unidade compradora: 931942 - COMPANHIA MARICÁ ALIMENTOS / RJ
Local: Maricá/RJ
Órgão: COMPANHIA MARICA ALIMENTOS S.A - CMA
Id contratação PNCP: 46791130000190-1-000003/2026
Fonte: Compras.gov.br
 Para as respostas de esclarecimentos e impugnações deste edital acesse o link: https://cnetmobile.estaleiro.serpro.gov.br/comprasnet-web/public/landing?destino=quadro-informativo&amp;compra=93194205900032026 - Número compra: 90003 - Pregão - Eletrônico</t>
  </si>
  <si>
    <t>PE/90202/2026</t>
  </si>
  <si>
    <t>* Registro de preços * * Licitação Eletrônica * Contratação de serviços de Instalações Elétricas e Hidrossanitárias em Módulos Habitacionais</t>
  </si>
  <si>
    <t>Unidade compradora: 986001 - PREFEITURA MUNICIPAL DO RIO DE JANEIRO - RJ
Local: Rio de Janeiro/RJ
Órgão: MUNICIPIO DE RIO DE JANEIRO
Id contratação PNCP: 42498733000148-1-000617/2026
Fonte: Compras.gov.br
 Para as respostas de esclarecimentos e impugnações deste edital acesse o link: https://cnetmobile.estaleiro.serpro.gov.br/comprasnet-web/public/landing?destino=quadro-informativo&amp;compra=98600105902022026 - Número compra: 90202 - Pregão - Eletrônico</t>
  </si>
  <si>
    <t>PE/90204/2026</t>
  </si>
  <si>
    <t>* Licitação Eletrônica * Aquisição de QUEROSENE ACONDICIONADO EM TAMBOR DE 200 LITROS</t>
  </si>
  <si>
    <t>Unidade compradora: 986001 - PREFEITURA MUNICIPAL DO RIO DE JANEIRO - RJ
Local: Rio de Janeiro/RJ
Órgão: MUNICIPIO DE RIO DE JANEIRO
Id contratação PNCP: 42498733000148-1-000619/2026
Fonte: Compras.gov.br
 Para as respostas de esclarecimentos e impugnações deste edital acesse o link: https://cnetmobile.estaleiro.serpro.gov.br/comprasnet-web/public/landing?destino=quadro-informativo&amp;compra=98600105902042026 - Número compra: 90204 - Pregão - Eletrônico</t>
  </si>
  <si>
    <t>MINISTÉRIO DA DEFESA - Comando da Marinha - Diretoria de Patrimônio Histórico e Documentação da Marinha</t>
  </si>
  <si>
    <t>* Licitação Eletrônica * Contratação de empresa especializada para a prestação de serviços de manutenção preventiva e corretiva em 1 um relógio de torre tipo meio carrilhão, incluindo máquina mestre, e em 1 um relógio de parede de quatro faces, ambos instalados na torre da Ilha Fiscal. Os serviços deverão ser prestados de forma contínua, sem dedicação de mão de obra exclusiva e sem fornecimento de peças, nas dependências da Diretoria do Patrimônio Histórico e Documentação da Marinha DPHDM</t>
  </si>
  <si>
    <t>Unidade compradora: 779000 - DIR.DE PATR.HIST.E DOCUMENTACAO DA MARINHA
Local: Rio de Janeiro/RJ
Órgão: COMANDO DA MARINHA
Id contratação PNCP: 00394502000144-1-002598/2026
Fonte: Compras.gov.br
 Para as respostas de esclarecimentos e impugnações deste edital acesse o link: https://cnetmobile.estaleiro.serpro.gov.br/comprasnet-web/public/landing?destino=quadro-informativo&amp;compra=77900005900022026 - Número compra: 90002 - Pregão - Eletrônico</t>
  </si>
  <si>
    <t>Secretaria Municipal de Saúde de Volta Redonda / Fundo Municipal de Saúde de Volta Redonda</t>
  </si>
  <si>
    <t>Volta Redonda</t>
  </si>
  <si>
    <t>PE/90051/2026</t>
  </si>
  <si>
    <t>* Registro de preços * * Licitação Eletrônica * Registro de preços para futura e eventual aquisição de materiais de manutenção e construção civil para atendimento das unidades básicas de saúde e urgência e emergências, conforme especificações constantes no Anexo I, Termo de Referência, deste edital.</t>
  </si>
  <si>
    <t>Unidade compradora: 926850 - FUNDO MUNICIPAL DE SAÚDE DE VOLTA REDONDA-RJ
Local: Volta Redonda/RJ
Órgão: FUNDO MUNICIPAL DE SAUDE PMVR SMS
Id contratação PNCP: 39563911000162-1-000060/2026
Fonte: Compras.gov.br
 Para as respostas de esclarecimentos e impugnações deste edital acesse o link: https://cnetmobile.estaleiro.serpro.gov.br/comprasnet-web/public/landing?destino=quadro-informativo&amp;compra=92685005900512026 - Número compra: 90051 - Pregão - Eletrônico</t>
  </si>
  <si>
    <t>Prefeitura Municipal de Volta Redonda</t>
  </si>
  <si>
    <t>CR/90031/2026</t>
  </si>
  <si>
    <t>Contratação de empresa de engenharia para execução de obra de rebaixamento do greide e adequação viária no bairro Aero Clube, Volta Redonda/RJ</t>
  </si>
  <si>
    <t xml:space="preserve"> 
CONCORRÊNCIA PRESENCIAL
Proc. SEI- 12.066 - 00000272/2026 - STMU - Ampla Concorrência
Realização: 22/04/2026
às 09h. UASG: 450068 - Divulgação.
www.voltaredonda.rj.gov.br
243511-3114
 </t>
  </si>
  <si>
    <t>SM/7004587301</t>
  </si>
  <si>
    <t>* Licitação Eletrônica * Aquisição de Conjunto para Manutenção de Elevadores SIMI, conforme as especificações deste documento e de seus adendos</t>
  </si>
  <si>
    <t>** Esta publicação está sendo informada para os estados SP e RJ onde será realizado o objeto da licitação. Informamos que a publicação oficial é do estado de RJ. **
Regiões: SP 
Inicio: 2026/04/17 - 17:00:00 Término dos lances: 2026/04/17 17:00:00</t>
  </si>
  <si>
    <t>SM/7004586345</t>
  </si>
  <si>
    <t>* Licitação Eletrônica * Aquisição de Câmera de inspeção tela</t>
  </si>
  <si>
    <t>** Esta publicação está sendo informada para os estados ES e RJ onde será realizado o objeto da licitação. Informamos que a publicação oficial é do estado de RJ. **
Regiões: ES 
Inicio: 2026/04/17 - 17:00:00 Término dos lances: 2026/04/17 17:00:00</t>
  </si>
  <si>
    <t>SM/7004586344</t>
  </si>
  <si>
    <t>* Licitação Eletrônica * Aquisição de Telha em alumínio ondulada</t>
  </si>
  <si>
    <t>Regiões: RJ 
Inicio: 2026/04/17 - 17:00:00 Término dos lances: 2026/04/17 17:00:00</t>
  </si>
  <si>
    <t>SM/7004586260</t>
  </si>
  <si>
    <t>* Licitação Eletrônica * Aquisição de Quadro elétrico de distribuição, conforme as especificações deste documento e de seus adendos.</t>
  </si>
  <si>
    <t>SM/7004587551</t>
  </si>
  <si>
    <t>* Licitação Eletrônica * Aquisição de Válvula esfera</t>
  </si>
  <si>
    <t>** Esta publicação está sendo informada para os estados AM, BA, ES e RJ onde será realizado o objeto da licitação. Informamos que a publicação oficial é do estado de RJ. **
Regiões: AM BA ES 
Inicio: 2026/04/28 - 17:00:00 Término dos lances: 2026/04/28 17:00:00</t>
  </si>
  <si>
    <t>Prefeitura Municipal de Piraí</t>
  </si>
  <si>
    <t>Piraí</t>
  </si>
  <si>
    <t>* Licitação eletrônica *  Registro de preços para futura e eventual prestação de serviços de Caminhão Hidrojateamento e Auto Vácuo com compartimento de 5.000 LT, para água limpa e 10.000 LT para resíduos sólidos com inclusão de motorista, ajudante e combustível.</t>
  </si>
  <si>
    <t xml:space="preserve">
Data/Hora: 27/04/2026 às 09 horas
Local: Rua Dr. Luiz Antonio Garcia da Silveira, nº 16-Fundos, Centro, Piraí-RJ
Informações: Este edital e seus anexos estarão disponíveis no endereço eletrônico WWW.
NOVOBBMNET.COM.BR, podendo alternativamente, ser adquirido na Secretaria Municipal
de Administração, no endereço acima referido, no horário de 08h às 17h, de segunda à
sexta-feira -- Tel: 024 2431-9964/9950, ou por meio eletrônico https://transparencia.pirai.
ri.gov.br/contratos-e-licitacoes</t>
  </si>
  <si>
    <t>SM/7004583984</t>
  </si>
  <si>
    <t>* Licitação Eletrônica * Serviços técnicos de plataformas articuladas e montagem/desmontagem
de andaimes no APCAB, conforme as especificações deste documento e de seus
adendos</t>
  </si>
  <si>
    <t>Regiões: RJ 
Inicio: 2026/05/05 - 12:00:00 Término dos lances: 2026/05/05 12:00:00</t>
  </si>
  <si>
    <t>Prefeitura Municipal de Aperibé</t>
  </si>
  <si>
    <t>Aperibé</t>
  </si>
  <si>
    <t>* Licitação Eletrônica * REGISTRO DE PREÇOS PARA FUTURA E EVENTUAL AQUISIÇÃO DE MATERIAIS EM AÇO PARA ATENDER A SECRETARIA DE OBRAS * https://bllcompras.com *</t>
  </si>
  <si>
    <t>LOCAL: https://bllcompras.com/
Nº PROC. ADM: 000060/2026
 TIPO CONTRATO: REGISTRO DE PREÇO
 INÍCIO REC. PROPOSTA: 09/04/2026 10:00:00
 FIM REC. PROPOSTA: 27/04/2026 08:00:00
 INÍCIO DISPUTA: 27/04/2026 08:01:00
 CIDADE: APERIBÉ
 FASE: RECEPÇÃO DE PROPOSTAS
 EXCLUSIVO ME: SIM
 EXCLUSIVO REGIONAL: NÃO
 MODO DE DISPUTA: ABERTO
 TIPO DE LANCE: MENOR LANCE
 FONE PROMOTOR: 2238241608
 E-MAIL PROMOTOR: gabinete@aperibe.rj.gov.br
 CONDUTOR: MARCOS PAULO DOS SANTOS MONTOZO
 AUTORIDADE: MARCO ANTONIO SARDINHA VIEIRA
 INFORMACÕES ADICIONAIS: 
 VALOR ESTIMADO: R$252.500,20</t>
  </si>
  <si>
    <t>PE/90053/2026</t>
  </si>
  <si>
    <t>* Registro de preços * * Licitação Eletrônica * Aquisição de itens da marca ABB.</t>
  </si>
  <si>
    <t>Unidade compradora: 254445 - INSTITUTO DE TECNOLOGIA EM IMUNOBIOLOGICOS
Local: Rio de Janeiro/RJ
Órgão: FUNDACAO OSWALDO CRUZ
Id contratação PNCP: 33781055000135-1-000423/2026
Fonte: Compras.gov.br
 Para as respostas de esclarecimentos e impugnações deste edital acesse o link: https://cnetmobile.estaleiro.serpro.gov.br/comprasnet-web/public/landing?destino=quadro-informativo&amp;compra=25444505900532026 - Número compra: 90053 - Pregão - Eletrônico</t>
  </si>
  <si>
    <t>Prefeitura Municipal de Armação dos Búzios</t>
  </si>
  <si>
    <t>Armação dos Búzios</t>
  </si>
  <si>
    <t>* Registro de preços * * Licitação Eletrônica * Aquisição de Correlatos</t>
  </si>
  <si>
    <t>Unidade compradora: 980770 - PREFEITURA MUNICIPAL DE ARMAÇÃO DOS BÚZIOS-RJ
Local: Armação dos Búzios/RJ
Órgão: MUNICIPIO DE ARMACAO DE BUZIOS
Id contratação PNCP: 01616171000102-1-000024/2026
Fonte: Compras.gov.br
 Para as respostas de esclarecimentos e impugnações deste edital acesse o link: https://cnetmobile.estaleiro.serpro.gov.br/comprasnet-web/public/landing?destino=quadro-informativo&amp;compra=98077005900112026 - Número compra: 90011 - Pregão - Eletrônico</t>
  </si>
  <si>
    <t>SM/7004588060</t>
  </si>
  <si>
    <t>* Licitação Eletrônica * Serviço de Sistema de dosagem de produtos químicos na água de reposição para os evaporativos, conforme as especificações deste documento e de seus adendos.</t>
  </si>
  <si>
    <t>Regiões: RJ 
Inicio: 2026/05/05 - 17:00:00 Término dos lances: 2026/05/05 17:00:00</t>
  </si>
  <si>
    <t>Eletrobrás Termonuclear S/A - Eletronuclear</t>
  </si>
  <si>
    <t>PE/90040/2026</t>
  </si>
  <si>
    <t>* Licitação Eletrônica * Fornecimento de Cinturão de Segurança com Talabarte</t>
  </si>
  <si>
    <t>Unidade compradora: 910847 - ELETROBRAS TERMONUCLEAR S/A
Local: Rio de Janeiro/RJ
Órgão: FURNAS-CENTRAIS ELETRICAS S.A.
Id contratação PNCP: 23274194000119-1-000032/2026
Fonte: Compras.gov.br
 Para as respostas de esclarecimentos e impugnações deste edital acesse o link: https://cnetmobile.estaleiro.serpro.gov.br/comprasnet-web/public/landing?destino=quadro-informativo&amp;compra=91084705900402026 - Número compra: 90040 - Pregão - Eletrônico</t>
  </si>
  <si>
    <t>Centro Medico Assistencial da Marinha</t>
  </si>
  <si>
    <t>* Licitação Eletrônica * FECHADURA BIOMÉTRICA; RECONHECIMENTO DE IMPRESSÕES DIGITAIS: 50; ACIONAMENTO: IMPRESSÃO DIGITAL; LEITURA: DIGITAL; ALIMENTAÇÃO: PILHAS E/OU BATERIAS; CARACTERÍSTICAS ADICIONAIS: RESOLUÇÃO MÍNIMA 300 DPI,  CHAVE EMERGÊNCIA, SISTEMA DE PROGRAMAÇÃO: PERMITE EXCLUIR OU SUBSTITUIR IMPRESSÕES DIGITAIS  * https://pncp.gov.br *</t>
  </si>
  <si>
    <t xml:space="preserve">Unidade compradora: 765700 - COMANDO DA MARINHA - CENTRO MEDICO ASSISTENCIAL DA MARINHA
Local: Rio de Janeiro/RJ
Órgão: COMANDO DA MARINHA
Id contratação PNCP: 00394502000144-1-002617/2026
Fonte: Compras.gov.br
Atentar para o Termo de Referência. - Dispensa
 </t>
  </si>
  <si>
    <t>* Registro de preços * * Licitação Eletrônica * Registro de Preços para eventual aquisição de sobressalentes para manutenção de Submarinos da Classe Riachuelo - Arruelas de travamento.</t>
  </si>
  <si>
    <t>Unidade compradora: 740034 - ESTALEIRO DE MANUTENÇÃO DA ILHA DA MADEIRA
Local: Itaguaí/RJ
Órgão: COMANDO DA MARINHA
Id contratação PNCP: 00394502000144-1-002599/2026
Fonte: Compras.gov.br
 Para as respostas de esclarecimentos e impugnações deste edital acesse o link: https://cnetmobile.estaleiro.serpro.gov.br/comprasnet-web/public/landing?destino=quadro-informativo&amp;compra=74003405900042026 - Número compra: 90004 - Pregão - Eletrônico</t>
  </si>
  <si>
    <t>* Licitação Eletrônica *  aquisição de materiais de consumo e permanente diversos, conforme condições, especificações, exigências e estimativas estabelecidas neste Aviso de Contratação Direta e seus anexos.</t>
  </si>
  <si>
    <t xml:space="preserve">LOCAL DE ENTREGA: Sede da Câmara Municipal de Nova Friburgo, situada na Rua
Farinha Filho, nº 50, Centro, Nova Friburgo/RJ, CEP 28610-280.
</t>
  </si>
  <si>
    <t>Prefeitura Municipal de Varre-Sai</t>
  </si>
  <si>
    <t>Varre-Sai</t>
  </si>
  <si>
    <t>* Licitação Eletrônica * REGISTRO DE PREÇOS PARA FUTURA E EVENTUAL AQUISIÇÃO DE MEDICAMENTOS, INSUMOS E EQUIPAMENTOS PARA USO VETERINÁRIO, DESTINADOS ÀS AÇÕES DESENVOLVIDAS PELO SETOR DE VETERINÁRIA DA SECRETARIA DE FOMENTO AGROPECUÁRIO DO MUNICÍPIO DE VARRE-SAI/RJ</t>
  </si>
  <si>
    <t>Órgão: Prefeitura Municipal de Varre-Sai - Prefeitura Municipal de Varre-Sai - RJ
				Processo: 254
				Edital: 14/2026
				Modalidade: Pregão para Registro de Preço
				Início de envio das propostas: 09-04-2026 ás 12:00
				Término de envio das propostas: 27/04/2026 ás 08:59		
				Início dos lances: 27/04/2026 ás 09:00</t>
  </si>
  <si>
    <t>Prefeitura Municipal de Encanto</t>
  </si>
  <si>
    <t>Encanto</t>
  </si>
  <si>
    <t>* Registro de preços * * Licitação Eletrônica * Registro de Preços visando futura e eventual aquisição de Material de iluminação Pública para atender as necessidades do Município de Encanto RN.</t>
  </si>
  <si>
    <t>Unidade compradora: 202501 - PREFEITURA MUNICIPAL DE ENCANTO
Local: Encanto/RN
Órgão: MUNICIPIO DE ENCANTO
Id contratação PNCP: 08355760000123-1-000037/2026
Fonte: M2A tecnologia
 - Número compra: 005/2026 - Pregão - Eletrônico</t>
  </si>
  <si>
    <t>Prefeitura Municipal de Parazinho</t>
  </si>
  <si>
    <t>Parazinho</t>
  </si>
  <si>
    <t>* Licitação Eletrônica * Aquisição de materiais e insumos hospitalares diversos, com o objetivo de suprir a demanda imediata da secretaria municipal de saúde de Parazinho/RN. * https://bnccompras.com *</t>
  </si>
  <si>
    <t>LOCAL: https://bnccompras.com/
Nº PROC. ADM: 0000037
 TIPO CONTRATO: AQUISIÇÃO PARCELADA
 INÍCIO REC. PROPOSTA: 09/04/2026 14:00:00
 FIM REC. PROPOSTA: 23/04/2026 14:00:00
 INÍCIO DISPUTA: 23/04/2026 14:15:00
 CIDADE: PARAZINHO
 FASE: RECEPÇÃO DE PROPOSTAS
 EXCLUSIVO ME: NÃO
 EXCLUSIVO REGIONAL: NÃO
 MODO DE DISPUTA: ABERTO
 TIPO DE LANCE: MENOR LANCE
 FONE PROMOTOR: 8436970077
 E-MAIL PROMOTOR: prefeitura.mmunicipal2025@gmail.com
 CONDUTOR: GEOVANDERSON SOARES GOMES
 AUTORIDADE: RITA DE LUZIER DE SOUZA MARTINS
 VALOR ESTIMADO: R$1.443.679,34</t>
  </si>
  <si>
    <t>Secretaria Estadual de Saúde Pública</t>
  </si>
  <si>
    <t>* Registro de preços * * Licitação Eletrônica * Esta contratação objetiva o Registro de Preços para eventual contratação de empresa para fornecimento contínuo de INSUMOS PARA HIGIENE DAS MÃOS, por meio da modalidade licitatória Pregão Eletrônico- SRP, tipo MENOR PREÇO, nos moldes da lei 14.133/2021, conforme condições e exigências estabelecidas neste instrumento.</t>
  </si>
  <si>
    <t>Unidade compradora: 925550 - ERN - SECRETARIA DE ESTADO DA SAÚDE PÚBLICA
Local: Natal/RN
Órgão: RIO GRANDE DO NORTE SECRETARIA DA SAUDE PUBLICA
Id contratação PNCP: 08241754000145-1-000069/2026
Fonte: Compras.gov.br
Havendo divergência o descritivo do Sistema Comprasnet e o Edital prevalece o Edital. Para as respostas de esclarecimentos e impugnações deste edital acesse o link: https://cnetmobile.estaleiro.serpro.gov.br/comprasnet-web/public/landing?destino=quadro-informativo&amp;compra=92555005900502026 - Número compra: 90050 - Pregão - Eletrônico</t>
  </si>
  <si>
    <t>Prefeitura Municipal de Governador Jorge Teixeira</t>
  </si>
  <si>
    <t>Governador Jorge Teixeira</t>
  </si>
  <si>
    <t>* Licitação Eletrônica * AQUISIÇÃO DE KITS E UNIFORMES PARA OS AGENTES COMUNITÁRIOS DE SAÚDE, PARA ATENDER À NECESSIDADES DA SECRETARIA MUNICIPAL DE SAÚDE - SEMSAU, DA PREFEITURA MUNICIPAL DE GOVERNADOR JORGE TEIXEIRA - RO, CONFORME CONDIÇÕES, QUANTIDADES E EXIGÊNCIAS ESTABELECIDAS NESTE INSTRUMENTO E SEUS ANEXOS. * https://licitanet.com.br *</t>
  </si>
  <si>
    <t>Processo: 522/2026
Quantidade de lotes: 11</t>
  </si>
  <si>
    <t>Prefeitura Municipal de Pimenta Bueno</t>
  </si>
  <si>
    <t>Pimenta Bueno</t>
  </si>
  <si>
    <t>PE/40/2026</t>
  </si>
  <si>
    <t>* Registro de preços * * Licitação Eletrônica * [LICITANET] - Registro de Preços para Futura Eventual de Brinquedos e Materiais Pedagógicos</t>
  </si>
  <si>
    <t>Unidade compradora: 18 - MUNICÍPIO DE PIMENTA BUENO/RO
Local: Pimenta Bueno/RO
Órgão: MUNICIPIO DE PIMENTA BUENO
Id contratação PNCP: 04092680000171-1-000062/2026
Fonte: Licitanet Licitações Eletrônicas LTDA
 - Número compra: 40 - Pregão - Eletrônico</t>
  </si>
  <si>
    <t>PE/90391/2025</t>
  </si>
  <si>
    <t>* Licitação Eletrônica * Registro de Preços para futura e eventual aquisição de materiais de limpeza, higiene, copa e cozinha, para atender as necessidades da Polícia Civil de Rondônia.</t>
  </si>
  <si>
    <t>Unidade compradora: 925373 - SUPERINTEND.ESTAD.DE COMPRAS E LICITAÇÕES-RO
Local: Porto Velho/RO
Órgão: SUP. EST. DE LICITACAO
Id contratação PNCP: 04696490000163-1-000433/2025
Fonte: Compras.gov.br
Maiores informações e esclarecimentos sobre o certame serão prestados nas dependências da Superintendência Estadual de Licitações, sito a Av. Farquar, 2986, bairro: Pedrinhas, Complexo Rio Madeira, Ed. Pacaás Novos, 2 andar, em Porto Velho/RO - CEP: 76.801-470. Para as respostas de esclarecimentos e impugnações deste edital acesse o link: https://cnetmobile.estaleiro.serpro.gov.br/comprasnet-web/public/landing?destino=quadro-informativo&amp;compra=92537305903912025 - Número compra: 90391 - Pregão - Eletrônico</t>
  </si>
  <si>
    <t>Prefeitura Municipal de Chupinguaia</t>
  </si>
  <si>
    <t>Chupinguaia</t>
  </si>
  <si>
    <t>* Licitação Eletrônica * Futura e eventual aquisição para aquisição de tintas destinadas à pintura de meio-fio, visando à execução das atividades de manutenção e conservação de vias urbanas, e assim atender as necessidades da Secretaria Municipal de Obras e Serviços Públicos - SEMOSP * https://licitanet.com.br *</t>
  </si>
  <si>
    <t>Processo: 766/2026
Quantidade de lotes: 1</t>
  </si>
  <si>
    <t>Boa Vista</t>
  </si>
  <si>
    <t>Tribunal de Justiça do Estado do Rio Grande do Sul</t>
  </si>
  <si>
    <t xml:space="preserve"> Contratação, em regime de empreitada por preços unitários, de serviços de reforma do Foro da Comarca de Augusto Pestana.</t>
  </si>
  <si>
    <t>Unidade compradora: 925494 - TRIBUNAL DE JUSTIÇA DO ESTADO DO RIO G.DO SUL
Local: Porto Alegre/RS
Órgão: RIO GRANDE DO SUL PODER JUDICIARIO
Id contratação PNCP: 89522064000166-1-000089/2026
Fonte: Tribunal de Justiça do Estado do Rio Grande do Sul
 - Número compra: [21668] 3 - Concorrência - Eletrônica</t>
  </si>
  <si>
    <t>Prefeitura Municipal de Encantado</t>
  </si>
  <si>
    <t>Encantado</t>
  </si>
  <si>
    <t>* Licitação Eletrônica * Contratação de empresa especializada para  execução de  obra de INFRA ESTRUTURA TURISTICA DE ACESSO A ORLA DA LAGOA DA GARIBALDI, Estrada EN-315, Estrada São José na Linha Garibaldi, no município de ENCANTADO/RS. * https://bllcompras.com *</t>
  </si>
  <si>
    <t>LOCAL: https://bllcompras.com/
Nº PROC. ADM: 074/2026
 TIPO CONTRATO: AQUISIÇÃO
 INÍCIO REC. PROPOSTA: 10/04/2026 08:00:00
 FIM REC. PROPOSTA: 24/04/2026 08:00:00
 INÍCIO DISPUTA: 24/04/2026 09:00:00
 CIDADE: ENCANTADO
 FASE: PUBLICADO
 EXCLUSIVO ME: NÃO
 EXCLUSIVO REGIONAL: NÃO
 MODO DE DISPUTA: ABERTO
 TIPO DE LANCE: MENOR LANCE
 FONE PROMOTOR: 5137510100
 E-MAIL PROMOTOR: gabinete@encantado-rs.com.br
 CONDUTOR: DEISE BUFFON
 AUTORIDADE: JONAS CALVI
 INFORMACÕES ADICIONAIS: 
 VALOR ESTIMADO: R$5.403.062,25</t>
  </si>
  <si>
    <t>Prefeitura Municipal de Sant'Ana do Livramento</t>
  </si>
  <si>
    <t>Santana do Livramento</t>
  </si>
  <si>
    <t>* Licitação Eletrônica * Contratação de Serviços de Drenagem pluvial e recomposição de calçamento em pedra irregular</t>
  </si>
  <si>
    <t>Edital : PE/23/2026
Modalidade : Pregão Eletrônico 14.133/21
Nº Licitação : 349493</t>
  </si>
  <si>
    <t>Prefeitura Municipal de São Francisco de Paula</t>
  </si>
  <si>
    <t>São Francisco de Paula</t>
  </si>
  <si>
    <t>* Licitação Eletrônica * Constitui objeto da presente licitação o Registro de Preços para futura e eventual aquisição de equipamentos de informática, destinados ao atendimento das necessidades das Secretarias Municipais de São Francisco de Paula/RS</t>
  </si>
  <si>
    <t>Órgão: Prefeitura Municipal de São Francisco de Paula - Prefeitura Municipal de São Francisco de Paula - RS
				Processo: 591/2026
				Edital: 17/2026
				Modalidade: Pregão
				Início de envio das propostas: 08-04-2026 ás 17:00
				Término de envio das propostas: 04/05/2026 ás 09:29		
				Início dos lances: 04/05/2026 ás 09:30</t>
  </si>
  <si>
    <t>Prefeitura Municipal de Guaíba</t>
  </si>
  <si>
    <t>Guaíba</t>
  </si>
  <si>
    <t>* Licitação Eletrônica * Registro de Preços para aquisição de itens para manutenção em geral.</t>
  </si>
  <si>
    <t>Órgão: Secretaria de Licitações e Contratos - Prefeitura Municipal de Guaíba - RS
				Processo: 004/2026
				Edital: 004/2026
				Modalidade: Pregão para Registro de Preço
				Início de envio das propostas: 08-04-2026 ás 17:20
				Término de envio das propostas: 23/04/2026 ás 09:50		
				Início dos lances: 23/04/2026 ás 10:00</t>
  </si>
  <si>
    <t>Prefeitura Municipal de Maximiliano de Almeida</t>
  </si>
  <si>
    <t>Maximiliano de Almeida</t>
  </si>
  <si>
    <t xml:space="preserve">* Licitação Eletrônica * Constitui objeto do processo licitatório a contratação de empresas especializadas para a execução de serviços destinados à instalação de reservatórios para armazenamento de água cisternas com capacidade de 60.000 sessenta mil litros, a serem implantados no Município, em atendimento ao Termo de Convênio FPE n 2357/2022, compreendendo:
Item 01: execução dos serviços de escavação de valas com volume aproximado de 60 m³ por unidade, incluindo nivelamento, limpeza, preparação do terreno e demais serviços necessários à adequada implantação das cisternas, conforme projetos técnicos;
Item 02: fornecimento e instalação completa de cisternas com revestimento em geomembrana, incluindo todos os materiais, equipamentos e acessórios necessários ao seu pleno funcionamento, tais como geomembrana, estrutura de cobertura, dispositivos de entrada e saída de água, sistema de bombeamento e demais componentes, em conformidade com os projetos e especificações técnicas;
</t>
  </si>
  <si>
    <t>Unidade compradora: 1 - MUNICÍPIO DE MAXIMILIANO DE ALMEIDA - RS
Local: Maximiliano de Almeida/RS
Órgão: MUNICIPIO DE MAXIMILIANO DE ALMEIDA
Id contratação PNCP: 87613279000167-1-000031/2026
Fonte: System Desenvolvimento de Software
 - Número compra: 4 - Pregão - Eletrônico</t>
  </si>
  <si>
    <t>Prefeitura Municipal de Salto do Jacuí</t>
  </si>
  <si>
    <t>Salto do Jacuí</t>
  </si>
  <si>
    <t>* Licitação Eletrônica * AQUISIÇÃO DE MATERIAIS DE HIGIENE E LIMPEZA DIVERSOS PARA AS ESCOLAS MUNICIPAIS.</t>
  </si>
  <si>
    <t>Unidade compradora: 1 - PREFEITURA MUNICIPAL DE SALTO DO JACUÍ - RS
Local: Salto do Jacuí/RS
Órgão: MUNICIPIO DE SALTO DO JACUI
Id contratação PNCP: 89658025000190-1-000040/2026
Fonte: digifred sistemas de informação ltda
 - Número compra: 8 - Pregão - Eletrônico</t>
  </si>
  <si>
    <t>Prefeitura Municipal de Barão de Cotegipe</t>
  </si>
  <si>
    <t>Barão de Cotegipe</t>
  </si>
  <si>
    <t>PE/128/2026</t>
  </si>
  <si>
    <t>* Licitação Eletrônica * Registro de preços para aquisição de materiais destinados à implantação, manutenção e adequação de áreas públicas municipais, incluindo campo de futebol, áreas escolares, praças, espaços institucionais e demais locais que necessitem dos insumos descritos.</t>
  </si>
  <si>
    <t>Órgão: Prefeitura Municipal de Barão de Cotegipe - Prefeitura Municipal de Barão de Cotegipe - RS
				Processo: 128
				Edital: 128/2026
				Modalidade: Pregão para Registro de Preço
				Início de envio das propostas: 09-04-2026 ás 09:00
				Término de envio das propostas: 22/04/2026 ás 09:00		
				Início dos lances: 22/04/2026 ás 09:01</t>
  </si>
  <si>
    <t>Prefeitura Municipal de Canudos do Vale</t>
  </si>
  <si>
    <t>Canudos do Vale</t>
  </si>
  <si>
    <t>* Licitação Eletrônica * Contratação de empresa especializada em obras de engenharia para reconstrução de passagem molhada, localizada na comunidade Alta Forquetinha, zona rural do Município de Canudos do Vale, cf edital</t>
  </si>
  <si>
    <t>Órgão: Departamento de Licitações - Prefeitura Municipal de Canudos do Vale - RS
				Processo: 112
				Edital: 003/2026
				Modalidade: Concorrência
				Início de envio das propostas: 07-04-2026 ás 08:30
				Término de envio das propostas: 22/04/2026 ás 08:00		
				Início dos lances: 22/04/2026 ás 08:31</t>
  </si>
  <si>
    <t>DL/262/2026</t>
  </si>
  <si>
    <t>AQUISIÇÃO DE BENS DAS FAMÍLIAS:
0435-EQUIPAMENTOS/COMPONENTES/ACESSORIOS P/SOLDA EM GERAL;</t>
  </si>
  <si>
    <t>Edital : DL/262/2026
Modalidade : Dispensa eletrônica com disputa
Nº Licitação : 349452</t>
  </si>
  <si>
    <t>Prefeitura Municipal de Garibaldi</t>
  </si>
  <si>
    <t>* Licitação Eletrônica * AQUISIÇÃO DE MATERIAIS PARA PINTURA DE PRÉDIOS E PROPRIEDADES PÚBLICAS MUNICIPAIS</t>
  </si>
  <si>
    <t>Edital : PE/29/2026
Modalidade : Pregão Eletrônico 14.133/21
Nº Licitação : 349432</t>
  </si>
  <si>
    <t>Prefeitura Municipal de Panambi</t>
  </si>
  <si>
    <t>Panambi</t>
  </si>
  <si>
    <t>* Licitação eletrônica * Registro de preços de serviços diversos</t>
  </si>
  <si>
    <t>Aviso de Pregão Eletrônico nº 35/2026. Objeto Registro de preços de serviços diversos. Data de abertura: 23 de
abril de 2026 às 8h30m. Edital está disponível em https://elicita.atende.net/ e www.panambi.atende.net Gustavo
Cavalheiro Prefeito</t>
  </si>
  <si>
    <t>Prefeitura Municipal de Progresso</t>
  </si>
  <si>
    <t>Progresso</t>
  </si>
  <si>
    <t>Objeto: TUBOS DE CONCRETO - Registro de preços para eventual e futura aquisição de Tubos de Concreto para o Município de Progresso/RS</t>
  </si>
  <si>
    <t>Modalidade: Pregão Lei 14.133 Eletrônico
Situação: Cadastramento
Publicado em: 2026-04-08 00:00:00</t>
  </si>
  <si>
    <t>* Licitação Eletrônica * Pavimentação de áreas externas de recreação infantil com material modular com capacidade de amortecimento e de drenagem, incluindo fornecimento do material e instalação.</t>
  </si>
  <si>
    <t>Órgão: Prefeitura Municipal de Nova Petrópolis - Prefeitura Municipal de Nova Petrópolis - RS
				Processo: 131
				Edital: 34/2026
				Modalidade: Pregão
				Início de envio das propostas: 09-04-2026 ás 10:30
				Término de envio das propostas: 24/04/2026 ás 08:59		
				Início dos lances: 24/04/2026 ás 09:00</t>
  </si>
  <si>
    <t>GHC-Grupo Hospitalar Conceição S/A</t>
  </si>
  <si>
    <t>PE/63/2026</t>
  </si>
  <si>
    <t>* Licitação eletrônica * Material de Manutenção CONST CIVIL, ELÉTRICA, SERRALHERIA, HIDRÁULICA, CONSUMIVEIS, pelo Sistema de Registro de Preços, pelo período de 12 doze meses, podendo a ata de registro de preços ser prorrogada, no todo ou em parte, até o limite estabelecido do Regulamento Interno de licitações do Grupo Hospitalar Conceição, mediante acordo entre as partes, para o GRUPO HOSPITALAR CONCEIÇÃO S.A. e Filiais.</t>
  </si>
  <si>
    <t>Local: Plataforma do Banco do Brasil.</t>
  </si>
  <si>
    <t>Prefeitura Municipal de Ivoti</t>
  </si>
  <si>
    <t>Ivoti</t>
  </si>
  <si>
    <t>* Licitação Eletrônica * Aquisição de materiais elétricos para a manutenção e instalações elétricas em prédios, logradouros do Município de Ivoti.</t>
  </si>
  <si>
    <t>Órgão: PREFEITURA MUNIPAL DE IVOTI - Prefeitura Municipal de Ivoti - RS
				Processo: 732
				Edital: 25/2026
				Modalidade: Pregão para Registro de Preço
				Início de envio das propostas: 09-04-2026 ás 11:00
				Término de envio das propostas: 23/04/2026 ás 07:55		
				Início dos lances: 23/04/2026 ás 08:00</t>
  </si>
  <si>
    <t>Prefeitura Municipal de Iraí</t>
  </si>
  <si>
    <t>Iraí</t>
  </si>
  <si>
    <t>PE/42/2026</t>
  </si>
  <si>
    <t>* Licitação Eletrônica * AQUISIÇÃO DE EQUIPAMENTOS, UTENSILIOS E MOBILIÁRIO DESTINADOS A EXECUÇÃO DOPROGRAMA PRATO GAÚCHO NO MUNICIPIO DE IRAÍ-RS, COM RECURSOS PROVENIENTES DO CONVÊNIO FPE N442/2025 E CONTRAPARTIDA MUNICIPAL, CONFORME CONDIÇÕES, QUANTIDADES E EXIGÊNCIAS ESTABELECIDAS NESTE EDITAL E SEUS ANEXOS.</t>
  </si>
  <si>
    <t>Unidade compradora: 1 - PREFEITURA MUNICIPAL DE IRAI
Local: Iraí/RS
Órgão: MUNICIPIO DE IRAI
Id contratação PNCP: 87612941000164-1-000110/2026
Fonte: digifred sistemas de informação ltda
 - Número compra: 42 - Pregão - Eletrônico</t>
  </si>
  <si>
    <t>* Licitação Eletrônica * Aquisição de tintas e solvente - SRP</t>
  </si>
  <si>
    <t>Órgão: Departamento de Licitações e Contratos - Prefeitura Municipal de Gravataí - RS
				Processo: 42/2026
				Edital: 42/2026
				Modalidade: Pregão para Registro de Preço
				Início de envio das propostas: 08-04-2026 ás 15:15
				Término de envio das propostas: 23/04/2026 ás 08:59		
				Início dos lances: 23/04/2026 ás 09:00</t>
  </si>
  <si>
    <t>Prefeitura Municipal de Mariana Pimentel</t>
  </si>
  <si>
    <t>Mariana Pimentel</t>
  </si>
  <si>
    <t>* Licitação Eletrônica * Registro de Preços para aquisição parcelada e eventual de material de construção conforme condições, quantidades e exigências estabelecidas neste Edital e seus anexos.</t>
  </si>
  <si>
    <t>Órgão: Departamento de Licitações - Prefeitura Municipal de Mariana Pimentel - RS
				Processo: 000051/26
				Edital: 5/2026
				Modalidade: Pregão para Registro de Preço
				Início de envio das propostas: 09-04-2026 ás 09:00
				Término de envio das propostas: 22/04/2026 ás 09:00		
				Início dos lances: 22/04/2026 ás 09:01</t>
  </si>
  <si>
    <t>Prefeitura Municipal de Ronda Alta</t>
  </si>
  <si>
    <t>Ronda Alta</t>
  </si>
  <si>
    <t>* Registro de preços * * Licitação Eletrônica * Formação de ATA de Registro de Preços visando a Contratação de empresa especializada em serviços de sinalização viária horizontal mão de obra e materiais por meio de aplicação de tinta acrílica e tinta termoplástica, conforme a necessidade da Administração Municipal de Ronda Alta/RS.</t>
  </si>
  <si>
    <t>Unidade compradora: 1 - MUNICÍPIO DE RONDA ALTA
Local: Ronda Alta/RS
Órgão: MUNICIPIO DE RONDA ALTA
Id contratação PNCP: 87711503000153-1-000037/2026
Fonte: digifred sistemas de informação ltda
 - Número compra: 18 - Pregão - Eletrônico</t>
  </si>
  <si>
    <t>Prefeitura Municipal de Palmeira das Missões</t>
  </si>
  <si>
    <t>Palmeira das Missões</t>
  </si>
  <si>
    <t>PE/262/2026</t>
  </si>
  <si>
    <t>* Licitação Eletrônica * Registro de Preços para a futura e eventual aquisição parcelada de pedras irregulares de basalto, para a execução de calçamentos e cordões em vias públicas, visando atender as demandas da Secretaria M. de Obras, de Palmeira das Missões/RS. * https://bllcompras.com *</t>
  </si>
  <si>
    <t>LOCAL: https://bllcompras.com/
Nº PROC. ADM: 3455/2026
 TIPO CONTRATO: REGISTRO DE PREÇO
 INÍCIO REC. PROPOSTA: 09/04/2026 11:30:00
 FIM REC. PROPOSTA: 27/04/2026 08:30:00
 INÍCIO DISPUTA: 27/04/2026 09:00:00
 CIDADE: PALMEIRA DAS MISSÕES
 FASE: RECEPÇÃO DE PROPOSTAS
 EXCLUSIVO ME: NÃO
 EXCLUSIVO REGIONAL: NÃO
 MODO DE DISPUTA: ABERTO
 TIPO DE LANCE: MENOR LANCE
 FONE PROMOTOR: 5537427276
 E-MAIL PROMOTOR: licitacao@palmeiradasmissoes-rs.com.br
 CONDUTOR: BRUNA SOARES NASCIMENTO DOS SANTOS
 AUTORIDADE: EVANDRO LUIS MASSING
 INFORMACÕES ADICIONAIS: 
 VALOR ESTIMADO: R$943.300,00</t>
  </si>
  <si>
    <t>Prefeitura Municipal de São José do Norte</t>
  </si>
  <si>
    <t>São José do Norte</t>
  </si>
  <si>
    <t>* Licitação Eletrônica * Contratação de empresa especializada para fornecimento e instalação de telas milimetradas para esquadrias das escolas da rede municipal de ensino do município de São José do Norte / RS, nos moldes do Memorial Descritivo, Termo de Referência, Estudo Técnico e Preliminar, Planilha Orçamentária e Cronograma Físico e Financeiro, conforme solicitação da Secretaria Municipal de Educação e Cultura, feita através do memorando nº 13.629/2026 P.A. Nº 092/2026 - CONC. ELET. Nº 007/2026. * https://bllcompras.com *</t>
  </si>
  <si>
    <t>LOCAL: https://bllcompras.com/
Nº PROC. ADM: 92/2026
 TIPO CONTRATO: AQUISIÇÃO
 INÍCIO REC. PROPOSTA: 09/04/2026 14:00:00
 FIM REC. PROPOSTA: 30/04/2026 08:30:00
 INÍCIO DISPUTA: 30/04/2026 09:15:00
 CIDADE: SÃO JOSÉ DO NORTE
 FASE: RECEPÇÃO DE PROPOSTAS
 EXCLUSIVO ME: NÃO
 EXCLUSIVO REGIONAL: NÃO
 MODO DE DISPUTA: ABERTO
 TIPO DE LANCE: MENOR LANCE
 FONE PROMOTOR: 5332381400
 E-MAIL PROMOTOR: licitacao@saojosedonorte.rs.gov.br
 CONDUTOR: ADEMILTON HIGINO DA SILVA JUNIOR
 AUTORIDADE: NEROMAR DE ARAUJO GUIMARÃES
 INFORMACÕES ADICIONAIS: 
 VALOR ESTIMADO: R$17.881,31</t>
  </si>
  <si>
    <t>Prefeitura Municipal de Giruá</t>
  </si>
  <si>
    <t>Giruá</t>
  </si>
  <si>
    <t>* Registro de preços * * Licitação Eletrônica * SOLICITO CONTRATAÇÃO DE EMPRESA QUE REALIZE O SERVIÇO DE CONTROLE E TRATAMENTO DE POÇOS ARTESIANOS SACS E LIMPEZA DE CAIXAS D'AGUA LOCALIZADOS NO INTERIOR DO MUNICÍPIO</t>
  </si>
  <si>
    <t>Unidade compradora: 1 - MUNICIPIO DE GIRUA/RS
Local: Giruá/RS
Órgão: MUNICIPIO DE GIRUA
Id contratação PNCP: 87613048000153-1-000092/2026
Fonte: Abase Sistemas
 - Número compra: 13 - Pregão - Eletrônico</t>
  </si>
  <si>
    <t>Prefeitura Municipal de Três de Maio</t>
  </si>
  <si>
    <t>Três de Maio</t>
  </si>
  <si>
    <t>* Licitação Eletrônica * AQUISIÇÃO DE EQUIPAMENTOS E INSTRUMENTOS AMBULATORIAIS PARA USO NAS ESTRATÉGIAS DE SAÚDE DA FAMÍLIA VIVA HARMONIA E VIVA BEM, COM RECURSOS ORIUNDOS DA SECRETARIA ESTADUAL DE SAÚDE, ATRAVÉS DA PORTARIA SES N 1228/2025, SOB COORDENAÇÃO DA SECRETARIA MUNICIPAL DE SAÚDE, DESTE MUNICÍPIO.</t>
  </si>
  <si>
    <t>Unidade compradora: 1 - MUNICIPIO DE TRES DE MAIO/RS
Local: Três de Maio/RS
Órgão: MUNICIPIO DE TRES DE MAIO
Id contratação PNCP: 87612800000141-1-000357/2026
Fonte: Abase Sistemas
 - Número compra: 18 - Pregão - Eletrônico</t>
  </si>
  <si>
    <t>MINISTÉRIO DA DEFESA - Comando do Exército - Comando Militar do Sul - 6ªDivisão de Exército - 3ªBrigada de Cavalaria Mecanizada - 3ªCompanhia de Engenharia de Combate Mecanizada</t>
  </si>
  <si>
    <t>Dom Pedrito</t>
  </si>
  <si>
    <t>* Registro de preços * * Licitação Eletrônica * Aquisição de equipamentos e material de tratamento de água.</t>
  </si>
  <si>
    <t>Unidade compradora: 160526 - 3 COMPANHIA DE ENGENHARIA DE COMB.MECAN./RS
Local: Dom Pedrito/RS
Órgão: COMANDO DO EXERCITO
Id contratação PNCP: 00394452000103-1-007290/2026
Fonte: Compras.gov.br
 Para as respostas de esclarecimentos e impugnações deste edital acesse o link: https://cnetmobile.estaleiro.serpro.gov.br/comprasnet-web/public/landing?destino=quadro-informativo&amp;compra=16052605900012026 - Número compra: 90001 - Pregão - Eletrônico</t>
  </si>
  <si>
    <t>* Registro de preços * * Licitação Eletrônica * O objeto é a eventual e futura aquisição de material consumo - PE 90010/2026 - UASG 160367 - UGG.</t>
  </si>
  <si>
    <t>Unidade compradora: 160367 - 3 BATALHAO DE ENGENHARIA DE COMBATE/RS
Local: Cachoeira do Sul/RS
Órgão: COMANDO DO EXERCITO
Id contratação PNCP: 00394452000103-1-007279/2026
Fonte: Compras.gov.br
 Para as respostas de esclarecimentos e impugnações deste edital acesse o link: https://cnetmobile.estaleiro.serpro.gov.br/comprasnet-web/public/landing?destino=quadro-informativo&amp;compra=16036705900102026 - Número compra: 90010 - Pregão - Eletrônico</t>
  </si>
  <si>
    <t>* Licitação Eletrônica * DEFINIÇÃO DE REGISTRO DE PREÇOS PARA AQUISIÇÃO DE SAIBRO BRITADO MISTURADO, SEM TRANSPORTE, PARA SER UTILIZADO NA MANUTENÇÃO DE VIAS URBANAS NÃO PAVIMENTADAS E NAS VICINAIS DO INTERIOR DO MUNICÍPIO DE SÃO JOSÉ DO NORTE, CONFORME TERMO DE REFERÊNCIA E SOLICITAÇÃO DA SECRETARIA MUNICIPAL DE OBRAS E URBANISMO, FEITAS ATRAVÉS DO PROCESSO ADMINISTRATIVO Nº 276/2026. * https://bllcompras.com *</t>
  </si>
  <si>
    <t>LOCAL: https://bllcompras.com/
Nº PROC. ADM: 97/2026
 TIPO CONTRATO: REGISTRO DE PREÇO
 INÍCIO REC. PROPOSTA: 09/04/2026 14:00:00
 FIM REC. PROPOSTA: 04/05/2026 08:30:00
 INÍCIO DISPUTA: 04/05/2026 09:15:00
 CIDADE: SÃO JOSÉ DO NORTE
 FASE: PUBLICADO
 EXCLUSIVO ME: NÃO
 EXCLUSIVO REGIONAL: NÃO
 MODO DE DISPUTA: ABERTO
 TIPO DE LANCE: MENOR LANCE
 FONE PROMOTOR: 5332381400
 E-MAIL PROMOTOR: licitacao@saojosedonorte.rs.gov.br
 CONDUTOR: DEISE SARAIVA BORGES
 AUTORIDADE: NEROMAR DE ARAUJO GUIMARÃES
 INFORMACÕES ADICIONAIS: 
 VALOR ESTIMADO: R$197.010,00</t>
  </si>
  <si>
    <t>* Registro de preços * * Licitação Eletrônica * Registro de Preços para aquisição de MATERIAIS DE PROCEDIMENTOS E EQUIPAMENTOS MÉDICOS, ODONTOLÓGICOS E DE FISIOTERAPIA para as Unidades de Saúde, Pronto Atendimento e Policlínica 24h do Município de Nova Santa Rita/RS, nos termos da tabela abaixo, conforme condições e exigências estabelecidas neste instrumento.</t>
  </si>
  <si>
    <t>Unidade compradora: 07001 - Órgãos Subordinados
Local: Nova Santa Rita/RS
Órgão: MUNICIPIO DE NOVA SANTA RITA
Id contratação PNCP: 94309291000148-1-000057/2026
Fonte: IPM Sistemas
 - Número compra: PCE 20 - Pregão - Eletrônico</t>
  </si>
  <si>
    <t>Prefeitura Municipal de Porto União</t>
  </si>
  <si>
    <t>Porto União</t>
  </si>
  <si>
    <t>* Licitação Eletrônica * A presente licitação tem como objeto a Contratação de empresa para Execução da Obra Construção de 30 trinta Unidades Habitacionais, no município de Porto União, Programa Casa Catarina, incluindo material e mão de obra, de acordo com as condições...</t>
  </si>
  <si>
    <t>Órgão: MUNICÍPIO DE PORTO UNIÃO - Prefeitura Municipal de Porto União - SC
				Processo: 44/2026
				Edital: 44/2026
				Modalidade: Concorrência
				Início de envio das propostas: 08-04-2026 ás 18:00
				Término de envio das propostas: 27/04/2026 ás 12:59		
				Início dos lances: 27/04/2026 ás 13:00</t>
  </si>
  <si>
    <t>Prefeitura Municipal de Biguaçu</t>
  </si>
  <si>
    <t>Biguaçu</t>
  </si>
  <si>
    <t>* Licitação Eletrônica * Contratação de empresa para execução de projeto de construção da obra de repavimentação asfáltica, drenagem pluvial, calçadas e sinalização da Rua Conego Rodolfo Machado, Bairro Rio Caveiras, Biguaçu/SC</t>
  </si>
  <si>
    <t>Unidade compradora: 27001 - Secretaria Municipal de Planejamento
Local: Biguaçu/SC
Órgão: MUNICIPIO DE BIGUACU
Id contratação PNCP: 82892308000153-1-000078/2026
Fonte: IPM Sistemas
 - Número compra: CCE 50 - Concorrência - Eletrônica</t>
  </si>
  <si>
    <t>Prefeitura Municipal de Palhoça</t>
  </si>
  <si>
    <t>Palhoça</t>
  </si>
  <si>
    <t>CR/78/2026</t>
  </si>
  <si>
    <t>* Licitação Eletrônica * Contratação de empresa para execução de Drenagem, pavimentação asfáltica e sinalização viária, localizada RUA TOMAZ DOMINGOS DA SILVEIRA Trecho 01, Bairro Pagani, Palhoça/SC, incluindo fornecimento de material e mão de obra.</t>
  </si>
  <si>
    <t>Unidade compradora: 14001 - Secretaria de Planejamento e Infraestrutura e Saneamento
Local: Palhoça/SC
Órgão: MUNICIPIO DE PALHOCA
Id contratação PNCP: 82892316000108-1-000145/2026
Fonte: IPM Sistemas
 - Número compra: CCE 78 - Concorrência - Eletrônica</t>
  </si>
  <si>
    <t>Consórcio Intermunicipal de Desenvolvimento Regional - CONDER</t>
  </si>
  <si>
    <t>São Miguel do Oeste</t>
  </si>
  <si>
    <t>* Registro de preços * * Licitação Eletrônica * REGISTRO DE PREÇOS PARA FUTURA E EVENTUAL AQUISIÇÃO DE FERRAMENTAS EM GERAL E CORRELATOS, EM ATENDIMENTO AS DEMANDAS DOS ÓRGÃOS PARTICIPANTES DESTE CERTAME, DE ACORDO COM AS CONDIÇÕES E ESPECIFICAÇÕES ESTABELECIDAS NESTE EDITAL E SEUS ANEXOS.</t>
  </si>
  <si>
    <t>Unidade compradora: 01001 - CON INTEM DE DES REGIONAL - CONDER
Local: São Miguel do Oeste/SC
Órgão: CONSORCIO INTERMUNICIPAL DE DESENVOLVIMENTO REGIONAL - CONDER
Id contratação PNCP: 23773012000154-1-000041/2026
Fonte: IPM Sistemas
 - Número compra: PCE 18 - Pregão - Eletrônico</t>
  </si>
  <si>
    <t>Prefeitura Municipal de Guabiruba</t>
  </si>
  <si>
    <t>Guabiruba</t>
  </si>
  <si>
    <t>PE/39/2026</t>
  </si>
  <si>
    <t>* Registro de preços * * Licitação Eletrônica * REGISTRO DE PREÇOS PARA EVENTUAL E FUTURA AQUISIÇÃO DE MATERIAIS ELÉTRICOS UTILIZADOS NAS MELHORIAS E MANUTENÇÕES DAS INSTALAÇÕES ELÉTRICAS DOS DIVERSOS ESPAÇOS PÚBLICOS DO MUNICÍPIO.</t>
  </si>
  <si>
    <t>Unidade compradora: 06001 - Secretaria de Obras e Servicos Publicos do Município de Guabiruba
Local: Guabiruba/SC
Órgão: MUNICIPIO DE GUABIRUBA
Id contratação PNCP: 83102368000198-1-000039/2026
Fonte: IPM Sistemas
 - Número compra: PCE 39 - Pregão - Eletrônico</t>
  </si>
  <si>
    <t>* Licitação Eletrônica * Aquisição de materiais e equipamentos destinados a manutenção da sinalização viária, através da Secretaria de Meio Ambiente e Desenvolvimento Urbano. * https://bllcompras.com *</t>
  </si>
  <si>
    <t>LOCAL: https://bllcompras.com/
Nº PROC. ADM: 031/2026
 TIPO CONTRATO: AQUISIÇÃO
 INÍCIO REC. PROPOSTA: 09/04/2026 17:00:00
 FIM REC. PROPOSTA: 28/04/2026 08:00:00
 INÍCIO DISPUTA: 28/04/2026 09:00:00
 CIDADE: MAFRA
 FASE: PUBLICADO
 EXCLUSIVO ME: NÃO
 EXCLUSIVO REGIONAL: NÃO
 MODO DE DISPUTA: ABERTO E FECHADO
 TIPO DE LANCE: MENOR LANCE
 FONE PROMOTOR: 4736414018
 E-MAIL PROMOTOR: gabinete@mafra.sc.gov.br
 CONDUTOR: LUIZ ROBERTO DA COSTA CECCON
 AUTORIDADE: CARLOS ALBERTO NITZ
 INFORMACÕES ADICIONAIS: 
 VALOR ESTIMADO: R$1.394.257,38</t>
  </si>
  <si>
    <t>CELESC-Centrais Elétricas de Santa Catarina S/A</t>
  </si>
  <si>
    <t>DL/212/2026</t>
  </si>
  <si>
    <t>Aquisição de caixa de passagem para TCs e Indicador de Nível de óleo axial</t>
  </si>
  <si>
    <t>PE/90044/2026</t>
  </si>
  <si>
    <t>Unidade compradora: 926377 - COMPANHIA AGUAS DE JOINVILE - SC
Local: Joinville/SC
Órgão: COMPANHIA AGUAS DE JOINVILLE
Id contratação PNCP: 07226794000155-1-000045/2026
Fonte: Compras.gov.br
 Para as respostas de esclarecimentos e impugnações deste edital acesse o link: https://cnetmobile.estaleiro.serpro.gov.br/comprasnet-web/public/landing?destino=quadro-informativo&amp;compra=92637705900442026 - Número compra: 90044 - Pregão - Eletrônico</t>
  </si>
  <si>
    <t>Serviço Autônomo Municipal de Agua e Esgoto - SAMAE</t>
  </si>
  <si>
    <t>Balneario Rincão</t>
  </si>
  <si>
    <t>* Licitação Eletrônica * A presente licitação tem por objetivo o Registro de Preços para futuras aquisições de parafusos, porcas e arruelas para revitalização das estruturas que compõem o SAA do município de Balneário Rincão, conforme especificações do Termo de Referência anexo V e demais anexos ao edital. * https://bnccompras.com *</t>
  </si>
  <si>
    <t xml:space="preserve">LOCAL: https://bnccompras.com/
Nº PROC. ADM: 91/2026
 TIPO CONTRATO: REGISTRO DE PREÇO
 INÍCIO REC. PROPOSTA: 09/04/2026 13:00:00
 FIM REC. PROPOSTA: 27/04/2026 08:15:00
 INÍCIO DISPUTA: 27/04/2026 08:30:00
 CIDADE: BALNEÁRIO RINCÃO
 FASE: PUBLICADO
 EXCLUSIVO ME: NÃO
 EXCLUSIVO REGIONAL: NÃO
 MODO DE DISPUTA: ABERTO
 TIPO DE LANCE: MENOR LANCE
 FONE PROMOTOR: 4834687217
 E-MAIL PROMOTOR: licitacao@balneariorincao.sc.gov.br
 CONDUTOR: GISELE PEREIRA FERREIRA
 AUTORIDADE: BATACLAN BITENCOURT CARPES
 VALOR ESTIMADO: R$19.670,00
 </t>
  </si>
  <si>
    <t>Prefeitura Municipal de Timbé do Sul</t>
  </si>
  <si>
    <t>Timbé do Sul</t>
  </si>
  <si>
    <t>* Licitação Eletrônica * aquisição parcelada de base de seixo rolado peneirado, para uso em recuperações viárias de estradas municipais, conforme   especificações constantes do Termo de Referência e demais documentos e anexos que integram este edital.  * https://bllcompras.com *</t>
  </si>
  <si>
    <t>LOCAL: https://bllcompras.com/
Nº PROC. ADM: 42/2026
 TIPO CONTRATO: AQUISIÇÃO
 INÍCIO REC. PROPOSTA: 09/04/2026 12:00:00
 FIM REC. PROPOSTA: 27/04/2026 08:59:00
 INÍCIO DISPUTA: 27/04/2026 09:15:00
 CIDADE: TIMBÉ DO SUL
 FASE: PUBLICADO
 EXCLUSIVO ME: NÃO
 EXCLUSIVO REGIONAL: NÃO
 MODO DE DISPUTA: ABERTO
 TIPO DE LANCE: MENOR LANCE
 FONE PROMOTOR: 4835361133
 E-MAIL PROMOTOR: secadm@timbedosul.sc.gov.br
 CONDUTOR: TAISE GENUINO DA SILVA
 AUTORIDADE: VILMAR MAFFIOLETTE
 INFORMACÕES ADICIONAIS: 
 VALOR ESTIMADO: R$399.600,00</t>
  </si>
  <si>
    <t>Prefeitura Municipal de Balneário Piçarras</t>
  </si>
  <si>
    <t>Balneário Piçarras</t>
  </si>
  <si>
    <t>* Licitação Eletrônica * REGISTRO DE PREÇOS PARA FUTURA AQUISIÇÃO DE INSUMOS MATERIAIS DE CONSTRUÇÃO, ELÉTRICOS, HIDRÁULICOS E TINTAS DESTINADOS À MANUTENÇÃO DOS PRÉDIOS PÚBLICOS, PRÓPRIOS OU LOCADOS, QUE ABRIGAM AS SECRETARIAS, FUNDAÇÕES, AUTARQUIAS E DA PREFEITURA...</t>
  </si>
  <si>
    <t>Órgão: Prefeitura Municipal de Balneário Piçarras - Prefeitura Municipal de Balneário Piçarras - SC
				Processo: 23 / 2026 - 6
				Edital: 23/2026
				Modalidade: Pregão para Registro de Preço
				Início de envio das propostas: 09-04-2026 ás 08:00
				Término de envio das propostas: 22/04/2026 ás 08:29		
				Início dos lances: 22/04/2026 ás 08:30</t>
  </si>
  <si>
    <t>Prefeitura Municipal de Arroio Trinta</t>
  </si>
  <si>
    <t>Arroio Trinta</t>
  </si>
  <si>
    <t>* Licitação Eletrônica * Escolha da proposta mais vantajosa objetivando a aquisição de materiais de construção e de manutenção predial, destinados à realização de pequenos reparos e reformas nos imóveis públicos do Município de Arroio Trinta, visando atender às demandas das diversas Secretarias Municipais durante o exercício de 2026, conforme condições, quantidades e exigências estabelecidas neste Edital e em seus anexos, com julgamento por lotes.  * https://bnccompras.com *</t>
  </si>
  <si>
    <t>LOCAL: https://bnccompras.com/
Nº PROC. ADM: 0077/2026-PE
 TIPO CONTRATO: AQUISIÇÃO PARCELADA
 INÍCIO REC. PROPOSTA: 10/04/2026 08:00:00
 FIM REC. PROPOSTA: 06/05/2026 08:59:00
 INÍCIO DISPUTA: 06/05/2026 09:00:00
 CIDADE: ARROIO TRINTA
 FASE: PUBLICADO
 EXCLUSIVO ME: SIM
 EXCLUSIVO REGIONAL: NÃO
 MODO DE DISPUTA: ABERTO
 TIPO DE LANCE: MENOR LANCE
 FONE PROMOTOR: 4935356038
 E-MAIL PROMOTOR: prefeito@arroiotrinta.sc.gov.br
 CONDUTOR: MURIEL FERREIRA DA SILVA CORRÊA
 AUTORIDADE: ANTONIO SERIGHELLI
 VALOR ESTIMADO: R$113.613,00</t>
  </si>
  <si>
    <t>Prefeitura Municipal de Tubarão</t>
  </si>
  <si>
    <t>Tubarão</t>
  </si>
  <si>
    <t>Contratação, por meio de credenciamento, de prestação de serviços de pavimentação em blocos intertravados de concreto, paver e paralelepípedos, bem como de assentamento de meios-fios e assentamento de tubos de concreto, compreendendo exclusivamente... * www.portaldecompraspublicas.com.br *</t>
  </si>
  <si>
    <t xml:space="preserve">Órgão: MUNICÍPIO DE TUBARÃO - Prefeitura Municipal de Tubarão - SC
				Processo: 2/2026
				Edital: 2/2026
				Modalidade: Credenciamento
				Início de envio das propostas: 09-04-2026 ás 09:30
				Término de envio das propostas: 09/04/2027 ás 09:30		
				Início dos lances: 09/04/2026 ás 09:30
 </t>
  </si>
  <si>
    <t>Prefeitura Municipal de Antônio Carlos</t>
  </si>
  <si>
    <t>Antônio Carlos</t>
  </si>
  <si>
    <t>* Licitação Eletrônica * Contratação de empresa especializada, com fornecimento de material e mão de obra, para pavimentação, drenagem e sinalização do acesso e do estacionamento da Unidade Básica de Saúde do bairro Rachadel no Município de Antônio Carlos/SC - ** www.comprasbr.com.br **</t>
  </si>
  <si>
    <t>Prefeitura Municipal de Nova Itaberaba</t>
  </si>
  <si>
    <t>Nova Itaberaba</t>
  </si>
  <si>
    <t>* Licitação Eletrônica * Contratação de empresas para fornecimento de materiais hidráulicos, materiais para pintura, ferragens e ferramentas, sob o sistema de registro de preços, com critério de julgamento de maior desconto sobre tabelas de referência SINAPI</t>
  </si>
  <si>
    <t>Órgão: Município de nova itaberaba - Prefeitura Municipal de Nova Itaberaba - SC
				Processo: 71 / 2026 - 2107
				Edital: 10/2026
				Modalidade: Pregão para Registro de Preço
				Início de envio das propostas: 10-04-2026 ás 08:00
				Término de envio das propostas: 27/04/2026 ás 08:00		
				Início dos lances: 27/04/2026 ás 08:15</t>
  </si>
  <si>
    <t>Prefeitura Municipal de Pinhalzinho</t>
  </si>
  <si>
    <t>Pinhalzinho</t>
  </si>
  <si>
    <t>* Registro de preços * * Licitação Eletrônica * REGISTRO DE PREÇOS PARA FUTURA E EVENTUAL AQUISIÇÃO DE ESCADA DE ALUMÍNIO 7 DEGRAUS E ROLO DE FIO DE NYLON E CARRETEL PARA ROÇADEIRA, PARA SUPRIR AS NECESSIDADES DA SECRETARIA DE DESENVOLVIMENTO E MOBILIDADE URBANA, CONFORME CONDIÇÕES, QUANTIDADES E EXIGÊNCIAS ESTABELECIDAS NESTE EDITAL E SEUS ANEXOS</t>
  </si>
  <si>
    <t>Unidade compradora: 09001 - SECRETARIA DE DESENVOLVIMENTO E MOBILIDADE URBANA
Local: Pinhalzinho/SC
Órgão: MUNICIPIO DE PINHALZINHO
Id contratação PNCP: 83021857000115-1-000088/2026
Fonte: IPM Sistemas
 - Número compra: PCE 15 - Pregão - Eletrônico</t>
  </si>
  <si>
    <t>* Licitação Eletrônica * Contratação de empresa especializada para o fornecimento de materiais e equipamentos de resgate veicular e combate a incêndio, para atender as necessidades do Corpo de Bombeiros, da Secretaria Municipal de Segurança Pública, do município de Tijucas/SC * https://licitar.digital *</t>
  </si>
  <si>
    <t>Id: 96906
Unidade licitante: Prefeitura Municipal de Tijucas - Unidade Única
Plataforma: licitardigital</t>
  </si>
  <si>
    <t>Fundo Municipal de Saúde de Porto Belo</t>
  </si>
  <si>
    <t>* Registro de preços * * Licitação Eletrônica * REGISTRO DE PREÇOS - Contratação de pessoa jurídica especializada para prestação de serviços de manutenção preventiva, preditiva e corretiva com fornecimento de peças da unidade compressora de ar marca KAESER, isento de óleo, com pressão de 120PSI, motor de 6HP, pertencente à Unidade de Pronto Atendimento UPA 24 horas, para o município de Porto Belo/SC. A licitação e seu objeto obedecerão ao disposto na tabela e especificações constantes do Termo de Referência Anexo I.</t>
  </si>
  <si>
    <t>Unidade compradora: 18001 - FUNDO MUNICIPAL DE SAÚDE
Local: Porto Belo/SC
Órgão: FUNDO MUNICIPAL DE SAUDE DE PORTO BELO
Id contratação PNCP: 10721828000192-1-000046/2026
Fonte: IPM Sistemas
 - Número compra: PCE 8 - Pregão - Eletrônico</t>
  </si>
  <si>
    <t>Fundo Municipal de Saúde de Balneário Piçarras</t>
  </si>
  <si>
    <t>* Licitação Eletrônica * REGISTRO DE PREÇOS PARA FUTURA AQUISIÇÃO DE MOBILIÁRIO E EQUIPAMENTOS MÉDICOS, PARA ATENDER ÀS NECESSIDADES DA SECRETARIA MUNICIPAL DE SAÚDE DE BALNEÁRIO PIÇARRAS/SC.</t>
  </si>
  <si>
    <t>Órgão: FUNDO MUNICIPAL DE SAÚDE - Prefeitura Municipal de Balneário Piçarras - SC
				Processo: 13 / 2026 - 418
				Edital: 14/2026
				Modalidade: Pregão para Registro de Preço
				Início de envio das propostas: 10-04-2026 ás 08:00
				Término de envio das propostas: 23/04/2026 ás 08:29		
				Início dos lances: 23/04/2026 ás 08:30</t>
  </si>
  <si>
    <t>* Licitação Eletrônica * Aquisição de Ferramentas para manutenção operacional nas Instalações da SEMASA e reservatórios de Água</t>
  </si>
  <si>
    <t>Unidade compradora: 988183 - PREFEITURA MUNICIPAL DE LAGES - SC
Local: Lages/SC
Órgão: MUNICIPIO DE LAGES
Id contratação PNCP: 82777301000190-1-000055/2026
Fonte: Compras.gov.br
 Para as respostas de esclarecimentos e impugnações deste edital acesse o link: https://cnetmobile.estaleiro.serpro.gov.br/comprasnet-web/public/landing?destino=quadro-informativo&amp;compra=98818305900342026 - Número compra: 90034 - Pregão - Eletrônico</t>
  </si>
  <si>
    <t>Prefeitura Municipal de Santa Helena</t>
  </si>
  <si>
    <t>Santa Helena</t>
  </si>
  <si>
    <t>* Registro de preços * * Licitação Eletrônica * REGISTRO DE PREÇOS PARA FUTURA E EVENTUAL AQUISIÇÃO DE PEÇAS PARA IMPLEMENTOS AGRÍCOLAS, NOVAS, DE PRIMEIRA QUALIDADE, DESTINADAS A SECRETARIA DE AGRICULTURA DO MUNICÍPIO DE SANTA HELENA - SC.</t>
  </si>
  <si>
    <t>Unidade compradora: 04001 - ADM. DA SEC. MUNIC.DA AGRICULTURA E MEIO AMBIENTE
Local: Santa Helena/SC
Órgão: MUNICIPIO DE SANTA HELENA
Id contratação PNCP: 80912140000175-1-000059/2026
Fonte: IPM Sistemas
 - Número compra: PCE 17 - Pregão - Eletrônico</t>
  </si>
  <si>
    <t>SCGÁS-Companhia de Gás de Santa Catarina</t>
  </si>
  <si>
    <t>* Licitação Eletrônica * Aquisição e instalação de equipamentos para a Sala de Controle Operacional da Rede de Gás na SEDE da SCGÁS, incluindo treinamento.</t>
  </si>
  <si>
    <t>Secretaria Municipal de Licitações, Contratos e Parcerias – SMLCP</t>
  </si>
  <si>
    <t>PE/60/2026</t>
  </si>
  <si>
    <t>* Licitação eletrônica * Contratação de empresa especializada, através de contrato, para prestação de serviços de manutenção preventiva e corretiva com fornecimento de peças e mão de obra, para equipamentos motomecanizados motosserras, motobombas, motogeradores, motopoda, motoventiladores e moto abrasivos do 1º Batalhão de Bombeiros Militar de Florianópolis.</t>
  </si>
  <si>
    <t>PREGÃO ELETRÔNICO Nº 060/SMLCP/SULIC/2026 - Objeto: Contratação de empresa especializada, através de contrato, para prestação de
serviços de manutenção preventiva e corretiva com fornecimento de peças e
mão de obra, para equipamentos motomecanizados motosserras,
motobombas, motogeradores, motopoda, motoventiladores e moto
abrasivos do 1º Batalhão de Bombeiros Militar de Florianópolis. Dia 27 de
abril de 2026, às 10:00h. Endereço eletrônico: https://wbc.pmf.sc.gov.br.
Código e-sfinge: D153C6D2D8547ABC9ED71E6A0D3692884A36AA59
.
https://pncp.gov.br/app/editais?q=&amp;status=recebendo_proposta&amp;pagina=1.</t>
  </si>
  <si>
    <t>Prefeitura Municipal de Araranguá</t>
  </si>
  <si>
    <t>Araranguá</t>
  </si>
  <si>
    <t>* Registro de preços * * Licitação Eletrônica * AQUISIÇÃO, SOB DEMANDA, DE ELETRODOMÉSTICOS E ELETROPORTÁTEIS PARA AS UNIDADES DE ENSINO, UNIDADES DE SAÚDE E DEMAIS SECRETARIAS DA PREFEITURA MUNICIPAL DE ARARANGUÁ, INCLUINDO ORGÃOS QUE COMPOEM O CONVÊNIO DE TRÂNSITO, DE ACORDO COM AS ESPECIFICAÇÕES TÉCNICAS CONSTANTES DO TERMO DE REFERÊNCIA ANEXO I.</t>
  </si>
  <si>
    <t>Unidade compradora: 09001 - DEPARTAMENTO DEORIENTAÇÃO PEDAGÓGICA
Local: Araranguá/SC
Órgão: MUNICIPIO DE ARARANGUA
Id contratação PNCP: 82911249000113-1-000079/2026
Fonte: IPM Sistemas
 - Número compra: PCE 49 - Pregão - Eletrônico</t>
  </si>
  <si>
    <t>Fundo Municipal de Saneamento Basico de Camboriu</t>
  </si>
  <si>
    <t>Camboriú</t>
  </si>
  <si>
    <t>* Registro de preços * * Licitação Eletrônica * SELEÇÃO DE PROPOSTAS VISANDO O REGISTRO DE PREÇOS PARA A CONTRATAÇÃO DE EMPRESA ESPECIALIZADA NA PRESTAÇÃO DE SERVIÇOS COM CAMINHÃO HIDROJATO HIDROJATO E AUTO-VÁCUO, INCLUINDO EQUIPE COMPOSTA POR MOTORISTA HABILITADO  E OPERADOR, PARA LIMPEZA E DESOBSTRUÇÃO DE REDES DE ESGOTO E ÁGUAS PLUVIAIS DO MUNICÍPIO DE CAMBORIÚ/SC, ABRANGENDO O DESLOCAMENTO, ABASTECIMENTO E DESCARTE DOS EFLUENTES. CONFORME ESTUDO TÉCNICO PRELIMINAR E TERMO DE REFERÊNCIA.</t>
  </si>
  <si>
    <t>Unidade compradora: 10001 - FUNDO MUNICIPAL DE SANEAMENTO BÁSICO
Local: Camboriú/SC
Órgão: MUNICIPIO DE CAMBORIU
Id contratação PNCP: 83102293000145-1-000119/2026
Fonte: IPM Sistemas
 - Número compra: PCE 4 - Pregão - Eletrônico</t>
  </si>
  <si>
    <t>Prefeitura Municipal de Camboriú</t>
  </si>
  <si>
    <t>* Licitação Eletrônica * SELEÇÃO DE PROPOSTAS VISANDO O REGISTRO DE PREÇOS PARA A CONTRATAÇÃO DE EMPRESA ESPECIALIZADA NA PRESTAÇÃO DE SERVIÇOS COM CAMINHÃO HIDROJATO HIDROJATO E AUTO-VÁCUO, INCLUINDO EQUIPE COMPOSTA POR MOTORISTA HABILITADO  E OPERADOR, PARA LIMPEZA E DESOBSTRUÇÃO DE REDES DE ESGOTO E ÁGUAS PLUVIAIS DO MUNICÍPIO DE CAMBORIÚ/SC, ABRANGENDO O DESLOCAMENTO, ABASTECIMENTO E DESCARTE DOS EFLUENTES * https://bnccompras.com *</t>
  </si>
  <si>
    <t xml:space="preserve">LOCAL: https://bnccompras.com/
Nº PROC. ADM: 006/2026 - SESB
 TIPO CONTRATO: REGISTRO DE PREÇO
 INÍCIO REC. PROPOSTA: 10/04/2026 12:00:00
 FIM REC. PROPOSTA: 29/04/2026 12:00:00
 INÍCIO DISPUTA: 29/04/2026 13:00:00
 CIDADE: CAMBORIÚ
 FASE: PUBLICADO
 EXCLUSIVO ME: NÃO
 EXCLUSIVO REGIONAL: NÃO
 MODO DE DISPUTA: ABERTO E FECHADO
 TIPO DE LANCE: MENOR LANCE
 FONE PROMOTOR: 4733659525
 E-MAIL PROMOTOR: comprasdecamboriu@gmail.com
 CONDUTOR: KLEBER WILSON DA COSTA PALHANO
 AUTORIDADE: LEONEL ARCANGELO PAVAN
INFORMACÕES ADICIONAIS: LICITAÇÃO DE AMPLA CONCORRÊNCIA VALOR ESTIMADO: R$866.859,00
 </t>
  </si>
  <si>
    <t>SM/17/2026</t>
  </si>
  <si>
    <t>* Licitação Eletrônica * Aquisição e instalação de equipamentos para a Sala de Controle Operacional da Rede de Gás na SEDE da SCGÁS, incluindo treinamento. * http://www.licitacoes-e.com.br *</t>
  </si>
  <si>
    <t>Edital : PLE-017/26 
Modalidade : LRE 
Nº Licitação : 1091019 
Início acolhimento de propostas : 09/04/2026-08:00 
Limite acolhimento de propostas : 06/05/2026-09:00 
Abertura das propostas : 06/05/2026-09:00 
Data e a hora da disputa : Português 
Pregoeiro : GIOVANI DELLA ROCCA</t>
  </si>
  <si>
    <t>Prefeitura Municipal de Amparo de São Francisco</t>
  </si>
  <si>
    <t>Amparo de São Francisco</t>
  </si>
  <si>
    <t>* Licitação Eletrônica * [LICITANET] - CONTRATAÇÃO DE EMPRESA ESPECIALIZADA EM OBRAS DE ENGENHARIA PARA CONSTRUÇÃO DE 20 UNIDADES HABITACIONAIS PELO PROGRAMA MCMV FHNIS  SUB50, NO MUNICÍPIO DE AMPARO DE SÃO FRANCISCO, CONFORME TERMO DE  COMPROMISSO N 992257/2025/MCIDADES/CAIXA.</t>
  </si>
  <si>
    <t>Unidade compradora: 779 - MUNICÍPIO DE AMPARO DE SÃO FRANCISCO/SE
Local: Amparo do São Francisco/SE
Órgão: MUNICIPIO DE AMPARO DE SAO FRANCISCO
Id contratação PNCP: 13110564000129-1-000005/2026
Fonte: Licitanet Licitações Eletrônicas LTDA
 - Número compra: 1 - Concorrência - Eletrônica</t>
  </si>
  <si>
    <t>Prefeitura Municipal de Neópolis</t>
  </si>
  <si>
    <t>Neópolis</t>
  </si>
  <si>
    <t>* Licitação Eletrônica * Contratação de empresa especializada para aquisição de Máquinas e Equipamentos, visando a Modernização na Cadeia do Coco no Platô de Neópolis, buscando o aumento da produtividade, renda e o emprego local, contribuindo para o desenvolvimento sustentável regional, do município de Neópolis/SE, conforme proposta de número 055497/2025, de acordo com as especificações, quantitativos, exigências e detalhamentos constantes no Anexo I do Edital.</t>
  </si>
  <si>
    <t>Unidade compradora: 02 - PREFEITURA MUNICIPAL DE NEÓPOLIS
Local: Neópolis/SE
Órgão: MUNICIPIO DE NEOPOLIS
Id contratação PNCP: 13111679000138-1-000008/2026
Fonte: 3Tecnos Tecnologia LTDA
 - Número compra: 005 - Pregão - Eletrônico</t>
  </si>
  <si>
    <t>EMDAGRO-Empresa de Desenvolvimento Agropecuário de Sergipe</t>
  </si>
  <si>
    <t>Aquisição de materiais e equipamentos de uso veterinário/agrícola</t>
  </si>
  <si>
    <t>Órgão: EMDAGRO
Id: 1090406
Edital: 01.2026
Modalidade: LRE
Tipo: Menor preço
Pregoeiro: BELMIRO SILVA DE ARAUJO
Participação do fornecedor: Ampla
Data de publicação: 09/04/2026
Início do acolhimento de propostas: 10/04/2026 09:00
Limite do acolhimento de propostas: 22/04/2026 09:00
Data e hora da disputa: 22/04/2026 09:30</t>
  </si>
  <si>
    <t>Fundo Municipal de Assistência Social de Itabaiana</t>
  </si>
  <si>
    <t>* Licitação Eletrônica * CONTRATAÇÃO DE EMPRESA PARA PRESTAÇÃO DE SERVIÇOS DE LIMPEZA DE FOSSAS SÉPTICAS, COM VEÍCULO APROPRIADO, PESSOA QUALIFICADA E DEVIDAMENTE EQUIPADA. * https://licitanet.com.br *</t>
  </si>
  <si>
    <t>Processo: 007/2026
Quantidade de lotes: 4</t>
  </si>
  <si>
    <t>CONTRATAÇÃO DE EMPRESA ESPECIALIZADA EM ENGENHARIA PARA EXECUÇÃO DA OBRA 2ª ETAPA DO CANAL DO GUAXINIM E VIÁRIAS ADJACENTES, NO TRECHO DA ESTACA 13+00 ATÉ 29+00, NO MUNICIPIO DE BARRA DOS COQUEIROS/SE * https://licitanet.com.br *</t>
  </si>
  <si>
    <t>Processo: 72
Quantidade de lotes: 1</t>
  </si>
  <si>
    <t>Prefeitura Municipal de Barueri</t>
  </si>
  <si>
    <t>Barueri</t>
  </si>
  <si>
    <t>* Licitação Eletrônica * CONTRATAÇÃO DE EMPRESA PARA REPARO DO SOLO E CAIXA DE PASSAGEM DE ESGOTO DA ÁREA EXTERNA DA UNIDADE ESCOLAR MUNICIPAL EMEF PROFESSORA MARIA ELISA B. C. CHALUPPE - VILA SÃO LUIZ * https://compras.barueri.sp.gov.br *</t>
  </si>
  <si>
    <t xml:space="preserve">Acesse o Portal de Compras Prefeitura de Barueri https://servicos.barueri.sp.gov.br/compras/ e consulte os detalhes.
Número do processo: PEO 00025/2026
Situação: Em andamento
Edital: PEO 00025/2026
Início das propostas: 01/04/2026 11:00:00
Término das propostas: 23/04/2026 08:59:00
 </t>
  </si>
  <si>
    <t>Prefeitura Municipal de Duartina</t>
  </si>
  <si>
    <t>Duartina</t>
  </si>
  <si>
    <t>* Licitação eletrônica * Registro de Preços para aquisição futura e parcelada de 7.200 sacos com 25 Kg de Massa Asfáltica a frio;</t>
  </si>
  <si>
    <t>Edital de Pregão na íntegra estará disponível para consulta e retirada por qualquer interessado, na Sede desta Prefeitura, localizada na Rua Henrique Ortelã nº 127 - centro de Duartina-SP, em dias de expediente, das 08:00 às 11:00 e das 13:00 às 16:00 horas, e na internet através do site www.duartina.sp.gov.br acessando o Portal de Transparência. Endereço: http://transparencia.duartina.sp.gov.br:8079/comprasedital/. Outras informações serão prestadas pelo telefone 14 3282.8282.</t>
  </si>
  <si>
    <t>Prefeitura Municipal de Mineiros do Tietê</t>
  </si>
  <si>
    <t>Mineiros do Tietê</t>
  </si>
  <si>
    <t>* Licitação Eletrônica * Contratação de empresa especializada para a execução de Ponte em Aduelas, sobre o Ribeirão da Água Vermelha, na zona rural do município de Mineiros do Tietê/SP. * https://bllcompras.com *</t>
  </si>
  <si>
    <t>LOCAL: https://bllcompras.com/
Nº PROC. ADM: 203/2026
 TIPO CONTRATO: AQUISIÇÃO
 INÍCIO REC. PROPOSTA: 08/04/2026 18:00:00
 FIM REC. PROPOSTA: 27/04/2026 08:00:00
 INÍCIO DISPUTA: 27/04/2026 08:30:00
 CIDADE: MINEIROS DO TIETÊ
 FASE: RECEPÇÃO DE PROPOSTAS
 EXCLUSIVO ME: NÃO
 EXCLUSIVO REGIONAL: NÃO
 MODO DE DISPUTA: ABERTO
 TIPO DE LANCE: MENOR LANCE
 FONE PROMOTOR: 1436469090
 E-MAIL PROMOTOR: gabinete@mineirosdotiete.sp.gov.br
 CONDUTOR: ANTONIO ORLANI DE OLIVEIRA
 AUTORIDADE: CATIA LUCHETA CARRARA
 INFORMACÕES ADICIONAIS: SUPORTE 41 3097-4600
 VALOR ESTIMADO: R$452.561,45</t>
  </si>
  <si>
    <t>Prefeitura Municipal de Lins</t>
  </si>
  <si>
    <t>Lins</t>
  </si>
  <si>
    <t>* Registro de preços * * Licitação Eletrônica * Secretaria de Meio Ambiente e Agropecuária - Manutenção da Secretaria - Aquisição para compra futura - ATA DE REGISTRO DE PREÇO  - Materiais para a manutenção corretiva e preventiva de alambrados existentes em áreas sobre a Responsabilidade desta Secretaria no exercício de 2025/2026. Em substituição a solicitação 56 ficha 979 do exercício de 2025, conforme pedido do setor de compras.</t>
  </si>
  <si>
    <t>Unidade compradora: 2 - Prefeitura Municipal de Lins
Local: Lins/SP
Órgão: MUNICIPIO DE LINS
Id contratação PNCP: 44531788000138-1-000059/2026
Fonte: Grupo Assessor
 - Número compra: 20 - Pregão - Eletrônico</t>
  </si>
  <si>
    <t>Prefeitura Municipal de Martinópolis</t>
  </si>
  <si>
    <t>Martinópolis</t>
  </si>
  <si>
    <t>* Licitação Eletrônica * Aquisição de insumos agrícolas diversos e ferramentas, destinados à manutenção e ao desenvolvimento da Horta Municipal.</t>
  </si>
  <si>
    <t>Prefeitura Municipal de Irapuru</t>
  </si>
  <si>
    <t>Irapuru</t>
  </si>
  <si>
    <t>* Licitação Eletrônica * AQUISIÇÃO DE MATERIAIS HIDRÁULICOS DESTINADOS A ATENDER ÀS NECESSIDADES DO DEPARTAMENTO DE ÁGUA E ESGOTO, EM CONFORMIDADE COM AS ESPECIFICAÇÕES, QUANTIDADES E EXIGÊNCIAS PREVISTAS NO TERMO DE REFERÊNCIA * https://bllcompras.com *</t>
  </si>
  <si>
    <t>LOCAL: https://bllcompras.com/
Nº PROC. ADM: 19/2026
 TIPO CONTRATO: REGISTRO DE PREÇO
 INÍCIO REC. PROPOSTA: 08/04/2026 18:00:00
 FIM REC. PROPOSTA: 27/04/2026 09:00:00
 INÍCIO DISPUTA: 27/04/2026 09:20:00
 CIDADE: IRAPURU
 FASE: RECEPÇÃO DE PROPOSTAS
 EXCLUSIVO ME: NÃO
 EXCLUSIVO REGIONAL: NÃO
 MODO DE DISPUTA: ABERTO
 TIPO DE LANCE: MENOR LANCE
 FONE PROMOTOR: 1838612007
 E-MAIL PROMOTOR: licitacoes@irapuru.sp.gov.br
 CONDUTOR: LUCIO JOSE DA SILVA
 AUTORIDADE: ADEMAR CALEGÃO
 INFORMACÕES ADICIONAIS: 
 VALOR ESTIMADO: R$0,00</t>
  </si>
  <si>
    <t>Prefeitura Municipal de Osasco</t>
  </si>
  <si>
    <t>Osasco</t>
  </si>
  <si>
    <t>* Registro de preços * * Licitação Eletrônica * REGISTRO DE PREÇOS PARA O FORNECIMENTO DE MADEIRAS E MATERIAIS PARA COBERTURA</t>
  </si>
  <si>
    <t>Unidade compradora: 1 - PREFEITURA MUNICIPAL DE OSASCO
Local: Osasco/SP
Órgão: MUNICIPIO DE OSASCO
Id contratação PNCP: 46523171000104-1-000064/2026
Fonte: SMARAPD INFORMATICA LTDA
 - Número compra: 90025 - Pregão - Eletrônico</t>
  </si>
  <si>
    <t>Prefeitura Municipal de Pirajuí</t>
  </si>
  <si>
    <t>Pirajuí</t>
  </si>
  <si>
    <t>* Licitação Eletrônica * Aquisição e Instalação de 10 dez Fontes de Água Potável Tipo Totem Para Áreas Externas com Fornecimento de Água Natural, Água Gelada, Água para Pets e Aspersor Refrescante, conforme especificações constantes do Termo de Referência, que integra este Edital como Anexo I.</t>
  </si>
  <si>
    <t>Unidade compradora: 1 - PREFEITURA MUNICIPAL DE PIRAJUI
Local: Pirajuí/SP
Órgão: MUNICIPIO DE PIRAJUI
Id contratação PNCP: 44555027000116-1-000027/2026
Fonte: Fiorilli Software
 - Número compra: 8 - Pregão - Eletrônico</t>
  </si>
  <si>
    <t>Prefeitura Municipal de São Joaquim da Barra</t>
  </si>
  <si>
    <t>São Joaquim da Barra</t>
  </si>
  <si>
    <t>* Licitação Eletrônica * CONTRATAÇÃO DE EMPRESA DEVIDAMENTE HABILITADA E COM REGISTRO NO CREA/CAU PARA SUBSIDIAR AS AÇÕES DE COMBATE ÀS PERDAS DE ÁGUA - FASE IV DA MACROMEDIÇÃO DE VAZÃO E REGULARIZAÇÃO DAS UNIDADES DE PRODUÇÃO NO SISTEMA DE ABASTECIMENTO DE ÁGUA DO MUNICÍPIO DE SÃO JOAQUIM DA BARRA/SP, VISANDO ATENDER AO CONVÊNIO COM O FEHIDRO - CONTRATO Nº 289/2025, CONFORME CONDIÇÕES ESPECIFICADAS NO ANEXO I DESTE EDITAL.   * https://bllcompras.com *</t>
  </si>
  <si>
    <t>LOCAL: https://bllcompras.com/
Nº PROC. ADM: 191/2026
 TIPO CONTRATO: AQUISIÇÃO PARCELADA
 INÍCIO REC. PROPOSTA: 08/04/2026 17:00:00
 FIM REC. PROPOSTA: 20/05/2026 08:00:00
 INÍCIO DISPUTA: 20/05/2026 09:00:00
 CIDADE: SÃO JOAQUIM DA BARRA
 FASE: RECEPÇÃO DE PROPOSTAS
 EXCLUSIVO ME: NÃO
 EXCLUSIVO REGIONAL: NÃO
 MODO DE DISPUTA: ABERTO
 TIPO DE LANCE: MENOR LANCE
 FONE PROMOTOR: 1638109000
 E-MAIL PROMOTOR: secretaria@saojoaquimdabarra.sp.gov.br
 CONDUTOR: MAYARA LEMOS BREGANTIN
 AUTORIDADE: WAGNER JOSÉ SCHMIDT
 INFORMACÕES ADICIONAIS: 
 VALOR ESTIMADO: R$634.143,33</t>
  </si>
  <si>
    <t>SAAE – Saneamento Ambiental de Águas de Lindóia</t>
  </si>
  <si>
    <t>Águas de Lindóia</t>
  </si>
  <si>
    <t>* Licitação Eletrônica * Contratação de empresa especializada para a locação de sistema integrado de Gestão Comercial e Operacional dos serviços de saneamento, 100% web cloud computing.</t>
  </si>
  <si>
    <t>Unidade compradora: 3 - SAAE-SANEAMENTO AMBIENTAL DE ÁGUAS DE LINDÓIA
Local: Águas de Lindóia/SP
Órgão: SANEAMENTO AMBIENTAL DE AGUAS DE LINDOIA
Id contratação PNCP: 46439865000150-1-000008/2026
Fonte: Fiorilli Software
Contratação de empresa especializada para a locação de sistema integrado de Gestão Comercial e Operacional dos serviços de saneamento, 100% web cloud computing, compreendendo:
- Implantação do sistema
- Conversão e validação de dados
- Treinamento de usuários
- Suporte técnico contínuo
Manutenção corretiva e evolutiva pelo período inicial de 12 doze meses, prorrogável nos termos da legislação vigente. - Número compra: 4 - Pregão - Eletrônico</t>
  </si>
  <si>
    <t>Prefeitura Municipal de São Bernardo do Campo</t>
  </si>
  <si>
    <t>CR/10006/2026</t>
  </si>
  <si>
    <t>CONTRATAÇÃO DE EMPRESA DE ENGENHARIA PARA A EXECUÇÃO DE OBRAS DE ADEQUAÇÃO VIÁRIA DE ROTATÓRIA NA AVENIDA JOSÉ ODORIZZI NO MUNICÍPIO DE SÃO BERNARDO DO CAMPO, NO ÂMBITO DO PROGRAMA DE INFRAESTRUTURA URBANA DE SÃO BERNARDO DO CAMPO - PROINFRA II/CAF</t>
  </si>
  <si>
    <t>Início do envio de propostas 	06/04/2026 13:00 horário de brasília
Fim do envio de propostas 	05/05/2026 09:00 horário de brasília
Início da disputa de lance 	05/05/2026 09:01 horário de brasília</t>
  </si>
  <si>
    <t>* Licitação Eletrônica * AQUISIÇÃO DE FERRAMENTAS DESTINADAS A ATENDER ÀS NECESSIDADES DO MUNICÍPIO DE IRAPURU/SP, CONFORME AS ESPECIFICAÇÕES ESTABELECIDAS NO TERMO DE REFERÊNCIA.</t>
  </si>
  <si>
    <t>08/04/2026 às 17h00</t>
  </si>
  <si>
    <t>* Registro de preços * * Licitação Eletrônica * AQUISIÇÃO DE FERRAMENTAS DESTINADAS A ATENDER ÀS NECESSIDADES DO MUNICÍPIO DE IRAPURU/SP, CONFORME AS ESPECIFICAÇÕES ESTABELECIDAS NO TERMO DE REFERÊNCIA.</t>
  </si>
  <si>
    <t>Unidade compradora: 5.2026 - DIRETORIA DE OBRAS
Local: Irapuru/SP
Órgão: MUNICIPIO DE IRAPURU
Id contratação PNCP: 44926723000191-1-000022/2026
Fonte: NOVOSERV INFORMATICA LTDA EPP
 - Número compra: 18 - Pregão - Eletrônico</t>
  </si>
  <si>
    <t>* Licitação Eletrônica *  Reabilitação da infraestrutura de redes, com a substituição de rede de água por Método Não Destrutivo MND, pelo mesmo caminhamento da rede existente, no sistema PIPE BURSTING, e por novo caminhamento de rede, no sistema Furo Direcional, e execução de ligações de água por MND no bairro Vila Industrial, incluindo fornecimento de tubos e conexões de Polietileno de Alta Densidade PEAD, mão de obra, máquinas, equipamentos e recomposição de pavimentos.</t>
  </si>
  <si>
    <t>Recebimento das propostas até às 8h do dia 30/4/2026 e início da disputa de preços dia 30/4/2026 às 9h. Edital disponível em www.licitacoes-e.com.br e www.sanasa.com.br.</t>
  </si>
  <si>
    <t>Secretaria Municipal de Administração de Campinas</t>
  </si>
  <si>
    <t xml:space="preserve">* Licitação Eletrônica * Fornecimento de equipamentos médico-hospitalares para diagnóstico audiológico. </t>
  </si>
  <si>
    <t>Unidade compradora: 986291 - PREFEITURA MUNICIPAL DE CAMPINAS - SP
Local: Campinas/SP
Órgão: MUNICIPIO DE CAMPINAS
Id contratação PNCP: 51885242000140-1-000290/2026
Fonte: Compras.gov.br
No caso de divergência entre a descrição dos itens do Edital e a do Sistema "Compras", prevalecerá a disposta no Edital. Para as respostas de esclarecimentos e impugnações deste edital acesse o link: https://cnetmobile.estaleiro.serpro.gov.br/comprasnet-web/public/landing?destino=quadro-informativo&amp;compra=98629105900532026 - Número compra: 90053 - Pregão - Eletrônico</t>
  </si>
  <si>
    <t>* Registro de preços * * Licitação Eletrônica * RP para aquisição de material de ferro fundido</t>
  </si>
  <si>
    <t>Unidade compradora: 926641 - SERVIÇO AUTONOMO AGUA E ESGOTO EM JACAREI
Local: Jacareí/SP
Órgão: SAAE SERVICO AUTONOMO DE AGUA E ESGOTO DE JACAREI
Id contratação PNCP: 48962625000160-1-000115/2026
Fonte: Compras.gov.br
Em caso de discordância existente entre as especificações deste objeto descritas no sistema de pregão eletrônico através do site www.gov.br/compras e as especificações constantes no edital, prevalecerão as que constam no edital. Para as respostas de esclarecimentos e impugnações deste edital acesse o link: https://cnetmobile.estaleiro.serpro.gov.br/comprasnet-web/public/landing?destino=quadro-informativo&amp;compra=92664105900112026 - Número compra: 90011 - Pregão - Eletrônico</t>
  </si>
  <si>
    <t>Prefeitura Municipal da Estância Hidromineral de Serra Negra</t>
  </si>
  <si>
    <t>Serra Negra</t>
  </si>
  <si>
    <t>PE/45/2026</t>
  </si>
  <si>
    <t>* Licitação Eletrônica * REGISTRO DE PREÇOS PARA AQUISIÇÃO DE CONCRETO USINADO * https://jornaldolicitante.com.br *</t>
  </si>
  <si>
    <t>Secretaria Municipal de Coordenação das Subprefeituras - Subprefeitura Sé</t>
  </si>
  <si>
    <t>* Licitação Eletrônica * AQUISIÇÃO DE CIMENTO PORTLAND CP V-ARI, SACO DE 40 KG, de acordo com o Anexo I Termo de Referência.</t>
  </si>
  <si>
    <t>Unidade compradora: 925002 - PMSP - SUBPREFEITURA SÉ
Local: São Paulo/SP
Órgão: SUBPREFEITURA SE
Id contratação PNCP: 05499294000161-1-000016/2026
Fonte: Compras.gov.br
Qualquer pessoa poderá solicitar esclarecimentos ou informações relativas a esta licitação, que serão prestados mediante solicitação dirigida ao agente de contratação, até 03 três dias úteis antes da data marcada para abertura do certame, por meio do endereço eletrônico mfazla@smsub.prefeitura.sp.gov.br. Para as respostas de esclarecimentos e impugnações deste edital acesse o link: https://cnetmobile.estaleiro.serpro.gov.br/comprasnet-web/public/landing?destino=quadro-informativo&amp;compra=92500205900052026 - Número compra: 90005 - Pregão - Eletrônico</t>
  </si>
  <si>
    <t>USP-Universidade de São Paulo - Prefeitura do Campus USP Fernando Costa de Pirassununga</t>
  </si>
  <si>
    <t>CR/90002/2026</t>
  </si>
  <si>
    <t>* Licitação Eletrônica * Contratação de empresa especializada para elaboração do Projeto de Sistema de Abastecimento e Reservação de Água para o Campus USP "Fernando Costa".</t>
  </si>
  <si>
    <t>Unidade compradora: 102118 - ESP-PREFEITURA.CAMPUS USP FERNANDO COSTA-USP
Local: Pirassununga/SP
Órgão: UNIVERSIDADE DE SAO PAULO
Id contratação PNCP: 63025530000104-1-001053/2026
Fonte: Compras.gov.br
 Para as respostas de esclarecimentos e impugnações deste edital acesse o link: https://cnetmobile.estaleiro.serpro.gov.br/comprasnet-web/public/landing?destino=quadro-informativo&amp;compra=10211803900022026 - Número compra: 90002 - Concorrência - Eletrônica</t>
  </si>
  <si>
    <t>Hospital e Maternidade Interlagos Waldemar Seyssel - Arrelia</t>
  </si>
  <si>
    <t>* Licitação Eletrônica * Contratação de serviço de Fornecimento Ininterrupto de Gases Medicinais a Granel, Incluindo Locação e Manutenção de Tanques Criogênicos Fixos</t>
  </si>
  <si>
    <t>Unidade compradora: 090168 - ESP-HOSP.MAT.INTERLAGOS-WALDEMAR SEYSSEL-ARR
Local: São Paulo/SP
Órgão: SECRETARIA DE ESTADO DA SAUDE
Id contratação PNCP: 46374500000194-1-002445/2026
Fonte: Compras.gov.br
 Para as respostas de esclarecimentos e impugnações deste edital acesse o link: https://cnetmobile.estaleiro.serpro.gov.br/comprasnet-web/public/landing?destino=quadro-informativo&amp;compra=09016805900282026 - Número compra: 90028 - Pregão - Eletrônico</t>
  </si>
  <si>
    <t>* Licitação Eletrônica * Aquisição de Bica Graduada Simples BGS e Pedra Britada n 01, de acordo com o Anexo I Termo de Referência.</t>
  </si>
  <si>
    <t>Unidade compradora: 925002 - PMSP - SUBPREFEITURA SÉ
Local: São Paulo/SP
Órgão: SUBPREFEITURA SE
Id contratação PNCP: 05499294000161-1-000017/2026
Fonte: Compras.gov.br
Qualquer pessoa poderá solicitar esclarecimentos ou informações relativas a esta licitação, que serão prestados mediante solicitação dirigida ao agente de contratação, até 03 três dias úteis antes da data marcada para abertura do certame, por meio do endereço eletrônico mfazla@smsub.prefeitura.sp.gov.br. Para as respostas de esclarecimentos e impugnações deste edital acesse o link: https://cnetmobile.estaleiro.serpro.gov.br/comprasnet-web/public/landing?destino=quadro-informativo&amp;compra=92500205900062026 - Número compra: 90006 - Pregão - Eletrônico</t>
  </si>
  <si>
    <t>Coordenadoria de Unidades Prisionais da Região do Vale do Paraíba e Litoral</t>
  </si>
  <si>
    <t>* Licitação Eletrônica * Insumos destinados à oficina de automação da Coordenadoria de Execução Penal da Região do Vale do Paraíba e Litoral</t>
  </si>
  <si>
    <t>Unidade compradora: 380182 - ESP-DEPTO.ADM.COORD.UN.PRIS.REG.V.PARAIBA/LIT
Local: Taubaté/SP
Órgão: SAO PAULO SECRETARIA DA ADMINISTRACAO PENITENCIARIA
Id contratação PNCP: 96291141000180-1-001782/2026
Fonte: Compras.gov.br
 Para as respostas de esclarecimentos e impugnações deste edital acesse o link: https://cnetmobile.estaleiro.serpro.gov.br/comprasnet-web/public/landing?destino=quadro-informativo&amp;compra=38018205900072026 - Número compra: 90007 - Pregão - Eletrônico</t>
  </si>
  <si>
    <t>Prefeitura Municipal de Porto Ferreira</t>
  </si>
  <si>
    <t>Porto Ferreira</t>
  </si>
  <si>
    <t>* Registro de preços * * Licitação Eletrônica * Registro de Preços para futura e eventual aquisição de materiais de sinalização viária, incluindo placas, tintas, cones, cavaletes, fitas zebradas e demais acessórios correlatos, visando atender às demandas operacionais do órgão de forma contínua e conforme a necessidade</t>
  </si>
  <si>
    <t>Unidade compradora: 1 - PREFEITURA MUNICIPAL DE PORTO FERREIRA - SP
Local: Porto Ferreira/SP
Órgão: MUNICIPIO DE PORTO FERREIRA
Id contratação PNCP: 45339363000194-1-000078/2026
Fonte: PRESCON INFORMATICA ASSESSORIA LTDA.
A implantação da sinalização viária se faz necessária em caráter de urgência para as vias municipais na área central e bairros, a serem implantadas por equipe própria da Seção de Mobilidade Urbana que realiza a manutenção das sinalizações que estão desgastadas em diversos locais. Tais serviços visam à padronização da sinalização viária no município de Porto Ferreira de acordo com as Resoluções do CONTRAN que versam sobre o assunto. Tal ação visa à minimização dos conflitos de tráfego e atendendo a exigência de reforço da sinalização, com isso o município atende ao previsto no Código de Trânsito Brasileiro em atender a finalidade de sinalização viária que é de fornecer informações que permitam aos usuários das vias a adoção de comportamentos adequados, de modo a aumentar a segurança, ordenar os fluxos de tráfego e orientar os usuários da via. Pelos riscos à segurança dos usuários das vias e pela imposição de penalidades que são associadas às infrações relativas a essa sinalização, os princípios da sinalização de trânsito devem sempre ser observados e atendidos com rigor.  - Número compra: 17 - Pregão - Eletrônico</t>
  </si>
  <si>
    <t>Prefeitura Municipal de Pariquera-Açu</t>
  </si>
  <si>
    <t>Pariquera-Açu</t>
  </si>
  <si>
    <t>* Licitação Eletrônica * O objeto da presente licitação é a escolha de proposta mais vantajosa para contratação de empresa PARA REGISTRO DE PREÇOS PARA FORNECIMENTO DE SEIXO ROLADO PARA MANUTENÇÃO DE ESTRADAS DA ZONA RURAL E VIAS DA ZONA URBANA NÃO PAVIMENTADA NESTE...</t>
  </si>
  <si>
    <t>Órgão: PREFEITURA MUNICIPAL DE PARIQUERA-AÇU - Prefeitura Municipal de Pariquera-Açu - SP
				Processo: PROCESSO ADMINISTRATIVO Nº 029/2026
				Edital: PREGÃO SRP Nº 007/2026
				Modalidade: Pregão para Registro de Preço
				Início de envio das propostas: 17-04-2026 ás 08:00
				Término de envio das propostas: 30/04/2026 ás 08:00		
				Início dos lances: 30/04/2026 ás 09:00</t>
  </si>
  <si>
    <t>Prefeitura Municipal de Botucatu</t>
  </si>
  <si>
    <t>Botucatu</t>
  </si>
  <si>
    <t>PE/90086/2026</t>
  </si>
  <si>
    <t>* Registro de preços * * Licitação Eletrônica * Registro de preços para possível aquisição de viga laminada, metalon e cantoneira</t>
  </si>
  <si>
    <t>Unidade compradora: 986249 - PREFEITURA MUNICIPAL DE BOTUCATU
Local: Botucatu/SP
Órgão: MUNICIPIO DE BOTUCATU
Id contratação PNCP: 46634101000115-1-000134/2026
Fonte: Compras.gov.br
 Para as respostas de esclarecimentos e impugnações deste edital acesse o link: https://cnetmobile.estaleiro.serpro.gov.br/comprasnet-web/public/landing?destino=quadro-informativo&amp;compra=98624905900862026 - Número compra: 90086 - Pregão - Eletrônico</t>
  </si>
  <si>
    <t>Prefeitura da Estância Turística de Itu</t>
  </si>
  <si>
    <t>Itu</t>
  </si>
  <si>
    <t>* Licitação Eletrônica * AQUISIÇÃO DE TINTAS VIÁRIAS E DILUENTE PARA A EXECUÇÃO DE SERVIÇOS DE SINALIZAÇÃO VIÁRIA HORIZONTAL * https://jornaldolicitante.com.br *</t>
  </si>
  <si>
    <t>Secretaria Municipal de Coordenação das Subprefeituras - Subprefeitura Parelheiros</t>
  </si>
  <si>
    <t>* Licitação Eletrônica * Contratação de empresa especializada no fornecimento de equipes técnicas para execução de serviços de manutenção de vias públicas, logradouros e áreas públicas, incluindo atividades de conservação e desfazimento, conservação de galerias e dispositivos de drenagem em conformidade e atendendo ao Estudo Técnico Preliminar e as especificações do Termo de Referência.</t>
  </si>
  <si>
    <t>Unidade compradora: 925083 - PMSP - SUBPREFEITURA PARELHEIROS
Local: São Paulo/SP
Órgão: SUBPREFEITURA PARELHEIROS
Id contratação PNCP: 05494401000169-1-000012/2026
Fonte: Compras.gov.br
 Para as respostas de esclarecimentos e impugnações deste edital acesse o link: https://cnetmobile.estaleiro.serpro.gov.br/comprasnet-web/public/landing?destino=quadro-informativo&amp;compra=92508305900022026 - Número compra: 90002 - Pregão - Eletrônico</t>
  </si>
  <si>
    <t>Secretaria Municipal de Coordenação das Subprefeituras - Subprefeitura Cidade Tiradentes</t>
  </si>
  <si>
    <t>* Licitação Eletrônica * Contratação de empresa especializada para a elaboração do projeto básico de requalificação viária e urbanística da estrada do Iguatemi localizada no distrito da subprefeitura Cidade Tiradentes, compreendendo o desenvolvimento dos projetos técnicos necessários, incluindo estudos preliminares, levantamentos topográficos e cadastrais, projetos geométricos, projetos de drenagem, projetos de contenções, projetos complementares e documentos técnicos exigidos, visando subsidiar fut</t>
  </si>
  <si>
    <t>Unidade compradora: 925071 - PMSP - SUBPREFEITURA CIDADE TIRADENTES
Local: São Paulo/SP
Órgão: SUBPREFEITURA CIDADE TIRADENTES
Id contratação PNCP: 05529895000170-1-000003/2026
Fonte: Compras.gov.br
Para condições de participação será exigida garantia da proposta conforme art. 58 da lei 14133/21. Para as respostas de esclarecimentos e impugnações deste edital acesse o link: https://cnetmobile.estaleiro.serpro.gov.br/comprasnet-web/public/landing?destino=quadro-informativo&amp;compra=92507103900022026 - Número compra: 90002 - Concorrência - Eletrônica</t>
  </si>
  <si>
    <t>Secretaria da Administracao Penitenciaria - Esp-divisão de Adm. da C.e.p.r. Norte Estado</t>
  </si>
  <si>
    <t>Araraquara</t>
  </si>
  <si>
    <t>* Licitação Eletrônica * Aquisição de materiais para reforma e manutenção predial da Coordenadoria Execuções Prisionais da Região Norte</t>
  </si>
  <si>
    <t>Unidade compradora: 933030 - ESP-DIVISÃO DE ADM. DA C.E.P.R. NORTE ESTADO
Local: Araraquara/SP
Órgão: SAO PAULO SECRETARIA DA ADMINISTRACAO PENITENCIARIA
Id contratação PNCP: 96291141000180-1-001774/2026
Fonte: Compras.gov.br
Conforme Termo de Referência Para as respostas de esclarecimentos e impugnações deste edital acesse o link: https://cnetmobile.estaleiro.serpro.gov.br/comprasnet-web/public/landing?destino=quadro-informativo&amp;compra=93303005900032026 - Número compra: 90003 - Pregão - Eletrônico</t>
  </si>
  <si>
    <t>Centro de Progressão Penitenciária “Professor Noé Azevedo”</t>
  </si>
  <si>
    <t>* Licitação Eletrônica * Aquisição de materiais elétricos e outros para reforma desta Unidade Prisional.</t>
  </si>
  <si>
    <t>Unidade compradora: 380145 - ESP-CENTRO PROGR.PENIT.PROF.NOE AZEVEDO
Local: Bauru/SP
Órgão: SAO PAULO SECRETARIA DA ADMINISTRACAO PENITENCIARIA
Id contratação PNCP: 96291141000180-1-001776/2026
Fonte: Compras.gov.br
 Para as respostas de esclarecimentos e impugnações deste edital acesse o link: https://cnetmobile.estaleiro.serpro.gov.br/comprasnet-web/public/landing?destino=quadro-informativo&amp;compra=38014505900132026 - Número compra: 90013 - Pregão - Eletrônico</t>
  </si>
  <si>
    <t>Comando de Bombeiros do Interior - 1</t>
  </si>
  <si>
    <t>* Licitação Eletrônica * Aquisição de barraca tipo iglu e lona.</t>
  </si>
  <si>
    <t>Unidade compradora: 180390 - ESP-COMANDO DE BOMBEIROS DO INTER - 1 CBI-1
Local: Campinas/SP
Órgão: SAO PAULO SECRETARIA DA SEGURANCA PUBLICA
Id contratação PNCP: 46377800000127-1-001218/2026
Fonte: Compras.gov.br
 Para as respostas de esclarecimentos e impugnações deste edital acesse o link: https://cnetmobile.estaleiro.serpro.gov.br/comprasnet-web/public/landing?destino=quadro-informativo&amp;compra=18039005900062026 - Número compra: 90006 - Pregão - Eletrônico</t>
  </si>
  <si>
    <t>Prefeitura Municipal de José Bonifácio</t>
  </si>
  <si>
    <t>José Bonifácio</t>
  </si>
  <si>
    <t>PR/22/2026</t>
  </si>
  <si>
    <t>* Registro de preços * Aquisição de materiais e ferragens, destinados aos diversos setores municipais, conforme especificações anexas</t>
  </si>
  <si>
    <t>Unidade compradora: 2 - PREFEITURA MUNICIPAL JOSE BONIFACIO
Local: José Bonifácio/SP
Órgão: MUNICIPIO DE JOSE BONIFACIO
Id contratação PNCP: 45141132000171-1-000037/2026
Fonte: Fiorilli Software
Aquisição de materiais e ferragens, destinados aos diversos setores municipais, conforme especificações anexas - Número compra: 22 - Pregão - Presencial</t>
  </si>
  <si>
    <t>PR/21/2026</t>
  </si>
  <si>
    <t>* Registro de preços * Aquisição de ferramentas e materiais hidráulicos, destinados ao Serviço de Água e Esgoto - SAE, conforme especificações anexas</t>
  </si>
  <si>
    <t>Unidade compradora: 2 - PREFEITURA MUNICIPAL JOSE BONIFACIO
Local: José Bonifácio/SP
Órgão: MUNICIPIO DE JOSE BONIFACIO
Id contratação PNCP: 45141132000171-1-000036/2026
Fonte: Fiorilli Software
Aquisição de ferramentas e materiais hidráulicos, destinados ao Serviço de Água e Esgoto - SAE, conforme especificações anexas - Número compra: 21 - Pregão - Presencial</t>
  </si>
  <si>
    <t>PE/90134/2026</t>
  </si>
  <si>
    <t>* Licitação Eletrônica * Rolete</t>
  </si>
  <si>
    <t>Unidade compradora: 373301 - ESP-CIA. METROPOLITANA DE SAO PAULO-METRO
Local: São Paulo/SP
Órgão: UO ESP-CIA.DO METROPOLIT DE SAO PAULO-METRO
Id contratação PNCP: 62070362000106-1-000229/2026
Fonte: Compras.gov.br
 Para as respostas de esclarecimentos e impugnações deste edital acesse o link: https://cnetmobile.estaleiro.serpro.gov.br/comprasnet-web/public/landing?destino=quadro-informativo&amp;compra=37330105901342026 - Número compra: 90134 - Pregão - Eletrônico</t>
  </si>
  <si>
    <t>Prefeitura da Estância Turística de Salto</t>
  </si>
  <si>
    <t>DL/97/2026</t>
  </si>
  <si>
    <t>Contratação de empresa especializada no fornecimento de materiais para coletar e analisar amostras de água potável, para atender ao Programa Pró água, visando atender as necessidades do setor de Vigilância Sanitária, a cargo da Secretaria de Saúde.</t>
  </si>
  <si>
    <t>Modalidade: DISPENSA ELETRÔNICA
Edital nº: 097
Unidade Gestora: PM</t>
  </si>
  <si>
    <t>Penitenciária Feminina de Pirajuí</t>
  </si>
  <si>
    <t>* Licitação Eletrônica * Prestação de Serviços Contínuos de Coleta, Análise, Limpeza e Tratamento de Água dos Poços Profundos no exercício de 2026</t>
  </si>
  <si>
    <t>Unidade compradora: 380254 - ESP-PENIT. FEM.SANDRA AP.LARIO VIANNA DE PIRA
Local: Pirajuí/SP
Órgão: SAO PAULO SECRETARIA DA ADMINISTRACAO PENITENCIARIA
Id contratação PNCP: 96291141000180-1-001773/2026
Fonte: Compras.gov.br
 Para as respostas de esclarecimentos e impugnações deste edital acesse o link: https://cnetmobile.estaleiro.serpro.gov.br/comprasnet-web/public/landing?destino=quadro-informativo&amp;compra=38025405900072026 - Número compra: 90007 - Pregão - Eletrônico</t>
  </si>
  <si>
    <t>15º Grupamento de Bombeiros</t>
  </si>
  <si>
    <t>Sorocaba</t>
  </si>
  <si>
    <t>* Licitação Eletrônica * Contratação de empresa especializada para manutenção preventiva em 03 três compressores de ar respirável, com fornecimento de mão de obra, peças e materiais, conforme Termo de Referência.</t>
  </si>
  <si>
    <t>Unidade compradora: 180213 - ESP-15. GRUPAMENTO DE BOMBEIROS 15.GB
Local: Sorocaba/SP
Órgão: SAO PAULO SECRETARIA DA SEGURANCA PUBLICA
Id contratação PNCP: 46377800000127-1-001217/2026
Fonte: Compras.gov.br
 Para as respostas de esclarecimentos e impugnações deste edital acesse o link: https://cnetmobile.estaleiro.serpro.gov.br/comprasnet-web/public/landing?destino=quadro-informativo&amp;compra=18021305900022026 - Número compra: 90002 - Pregão - Eletrônico</t>
  </si>
  <si>
    <t>DAAE-Departamento Autônomo de Água e Esgoto de Araraquara</t>
  </si>
  <si>
    <t>* Registro de preços * * Licitação Eletrônica * REGISTRO DE PREÇOS PARA AQUISIÇAO DE SOFT STARTERS E INVERSORES DE FREQUENCIA - PE 019/2026</t>
  </si>
  <si>
    <t>Unidade compradora: 1000233 - Gestão Operacional
Local: Araraquara/SP
Órgão: DEPARTAMENTO AUTONOMO DE AGUA E ESGOTO
Id contratação PNCP: 44239770000167-1-000047/2026
Fonte: Centro Eletrônico Bancário Industrial LTDA
 - Número compra: 000019 - Pregão - Eletrônico</t>
  </si>
  <si>
    <t>USP-Universidade de São Paulo - Escola Politécnica</t>
  </si>
  <si>
    <t>* Licitação Eletrônica * Equipamentos e materiais de laboratório</t>
  </si>
  <si>
    <t>Unidade compradora: 102103 - ESP-ESCOLA POLITÉCNICA - USP
Local: São Paulo/SP
Órgão: UNIVERSIDADE DE SAO PAULO
Id contratação PNCP: 63025530000104-1-001058/2026
Fonte: Compras.gov.br
 Para as respostas de esclarecimentos e impugnações deste edital acesse o link: https://cnetmobile.estaleiro.serpro.gov.br/comprasnet-web/public/landing?destino=quadro-informativo&amp;compra=10210305900072026 - Número compra: 90007 - Pregão - Eletrônico</t>
  </si>
  <si>
    <t>Prefeitura Municipal de Jaci</t>
  </si>
  <si>
    <t>Jaci</t>
  </si>
  <si>
    <t xml:space="preserve"> Contratação de empresa para a prestação de serviços técnicos de levantamento topográfico planialtimétrico georreferenciado e elaboração de Plano de Encerramento de Aterro em valas exaurido 3,50,91 hectares, no Município de Jaci - SP, localizado às margens da Rodovia João Joaquim Teles Filho, conforme especificações constantes no Termo de Referência.</t>
  </si>
  <si>
    <t>ENCAMINHAMENTO PRAZO HORA
e-mail: licitacao1@jaci.sp.gov.br 13/04/2026 17h00
DISPONIBILIZAÇÃO DO AVISO
Este Aviso de Contratação Direta está disponível no Portal Nacional de Contratações Públicas
https://www.gov.br/pncp/pt-br e no Portal do Município de Jaci https://www.jaci.sp.gov.br.</t>
  </si>
  <si>
    <t>SM/120/2026</t>
  </si>
  <si>
    <t>AQUISIÇÃO DE FERRAMENTAS MANUAIS ALICATES, CHAVE DE FENDA, GRAMPOS, LIMAS CHATA, QUADRADA E REDONDA, LIXAS DÁGUA E RESINADA, MARTELOS, TRENAS, ENTRE OUTROS PARA USO NOS CURSOS DAS UNIDADES DO SENAI-SP</t>
  </si>
  <si>
    <t>Órgão: SERVICO NACIONAL DE APRENDIZAGEM INDUSTRIAL
Id: 1090996
Edital: 120/2026
Modalidade: Pregão
Tipo: Menor preço
Pregoeiro: CLAUDIA FERREIRA
Participação do fornecedor: Ampla
Data de publicação: 09/04/2026
Início do acolhimento de propostas: 09/04/2026 11:10
Limite do acolhimento de propostas: 23/04/2026 09:30
Data e hora da disputa: 23/04/2026 09:30</t>
  </si>
  <si>
    <t>Prefeitura Municipal de Anhumas</t>
  </si>
  <si>
    <t>Anhumas</t>
  </si>
  <si>
    <t>PR/26/2026</t>
  </si>
  <si>
    <t xml:space="preserve">AQUISIÇÃO DE TINTAS DE DEMARCAÇÃO VIÁRIA, VISANDO ATENDER AS NECESSIDADES DA ADMINISTRAÇÃO MUNICIPAL ANHUMAS-SP conforme condições fixadas no edital de convocação. </t>
  </si>
  <si>
    <t>O Edital do Pregão Presencial nº. 26/2026, encerrar-se-á no 24 de Abril de 2026, às 08H30, onde serão recebidos o credenciamento e os envelopes propostas e documentos, regido pelas Leis 14.133/2021, sem prejuízo das demais regras aplicáveis ao caso. Maiores informações pelo telefone 18 3286-1140 ou na Sede Administrativa da Prefeitura Municipal de Anhumas.</t>
  </si>
  <si>
    <t>SAEV Ambiental - Superintendência de Água, Esgotos e Meio Ambiente de Votuporanga</t>
  </si>
  <si>
    <t>Votuporanga</t>
  </si>
  <si>
    <t>* Licitação Eletrônica * REGISTRO DE PREÇOS para aquisição de ferramentas manuais, equipamentos auxiliares e acessórios diversos, destinados ao atendimento das necessidades operacionais da SAEV Ambiental.  * https://bllcompras.com *</t>
  </si>
  <si>
    <t>LOCAL: https://bllcompras.com/
Nº PROC. ADM: 20/2026
 TIPO CONTRATO: REGISTRO DE PREÇO
 INÍCIO REC. PROPOSTA: 09/04/2026 09:00:00
 FIM REC. PROPOSTA: 27/04/2026 08:00:00
 INÍCIO DISPUTA: 27/04/2026 08:15:00
 CIDADE: VOTUPORANGA
 FASE: RECEPÇÃO DE PROPOSTAS
 EXCLUSIVO ME: SIM
 EXCLUSIVO REGIONAL: NÃO
 MODO DE DISPUTA: ABERTO
 TIPO DE LANCE: MENOR LANCE
 FONE PROMOTOR: 1734059195
 E-MAIL PROMOTOR: adm@saev.com.br
 CONDUTOR: BRUNA GIOVANNA MEQUI FERRARI
 AUTORIDADE: OSVALDO CARVALHO DA SILVA
 INFORMACÕES ADICIONAIS: 
 VALOR ESTIMADO: R$444.979,86</t>
  </si>
  <si>
    <t>Prefeitura Municipal de Vargem Grande Paulista</t>
  </si>
  <si>
    <t>Vargem Grande Paulista</t>
  </si>
  <si>
    <t>* Licitação Eletrônica * Aquisição e recarga de extintores e verificação de mangueiras destinado ao combate de incêndio para atender as Secretarias de Educação; Administração; Saúde; e Assistência Social,em conformidade com o estabelecido no "Anexo 01 - Termo de Referencia" deste Edital. * https://jornaldolicitante.com.br *</t>
  </si>
  <si>
    <t>* Licitação Eletrônica * O presente tem por objeto a contratação de serviços especializados de Calibração RBC Rede Brasileira de Calibração e Manutenção Preventiva em equipamentos laboratoriais, de acordo com o detalhamento no Anexo II, conforme quantidades estimadas e especificações constantes dos ANEXOS do presente edital.</t>
  </si>
  <si>
    <t>Unidade compradora: 926309 - SERVIÇO AUTONOMO DE AGUA E ESGOTO SAO CARLOS
Local: São Carlos/SP
Órgão: SERVICO AUTONOMO DE AGUA E ESGOTO
Id contratação PNCP: 45359973000150-1-000081/2026
Fonte: Compras.gov.br
Divergências com o CAtMAt prevalece o Edital. Para as respostas de esclarecimentos e impugnações deste edital acesse o link: https://cnetmobile.estaleiro.serpro.gov.br/comprasnet-web/public/landing?destino=quadro-informativo&amp;compra=92630905900232026 - Número compra: 90023 - Pregão - Eletrônico</t>
  </si>
  <si>
    <t>URBAM-Urbanizadora Municipal S/A</t>
  </si>
  <si>
    <t>* Licitação Eletrônica * Fornecimento e instalação de reservatório metálico vertical</t>
  </si>
  <si>
    <t>Unidade compradora: 929334 - URBANIZADORA MUNICIPAL S/A DE SÃO JOSE CAMPOS
Local: São José dos Campos/SP
Órgão: URBANIZADORA MUNICIPAL SA URBAM
Id contratação PNCP: 45693777000702-1-000049/2026
Fonte: Compras.gov.br
Em caso de divergência entre a descrição do objeto indicada no sistema e a descrição do Edital prevalecerá esta última. Para as respostas de esclarecimentos e impugnações deste edital acesse o link: https://cnetmobile.estaleiro.serpro.gov.br/comprasnet-web/public/landing?destino=quadro-informativo&amp;compra=92933405900512026 - Número compra: 90051 - Pregão - Eletrônico</t>
  </si>
  <si>
    <t>SAAE-Serviço Autônomo de Água e Esgotos de Indaiatuba</t>
  </si>
  <si>
    <t>Indaiatuba</t>
  </si>
  <si>
    <t>CR/99/2026</t>
  </si>
  <si>
    <t>* Licitação Eletrônica * Elaboração de projeto executivo e execução das obras de implantação do interceptor da margem esquerda do Rio Jundiaí IMERJ com estação elevatória de esgoto e linha de recalque, com fornecimento de materiais, equipamentos e mão de obra</t>
  </si>
  <si>
    <t>Unidade compradora: 935 - SAAE Indaiatuba
Local: Indaiatuba/SP
Órgão: SERVICO AUTONOMO DE AGUA E ESGOTOS
Id contratação PNCP: 46251021000180-1-000029/2026
Fonte: Novo BBMNET Licitações
 - Número compra: 99/2025 - Concorrência - Eletrônica</t>
  </si>
  <si>
    <t>Prefeitura Municipal de Paulicéia</t>
  </si>
  <si>
    <t>Paulicéia</t>
  </si>
  <si>
    <t>Contratação de empresa especializada para a prestação de serviços de mão-de-obra com fornecimento de equipamentos e materiais para a construção do sistema de drenagem pluvial, no bairro Vista Verde.</t>
  </si>
  <si>
    <t>O edital, na íntegra, se encontra no sítio http://186.208.139.83:5656/comprasedital. Esclarecimentos e informações pelo telefone 18 3876-1240, de segunda à sexta-feira, das 08h00 às 11h00 e das 13h00 às 16h30.</t>
  </si>
  <si>
    <t>* Licitação eletrônica * Registro de preços para futuras e eventuais aquisições de insumos para o efetivo da Guarda Civil Municipal e Bombeiro Civil Municipal do município de Mogi Mirim/SP</t>
  </si>
  <si>
    <t>DATA DE ABERTURA: 24 de abril de 2026 às 9:00 Os editais estarão disponíveis aos interessados, através dos sites: www.gov.br/compras e www.mogimirim.sp.gov.br Demais esclarecimentos poderão ser
obtidos junto à Secretaria de Suprimentos e Logística, das 8h às 17h, no endereço acima citado ou pelos telefones: 19 3814.1044/3814.1049/3814.104
5/3814.1054.1059/3814.1060 ou via e-mail: ssq@mogimirim.sp.gov.br Mogi Mirim, 07 de abril de 2026.</t>
  </si>
  <si>
    <t>Contratação de empresa ou consórcio de empresas de engenharia especializadas para execução de obras de microdrenagem nas vias urbanas, localizadas nas regiões dos reservatórios R3, R7 e R8, às margens do Rio Aricanduva, região leste da cidade de São Paulo.</t>
  </si>
  <si>
    <t>Edital e anexos disponíveis a partir de 09/04/2026 no link Doc. Sei nº 154345959. Entrega dos envelopes das 11h00 às 11h30 do dia 06/05/2026 na Rua XV de Novembro, 165, Centro - Histórico - São Paulo/SP.</t>
  </si>
  <si>
    <t>Palmas</t>
  </si>
  <si>
    <t>Associação Comunitária da Escola Estadual Novo Horizonte</t>
  </si>
  <si>
    <t>PE/90000/2026</t>
  </si>
  <si>
    <t xml:space="preserve">* Registro de preços * * Licitação Eletrônica * Aquisição de material de limpeza para atender a necessidade da Escola Estadual Novo Horizonte no ano de 2026. </t>
  </si>
  <si>
    <t>Unidade compradora: 928717 - ASSOCIAÇAO COMUN. E.E. NOVO HORIZONTE/PALMAS
Local: Palmas/TO
Órgão: ASSOCIACAO COMUNITARIA DA ESCOLA EST NOVO HORIZONTE
Id contratação PNCP: 01221539000133-1-000002/2026
Fonte: Compras.gov.br
Na hipótese de haver diferença entre a descrição dos itens registrados no sítio www.comprasgovernamentais.gov.br e as especificações constantes no Termo de Referência, deverão ser consideradas as do Termo de Referência e demais anexos aplicáveis. Para as respostas de esclarecimentos e impugnações deste edital acesse o link: https://cnetmobile.estaleiro.serpro.gov.br/comprasnet-web/public/landing?destino=quadro-informativo&amp;compra=92871705900002026 - Número compra: 90000 - Pregão - Eletrônico</t>
  </si>
  <si>
    <t>Associação A.E.E. Frei Savino de Araguatins</t>
  </si>
  <si>
    <t>Araguatins</t>
  </si>
  <si>
    <t>* Registro de preços * * Licitação Eletrônica * Adquirir materiais de apoio pedagógico, limpeza, esportivo e de manutenção/reposição, para suprir as necessidades da Escola Estadual Frei Savino, durante o ano Letivo de 2026.</t>
  </si>
  <si>
    <t>Unidade compradora: 929620 - ASSOCIAÇÃO A.E.E.FREI SALVINO DE ARAGUATINS
Local: Araguatins/TO
Órgão: ASSOCIACAO DE APOIO A ESCOLA ESTADUAL FREI SAVINO
Id contratação PNCP: 01181389000181-1-000001/2026
Fonte: Compras.gov.br
Os valores ofertados não poderão ser abaixo de 50% valor estimado. Para as respostas de esclarecimentos e impugnações deste edital acesse o link: https://cnetmobile.estaleiro.serpro.gov.br/comprasnet-web/public/landing?destino=quadro-informativo&amp;compra=92962005900012026 - Número compra: 90001 - Pregão - Eletrônico</t>
  </si>
  <si>
    <t>Colégio Estadual Girassol de Tempo Integral (cegti) Agropecuário de Almas</t>
  </si>
  <si>
    <t>Almas</t>
  </si>
  <si>
    <t>* Licitação Eletrônica * Aquisição de Insumos Agropecuários  * https://bnccompras.com *</t>
  </si>
  <si>
    <t>LOCAL: https://bnccompras.com/
Nº PROC. ADM: 07/2026
 TIPO CONTRATO: AQUISIÇÃO
 INÍCIO REC. PROPOSTA: 10/04/2026 07:00:00
 FIM REC. PROPOSTA: 17/04/2026 16:08:00
 INÍCIO DISPUTA: 24/04/2026 09:00:00
 CIDADE: ALMAS
 FASE: PUBLICADO
 EXCLUSIVO ME: NÃO
 EXCLUSIVO REGIONAL: NÃO
 MODO DE DISPUTA: ABERTO
 TIPO DE LANCE: MENOR LANCE
 FONE PROMOTOR: 0000000000
 E-MAIL PROMOTOR: agropecuariofinanceiro@gmail.com
 CONDUTOR: ANGELA ELIAS MATOS
 AUTORIDADE: LUCIANA CASTRO DE ANDRADE LINHARES NUNES
 VALOR ESTIMADO: R$38.912,45</t>
  </si>
  <si>
    <t>Associação de Apoio à Escola Estadual Inês Viana Costa</t>
  </si>
  <si>
    <t>Carrasco Bonito</t>
  </si>
  <si>
    <t>* Registro de preços * * Licitação Eletrônica * O objeto da presente licitação é aquisição de materiais de expediente, limpeza, pedagógico e esportivo diversos conforme condições, quantidades e exigências estabelecidas neste Edital e seus anexos.</t>
  </si>
  <si>
    <t>Unidade compradora: 929844 - ASSOCIAÇÃO A.E.E.I.VIANA DE CARRASCO BONITO
Local: Carrasco Bonito/TO
Órgão: ASSOCIACAO DE APOIO DA ESCOLA ESTADUAL INES
Id contratação PNCP: 02508340000153-1-000001/2026
Fonte: Compras.gov.br
 Para as respostas de esclarecimentos e impugnações deste edital acesse o link: https://cnetmobile.estaleiro.serpro.gov.br/comprasnet-web/public/landing?destino=quadro-informativo&amp;compra=92984405900052026 - Número compra: 90005 - Pregão - Eletrônico</t>
  </si>
  <si>
    <t>Prefeitura Municipal de Barra do Ouro</t>
  </si>
  <si>
    <t>Barra do Ouro</t>
  </si>
  <si>
    <t>* Licitação Eletrônica * AQUISIÇÃO DE MATERIAIS DE EXPEDIENTES PARA ATENDER AS DEMANDAS DA PREFEITURA MUNICIPAL, FUNDO DE EDUCAÇÃO, FUNDO DE SAÚDE E O FUNDO DE ASSISTÊNCIA SOCIAL DE BARRA DO OURO/TO. * https://bnccompras.com *</t>
  </si>
  <si>
    <t>LOCAL: https://bnccompras.com/
Nº PROC. ADM: 376/2026
 TIPO CONTRATO: REGISTRO DE PREÇO
 INÍCIO REC. PROPOSTA: 13/04/2026 08:00:00
 FIM REC. PROPOSTA: 28/04/2026 08:30:00
 INÍCIO DISPUTA: 28/04/2026 09:00:00
 CIDADE: BARRA DO OURO
 FASE: PUBLICADO
 EXCLUSIVO ME: NÃO
 EXCLUSIVO REGIONAL: NÃO
 MODO DE DISPUTA: ABERTO
 TIPO DE LANCE: MENOR LANCE
 FONE PROMOTOR: 63992010922
 E-MAIL PROMOTOR: editalbo18@gmail.com
 CONDUTOR: EUDILENE SOUSA BRITO
 AUTORIDADE: NÉLIDA VASCONCELOS MIRANDA CAVALCANTE
 VALOR ESTIMADO: R$656.589,67</t>
  </si>
  <si>
    <t>CR/90011/2026</t>
  </si>
  <si>
    <t xml:space="preserve"> Contratação de empresa especializada para execução de obras de construção de flutuante na orla de Cariacica-ES.</t>
  </si>
  <si>
    <t>* Retificação do número do edital conforme Coleta Conlicitação. * 
Onde se lê: CR/11/2026
Leia-se: CR/90011/2026
Unidade compradora: 1 - PREFEITURA MUNICIPAL DE CARIACICA
Local: Cariacica/ES
Órgão: MUNICIPIO DE CARIACICA
Id contratação PNCP: 27150549000119-1-000058/2026
Fonte: SMARAPD INFORMATICA LTDA
 - Número compra: 11 - Concorrência - Eletrônica</t>
  </si>
  <si>
    <t>Prefeitura Municipal de Serrania</t>
  </si>
  <si>
    <t>Serrania</t>
  </si>
  <si>
    <t>PR/4/2026</t>
  </si>
  <si>
    <t>Registro de preços para futura e eventual contratação de empresa especializada para prestação de serviços de locação de ferramentas, equipamentos e máquinas, para utilização nas atividades do Departamento de Infraestrutura e Serviços Públicos do município de Serrania/MG.</t>
  </si>
  <si>
    <t xml:space="preserve">ESTADO DE MINAS GERAIS PREFEITURA DE SERRANIA PREFEITURA DE SERRANIA EXTRATO DE PREGÃO PREFEITURA MUNICIPAL DE SERRANIA. Extrato Pregão Presencial nº 04/2026. Processo Licitatório nº 30/2026. Republicação. OBJETO: Registro de preços para futura e eventual contratação de empresa especializada para prestação de serviços de locação de ferramentas, equipamentos e máquinas, para utilização nas atividades do Departamento de Infraestrutura e Serviços Públicos do município de Serrania/MG. Abertura: dia 29 de abril de 2026 às 09:00 horas. Edital no site www.serrania.mg.gov.br. Serrania, 08 de abril de 2026.   FREDERICO HOLANDA CSIZMAR - Pregoeiro.    Publicado por: Frederico Holanda Csizmar Código Identificador:49E21F3D Matéria publicada no Diário Oficial dos Municípios Mineiros no dia 09/04/2026. Edição 4250 </t>
  </si>
  <si>
    <t>* Licitação eletrônica * aquisiçãode kit de irrigação por gotejamento</t>
  </si>
  <si>
    <t>RETIFICAÇÃO AVISO DE LICITAÇÃO
Edital através do Processo 3041099 000031/2026 no site www.
compras.mg.gov.br ou www.emater.mg.gov.br - Processo SEI n.º
3040.01.0001373/2026-69, Objeto: aquisição de kit de irrigação por
gotejamento - Retifica-se a data para o recebimento das propostas e
disputa publicada no dia 31/03/2026, Diário Executivo, página 39 para
o dia 23/04/2026.Belo Horizonte, 01 de abril de 2026 - Comissão
Permanente de Licitação.</t>
  </si>
  <si>
    <t>Prefeitura Municipal de Tapurah</t>
  </si>
  <si>
    <t>Tapurah</t>
  </si>
  <si>
    <t xml:space="preserve"> CONTRATAÇÃO DE PESSOA JURÍDICA ESPECIALIZADA PARA EXECUÇÃO DOS SERVIÇOS DE IMPLANTAÇÃO DE INFRAESTRUTURA VIÁRIA E PREPARAÇÃO DA BASE ESTRUTURAL PARA FUTURA PAVIMENTAÇÃO ASFÁLTICA, NO TRECHO: ENTRONCAMENTO DA RODOVIA MT-338 KM 506,50 - RIO ARINOS E ACESSO AO RIO BORGES, SUBTRECHO COMPREENDIDO ENTRE AS ESTACAS 520+0,00 E 1465+0,00 DA ESTRADA SÃO PAULO, COM EXTENSÃO TOTAL DE 18,90 QUILÔMETROS, LOCALIZADO NO MUNICÍPIO DE TAPURAH - MT * https://bllcompras.com *</t>
  </si>
  <si>
    <t>RETIFICAÇÃO DO EDITAL
PROCESSO ADMINISTRATIVO Nº 045/2026
CONCORRÊNCIA ELETRÔNICA Nº 003/2026
RETIFICAÇÃO Nº 001
O MUNICÍPIO DE TAPURAH/MT, por intermédio da Agente de Contratação, no uso de suas atribuições legais, torna público, para conhecimento
dos interessados, a presente RETIFICAÇÃO DO EDITAL DE CONCORRÊNCIA ELETRÔNICA Nº 003/2026, cujo objeto é a CONTRATAÇÃO DE
PESSOA JURÍDICA ESPECIALIZADA PARA EXECUÇÃO DOS SERVIÇOS DE IMPLANTAÇÃO DE INFRAESTRUTURA VIÁRIA E
PREPARAÇÃO DA BASE ESTRUTURAL PARA FUTURA PAVIMENTAÇÃO ASFÁLTICA, NO TRECHO: ENTRONCAMENTO DA RODOVIA MT338 KM 506,50 - RIO ARINOS E ACESSO AO RIO BORGES, SUBTRECHO COMPREENDIDO ENTRE AS ESTACAS 520+0,00 E 1465+0,00
DA ESTRADA SÃO PAULO, COM EXTENSÃO TOTAL DE 18,90 QUILÔMETROS, LOCALIZADO NO MUNICÍPIO DE TAPURAH/MT, EM
RAZÃO DE SOLICITAÇÃO FORMAL DA SECRETARIA MUNICIPAL DE INFRAESTRUTURA E OBRAS, CONSUBSTANCIADA NO
MEMORANDO SEINOB/PMT/52/2026. DA REABERTURA DO PRAZO
Considerando que as alterações promovidas no Edital, especialmente quanto à qualificação técnica operacional da empresa, implicam
modificação nas condições de formulação das propostas e podem impactar o conteúdo econômico das mesmas, fica reaberto o prazo para
apresentação das propostas, nos termos da Lei nº 14.133/2021.
Data de Início para o recebimento das propostas eletrônicas: das 08:00 horas do dia 08/04/2026 até as 09:00 horas do dia 23/04/2026 horário de
Brasília
Data e horário do Início da sessão: Dia 23/04/2026 as 08:30 horas horário de Brasília
Data e horário de Início da disputa: Dia 23/04/2026 as 09:00 horas horário de Brasília
PERMANECEM INALTERADAS AS DEMAIS CLÁUSULAS E CONDIÇÕES DO EDITAL DE CONCORRÊNCIA ELETRÔNICA Nº 003/2026 E DO
RESPECTIVO TERMO DE REFERÊNCIA, NÃO ALCANÇADAS POR ESTA RETIFICAÇÃO.
ESTA RETIFICAÇÃO ENTRA EM VIGOR NA DATA DE SUA PUBLICAÇÃO, DEVENDO SER DISPONIBILIZADA NOS MESMOS MEIOS EM
QUE DIVULGADO O EDITAL ORIGINÁRIO.
O referido Edital encontra-se disponível na íntegra no Departamento de Licitações. Os interessados poderão retirar gratuitamente no site da
prefeitura municipal, através do endereço www.tapurah.mt.gov.br, podendo ser retirado também na página eletrônica da Bolsa de Licitações e
Leilões www.bll.org.br, ou solicitar ao Departamento de Licitações pelo telefone 66 3547-3600 ou pelo e-mail licitacao@tapurah.mt.gov.br
Tapurah - MT, 07 de abril de 2026.</t>
  </si>
  <si>
    <t>Contratação de empresa especializada para prestação de serviços para instalações de dispositivos de drenagem pluvial, serviços de terraplanagem e pavimentação em asfalto no trecho de 1000m especificado em projeto da Rua Lineia Maria Gewehr, no Bairro Progresso-Nova Hartz/RS, de acordo com o memorial descritivo, planilha orçamentária, cronograma, planilha de composição de BDI e projetos que constituem anexos deste edital.</t>
  </si>
  <si>
    <t xml:space="preserve">ESTADO DO RIO GRANDE DO SUL PREFEITURA MUNICIPAL DE NOVA HARTZ SECRETARIA MUNICIPAL DA FAZENDA CONCORRECNAI ELETRONICA 5 RETIFICAÇÃO NA CONCORRÊNCIA ELETRÔNICA N.º 05/2026   O MUNICÍPIO DE NOVA HARTZ-RS, torna público, para o conhecimento dos interessados, que foi retificado processo licitatório n.º 1076/2026, Concorrência Eletrônica n.º 05/2025, Parecer jurídico n.º 152/2026 , cujo objeto é CONTRATAÇÃO DE MPRESA ESPECIALIZADA PARA PRESTAÇÃO DE SERVIÇOS PARA INSTALAÇÕES DE DISPOSITIVOS DE DRENAGEM PLUVIAL, SERVIÇOS DE TERRAPLANAGEM E PAVIMENTAÇÃO EM ASFALTO NO TRECHO DE 1000M ESPECIFICADO EM PROJETO DA RUA LINEIA MARIA GEWEHR, NO BAIRRO PROGRESSO-NOVA HARTZ/RS, DE ACORDO COM O MEMORIAL DESCRITIVO, PLANILHA ORÇAMENTÁRIA, CRONOGRAMA, PLANILHA DE COMPOSIÇÃO DE BDI E PROJETOS QUE CONSTITUEM ANEXOS DESTE EDITAL no item do edital onde leu-se: "4.4...R$ 1.724.187,41 um milhão, setecentos e vinte e quatro mil, cento e oitenta e sete reais e quarenta e um centavos...". LEIA-SE: "4.4. FICA ESTABELECIDO COMO PREÇO MÁXIMO GLOBAL PARA AS PROPOSTAS APRESENTADAS REFERENTE A ESTA LICITAÇÃO O VALOR DE R$ 2.190.771,72DOIS MILHÕES, CENTO E NOVENTA MIL, SETECENTOS E SETENTA E UM REAIS E SETENTA E DOIS CENTAVOS OS PREÇOS MÁXIMOS UNITÁRIOS SÃO OS FIXADOS NA MESMA PLANILHA ANTES REFERIDA. O Cronograma Físico e Financeiro está RETIFICADO, com o valor de acordo com as planilhas publicadas e disponível através do site www.pregaobanrisul.com.br e no site www.novahartz.rs.gov.br .Houve alteração na data de abertura pasando para o dia 28 de abril de 2026 as 14 horas. Esta retificação estará disponível também no site do Município Nova Hartz, 09 de abril de 2026.   </t>
  </si>
  <si>
    <t>* Licitação Eletrônica * REGISTRO DE PREÇOS PARA AQUISIÇÃO DE MATERIAIS ELÉTRICOS, PARA ATENDER AS NECESSIDADES DA SECRETARIA MUNICIPAL DE OBRAS E SERVIÇOS PÚBLICOS - SEMOSP, DA PREFEITURA MUNICIPAL DE GOVERNADOR JORGE TEIXEIRA - RO, CONFORME CONDIÇÕES, QUANTIDADES E EXIGÊNCIAS ESTABELECIDAS NESTE INSTRUMENTO E SEUS ANEXOS.  * https://bnccompras.com *</t>
  </si>
  <si>
    <t>ADIAMENTO
AVISO PREGÃO ELETRÔNICO Nº 012/SUPEL/2026
O MUNICÍPIO DE GOVERNADOR JORGE TEIXEIRA/RO, através do Pregoeiro, comunica aos interessados que o Aviso de
Licitação PREGÃO ELETRÔNICO Nº 012/SUPEL/2026, publicada no DIOF do dia 23 de Março de 2026, ed. 55-724, cujo
objeto é Registro de Preços para aquisição de materiais elétricos, para atender as necessidades da Secretaria
Municipal de Obras e Serviços Públicos - SEMOSP, da Prefeitura Municipal de Governador Jorge Teixeira-RO, conforme
condições, quantidades e exigências estabelecidas neste instrumento e seus anexos. Prevista a sessão Pública ás 9h do
dia 10/04/2026. Fica adiada para o dia 27/04/2026, as 9h10min horário de Brasília.
Governador Jorge Teixeira-RO 08/04/2026.
Maxson Batista Santos
Pregoeiro</t>
  </si>
  <si>
    <t>MINISTÉRIO DOS TRANSPORTES - DNIT - Departamento Nacional de Infra-Estrutura de Transportes - 23ª Unidade</t>
  </si>
  <si>
    <t>PE/90090/2026</t>
  </si>
  <si>
    <t>* Licitação Eletrônica * Execução dos Serviços Necessários de Manutenção/ Conservação nas Rodovias BR-230/TO: Trecho: Divisa MA/TO - Divisa TO/PA, Subtrecho: BR-226B/TO-126A - Div. TO/PA Início Travessia Rio Araguaia, Segmento: km 1,70 - km 146,40, com extensão total de 144,70 km, Lote: único, sobre jurisdição da Superintendência Regional do DNIT no Estado do Tocantins, no âmbito do Plano Anual de Trabalho e Orçamento - PATO.</t>
  </si>
  <si>
    <t>AVISO DE ADIAMENTO
PREGÃO Nº 90090/2026
Comunicamos o adiamento da licitação supracitada , publicada no D.O.U de
24/03/2026, .Entrega das Propostas: a partir de 24/03/2026, às 08h00 no site
www.comprasnet.gov.br. Abertura das Propostas: 24/04/2026, às 15h00 no site
www.comprasnet.gov.br. Objeto: Pregão Eletrônico - Execução dos Serviços Necessários de
Manutenção/ Conservação nas Rodovias BR-230/TO: Trecho: Divisa MA/TO - Divisa TO/PA,
Subtrecho: BR-226B/TO-126A - Div. TO/PA Início Travessia Rio Araguaia, Segmento: km
1,70 - km 146,40, com extensão total de 144,70 km, Lote: único, sobre jurisdição da
Superintendência Regional do DNIT no Estado do Tocantins, no âmbito do Plano Anual de
Trabalho e Orçamento - PATO.</t>
  </si>
  <si>
    <t>SM/7004573942</t>
  </si>
  <si>
    <t>* Licitação Eletrônica * Aquisição de Caixa Elétrica, por contrato global, conforme as especificações deste documento e de seus adendos</t>
  </si>
  <si>
    <t>** Esta publicação está sendo informada para os estados AC, AL, AM, AP, BA, CE, DF, ES, GO, MA, MG, MS, MT, PA, PB, PE, PI, PR, RN, RO, RR, RS, SC, SE, SP, TO e RJ onde será realizado o objeto da licitação. Informamos que a publicação oficial é do estado de RJ. **
Regiões: AC AL AM AP BA CE DF ES GO MA MG MS MT PA PB PE PI PR RJ RN RO RR RS SC SE SP TO 
Inicio: 2026/04/17 - 20:00:00 Término dos lances: 2026/04/17 20:00:00
 - Licitação sujeita a confirmação pois não foi informado que trata-se de prorrogação.</t>
  </si>
  <si>
    <t>SM/7004574139</t>
  </si>
  <si>
    <t>* Licitação Eletrônica * Aquisição de Transmissor de pressão, por contrato global, conforme as especificações deste documento e de seus adendos.</t>
  </si>
  <si>
    <t>** Esta publicação está sendo informada para os estados AC, AL, AM, AP, BA, CE, DF, ES, GO, MA, MG, MS, MT, PA, PB, PE, PI, PR, RN, RO, RR, RS, SC, SE, SP, TO e RJ onde será realizado o objeto da licitação. Informamos que a publicação oficial é do estado de RJ. **
Regiões: AC AL AM AP BA CE DF ES GO MA MG MS MT PA PB PE PI PR RJ RN RO RR RS SC SE SP TO 
Inicio: 2026/04/17 - 17:00:00 Término dos lances: 2026/04/17 17:00:00
 - Licitação sujeita a confirmação pois não foi informado que trata-se de prorrogação.</t>
  </si>
  <si>
    <t>* Licitação Eletrônica * Aquisição de equipamentos odontológicos destinados à estruturação e melhoria dos serviços de saúde bucal da rede pública municipal de saúde do Município de Dom Basílio/Ba, visando garantir melhores condições de atendimento à população</t>
  </si>
  <si>
    <t>Unidade compradora: 983501 - PREFEITURA MUNICIPAL DE DOM BASILIO
Local: Dom Basílio/BA
Órgão: MUNICIPIO DE DOM BASILIO
Id contratação PNCP: 13673314000105-1-000073/2026
Fonte: Compras.gov.br
 Para as respostas de esclarecimentos e impugnações deste edital acesse o link: https://cnetmobile.estaleiro.serpro.gov.br/comprasnet-web/public/landing?destino=quadro-informativo&amp;compra=98350105900192026 - Número compra: 90019 - Pregão - Eletrônico
 - Licitação sujeita a confirmação pois não foi informado que trata-se de prorrogação.</t>
  </si>
  <si>
    <t>PRESIDÊNCIA DA REPÚBLICA - Gabinete de Segurança Institucional</t>
  </si>
  <si>
    <t>PE/90010/2025</t>
  </si>
  <si>
    <t>* Registro de preços * * Licitação Eletrônica * Registro de preços para aquisição de materiais de EPI e materiais de atendimento pré-hospitalar APH</t>
  </si>
  <si>
    <t>Unidade compradora: 110322 - GABINETE DE SEGURANÇA INSTITUCIONAL
Local: Brasília/DF
Órgão: PRESIDENCIA DA REPUBLICA
Id contratação PNCP: 00394411000109-1-000314/2025
Fonte: Compras.gov.br
O Edital está disponível  também na página  eletrônica: https://www.gov.br/casacivil/pt-br/acesso-a-informacao/licitacoes-e-contratos/secretaria-de-administracao/licitacoes Para as respostas de esclarecimentos e impugnações deste edital acesse o link: https://cnetmobile.estaleiro.serpro.gov.br/comprasnet-web/public/landing?destino=quadro-informativo&amp;compra=11032205900102025 - Número compra: 90010 - Pregão - Eletrônico
 - Licitação sujeita a confirmação pois não foi informado que trata-se de prorrogação.</t>
  </si>
  <si>
    <t>Prefeitura Municipal de Bonópolis</t>
  </si>
  <si>
    <t>Bonópolis</t>
  </si>
  <si>
    <t xml:space="preserve"> SOLICITA-SE A ABERTURA DE PROCESSO LICITATÓRIO VISANDO À CONTRATAÇÃO DE 01 EMPRESA ESPECIALIZADA PARA A CONSTRUÇÃO DE 25 VINTE E CINCO UNIDADES HABITACIONAIS, NO ÂMBITO DO PROGRAMA MINHA CASA, MINHA VIDA MCMV, CONFORME DIRETRIZES ESTABELECIDAS PELO GOVERNO FEDERAL. * https://bnccompras.com *</t>
  </si>
  <si>
    <t xml:space="preserve">* Nova publicação sujeita a confirmação na unidade licitante, pois não foi informado tratar-se de prorrogação. * 
AVISO DE RETIFICAÇÃO
Concorrência Eletrônica nº 3/2026
E REMARCAÇÃO
O Município de Bonópolis, Estado de Goiás, torna pública a retificação e remarcação da Concorrência Eletrônica nº 003/2026, Processo Administrativo nº 2776/2026. Objeto: Contratação de empresa especializada para a construção de 25 vinte e cinco unidades habitacionais de interesse social, no âmbito do Programa Minha Casa, Minha Vida MCMV, conforme diretrizes estabelecidas pelo Governo Federal, e de acordo com as especificações e condições constantes nos projetos de engenharia, Termo de Referência, Edital e seus anexos. Data da sessão: 27/04/2026, às 08h01min. O edital estará disponível, e as propostas serão recebidas, por meio do site: https://bnc.org.br/. Informações: https://bonopolis.go.gov.br; Fone: 62 3393-0112.
Bonópolis-GO, 8 de abril de 2026.
</t>
  </si>
  <si>
    <t>Prefeitura Municipal de Capinzal do Norte</t>
  </si>
  <si>
    <t>Capinzal do Norte</t>
  </si>
  <si>
    <t>Registro de Preços para a prestação de serviços inerentes à execução da urbanização em Capinzal do Norte/MA.</t>
  </si>
  <si>
    <t>Modalidade: CONCORRÊNCIA LEI 14.133/2021
Edital nº: 01
Unidade Gestora: PM
 - Licitação sujeita a confirmação pois não foi informado que trata-se de prorrogação.</t>
  </si>
  <si>
    <t>SM/7004582493</t>
  </si>
  <si>
    <t>* Licitação Eletrônica *Aquisição de Partes de motor e turbina a vapor, conforme as especificações deste documento e de seus adendos.</t>
  </si>
  <si>
    <t>** Esta publicação está sendo informada para os estados MG, PE, PR, SP e RJ onde será realizado o objeto da licitação. Informamos que a publicação oficial é do estado de RJ. **
Regiões: MG PE PR RJ SP 
Inicio: 2026/04/15 - 17:00:00 Término dos lances: 2026/04/15 17:00:00
 - Licitação sujeita a confirmação pois não foi informado que trata-se de prorrogação.</t>
  </si>
  <si>
    <t>Prefeitura Municipal de Extrema</t>
  </si>
  <si>
    <t>Extrema</t>
  </si>
  <si>
    <t>* Licitação Eletrônica * AQUISIÇÃO DE POSTES METÁLICOS GALVANIZADOS, BRAÇOS/SUPORTES PARA LUMINÁRIAS E LUMINÁRIAS PÚBLICAS LED, PARA ILUMINAÇÃO EXTERNA DO PARQUE MUNICIPAL DE EVENTOS DE EXTREMA/MG. * https://ammlicita.org.br *</t>
  </si>
  <si>
    <t>Id: 94620
Unidade licitante: PREFEITURA MUNICIPAL DE EXTREMA - Unidade Única
Plataforma: ammlicita
 - Licitação sujeita a confirmação pois não foi informado que trata-se de prorrogação.</t>
  </si>
  <si>
    <t>SM/21654</t>
  </si>
  <si>
    <t>* Licitação Eletrônica * Lacres de Segurança Tipo Semibarreira - https://app2-compras.cemig.com.br/pesquisa</t>
  </si>
  <si>
    <t>ID: 21654
 - Licitação sujeita a confirmação pois não foi informado que trata-se de prorrogação.</t>
  </si>
  <si>
    <t>SM/21655</t>
  </si>
  <si>
    <t>* Licitação Eletrônica * Serviços de medição de energia elétrica em 3.600 três mil e seiscentas unidades consumidoras em baixa tensão e 260 duzentos e sessenta transformadores de distribuição de média tensão para baixa tensão - https://app2-compras.cemig.com.br/pesquisa</t>
  </si>
  <si>
    <t>ID: 21655
 - Licitação sujeita a confirmação pois não foi informado que trata-se de prorrogação.</t>
  </si>
  <si>
    <t>Tribunal Regional do Trabalho - 3ª Região</t>
  </si>
  <si>
    <t>* Licitação Eletrônica * Aquisição de equipamentos e acessórios para a Secretaria de Saúde do Tribunal Regional do Trabalho da 3ª Região, nos termos do Edital e seus anexos</t>
  </si>
  <si>
    <t>Unidade compradora: 080008 - TRIBUNAL REGIONAL DO TRABALHO DA 3ª REGIÃO
Local: Belo Horizonte/MG
Órgão: TRIBUNAL SUPERIOR DO TRABALHO
Id contratação PNCP: 00509968000148-1-000675/2026
Fonte: Compras.gov.br
Sempre que a especificação técnica (CATMAT) do objeto no sistema não corresponder à descrição do edital, prevalecerá a que consta do Termo de Referência (Anexo I do Edital). Os equipamentos e acessórios deverão ser entregues nas Seções da Secretaria de Saúde do Tribunal Regional do Trabalho da 3ª Região, que será indicado no momento do pedido, nos endereços indicados no item 5.3 do Termo de Referência. Para as respostas de esclarecimentos e impugnações deste edital acesse o link: https://cnetmobile.estaleiro.serpro.gov.br/comprasnet-web/public/landing?destino=quadro-informativo&amp;compra=08000805900062026 - Número compra: 90006 - Pregão - Eletrônico
 - Licitação sujeita a confirmação pois não foi informado que trata-se de prorrogação.</t>
  </si>
  <si>
    <t>Serviço Autônomo de Água e Esgoto de Itaúna</t>
  </si>
  <si>
    <t>Itaúna</t>
  </si>
  <si>
    <t>* Licitação Eletrônica * Aquisição de motor novo para caminhão Ford cargo 1517, ano 2011/12, pertencente à frota do SAAE.</t>
  </si>
  <si>
    <t>Unidade compradora: 927317 - SERVIÇO AUTÔNOMO DE ÁGUA E ESGOTO DE ITAUNA
Local: Itaúna/MG
Órgão: SERVICO AUTONOMO DE AGUA E ESGOTO
Id contratação PNCP: 21260443000191-1-000008/2026
Fonte: Compras.gov.br
Nos casos de divergências entre as especificações do objeto descritas na relação de itens do site www.gov.br/compras e as especificações do Edital, a licitante deverá considerar a descrição do Termo de Referência. Para as respostas de esclarecimentos e impugnações deste edital acesse o link: https://cnetmobile.estaleiro.serpro.gov.br/comprasnet-web/public/landing?destino=quadro-informativo&amp;compra=92731705900032026 - Número compra: 90003 - Pregão - Eletrônico
 - Licitação sujeita a confirmação pois não foi informado que trata-se de prorrogação.</t>
  </si>
  <si>
    <t>Prefeitura Municipal de Unaí</t>
  </si>
  <si>
    <t>Unaí</t>
  </si>
  <si>
    <t>* Licitação Eletrônica * ABERTURA DE REGISTRO DE PREÇOS PARA FUTURA E EVENTUAL AQUISIÇÃO DE MATERIAIS DE LIMPEZA E DESCARTÁVEIS DESTINADOS A ATENDER AS NECESSIDADES OPERACIONAIS DAS DIVERSAS SECRETARIAS ADMINISTRATIVAS DO MUNICÍPIO PELO PERÍODO DE 12DOZE MESES. * https://bnccompras.com *</t>
  </si>
  <si>
    <t>LOCAL: https://bnccompras.com/
Nº PROC. ADM: 011/2026
 TIPO CONTRATO: REGISTRO DE PREÇO
 INÍCIO REC. PROPOSTA: 31/03/2026 16:00:00
 FIM REC. PROPOSTA: 27/04/2026 09:00:00
 INÍCIO DISPUTA: 27/04/2026 09:10:00
 CIDADE: UNAÍ
 FASE: RECEPÇÃO DE PROPOSTAS
 EXCLUSIVO ME: NÃO
 EXCLUSIVO REGIONAL: NÃO
 MODO DE DISPUTA: ABERTO
 TIPO DE LANCE: MENOR LANCE
 FONE PROMOTOR: 3836779610
 E-MAIL PROMOTOR: cpl@prefeituraunai.mg.gov.br
 CONDUTOR: KAMILLA DE ALMEIDA RAMOS
 AUTORIDADE: THIAGO MARTINS RODRIGUES
 VALOR ESTIMADO: R$15.242.409,83
 - Licitação sujeita a confirmação pois não foi informado que trata-se de prorrogação.</t>
  </si>
  <si>
    <t>* Licitação Eletrônica * REGISTRO DE PREÇO PARA AQUISIÇÃO DE MATERIAL ESPORTIVO EM GERAL PARA ATENDER A DEMANDA DAS SECRETARIAS MUNICIPAIS DE CULTURA, ESPORTE, LAZER E TURISMO DO MUNICIPIO DE ORATÓRIOS/MG, CONFORME QUANTITATIVOS E DEMAIS ESPECIFICAÇÕES PREVISTAS NO TERMO DE REFERENCIA  * https://licitar.digital *</t>
  </si>
  <si>
    <t>Id: 95086
Unidade licitante: Prefeitura Municipal de Oratórios - Unidade Única
Plataforma: licitardigital
 - Licitação sujeita a confirmação pois não foi informado que trata-se de prorrogação.</t>
  </si>
  <si>
    <t>* Licitação Eletrônica * Aquisição de materiais hidráulicos tubulações em PVC PBA, conexões em ferro fundido dúctil, aço galvanizado e bronze, destinados à interligação do Poço Alto Santa Cruz e intervenções no RESERVATÓRIO 03, bem como à aquisição de tubos para implantação e ampliação de
redes em LOTEAMENTOS, tanto para sistema de abastecimento de água rede sanitária quanto para sistema de esgotamento sanitário. * https://bnccompras.com *</t>
  </si>
  <si>
    <t>LOCAL: https://bnccompras.com/
Nº PROC. ADM: 009/2026
 TIPO CONTRATO: AQUISIÇÃO
 INÍCIO REC. PROPOSTA: 09/04/2026 14:00:00
 FIM REC. PROPOSTA: 23/04/2026 08:00:00
 INÍCIO DISPUTA: 23/04/2026 09:00:00
 CIDADE: SACRAMENTO
 FASE: RECEPÇÃO DE PROPOSTAS
 EXCLUSIVO ME: SIM
 EXCLUSIVO REGIONAL: NÃO
 MODO DE DISPUTA: ABERTO
 TIPO DE LANCE: MENOR LANCE
 FONE PROMOTOR: 3433511422
 E-MAIL PROMOTOR: licitacao@saaesac.mg.gov.br
 CONDUTOR: MARIANE ROSA MOURA
 AUTORIDADE: RAFAEL MENDES
 VALOR ESTIMADO: R$80.980,07
 - Licitação sujeita a confirmação pois não foi informado que trata-se de prorrogação.</t>
  </si>
  <si>
    <t>Prefeitura Municipal de Tapiraí</t>
  </si>
  <si>
    <t>Tapiraí</t>
  </si>
  <si>
    <t>* Registro de preços * * Licitação Eletrônica * [LICITANET] - Registro de preços para futura e eventual aquisição de materiais de limpeza, higiene, utilidades e utensílios de copa e cozinha para atendimento das demandas das Secretarias Municipais de Tapiraí/MG.</t>
  </si>
  <si>
    <t>Unidade compradora: 2189 - MUNICÍPIO DE TAPIRAÍ/MG
Local: Tapiraí/MG
Órgão: MUNICIPIO DE TAPIRAI
Id contratação PNCP: 20920625000189-1-000006/2026
Fonte: Licitanet Licitações Eletrônicas LTDA
 - Número compra: 004 - Pregão - Eletrônico
 - Licitação sujeita a confirmação pois não foi informado que trata-se de prorrogação.</t>
  </si>
  <si>
    <t>Prefeitura Municipal de Rio Novo</t>
  </si>
  <si>
    <t>Rio Novo</t>
  </si>
  <si>
    <t>* Licitação Eletrônica * REGISTRO DE PREÇOS VISANDO A FUTURA E EVENTUAL CONTRATAÇÃO DE
EMPRESA ESPECIALIZADA NO FORNECIMENTO DE CONCRETO USINADO BOMBEAVEL PARA ATENDER AS NECESSIDADES DO DEPARTAMENTO DE OBRAS DO MUNICIPIO DE RIO NOVO-MG, de acordo com as regras e condições dispostas neste Edital. * https://bllcompras.com *</t>
  </si>
  <si>
    <t>LOCAL: https://bllcompras.com/
Nº PROC. ADM: 19/2026
 TIPO CONTRATO: REGISTRO DE PREÇO
 INÍCIO REC. PROPOSTA: 10/04/2026 08:00:00
 FIM REC. PROPOSTA: 27/04/2026 08:00:00
 INÍCIO DISPUTA: 27/04/2026 08:30:00
 CIDADE: RIO NOVO
 FASE: PUBLICADO
 EXCLUSIVO ME: NÃO
 EXCLUSIVO REGIONAL: NÃO
 MODO DE DISPUTA: ABERTO
 TIPO DE LANCE: MENOR LANCE
 FONE PROMOTOR: 3291600388
 E-MAIL PROMOTOR: gabinete@rionovo.mg.gov.br
 CONDUTOR: GISLENE APARECIDA FERREIRA
 AUTORIDADE: GUILHERME DE SOUZA NOGUEIRA
 INFORMACÕES ADICIONAIS: 
 VALOR ESTIMADO: R$723.225,00
 - Licitação sujeita a confirmação pois não foi informado que trata-se de prorrogação.</t>
  </si>
  <si>
    <t>Prefeitura Municipal de Cassilândia</t>
  </si>
  <si>
    <t>Cassilândia</t>
  </si>
  <si>
    <t xml:space="preserve"> O objeto da presente licitação é a contratação de empresa  especializada para a execução de obra OBRA DE REVITALIZAÇÃO DE INFRAESTRUTURA URBANA compreendendo a substituição de pavimentação de passeios, implantação de acessibilidade, instalação de defensas metálicas, recuperação de estruturas metálicas e de madeira e instalação de mobiliário urbano, com fornecimento de material e mão de obra, em atendimento as necessidades da Secretaria Municipal de Infraestrutura do Município de Cassilândia/MS,  * https://bllcompras.com *</t>
  </si>
  <si>
    <t>LOCAL: https://bllcompras.com/
Nº PROC. ADM: FS000043/26
 TIPO CONTRATO: AQUISIÇÃO
 INÍCIO REC. PROPOSTA: 01/04/2026 12:00:00
 FIM REC. PROPOSTA: 22/04/2026 08:59:00
 INÍCIO DISPUTA: 22/04/2026 09:10:00
 CIDADE: CASSILÂNDIA
 FASE: RECEPÇÃO DE PROPOSTAS
 EXCLUSIVO ME: NÃO
 EXCLUSIVO REGIONAL: NÃO
 MODO DE DISPUTA: ABERTO E FECHADO
 TIPO DE LANCE: MENOR LANCE
 FONE PROMOTOR: 6735967419
 E-MAIL PROMOTOR: prefeito@cassilandia.ms.gov.br
 CONDUTOR: JAIME CANDIDO LOPES DO PRADO
 AUTORIDADE: RODRIGO BARBOSA DE FREITAS
 INFORMACÕES ADICIONAIS: 
 VALOR ESTIMADO: R$1.834.868,05
 - Licitação sujeita a confirmação pois não foi informado que trata-se de prorrogação.</t>
  </si>
  <si>
    <t>PE/90020/2025</t>
  </si>
  <si>
    <t>* Licitação Eletrônica * Contratação de empresa que realize serviços de manutenções preventivas e corretivas, calibrações RBC em equipamentos médicos e laboratoriais, com fornecimento de peças caso necessário, visando a manutenção da excelência dos processos analíticos para atender as necessidades do LABORATÓRIO CENTRAL DO PARÁ.</t>
  </si>
  <si>
    <t>Unidade compradora: 926007 - EPA-LABORATÓRIO CENTRAL DO ESTADO
Local: Belém/PA
Órgão: SECRETARIA DE ESTADO DE SAUDE PUBLICA
Id contratação PNCP: 05054929000117-1-000300/2025
Fonte: Compras.gov.br
Havendo divergências entre a descrição do Edital e a descrição do COMPRASNET permanecerá a descrição do Edital e anexos. Para as respostas de esclarecimentos e impugnações deste edital acesse o link: https://cnetmobile.estaleiro.serpro.gov.br/comprasnet-web/public/landing?destino=quadro-informativo&amp;compra=92600705900202025 - Número compra: 90020 - Pregão - Eletrônico
 - Licitação sujeita a confirmação pois não foi informado que trata-se de prorrogação.</t>
  </si>
  <si>
    <t>Prefeitura Municipal de São Miguel do Guamá</t>
  </si>
  <si>
    <t>São Miguel do Guamá</t>
  </si>
  <si>
    <t>* Registro de preços * * Licitação Eletrônica * Aquisição de Materiais de Construção em Geral, Hidráulico, Ferragens, EPI S, Madeira, Tijolos, Telhas, e Elétrico, em atendimento às necessidades da Prefeitura, Secretarias, e Fundos Municipais de São Miguel do Guamá/PA</t>
  </si>
  <si>
    <t>Unidade compradora: 980551 - PREFEITURA MUNICIPAL SÃO MIGUEL DO GUAMÁ - PA
Local: São Miguel do Guamá/PA
Órgão: MUNICIPIO DE SAO MIGUEL DO GUAMA
Id contratação PNCP: 05193073000160-1-000011/2026
Fonte: Compras.gov.br
 Para as respostas de esclarecimentos e impugnações deste edital acesse o link: https://cnetmobile.estaleiro.serpro.gov.br/comprasnet-web/public/landing?destino=quadro-informativo&amp;compra=98055105900032026 - Número compra: 90003 - Pregão - Eletrônico
 - Licitação sujeita a confirmação pois não foi informado que trata-se de prorrogação.</t>
  </si>
  <si>
    <t>Prefeitura Municipal de Santa Maria do Pará</t>
  </si>
  <si>
    <t>Santa Maria do Pará</t>
  </si>
  <si>
    <t>PE/9.2026.00002</t>
  </si>
  <si>
    <t>* Licitação eletrônica * AQUISIÇÃO DE MATERIAL ELÉTRICO PARA   ILUMINAÇÃO PÚBLICA, OBJETIVANDO ATENDER AS NECESSIDADES DA SECRETARIA   MUNICIPAL DE OBRAS, URBANISMO E SANEAMENTO DO MUNICÍPIO DE SANTA MARIA   DO PARÁ/PA</t>
  </si>
  <si>
    <t xml:space="preserve"> Lei n° 14.133/2021  - #9.2026-00002-SRP
Local de Abertura:  SERVIÇO 
 - Licitação sujeita a confirmação pois não foi informado que trata-se de prorrogação.</t>
  </si>
  <si>
    <t>Secretaria Municipal De Saude De Redenção</t>
  </si>
  <si>
    <t>Redenção</t>
  </si>
  <si>
    <t>* Licitação Eletrônica * REGISTRO DE PREÇOS PARA EVENTUAL CONTRATAÇÃO DE EMPRESA PARA FORNECIMENTO DE PRODUTOS DE HIGIENE, LIMPEZA, UTENSÍLIOS DE COPA E COZINHA, DESCARTÁVEIS E EQUIPAMENTOS DE PROTEÇÃO EPIs, ATENDENDO ÀS NECESSIDADES DAS SECRETARIAS MUNICIPAIS DE SAÚDE,...</t>
  </si>
  <si>
    <t>Órgão: Secretaria Municipal de Saúde - Prefeitura Municipal de Redenção - PA
				Processo: 006-REPUBLICADO
				Edital: 032-REPUBLICADO/2026
				Modalidade: Pregão para Registro de Preço
				Início de envio das propostas: 09-04-2026 ás 23:59
				Término de envio das propostas: 23/04/2026 ás 08:30		
				Início dos lances: 23/04/2026 ás 09:00
 - Licitação sujeita a confirmação pois não foi informado que trata-se de prorrogação.</t>
  </si>
  <si>
    <t>Prefeitura Municipal de Princesa Isabel</t>
  </si>
  <si>
    <t>Princesa Isabel</t>
  </si>
  <si>
    <t>* Licitação Eletrônica * Aquisição de Material Construção, para atender as demandas das diversas Secretarias da Prefeitura de Princesa Isabel/PB, Conforme Especificações no termo de referência</t>
  </si>
  <si>
    <t>Órgão: Setor de Licitação - Prefeitura Municipal de Princesa Isabel - PB
				Processo: 034/2026
				Edital: 8/2026
				Modalidade: Pregão
				Início de envio das propostas: 24-03-2026 ás 08:00
				Término de envio das propostas: 16/04/2026 ás 10:59		
				Início dos lances: 16/04/2026 ás 11:00
 - Licitação sujeita a confirmação pois não foi informado que trata-se de prorrogação.</t>
  </si>
  <si>
    <t>SM/7004581467</t>
  </si>
  <si>
    <t>* Licitação Eletrônica * Aquisição de Abraçadeira para andaimes</t>
  </si>
  <si>
    <t>** Esta publicação está sendo informada para os estados PE e RJ onde será realizado o objeto da licitação. Informamos que a publicação oficial é do estado de RJ. **
Regiões: PE 
Inicio: 2026/04/15 - 20:00:00 Término dos lances: 2026/04/15 20:00:00
 - Licitação sujeita a confirmação pois não foi informado que trata-se de prorrogação.</t>
  </si>
  <si>
    <t>Prefeitura Municipal de Curimatá</t>
  </si>
  <si>
    <t>Curimatá</t>
  </si>
  <si>
    <t>* Licitação Eletrônica * CONTRATAÇÃO DE EMPRESA ESPECIALIZADA PARA A PRESTAÇÃO DE SERVIÇOS DE IMPLANTAÇÃO DE SISTEMA DE ABASTECIMENTO DE ÁGUA NO MUNICÍPIO DE CURIMATÁ - PI, EM CONFORMIDADE COM O CONVÊNIO Nº 951712/2023 - ** www.comprasbr.com.br **</t>
  </si>
  <si>
    <t>SM/7004580027</t>
  </si>
  <si>
    <t>* Licitação Eletrônica * Aquisição de Concretos refratários N-1728, conforme as especificações deste documento e de seus adendos.</t>
  </si>
  <si>
    <t>** Esta publicação está sendo informada para os estados PR e RJ onde será realizado o objeto da licitação. Informamos que a publicação oficial é do estado de RJ. **
Regiões: PR RJ 
Inicio: 2026/04/15 - 20:00:00 Término dos lances: 2026/04/15 20:00:00
 - Licitação sujeita a confirmação pois não foi informado que trata-se de prorrogação.</t>
  </si>
  <si>
    <t>Prefeitura Municipal de Arapongas</t>
  </si>
  <si>
    <t>Arapongas</t>
  </si>
  <si>
    <t>* Registro de preços * * Licitação Eletrônica * Registro de Preço para aquisição de equipamentos Médico/Hospitalar, em atendimento a Secretaria Municipal de Saúde.</t>
  </si>
  <si>
    <t>Unidade compradora: 987427 - PREFEITUA MUNICIPAL DE ARAPONGAS - PR
Local: Arapongas/PR
Órgão: MUNICIPIO DE ARAPONGAS
Id contratação PNCP: 76958966000106-1-000084/2026
Fonte: Compras.gov.br
 Para as respostas de esclarecimentos e impugnações deste edital acesse o link: https://cnetmobile.estaleiro.serpro.gov.br/comprasnet-web/public/landing?destino=quadro-informativo&amp;compra=98742705900232026 - Número compra: 90023 - Pregão - Eletrônico
 - Licitação sujeita a confirmação pois não foi informado que trata-se de prorrogação.</t>
  </si>
  <si>
    <t>Prefeitura Municipal de Enéas Marques</t>
  </si>
  <si>
    <t>Enéas Marques</t>
  </si>
  <si>
    <t>* Licitação Eletrônica * Registro de preços para futura e parcelada aquisição de artefatos de cimento tubo para obras de drenagem pluvial, galerias, bueiros, bocas de lobo e tubulações para impedir alagamentos em trechos críticos e adequação de passagens de veículos por vias do município, de acordo com as especificações, quantidades estimadas e condições constantes neste instrumento * https://bllcompras.com *</t>
  </si>
  <si>
    <t>LOCAL: https://bllcompras.com/
Nº PROC. ADM: 19/2026
 TIPO CONTRATO: REGISTRO DE PREÇO
 INÍCIO REC. PROPOSTA: 10/04/2026 08:00:00
 FIM REC. PROPOSTA: 24/04/2026 08:00:00
 INÍCIO DISPUTA: 24/04/2026 08:30:00
 CIDADE: ENÉAS MARQUES
 FASE: PUBLICADO
 EXCLUSIVO ME: NÃO
 EXCLUSIVO REGIONAL: NÃO
 MODO DE DISPUTA: ABERTO
 TIPO DE LANCE: MENOR LANCE
 FONE PROMOTOR: 4635442112
 E-MAIL PROMOTOR: adm.eneas@gmail.com
 CONDUTOR: AMANDA MORCELLI FIORENTIN
 AUTORIDADE: EDSON LUPATINI
 INFORMACÕES ADICIONAIS: 
 VALOR ESTIMADO: R$1.281.016,60
 - Licitação sujeita a confirmação pois não foi informado que trata-se de prorrogação.</t>
  </si>
  <si>
    <t>Prefeitura Municipal de Rio Azul</t>
  </si>
  <si>
    <t>Rio Azul</t>
  </si>
  <si>
    <t>* Licitação Eletrônica * REGISTRO DE PREÇOS PARA AQUISIÇÕES FUTURAS E PARCELADAS DE MATERIAIS PARA A MANUTENÇÃO DA ILUMINAÇÃO PÚBLICA * https://bllcompras.com *</t>
  </si>
  <si>
    <t>LOCAL: https://bllcompras.com/
Nº PROC. ADM: 21/2026
 TIPO CONTRATO: REGISTRO DE PREÇO
 INÍCIO REC. PROPOSTA: 13/03/2026 08:00:00
 FIM REC. PROPOSTA: 30/04/2026 07:59:00
 INÍCIO DISPUTA: 30/04/2026 08:30:00
 CIDADE: RIO AZUL
 FASE: RECEPÇÃO DE PROPOSTAS
 EXCLUSIVO ME: NÃO
 EXCLUSIVO REGIONAL: NÃO
 MODO DE DISPUTA: ABERTO E FECHADO
 TIPO DE LANCE: MENOR LANCE
 FONE PROMOTOR: 4234631122
 E-MAIL PROMOTOR: licitacao@rioazul.pr.gov.br
 CONDUTOR: CARLA FLAIANE DA SILVA
 AUTORIDADE: LEANDRO JASINSKI
 INFORMACÕES ADICIONAIS: 
 VALOR ESTIMADO: R$1.590.977,62
 - Licitação sujeita a confirmação pois não foi informado que trata-se de prorrogação.</t>
  </si>
  <si>
    <t>SM/7004574452</t>
  </si>
  <si>
    <t>* Licitação Eletrônica * Aquisi¢ao de Bomba alternativa nao normalizada, conforme as especificações deste documento e de seus adendos.</t>
  </si>
  <si>
    <t>Regiões: RJ 
Inicio: 2026/04/15 - 17:00:00 Término dos lances: 2026/04/15 17:00:00
 - Licitação sujeita a confirmação pois não foi informado que trata-se de prorrogação.</t>
  </si>
  <si>
    <t>SM/7004547752</t>
  </si>
  <si>
    <t>* Licitação Eletrônica * Catalisador Adsorvente para Remoção de COS e Arsina para as Unidades de Propeno do Refino, conforme as especificações deste documento e de seus adendos</t>
  </si>
  <si>
    <t>** Esta publicação está sendo informada para os estados SP e RJ onde será realizado o objeto da licitação. Informamos que a publicação oficial é do estado de RJ. **
Regiões: SP 
Inicio: 2026/04/24 - 12:00:00 Término dos lances: 2026/04/24 12:00:00
 - Licitação sujeita a confirmação pois não foi informado que trata-se de prorrogação.</t>
  </si>
  <si>
    <t>SM/7004582496</t>
  </si>
  <si>
    <t>* Licitação Eletrônica * Aquisição de Carregador industrial estacionário, conforme as especificações deste documento e de seus adendos</t>
  </si>
  <si>
    <t>** Esta publicação está sendo informada para os estados SP e RJ onde será realizado o objeto da licitação. Informamos que a publicação oficial é do estado de RJ. **
Regiões: SP 
Inicio: 2026/04/15 - 17:00:00 Término dos lances: 2026/04/15 17:00:00
 - Licitação sujeita a confirmação pois não foi informado que trata-se de prorrogação.</t>
  </si>
  <si>
    <t>MINISTÉRIO DA DEFESA - Comando da Marinha - Comando de Operações Navais - Comando da Força de Fuzileiros da Esquadra - Base de Fuzileiros Navais da Ilha de Governador</t>
  </si>
  <si>
    <t>PE/90004/2025</t>
  </si>
  <si>
    <t>* Registro de preços * * Licitação Eletrônica * Aquisição de materiais, insumos e equipamentos de hidráulica, carpintaria, metalurgia e obra.</t>
  </si>
  <si>
    <t>Unidade compradora: 795180 - BASE DE FUZILEIROS NAVAIS ILHA DO GOVERN./RJ
Local: Rio de Janeiro/RJ
Órgão: COMANDO DA MARINHA
Id contratação PNCP: 00394502000144-1-014065/2025
Fonte: Compras.gov.br
 Para as respostas de esclarecimentos e impugnações deste edital acesse o link: https://cnetmobile.estaleiro.serpro.gov.br/comprasnet-web/public/landing?destino=quadro-informativo&amp;compra=79518005900042025 - Número compra: 90004 - Pregão - Eletrônico
 - Licitação sujeita a confirmação pois não foi informado que trata-se de prorrogação.</t>
  </si>
  <si>
    <t>SM/7004585357</t>
  </si>
  <si>
    <t>* Licitação Eletrônica *  Aquisição de Transmissor de Temperatura Analógico, 3 fios Simples, Haste do Sensor de 60 mm</t>
  </si>
  <si>
    <t>Regiões: RJ 
Inicio: 2026/04/17 - 17:00:00 Término dos lances: 2026/04/17 17:00:00
 - Licitação sujeita a confirmação pois não foi informado que trata-se de prorrogação.</t>
  </si>
  <si>
    <t>Prefeitura Municipal de Mangaratiba</t>
  </si>
  <si>
    <t>Mangaratiba</t>
  </si>
  <si>
    <t>* Registro de preços * * Licitação Eletrônica * Registro de Preços para a Contratação de empresa para o fornecimento parcelado de MATERIAL DE CORRELATOS, nos moldes da justificativa no Estudo Técnico preliminar e Termo de Referência.</t>
  </si>
  <si>
    <t>Unidade compradora: 26415 - Prefeitura Municipal de Mangaratiba
Local: Mangaratiba/RJ
Órgão: MUNICIPIO DE MANGARATIBA
Id contratação PNCP: 29138310000159-1-000056/2026
Fonte: BR Conectado
 - Número compra: 009/2026 REMARCAÇÃO - Pregão - Eletrônico
 - Licitação sujeita a confirmação pois não foi informado que trata-se de prorrogação.</t>
  </si>
  <si>
    <t>Prefeitura Municipal de Rio Grande</t>
  </si>
  <si>
    <t>Rio Grande</t>
  </si>
  <si>
    <t>* Licitação Eletrônica * Aquisição de materiais de sinalização para uso da SMMAS, com fornecimento parcelado. * https://bllcompras.com *</t>
  </si>
  <si>
    <t>LOCAL: https://bllcompras.com/
Nº PROC. ADM: 44930/2025
 TIPO CONTRATO: REGISTRO DE PREÇO
 INÍCIO REC. PROPOSTA: 27/03/2026 08:00:00
 FIM REC. PROPOSTA: 28/04/2026 08:15:00
 INÍCIO DISPUTA: 28/04/2026 08:30:00
 CIDADE: RIO GRANDE
 FASE: RECEPÇÃO DE PROPOSTAS
 EXCLUSIVO ME: NÃO
 EXCLUSIVO REGIONAL: NÃO
 MODO DE DISPUTA: ABERTO
 TIPO DE LANCE: MENOR LANCE
 FONE PROMOTOR: 5332336060
 E-MAIL PROMOTOR: pregaorg@gmail.com
 CONDUTOR: INGRID CUNHA FERREIRA
 AUTORIDADE: LEANDRO PEREIRA CARDOZO
 INFORMACÕES ADICIONAIS: 
 VALOR ESTIMADO: R$2.359.459,05
 - Licitação sujeita a confirmação pois não foi informado que trata-se de prorrogação.</t>
  </si>
  <si>
    <t>MINISTÉRIO DA DEFESA - Comando do Exército - Comando Militar do Sul - 3ª Região Militar - Hospital Geral de Porto Alegre</t>
  </si>
  <si>
    <t>* Registro de preços * * Licitação Eletrônica * Aquisição de material médico-hospitalar para a Central de Abastecimento Farmacêutico do Hospital Militar de Área de Porto Alegre - HMAPA, incluindo comodato de equipamento.</t>
  </si>
  <si>
    <t>Unidade compradora: 160399 - HOSPITAL MILITAR DE ÁREA DE PORTO ALEGRE
Local: Porto Alegre/RS
Órgão: COMANDO DO EXERCITO
Id contratação PNCP: 00394452000103-1-005578/2026
Fonte: Compras.gov.br
 Para as respostas de esclarecimentos e impugnações deste edital acesse o link: https://cnetmobile.estaleiro.serpro.gov.br/comprasnet-web/public/landing?destino=quadro-informativo&amp;compra=16039905900032026 - Número compra: 90003 - Pregão - Eletrônico
 - Licitação sujeita a confirmação pois não foi informado que trata-se de prorrogação.</t>
  </si>
  <si>
    <t>Prefeitura Municipal de Capitão</t>
  </si>
  <si>
    <t>Capitão</t>
  </si>
  <si>
    <t>* Licitação Eletrônica * Registro de Preços para aquisição sob demanda de Artefatos de Cimento e Correlatos</t>
  </si>
  <si>
    <t>Órgão: Prefeitura Municipal de Capitão - Prefeitura Municipal de Capitão - RS
				Processo: 164/2026
				Edital: 5/2026
				Modalidade: Pregão para Registro de Preço
				Início de envio das propostas: 08-04-2026 ás 16:30
				Término de envio das propostas: 23/04/2026 ás 08:15		
				Início dos lances: 23/04/2026 ás 08:16
 - Licitação sujeita a confirmação pois não foi informado que trata-se de prorrogação.</t>
  </si>
  <si>
    <t xml:space="preserve"> A presente licitação tem por objetivo a contratação de empresa do ramo pertinente para execução das obras de "Terraplenagem, Pavimentação em Lajotas de Concreto e Drenagem Pluvial da Rua de Acesso ao Cemitério da Comunidade de km 107, com extensão total de 242,21 m", conforme projeto, especificações técnicas, normas da ABNT e demais condições estabelecidas neste Termo de Referência, Memorial Descritivo, Planilha Orçamentária e Cronograma anexos. * https://bnccompras.com *</t>
  </si>
  <si>
    <t>LOCAL: https://bnccompras.com/
Nº PROC. ADM: 050/PMLM/2026
 TIPO CONTRATO: AQUISIÇÃO
 INÍCIO REC. PROPOSTA: 08/04/2026 13:30:00
 FIM REC. PROPOSTA: 24/04/2026 09:30:00
 INÍCIO DISPUTA: 24/04/2026 10:00:00
 CIDADE: LAURO MULLER
 FASE: RECEPÇÃO DE PROPOSTAS
 EXCLUSIVO ME: NÃO
 EXCLUSIVO REGIONAL: NÃO
 MODO DE DISPUTA: ABERTO
 TIPO DE LANCE: MENOR LANCE
 FONE PROMOTOR: 4834643122
 E-MAIL PROMOTOR: prefeito@lauromuller.sc.gov.br
 CONDUTOR: GABRIELA SILVA DO AMARAL COAN
 AUTORIDADE: VALDIR FONTANELLA
 VALOR ESTIMADO: R$165.747,99
 - Licitação sujeita a confirmação pois não foi informado que trata-se de prorrogação.</t>
  </si>
  <si>
    <t>Prefeitura Municipal de Sombrio</t>
  </si>
  <si>
    <t>Sombrio</t>
  </si>
  <si>
    <t>* Licitação Eletrônica * O objeto da presente licitação é a aquisição de tintas para sinalização viária horizontal para o Departamento Municipal de Trânsito de Sombrio - SC, conforme condições, quantidades e exigências estabelecidas neste Edital e seus anexos.</t>
  </si>
  <si>
    <t>Órgão: Prefeitura Municipal de Sombrio - Prefeitura Municipal de Sombrio - SC
				Processo: 37/2026
				Edital: 37/2026
				Modalidade: Pregão
				Início de envio das propostas: 09-04-2026 ás 08:00
				Término de envio das propostas: 23/04/2026 ás 08:59		
				Início dos lances: 23/04/2026 ás 09:00
 - Licitação sujeita a confirmação pois não foi informado que trata-se de prorrogação.</t>
  </si>
  <si>
    <t>Prefeitura Municipal de Canelinha</t>
  </si>
  <si>
    <t>Canelinha</t>
  </si>
  <si>
    <t>* Licitação Eletrônica * O presente Pregão Eletrônico tem por objeto, a aquisição de Agregados Minerais Areias, Britas, Rachão, Pó de Pedra e Bica Corrida a serem fornecidos em metros cúbicos M³, conforme especificações e quantidades descritas nos anexos do Edital.</t>
  </si>
  <si>
    <t>Órgão: Prefeitura Municipal de Canelinha - Prefeitura Municipal de Canelinha - SC
				Processo: 21/PMC/2026
				Edital: 11/2026
				Modalidade: Pregão para Registro de Preço
				Início de envio das propostas: 10-04-2026 ás 07:00
				Término de envio das propostas: 24/04/2026 ás 08:20		
				Início dos lances: 24/04/2026 ás 08:30
 - Licitação sujeita a confirmação pois não foi informado que trata-se de prorrogação.</t>
  </si>
  <si>
    <t>* Registro de preços * * Licitação Eletrônica * REGISTRO DE PREÇOS PARA FUTURA AQUISIÇÃO DE INSUMOS MATERIAIS DE CONSTRUÇÃO, ELÉTRICOS, HIDRÁULICOS E TINTAS DESTINADOS À MANUTENÇÃO DOS PRÉDIOS PÚBLICOS, PRÓPRIOS OU LOCADOS, QUE ABRIGAM AS SECRETARIAS, FUNDAÇÕES, AUTARQUIAS E DA PREFEITURA MUNICIPAL DE BALNEÁRIO PIÇARRAS.</t>
  </si>
  <si>
    <t>AVISO DE REPUBLICAÇÃO
PROCESSO LICITATÓRIO Nº 023/2026 - PMBP
PREGÃO ELETRÔNICO Nº 009/2026 - PMBP
O Município de Balneário Piçarras/SC comunica que o Edital da
licitação supracitada, que tem por objeto o registro de preços para
futura aquisição de insumos materiais de construção, elétricos,
hidráulicos e tintas destinados à manutenção dos prédios pú-
blicos, publicado no DOE/SC, no dia 06/04/2026, edição nº 22728,
matéria nº 1172551, foi REPUBLICADO. Valor de referência: R$
1.906.841,32. Recebimento das propostas: 08h do dia 09/04/2026
até as 08h29min do dia 22/04/2026. Data/horário da abertura da
sessão pública: 08h30min do dia 22/04/2026. Local: Portal do
Compras Públicas -- www. portaldecompraspublicas.com.br. O edital
na íntegra encontra-se disponível no site balneariopicarras.atende.
net. Registrado no TCE sob o nº C1071C8AE29A45BB2DCCF-
C59ADBE75655BB4D993. Balneário Piçarras SC, 07 de abril de
2026. Marcio da Rosa - Secretário Municipal de Administração
e Gestão Interna.
Cod. Mat.: 1173635</t>
  </si>
  <si>
    <t>Fundo Municipal de Saúde de Simão Dias</t>
  </si>
  <si>
    <t>Simão Dias</t>
  </si>
  <si>
    <t>* Registro de preços * * Licitação Eletrônica * [LICITANET] - REGISTRO DE PREÇO PARA FUTURA E EVENTUAL AQUISIÇÃO DE EQUIPAMENTOS HOSPITALARES, LABORATORIAIS, FISIOTERAPICOS PARA ATENDER AS NECESSIDADES DO FUNDO MUNICIPAL DE SAÚDE DE SIMÃO DIAS, SERGIPE.</t>
  </si>
  <si>
    <t>Unidade compradora: 340 - FUNDO MUNICIPAL DE SAÚDE DE MUNICÍPIO DE SIMÃO DIAS/SE
Local: Simão Dias/SE
Órgão: FUNDO MUNICIPAL DE SAUDE DE MUNICIPIO DE SIMAO DIAS
Id contratação PNCP: 11634081000106-1-000018/2026
Fonte: Licitanet Licitações Eletrônicas LTDA
 - Número compra: 005 - Pregão - Eletrônico
 - Licitação sujeita a confirmação pois não foi informado que trata-se de prorrogação.</t>
  </si>
  <si>
    <t>Prefeitura Municipal de Itaquaquecetuba</t>
  </si>
  <si>
    <t>Itaquaquecetuba</t>
  </si>
  <si>
    <t xml:space="preserve">* Registro de preços * * Licitação Eletrônica * AQUISICAO DE MATERIAL DE LIMPEZA </t>
  </si>
  <si>
    <t>Unidade compradora: 1 - Prefeitura Municipal de Itaquaquecetuba
Local: Itaquaquecetuba/SP
Órgão: MUNICIPIO DE ITAQUAQUECETUBA
Id contratação PNCP: 46316600000164-1-000024/2026
Fonte: CONAM Consultoria em Administração Municipal
 - Número compra: 90005 - Pregão - Eletrônico
 - Licitação sujeita a confirmação pois não foi informado que trata-se de prorrogação.</t>
  </si>
  <si>
    <t>Prefeitura Municipal de Vargem Grande do Sul</t>
  </si>
  <si>
    <t>Vargem Grande do Sul</t>
  </si>
  <si>
    <t>* Registro de preços * * Licitação Eletrônica * [Portal de Compras Públicas] - Registro de preços visando a aquisições de insumos de enfermagem destinados para suprir as demandas de abastecimento das Unidades Básicas de Saúde e Posto de Pronto Atendimento do Município, pelo período de 12 doze meses.</t>
  </si>
  <si>
    <t>Unidade compradora: 5176 - Prefeitura Municipal de Vargem Grande do Sul
Local: Vargem Grande do Sul/SP
Órgão: MUNICIPIO DE VARGEM GRANDE DO SUL
Id contratação PNCP: 46248837000155-1-000941/2026
Fonte: ECustomize Consultoria em Software S.A
 - Número compra: 28 - Pregão - Eletrônico
 - Licitação sujeita a confirmação pois não foi informado que trata-se de prorrogação.</t>
  </si>
  <si>
    <t>Serviço Autônomo de Água Esgoto de Ituverava</t>
  </si>
  <si>
    <t>Ituverava</t>
  </si>
  <si>
    <t>* Licitação Eletrônica * REFORMA E READEQUAÇÃO DA ETE DE SÃO BENEDITO DA CACHOEIRINHA, CONFORME CONTRATO COM O FEHIDRO N 351/2025</t>
  </si>
  <si>
    <t>Unidade compradora: 1 - SERVIÇO AUTÔNOMO DE ÁGUA E ESGOTO DE ITUVERAVA
Local: Ituverava/SP
Órgão: SERVICO AUTONOMO DE AGUA E ESGOTOS
Id contratação PNCP: 46709309000156-1-000113/2026
Fonte: SMARAPD INFORMATICA LTDA
 - Número compra: 005 - Pregão - Eletrônico
 - Licitação sujeita a confirmação pois não foi informado que trata-se de prorrogação.</t>
  </si>
  <si>
    <t>Prefeitura Municipal de Brotas</t>
  </si>
  <si>
    <t>Brotas</t>
  </si>
  <si>
    <t>* Registro de preços * * Licitação Eletrônica * Recompositor de pista massa asfáltica usinada a quente para aplicação a frio a base de CAP 50/70, acondicionado em sacos de rafia de 25 kg, não emulsionado, pelo período de 12 doze meses.</t>
  </si>
  <si>
    <t>Unidade compradora: 2 - Prefeitura Municipal da Estância Turística de Brotas
Local: Brotas/SP
Órgão: MUNICIPIO DE BROTAS
Id contratação PNCP: 46362927000172-1-000244/2026
Fonte: Grupo Assessor
 - Número compra: 21 - Pregão - Eletrônico
 - Licitação sujeita a confirmação pois não foi informado que trata-se de prorrogação.</t>
  </si>
  <si>
    <t>Prefeitura Municipal de Avelinópolis</t>
  </si>
  <si>
    <t>Avelinópolis</t>
  </si>
  <si>
    <t>Registro de Preços para futura e eventual contratação de empresa para o fornecimento, sob demanda, de materiais de construção, conforme especificações constantes nas planilhas e no Termo de Referência - Anexo I do Edital.</t>
  </si>
  <si>
    <t>AVISO DE alteração
PREGÃO PRESENCIAL Nº 3/2026
O Município de Avelinópolis/GO torna público que a sessão do Pregão Presencial nº 003/2026 fica remarcada para o dia 22/04/2026, no mesmo horário e local anteriormente estabelecidos no edital, permanecendo inalteradas as demais condições.</t>
  </si>
  <si>
    <t>MINISTÉRIO DA EDUCAÇÃO - Instituto Federal de Educação, Ciência e Tecnologia do Norte de Minas Gerais</t>
  </si>
  <si>
    <t>CR/90005/2025</t>
  </si>
  <si>
    <t>* Licitação Eletrônica * Contratação de obras de sistema de abastecimento de água do Rio Jequitinhonha para o IFNMG Campus Almenara.</t>
  </si>
  <si>
    <t>AVISO DE ALTERAÇÃO
CONCORRÊNCIA Nº 90005/2025
Comunicamos que o edital da licitação supracitada, publicada no D.O.U de
25/03/2026 foi alterado. Objeto: Contratação de obras de sistema de abastecimento de água
do Rio Jequitinhonha para o IFNMG Campus Almenara. Total de Itens Licitados: 00001 Novo
Edital: 09/04/2026 das 08h00 às 12h00 e de13h00 às 17h00. Endereço: Rodovia Br 367, Km 07
Zona Rural - ALMENARA - MG. Entrega das Propostas: a partir de 09/04/2026 às 08h00 no site
www.comprasnet.gov.br. Abertura das Propostas: 27/04/2026, às 08h00 no site
www.comprasnet.gov.br.
DANIELE LOPES RIBEIRO
Coordenadora de Compras, Contratos e Convênios</t>
  </si>
  <si>
    <t>Prefeitura Municipal de Serra Negra do Norte</t>
  </si>
  <si>
    <t>Serra Negra do Norte</t>
  </si>
  <si>
    <t>* Licitação Eletrônica * CONTRATAÇÃO DE PESSOA JURÍDICA PARA AQUISIÇÃO GRADATIVA DE EQUIPAMENTOS ELETROELETRÔNICOS, ELETRODOMÉSTICOS E AFINS</t>
  </si>
  <si>
    <t>Órgão: Municipio de Serra Negra do Norte - Prefeitura Municipal de Serra Negra do Norte - RN
				Processo: 26789
				Edital: 009/2026
				Modalidade: Pregão para Registro de Preço
				Início de envio das propostas: 09-04-2026 ás 08:00
				Término de envio das propostas: 22/04/2026 ás 08:00		
				Início dos lances: 22/04/2026 ás 08:30
 - Licitação sujeita a confirmação pois não foi informado que trata-se de prorrogação.</t>
  </si>
  <si>
    <t>Prefeitura Municipal de Arealva</t>
  </si>
  <si>
    <t>Arealva</t>
  </si>
  <si>
    <t>* Licitação eletrônica * Registro de Preços para a Aquisição de Massa Asfáltica - CBUQ, conforme especificações constantes do Termo de Referência, que integra este Edital como Anexo I.</t>
  </si>
  <si>
    <t xml:space="preserve">Arealva Republicação Abertura do Pregão Presencial nº 022/2026. AVISO DE REPUBLICAÇÃO PREGÃO ELETRÔNICO Nº 022/2026 PROCESSO ADMINISTRATIVO N° 042/2026 OBJETO: A presente licitação tem por objeto, o Registro de Preços para a Aquisição de Massa Asfáltica - CBUQ, conforme especificações constantes do Termo de Referência, que integra este Edital como Anexo I. DATA E HORA DA SESSÃO PÚBLICA: 17/04/2026 às 08h30 horário de Brasília. CRITÉRIO DE JULGAMENTO: Menor preço MODO DE DISPUTA: Aberto AMOSTRA: Não PREFERÊNCIA ME/EPP/EQUIPARADAS: Sim LINK: SCPI Portal de Compras https://scpi.arealva.sp.gov.br:5885/comprasedital/ AREALVA, 06 DE ABRIL DE 2026. PAULO JULIANO NICOLIELO JUNIOR PREFEITO MUNICIPAL DE AREALVA </t>
  </si>
  <si>
    <t>* Licitação Eletrônica * REGISTRO DE PREÇO PARA FUTURA E EVENTUAL AQUISIÇÃO DE CBUQ - CONCRETO BETUMINOSO USINADO A QUENTE E EMULSÃO ASFÁLTICA, PARA ATENDER AS NECESSIDADES DA SECRETARIA MUNICIPAL DE SERVIÇOS URBANOS DE QUIRINÓPOLIS- * https://bnccompras.com *</t>
  </si>
  <si>
    <t>LOCAL: https://bnccompras.com/
Nº PROC. ADM: 8635/2026
 TIPO CONTRATO: REGISTRO DE PREÇO
 INÍCIO REC. PROPOSTA: 17/03/2026 15:20:00
 FIM REC. PROPOSTA: 23/04/2026 09:00:00
 INÍCIO DISPUTA: 23/04/2026 09:01:00
 CIDADE: QUIRINÓPOLIS
 FASE: RECEPÇÃO DE PROPOSTAS
 EXCLUSIVO ME: NÃO
 EXCLUSIVO REGIONAL: NÃO
 MODO DE DISPUTA: ABERTO
 TIPO DE LANCE: MENOR LANCE
 FONE PROMOTOR: 6436519100
 E-MAIL PROMOTOR: licitaquiri2017@gmail.com
 CONDUTOR: MAURO FERNANDO MARTINS FERREIRA BAILAO
 AUTORIDADE: CLERISTON BORGES ARAÚJO
 VALOR ESTIMADO: R$9.481.987,20
 - Licitação sujeita a confirmação pois não foi informado que trata-se de prorrogação.</t>
  </si>
  <si>
    <t>Prefeitura Municipal de Leopoldina</t>
  </si>
  <si>
    <t>Leopoldina</t>
  </si>
  <si>
    <t>* Registro de preços * * Licitação Eletrônica * Registro de preço para futura e eventual contratação de empresa para contratação de empresa para aquisição de material Hidráulico para atendimento às necessidades das Secretarias Municipais de Saúde; Obras, Educação; Assistência Social e Serviços Urbanos.</t>
  </si>
  <si>
    <t xml:space="preserve"> ESTADO DE MINAS GERAIS PREFEITURA DE LEOPOLDINA PREFEITURA DE LEOPOLDINA O MUNICÍPIO DE LEOPOLDINA - UASG 984767. PREGÃO ELETRÔNICO Nº 12/2026, PRC 15/2026. Objeto: O presente instrumento tem por objeto registro de preço para futura e eventual contratação de empresa para aquisição de material Hidráulico para atendimento às necessidades das Secretarias Municipais de Saúde; Obras, Educação; Assistência Social e Serviços Urbanos. REABERTURA DA LICITAÇÃO. Dia da Licitação: 28/04/2025, às 10:00 horas. Local: www.compras.gov.br . O edital encontra-se disponível no endereço indicado e também no site www.leopoldina.mg.gov.br , link Licitação. Maria da Penha Estevão - Agente de Contratação. Leopoldina, 08 de abril de 2026.  Publicado por: Gisele do Nascimento Código Identificador:B2CC9668 Matéria publicada no Diário Oficial dos Municípios Mineiros no dia 09/04/2026. Edição 4250 </t>
  </si>
  <si>
    <t>Serviço Nacional de Aprendizagem Industrial – SENAI – Departamento Regional do Pará</t>
  </si>
  <si>
    <t>SM/22/2026</t>
  </si>
  <si>
    <t xml:space="preserve">* Chamada Pública * aquisição de material para curso de habilitação técnica em nível médio ofertados pelo Departamento Regional do Pará equipamento, mobiliário, veículo, móvel, e semelhantes  </t>
  </si>
  <si>
    <t>CHAMAMENTO PÚBLICO
SELEÇÃO COM DISPUTA NA FORMA FECHADA N° 022/2026 - RETIFICADO
Processo N° 022/2026
Órgãos e/ou das Entidades Selecionadoraess:
SENAI-DR/PA
Critério: Econômico pelo menor preço por
item
Procedimento: Presencial
Data da reunião pública: 28/04/2026 Horário: 15:00hs.
Local: Travessa Quintino Bocaiúva, nº 1588, Bloco "b", 5º andar, Edifício Afonso Lima, Bairro de Nazaré,
CEP 66.035-190
Fone: 91 4009-4940
E-mail: comissao@sesipa.org.b</t>
  </si>
  <si>
    <t>DETRAN - Departamento Estadual de Trânsito</t>
  </si>
  <si>
    <t>PE/90039/2025</t>
  </si>
  <si>
    <t>* Licitação Eletrônica * Aquisição de Material de Consumo e Permanentes, sendo Material de Consumo simulador de Pele Humana Com Queimaduras, Kit de Ataduras e esparadrapo, Kit de primeiros socorros, KIT Torniquete , Kit emergência de transporte de produtos perigosos, Kit de placas de identificação de produtos perigosos, Multímetro Digital, Chave De Roda, Kit Obra conjunto de EPI, Kit de Educação no Trânsito e flashcards de Placas, Óculos simuladores dos efeitos do uso de Droga, Álcool, Sono, Ócu</t>
  </si>
  <si>
    <t>ADENDO
ADENDO MODIFICADOR N. I
Pregão Eletrônico n. 90039/2025/DETRAN/RO
Processo n. 0010.011531/2025-75
Objeto: Aquisição de Material de Consumo e Permanentes, sendo Material de Consumo simulador de Pele
Humana Com Queimaduras, Kit de Ataduras e esparadrapo, Kit de primeiros socorros, KIT Torniquete , Kit emergência
de transporte de produtos perigosos, Kit de placas de identificação de produtos perigosos, Multímetro Digital, Chave De
Roda, Kit Obra conjunto de EPI, Kit de Educação no Trânsito e flashcards de Placas, Óculos simuladores dos efeitos do
uso de Droga, Álcool, Sono, Óculos de realidade virtual, Assento de elevação e Cadeirinha infantil para automóvel,
Extintor de Incêndio, Material Permanente: Manequim tórax e de bebê para simulação em RCP, Macaco Hidráulico,
conforme especificações estabelecidas no Termo de Referência.
O Departamento Estadual de Trânsito de Rondônia - Detran/RO torna público, para conhecimento de todos os
interessados, em especial das empresas que participarão do Pregão Eletrônico n. 90039/2025, que, em razão de
pedido de esclarecimento solicitado por empresa interessada, o setor requisitante constatou a necessidade de realizar
alguns ajustes no termo de referência - anexo I do edital. Dessa forma, foi elaborado adendo modificador, alterando o
edital e seus anexos, destacando as seguintes alterações:
1. Alteração no item 1.3 do termo de referência - anexo I do edital - especificação técnica do item 18 óculos simulador.
Diante do exposto e considerando que tais alterações afetam diretamente a formulação das propostas dos
eventuais licitantes e, ainda, em atendimento ao § 1º, do Art. 55, da Lei n. 14.133/2021, será reaberto o prazo
inicialmente estabelecido, ficando marcada a abertura do certame licitatório em epígrafe para o dia
27/4/2026, às 10h horário de Brasília - DF.
Quarta-feira, 8 de abril de 2026</t>
  </si>
  <si>
    <t>Prefeitura Municipal de Ariquemes</t>
  </si>
  <si>
    <t>Ariquemes</t>
  </si>
  <si>
    <t>PE/90133/2025</t>
  </si>
  <si>
    <t>* Registro de preços * * Licitação Eletrônica * Registro de Preço para futura e eventual Aquisição de Materiais de Informática Parte II, para atender as secretarias municipais pertencentes à Prefeitura Municipal de Ariquemes/RO, por um período de 12 doze meses.</t>
  </si>
  <si>
    <t>AVISO DE ADENDO MODIFICADOR
PREGÃO ELETRONICO Nº 90133/2025/PREGÃO/SML/PMA
PROCESSO ADM. Nº 6587/SEMED/2025
MODO DE DISPUTA: ABERTO - UASG: 450522
LICITAÇÃO COM AMPLA PARTICIPAÇÃO E RESERVA DE COTAS
O Pregoeiro no uso de suas atribuições legais que lhe são conferidas, instituído pelo Decreto nº. 23.384 de 07 de
janeiro de 2026, torna público que esta RETIFICANDO, através deste ADENDO da licitação denominada PREGÃO
ELETRONICO Nº 90133/2025 do tipo Menor Preço por ITEM. Em razão do Pedido de Impugnação / Esclarecimento,
sendo adequado as especificações do objeto item 54, FICANDO a ABERTURA DA SESSÃO PÚBLICA para o dia
27/04/2026 às 09h00min. Horário de Brasília, em cumprimento ao disposto no Art. 55 § 1º da Lei 14.133/2021, ficam
inalteradas as demais exigências condições no Edital. A retirada do edital está disponível no site www.gov.br e
www.ariquemes.ro.gov.br/portaltransparencia, sendo que a sessão pública será pelo site www.gov.br. Maiores
informações através do telefone 69 3516-2020 e/ou do e-mail pregaopma@hotmail.com.
Ariquemes RO, 08 de abril de 2026.</t>
  </si>
  <si>
    <t>Serviço Autônomo Municipal de Água e Esgoto de Jaraguá do Sul</t>
  </si>
  <si>
    <t>PE/139/2025</t>
  </si>
  <si>
    <t>* Licitação Eletrônica * AQUISIÇÃO DE  ESTAÇÕES ELEVATÓRIAS COMPACTAS, ESTAÇÃO ELEVATÓRIA DE ESGOTO COMPACTA E  ELEVATÓRIA DE ESGOTO EM LINHA * https://jornaldolicitante.com.br *</t>
  </si>
  <si>
    <t>Segmento: Engenharia
 - Licitação sujeita a confirmação pois não foi informado que trata-se de prorrogação.</t>
  </si>
  <si>
    <t>Prefeitura Municipal de Itanhaém</t>
  </si>
  <si>
    <t>Itanhaém</t>
  </si>
  <si>
    <t>PE/115/2025</t>
  </si>
  <si>
    <t>* Licitação Eletrônica * Locação de Kits de concentradores de oxigênio e recarga de cilindros Backup de 8 m3 de Oxigenio gasoso Medicinal com pureza maior ou igual 99% para atender ao município de Itanhaém * https://sistema.novobbmnet.com.br *</t>
  </si>
  <si>
    <t xml:space="preserve"> Prefeitura Municipal de Itanhaém - Itanhaém AVISO DE SUSPENSÃO PE 115R/2025 PREFEITURA MUNICIPAL DE ITANHAÉMAVISO DE SUSPENSÃO DE LICITAÇÃO - PREGÃO ELETRÔNICO 115R/2025A Prefeitura Municipal da Estância Balneária de Itanhaém o Pregão Eletrônico nº 115R/2025 Processo nº 5236/2025Interessado: Secretaria de Saúde - Tipo de Licitação: menor preçoObjeto: Locação de Kits de concentradores de oxigênio e recarga de cilindros Backup de 8 m3 de Oxigênio gasoso Medicinal com pureza maior ou igual 99% para atender ao município de Itanhaém.Comunicamos que presente licitação será suspensa para readequação de edital sem previsão de retorno, ira retornar com o numero 115Reabertura/2025Informações: Tel. 13 3421-1644 e no e-mail pregao@itanhaem.sp.gov.brPREFEITURA MUNICIPAL DA ESTÂNCIA BALNEÁRIA DE ITANHAÉMem 08 de abril de 2026Fabio Crivellari Miranda- Secretário Municipal da Saúde. 
</t>
  </si>
  <si>
    <t>Câmara Municipal de São Francisco de Itabapoana</t>
  </si>
  <si>
    <t>CANCELADA</t>
  </si>
  <si>
    <t>* Licitação Eletrônica * CONTRATAÇÃO DE EMPRESA ESPECIALIZADA EM AQUISIÇÃO DE EQUIPAMENTOS DE INFORMÁTICA E SONOPLASTIA. * https://pncp.gov.br *</t>
  </si>
  <si>
    <t xml:space="preserve">EXTRATO DE CANCELAMENTO
Dispensa de Licitação Eletrônico: n. 002/2026
Processo Administrativo: 011/2026
Contratante: Câmara Municipal de São Francisco do Itabapoana-RJ
Objeto: CONTRATAÇÃO DE EMPRESA ESPECIALIZADA PARA A AQUISIÇÃO DE EQUIPAMENTOS DE INFORMÁTICA
E SONOPLASTIA PARA ATENDER A CÂMARA MUNICIPAL DE SÃO FRANCISCO DE ITABAPOANA - RJ.
Fundamentação Legal: Art. 12 VI da Lei Federal n. 14.133/2021 e In. Seges/ME n. 67, de 2021.
Justificativa: Certame Fracassado por ausência de documentação de habilitação nos termos do Edital.
São Francisco de Itabapoana, 11 de março de 2026. </t>
  </si>
  <si>
    <t>Prefeitura Municipal de Laje</t>
  </si>
  <si>
    <t>Laje</t>
  </si>
  <si>
    <t>* Licitação Eletrônica * Contratação de empresa especializada para execução de serviço de metalúrgica com fornecimento de materiais  para atender as demandas da Secretaria Municipal de Educação e Cultura. * https://pncp.gov.br *</t>
  </si>
  <si>
    <t>Laje-Ba, 08 de abril de 2026.
PROCESSO ADMINISTRATIVO Nº 108/2026
DISPENSA DE LICITAÇÃO Nº 011/2026
SUSPENSÃO
A Secretaria Municipal de Educação decide suspender a DISPENSA DE
LICITAÇÃO Nº 011/2026, cujo objeto é contratação de empresa especializada para
execução de serviço de metalúrgica com fornecimento de materiais para atender as
demandas da Secretaria Municipal de Educação e Cultura, por inconsistência no
ANEXO I Termo de Referência do Aviso de Contratação Direta. Volta os autos para o
setor demandante para as devidas reiicações.
INDIAMARA ANDRADE FERREIRA ALVES
Secretária Municipal de Educação e Cultura</t>
  </si>
  <si>
    <t>* Registro de preços * * Licitação Eletrônica * Servic?o de manutenc?a?o corretiva e assiste?ncia te?cnica dos sistemas auxiliares de seguranc?a.</t>
  </si>
  <si>
    <t xml:space="preserve"> AVISO DE SUSPENSÃO
PREGÃO Nº 90007/2026
Comunicamos a suspensão da licitação supracitada, publicada no D.O.U em
25/03/2026 . Objeto: Pregão Eletrônico - Servic o de manutenc a o corretiva e assiste ncia te
cnica dos sistemas auxiliares de seguranc a.</t>
  </si>
  <si>
    <t>Prefeitura Municipal de Três Lagoas</t>
  </si>
  <si>
    <t>Três Lagoas</t>
  </si>
  <si>
    <t>* Licitação Eletrônica * Aquisição de Equipamento e Material Permanente para a Unidade de Pronto Atendimento UPA - Issam Fares da Secretaria Municipal de Saúde do Município de Três Lagoas-MS, conforme a Proposta de Emenda Parlamentar Nº 13034.603000/1250-14, conforme as especificações e condições estabelecidas no Termo de Referência - ** www.comprasbr.com.br **</t>
  </si>
  <si>
    <t>PREGÃO ELETRÔNICO Nº 016/2026 PROCESSO LICITATÓRIO Nº 035/2026
CÓDIGO TCE Nº 88FD840157B2E35FDD70D5EA6B0A8AECA4B20301
AVISO DE SUSPENSÃO
O MUNICÍPIO DE TRÊS LAGOAS-MS, através da DIRETORIA DE COMPRAS E LICITAÇÕES, comunica a todos os
interessados a suspensão do certame em epígrafe, para adequações, visando a autotutela administrativa em qualquer
dos seus atos.
NOTA: O prosseguimento da licitação e a nova data da sessão pública de abertura, serão informados através dos
mesmos meios de divulgação utilizados anteriormente. Maiores informações e orientações pertinentes poderão ser
obtidas através do sítio eletrônico http://www.treslagoas.ms.gov.br.
Três Lagoas-MS, na data da assinatura digital.</t>
  </si>
  <si>
    <t>Instituto Federal de Educação, Ciencia e Tecnologia do Mato Grosso</t>
  </si>
  <si>
    <t>PE/90047/2025</t>
  </si>
  <si>
    <t>* Registro de preços * * Licitação Eletrônica * O objeto da presente licitação é o Registro de Preços para futura e eventual contratação de empresa  especializada em materiais e equipamentos pedagógicos Didático-Laboratoriais, compostos de soluções que auxiliam  no processo ensino aprendizagem, destinado ao ensino médio, conforme condições, quantidades e exigências  estabelecidas no Termo de Referência.</t>
  </si>
  <si>
    <t>AVISO DE SUSPENSÃO
PREGÃO Nº 90047/2025
Comunicamos a suspensão da licitação supracitada, publicada no D.O.U em
07/04/2026 . Objeto: Pregão Eletrônico - O objeto da presente licitação é o Registro de
Preços para futura e eventual contratação de empresa especializada em materiais e
equipamentos pedagógicos Didático-Laboratoriais, compostos de soluções que auxiliam no
processo ensino aprendizagem, destinado ao ensino médio, conforme condições,
quantidades e exigências estabelecidas no Termo de Referência.
MARCOS LUIZ PEIXOTO COSTA
Diretor Geral do Ifmt Campus Alta Floresta</t>
  </si>
  <si>
    <t>Prefeitura Municipal de Campo Novo do Parecis</t>
  </si>
  <si>
    <t>Campo Novo do Parecis</t>
  </si>
  <si>
    <t>* Licitação Eletrônica * Registro de Preços para futura e eventual contratação de empresa especializada no fornecimento de mobiliários e equipamentos permanentes destinados às unidades escolares da rede municipal de ensino. * https://bllcompras.com *</t>
  </si>
  <si>
    <t xml:space="preserve">AVISO DE SUSPENSÃO - PREGÃO ELETRÔNICO 026/2026
O Município de Campo Novo do Parecis torna público aos interessados a
SUSPENSÃO DO PREGÃO ELETRÔNICO Nº 026/2026 que tem por objeto
a REGISTRO DE PREÇOS para futura e eventual contratação de empresa
especializada no fornecimento de mobiliários e equipamentos permanentes
destinados às unidades escolares da rede municipal de ensino. Motiva-se a
suspensão para realização de respostas de impugnações e esclarecimentos.
Campo Novo do Parecis, 07 de abril de 2026.
Tarcísio Nascimento da Silva
Pregoeiro </t>
  </si>
  <si>
    <t>Instituto Água e Terra</t>
  </si>
  <si>
    <t>CR/90225/2025</t>
  </si>
  <si>
    <t xml:space="preserve"> Contratação integrada de empresa especializada para elaboração dos projetos básicos e executivos de arquitetura e de engenharia em plataforma BIM e execução da OBRA DE RECUPERAÇÃO DA ORLA DE GUARATUBA, localizada no litoral do Estado do Paraná, conforme planilha orçamentária de referência constante no Anexo XIII</t>
  </si>
  <si>
    <t>AVISO DE SUSPENSÃO
CONCORRÊNCIA ELETRÔNICA Nº 225/2025
OBRA DE RECUPERAÇÃO DA ORLA DE GUARATUBA
PROTOCOLO N° 25.155.878-7
OBJETO: Contratação integrada de empresa especializada para elaboração
dos projetos básicos e executivos de arquitetura e de engenharia em
plataforma BIM e execução da OBRA DE RECUPERAÇÃO DA ORLA DE
GUARATUBA, localizada no litoral do Estado do Paraná, conforme planilha
orçamentária de referência constante no Anexo XIII.
JUSTIFICATIVA: Revisão e análise das condições do edital
41006/2026</t>
  </si>
  <si>
    <t>Ministério da Defesa - Comando da Aeronáutica - Grupamento de Apoio de Canoas</t>
  </si>
  <si>
    <t>Canoas</t>
  </si>
  <si>
    <t>PE/90130/2025</t>
  </si>
  <si>
    <t>* Registro de preços * * Licitação Eletrônica * Aquisic?a?o de aquisic?a?o de aparelhos eletrodome?sticos para a Guarnic?a?o de Aerona?utica de Canoas.</t>
  </si>
  <si>
    <t>AVISO DE SUSPENSÃO
PREGÃO Nº 90130/2025
Comunicamos a suspensão da licitação supracitada, publicada no D.O.U em
25/03/2026 . Objeto: Pregão Eletrônico - Aquisic a o de aquisic a o de aparelhos
eletrodome sticos para a Guarnic a o de Aerona utica de Canoas.</t>
  </si>
  <si>
    <t>Assembléia Legislativa do Estado de Santa Catarina - ALESC</t>
  </si>
  <si>
    <t>* Licitação Eletrônica * Aquisição e instalação de sistema de climatização de precisão para Data Center, especificamente desenvolvido para assegurar condições ideais de temperatura, umidade relativa, redundância operacional e eficiência energética para equipamentos críticos de Tecnologia da Informação e Comunicação TIC, conforme detalhado em projeto, e em conformidade com as especificações constantes no Edital e em seus Anexos.</t>
  </si>
  <si>
    <t>ALESC
AVISO DE LICITAÇÃO .
SUSPENSÃO DO PREGÃO ELETRÔNICO Nº 90014/2026
A Assembleia Legislativa do Estado de Santa Catarina - Alesc, com
sede na rua Dr. Jorge Luz Fontes, nº 310, Centro, Florianópolis/
SC, CEP 88020-900, comunica aos interessados a suspensão
do Pregão Eletrônico nº 90014/2026, cujo objeto é a aquisição
e instalação de sistema de climatização de precisão para Data
Center, especificamente desenvolvido para assegurar condições
ideais de temperatura, umidade relativa, redundância operacional
e eficiência energética para equipamentos críticos de Tecnologia
da Informação e Comunicação TIC, em razão da necessidade
de adequação da planilha orçamentária.
Florianópolis/SC, assinado e datado eletronicamente.
Carlos Alberto Leal
Coordenador de Licitações e Contratos
Cod. Mat.: 1174019</t>
  </si>
  <si>
    <t>Prefeitura Municipal de Cordeirópolis</t>
  </si>
  <si>
    <t>CR/18/2025</t>
  </si>
  <si>
    <t xml:space="preserve"> Contratação de serviços técnicos especializados para confecção do Plano Municipal de Saneamento Básico Rural </t>
  </si>
  <si>
    <t>AVISO DE SUSPENSÃO DE LICITAÇÃO
Concorrência Eletrônica nº 18/2025
Processo Administrativo nº 7.244/2025
Objeto: "Contratação de serviços técnicos especializados para confecção do Plano Municipal de Saneamento
Básico Rural".
Informa-se que a sessão pública, anteriormente agendada para o dia 09/04/2026 às 09:00 horas, encontra-se
suspensa para revisão do Edital e Termo de Referência. Nova data da sessão será publicada posteriormente.</t>
  </si>
  <si>
    <t>Prefeitura Municipal de Senhor do Bonfim</t>
  </si>
  <si>
    <t>Senhor do Bonfim</t>
  </si>
  <si>
    <t>* Licitação Eletrônica * Contratação de empresa especializada para fornecimento, incluindo
transporte, montagem e instalação de Ponto de ônibus confeccionado
em madeira de Eucalyptus cloeziana tratada, a ser instalado na Praça
Alexandre, município de Senhor do Bonfim - BA  * https://pncp.gov.br *</t>
  </si>
  <si>
    <t xml:space="preserve">AVISO DE 
RE
VOGAÇÃO DE LICITAÇÃO 
AVISO DE CONTRATAÇÃO DIRETA Nº 0004/2026 
PROCESSO ADMINISTRATIVO Nº 
0011/26
Objeto:
Contratação  de  empresa  especializada  para  fornecimento,  incluindo  transporte,  montagem  e 
instalação  de  Ponto  de  ônibus  confeccionado  em  madeira  de  Eucalyptus  cloeziana  tratada,  a  ser 
instalado na Praça Alexandre, município de Senhor do Bonfim - 
BA
Agente  de  Contratação  do  Município  de  Senhor  do  Bonfim 
-
  BA  torna  público,  para 
conhecimento  dos  interessados,  que  o  processo  referente  ao 
Aviso  de  Contratação  Direta  nº 
0004/2026
,  cujo  objeto  é  Contratação  de  empresa  especializada  para  fornecimento,  incluindo 
transporte,  montagem  e  instalação  de  Ponto  de  ônibus  confeccionado  em  madeira  de  Eucalyptus 
cloeziana  tratada,  a  ser  instalado  na  Praça  Alexandre,  município  de  Senhor  do  Bonfim  - 
BA
,  foi 
declarado 
REVOGADO
. 
Considerando
  que,  após  reavaliação  interna,  a  Secretaria  Municipal  de  Infraestrutura 
identificou equívocos no planejamento dos quantitativos estimados, resultando em divergências entre a 
real necessidade da pasta e o que foi inicialmente previsto no termo de referência; 
Considerando que
 o referido objeto demandará análise técnica mais  minuciosa quanto à 
necessidade de execução de serviços de terraplanagem no local de instalação; 
Considerando
,  ainda,  a  possibilidade  de  acréscimo  de  novo  item  ao  escopo  inicialmente 
previsto, visando melhor adequação às necessidades da Administração Pública; 
Considerando
 a reavaliação das necessidades administrativas e a perda superveniente do 
interesse  público  na  contratação,  nos  termos  do  Art.  53  da  Lei  nº  9.784/1999,  verificando-se  que  o 
objeto  pretendido  não  mais  atende  às  atuais  demandas  da  Administração,  razão  pela  qual  se  mostra 
conveniente e oportuno promover a revogação do procedimento; 
Diante   do   exposto,   considerando   a   necessidade   de   reavaliação   técnica   do   objeto, 
especialmente quanto à eventual execução de serviços de terraplanagem, bem como a possibilidade de 
adequações  com  acréscimo  de  novos  itens,  aliadas  à  perda  superveniente  do  interesse  público,  nos 
termos  do  Art.  53  da  Lei  nº  9.784/1999,  conclui-se  pela 
REVOGAÇÃO  do  presente  procedimento 
administrativo
, por razões de conveniência e oportunidade. 
A  medida  visa  resguardar  o  interesse  público,  permitindo  a  reformulação  adequada  da 
demanda   administrativa,   de   modo   a   atender,   de   forma   mais   eficiente   e   alinhada,   às   atuais 
necessidades da Administração Municipal. 
Dessa   forma,   o   Agente   de   Contratação   decide 
pela   REVOGAÇÃO   do   processo 
administrativo
  referente  à  Contratação  Direta  Dispensa  nº  0004/2026
,  visando  resguardar  o 
interesse  público,  permitindo  a  reformulação  adequada  da  demanda  administrativa,  de  modo  a 
atender, de forma mais eficiente e alinhada, às atuais necessidades da Administração Municipal. 
Os autos do processo encontram-se à disposição dos interessados para consulta. 
Senhor do Bonfim 
-
 BA, em 
01 de abril de 2026. 
Henrique José da Conceição Mattos 
Agente de Contratação 
Decreto Municipal 330/2024, de 19 de julho de 2024. </t>
  </si>
  <si>
    <t>* Licitação eletrônica * Registro de Preços para futura e eventual Aquisição de materiais de confecção, ambientação e decoração de eventos promovidos pela Secretaria Municipal de Educação.</t>
  </si>
  <si>
    <t>AVISO DE REVOGAÇÃO - PREGÃO ELETRONICO Nº. 009/2026 - PROCESSO
ADMINISTRATIVO Nº. 300/2026. O Município de Cruz das Almas/BA, torna público
que a licitação supramencionada, que tem por objeto o Registro de Preços para futura
e eventual Aquisição de materiais de confecção, ambientação e decoração de eventos
promovidos pela Secretaria Municipal de Educação. Foi revogada por razões de interesse
público decorrente de fato superveniente devidamente comprovado, conforme decisão
circunstanciada inserta no competente processo licitatório.
Cruz das Almas/BA, 08 de abril de 2026</t>
  </si>
  <si>
    <t>Prefeitura Municipal de Bela Vista da Caroba</t>
  </si>
  <si>
    <t>Bela Vista da Caroba</t>
  </si>
  <si>
    <t>PE/72/2025</t>
  </si>
  <si>
    <t>* Registro de preços * * Licitação Eletrônica * [LICITANET] - REGISTRO DE PREÇO PARA AQUISIÇÃO DE MATERIAIS DE HIGIENE E LIMPEZA HOSPITALAR PARA UTILIZAÇÃO NA SECRETARIA DE SAÚDE DE BELA VISTA DA CAROBA</t>
  </si>
  <si>
    <t>AVISO DE REVOGAÇÃO Referente: PREGÃO ELETRÔNICO Nº 072/2025   O Prefeito do Município de Bela Vista da Caroba - Paraná, no uso de suas atribuições legais e em conformidade às Leis n. 14.133.   Por razões de interesse público, de conveniência e oportunidade da Administração RESOLVE:   REVOGAR o processo licitatório, que originou a licitação na modalidade PREGÃO ELETRÔNICO N.º 072/2025, cujo objeto é REGISTRO DE PREÇO PARA AQUISIÇÃO DE MATERIAIS DE HIGIENE E LIMPEZA HOSPITALAR PARA UTILIZAÇÃO NA SECRETARIA DE SAÚDE DE BELA VISTA DA CAROBA. Bela Vista da Caroba - PR, 08 de abril de 2026.</t>
  </si>
  <si>
    <t>Prefeitura Municipal de Goianésia</t>
  </si>
  <si>
    <t>Goianésia</t>
  </si>
  <si>
    <t>* Licitação Eletrônica * contratação de empresa
especializada para a futura e eventual melhoria da malha
viária com melhorias nos sistemas de drenagem e aquisição
de Eco Encapsulador Estrutural Co polimérico de Alto
Desempenho - TopBlend, estabilizante químico sustentável
com propriedades aglutinadoras de partículas de mesma ou
diferentes composições, destinado à melhoria das
características físico-mecânicas dos solos do Município de
Goianésia-GO
 * https://bnccompras.com *</t>
  </si>
  <si>
    <t xml:space="preserve">Aviso de anulação de licitação pregão eletrônico Nº 009/2026. O Município de Goianésia faz, a saber, aos interessados que a licitação que iria realizar às 14h do dia 26 de março de 2026 em sua sede, situada na Rua 33 n.º 453 - Setor Sul, neste município em sessão publicada, nos termos da Lei Federal nº 14.133/2021 e alterações posteriores, licitação na modalidade pregão eletrônico, do tipo maior desconto, será anulada por constar erros para que seja providenciado a correção e um novo processo, cujo objeto é a contratação de empresa especializada em engenharia para para a futura e eventual melhoria da malha viária com melhorias nos sistemas de drenagem e aquisição de Eco Encapsulador Estrutural Co polimérico de Alto Desempenho - TopBlend, estabilizante químico sustentável com propriedades aglutinadoras de partículas de mesma ou diferentes composições. Conforme descrito no edital e seus anexos que estarão disponíveis junto ao site www.goianesia.go.gov.br e www.bnc.org.br Informações complementares no endereço acima citado ou pelo telefone 062 3389-9449.Goianésia - Goiás, 08 de abril de 2026. </t>
  </si>
  <si>
    <t>DL/108/2026</t>
  </si>
  <si>
    <t>Aquisição de itens de jardinagem destinados à manutenção de áreas da Prefeitura Municipal.</t>
  </si>
  <si>
    <t>Recebimento de propostas das 08h00min do dia 07/04/2026 até às 08h00min do dia 10/04/2026. Informações: dispensaitaguaru@gmail.com.</t>
  </si>
  <si>
    <t>CR/68/2026</t>
  </si>
  <si>
    <t>Contratação integrada de empresa especializada em engenharia para a elaboração dos projetos básico e executivo, bem como a execução das obras e serviços necessários à implantação de sistema de abastecimento de água na área urbana no município de Coroatá/MA, conforme diretrizes, parâmetros técnicos e soluções indicadas no anteprojeto com recursos do Termo de Compromisso nº 968361/2024/MCIDADES/CAIXA firmado com a Secretaria de Estado de Governo</t>
  </si>
  <si>
    <t>CRITÉRIO DE  JULGAMENTO: TÉCNICA E PREÇO. FORMA: ELETRÔNICA
DATA DA ABERTURA: às 09h00min do dia 10/07/2026, horário de Brasília/DF. Local de Realização: Av. Pedro II, 180 - Centro, São Luís/MA, 65010-450 Ed. João Goulart, Auditório. Edital e demais informações do processo licitatório estão em: www.licitama.com.br www.segov.ma.gov.br ou www.gov.br/pncp.Informações adicionais serão prestadas na CSL/SEGOV localizada no Av. Pedro II, 180 - Centro, São Luís/MA, 65010-450, Ed. João Goulart, 1º Andar, ou pelo e-mail csl@segov.ma.gov.br. São Luís MA, 31 de março de 2026. Eduardo Henrique de Melo Santos Presidente da Comissão de Contratação Secretaria de Governo do Estado
do Maranhão - SEGOV/MA.</t>
  </si>
  <si>
    <t>MSGÁS-Companhia de Gás do Estado de Mato Grosso do Sul</t>
  </si>
  <si>
    <t>* Licitação Eletrônica * Contratação de empresa especializada no apoio a fiscalização para acompanhamento dos serviços de implantação do sistema de distribuição de Gás Natural do Projeto Sucuriú, conforme detalhamento no item 1 do edital. * http://www.licitacoes-e.com.br *</t>
  </si>
  <si>
    <t>Edital : 008/2026 
Modalidade : LRE 
Nº Licitação : 1090880 
Início acolhimento de propostas : 08/04/2026-08:00 
Limite acolhimento de propostas : 05/05/2026-14:15 
Abertura das propostas : 05/05/2026-14:15 
Data e a hora da disputa : Português 
Pregoeiro : ROSIMEIRE DE ARAUJO GOMES CAMARGO</t>
  </si>
  <si>
    <t>* Licitação Eletrônica * Aquisição de tubos de PEAD para aplicação na área de concessão da Companhia de Gás de Mato Grosso do Sul, conforme detalhamento no item 1 do edital * http://www.licitacoes-e.com.br *</t>
  </si>
  <si>
    <t>Edital : LCE 001/26 
Modalidade : LRE 
Nº Licitação : 1091008 
Início acolhimento de propostas : 08/04/2026-15:00 
Limite acolhimento de propostas : 23/04/2026-09:30 
Abertura das propostas : 23/04/2026-09:30 
Data e a hora da disputa : 23/04/2026-14:30 
Pregoeiro : ROSIMEIRE DE ARAUJO GOMES CAMARGO
 - Licitação sujeita a confirmação pois não foi informado que trata-se de prorrogação.</t>
  </si>
  <si>
    <t>SM/71/2026</t>
  </si>
  <si>
    <t>* Licitação Eletrônica * REGISTRO DE PREÇOS PARA AQUISIÇÃO DE TUBOS PVC ROSCAVEL, PVC DEFOFO, POLIETILENO E PEAD CORRUGADO. * http://www.licitacoes-e.com.br *</t>
  </si>
  <si>
    <t>Edital : LC071/2026 
Modalidade : LRE 
Nº Licitação : 1089703 
Início acolhimento de propostas : 27/03/2026-09:00 
Limite acolhimento de propostas : 15/04/2026-09:00 
Abertura das propostas : 15/04/2026-09:00 
Data e a hora da disputa : 15/04/2026-10:00 
Pregoeiro : LUCIANO SARAIVA DE MELO
 - Licitação sujeita a confirmação pois não foi informado que trata-se de prorrogação.</t>
  </si>
  <si>
    <t>Câmara Municipal de Ribeirão Claro</t>
  </si>
  <si>
    <t>Ribeirão Claro</t>
  </si>
  <si>
    <t xml:space="preserve">Aquisição de cobertura para estacionamento do veículo da Câmara Municipal.           </t>
  </si>
  <si>
    <t>VALOR ESTIMADO: R$ 24.816,54 Vinte e Quatro Mil, Oitocentos e Dezesseis Reais e Cin- quenta e Quatro Centavos. 
Os dias 31 de março, 01 e 02 de abril, no horário das 8:00h às 11:00h e das 13:00h às 17:00h será destinado à visita técnica na qual deverá ser agendada via e-mail: compras@cmribeiraoclaro.pr.gov.br, para conhecimento do local e medição. Eventuais interessados podem apresentar proposta de preço no prazo de 05 cinco dias úteis, ou seja, nos dias 06, 07, 08, 09 e 10 de abril, oportunidade em que a Administração escolherá a mais vantajosa.                  
As propostas serão recebidas pelo e-mail compras@cmribeiraoclaro.pr.gov.br ou entregues na Câmara Municipal de Ribeirão Claro, localizada na Rua Dr. Vicente Machado, 931, Centro, Ribeirão Claro, Estado do Paraná até o dia 10/04/2026 às 17:00 horas.</t>
  </si>
  <si>
    <t>PE/1169/2026</t>
  </si>
  <si>
    <t xml:space="preserve">* Licitação Eletrônica * SERV. SOCIOAMBIENTAL ADRIANOPOLIS/PR </t>
  </si>
  <si>
    <t xml:space="preserve">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07/04/2026 a 04/05/2026 às 08:00 hs </t>
  </si>
  <si>
    <t>SPTRANS-São Paulo Transporte S/A</t>
  </si>
  <si>
    <t>DL/139/2026</t>
  </si>
  <si>
    <t>* Licitação Eletrônica * MATERIAL DE PINTURA. * http://www.licitacoes-e.com.br *</t>
  </si>
  <si>
    <t xml:space="preserve">Edital : DL 
Modalidade : Dispensa de licitação 
Nº Licitação : 1090948 
Início acolhimento de propostas : 07/04/2026-14:00 
Limite acolhimento de propostas : 10/04/2026-10:00 
Abertura das propostas : 10/04/2026-10:00 
Data e a hora da disputa : 10/04/2026-10:15 
Pregoeiro : WELLINGTON LEMOS DO ESPIRITO SANTO
 </t>
  </si>
  <si>
    <t>SESC - Serviço Social do Comércio - Feira de Santana</t>
  </si>
  <si>
    <t>Feira de Santana</t>
  </si>
  <si>
    <t>MANUTENÇÃO DE 2 APARELHOS DE DETECÇÃO EM REDES DE AGUA - MARCA SANESOLUTI - CENTRO DE ATIVIDADES FEIRA DE SANTANA https://egov.paradigmabs.com.br/sescba/Default.aspx</t>
  </si>
  <si>
    <t>SESC - Serviço Social do Comércio - Jequié</t>
  </si>
  <si>
    <t>FORNECIMENTO E INSTALAÇÃO DE FILTRO PARA PISCINA, APLICAÇÃO DOS MATERIAIS E ACESSÓRIOS INDISPENSÁVEIS AO FUNCIONAMENTO DO EQUIPAMENTO, CONFORME TERMO DE REFERÊNCIA E/OU ESCOPO TÉCNICO - SESC JEQUIÉ https://egov.paradigmabs.com.br/sescba/Default.aspx</t>
  </si>
  <si>
    <t>SM/15349/2026</t>
  </si>
  <si>
    <t>Compra na Modalidade sem Disputa- 	 AQUISIÇÃO DE CÚPULA ACRILICA PARA PROJETO DE PROTEÇÃO PARA BANCADA DE INDUSTRIA 4.0, conforme termo de referência * https://compras.fieb.org.br *</t>
  </si>
  <si>
    <t>Acesse o Central de Compras BA Fieb https://compras.fieb.org.br/portal/Mural.aspx e consulte os detalhes. 
Em andamento
 Edital: SDE 2026015349
 Inicio dos lances: 08/04/2026 15:18:00 Término dos lances: 10/04/2026 15:00:00</t>
  </si>
  <si>
    <t>SM/15362/2026</t>
  </si>
  <si>
    <t>Processo de seleção SEM DISPUTA, com entrega única, para Aquisição de materiais para o Laboratório de Refrigeração e Climatização em atendimento as práticas do curso Profissionalizante da área de Refrigeração e Climatização da Unidade, conforme Termo de Referencia. * https://compras.fieb.org.br *</t>
  </si>
  <si>
    <t>Acesse o Central de Compras BA Fieb https://compras.fieb.org.br/portal/Mural.aspx e consulte os detalhes. 
Em andamento
 Edital: SDE 2026015362
 Inicio dos lances: 08/04/2026 17:09:00 Término dos lances: 09/04/2026 17:08:00</t>
  </si>
  <si>
    <t>SM/610/2026</t>
  </si>
  <si>
    <t>Aquisição de ferramentas de torneamento * https://compras.fieb.org.br *</t>
  </si>
  <si>
    <t>Acesse o Central de Compras BA Fieb https://compras.fieb.org.br/portal/Mural.aspx e consulte os detalhes. 
Recebimento de lances
 Edital: 31001199.2026.CD.0610.PARK
 Inicio dos lances: 08/04/2026 13:30:00 Término dos lances: 09/04/2026 15:00:00</t>
  </si>
  <si>
    <t>Acesse o Central de Compras BA Fieb https://compras.fieb.org.br/portal/Mural.aspx e consulte os detalhes. 
Recebimento de lances
 Edital: 30999432.2026.EMBRAPII.CD.0475.PARK
 Inicio dos lances: 17/03/2026 16:30:00 Término dos lances: 09/04/2026 15:00:00
 - Licitação sujeita a confirmação pois não foi informado que trata-se de prorrogação.</t>
  </si>
  <si>
    <t>Acesse o Central de Compras BA Fieb https://compras.fieb.org.br/portal/Mural.aspx e consulte os detalhes. 
Em andamento
 Edital: SDE 2026015309
 Inicio dos lances: 07/04/2026 14:55:00 Término dos lances: 09/04/2026 14:00:00
 - Licitação sujeita a confirmação pois não foi informado que trata-se de prorrogação.</t>
  </si>
  <si>
    <t>SM/580/2026</t>
  </si>
  <si>
    <t>Aquisição de sensores equipamentos hidropneumáticos * https://compras.fieb.org.br *</t>
  </si>
  <si>
    <t>Acesse o Central de Compras BA Fieb https://compras.fieb.org.br/portal/Mural.aspx e consulte os detalhes. 
Recebimento de lances
 Edital: 31000825.2026.CD.0580.SENAICI
 Inicio dos lances: 01/04/2026 10:16:00 Término dos lances: 09/04/2026 12:00:00
 - Licitação sujeita a confirmação pois não foi informado que trata-se de prorrogação.</t>
  </si>
  <si>
    <t>SM/14723/2026</t>
  </si>
  <si>
    <t>Contratação de empresa durante o período continuo de 12 meses, para realização do serviço de manutenção preventiva em 01 motocompressor do laboratório de ESP MQB, Senai Cimatc. SC 0527-03/2026 * https://compras.fieb.org.br *</t>
  </si>
  <si>
    <t>Acesse o Central de Compras BA Fieb https://compras.fieb.org.br/portal/Mural.aspx e consulte os detalhes. 
Em andamento
 Edital: SDE 2026014723
 Inicio dos lances: 16/03/2026 09:45:00 Término dos lances: 09/04/2026 17:00:00
 - Licitação sujeita a confirmação pois não foi informado que trata-se de prorrogação.</t>
  </si>
  <si>
    <t>SM/15262/2026</t>
  </si>
  <si>
    <t>Aquisição, sem disputa, de colas e solventes para suprir a Marcenaria. * https://compras.fieb.org.br *</t>
  </si>
  <si>
    <t>Acesse o Central de Compras BA Fieb https://compras.fieb.org.br/portal/Mural.aspx e consulte os detalhes. 
Em andamento
 Edital: SDE 2026015262
 Inicio dos lances: 06/04/2026 16:47:00 Término dos lances: 09/04/2026 16:00:00
 - Licitação sujeita a confirmação pois não foi informado que trata-se de prorrogação.</t>
  </si>
  <si>
    <t>DL/881/2026</t>
  </si>
  <si>
    <t>COMPONENTES ELÉTRICOS</t>
  </si>
  <si>
    <t>Secretaria Estadual de Educação Básica -  EEM São Francisco da Cruz</t>
  </si>
  <si>
    <t>Cruz</t>
  </si>
  <si>
    <t>DL/12379/2026</t>
  </si>
  <si>
    <t>* Licitação Eletrônica * MATERIAL PARA MANUTENÇÃO DE BENS IMÓVEIS * https://pncp.gov.br *</t>
  </si>
  <si>
    <t>Unidade compradora: 228273 - ESTADO DO CEARA - EEM SÃO FRANCISCO DA CRUZ
Local: Cruz/CE
Órgão: ESTADO DO CEARA
Id contratação PNCP: 07954480000179-1-008271/2026
Fonte: Secretaria do Planejamento e Gestão do Ceará
para atender as necessidades da unidade escolar. - Dispensa</t>
  </si>
  <si>
    <t>DL/1021/2026</t>
  </si>
  <si>
    <t>PEÇAS AUTOMAÇÃO</t>
  </si>
  <si>
    <t>CP/150/2026</t>
  </si>
  <si>
    <t>PA SÃO PEDRO VITORIA/ES - REPOSICAO DE ESTOQUE - MAT ODEONTOLOGIA - SC 00150</t>
  </si>
  <si>
    <t>SENAI - Servico Nacional de Aprendizagem Industrial</t>
  </si>
  <si>
    <t>SM/1509/2026</t>
  </si>
  <si>
    <t>FLUIG 800061: AQUISICAO DE TINTAS ACRILICAS FOSCAS https://portaldecompras.findes.org.br/portal/Mural.aspx</t>
  </si>
  <si>
    <t>Prefeitura Municipal de Rio Bananal</t>
  </si>
  <si>
    <t>Rio Bananal</t>
  </si>
  <si>
    <t>Aquisição de Poste Padrão de Concreto Pré-Moldado.</t>
  </si>
  <si>
    <t>Edital disponível através do site. Informações: editais@riobananal.es.gov.br. Data e horário máximo para envio da proposta de preços: 16/04/2026 às 09h29min.</t>
  </si>
  <si>
    <t>Prefeitura Municipal de Goiandira</t>
  </si>
  <si>
    <t>Goiandira</t>
  </si>
  <si>
    <t>DL/1645/2026</t>
  </si>
  <si>
    <t>* Licitação Eletrônica *  SOLICITAÇÃO DE AQUISIÇÃO DE FERRAGENS, PARA CONFEÇÃO DE MATA-BURRO NA ZONA RURAL DO MUNICIPIO, PARA MANUTENÇÃO DAS ATIVDIADES DA SECRETARIA MUNICIPAL DE INFRAESTRUTURA. * https://pncp.gov.br *</t>
  </si>
  <si>
    <t>Unidade compradora: 7 - MUNICIPIO DE GOIANDIRA - SEC.INFRAEST.OBRAS,TRANSP.SERV.PUB.DES.URBAN.RURAL
Local: Goiandira/GO
Órgão: MUNICIPIO DE GOIANDIRA
Id contratação PNCP: 01303221000100-1-000099/2026
Fonte: Sigep - Sistemas Integrados
 SOLICITAÇÃO DE AQUISIÇÃO DE FERRAGENS, PARA CONFEÇÃO DE MATA-BURRO NA ZONA RURAL DO MUNICIPIO, PARA MANUTENÇÃO DAS ATIVDIADES DA SECRETARIA MUNICIPAL DE INFRAESTRUTURA. - Dispensa</t>
  </si>
  <si>
    <t>Prefeitura Municipal de Montes Claros de Goiás</t>
  </si>
  <si>
    <t>Montes Claros de Goiás</t>
  </si>
  <si>
    <t>DL/1478/2026</t>
  </si>
  <si>
    <t>Aquisição de material elétrico e ferramentas para atender as demandas da Secretaria Municipal de Administração e Planejamento de Montes Claros de Goiás.</t>
  </si>
  <si>
    <t>Documentos deverão ser encaminhados ao e-mail compras@montesclarosdegoias.go.gov.br até 14/04/2026 às 17:00. Edital disponível no site www.montesclarosdegoias.go.gov.br. Informações: 0800.370-1122.</t>
  </si>
  <si>
    <t>Prefeitura Municipal de Diorama</t>
  </si>
  <si>
    <t>Diorama</t>
  </si>
  <si>
    <t>Aquisição de massa asfáltica e liga para serviço de tapa buraco.</t>
  </si>
  <si>
    <t>O Edital/Termo de Referência da Dispensa estará disponível no site https://acessoainformacao.diorama.go.gov.br/cidadao/informacao/licitacoes_mg ou na Av. Deputado José de Assis, s/n, Centro, Diorama-GO, das 08:00 às 11:00 e 13:00 às 16:00 de segunda a sexta-feira. Propostas podem ser enviadas até 13/04/2026 às 16:00 pelo e-mail licitacao@diorama.go.gov.br.</t>
  </si>
  <si>
    <t>Secretaria de Estado de Administração Penitenciária</t>
  </si>
  <si>
    <t>Aquisição de equipamentos para serviços de manutenção nas Unidades Prisionais.</t>
  </si>
  <si>
    <t>** Confirmar prazo na Unidade Licitante, pois não foi informado pela Fonte Oficial **
A Secretaria de Administração Penitenciária do
Maranhão - SEAP através do setor de serviço de termo de referência
e cotação -TRC, vem informar que está aberta pesquisa de mercado
Modelo de Cotação disposto no site desta secretaria. www.
seap.ma.gov.br. Maiores informações no endereço: Rua Gabriela
Mistral, 716 - Vila Palmeira, São Luís - MA, 65045-070 ou pelo telefone 98 99106-4279, ou e-mail: trc@seap.ma.gov.br. 
Publique-se o presente aviso no Diário Oficial do Estado DOE, e no Sítio Eletrônico desta SEAP</t>
  </si>
  <si>
    <t>SM/820261318</t>
  </si>
  <si>
    <t xml:space="preserve"> * Licitação Eletrônica * - * Orçamentação Eletrônica * AQUISICAO DE 02 IMBIL-EIXO ACO SAE 4140 ITAP 80-400/3, COM PRAZO DE ENTREGA DE 10 DIAS. </t>
  </si>
  <si>
    <t>CE/720260389</t>
  </si>
  <si>
    <t>* Licitação eletrônica * BRINDES DIVERSOS. ENTREGA EM 07 DIAS CORRIDOS A CONTAR DE 10.04.2026. Obs. ENTREGA UNICA GLOBAL DEVIDO AO EVENTO COM DATA MARCADA.</t>
  </si>
  <si>
    <t>CE/720260396</t>
  </si>
  <si>
    <t xml:space="preserve">* Licitação eletrônica * ADAPTADOR PVC CX.AG.JS FL PR DN110X4 POLEGADAS; MANGOTE SUCCAO AZUL ESPIRALADO 70 PSI 3 POLEGADAS </t>
  </si>
  <si>
    <t>CE/720260373</t>
  </si>
  <si>
    <t>* Licitação eletrônica * PIA COM GABINETE</t>
  </si>
  <si>
    <t>CE/720260404</t>
  </si>
  <si>
    <t>* Licitação eletrônica * AQUIS. CADEADO 45MM SEGREDO UNIFORMIZADO PARA SANTA RITA DO SAPUCAI-GRPO.</t>
  </si>
  <si>
    <t>CE/720260403</t>
  </si>
  <si>
    <t>* Licitação eletrônica * Contratação de empresa especializada para a execução de serviços de manutenção predial preventiva e corretiva, com fornecimento parcial de materiais, mão de obra, ferramentas e equipamentos, visando atender as agências de atendimento, escritórios locais e prédio administrativo da Gerência Regional de Conselheiro Lafaiete - GRCL, pertencentes à Copasa .</t>
  </si>
  <si>
    <t>CE/720260402</t>
  </si>
  <si>
    <t>* Licitação eletrônica * CAPACITOR TENSAO 400V - 1800uF;SENSOR DE CORRENTE -COND. EVAP. SET FREE;HITACHI-VALVULA DE EXPANSAO ELETRONICA;HITACHI-VALVULA EXP.ELETRONICA 17F04391B;VALVULA ESFERA BB COBRE/LATAO Oe1/4";VALVULA ESFERA BB COBRE/LATAO Oe3/8";VALVULA ESFERA BB COBRE/LATAO Oe1/2";VALVULA ESFERA BB COBRE/LATAO Oe5/8";CARRIER VOLUTA 15,7X17,7CM REF 42819028;CARRIER VOLUTA SUP 21,7X22,7CM R08401053;CONSUL- MOTOR VENTILADOR EVAPORADORA;CARRIER VOLUTA 15,7X17,7CM REF 42819028;EOS-PLACA ELETR.CH25G/DAPGDPF9204 K.</t>
  </si>
  <si>
    <t>CE/720260368</t>
  </si>
  <si>
    <t>* Licitação eletrônica * Aquisicao de curvas 90o FOFO DN 150 - Conselheiro Lafaiete.</t>
  </si>
  <si>
    <t>MINISTÉRIO DA EDUCAÇÃO - Universidade Federal de Minas Gerais - Administração Geral</t>
  </si>
  <si>
    <t>DL/101/2026</t>
  </si>
  <si>
    <t>* Licitação Eletrônica * Aquisição de escadas de Alumínio com 7 Degraus e Escada de Alumínio e Fibra com 6 Degraus, conforme condições e exigências estabelecidas no termo de referência. * https://pncp.gov.br *</t>
  </si>
  <si>
    <t>Unidade compradora: 153254 - UNIVERSIDADE FEDERAL DE MINAS GERAIS - ADMINISTRACAO GERAL/UFMG
Local: Belo Horizonte/MG
Órgão: UNIVERSIDADE FEDERAL DE MINAS GERAIS
Id contratação PNCP: 17217985000104-1-000059/2026
Fonte: Compras.gov.br
Havendo discrepância na descrição do CATMAT e o Termo de Referência, prevalecerá a descrição do Termo de Referência. - Dispensa</t>
  </si>
  <si>
    <t>CE/20260022</t>
  </si>
  <si>
    <t>* Licitação eletrônica * BOMBA DOS.ELETRO.MICRO.PROD.QUIM.5L.5BAR</t>
  </si>
  <si>
    <t>FUPAI - Fundação de Pesquisa e Assessoramento à Indústria</t>
  </si>
  <si>
    <t>Produto/Serviço Quant. Unidade
Produto/Serviço: Serviço de calibração - Estação total RS102 R5 FOIF
Descrição: Serviço de calibração Estação total RS102 R5 FOIF 5 unidades 5 Unidade
Produto/Serviço: Serviço de calibração - Teodolito Eletrônico Geodetic
Descrição: Serviço de calibração Teodolito Eletrônico Geodetic 5 Unidade
Produto/Serviço: Serviço de calibração - Nível NDS32 Geodetic
Descrição: Serviço de calibração Nível NDS32 Geodetic 5 Unidade</t>
  </si>
  <si>
    <t>Cotação Compra Direta
A FUPAI recebe as entregas de segunda à sexta nos horários de 8:00 às 11:30 e 13:30 às 17:30.
Serviço de terceiros</t>
  </si>
  <si>
    <t>Caixa Escolar Izabel Campos Martins</t>
  </si>
  <si>
    <t>MATERIAIS DE CONSTRUÇÃO EM GERAL</t>
  </si>
  <si>
    <t>3.1. As propostas comerciais deverão ser entregues no endereço
R. Frei Francisco, 218 - Novo Horizonte, Unai - MG, 38616-535 até o dia 12/04/2026, às
08:00hs, ou nesta mesma data e horário através do email institucional</t>
  </si>
  <si>
    <t>SM/820261599</t>
  </si>
  <si>
    <t xml:space="preserve"> * Licitação Eletrônica * - * Orçamentação Eletrônica * RETENTOR SABO 00376 B  OU IGUAL</t>
  </si>
  <si>
    <t>Prefeitura Municipal de Piedade de Caratinga</t>
  </si>
  <si>
    <t>Piedade de Caratinga</t>
  </si>
  <si>
    <t>Aquisição de bombas a serem instaladas na Estação de Tratamento de Esgoto.</t>
  </si>
  <si>
    <t>SM/1275/2026</t>
  </si>
  <si>
    <t>Aquisição  de 05 pç estadiometro portatil digital entrega conforme termo de referência em 5 unidades do SESI em MG - Frete CIF. Pagt. Dep. B. 28.</t>
  </si>
  <si>
    <t>Acesse site https://compras.fiemg.com.br/Portal/Mural.aspx e consulte os detalhes. 
 Em andamento 
 Edital: SDE 2026001275 
 Inicio dos lances: 2026-04-08 12:30:00 Término dos lances: 2026-04-10 12:00:00</t>
  </si>
  <si>
    <t>Prefeitura Municipal de Caldas</t>
  </si>
  <si>
    <t>Caldas</t>
  </si>
  <si>
    <t>Contratação de empresa especializada para fornecimento e instalação de divisórias em painel tipo Eucatex, com perfil naval, incluindo materiais, mão de obra e acabamentos, para adequação do imóvel locado destinado ao funcionamento provisório da Escola Municipal Presidente Crispim Jacques Bias Fortes, durante a reforma do prédio escolar.</t>
  </si>
  <si>
    <t>Propostas devem ser enviadas até 13/04/2026 para o e-mail diretorialicitacaocaldas@gmail.com. Informações: 353735-1578.</t>
  </si>
  <si>
    <t>SM/5/2026</t>
  </si>
  <si>
    <t xml:space="preserve"> receber sugestões, comentários e contribuições sobre a minuta de portaria que dispõe sobre a metodologia, os procedimentos, os requisitos e os padrões de dados para o envio, comprovação e validação das informações relativas à Base de Ativos Regulatória BAR dos prestadores de serviços públicos de abastecimento de água e esgotamento sanitário regulados pela Agência Estadual de Regulação de Serviços Públicos de Mato Grosso do Sul AGEMS, bem como sobre a Nota Técnica Regulatória nº 02/2026/DSBRS/AGEMS, contendo a metodologia, procedimentos, requisitos e padrões de dados para o envio, comprovação e validação das informações relativas à Base de Ativos Regulatória BAR dos prestadores de serviços públicos de abastecimento de água e esgotamento sanitário, compondo o processo administrativo n° 51.011.022-2024; e</t>
  </si>
  <si>
    <t>** Confirmar prazo na Unidade Licitante, pois não foi informado pela Fonte Oficial ** 
a encaminhadas ao endereço eletrônico ouvidoria@agems.ms.gov.br;
b cadastradas no site da AGEMS: www.agems.ms.gov.br em Audiências e Consultas Públicas; ou
c protocoladas na sede da AGEMS, localizada na Av. Afonso Pena, n° 3.026 - Centro - CEP 79.002-075
- Campo Grande/MS - Térreo / Protocolo - das 7h30min às 17h, em dias úteis.</t>
  </si>
  <si>
    <t>receber sugestões, comentários e contribuições acerca da Nota Técnica Regulatória nº 03/2026/DSBRS/AGEMS, que trata da análise da remuneração da prestação dos serviços públicos de drenagem, por meio da cobrança de tarifas, taxas ou demais tributos, constante do processo administrativo n° 51.008.656-2025.</t>
  </si>
  <si>
    <t>receber sugestões, comentários e contribuições acerca do processo administrativo n° 51.008.656-2025, referente à Nota Técnica Regulatória n° 001/2026/ DSB/AGEMS, que institui o Comitê de Drenagem e Manejo de Águas Pluviais Urbanas no âmbito da Agência Estadual de Regulação de Serviços Públicos de MS - AGEMS CODREMS, bem como à minuta de Portaria que aprova o Regimento Interno do Comitê de Drenagem e Manejo de Águas Pluviais Urbanas no âmbito da Agência Estadual de Regulação de Serviços Públicos de MS - AGEMS CODREMS;</t>
  </si>
  <si>
    <t>Prefeitura Municipal de Anastácio</t>
  </si>
  <si>
    <t>Anastácio</t>
  </si>
  <si>
    <t>contratação de empresa especializada para "aquisição de chapas plana de ferro" em atendimento a Secretaria Municipal de Obras do Município de Anastácio-MS.</t>
  </si>
  <si>
    <t>Conforme descrições contidas no site da Prefeitura Municipal de Anastácio/Portal da Transparência:https://anastacio.megasofttransparencia.com.br/contratosconvenios-e-licitacoes/dispensas-inexigibilidades?tipoDeConsultaDeModalidade=2, podendo eventuais interessados apresentarem Proposta de Preços e documentos no prazo de 3 três dias
úteis, oportunidade em que a administração escolherá a mais vantajosa considerando o MENOR PREÇO UNITÁRIO. As propostas completamente preenchida e assinada contendo os
elementos do modelo disponibilizado no site e os documentos serão recebidas pelo e-mail licitacaoanastacioms@gmail.com até às 00h00min do dia 13/04/2026 ou entregue na mesma data
13/04/2026 até as 13:00h, mediante protocolo ao Departamento de Coordenadoria de Licitações e Contratos do Prédio da Prefeitura Municipal de Anastácio/MS, sito à Rua João Leite Ribeiro, nº
754, Centro, Anastácio/MS. Quaisquer comunicações e informações complementares poderão ser feitas ou solicitadas pelo mesmo e-mail.</t>
  </si>
  <si>
    <t>Prefeitura Municipal de Cotriguaçu</t>
  </si>
  <si>
    <t>Cotriguaçu</t>
  </si>
  <si>
    <t>* Licitação Eletrônica * AQUISIÇÃO DE EMULSÃO ASFÁLTICA USINADA A FRIO, DESTINADA À MANUTENÇÃO CORRETIVA E PREVENTIVA DAS VIAS PÚBLICAS URBANAS DO MUNICÍPIO DE COTRIGUAÇU - MT - ** www.comprasbr.com.br **</t>
  </si>
  <si>
    <t>CONTRATAÇÃO DE EMPRESA ESPECIALIZADA EM CONSERTO DE AR CONDICIONADO SUBSTITUIÇÃO DE BOMBA DE DRENO DC12V - SALA DE AULA 03, UNIDADE SENAI JUÍNA. https://compras.sfiemt.ind.br/portal/Mural.aspx</t>
  </si>
  <si>
    <t>Prefeitura Municipal de Figueirópolis D'Oeste</t>
  </si>
  <si>
    <t>Figueirópolis D'Oeste</t>
  </si>
  <si>
    <t>Contratação de empresa especializada para a aquisição de equipamentos visando atender a demanda da Secretaria Municipal de Infraestrutura e Obras de Figueirópolis d'Oeste/MT, conforme condições, quantidades e exigências estabelecidas no termo de referência.</t>
  </si>
  <si>
    <t>** Confirmar prazo na Unidade Licitante, pois não foi informado pela Fonte Oficial **
Propostas devem ser enviadas para licitacoes@figueiropolisdoeste.mt.gov.br ou entregues pessoalmente na sede do Poder Executivo, horário de 07:00h às 11:00h e das 13:00h às 17:00h. Telefone para contato: 65 3235-1586.</t>
  </si>
  <si>
    <t>DL/71/2026</t>
  </si>
  <si>
    <t>AQUISIÇÃO DE HIDRÔMETRO UNIJATO MOD. UF-1,0 Q3 1,0 - R63-H DN 20 X 115 - CLASSE B VIDRO INCLINADO, PARA REPOSIÇÃO DO ALMOXARIFADO CENTRAL DO SANEAR DE RONDONÓPOLIS-MT VISANDO A MANUTENÇÃO DO SETOR DE ÁGUA DA CIDADE.</t>
  </si>
  <si>
    <t>Os interessados para fins de elaboração de proposta poderão retirar o projeto e planilhas
orçamentárias na Superintendência de Compras e Almoxarifado na sede do Sanear de Rondonópolis,
no endereço acima citado, mediante a apresentação de CD-ROM ou PEN-DRIVE, no horário das
07:00 às 17:00horas em dias úteis, ou solicitar através do e-mail compras@sanearmt.com.br ,
finan@sanearmt.com.br ou chefe@sanearmt.com.br</t>
  </si>
  <si>
    <t>Contratação de empresa especializada para elaboração de projeto executivo para construção de passagem molhada no município de Vila Nova do Piauí/PI, referente ao Convênio n° 983999/2025, Proposta nº 061067/2025, celebrado entre a Prefeitura de Vila Nova do Piauí e o Ministério da Integração e do Desenvolvimento Regional - MIDR</t>
  </si>
  <si>
    <t>LW-003858/26 ID 1158596
Regime Jurídico: DIVULGADA
Forma Realização: Lei nº 14.133/21
Modo de Disputa : Eletrônica
Critério julgamento: Aberto
Adjudicação do objeto: Menor preço</t>
  </si>
  <si>
    <t>Fundação de Apoio à Educação, Pesquisa e Desenvolvimento Científico e Tecnológico da UTFPR</t>
  </si>
  <si>
    <t>DL/284/2026</t>
  </si>
  <si>
    <t>Produto/Serviço Quant. Unidade
Produto/Serviço: Furadeira Rosqueadeira de Coluna Engrenada
Descrição: Furadeira Rosqueadeira de Coluna Engrenada com capacidade de furação em aço de diâmetro 32mm ou maior, eixo árvore com curso 110mm ou maior, com 6 ou mais velocidades ajustáveis até 1500 rpm, potência mínima de 1,5Hp ou 1,1 KW, alimentação 220V trifásico 1 Unidade</t>
  </si>
  <si>
    <t>COMPRA/CONTRAÇÃO DIRETA
A FUNTEF-PR recebe as entregas de segunda-feira à sexta-feira nos horários de 8:00 às 10:00.
Máquina e Equipamento</t>
  </si>
  <si>
    <t>Câmara Municipal de Sarandi</t>
  </si>
  <si>
    <t>Aquisição de materiais de manutenção predial e outros materiais específicos para a modernização, adequação e atualização do Sistema de Proteção contra Descargas Atmosféricas - SPDA da Câmara Municipal de Sarandi, conforme laudo técnico e lista de materiais emitidos pelo engenheiro técnico responsável, conforme especificações estabelecidas no TERMO DE REFERÊNCIA e seus anexos.</t>
  </si>
  <si>
    <t xml:space="preserve">AVISO DE CONTRATAÇÃO DIRETA - TERCEIRA RETIFICAÇÃO - PRORROGAÇÃO DO PRAZO Processo Administrativo nº3/2026-CMS Requisição de compras nº 109-3/2026-CMS Legislação aplicável: Lei 14.133/2021; Lei Complementar 123/2006; Lei Municipal 3.008/2024   Por meio deste, a CÂMARA MUNICIPAL DE SARANDI, ESTADO DO PARANÁ, nos termos do art. 75, §3º da Lei Federal nº 14.133, de 2021, manifesta o interesse em obter propostas adicionais de eventuais interessados em relação à contratação direta, por meio de Dispensa de Licitação, para o objeto abaixo, visando selecionar a proposta mais vantajosa: OBJETO: Aquisição de materiais de manutenção predial e outros materiais específicos para a modernização, adequação e atualização do Sistema de Proteção contra Descargas Atmosféricas - SPDAda Câmara Municipal de Sarandi, conforme laudo técnico e lista de materiais emitidos peloengenheiro técnico responsável, conforme especificações estabelecidas no TERMO DE REFERÊNCIA e seus anexos,disponíveisatravés do link:https://transparencia.cms.pr.gov.br/licitacao-aberta?_gl=1*1zcsmu*_ga*MTIwOTM2MTg5My4xNzQ0NjQ4NzI5*_ga_ HVKMPM0CSQ*czE3NzAyMjU1ODAkbzIwOCRnMSR0MTc3M DIyNTcyMyRqNTMkbDAkaDA. LOCAL E PRAZO PARA ENTREGA DAS PROPOSTAS: Preferencialmente no endereço eletrônico: compras2@cms.pr.gov.br Prorrogado atéàs 12h de 10/04/2026. Propostas enviadas fora do prazo estabelecido não serão aceitas.   Sarandi, 8 de abril de 2026   WESLEY HENRIQUE SANGUINO Agente de Contratação  Publicado por: Wesley Henrique Sanguino Código Identificador:BC44E2DA Matéria publicada no Diário Oficial dos Municípios do Paraná no dia 09/04/2026. Edição 3506
</t>
  </si>
  <si>
    <t>DL/288/2026</t>
  </si>
  <si>
    <t>Produto/Serviço Quant. Unidade
Produto/Serviço: Peso padrão em aço - Botão
Descrição: Peso padrão inteiriço em aço inoxidável, sem marcações na superfície e sem câmara de ajuste, destinado à calibração/verificação de balanças analíticas, 200 g, com aprovação e certificação do INMETRO Incluso estojo compativel para armazenamento 1 Unidade</t>
  </si>
  <si>
    <t>COMPRA/CONTRAÇÃO DIRETA
A FUNTEF-PR recebe as entregas de segunda-feira à sexta-feira nos horários de 8:00 às 10:00.
Outras Compras</t>
  </si>
  <si>
    <t>* Licitação Eletrônica * Kit 01 Dosador de Detergente e 01 de Secante para Lava Louças compatível com a marca NETTER, modelo NT81 * https://pncp.gov.br *</t>
  </si>
  <si>
    <t>Unidade compradora: 795180 - COMANDO DA MARINHA - BASE DE FUZILEIROS NAVAIS ILHA DO GOVERN./RJ
Local: Rio de Janeiro/RJ
Órgão: COMANDO DA MARINHA
Id contratação PNCP: 00394502000144-1-002587/2026
Fonte: Compras.gov.br
 - Dispensa</t>
  </si>
  <si>
    <t>SM/7004552841</t>
  </si>
  <si>
    <t>* Licitação Eletrônica * Serviços Técnicos de projeto, com fornecimento de bens para serviços técnicos para a adequação do escoamento de derivados pelo duto RP-24. , conforme as especificações deste Edital e de seus adendos</t>
  </si>
  <si>
    <t>** Esta publicação está sendo informada para os estados SP e RJ onde será realizado o objeto da licitação. Informamos que a publicação oficial é do estado de RJ. **
Regiões: SP 
Inicio: 2026/04/09 - 12:00:00 Término dos lances: 2026/04/09 12:00:00
 - Licitação sujeita a confirmação pois não foi informado que trata-se de prorrogação.</t>
  </si>
  <si>
    <t>SENAI - Centro de Tecnologia da Industria Quimica e Têxtil</t>
  </si>
  <si>
    <t>SM/124/2026</t>
  </si>
  <si>
    <t>Aquisição de Equipamentos para realização de trabalho em altura. https://compras.cetiqt.senai.br/Portal/Mural.aspx</t>
  </si>
  <si>
    <t>MINISTÉRIO DA SAÚDE - Fundação Oswaldo Cruz - Instituto Fernandes Figueira</t>
  </si>
  <si>
    <t>DL/145/2026</t>
  </si>
  <si>
    <t>* Licitação Eletrônica * Aquisição de VACUOMETRO * https://pncp.gov.br *</t>
  </si>
  <si>
    <t>Unidade compradora: 254447 - FUNDACAO OSWALDO CRUZ - MS-INSTITUTO FERNANDES FIGUEIRA/FIOCRUZ/RJ
Local: Rio de Janeiro/RJ
Órgão: FUNDACAO OSWALDO CRUZ
Id contratação PNCP: 33781055000135-1-000421/2026
Fonte: Compras.gov.br
 - Dispensa</t>
  </si>
  <si>
    <t>* Licitação Eletrônica * Conectores e cotovelos de engate rápido  - ** www.comprasbr.com.br **</t>
  </si>
  <si>
    <t>SENAI - Serviço Nacional de Aprendizagem Industrial - SENAI VALENÇA</t>
  </si>
  <si>
    <t>SM/1018/2026</t>
  </si>
  <si>
    <t>CONTRATACAO DE EMPRESA PARA PRESTACAO DE SERVICO EM MANUTENCAO PREVENTIVA DOS COMPRESSORES MSWV40FORT MARCA SCHULZ PARA O SENAI VALENCA. https://portaldecompras.firjan.com.br/Portal/Mural.aspx</t>
  </si>
  <si>
    <t>Acesse site https://portaldecompras.firjan.com.br/Portal/Mural.aspx e consulte os detalhes. 
Em andamento
 Edital: SS 01018/2026
 Inicio dos lances: 08/04/2026 11:40:00 Término dos lances: 10/04/2026 16:00:00</t>
  </si>
  <si>
    <t>SM/1020/2026</t>
  </si>
  <si>
    <t>CONTRATACAO DE EMPRESA PARA PRESTACAO DE SERVICO EM MANUTENCAO PREVENTIVA DOS COMPRESSORES MARCA SCHULZ MODELO MSV20MAX SENAI BARRA DO PIRAI https://portaldecompras.firjan.com.br/Portal/Mural.aspx</t>
  </si>
  <si>
    <t>Acesse site https://portaldecompras.firjan.com.br/Portal/Mural.aspx e consulte os detalhes. 
Em andamento
 Edital: SS 01020/2026
 Inicio dos lances: 08/04/2026 12:10:00 Término dos lances: 10/04/2026 16:00:00</t>
  </si>
  <si>
    <t>* Licitação Eletrônica * CHAPA DE LATAO LIGA CU-ZN-37- ESP. I.01.078; DIM. 550MM X 800MM; ESP. 1,50MM; EQUIP. GRAVOPLATE; REF. 1 METALLICA SARL - EN1652-H095/R350 103066-MPR; 2 LAMINERIES MATTHEY SA CUZN37; OU SIMILAR MEDIANTE ENVIO E APROVACAO DE 02 UN DE AMOSTRA. APL. CONFECCAO DE MATRIZES P/ APLICACAO DE BANDA HOLOGRAFICA * https://pncp.gov.br *</t>
  </si>
  <si>
    <t>Unidade compradora: 179083 - CASA DA MOEDA DO BRASIL - CASA DA MOEDA DO BRASIL/MF
Local: Rio de Janeiro/RJ
Órgão: CASA DA MOEDA DO BRASIL
Id contratação PNCP: 34164319000174-1-000058/2026
Fonte: Compras.gov.br
Deverá ser apresentado amostra conforme item 4.1 do Termo de referência  - Dispensa</t>
  </si>
  <si>
    <t>CP/5305/2026</t>
  </si>
  <si>
    <t>COTAÇÃO DE EQUIPAMENTO DE ANÁLISE - REQUISIÇÃO Nº 53052026</t>
  </si>
  <si>
    <t>A proposta deverá ser apresentada em papel timbrado da empresa interessada, contendo obrigatoriamente as seguintes informações: Número do CNPJ, Razão social, Endereço completo, Telefone para contato, E-mail atualizado, Dados bancários, Prazo de realização do serviço em número de dias, Prazo de entrega de material/equipamento, Validade da proposta; Prazo de garantia do item cotado e Forma de pagamento mediante emissão de nota de empenho o prazo de pagamento é iniciado após a realização do serviço ou entrega do produto. A proposta deve estar assinada digitalmente, utilizando um dos seguintes meios: Certificado Digital com token ou Assinatura eletrônica pelo portal Gov.br. Para propostas referentes ao fornecimento de material: O valor do frete deverá estar incluído no valor total do material e a entrega deverá ser realizada em Natal/RN. Cronograma da Cotação: Início do recebimento de propostas: 08/04/2026, Prazo final para envio: até às 17h do dia 13/04/2026 As propostas deverão ser enviadas A/C: Grupo de Compras - FUNPEC, para o e-mail: ????fernando.dias@funpec.br</t>
  </si>
  <si>
    <t>Escola Estadual de Ensino Fundamental e Médio Maria Arlete Toledo</t>
  </si>
  <si>
    <t>Vilhena</t>
  </si>
  <si>
    <t>SM/25/2026</t>
  </si>
  <si>
    <t>aquisição de FERRAMENTAS</t>
  </si>
  <si>
    <t>Prazo para recebimento das Propostas/Documentos: 09/04/2026 a 14/04/2026 ATÉ ÀS 8:00 HS</t>
  </si>
  <si>
    <t>Conselho Escolar Jerris Adriani Turatti</t>
  </si>
  <si>
    <t>Espigão do Oeste</t>
  </si>
  <si>
    <t>SM/24/2025</t>
  </si>
  <si>
    <t>O objeto da despesa é aquisição de Material para Manutenção de Bens Imóveis para manutenção da quadra de esportes.</t>
  </si>
  <si>
    <t>Prazo para recebimento das Propostas/Documentos: 08/04/2026 a 13/04/2026.</t>
  </si>
  <si>
    <t>MINISTÉRIO DA DEFESA - Comando do Exército - Comando Militar do Sul - 6ªDivisão de Exército - 8ªBrigada de Infantaria Motorizada - 9ºBatalhão de Infantaria Motorizado</t>
  </si>
  <si>
    <t>DL/83/2026</t>
  </si>
  <si>
    <t>* Licitação Eletrônica * Bomba Centrífuga Água; Tipo Motor: Trifásico; Potência: 5 CV; Voltagem: 220V; Características Adicionais: Sucção De 2 Pol E Recalque De 11.
/2 Pol * https://pncp.gov.br *</t>
  </si>
  <si>
    <t>Unidade compradora: 160379 - COMANDO DO EXERCITO - 9 BATALHAO DE INFANTARIA MOTORIZADO/RS
Local: Pelotas/RS
Órgão: COMANDO DO EXERCITO
Id contratação PNCP: 00394452000103-1-007247/2026
Fonte: Compras.gov.br
 - Dispensa</t>
  </si>
  <si>
    <t>DL/260/2026</t>
  </si>
  <si>
    <t>AQUISIÇÃO DE BENS DAS FAMÍLIAS:
0450-FERRAGENS/ABRASIVOS;</t>
  </si>
  <si>
    <t>Edital : DL/260/2026
Modalidade : Dispensa eletrônica com disputa
Nº Licitação : 349430
 - Licitação sujeita a confirmação pois não foi informado que trata-se de prorrogação.</t>
  </si>
  <si>
    <t>DL/30/2026</t>
  </si>
  <si>
    <t>contratação de pessoa jurídica para calibração e emissão de certificado para equipamento ambulatorial.</t>
  </si>
  <si>
    <t>** Confirmar prazo na Unidade Licitante, pois não foi informado pela Fonte Oficial ** 
Os interessados devem enviar as propostas, devidamente formalizadas e assinadas,  para o e-mail licita@tupancidosul.rs.gov.br informações 54-984226449 -site www.tupancidosul.rs.gov.br</t>
  </si>
  <si>
    <t>Aquisição de pregos 26x84 para manutenção de estradas vicinais do município.</t>
  </si>
  <si>
    <t>Planilha de preços disponível em https://alfredowagner.sc.gov.br/licitacao/aviso-de-cotacao-no18-2026-infraestrutura/. Propostas e documentação devem ser enviadas para compras@alfredowagner.sc.gov.br ou administracao@alfredowagner.sc.gov.br. Prazo de entrega do item é imediato após a emissão da Autorização de Fornecimento.</t>
  </si>
  <si>
    <t>CP/18/2026</t>
  </si>
  <si>
    <t>adquirir PREGOS 26X84, para manter as atividades da Secretaria Municipal de Infraestrutura e Manutenção de estradas vicinais do município</t>
  </si>
  <si>
    <t>Endereço para envio das propostas e documentação:
compras@alfredowagner.sc.gov.br
administracao@alfredowagner.sc.gov.br
Alfredo Wagner - SC, 08 de abril de 2026</t>
  </si>
  <si>
    <t>Prefeitura Municipal de Vargeão</t>
  </si>
  <si>
    <t>Vargeão</t>
  </si>
  <si>
    <t>Contratação de empresa para o fornecimento e instalação de calhas, portas de correr, fechamento de platibanda e execução de cobertura metálica para garagem e obras da Secretaria de Obras e Serviços Urbanos do Município.</t>
  </si>
  <si>
    <t>Informações complementares serão prestadas através do e-mail licitacao@vargeao.sc.gov.br fone fax 49 3050-5500. O Edital encontra-se disponível para download no site da Prefeitura Municipal de Vargeão, no link https://transparencia.betha.cloud/#/z8B_Vfxid1wpYBMs5Lk9NQ==. Data da publicação: 07/04/2026.</t>
  </si>
  <si>
    <t>DL/229/2026</t>
  </si>
  <si>
    <t>AQUISIÇÃO DE FERRAMENTAS E EQUIPAMENTOS PARA A EQUIPE DA DEFESA CIVIL.</t>
  </si>
  <si>
    <t xml:space="preserve">AVISO DE DISPENSA DE LICITAÇÃO Nº 229/2026 -- PROCESSO Nº 269/2026
A Prefeitura Municipal de São Pedro, torna público para conhecimento dos
interessados, que por meio do Departamento de Compras e Licitações, pretende realizar
Dispensa por Limite, com critério de julgamento menor preço, na hipótese do art. 75, inciso Il,
nos termos da Lei 14.133, de 1º de abril de 2021, do Decreto Municipal 7.411 de 19 de janeiro
de 2022 e demais legislações aplicáveis, podendo eventuais interessados apresentarem
propostas de preços no prazo de 03 três dias úteis, a contar da publicação deste,
oportunidade em que a administração pública escolherá a proposta mais vantajosa.
Objeto: AQUISIÇÃO DE FERRAMENTAS E EQUIPAMENTOS PARA A EQUIPE DA DEFESA CIVIL.
Data limite para o recebimento de propostas: 13 de Abril de 2026 até as 17:00 horas.
O Edital e Termo de Referência da Dispensa estão disponíveis no site da Prefeitura, no link:
https://www.saopedro.sp.gov.br/portal/editais/4 .
As propostas deverão ser encaminhadas para o e-mail: proposta@saopedro.sp.gov.br,
juntamente com toda a documentação exigida no item 5 do edital da presente dispensa.
</t>
  </si>
  <si>
    <t>CP/4531/2026</t>
  </si>
  <si>
    <t>* COLETA DE PREÇOS * AQUISIÇÃO DE RODIZIOS E ROLAMENTO PARA HOSPITAL
DAS CLINICAS DE RIBEIRÃO PRETO</t>
  </si>
  <si>
    <t>CP/4551/2026</t>
  </si>
  <si>
    <t>* COLETA DE PREÇOS * AQUISIÇÃO DE CLAVICULARIO PARA 220 CHAVES
PARA HOSPITAL DE TRÊS COLINAS DE FRANCA</t>
  </si>
  <si>
    <t>SEBRAE-Serviço de Apoio às Micro e Pequenas Empresas de São Paulo</t>
  </si>
  <si>
    <t xml:space="preserve">* Licitação Eletrônica * Contratação de empresa especializada no fornecimento e na instalação de mola de piso para portas de vidro para o Escritório Regional de Araraquara Dimensões da mola: 285mm X 82mm x 50mm;  Para portas de até 120kg com largura de até 1100mm;  Cor: inox;  Quantidade: 03 unidades  Referência: Mola Dorma BTS 75V  * https://pncp.gov.br * </t>
  </si>
  <si>
    <t>Unidade compradora: 930452 - SERVICO DE APOIO AS MICRO E PEQ EMPRESAS DE SAO PAULO - SERVIÇO APOIO A MICROS E PEQUENAS EMPRESAS-SP
Local: São Paulo/SP
Órgão: SERVICO DE APOIO AS MICRO E PEQ EMPRESAS DE SAO PAULO
Id contratação PNCP: 43728245000142-1-000083/2026
Fonte: Compras.gov.br
Conforme Termo de referência.
Foi utilizado um único item similar no sistema.
Favor preencher proposta comercial conforme tabela anexa dos 02 dois itens a serem contratados.
Será considerado para contratação o menor preço global.
Na proposta comercial tanto no valor unitário quanto no valor total só serão aceitos 02 duas casas decimais após a vírgula
O item do sistema é meramente ilustrativo, Favor considerar o descritivo dos itens conforme planilha anexa no termo de referência.
LER NA INTEGRA O TERMO DE REFERÊNCIA ANTES DA PRECIFICAÇÃO DE VALORES. 
LANÇAR VALOR GLOBAL - Dispensa</t>
  </si>
  <si>
    <t>Câmara Municipal de Piracicaba</t>
  </si>
  <si>
    <t>* Licitação Eletrônica * Contratação de empresa para fornecimento de molas aéreas * https://pncp.gov.br *</t>
  </si>
  <si>
    <t>Unidade compradora: 929241 - PIRACICABA CAMARA - CAMARA MUNICIPAL DE PIRACICABA - SP
Local: Piracicaba/SP
Órgão: PIRACICABA CAMARA
Id contratação PNCP: 51327708000192-1-000026/2026
Fonte: Compras.gov.br
 - Dispensa</t>
  </si>
  <si>
    <t xml:space="preserve"> locação de caminhão equipado com sistema de alta sucção/vácuo para prestação de serviços de limpeza e desobstrução de bocas de lobo e galerias pluviais no município de Americana SP.</t>
  </si>
  <si>
    <t>As propostas deverão ser encaminhadas ao e-mail: fernanda.sosu@americana.sp.gov.br
O Termo de Referência estará à disposição dos interessados no Site da Prefeitura - Licitações - Aviso de Dispensa de Licitação www.americana.
sp.gov.br, a partir de 07/04/2026</t>
  </si>
  <si>
    <t>* Licitação Eletrônica * Aquisição de Caixa d'água de polietileno com tampa 3000 litros * https://bllcompras.com *</t>
  </si>
  <si>
    <t>LOCAL: https://bllcompras.com/
Nº PROC. ADM: 2026/000519
 TIPO CONTRATO: AQUISIÇÃO
 INÍCIO REC. PROPOSTA: 10/04/2026 08:00:00
 FIM REC. PROPOSTA: 16/04/2026 08:00:00
 INÍCIO DISPUTA: 16/04/2026 09:00:00
 CIDADE: SALTO
 FASE: PUBLICADO
 EXCLUSIVO ME: NÃO
 EXCLUSIVO REGIONAL: NÃO
 MODO DE DISPUTA: FECHADO
 TIPO DE LANCE: MENOR LANCE
 FONE PROMOTOR: 1146026370
 E-MAIL PROMOTOR: licitacao@saaesalto.sp.gov.br
 CONDUTOR: ELAINE CRISTINA FELIX GROSSELI
 AUTORIDADE: ANGELO CESAR TURQUI PIVA
 INFORMACÕES ADICIONAIS: Consultar os anexos: aviso de dispensa e termo de referência
 VALOR ESTIMADO: R$7.467,00</t>
  </si>
  <si>
    <t>Aquisição de 4 quatro reduções em ferro fundido 150 x 125mm RPB JE atendendo a norma NBR7675 para reposição de estoque.</t>
  </si>
  <si>
    <t>MAIORES INFORMAÇÕES ACESSAR: www.saema.com.br - Licitações - Dispensa por Limite</t>
  </si>
  <si>
    <t>Prefeitura Municipal de Itápolis</t>
  </si>
  <si>
    <t>Itápolis</t>
  </si>
  <si>
    <t>CP/9910</t>
  </si>
  <si>
    <t>AQUISIÇÃO DE PLACAS DE CONCRETO</t>
  </si>
  <si>
    <t>As empresas interessadas em participar terão acesso ao edital
contendo o detalhamento do item através do link
https://e-licita.itapolis.sp.gov.br:8096/home
O período de envio da proposta será até às 8 horas e 00 minutos do
dia 14 de abril de 2026.
Eventuais esclarecimentos poderão ser realizados pelo e-mail
d.compras@itapolis.sp.gov.br ou telefone 16 3263-8000 no horário
de 08h00min as 17h00min</t>
  </si>
  <si>
    <t>Prefeitura Municipal de Cianorte</t>
  </si>
  <si>
    <t>Cianorte</t>
  </si>
  <si>
    <t xml:space="preserve"> Chamamento Público visando a seleção de empresas do setor da construção civil para a elaboração de projetos arquitetônicos e complementares de unidades habitacionais, composto de infraestrutura interna, bem como a execução de obras decorrentes dos projetos no âmbito do Programa Minha Casa, Minha Vida - PMCMV, com recursos do Fundo de Arrendamento Residencial - FAR, mediante as condições estabelecidas neste instrumento convocatório</t>
  </si>
  <si>
    <t>** Favor DESCONSIDERAR o presente aviso, pois a oportunidade já está informada através do Número ConLicitação 18757867 **</t>
  </si>
  <si>
    <t>SM/7004587446</t>
  </si>
  <si>
    <t>* Licitação Eletrônica * Aquisição de Válvula Gaveta Convencional [PQ] por contrato global, conforme as especificações deste documento e de seus adendos.</t>
  </si>
  <si>
    <t>Policia Militar do Estado do Acre</t>
  </si>
  <si>
    <t>Futura e eventual contratação de empresa especializada na prestação de serviços de manutenção preventiva e corretiva, incluindo ajustes, aferição e calibração metrológica, em conformidade com os padrões estabelecidos pelo INMETRO e pela Rede Brasileira de Calibração RBC, para equipamentos de etilometria da marca Alcolizer, modelo LE5.</t>
  </si>
  <si>
    <t>CONVITE PARA COTAÇÃO DE PREÇOS
A POLÍCIA MILITAR DO ACRE, inscrita no CNPJ MF sob o nº 04.033.205/0001-
24, com sede na Praça Plácido de Castro, nº 70, Centro, no município de Rio
Branco, Capital do Estado do Acre, representada pelo CEL PM KLEISON JOSÉ
OLIVEIRA DE ALBUQUERQUE, Subcomandante-Geral da Polícia Militar do Estado do Acre, nomeado por meio da PORTARIA INTERNA PMAC - SUBCO Nº
6, DE 01 DE ABRIL DE 2026, para responder pela função de Comandante-Geral
da Polícia Militar do Estado do Acre em exercício, em observância aos princípios
que regem o processo licitatório consignados no art. 37, caput, da Constituição
Federal de 1988, especialmente os da impessoalidade, moralidade e publicidade;
RESOLVE:
Art. 1º Tornar público o interesse em realizar pesquisa de preços para registro
de preços, visando futura e eventual contratação de empresa especializada na
prestação de serviços de manutenção preventiva e corretiva, incluindo ajustes, aferição e calibração metrológica, em conformidade com os padrões estabelecidos pelo INMETRO e pela Rede Brasileira de Calibração RBC, para
equipamentos de etilometria da marca Alcolizer, modelo LE5.
Art. 2º Os interessados em participar do processo deverão apresentar proposta
de preços, preenchida conforme modelo descrito, e encaminhá-la ao e-mail: slcc.
pmac@gmail.com, no prazo de até 8 oito dias, a contar da data desta publicação.
Art. 3º Os interessados poderão solicitar o formulário de coleta pelo e-mail slcc.
pmac@gmail.com, com o assunto: COTAÇÃO DE PREÇOS.
Art. 4º A contratação decorrente da presente pesquisa de preços será realizada na modalidade Pregão Eletrônico, por meio do Sistema de Registro de
Preços, nos termos da legislação vigente.
Art. 5º O regime de execução será o de menor preço por item.
Art. 6º Para julgamento e classificação das propostas, será adotado o critério de menor preço por item, observadas as especificações definidas no edital do processo.
Art. 7º O prazo de validade da proposta deverá ser não inferior a 90 noventa
dias, contados da data de sua apresentação, sendo facultado aos proponentes estender tal validade por prazo superior</t>
  </si>
  <si>
    <t>Prefeitura Municipal de Porto Acre</t>
  </si>
  <si>
    <t>Porto Acre</t>
  </si>
  <si>
    <t xml:space="preserve">Registro de Preços para Manutenção Preventiva e Corretiva com fornecimento de Peças de Reposição para Máquinas Pesadas, Caminhões, Ônibus, Microônibus, Vans, Caminhonetes, Veículos Utilitários, Motocicletas, Quadriciclos, Implementos Agrícolas, Motor para Barcos e Serviços de Guincho, visando atender as necessidades da Prefeitura Municipal de Porto Acre/AC. </t>
  </si>
  <si>
    <t>RETIRADA DO EDITAL: Prefeitura Municipal de Porto Acre, podendo ainda ser
solicitado através do e-mail pmpa.licitacoes@gmail.com, no período de 09/04 à 24/04 de
2026.
DATA DE ABERTURA: 27 de abril de 2026 às 09h00min, na sala de reuniões e
licitações da Prefeitura Municipal de Porto Acre-AC.</t>
  </si>
  <si>
    <t>Agência de Modernização da Gestão de Processos - AMGESP</t>
  </si>
  <si>
    <t>PE/90132/2026</t>
  </si>
  <si>
    <t>* Licitação eletrônica * Registro de Preços para Futura e Eventual Aquisição de Correlatos Sistema Respiratório e Tubos</t>
  </si>
  <si>
    <t xml:space="preserve">Tipo: Menor Preço por Item
Data de realização: 29 de abril de 2026, às 09:00h, horário de Brasília.
</t>
  </si>
  <si>
    <t>Prefeitura Municipal de Nhamunda</t>
  </si>
  <si>
    <t>Nhamundá</t>
  </si>
  <si>
    <t>* Licitação Eletrônica * REGISTRO DE PREÇOS PARA EVENTUAL CONTRATAÇÃO DE EMPRESA PARA AQUISIÇÃO DE MATERIAIS DE ORIGEM MINERAL AREIA, BRITA, SEIXO E PIÇARRA PARA ATENDER AS NECESSIDADES DA SECRETARIA MUNICIPAL DE OBRAS E URBANISMO DO MUNICÍPIO DE NHAMUNDÁ-AM</t>
  </si>
  <si>
    <t>Órgão: Prefeitura Municipal de Nhamundá - Prefeitura Municipal de Nhamundá - AM
				Processo: 034/2026
				Edital: 010/2026
				Modalidade: Pregão
				Início de envio das propostas: 08-04-2026 ás 18:00
				Término de envio das propostas: 20/04/2026 ás 09:29		
				Início dos lances: 20/04/2026 ás 10:30</t>
  </si>
  <si>
    <t>Prefeitura Municipal de Jutaí</t>
  </si>
  <si>
    <t>Jutaí</t>
  </si>
  <si>
    <t>* Licitação eletrônica * Formação de registro de preços visando a aquisição em complemento aos itens fracassados do processo anterior referente a contratação de empresa para o fornecimento de equipamentos, produtos, materiais e insumos agrícolas para distribuição gratuita aos produtores rurais, atendendo à solicitação da secretaria municipal de produção e abastecimento, bem como para execução das atividades realizadas pelas secretarias municipais de meio ambiente e proteção e defesa civil de Jutaí/Am</t>
  </si>
  <si>
    <t>Portal Licitanet - https://www.licitanet.com.br/; data e hora de início das propostas: 10/04/2026 às 8h; data e hora limite para impugnação: 20/04/2026 até às 0h; data e hora final das propostas: 23/04/2026 às 8h; data de abertura das propostas - sessão pública: 23/04/2026 às 9h - Horário de Brasília/DF; Regência legal: Lei Federal nº 14.133/2021, Decreto Municipal nº 013/2024-GP; O edital e seus anexos estão disponíveis gratuitamente pelo portal Licitanet no endereço eletrônico já citado ou solicitado pelo e-mail: ccsc.jutai2025@gmail.com; Jutaí -AM, 8 de abril de 2026</t>
  </si>
  <si>
    <t>Prefeitura Municipal de Boa Vista do Ramos</t>
  </si>
  <si>
    <t>Boa Vista do Ramos</t>
  </si>
  <si>
    <t>Execução de serviços de engenharia para projeto de provisão habitacional no município de Boa Vista do Ramos/AM em atenção ao Convênio nº 990439/2025/MCIDADES/CAIXA.</t>
  </si>
  <si>
    <t>O edital estará disponível no site: https://transparenciamunicipalaam.org.br/. Esclarecimentos nos endereços mencionados, das 07h30 às 13h30, de segunda à sexta-feira. Sessão pelo endereço eletrônico: www.portaldecompraspublicas.com.br.</t>
  </si>
  <si>
    <t>Prefeitura Municipal de Itapiranga</t>
  </si>
  <si>
    <t>Itapiranga</t>
  </si>
  <si>
    <t>Provisão Habitacional no Município de Itapiranga/AM - Termo de Compromisso n° 992263/MCIDADES/CAIXA.</t>
  </si>
  <si>
    <t>Informações: O edital bem como seus anexos poderão ser analisados e retirados na Sede da Comissão de Contratação, sito à Rua 02 de novembro, nº 249 - Centro - Itapiranga/AM, ou no Portal da Transparência: https://itapiranga.am.gov.br/transparencia.Itapiranga/AM, 08 de abril de 2026</t>
  </si>
  <si>
    <t>Secretaria de Infraestrutura Hídrica e Saneamento - Companhia de Engenharia Hídrica e de Saneamento da Bahia - CERB</t>
  </si>
  <si>
    <t xml:space="preserve">* Licitação eletrônica * Contratação de empresa para a execução de perfilagem elétrica em poços tubulares com profundidades entre 130 e 470 metros, nas bacias sedimentares do Estado da Bahia, abrangendo os Territórios de Identidade: 4, 5, 6, 7, 10,11, 17, 18, 19, 21, 23, 24, 26 e 27. </t>
  </si>
  <si>
    <t>AVISO DE LICITAÇÃO - PREGÃO ELETRÔNICO nº 2026 008 - SEI: Nº
039.0781.2026.0000783-19-ID Nº1091084 BB.
SECRETARIA DE INFRAESTRUTURA HÍDRICA E SANEAMENTO - SIHS
COMPANHIA DE ENGENHARIA HÍDRICA E DE SANEAMENTO DA BAHIA - CERB
TIPO: Menor Preço Global. Objeto: Contratação de empresa para a execução de perfilagem
elétrica em poços tubulares com profundidades entre 130 e 470 metros, nas bacias sedimentares
do Estado da Bahia, abrangendo os Territórios de Identidade: 4, 5, 6, 7, 10,11, 17, 18, 19,
21, 23, 24, 26 e 27. Abertura: 06/05/2026 às 10h. Esta licitação obedecerá, integralmente, as
disposições da Lei Federal nº13.303/2016 e Legislações Pertinentes. Local de Realização: www.
licitacoes-e.com.br. Informações no endereço: 3ª Av., nº 300, CAB, Salvador-BA, de segunda a
sexta-feira das 09h às 11h30min e das 13h30min às 16h30min ou eletrônico: www.licitacoes-e.
com.br, www.comprasnet.ba.gov.br, e através do e-mail: cpl@cerb.ba.gov.br e/ou telefone 71
3115-8213. Salvador-BA, 08.04.2026. Sidney Souza Nascimento - Pregoeiro Oficial.</t>
  </si>
  <si>
    <t>Prefeitura Municipal de Santa Cruz da Vitória</t>
  </si>
  <si>
    <t>Santa Cruz da Vitória</t>
  </si>
  <si>
    <t>* Licitação Eletrônica * Contratação de empresa especializada para a confecção de uniformes para a Secretaria Municipal de Viação Obras e Transportes. * http://www.licitacoes-e.com.br *</t>
  </si>
  <si>
    <t>Edital : 011-2026 
Modalidade : Pregão 
Nº Licitação : 1091129 
Início acolhimento de propostas : 10/04/2026-10:00 
Limite acolhimento de propostas : 23/04/2026-08:30 
Abertura das propostas : 23/04/2026-08:30 
Data e a hora da disputa : 23/04/2026-09:00 
Pregoeiro : ALAN SANTOS CALIXTO DE ALMEIDA</t>
  </si>
  <si>
    <t>Consórcio de Desenvolvimento Sustentável do Território Litoral Sul – CDS Litoral Sul</t>
  </si>
  <si>
    <t>Itabuna</t>
  </si>
  <si>
    <t>* Licitação Eletrônica * AQUISIÇÃO E INSTALAÇÃO DE SISTEMA DE IRRIGAÇÃO POR ASPERSÃO FIXA, A DIESEL, PARA ÁREA ÚTIL DE 1,0 HECTARE,  DESTINADO AO CUMPRIMENTO DAS OBRIGAÇÕES ESTABELECIDAS NO PLANO DE TRABALHO DO CONVÊNIO 746/21,  CELEBRADO COM A COMPANHIA DE DESENVOLVIMENTO E AÇÃO REGIONAL - CAR</t>
  </si>
  <si>
    <t>Unidade compradora: 4275 - CDS Litoral Sul
Local: Itabuna/BA
Órgão: CONSORCIO DE DESENVOLVIMENTO SUSTENTAVEL  DO TERRITORIO LITORAL SUL - CDS DO TERRITORIO LITORAL SUL
Id contratação PNCP: 18608274000123-1-000009/2026
Fonte: Instituto Municipal de Administração Pública - IMAP
 - Número compra: 003 - Pregão - Eletrônico</t>
  </si>
  <si>
    <t>Prefeitura Municipal de Limoeiro do Norte</t>
  </si>
  <si>
    <t>Limoeiro do Norte</t>
  </si>
  <si>
    <t xml:space="preserve"> RETROIFT E AMPLIAÇAO DA ESTAÇÃO DE TRATAMENTO DE AGUA DO DISTRITO DE BIXOPÁ - CICLO CONVENCIONAL - ETA BIXOPÁ NO MUNICIPIO DE LIMOEIRO DO NORTE-CE.</t>
  </si>
  <si>
    <t>Unidade compradora: 15 - Secretaria de Obras e Serviços Públicos SOSP
Local: Limoeiro do Norte/CE
Órgão: MUNICIPIO DE LIMOEIRO DO NORTE
Id contratação PNCP: 07891674000172-1-000054/2026
Fonte: Licita + Brasil
 - Número compra: 010/2026 - SOSP - Concorrência - Eletrônica</t>
  </si>
  <si>
    <t>* Licitação Eletrônica * CONTRATAÇÃO DA PRESTAÇÃO DE SERVIÇOS DE INTERVENÇÕES DE QUALIDADE VIÁRIA NO PERÍMETRO URBANO DE LIMOEIRO DO NORTE, NAS RUAS CONEGO BESSA E CEL. SERAFIM CHAVES, CENTRO, JUNTO A SECRETARIA DE OBRAS E SERVIÇOS PÚBLICOS DO MUNICIPIO DE LIMOEIRO DO NORTE-CE</t>
  </si>
  <si>
    <t>Unidade compradora: 15 - Secretaria de Obras e Serviços Públicos SOSP
Local: Limoeiro do Norte/CE
Órgão: MUNICIPIO DE LIMOEIRO DO NORTE
Id contratação PNCP: 07891674000172-1-000051/2026
Fonte: Licita + Brasil
 - Número compra: 009/2026 - SOSP - Concorrência - Eletrônica</t>
  </si>
  <si>
    <t>Serviço Autônomo de Água e Esgoto de Iguatu</t>
  </si>
  <si>
    <t>PE/2025121601</t>
  </si>
  <si>
    <t>* Licitação eletrônica * Registro de preços para futura e eventual aquisição parcelada de material hidráulico e de esgotamento sanitário, destinada a atender às necessidades operacionais do Serviço Autônomo de Água e Esgoto de Iguatu-CE.</t>
  </si>
  <si>
    <t>O edital e seus anexos poderão ser obtidos no endereço eletrônico https://compras.m2atecnologia.com.br/. Data da publicação: 09/04/2026.</t>
  </si>
  <si>
    <t>CR/2026.04.07.1</t>
  </si>
  <si>
    <t>contratação de empresa especializada para execução de construção de passagens molhadas, com localização no Sítio Jenipapo, Zona Rural do Município de Assaré - Ceará, nos termos do convênio nº 985312/2025, firmado com o Ministério da Integração e do Desenvolvimento Regional.</t>
  </si>
  <si>
    <t>Estado do Ceará - Prefeitura Municipal de Assaré - Aviso de Licitação - Concorrência Nº 2026.04.07.1 - Com Base no Art. Nº. 28, Inciso II da Lei
14.133/2021. A Prefeitura Municipal de Assaré, em conformidade com o Art. 28, inciso II, da Lei Federal nº. 14.133/2021, torna público aos interessados
que pretende realizar a contratação de empresa especializada para execução de construção de passagens molhadas, com localização no Sítio Jenipapo, Zona
Rural do Município de Assaré - Ceará, nos termos do convênio nº 985312/2025, firmado com o Ministério da Integração e do Desenvolvimento Regional.
Início de acolhimento das propostas: 09 de abril de 2026 a partir das 17:00 horas. Abertura das propostas: 24 de abril de 2026 às 08:30 horas. Início da sessão
e disputa de preços: 24 de abril de 2026 às 09:00 horas - através do site www.comprasassare.com.br. Os interessados poderão obter o texto integral do Edital
através dos endereços eletrônicos: https://pncp.gov.br; www.comprasassare.com.br e https://municipios-licitacoes.tce.ce.gov.br, ou no Setor de Licitações
da Prefeitura situada à Rua Dr. Paiva, nº 415, Vila Mota Assaré - Ceará no horário de 08:00 às 14:00hrs. Informações pelo telefone 88 3535-1613. Assaré/
CE, 07 de abril de 2026 - Francisco Dércio de Alencar - Agente de Contratação.</t>
  </si>
  <si>
    <t>Instituto do Câncer Infantil e Pediatria Especializada - ICIPE - HOSPITAL DA CRIANÇA DE BRASÍLIA JOSÉ ALENCAR</t>
  </si>
  <si>
    <t>SM/92/2026</t>
  </si>
  <si>
    <t xml:space="preserve">Aquisição de Elemento Filtrante para as manutenções dos purificadores de água instalados no complexo hospitalar, em Sistema de Registro de Preços, visando atender as necessidades do Hospital da Criança de Brasília José Alencar - HCB. </t>
  </si>
  <si>
    <t xml:space="preserve">Conforme previsões editalícias, o prazo para recebimento de propostas poderá ser prorrogado. 
Os interessados poderão solicitar o referido edital através do e-mail: compras@hcb.org.br ou acessá-lo no site www.hcb.org.br. </t>
  </si>
  <si>
    <t>Contratação de empresa especializada em engenharia para execução de obras de implantação de infraestrutura urbana no bairro Vila Esperança, na sede do Município de Ponto Belo - ES, a serem realizadas pela Prefeitura Municipal de Ponto Belo - ES</t>
  </si>
  <si>
    <t>CONCORRÊNCIA PRESENCIAL N° 001/2026/PMPB
DATA DE JULGAMENTO
Dia 27/04/2026 às 09h:00min. horário de Brasília
DATA E HORARIO LIMITE PARA PROTOCOLO
DIA 27/04/2026 às 08h:30min
CRITÉRIO DE JULGAMENTO:
MENOR VALOR GLOBAL
MODO DE DISPUTA:
ABERTO
SISTEMA DE REGISTRO DE PREÇOS
NÃO
PARTICIPAÇÃO EXCLUSIVA DE ME/EPP/EQUIPARADAS
NÃO
interessados poderão acessar o site http://www.bllcompras.org.br, maiores informações entrar em contato com a Prefeitura Municipal de Ponto Belo/ES pelo
e-mail: licitacao@pontobelo.es.gov.br</t>
  </si>
  <si>
    <t>Contratação de empresa especializada para a execução de serviços de engenharia destinados à implantação de adutora de água bruta, compreendendo o fornecimento de materiais, mão de obra, equipamentos e todos os insumos necessários à perfeita execução do objeto, em conformidade com as especificações técnicas constantes no edital, no Termo de Referência, nos projetos de engenharia e demais documentos que integram o processo, observadas as normas técnicas pertinentes e a legislação vigente, Emenda Parlamentar nº 202539000012</t>
  </si>
  <si>
    <t>PREFEITURA MUNICIPAL MOSSAMEDES - Mossamedes - GO
Id: 7115
CONCORRÊNCIA ELETRÔNICA</t>
  </si>
  <si>
    <t>SANEAGO-Saneamento de Goiás S/A</t>
  </si>
  <si>
    <t>Aquisição de materiais de ligação de água lacre tipo calota para hidrômetro e tê de serviço integrado, destinados à reposição de estoque do almoxarifado central da Saneamento de Goiás S.A.</t>
  </si>
  <si>
    <t>Licitação Saneago n° 025/2026. Modo de disputa: aberto. Critério de julgamento: menor preço. Edital disponível em www.saneago.com.br. Sistema Licitações-e do Banco do Brasil: www.licitacoes-e.com.br. Limite de acolhimento de propostas: 21/05/2026 às 08:00. Abertura das propostas: 21/05/2026 às 08:00. Data e hora da disputa: 21/05/2026 às 09:00.</t>
  </si>
  <si>
    <t>CR/69/2026</t>
  </si>
  <si>
    <t>Contratação integrada de empresa especializada em engenharia para a elaboração dos projetos básico e executivo, bem como a execução das obras e serviços necessários à implantação de sistema de abastecimento de água na área urbana no município de Itapecuru - Mirim/MA, conforme diretrizes, parâmetros técnicos e soluções indicadas no anteprojeto com recursos do Termo de Compromisso nº 968359/2024/MCIDADES/CAIXA firmado com a Secretaria de Estado de Governo</t>
  </si>
  <si>
    <t>CRITÉRIO DE
JULGAMENTO: TÉCNICA E PREÇO. FORMA: ELETRÔNICA
DATA DA ABERTURA: às 09h30min do dia 10/07/2026, horário
de Brasília/DF. Local de Realização: Av. Pedro II, 180 - Centro, São
Luís/MA, 65010-450 Ed. João Goulart, Auditório. Edital e demais
informações do processo licitatório estão em: www.licitama.com.br,
www.segov.ma.gov.br ou www.gov.br/pncp. Informações adicionais
serão prestadas na CSL/SEGOV localizada no Av. Pedro II, 180 -
Centro, São Luís/MA, 65010-450, Ed. João Goulart, 1º Andar, ou
pelo e-mail csl@segov.ma.gov.br. São Luís MA, 31 de março de
2026. Eduardo Henrique de Melo Santos Presidente da Comissão
de Contratação Secretaria de Governo do Estado do Maranhão - SEGOV/
MA</t>
  </si>
  <si>
    <t>CR/70/2026</t>
  </si>
  <si>
    <t>Contratação integrada de empresa especializada em engenharia, nos termos da Lei nº 14.133/2021, para a elaboração dos Projetos Básico e Executivo e a execução das obras e serviços de reabilitação, modernização e ampliação do Sistema de Abastecimento de Água SAA do Município de Miranda do Norte/MA, com fornecimento de todos os materiais, equipamentos, mão de obra, tecnologias, insumos e serviços necessários à plena operacionalização do sistema</t>
  </si>
  <si>
    <t>CRITÉRIO DE JULGAMENTO: TÉCNICA E PREÇO. FORMA: ELETRÔNICA DATA DA ABERTURA: às 10h00min do dia 10/07/2026, horário de Brasília/DF. Local de Realização: Av. Pedro II, 180 - Centro, São Luís/MA, 65010-450 Ed. João Goulart, Auditório. Edital e demais informações do processo licitatório estão em: www.licitama.com.br, www.segov.ma.gov.br ou www.gov.br/pncp. Informações adicionais serão prestadas na CSL/SEGOV localizada no Av. Pedro II, 180 - Centro, São Luís/MA, 65010-450, Ed. João Goulart, 1º Andar, ou pelo e-mail csl@segov.ma.gov.br. São Luís MA, 31 de março de 2026. Eduardo Henrique de Melo Santos Presidente da Comissão de Contratação Secretaria de Governo do Estado do Maranhão - SEGOV/MA</t>
  </si>
  <si>
    <t>CR/71/2026</t>
  </si>
  <si>
    <t>Contratação integrada de empresa especializada em engenharia para a elaboração dos projetos básico e executivo, bem como a execução das obras e serviços necessários à implantação de sistema de esgotamento sanitário no município de Itapecuru Mirim/MA, conforme diretrizes, parâmetros técnicos e soluções indicadas no anteprojeto com recursos do Termo de Compromisso nº 968720/2024/MCIDADES/CAIXA firmado com a Secretaria de Estado de Governo.</t>
  </si>
  <si>
    <t>CRITÉRIO DE JULGAMENTO: TÉCNICA E PREÇO. FORMA: ELETRÔNICA DATA DA
ABERTURA: às 10h30min do dia 10/07/2026, horário de Brasília/
DF. Local de Realização: Av. Pedro II, 180 - Centro, São Luís/MA,
65010-450 Ed. João Goulart, Auditório. Edital e demais informações
do processo licitatório estão em: www.segov.ma.gov.br ou www.gov.
br/pncp. Informações adicionais serão prestadas na CSL/SEGOV localizada
no Av. Pedro II, 180 - Centro, São Luís/MA, 65010-450,
Ed. João Goulart, 1º Andar, ou pelo e-mail csl@segov.ma.gov.br. São
Luís MA, 31 de março de 2026. Eduardo Henrique de Melo Santos
Presidente da Comissão de Contratação Secretaria de Governo do
Estado do Maranhão - SEGOV/MA</t>
  </si>
  <si>
    <t>Prefeitura Municipal de Nova Colinas</t>
  </si>
  <si>
    <t>Nova Colinas</t>
  </si>
  <si>
    <t>Contratação de empresa de engenharia para implantação de melhorias sanitárias domiciliares em áreas urbanas do município de Nova Colinas/MA, conforme projeto básico.</t>
  </si>
  <si>
    <t>Edital disponível no site da Prefeitura Municipal: https://www.novacolinas.ma.gov.br/. Informações adicionais: cpl.novacolinasma@gmail.com. Data de publicação: 09/04/2026.</t>
  </si>
  <si>
    <t>Prefeitura Municipal de Vargem Grande</t>
  </si>
  <si>
    <t>Vargem Grande</t>
  </si>
  <si>
    <t>* Licitação eletrônica * Registro de Preços do tipo Menor Preço Global, visando a Contratação de Empresa para Manutenção de Sistemas de Abastecimento de Água no Município de Vargem Grande/MA, Conforme Condições, Quantidades e Exigências Estabelecidas no Anexo I, deste Edital.</t>
  </si>
  <si>
    <t>LOCAL/SITE: https://licitamaisbrasil.com.br/. Edital está disponibilizado, na íntegra, nos endereços eletrônicos: https://licitamaisbrasil.com.br/ e https://www.vargemgrande.ma.gov.br/ e https://app.tcema.tc.br/sinccontrata/mural/procedimento. Quaisquer informações através do Tel.: 98 3461-1103/ 98 3461-1201 / e-mail: vargemgrande.licitacao@gmail.com e/ou na sala da Comissão Permanente de Licitação - CPL, situado na Rua Dr. Nina Rodrigues, 20, Centro, Vargem Grande/MA, no horário das 08h00min oito horas às 12h00min doze horas.</t>
  </si>
  <si>
    <t>Prefeitura Municipal de Coelho Neto</t>
  </si>
  <si>
    <t>Coelho Neto</t>
  </si>
  <si>
    <t>* Licitação eletrônica * Contratação de empresa para o fornecimento de material hidráulico, elétrico, bombas submersas, tubos e conexões hidráulicos, para atender as necessidades de operação e manutenção do sistema de abastecimento de água do serviço autônomo de água e esgoto de Coelho Neto.</t>
  </si>
  <si>
    <t>através do site http://www.licitacoelhoneto.com.br.Edital:http://www.licitacoelhoneto.com.brehttps:
//licitacoes.coelhoneto.ma.gov.br/. Esclarecimentos no Portal de Compras ou através do e-mail: cpl.coelhoneto.ma@gmail.com.</t>
  </si>
  <si>
    <t>Prefeitura Municipal de Bueno Brandão</t>
  </si>
  <si>
    <t>Bueno Brandão</t>
  </si>
  <si>
    <t>Contratação de empresa especializada para execução da obra pública de construção de 20 unidades habitacionais no Loteamento Vem Morar Melhor I e II conforme TERMO DE COMPROMISSO Nº 992282/2025/MCIDADES/CAIXA.</t>
  </si>
  <si>
    <t>O edital estará disponível de segunda a sexta-feira, das 09h às 16h, na Rua Afonso Pena, nº 225, Centro, Bueno Brandão - MG, e nos sites www.buenobrandao.mg.gov.br e www.ammlicita.org.br. Informações: 035 99910-3685.</t>
  </si>
  <si>
    <t>Contratação de empresa especializada em obras e serviços de engenharia visando a construção de UNIDADES HABITACIONAIS NO ÂMBITO DO PROGRAMA MINHA CASA, por meio do PAC, Convênio nº 039836/2025, consistindo no fornecimento de materiais, LOCAÇÃO DE EQUIPAMENTOS E MÃO-DE-OBRA, seguindo as orientações contidas no memorial descritivo, projetos, planilhas que integram o processo.</t>
  </si>
  <si>
    <t>ABERTURA: 30/04/2026 às 08h00min. LOCAL: www.novobbmnet.
com.br. CONTATO: 33 3351-8000, pelo site: wwwvermelhonovo.
mg.gov.br ou pelo e-mail: licitacaopmvn@yahoo.com.</t>
  </si>
  <si>
    <t>Prefeitura Municipal de Iguatama</t>
  </si>
  <si>
    <t>Iguatama</t>
  </si>
  <si>
    <t>* Licitação eletrônica * registro de preços para futura e eventual aquisição de manilhas de concreto armado pb-dn 800mm, 1000mm, 600mm e 400mm para atender as demandas da secretaria de obras e transportes urbanos do município de Iguatama/MG.</t>
  </si>
  <si>
    <t>Abertura: 23/04/2026 às 09:00h. 
Edital disponível: 09/04/2026 no Setor de Licitações: 037 3353-2289 e site www.iguatama.mg.gov.br e www.licitanet.com.br .
Iguatama, 09 de abril de 2026</t>
  </si>
  <si>
    <t>* Licitação eletrônica * Contratação de empresa para fornecimento de Materiais para Apicultura.</t>
  </si>
  <si>
    <t>Informações: e-mail cpl3@emater.mg.gov.br.</t>
  </si>
  <si>
    <t>Prefeitura Municipal de Santa Helena de Minas</t>
  </si>
  <si>
    <t>Santa Helena de Minas</t>
  </si>
  <si>
    <t>Contratação de Empresa Especializada, sob o Regime de Execução de Empreitada por Preço Global, compreendendo mão?de?obra e materiais, visando à construção 20 vinte Unidades Habitacionais, no Município de Santa Helena de Minas/MG, com recursos provenientes do Programa Minha Casa Minha Vida - Fundo Nacional de Habitação de Interesse Social MCMV/FNHIS, por meio do Termo de Compromisso N°. 992983/2026/MCIDADES/CAIXA - OPERAÇÃO N°.1103646-03, que entre si fazem a União Federal, por intermédio doa Ministério das Cidades, representadoa pela Caixa Econômica Federal - Novo Pac, com fornecimento de material e mão de obra, conforme Projeto Básico, especificações e condições Técnicas constantes neste edital e seus anexos.   * https://licitar.digital *</t>
  </si>
  <si>
    <t>Id: 96945
Unidade licitante: Prefeitura Municipal de Santa Helena de Minas - Unidade Única
Plataforma: licitardigital</t>
  </si>
  <si>
    <t>Consórcio Interfederativo de Minas Gerais</t>
  </si>
  <si>
    <t>Araxá</t>
  </si>
  <si>
    <t>* Registro de preços *  [LICITANET] - CONTRATAÇÃO DE EMPRESA DE FORMA INTEGRADA ESPECIALIZADA EM ELABORAÇÃO DOS PROJETOS EXECUTIVOS E EXECUÇÃO DE OBRA DE CONSTRUÇÃO DE UNIDADES HABITACIONAIS, NO ÂMBITO DO PROGRAMA MINHA CASA, MINHA VIDA EM ATENDIMENTO AOS ÓRGÃOS DEMANDANTES</t>
  </si>
  <si>
    <t>Unidade compradora: 2390 - CONSORCIO INTERFEDERATIVO MINAS GERAIS - CIMINAS
Local: Araxá/MG
Órgão: CONSORCIO INTERFEDERATIVO MINAS GERAIS - CIMINAS
Id contratação PNCP: 19493732000199-1-000021/2026
Fonte: Licitanet Licitações Eletrônicas LTDA
 - Número compra: 001 - Concorrência - Eletrônica</t>
  </si>
  <si>
    <t>Prefeitura Municipal de Ouro Fino</t>
  </si>
  <si>
    <t>* Licitação eletrônica * Contratação de empresa especializada para fornecimento de telhas metálicas trapezoidais e telhas termoacústicas tipo sanduíche, destinadas à manutenção, reforma e execução de coberturas em prédios públicos do Município de Ouro Fino - MG, conforme condições, quantidades e exigências estabelecidas no Anexo I - Termo de Referência/Especificações do objeto do Edital e seus anexos.</t>
  </si>
  <si>
    <t>Edital disponível em www.ourofino.mg.gov.br, aba Licitações. Início de cadastramento das propostas: 09/04/2026 às 08:00. Fim de cadastramento das propostas: 27/04/2026 às 08:00. Abertura das propostas: 27/04/2026 às 08:15. Fase de disputa de lances: 27/04/2026 às 08:30. Consultas: licitacoes@ourofino.mg.gov.br.</t>
  </si>
  <si>
    <t xml:space="preserve">CONTRATAÇÃO DE EMPRESA ESPECIALIZADA NA PRESTAÇÃO DE SERVIÇOS TÉCNICOS DE ENGENHARIA AMBIENTAL E SANITÁRIA, VISANDO ATENDER ÀS NECESSIDADES DA SECRETARIA MUNICIPAL DE AGRICULTURA, MEIO AMBIENTE E DESENVOLVIMENTO ECONÔMICO DO MUNICÍPIO DE ÁGUA BOA/MG. </t>
  </si>
  <si>
    <t>Data de início do recebimento das propostas: 09/04/2026 às 08:00 h
Data fim do recebimento das propostas: 13/04/2026 às 15:00 h</t>
  </si>
  <si>
    <t>Prefeitura Municipal de São José da Varginha</t>
  </si>
  <si>
    <t>São José da Varginha</t>
  </si>
  <si>
    <t>Contratação de empresa especializada no ramo da construção civil para execução das obras de Construção de Habitações de Interesse Social - HIS - Padrão Popular 20 unidades habitacionais no município de São José da Varginha/MG, realizada por meio de convênio firmado entre o Município de São José da Varginha/MG e o Governo Federal, por intermédio do Ministério das Cidades, conforme Convênio nº 992986/2026, com recursos provenientes do Programa Moradia Digna MCMV destinados à ampliação da oferta de moradias dignas para famílias em situação de vulnerabilidade social * https://licitar.digital *</t>
  </si>
  <si>
    <t>Id: 96962
Unidade licitante: Prefeitura Municipal De São Jose Da Varginha - Unidade Única
Plataforma: licitardigital</t>
  </si>
  <si>
    <t>Prefeitura Municipal de Carmo da Cachoeira</t>
  </si>
  <si>
    <t>Carmo da Cachoeira</t>
  </si>
  <si>
    <t>Credenciamento de pessoas juridicas para Prestação de serviços em assentamento de meio fio, pavimento intertravado tipo sextavado/bloquetes e pedra pe de moleque para as demandas da Secretaria de obras do Municipio de Dores do Turvo MG.</t>
  </si>
  <si>
    <t>Local: O recebimento da documentação para o credenciamento ocorrerá exclusivamente no formato
Presencial na sede da Prefeitura Municipal - Setor de Licitações.
Período: 09/04/2026 a 31/12/2026.
Horario: 07:00 as 10:30 e de 12:00 as 15:30
Base legal: Artigos 78 e 79 da Lei Federal 14.133/2021
Modo de seleção: paralela e não excludente: caso em que é viável e vantajosa para a Administração a
realização de contratações simultâneas em condições padronizadas.</t>
  </si>
  <si>
    <t>Policia Militar de Minas Gerais - 11 RPM</t>
  </si>
  <si>
    <t xml:space="preserve">* Licitação eletrônica * Aquisição de materiais de construção destinados à reforma da sala da P1, utilizada como apoio ao Pelotão de Trânsito na cidade de Montes Claros/MG. </t>
  </si>
  <si>
    <t xml:space="preserve"> PMMG - 11ª RPM. Pregão Eletrônico nº 1257654 06/2026
Propostas: envio ao Portal de Compras/MG, entre 14h de 09/04/2026 até às 08h59min de 30/04/2026.  - Sítio: www.compras.mg.gov.br</t>
  </si>
  <si>
    <t>* Licitação eletrônica * Contratação de empresa especializada para o fornecimento de materiais de serralheria, estruturas metálicas e insumos de construção civil, visando atender às demandas de manutenção e infraestrutura das diversas secretarias do Município de Ouro Fino, conforme condições, quantidades e exigências estabelecidas no Anexo I - Termo de Referência/Especificações do objeto do Edital e seus anexos.</t>
  </si>
  <si>
    <t>Edital disponível no site www.ourofino.mg.gov.br, aba Licitações. Início de cadastramento das propostas: 09/04/2026 às 08:00. Fim de cadastramento das propostas: 28/04/2026 às 08:00. Abertura das propostas: 28/04/2026 às 08:15. Fase de disputa de lances: 28/04/2026 às 08:30. Consultas: licitacoes@ourofino.mg.gov.br.</t>
  </si>
  <si>
    <t xml:space="preserve">Autarquia Hospital Municipal Sant’Ana de Carandaí </t>
  </si>
  <si>
    <t xml:space="preserve">* Licitação eletrônica * REGISTRO DE PREÇO, consignados em Ata de Registro de Preço, visando a futura e eventual aquisição de Materiais de Construção diversos e Materiais para Manutenção Civil, Elétrica e Hidráulica, para atender as necessidades da Autarquia Hospital Municipal Sant'Ana de Carandaí. </t>
  </si>
  <si>
    <t xml:space="preserve"> O mesmo ocorrerá no
site https://hospitalcarandai.licitapp.com.br//,
com início do recebimento das propostas: 8h
do dia 09/04/2026. Término do recebimento
das propostas: 8h do dia 22/04/2026. Início
da sessão de disputa de preços: 9h do dia
22/04/2026, horário de Brasília. Para retirar o
Edital e informações: site
hospital.carandai.mg.gov.br ou pelo email: licitahmsc@carandai.mg.gov.br</t>
  </si>
  <si>
    <t>Defensoria Pública do Estado de Minas Gerais</t>
  </si>
  <si>
    <t>PE/1441003.000034/2026</t>
  </si>
  <si>
    <t>* Licitação eletrônica * Materiais de pintura e revitalização</t>
  </si>
  <si>
    <t>www.compras.mg.gov.br</t>
  </si>
  <si>
    <t>SM/5.2026.3046</t>
  </si>
  <si>
    <t>* Licitação Eletrônica *  Tampões em ferro fundido .</t>
  </si>
  <si>
    <t>MODO ABERTO ELETRÔNICO PARA REGISTRO DE PREÇOS
CPLI nº 05 .2026/3046 .Objeto: tampões em ferro fundido . Dia da
Licitação: 22 de abril de 2026, às 09:00 horas . Edital e demais
informações disponíveis a partir do dia 10/04/2026, no site: www .
copasa .com .br link: Licitações e Contratos/Licitação</t>
  </si>
  <si>
    <t>Prefeitura Municipal de Ribas do Rio Pardo</t>
  </si>
  <si>
    <t>Ribas do Rio Pardo</t>
  </si>
  <si>
    <t>* Licitação Eletrônica * Contratação de empresa Especializada para a execução de obra de engenharia para a construção de 25 unidades habitacionais, no bairro Parque Estoril, Ribas do Rio Pardo/MS, por meio do TERMO DE COMPROMISSO Nº 970800/2024/MCIDADES/CAIXA. * https://bllcompras.com *</t>
  </si>
  <si>
    <t>LOCAL: https://bllcompras.com/
Nº PROC. ADM: 029/2026
 TIPO CONTRATO: AQUISIÇÃO
 INÍCIO REC. PROPOSTA: 10/04/2026 09:00:00
 FIM REC. PROPOSTA: 25/05/2026 08:30:00
 INÍCIO DISPUTA: 25/05/2026 09:00:00
 CIDADE: RIBAS DO RIO PARDO
 FASE: PUBLICADO
 EXCLUSIVO ME: NÃO
 EXCLUSIVO REGIONAL: NÃO
 MODO DE DISPUTA: ABERTO
 TIPO DE LANCE: MENOR LANCE
 FONE PROMOTOR: 6732381175
 E-MAIL PROMOTOR: prefeitura@ribasdoriopardo.ms.gov.br
 CONDUTOR: EDUARDO SOUZA THOMAZ
 AUTORIDADE: ROBERSON LUIZ MOUREIRA
 INFORMACÕES ADICIONAIS: 
 VALOR ESTIMADO: R$4.292.838,65</t>
  </si>
  <si>
    <t>Prefeitura Municipal de Campo Grande</t>
  </si>
  <si>
    <t>CONTRATAÇÃO DE EMPRESA ESPECIALIZADA PARA READEQUAÇÃO E RECUPERAÇÃO FUNCIONAL DO PAVIMENTO ASFÁLTICO DA VIA DE ACESSO AO BAIRRO DAS MORENINHAS - TRECHO DA AV. GURY MARQUES - EM CAMPO GRANDE, MS. * www.compras.ms.gov.br *</t>
  </si>
  <si>
    <t>CONCORRÊNCIA</t>
  </si>
  <si>
    <t>AGESUL - Agência Estadual de Gestão de Empreendimentos</t>
  </si>
  <si>
    <t>* Licitação Eletrônica * OBRA DE INFRAESTRUTURA URBANA - PAVIMENTAÇÃO ASFÁLTICA E DRENAGEM DE ÁGUAS PLUVIAIS, NA RUA SERIEMA, NO MUNICÍPIO DE SÃO GABRIEL DO OESTE/MS.</t>
  </si>
  <si>
    <t>Unidade compradora: 2489 - AGESUL-Agência Estadual de Gestão de Empreendimentos de Campo Grande/MS
Local: Campo Grande/MS
Órgão: AGENCIA ESTADUAL DE GESTAO DE EMPREENDIMENTOS
Id contratação PNCP: 15457856000168-1-000042/2026
Fonte: Ei Soluções Inteligentes
 - Número compra: CO 040/2026-DLO/AGESUL - Concorrência - Eletrônica</t>
  </si>
  <si>
    <t>* Licitação Eletrônica * OBRA DE INFRAESTRUTURA URBANA - PAVIMENTAÇÃO ASFÁLTICA E DRENAGEM DE ÁGUAS PLUVIAIS, NO BAIRRO NOVA ALIANÇA E ADJACÊNCIAS, NO MUNICÍPIO DE LADÁRIO/MS.</t>
  </si>
  <si>
    <t>Unidade compradora: 2489 - AGESUL-Agência Estadual de Gestão de Empreendimentos de Campo Grande/MS
Local: Campo Grande/MS
Órgão: AGENCIA ESTADUAL DE GESTAO DE EMPREENDIMENTOS
Id contratação PNCP: 15457856000168-1-000041/2026
Fonte: Ei Soluções Inteligentes
 - Número compra: CO 042/2026-DLO/AGESUL - Concorrência - Eletrônica</t>
  </si>
  <si>
    <t>CR/41/2026</t>
  </si>
  <si>
    <t>* Licitação Eletrônica * OBRA DE INFRAESTRUTURA URBANA - PAVIMENTAÇÃO ASFÁLTICA E DRENAGEM DE ÁGUAS PLUVIAIS, NO DISTRITO DE MORUMBI, NO MUNICÍPIO DE ELDORADO/MS.</t>
  </si>
  <si>
    <t>Unidade compradora: 2489 - AGESUL-Agência Estadual de Gestão de Empreendimentos de Campo Grande/MS
Local: Campo Grande/MS
Órgão: AGENCIA ESTADUAL DE GESTAO DE EMPREENDIMENTOS
Id contratação PNCP: 15457856000168-1-000043/2026
Fonte: Ei Soluções Inteligentes
 - Número compra: CO 041/2026-DLO/AGESUL - Concorrência - Eletrônica</t>
  </si>
  <si>
    <t>CR/43/2026</t>
  </si>
  <si>
    <t>* Licitação Eletrônica * OBRA DE INFRAESTRUTURA URBANA - PAVIMENTAÇÃO ASFÁLTICA E DRENAGEM DE ÁGUAS PLUVIAIS, NO LOTEAMENTO INDUSTRIAL, NO MUNICÍPIO DE NAVIRAÍ/MS, CR 938.546/2022 MDR/SUDECO.</t>
  </si>
  <si>
    <t>Unidade compradora: 2489 - AGESUL-Agência Estadual de Gestão de Empreendimentos de Campo Grande/MS
Local: Campo Grande/MS
Órgão: AGENCIA ESTADUAL DE GESTAO DE EMPREENDIMENTOS
Id contratação PNCP: 15457856000168-1-000044/2026
Fonte: Ei Soluções Inteligentes
 - Número compra: CO 043/2026-DLO/AGESUL - Concorrência - Eletrônica</t>
  </si>
  <si>
    <t>Contratação de empresa especializada para execução do Componente Ambiental referente à obra de implantação e pavimentação da rodovia MT-020/251, do km 42 ao km 48, localizado nos municípios de Cuiabá e Chapada dos Guimarães/MT.LOTE: ÚNICO.</t>
  </si>
  <si>
    <t xml:space="preserve"> O Edital será disponibilizado no dia 07/04/2026, a partir das 14h00
horário local, pelo endereço eletrônico www.sinfra.mt.gov.br, acessando
o menu "serviços" e o submenu "licitações e editais". Entrega e envio dos
documentos de habilitação e das propostas no SIAG: de 07/04/2026 a
17/05/2026, período integral, e no dia 18/05/2026 até as 08h30min horário
de Cuiabá/MT. ABERTURA DA LICITAÇÃO: 18/05/2026 às 09h00min
horário de Cuiabá/MT, através do site http://seplag.mt.gov.br/ - link: https://
aquisicoes.seplag.mt.gov.br. EDITAL DISPONIBILIZADO: disponível para
consulta no site da Secretaria de Estado de Infraestrutura e Logística -
SINFRA: www.sinfra.mt.gov.br e Portal de aquisições MT: www.seplag.
mt.gov.br - Link: https://aquisicoes.seplag.mt.gov.br .Informações gerais:
telefone nº. 65 3613-0529 e-mail: cpl@sinfra.mt.gov.br</t>
  </si>
  <si>
    <t>* Licitação Eletrônica * EXECUÇÃO DA 2ª ETAPA DA OBRA DE AMPLIAÇÃO DO SISTEMA DE ESGOTAMENTO SANITÁRIO DO MUNICÍPIO DE BAYEUX, NO ESTADO DA PARAÍBA, de acordo com o Projeto Executivo e seus anexos, as Normas da Associação Brasileira de Normas Técnicas - ABNT, assim como a LICENÇA DE ALTERAÇÃO DE INSTALAÇÃO - Nº 1854/2025 * http://www.licitacoes-e.com.br *</t>
  </si>
  <si>
    <t xml:space="preserve">Edital : LC022/2026 
Modalidade : LRE 
Nº Licitação : 1091137 
Início acolhimento de propostas : 13/04/2026-08:00 
Limite acolhimento de propostas : 06/05/2026-08:00 
Abertura das propostas : 06/05/2026-08:00 
Data e a hora da disputa : 06/05/2026-09:00 
Pregoeiro : IEDA PATRICIA DE SOUZA RODRIGUES
 </t>
  </si>
  <si>
    <t>* Licitação Eletrônica * CONTRATAÇÃO DE EMPRESA PARA EXECUÇÃO DA OBRA DE AMPLIAÇÃO DO SISTEMA DE ESGOTAMENTO SANITÁRIO DO MUNICÍPIO DE AREIA, NO ESTADO DA PARAÍBA, de acordo com o Projeto Executivo e seus anexos, as Normas da Associação Brasileira de Normas Técnicas - ABNT, assim como a Licença Ambiental de Instalação nº. 2592/2025 * http://www.licitacoes-e.com.br *</t>
  </si>
  <si>
    <t>Edital : LC013/2026 
Modalidade : LRE 
Nº Licitação : 1091147 
Início acolhimento de propostas : 16/04/2026-08:00 
Limite acolhimento de propostas : 12/05/2026-08:00 
Abertura das propostas : 12/05/2026-08:00 
Data e a hora da disputa : 12/05/2026-09:00 
Pregoeiro : ERIKA DO AMARAL VERAS</t>
  </si>
  <si>
    <t>* Licitação Eletrônica * PRESTAÇÃO DE SERVIÇOS DE ENGENHARIA PARA CONSTRUÇÃO DE NOVA REDE COMPACTA DE DISTRIBUIÇÃO DE ENERGIA EM MÉDIA TENSÃO 13.800 V NA UNIDADE MARÉS, NO MUNICÍPIO DE JOÃO PESSOA, INTEGRANTE DO SISTEMA INTEGRADO DE ABASTECIMENTO D'ÁGUA DE JOÃO PESSOA NA GERÊNCIA REGIONAL DO LITORAL, de acordo com o Projeto Básico e seus anexos, as Normas da Associação Brasileira de Normas Técnicas - ABNT. * http://www.licitacoes-e.com.br *</t>
  </si>
  <si>
    <t>Edital : LC017/2026 
Modalidade : LRE 
Nº Licitação : 1091123 
Início acolhimento de propostas : 14/04/2026-08:00 
Limite acolhimento de propostas : 07/05/2026-08:00 
Abertura das propostas : 07/05/2026-08:00 
Data e a hora da disputa : 07/05/2026-09:00 
Pregoeiro : ERIKA DO AMARAL VERAS</t>
  </si>
  <si>
    <t>Prefeitura Municipal de Aguiar</t>
  </si>
  <si>
    <t>Aguiar</t>
  </si>
  <si>
    <t>aquisição de máquinas e equipamentos</t>
  </si>
  <si>
    <t>cuja abertura será no dia 24.04.2026 às 08:30 horas, na sala de licitações deste
órgão, situado na Rua Irineu Lacerda, s/nº, Centro - Aguiar-PB. O edital poderá ser obtido na Prefeitura
Municipal ou pelo www.tce.pb.gov.br ou www.aguiar.pb.gov.br e demais informações encontram-se a
disposição dos interessados no endereço acima citado, no horário das 08:00 às 12:00 horas, contatos
pelo email cpl@aguiar.pb.gov.br.</t>
  </si>
  <si>
    <t>Prefeitura Municipal de Afogados da Ingazeira</t>
  </si>
  <si>
    <t>Afogados da Ingazeira</t>
  </si>
  <si>
    <t>* Licitação Eletrônica * AQUISIÇÃO DE SACOS DE CIMENTO EMBALAGEM DE 50 KG TIPO NACIONAL OU POTY, DESTINADOS AS OBRAS CIVIS E DE INFRAESTRUTURA NO MUNICÍPIO DE AFOGADOS DA INGAZEIRA OBSERVAÇÃO: MATERIAL ENTREGUE NA OBRA.</t>
  </si>
  <si>
    <t>Órgão: Prefeitura Municipal de Afogados da Ingazeira - Prefeitura Municipal de Afogados da Ingazeira - PE
				Processo: 007
				Edital: 018/2026
				Modalidade: Pregão
				Início de envio das propostas: 09-04-2026 ás 08:00
				Término de envio das propostas: 22/04/2026 ás 07:30		
				Início dos lances: 22/04/2026 ás 08:00</t>
  </si>
  <si>
    <t>Fundo Municipal de Assistência Social de Pedra</t>
  </si>
  <si>
    <t>Pedra</t>
  </si>
  <si>
    <t>* Licitação Eletrônica * REGISTRO DE PREÇOS PARA AQUISIÇÃO EVENTUAL E FUTURO FORNECIMENTO DE  MATERIAL  DE CONSTRUÇÃO CAIXA DÀGUA DESTINADOS A ATENDER AS FAMÍLIAS EM SITUAÇÃO DE VULNERABILIDADE SOCIAL, ATRAVÉS DO BENEFÍCIO EVENTUAL DO MUNICÍPIO DE PEDRA, NOS TERMOS E...</t>
  </si>
  <si>
    <t>Órgão: FUNDO MUNICIPAL DE ASSISTENCIA SOCIAL - Prefeitura Municipal de Pedra - PE
				Processo: 09/2026
				Edital: 07/2026
				Modalidade: Pregão para Registro de Preço
				Início de envio das propostas: 09-04-2026 ás 10:00
				Término de envio das propostas: 22/04/2026 ás 10:00		
				Início dos lances: 22/04/2026 ás 10:01</t>
  </si>
  <si>
    <t>SM/83/2025</t>
  </si>
  <si>
    <t>* Licitação Eletrônica * REGISTRO DE PREÇOS PARA AQUISIÇÃO DE RELÉ DE PROTEÇÃO DIGITAL * http://www.licitacoes-e.com.br *</t>
  </si>
  <si>
    <t>Edital : LC083/2025 
Modalidade : LRE 
Nº Licitação : 1090621 
Início acolhimento de propostas : 09/04/2026-13:00 
Limite acolhimento de propostas : 17/04/2026-09:00 
Abertura das propostas : 17/04/2026-09:00 
Data e a hora da disputa : 17/04/2026-10:00 
Pregoeiro : EDUARDO GREGO MEIRA DE OLIVEIRA</t>
  </si>
  <si>
    <t>Prefeitura Municipal de Canhotinho</t>
  </si>
  <si>
    <t>Canhotinho</t>
  </si>
  <si>
    <t>Levantamento de preços para eventual contratação de empresas especializadas no fornecimento de artefatos de concreto, materiais para drenagem, pisos especiais e demais elementos correlatos, destinados à execução de serviços de pavimentação, drenagem, urbanização e manutenção de vias e espaços públicos para atender às demandas da Secretaria de Infraestrutura e Serviços Urbanos do Município de Canhotinho-PE.</t>
  </si>
  <si>
    <t>** Confirmar prazo na Unidade Licitante, pois não foi informado pela Fonte Oficial **
O prazo para envio das cotações será de 10 dias úteis, contados a partir da data de publicação deste aviso 09/04/2026. Solicitações e informações pelo e-mail dpcomprascanhotinho@hotmail.com ou telefone 87 3781-1144.</t>
  </si>
  <si>
    <t>Prefeitura Municipal de Piracuruca</t>
  </si>
  <si>
    <t>Piracuruca</t>
  </si>
  <si>
    <t>* Licitação eletrônica * Contratação de empresa especializada para a locação de equipamentos veiculares multifuncionais, integrados aos motociclos, com sistema de pulverização para aplicações residuais e sistema de nebulização com aspersor de gotas em ultrabaixo volume [UBV], incluindo monitoramento da aplicação de insumos via GPS.</t>
  </si>
  <si>
    <t>Valor mensal estimado: R$ 94.159,98. Plataforma: BBMNETLicitaçõesBolsaBrasileiradeMercadorias.Edital:https://novobbmnet.com.br/www.tce .pi.gov.brcpl.piracuruca.pi@gmail.com; https://novobbmnet.com.br/ - www.tce.pi.gov.br - https:/ cpl.piracuruca.pi@gmail.com e na Rua Tenente Rui Brito nº 1510, centro Piracuruca-PI. Telefone: 86 86 99993 5831.</t>
  </si>
  <si>
    <t>SETUR - Secretaria de Turismo do Estado do Piauí</t>
  </si>
  <si>
    <t xml:space="preserve"> contratação de empresa de engenharia para execução das obras e serviços de Urbanização da Orla de Cajueiro da Praia - Cajueiro da Praia/PI.</t>
  </si>
  <si>
    <t>Local em que os interessados poderão ter acesso ao texto integral do edital: Sala da
Comissão de Contratação da SETUR localizada à Avenida Marechal Castelo Branco nº 1275, Centro
de Convenções, Bairro Cabral, CEP 64.002-830; No sítio eletrônico do Portal Nacional de Compras
Públicas: https://www.gov.br/pncp/pt-br ; no sítio eletrônico do
TCE/PI: https://sistemas.tce.pi.gov.br/licitacoesweb/mural/; no sítio eletrônico da
SETUR/PI: https://turismo.pi.gov.br/licitacoes/.
DATA E HORÁRIO DA SESSÃO DE ABERTURA: 28/04/2026 às 10h30min.
LOCAL: Bolsa de Licitações e Leilões do Brasil.
Informações: Comissão de Contratação de SETUR/PI, localizada à Avenida Marechal Castelo
Branco nº 1275, Centro de Convenções, Bairro Cabral, CEP 64.002-830; via e-mail:
seturlicitacao@gmail.com; mediante protocolo de usuário externo do SEI por meio sítio eletrônico:
https://portal.pi.gov.br/; e ainda pelo Telefone 86 3216-2664.
Valor Global: R$ 2.492.859,44 dois milhões quatrocentos e noventa e dois mil oitocentos e
cinquenta e nove reais e quarenta e quatro centavos.
Dotação Orçamentária: Órgão Orçamento: 47 - SECRETARIA DO TURISMO; Unidade
Orçamentária: 47101 - SECRETARIA DO TURISMO; Programa de trabalho: 23.695.0106.6105;
Natureza da Despesa: 449051; Fonte de Recursos: 754.</t>
  </si>
  <si>
    <t>* Licitação Eletrônica * CONTRATAÇÃO DE EMPRESA ESPECIALIZADA PARA A PRESTAÇÃO DE SERVIÇOS DE IMPLANTAÇÃO DE SISTEMA DE ABASTECIMENTO DE ÁGUA NA ZONA RURAL DO MUNICÍPIO DE CURIMATÁ - PI, EM CONFORMIDADE COM O CONVÊNIO Nº 966584/2024 - ** www.comprasbr.com.br **</t>
  </si>
  <si>
    <t>Prefeitura Municipal de Demerval Lobão</t>
  </si>
  <si>
    <t>Demerval Lobão</t>
  </si>
  <si>
    <t>* Licitação eletrônica * Contratação De Empresa Para Aquisição De Material De Construção Para Atender Às Necessidades Da Prefeitura Municipal De Demerval Lobão.</t>
  </si>
  <si>
    <t xml:space="preserve">edital: disponível nos sites: https://www.licitademervallobao.com.br e tce/pi informações: avenida padre Joaquim nonato, nº 132, centro, demerval lobão-pi.e-mail:
cpl.demervallobao@gmail.com.
</t>
  </si>
  <si>
    <t>Prefeitura Municipal de Avelino Lopes</t>
  </si>
  <si>
    <t>Avelino Lopes</t>
  </si>
  <si>
    <t>* Licitação Eletrônica * Contratação de empresa para Provisão habitacional no Município de Avelino Lopes - PI</t>
  </si>
  <si>
    <t>Órgão: Prefeitura Municipal de Avelino Lopes - Prefeitura Municipal de Avelino Lopes - PI
				Processo: 019/2026
				Edital: 01/2026
				Modalidade: Concorrência
				Início de envio das propostas: 09-04-2026 ás 08:00
				Término de envio das propostas: 24/04/2026 ás 08:00		
				Início dos lances: 28/04/2026 ás 08:00</t>
  </si>
  <si>
    <t>Prefeitura Municipal de Socorro do Piauí</t>
  </si>
  <si>
    <t>Socorro do Piauí</t>
  </si>
  <si>
    <t>contratação de empresa especializada no ramo de engenharia civil para a execução de serviços de Reforma e Ampliação do Balneário Barragem do Vale Verde, em atendimento da Prefeitura Municipal de Socorro do Piauí-PI</t>
  </si>
  <si>
    <t xml:space="preserve">A Comissão de Contratação, por meio de seu Pregoeiro em exercício,
torna público que no dia 04 de maio de 2026, às 10:30h, realizará a abertura
da proposta/documentação relativa a Concorrência Eletrônica n°
006/2026/PMSP, tipo menor preço, através de Sistema Eletrônico no endereço
"http://comprasbr.com.br", que tem como objeto a contratação de empresa
especializada no ramo de engenharia civil para a execução de serviços de
Reforma e Ampliação do Balneário Barragem do Vale Verde, em atendimento da
Prefeitura Municipal de Socorro do Piauí-PI, conforme especificações,
quantitativos e condições estabelecidas no Projeto Básico e demais documentos
técnicos que integram o processo licitatório, custeada com recursos financeiros
constantes do edital da mesma licitação, orçados em R$ 578.622,74. Para
maiores informações, contactar a Comissão de Contratação, por meio do
endereço eletrônico: e-mail: cpl@socorrodopiaui.pi.gov.br. </t>
  </si>
  <si>
    <t>Prefeitura Municipal de Oeiras</t>
  </si>
  <si>
    <t>Oeiras</t>
  </si>
  <si>
    <t>* Licitação eletrônica * REGISTRO DE PREÇOS PARA FUTURA E EVENTUAL AQUISIÇÃO DE CIMENTO PORTLAND, EM SACOS DE 50 KG, DESTINADO AO ATENDIMENTO DAS DEMANDAS DAS SECRETARIAS MUNICIPAIS DO MUNICÍPIO DE OEIRAS - PI</t>
  </si>
  <si>
    <t>SM/103/2026</t>
  </si>
  <si>
    <t xml:space="preserve">* Licitação Eletrônica * ELABORACAO DE PROJETO BASICO HIDRAULICO COM BASICOS COMPLEMENTARES PARA AMPLIACAO DO SISTEMA DE ABASTECIMENTO DE AGUA DO MUNICIPIO DE CONTENDA, CONFORME DETALHADO NOS ANEXOS DO EDITAL. </t>
  </si>
  <si>
    <t xml:space="preserve"> Informações: O edital e as informações relacionadas ao processo de Licitação Eletrônica poderão ser obtidos diretamente no site do Banco do Brasil licitações-e ou através do link abaixo download de documentos. Para os casos de licitações com sessão pública presencial, o edital e informações poderão ser obtidas através do link abaixo download de documentos.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09/04/2026 a 08/05/2026 </t>
  </si>
  <si>
    <t>SM/107/2026</t>
  </si>
  <si>
    <t xml:space="preserve">* Licitação Eletrônica * ELABORACAO DE PROJETO BASICO HIDRAULICO COM BASICOS COMPLEMENTARES E DE PROJETO DE UNIDADES LINEARES PARA IMPLANTACAO DE SISTEMA DE ESGOTAMENTO SANITARIO NO MUNICIPIO DE DIAMANTE DO OESTE, CONFORME DETALHADO NOS ANEXOS DO EDITAL. </t>
  </si>
  <si>
    <t xml:space="preserve"> Informações: O edital e as informações relacionadas ao processo de Licitação Eletrônica poderão ser obtidos diretamente no site do Banco do Brasil licitações-e ou através do link abaixo download de documentos. Para os casos de licitações com sessão pública presencial, o edital e informações poderão ser obtidas através do link abaixo download de documentos.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09/04/2026 a 06/05/2026 </t>
  </si>
  <si>
    <t>PE/1172/2026</t>
  </si>
  <si>
    <t xml:space="preserve">* Licitação Eletrônica * AQUIS DE CONVERSOR </t>
  </si>
  <si>
    <t>Prefeitura Municipal de Umuarama</t>
  </si>
  <si>
    <t>Umuarama</t>
  </si>
  <si>
    <t>Contratação de empresa para aquisição de drone profissional de uso técnico, destinado a operações institucionais, equipado com sistema avançado de estabilização, navegação por satélite e sensores embarcados de alta precisão, incluindo controle remoto dedicado, baterias inteligentes extras, hub/carregador múltiplo, todos os acessórios necessários, manuais e garantia mínima do fabricante.</t>
  </si>
  <si>
    <t>As propostas deverão ser encaminhadas até às 23:59h do dia 13 de abril de 2026, no email: compradireta@umuarama.pr.gov.br. Devem ser enviadas juntamente com a proposta todos os documentos de habilitação.</t>
  </si>
  <si>
    <t>* Licitação eletrônica * A Companhia de Serviços de Urbanização de Guarapuava - SURG torna público que realizará licitação na modalidade Pregão Eletrônico, do tipo menor preço por item, objetivando o registro de preços para aquisição de tampões em ferro fundido destinados à execução e manutenção de serviços de drenagem urbana.</t>
  </si>
  <si>
    <t>A sessão pública e disputa de lances ocorrerá no dia 27 de abril de 2026, às 08h30min, por meio do Portal de Compras do Governo Federal.
O edital e seus anexos encontram-se disponíveis no site oficial da SURG e no Portal de Compras do Governo Federal.
Informações adicionais poderão ser obtidas junto ao Departamento de Licitações, pelo e-mail:
licita@surg.com.br ou telefone 42 3630-0500.</t>
  </si>
  <si>
    <t>SM/102/2026</t>
  </si>
  <si>
    <t xml:space="preserve">* Licitação Eletrônica * EXECUCAO DE OBRA DE AMPLIACAO DO SISTEMA DE ESGOTAMENTO SANITARIO   SES NO MUNICIPIO DE ARAPONGAS, EVIDENCIANDO-SE  COLETOR BANDEIRANTES, INTERLIGANDO A AREA DA ETE BANDEIRANTES 1 COM A ETE BANDEIRANTES 2, COM FORNECIMENTO DE MATERIAIS, CONFORME DETALHADO NOS ANEXOS DO EDITAL. </t>
  </si>
  <si>
    <t xml:space="preserve"> Informações: O edital e as informações relacionadas ao processo de Licitação Eletrônica poderão ser obtidos diretamente no site do Banco do Brasil licitações-e ou através do link abaixo download de documentos. Para os casos de licitações com sessão pública presencial, o edital e informações poderão ser obtidas através do link abaixo download de documentos.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09/04/2026 a 23/06/2026 </t>
  </si>
  <si>
    <t>Camara Municipal de Doutor Camargo</t>
  </si>
  <si>
    <t>Doutor Camargo</t>
  </si>
  <si>
    <t>Aquisição de um novo filtro para o purificador de água.</t>
  </si>
  <si>
    <t>Data abertura: 2026-04-15
Situação: Aguardando Abertura</t>
  </si>
  <si>
    <t>* Licitação Eletrônica * Registro de preços visando à contratação de empresa para prestação de serviços de manutenção de equipamentos com fornecimento de peças e óleo</t>
  </si>
  <si>
    <t xml:space="preserve">Entidade: SURG
Modalidade: Pregão eletrônico
Forma de julgamento: MAIOR DESCONTO SOBRE O LOTE
Email contato: 
Situação: AGUARDANDO ABERTURA
 </t>
  </si>
  <si>
    <t>SM/108/2026</t>
  </si>
  <si>
    <t xml:space="preserve">* Licitação Eletrônica * EXECUCAO DE OBRA DE MELHORIAS NO SISTEMA DE ABASTECIMENTO DE AGUA   SAA NO MUNICIPIO DE FOZ DO IGUACU COMPREENDENDO A EXECUCAO DE REDE DE DISTRIBUICAO DE AGUA, COM FORNECIMENTO DE MATERIAIS, CONFORME DETALHADO NOS ANEXOS DO EDITAL. </t>
  </si>
  <si>
    <t xml:space="preserve"> Informações: O edital e as informações relacionadas ao processo de Licitação Eletrônica poderão ser obtidos diretamente no site do Banco do Brasil licitações-e ou através do link abaixo download de documentos. Para os casos de licitações com sessão pública presencial, o edital e informações poderão ser obtidas através do link abaixo download de documentos.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09/04/2026 a 22/06/2026 </t>
  </si>
  <si>
    <t>SM/104/2026</t>
  </si>
  <si>
    <t xml:space="preserve">* Licitação Eletrônica * EXECUCAO DE OBRA PARA REDIMENSIONAMENTO DO POCO TUBULAR PROFUNDO P07 NA SEDE MUNICIPAL DE PIRAI DO SUL, COM FORNECIMENTO DE MATERIAIS, CONFORME DETALHADO NOS ANEXOS DO EDITAL. </t>
  </si>
  <si>
    <t xml:space="preserve"> Informações: O edital e as informações relacionadas ao processo de Licitação Eletrônica poderão ser obtidos diretamente no site do Banco do Brasil licitações-e ou através do link abaixo download de documentos. Para os casos de licitações com sessão pública presencial, o edital e informações poderão ser obtidas através do link abaixo download de documentos.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09/04/2026 a 12/05/2026 </t>
  </si>
  <si>
    <t>SM/105/2026</t>
  </si>
  <si>
    <t xml:space="preserve">* Licitação Eletrônica * EXECUCAO DE OBRA DE AMPLIACAO DO SISTEMA DE ABASTECIMENTO DE AGUA DA LOCALIDADE ENTRE RIOS, NO MUNICIPIO DE GUARAPUAVA, EVIDENCIANDO-SE  INSTALACAO DE BOMBA EM POCO PROFUNDO E MONTAGEM DE BARRILETE, COM A EXECUCAO DE INSTALACOES ELETRICAS PARA ACIONAMENTO DA BOMBA, CONSIDERANDO RAMAIS, FORNECIMENTO DE QUADRO DE COMANDO, COM FORNECIMENTO DE MATERIAIS, CONFORME DETALHADO NOS ANEXOS DO EDITAL. </t>
  </si>
  <si>
    <t xml:space="preserve"> Informações: O edital e as informações relacionadas ao processo de Licitação Eletrônica poderão ser obtidos diretamente no site do Banco do Brasil licitações-e ou através do link abaixo download de documentos. Para os casos de licitações com sessão pública presencial, o edital e informações poderão ser obtidas através do link abaixo download de documentos.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09/04/2026 a 11/05/2026 </t>
  </si>
  <si>
    <t>Prefeitura Municipal de Mandaguari</t>
  </si>
  <si>
    <t>Mandaguari</t>
  </si>
  <si>
    <t>* Licitação eletrônica * Prestação de serviços de limpeza de bocas de lobo, bueiros, caixas de ligação, poços de visita e desobstrução de galerias de águas pluviais, de forma mecanizada, mediante fornecimento de caminhão trucado equipado com sistema de sucção a alto vácuo, hidrojateamento de alta pressão e sistema de videomonitoramento para inspeção interna das tubulações, incluindo motorista/operador e 01 um auxiliar para execução dos serviços.</t>
  </si>
  <si>
    <t>Recebimento das propostas até 28/04/2026 às 08:00. Abertura e julgamento das propostas às 09:00 do dia 28/04/2026. Local: Compras.Gov. Informações: Avenida Amazonas, nº 500 - Mandaguari- PR. Telefone: 44 3233-8422 ou e-mail: licitacao@mandaguari.pr.gov.br.</t>
  </si>
  <si>
    <t>Prefeitura Municipal de Clevelândia</t>
  </si>
  <si>
    <t>Clevelândia</t>
  </si>
  <si>
    <t>Construção de 20 unidades residenciais de interesse social destinadas pelo Governo Federal, por intermédio do Programa Minha Casa Minha Vida, com recursos do Fundo Nacional de Habitação de Interesse Social, para municípios com população de até cinquenta mil habitantes - MCMV FNHIS Sub 50.</t>
  </si>
  <si>
    <t>O edital encontra-se disponível nos meios de comunicação conforme determina a Lei 14.133/2021.</t>
  </si>
  <si>
    <t>SM/7004587549</t>
  </si>
  <si>
    <t>* Licitação Eletrônica * Aquis. de Válvula de controle borboleta</t>
  </si>
  <si>
    <t>** Esta publicação está sendo informada para os estados SP e RJ onde será realizado o objeto da licitação. Informamos que a publicação oficial é do estado de RJ. **
Regiões: RJ SP 
Inicio: 2026/04/27 - 17:00:00 Término dos lances: 2026/04/27 17:00:00</t>
  </si>
  <si>
    <t>SM/7004587330</t>
  </si>
  <si>
    <t>* Licitação Eletrônica * Serviços de elaboração de estudos e projetos de engenharia preparatórios para a instalação de um sistema de turbo compressão na Plataforma Mexilhão 1 PMXL-1, dedicado ao campo de gás e condensado de Mexilhão, conforme as especificações deste documento e de seus adendos.</t>
  </si>
  <si>
    <t>** Esta publicação está sendo informada para os estados SP e RJ onde será realizado o objeto da licitação. Informamos que a publicação oficial é do estado de RJ. **
Regiões: SP 
Inicio: 2026/04/30 - 17:00:00 Término dos lances: 2026/04/30 17:00:00</t>
  </si>
  <si>
    <t>SM/7004587334</t>
  </si>
  <si>
    <t>* Licitação Eletrônica * Serviços de execução de obras de construção civil e demais disciplinas, elaboração de projetos executivos e fornecimento de bens na região da Bacia de Campos - RJ, conforme as especificações deste documento e de seus adendos.</t>
  </si>
  <si>
    <t>Regiões: RJ 
Inicio: 2026/06/16 - 17:00:00 Término dos lances: 2026/06/16 17:00:00</t>
  </si>
  <si>
    <t>SM/7004586347</t>
  </si>
  <si>
    <t>* Licitação Eletrônica * Aquisição de Conversor de frequência para motor elétrico, conforme as
especificações deste documento e de seus adendos.</t>
  </si>
  <si>
    <t>Regiões: RJ 
Inicio: 2026/04/15 - 17:00:00 Término dos lances: 2026/04/15 17:00:00</t>
  </si>
  <si>
    <t>Prefeitura Municipal de Cacoal</t>
  </si>
  <si>
    <t>Cacoal</t>
  </si>
  <si>
    <t>* Licitação Eletrônica * CONTRATAÇÃO DE EMPRESA ESPECIALIZADA PARA EXECUÇÃO DE QUALIFICAÇÃO VIÁRIA PAVIMENTAÇÃO ASFÁLTICA, DRENAGEM E SINALIZAÇÃO.</t>
  </si>
  <si>
    <t>Data abertura: 2026-04-27
Situação: Aguardando Abertura</t>
  </si>
  <si>
    <t>SM/26/2026</t>
  </si>
  <si>
    <t>aquisição de MATERIAIS MANUTENÇÃO PORTAS ALUMINIO</t>
  </si>
  <si>
    <t>Prefeitura Municipal de Viamão</t>
  </si>
  <si>
    <t>Viamão</t>
  </si>
  <si>
    <t>* Licitação Eletrônica * CONTRATAÇÃO DE EMPRESA ESPECIALIZADA NO FORNECIMENTO E INSTALAÇÃO DE TELAS DE PROTEÇÃO E TELAS MILIMÉTRICAS</t>
  </si>
  <si>
    <t>Órgão: Prefeitura Municipal de Viamão - Prefeitura Municipal de Viamão - RS
				Processo: 0141
				Edital: 20/2026
				Modalidade: Pregão para Registro de Preço
				Início de envio das propostas: 09-04-2026 ás 09:00
				Término de envio das propostas: 22/04/2026 ás 14:00		
				Início dos lances: 22/04/2026 ás 14:01</t>
  </si>
  <si>
    <t>Brigada Militar - 1º Comando Regional de Bombeiros</t>
  </si>
  <si>
    <t>DL/274/2026</t>
  </si>
  <si>
    <t>AQUISIÇÃO DE BENS DAS FAMÍLIAS:
0748-EQUIPAMENTOS/PECAS/ACESSORIOS P/NAVEGACAO;</t>
  </si>
  <si>
    <t>Edital : DL/274/2026
Modalidade : Dispensa eletrônica com disputa
Nº Licitação : 349564</t>
  </si>
  <si>
    <t>Seleção e contratação de consultor individual engenheiro civil, para exercer a função de gerente do projeto nas obras de execução de redes e canais de macro e microdrenagem e infraestrutura do Loteamento Túnel Verde, Bacia do Arroio Guabiroba - Trecho A e B e canal de macrodrenagem - e execução de microdrenagem e pavimentação do Loteamento Parque Agrícola Albion, dentro do Programa POA Futura, eixo Resiliência e Proteção, do Município de Porto Alegre, ações de Macrodrenagem do Departamento Municipal de Água e Esgotos - DMAE.</t>
  </si>
  <si>
    <t>[SOLICITAÇÃO DE MANIFESTAÇÃO DE INTERESSE] - ENDEREÇO PARA ENTREGA: licitacoes@dmae.prefpoa.com.br.O EDITAL E ANEXOS: estarão disponíveis a partir do dia 13/04/2026 no endereço: https://prefeitura.poa.br/dmae/licitacoes.Informações através do endereço licitacoes@dmae.prefpoa.com.br</t>
  </si>
  <si>
    <t>Prefeitura Municipal de Dom Pedrito</t>
  </si>
  <si>
    <t xml:space="preserve">* Licitação eletrônica *  AQUISIÇÃO DE REJEITO DE MINERAÇÃO - LICITAÇÃO COM RESERVA DE COTA - RP </t>
  </si>
  <si>
    <t xml:space="preserve"> 24/04/2026 às 9h 
 Demais informações pelo site: http://www.dompedrito.rs.gov.br
ou também pelo Portal de Compras Públicas, através do endereço eletrônico: https://www.portaldecompraspublicas.com.br </t>
  </si>
  <si>
    <t>Secretaria de Estado da Infraestrutura e Mobilidade de Santa Catarina</t>
  </si>
  <si>
    <t>CR/51/2026</t>
  </si>
  <si>
    <t>* Licitação Eletrônica * CONTRATAÇÃO DE EMPRESA PARA PRESTAÇÃO DE SERVIÇOS ESPECIALIZADOS DE ENGENHARIA PARA EXECUÇÃO DOS SERVIÇOS DE IMPLANTAÇÃO DE INTERSEÇÕES À ESQUERDA NA RODOVIA SC-410 NO MUNICÍPIO DE TIJUCAS/SC. * https://e-lic.sc.gov.br *</t>
  </si>
  <si>
    <t>Acesse o Portal de Compras E-LIC - SC https://e-lic.sc.gov.br/ e consulte os detalhes.
Número do processo: CE-0051/2026
Situação: Agendado/Publicado
Edital: CE-0051/2026
Início das propostas: 09/04/2026 08:00:00
Término das propostas: 19/05/2026 13:45:00</t>
  </si>
  <si>
    <t>Prefeitura Municipal de Forquilhinha</t>
  </si>
  <si>
    <t>Forquilhinha</t>
  </si>
  <si>
    <t>* Licitação Eletrônica * A presente licitação tem por objetivo a execução do Desassoreamento do Rio Sangão Etapa 4 - município de Forquilhinha/SC. PROCESSO SGPE SCC 11607/2025 - PORTARIA CONJUNTA SGG/SEF 013/2026. * https://bnccompras.com *</t>
  </si>
  <si>
    <t>LOCAL: https://bnccompras.com/
Nº PROC. ADM: 43/PMF/2026
 TIPO CONTRATO: AQUISIÇÃO
 INÍCIO REC. PROPOSTA: 09/04/2026 09:00:00
 FIM REC. PROPOSTA: 27/04/2026 08:59:00
 INÍCIO DISPUTA: 27/04/2026 09:00:00
 CIDADE: FORQUILHINHA
 FASE: PUBLICADO
 EXCLUSIVO ME: NÃO
 EXCLUSIVO REGIONAL: NÃO
 MODO DE DISPUTA: ABERTO
 TIPO DE LANCE: MENOR LANCE
 FONE PROMOTOR: 4834638100
 E-MAIL PROMOTOR: processos@forquilhinha.sc.gov.br
 CONDUTOR: NELI SEHNEM DOS SANTOS
 AUTORIDADE: JOSÉ CLAUDIO GONÇALVES
 VALOR ESTIMADO: R$6.740.618,47</t>
  </si>
  <si>
    <t>* Licitação Eletrônica * EXECUÇÃO DE 43 UNIDADE HABITACIONAIS, COM 56,56 M² CADA UNIDADE, ATRAVÉS DO PROGRAMA CASA CATARINA DO GOVERNO DO ESTADO DE SANTA CATARINA E CONFORME PORTARIA CONJUNTA SGG/SEF 58/2025.</t>
  </si>
  <si>
    <t>Órgão: Comissão Permanente de Licitação - Prefeitura Municipal de Araranguá - SC
				Processo: 1 / 2026 - 13229
				Edital: 1/2026
				Modalidade: Concorrência
				Início de envio das propostas: 09-04-2026 ás 09:00
				Término de envio das propostas: 27/04/2026 ás 08:15		
				Início dos lances: 27/04/2026 ás 08:30</t>
  </si>
  <si>
    <t>CR/90061/2025</t>
  </si>
  <si>
    <t>* Licitação Eletrônica * Execução dos serviços de terraplanagem, drenagem e obras correntes, pavimentação em ASFALTO, urbanísticos e sinalização para RUA TELMO VIEIRA RIBEIRO - BAIRRO SANTA HELENA, no município de Lages-SC</t>
  </si>
  <si>
    <t>Unidade compradora: 988183 - PREFEITURA MUNICIPAL DE LAGES - SC
Local: Lages/SC
Órgão: MUNICIPIO DE LAGES
Id contratação PNCP: 82777301000190-1-000377/2025
Fonte: Compras.gov.br
 Para as respostas de esclarecimentos e impugnações deste edital acesse o link: https://cnetmobile.estaleiro.serpro.gov.br/comprasnet-web/public/landing?destino=quadro-informativo&amp;compra=98818303900612025 - Número compra: 90061 - Concorrência - Eletrônica</t>
  </si>
  <si>
    <t>CR/90052/2025</t>
  </si>
  <si>
    <t>* Licitação Eletrônica * Execução dos serviços de terraplanagem, drenagem e obras correntes, pavimentação em ASFALTO, urbanísticos e sinalização para ESTRADA DOS MORRINHOS - MORRO DO CAJURU, no município de Lages-SC</t>
  </si>
  <si>
    <t>Unidade compradora: 988183 - PREFEITURA MUNICIPAL DE LAGES - SC
Local: Lages/SC
Órgão: MUNICIPIO DE LAGES
Id contratação PNCP: 82777301000190-1-000378/2025
Fonte: Compras.gov.br
 Para as respostas de esclarecimentos e impugnações deste edital acesse o link: https://cnetmobile.estaleiro.serpro.gov.br/comprasnet-web/public/landing?destino=quadro-informativo&amp;compra=98818303900522025 - Número compra: 90052 - Concorrência - Eletrônica</t>
  </si>
  <si>
    <t>Prefeitura Municipal de Blumenau</t>
  </si>
  <si>
    <t>Blumenau</t>
  </si>
  <si>
    <t>CR/23/2025</t>
  </si>
  <si>
    <t>* Licitação Eletrônica * Contratação de empresa para execução de obra de pavimentação e drenagem da Rua Hermann Hein - trecho final, bairro Vila Itoupava, Blumenau/SC, conforme especificações constantes no edital e seus anexos, sendo que os recursos para pagamento serão arcados por meio de Emenda Parlamentar Impositiva - Transferência Especial nº 1527/2022 - LOA do Governo do Estado de SC, Contrato de Repasse nº 952585/2023/MIDR/CAIXA, Programa Desenvolvimento Regional, Territorial e Urbano, Operação nº 1091256-82 e contrapartida com recursos de operação de crédito com o Banco do Brasil, Contrato de Financiamento nº 40/00039- 7/BB - SEMOB. - ** www.comprasbr.com.br **</t>
  </si>
  <si>
    <t>Prefeitura Municipal de São João Batista</t>
  </si>
  <si>
    <t>São João Batista</t>
  </si>
  <si>
    <t>* Licitação Eletrônica * CONTRATAÇÃO DE EMPRESA ESPECIALIZADA EM OBRAS E SERVIÇOS DE ENGENHARIA PARA A EXECUÇÃO DE DRENAGEM, PAVIMENTAÇÃO EM LAJOTAS E SINALIZAÇÃO VIÁRIA DAS RUAS ALECIO SILVEIRA, ANTONIO LUIZ TAMANINI, HUMBERTO A. DE OLIVEIRA, IRENE SANTOS FERREIRA, JOÃO...</t>
  </si>
  <si>
    <t>Órgão: Prefeitura Municipal de São João Batista - Prefeitura Municipal de São João Batista - SC
				Processo: 043/PMSJB/2026
				Edital: 006/PMSJB/2026
				Modalidade: Concorrência
				Início de envio das propostas: 10-04-2026 ás 08:00
				Término de envio das propostas: 29/04/2026 ás 08:15		
				Início dos lances: 29/04/2026 ás 08:30</t>
  </si>
  <si>
    <t>* Licitação Eletrônica * CONTRATAÇÃO DE EMPRESA ESPECIALIZADA EM OBRAS E SERVIÇOS DE ENGENHARIA PARA A EXECUÇÃO DE DRENAGEM, PAVIMENTAÇÃO ASFÁLTICA E SINALIZAÇÃO VIÁRIA DAS RUAS BERNARDINO FONTES, JOSÉ RAFAEL BOOZ E OSVALDO A. DOS SANTOS, NO MUNICÍPIO DE SÃO JOÃO BATISTA, SC,...</t>
  </si>
  <si>
    <t>Órgão: Prefeitura Municipal de São João Batista - Prefeitura Municipal de São João Batista - SC
				Processo: 042/PMSJB/2026
				Edital: 005/PMSJB/2026
				Modalidade: Concorrência
				Início de envio das propostas: 09-04-2026 ás 08:00
				Término de envio das propostas: 20/05/2026 ás 08:15		
				Início dos lances: 20/05/2026 ás 08:30</t>
  </si>
  <si>
    <t xml:space="preserve">* Licitação eletrônica * REGISTRO DE PREÇOS PARA EVENTUAL E FUTURA AQUISIÇÃO DE CABOS DE AÇO, CLIPS PARA CABOS E ARAME GALVANIZADO, DESTINADOS À REFORMA, MANUTENÇÃO E RECUPERAÇÃO DAS PONTES PÊNSIL DO MUNICÍPIO DE MAJOR GERCINO, </t>
  </si>
  <si>
    <t>CONFORME ESPECIFICAÇÕES E QUANTITATIVOS DESCRITOS NO TERMO DE REFERENCIA DATA E HORÁRIO DA SESSÃO: 22/04/2026 ÀS 08H30 HORAS DATA E HORÁRIO FINAL ENVIO DAS PROPOSTAS: 22/04/2026 ÀS 08H15 HORAS CRITÉRIO DE JULGAMENTO: MENOR PREÇO POR ITEM VALOR MÍNIMO DO LANCE: R$ 0,00</t>
  </si>
  <si>
    <t>* Licitação Eletrônica * Aquisição de Tachão Indicativo de Rede e Válvula para a Rede de Gás Natural da SCGÁS. * http://www.licitacoes-e.com.br *</t>
  </si>
  <si>
    <t>Edital : PE-016/26 
Modalidade : Pregão 
Nº Licitação : 1091149 
Início acolhimento de propostas : 13/04/2026-08:00 
Limite acolhimento de propostas : 06/05/2026-09:00 
Abertura das propostas : 06/05/2026-09:00 
Data e a hora da disputa : 06/05/2026-09:15 
Pregoeiro : GIOVANI DELLA ROCCA</t>
  </si>
  <si>
    <t>Prefeitura Municipal de Irineópolis</t>
  </si>
  <si>
    <t>Irineópolis</t>
  </si>
  <si>
    <t>Contratação de empresa para construção de oito unidades habitacionais, dentro do Programa Casa Catarina, com fornecimento de materiais e mão de obra, conforme projetos, memorial descritivo, cronograma físico financeiro e planilha orçamentária.</t>
  </si>
  <si>
    <t>O Edital de Licitação encontra-se à disposição dos interessados no Departamento de Licitações, Rua Paraná, n.º 200, Centro - Irineópolis - SC, Fone 47 3625-1111, no site irineopolis.atende.net e portaldecompraspublicas.com.br.</t>
  </si>
  <si>
    <t>Prefeitura Municipal de Painel</t>
  </si>
  <si>
    <t>Painel</t>
  </si>
  <si>
    <t>Contratação de pessoa jurídica especializada para fornecimento de materiais de construção destinados à instalação de 2 dois poços artesianos, para atender às necessidades da Prefeitura Municipal de Painel/SC.</t>
  </si>
  <si>
    <t>As propostas deverão ser enviadas exclusivamente pelo email: licitacao@painel.sc.gov.br. Link do aviso de dispensa: https://www.painel.sc.gov.br. Data limite para apresentação da proposta e documentação: das 8h de 09/04/2026 até às 13h59min de 14/04/2026. Data de abertura de propostas: 14/04/2026 às 14h.</t>
  </si>
  <si>
    <t>Prefeitura Municipal de Brusque</t>
  </si>
  <si>
    <t>Brusque</t>
  </si>
  <si>
    <t>AP/1/2026</t>
  </si>
  <si>
    <t>Audiência Pública para apresentação do texto final da revisão do Plano Municipal de Saneamento Básico do Município de Brusque 2026.</t>
  </si>
  <si>
    <t>O texto final estará disponível para consulta prévia nos sites: https://www.brusque.sc.gov.br e https://samaebru.com.br/editais. Audiência será realizada no Plenário da Câmara Municipal de Brusque, Rua Eduardo von Buettner, 65 - Centro 1, Brusque-SC.</t>
  </si>
  <si>
    <t>Prefeitura Municipal de Ituporanga</t>
  </si>
  <si>
    <t>Ituporanga</t>
  </si>
  <si>
    <t>Aquisição de ferramentas e materiais diversos para o Departamento Municipal de Trânsito DEMUTRAN, incluindo colher de pedreiro, trenas, brocas, parafusos, parafusadeira e furadeira de impacto, caixa plástica, alicate, serrote, martelo, serra de poda, jogo de chave combinada, arco de serra, lâmina para serra, kit de chaves de fenda e Phillips, e cavadeira articulada.</t>
  </si>
  <si>
    <t>Prazo para manifestação de propostas até 13/04/2026. Propostas podem ser enviadas para transito@ituporanga.sc.gov.br ou apresentadas diretamente no DEMUTRAN. Local de entrega: Demutran, Rua Emílio Altemburg, 480, Centro, Ituporanga SC. Prazo de execução/entrega: 05 dias.</t>
  </si>
  <si>
    <t>Credenciamento de empresas para prestação de serviços de pavimentação em blocos intertravados de concreto, paver e paralelepípedos, bem como de assentamento de meios-fios e assentamento de tubos de concreto, compreendendo exclusivamente mão de obra especializada.</t>
  </si>
  <si>
    <t>** Confirmar prazo na Unidade Licitante, pois não foi informado pela Fonte Oficial ** 
Início do prazo para credenciamento: 08/04/2026. Edital disponível em www.tubarao.sc.gov.br e www.portaldecompraspublicas.com.br.</t>
  </si>
  <si>
    <t>IPT-Instituto de Pesquisas Tecnológicas do Estado de São Paulo</t>
  </si>
  <si>
    <t>CP/133210/2026</t>
  </si>
  <si>
    <t>Fornecimento de Disco alternativo para óleos - marca HELLIGE-LOVIBOND.</t>
  </si>
  <si>
    <t>Data Final para apresentacao de proposta: 10/04/2026 até as 17:00h.
Esclarecimentos adicionais poderão ser obtidos através do telefone/e-mail: 11 3767-4035 -
damiao@ipt.br - Departamento de Compras.</t>
  </si>
  <si>
    <t>Prefeitura Municipal de Onda Verde</t>
  </si>
  <si>
    <t>Onda Verde</t>
  </si>
  <si>
    <t>* Licitação Eletrônica * Contratação de empresa para execução indireta de empreitada por menor preço global para execução de obra para construção de 20 casas habitacionais, conforme Termo de Compromisso n. 992326/2025/MCIDADES/CAIXA.</t>
  </si>
  <si>
    <t>[CONCORRÊNCIA ELETRÔNICA] - Edital completo no site www.ondaverde.sp.gov.br, no PNCP ou Plataforma BLL e no paço Municipal Av Romano Calil, 261 centro das 13 as 17:00 hrs de segunda a sexta-feria.</t>
  </si>
  <si>
    <t xml:space="preserve">Penitenciária José Aparecido Ribeiro </t>
  </si>
  <si>
    <t>DL/90007/2026</t>
  </si>
  <si>
    <t>Aquisição de Alguns Materiais de Construção "Ferros</t>
  </si>
  <si>
    <t>AVISO DE LICITAÇÃO Nº 90007/2026, DE 8 DE ABRIL DE 2026
AVISO DE CONTRATAÇÃO DIRETA
Torna-se público que a Polícia Penal do Estado de São Paulo, por
intermédio do Complexo Penal II de Franco da Rocha, através do setor
de finanças, situada na Rua Marcus Vinícius Donadel Goes, s/n -Parque
Industrial- Franco da Rocha- CEP:07859-380,realizará " Dispensa com
disputa" , do tipo menor preço, para a Aquisição de Alguns Materiais de
Construção "Ferros" , nos termos da Lei nº 14.133,de 1º de abril de 2021,
Artigo 75Inc II, observando a disciplina do referido diploma legal, do
Decreto estadual nº 68.304, de 9 de janeiro de 2024, do Decreto estadual
nº 67.608, de 27 de março de 2023, e demais normas da legislação
aplicável, e, ainda, as condições estabelecidas neste Aviso e em seus
Anexos, de acordo com as subdivisões subsequentes na forma de itens
que compõem este instrumento, a a ser realizada no dia: 16/04/2026 a
partir das 09:00 horas, dúvidas poderão ser sanadas através do telefone:
11 4444-3417 e e-mail: dca@p3franco.sap.sp.gov.br contratação disponível
através do :Link :
https://pncp.gov.br/app/editais/96291141000180/2026/1769</t>
  </si>
  <si>
    <t>* Licitação Eletrônica * Contratação de empresa especializada para executar DRENAGEM E PAVIMENTAÇÃO NA RUA EUGÊNIO PEREIRA DE ARAÚJO NO BAIRRO RAIA DO MUNICÍPIO DE BARRA DO CHAPÉU/SP, NOS TERMOS DO CONTRATO DE REPASSE N° 964690/2024 - OPERAÇÃO 1095262-40 FIRMADO COM O MINISTÉRIO DAS CIDADES, ESPECIFICAÇÕES E CONDIÇÕES DESCRITAS NO EDITAL E SEUS ANEXOS. * https://bllcompras.com *</t>
  </si>
  <si>
    <t>LOCAL: https://bllcompras.com/
Nº PROC. ADM: 1251/2026
 TIPO CONTRATO: AQUISIÇÃO
 INÍCIO REC. PROPOSTA: 09/04/2026 10:00:00
 FIM REC. PROPOSTA: 17/04/2026 13:30:00
 INÍCIO DISPUTA: 17/04/2026 14:00:00
 CIDADE: BARRA DO CHAPÉU
 FASE: RECEPÇÃO DE PROPOSTAS
 EXCLUSIVO ME: NÃO
 EXCLUSIVO REGIONAL: NÃO
 MODO DE DISPUTA: ABERTO
 TIPO DE LANCE: MENOR LANCE
 FONE PROMOTOR: 1535541375
 E-MAIL PROMOTOR: gabinete@barradochapeu.sp.gov.br
 CONDUTOR: CARLOS RODRIGUES DO AMARAL NETO
 AUTORIDADE: IVANIL NORBERTO PEREIRA NOLASCO
 INFORMACÕES ADICIONAIS: 
 VALOR ESTIMADO: R$603.074,17</t>
  </si>
  <si>
    <t>Prefeitura Municipal da Estância de Socorro</t>
  </si>
  <si>
    <t>Socorro</t>
  </si>
  <si>
    <t>* Licitação eletrônica * Registro de Preços para eventual contratação de empresa especializada na prestação de serviços de abastecimento de Oxigênio Medicinal e Cilindros em regime de comodato, destinado ao atendimento de urgência e emergência realizado pelo Serviço de Atendimento Móvel de Urgência - SAMU no Município de Socorro - SP, conforme condições, quantidades e exigências estabelecidas no Anexo I - Termo de Referência do Edital. Tipo: MENOR PREÇO POR ITEM.</t>
  </si>
  <si>
    <t>PROCESSO Nº 057/2026/PMES - PREGÃO ELETRÔNICO PARA REGISTRO DE PREÇOS Nº 27/2026
MODO DE DISPUTA ABERTO. Objeto: Registro de Preços para eventual contratação de empresa
especializada na prestação de serviços de abastecimento de Oxigênio Medicinal e Cilindros em regime de
comodato, destinado ao atendimento de urgência e emergência realizado pelo Serviço de Atendimento
Móvel de Urgência - SAMU no Município de Socorro - SP, conforme condições, quantidades e exigências
estabelecidas no Anexo I - Termo de Referência do Edital. Tipo: MENOR PREÇO POR ITEM. Envio das
Propostas iniciais e documentos de habilitação: De 10/04/2026 às 10h à 30/04/2026 até às 09h, Data e Hora da
Abertura da Sessão Pública: 30/04/2026, às 09h10m.
O Edital completo e seus anexos se encontrarão disponíveis para consulta e retirada nos endereços eletrônicos
http://www.socorro.sp.gov.br e novobbmnet.com.br e maiores informações pelo telefone 19 3855-9655, no horário
comercial, exceto aos sábados, domingos, feriados e pontos facultativos. As datas acima se referem aos dias úteis e em que
haja expediente na Prefeitura Municipal de Socorro. Socorro, 08 de abril de 2026.
Benedito José Pedroso - Chefe de Supervisão de Licitação</t>
  </si>
  <si>
    <t>Prefeitura Municipal de Araçatuba</t>
  </si>
  <si>
    <t>Araçatuba</t>
  </si>
  <si>
    <t>* Licitação Eletrônica * Contratação  de  empresa  para  Execução de obras e serviços de infraestrutura urbana para  recapeamento  asfáltico,  sinalização  viária  horizontal, com o fornecimento e colocação  da  placa  de  obra,  em  diversas  vias  do  Município.</t>
  </si>
  <si>
    <t>Unidade compradora: 2 - Prefeitura Municipal de Araçatuba
Local: Araçatuba/SP
Órgão: MUNICIPIO DE ARACATUBA
Id contratação PNCP: 45511847000179-1-000198/2026
Fonte: Grupo Assessor
SMOSP - Número compra: 2 - Concorrência - Eletrônica</t>
  </si>
  <si>
    <t>Prefeitura Municipal de Alambari</t>
  </si>
  <si>
    <t>Alambari</t>
  </si>
  <si>
    <t>Contratação de empresa especializada para execução da obra de construção de travessia em aduela no Bairro Cercadinho, Alambari/SP, incluindo o fornecimento de material, equipamentos e mão de obra.</t>
  </si>
  <si>
    <t>O Edital poderá ser adquirido no Paço Municipal à Rua Dahyr Rachid, 1245, Centro ou no site www.alambari.sp.gov.br. Data da abertura dos envelopes dia 28.04.2026 às 13:30 hrs.</t>
  </si>
  <si>
    <t>CP/133685/2026</t>
  </si>
  <si>
    <t>Fornecimento de pino em aço SAE 4340 nas dimensões: diâmetro 300mm e altura 776mm.</t>
  </si>
  <si>
    <t>Prefeitura Municipal de Cardoso</t>
  </si>
  <si>
    <t>Cardoso</t>
  </si>
  <si>
    <t>* Licitação eletrônica * FUTURA E EVENTUAL AQUISIÇÃO, SOB DEMANDA, DE TUBOS E ADUELAS DE CONCRETO ARMADO PARA APLICAÇÃO EM OBRAS DE INFRAESTRUTURA URBANA NO MUNICÍPIO DE CARDOSO/SP</t>
  </si>
  <si>
    <t>O Edital completo encontra-se
à disposição de todos os interessados, no Departamento de
Secretaria e Licitações, da Prefeitura Municipal de Cardoso,
das 07:30 às 11:30 e das 13:00 às 17:00 horas, no
endereço supracitado, ou através do site:
www.cardoso.sp.gov.br. Informações pelo telefone: 17
3466-3900 - ramal 215 ou 222</t>
  </si>
  <si>
    <t>Contratação de empresa especializada em saneamento para execução de remanejamento de adutora de água tratada DN's 400 /300 /150mm na Av. Guilherme Porcari, bairro Medeiros, no município de Jundiaí/SP</t>
  </si>
  <si>
    <t>TIPO: maior desconto. ABERTURA: às 14:00 horas do
dia 08/05/2026. LOCAL PARA RETIRADA DO EDITAL: No site http://
compraabertadae.jundiai.sp.gov.br acessar o link Editais gratuitamente.</t>
  </si>
  <si>
    <t>Prefeitura Municipal de Taquarivaí</t>
  </si>
  <si>
    <t>Taquarivaí</t>
  </si>
  <si>
    <t>DL/165/2026</t>
  </si>
  <si>
    <t>* Licitação Eletrônica *  AQUISIÇÃO DE FERRAMENTAS E CHAVES.</t>
  </si>
  <si>
    <t>Data limite para apresentação das propostas e documentação:
DIA 14/04/2026, ÀS 08:00 HORAS
Referências de horário: HORÁRIO DE BRASÍLIA-DF
ENDEREÇO ELETRÔNICO para envio das propostas e documentação: dispensalicitacao@taquarivai.sp.gov.br
LINK DO EDITAL: https://www.taquarivai.sp.gov.br</t>
  </si>
  <si>
    <t>DL/997/2026</t>
  </si>
  <si>
    <t xml:space="preserve">FORNECIMENTO E INSTALAÇÃO DE DIVISORIAS TIPO DRYWALL - ESPESSURA DRYWALL 7,5 CM PODENDO VARIAR +/- 2CM , COM ISOLAMENTO ACUSTICO  </t>
  </si>
  <si>
    <t>PRAZO DE ENVIO DO FORMULÁRIO DE COTAÇÃO ATÉ O DIA 13/04/2026 ÀS 11H, ATRAVÉS DO E MAIL CONSTANTE NO FORMULÁRIO.</t>
  </si>
  <si>
    <t>* Licitação Eletrônica * CONTRATAÇÃO DE EMPRESA ESPECIALIZADA PARA REVITALIZAÇÃO DA TRAVESSA TENENTE MARIO DALLARI * https://jornaldolicitante.com.br *</t>
  </si>
  <si>
    <t>Segmento: Engenharia - serviços</t>
  </si>
  <si>
    <t xml:space="preserve"> Aquisição de madeira para trabalhos diversos da equipe de Carpintaria da Secretaria de Obras e Serviços Públicos. https://transparencia-jaboticabal.smarapd.com.br/#/dinamico/licitacoes/ Licitacoes</t>
  </si>
  <si>
    <t>AVISO DE CONTRATAÇÃO Nº 63/2026
Tipo: Menor preço por lote lote único
Objeto: Aquisição de madeira para trabalhos diversos da equipe de
Carpintaria da Secretaria de Obras e Serviços Públicos.
https://transparencia-jaboticabal.smarapd.com.br/#/dinamico/licitacoes/
Licitacoes
Prazo para envio das propostas: até o dia 14/04/2026 às 10h00.
As propostas deverão ser enviadas para o e-mail:
compradireta@jaboticabal.sp.gov.br ou diretamente no Departamento
de Gestão de Material e Patrimônio da Prefeitura Municipal de
Jaboticabal, sito à Esplanada do Lago "Carlos Rodrigues Serra", 160 -
Vila Serra, das 7h30 às 12h00 e das 13h00 às 16h30.
O edital e seus anexos, poderão ser obtidos presencialmente também
no endereço supracitado.
Jaboticabal, 08 de abril de 2026
Isabelle Padilha Assunção
Agente de Contratação</t>
  </si>
  <si>
    <t>* Licitação Eletrônica * Fornecimento de tarugo aço carbono, chapas e tubo aço inox, COTAR VALOR TOTAL DO LOTE. * http://www.licitacoes-e.com.br *</t>
  </si>
  <si>
    <t>Edital : 77/2026 
Modalidade : Pregão 
Nº Licitação : 1091113 
Início acolhimento de propostas : 22/04/2026-08:00 
Limite acolhimento de propostas : 24/04/2026-08:00 
Abertura das propostas : 24/04/2026-08:00 
Data e a hora da disputa : 24/04/2026-09:00 
Pregoeiro : ANTONIA APARECIDA RODRIGUES MARSOLA</t>
  </si>
  <si>
    <t>Prefeitura Municipal de Cariri do Tocantins</t>
  </si>
  <si>
    <t>Cariri do Tocantins</t>
  </si>
  <si>
    <t>CONTRATAÇÃO DE EMPRESA ESPECIALIZADA PARA EXECUÇÃO DAS OBRAS DE CONSTRUÇÃO DE 04QUATRO UNIDADES HABITACIONAIS NO MUNICÍPIO DE CARIRI DO TOCANTINS/TO, COMPREENDENDO O FORNECIMENTO DE MATERIAIS, MÃO DE OBRA, EQUIPAMENTOS E DEMAIS INSUMOS NECESSÁRIOS À COMPLETA EXECUÇÃO DAS EDIFICAÇÕES, CONFORME PLANO DE AÇÃO 09032025-084421/2025, EMENDA PARLAMENTAR 202542750006, ESPECIFICAÇÕES E CONDIÇÕES ESTABELECIDAS NO TERMO DE REFERÊNCIA E ANEXOS DO EDITAL * https://licitanet.com.br *</t>
  </si>
  <si>
    <t>Processo: 056/2026
Quantidade de lotes: 1</t>
  </si>
  <si>
    <t>Prefeitura Municipal de Itapiratins</t>
  </si>
  <si>
    <t>Itapiratins</t>
  </si>
  <si>
    <t>PR/2/2026</t>
  </si>
  <si>
    <t>Registro de preço visando a aquisição de materiais de construção para atender as necessidades da Prefeitura Municipal de Itapiratins, como órgão gerenciador, Fundo Municipal de Saúde, Fundo Municipal de Educação e Fundo Municipal de Assistência Social do Município de Itapiratins/TO, como órgãos participantes.</t>
  </si>
  <si>
    <t>Edital disponível em https://itapiratins.to.gov.br/ e https://pncp.gov.br. Telefone: 63 3465-1162. E-mail: cplitapiratins@gmail.com.</t>
  </si>
  <si>
    <t>Prefeitura Municipal de Normandia</t>
  </si>
  <si>
    <t>Normandia</t>
  </si>
  <si>
    <t>Eventual aquisição de estação tratamento de esgoto ETE compacta, em plástico reforçado de fibra de vidro PRFV, com instalação inclusa, para atendimento das unidades prediais da Prefeitura Municipal de Normandia - RR.</t>
  </si>
  <si>
    <t xml:space="preserve">ESTADO DE RORAIMA PREFEITURA DE NORMANDIA CPL TERMO DE RETIFICAÇÃO DE AVISO DE LICITAÇÃO Na Edição do Diário Oficial dos Municípios do Estado de Roraima N° 2653 de código verificador: D1FD971A, que circulou no dia 06 de abril de 2026, referente ao AVISO DE LICITAÇÃO DO PREGÃO PRESENCIAL N° 005/2026   ONDE SE LÊ:   A Comissão de Contratos e Licitação - CCL, da Prefeitura Municipal de Normandia-PMN, torna pública a abertura do Pregão Presencial N° 005/2026/CCL/NORMANDIA, no dia 22.04.2026 as 09:00 horas, cujo objeto é a "EVENTUAL AQUISIÇÃO DE ESTAÇÃO TRATAMENTO DE ESGOTO ETE COMPACTA, EM PLÁSTICO REFORÇADO DE FIBRA DE VIDRO PRFV, COM INSTALAÇÃO INCLUSA, PARA ATENDIMENTO DAS UNIDADES PREDIAIS DA PREFEITURA MUNICPAL DE NORMANDIA - RR". O Edital e seus anexos poderão ser adquiridos na CCL/NORMANDIA, localizada na Av. Mauricio Habert, N° 793, Bairro: Centro - CEP: 69.355-000, Normandia/RR, das 08h00min às 14h00min, nos dias úteis, ou no site: https://transparencia.normandia.rr.gov.br/dados_editais/.   LEIA-SE:   A Comissão de Contratos e Licitação - CCL, da Prefeitura Municipal de Normandia-PMN, torna pública a abertura do Pregão Presencial N° 005/2026/CCL/NORMANDIA, no dia 29.04.2026 as 09:00 horas, cujo objeto é a "EVENTUAL AQUISIÇÃO DE ESTAÇÃO TRATAMENTO DE ESGOTO ETE COMPACTA, EM PLÁSTICO REFORÇADO DE FIBRA DE VIDRO PRFV, COM INSTALAÇÃO INCLUSA, PARA ATENDIMENTO DAS UNIDADES PREDIAIS DA PREFEITURA MUNICPAL DE NORMANDIA - RR". O Edital e seus anexos poderão ser adquiridos na CCL/NORMANDIA, localizada na Av. Mauricio Habert, N° 793, Bairro: Centro - CEP: 69.355-000, Normandia/RR, das 08h00min às 14h00min, nos dias úteis, ou no site: https://transparencia.normandia.rr.gov.br/dados_editais/.   CIRES DE NAZARE SOUSA LIMA Agente de Contratação/Pregoeira Decreto nº 010/2025  Publicado por: Filipe Arstin da Silva Código Identificador:F5B16F69 Matéria publicada no Diário Oficial dos Municípios do Estado de Roraima no dia 09/04/2026. Edição 2626 </t>
  </si>
  <si>
    <t>Prefeitura Municipal de Iracema</t>
  </si>
  <si>
    <t>Iracema</t>
  </si>
  <si>
    <t>Provisão de unidades habitacionais no MCMV FNHIS SUB 50 para atender ao município de Iracema-RR.</t>
  </si>
  <si>
    <t>RETIFICAÇÃO AVISO DE LICITAÇÃO
A prefeitura Municipal de Iracema-RR, através da CPL torna se público o CONCORRENCIA PUBLICA nº 001/2026 processo nº 023/2026 OBJETO:
PROVISÃO DE UNIDADES HABITACIONAIS NO MCMV FNHIS SUB 50 PARA ATENDER AO MUNICIPIO DE IRACEMA-RR, VALOR Onde
Se Lê R$ 3.080.000,00três milhões e oitenta mil reais Leia-se R$ 3.003.000,00três milhões e três mil reais, início de apresentação de proposta e
documentação dia 17/04/2026 as 08h:30min horário local EDITAL E ANEXOS, podendo ser retirado na CPL da Prefeitura Municipal de Iracema situada
na Rua Tancredo Neves, S/N, centro de Iracema-RR, no horário das 08:00min as 12:00 min, mediante carimbo com CNPJ ou no endereço eletrônico: http://
portal.iracema.rr.gov.br ou solicitados através do e-mail: cpliracemarr75@gmail.com.
Iracema-RR, 01 de ABRIL de 2026</t>
  </si>
  <si>
    <t xml:space="preserve"> Pavimentação em lajota e concreto, drenagem fluvial e sinalização viária, das ruas: RUA PEDRO JOSÉ FLORENTINO E ACESSO PMPB 04, com àrea a pavimentar de 4.278,90m² e extensão de 749,977 Metros, localizadas no bairro Pontinha das Laranjeiras, Município de Pescaria Brava, Estado de Santa Catarina.
 - ** www.comprasbr.com.br **</t>
  </si>
  <si>
    <t>* Retificação do número do edital conforme Coleta Conlicitação. * 
Onde se lê: CR/50/2026
Leia-se: CR/3/2026</t>
  </si>
  <si>
    <t>Contratação de empresa para a prestação de serviços de Execução de Sarjetões em diversas ruas do Município de Jaci - SP, conforme especiﬁcações constantes no Termo de Referência.</t>
  </si>
  <si>
    <t>Retificação de Aviso de Contratação Direta
Inciso I, art. 75, da Lei nº 14.133/2021
CONTRATAÇÃO DIRETA N°: 005/2026
UNIDADE GESTORA: Setor de Obras e
Engenharia
PROCESSO Nº: 015/2026 CRITÉRIO DE JULGAMENTO: Menor preço
PREFERÊNCIA ME/EPP/EQUIPARADAS: Sim
REGIME DE EXECUÇÃO: O regime de
execução do contrato será de
empreitada por preço global.
OBJETO
Contratação de empresa para a prestação de serviços de Execução de Sarjetões
em diversas ruas do Município de Jaci - SP, conforme especificações constantes
no Termo de Referência.
PROPOSTAS
ENCAMINHAMENTO PRAZO HORA
e-mail: licitacao1@jaci.sp.gov.br 13/04/2026 17h00
DISPONIBILIZAÇÃO DO AVISO
Este Aviso de Contratação Direta está disponível no Portal Nacional de
Contratações Públicas https://www.gov.br/pncp/pt-br e no Portal do Município
de Jaci https://www.jaci.sp.gov.br.</t>
  </si>
  <si>
    <t>Prefeitura Municipal de Capão Bonito</t>
  </si>
  <si>
    <t>Capão Bonito</t>
  </si>
  <si>
    <t>* Licitação Eletrônica * Aquisição de materiais de ferragens para aplicação na implantação do Parque das Águas, situado na Vila Aparecida, conforme solicitação da Secretaria Municipal de Agropecuária, Obras e Meio Ambiente, deste Município, conforme especificações constantes dos Anexos pertencentes ao presente instrumento convocatório.</t>
  </si>
  <si>
    <t>* Retificação do número do edital conforme Coleta Conlicitação. * 
Onde se lê: PE/30/2026
Leia-se: PE/19/2026
Unidade compradora: 9.2026 - SEC. MUN. DE AGROPEC. OBRAS E MEIO AMBIENTE
Local: Capão Bonito/SP
Órgão: MUNICIPIO DE CAPAO BONITO
Id contratação PNCP: 46634259000195-1-000064/2026
Fonte: JL Alves Gestão
 - Número compra: 30 - Pregão - Eletrônico</t>
  </si>
  <si>
    <t xml:space="preserve"> Contratação de empresa especializada para construção de espaço esportivo - campo em grama sintética, meia quadra de basquete, parquinho infantil e pista de caminhada tipo B no bairro Jardim das Palmeiras em Pindorama/SP.</t>
  </si>
  <si>
    <t>AVISO DE RETIFICAÇÃO CONCORRÊNCIA ELETRÔNICA Nº 1/2026
PROCESSO LICITATÓRIO Nº 32/2026
Na Publicação do Dia 07/04/2026 Deste Diário Quanto Ao Processo Licitatório N.º 32/2026 Desta Municipalidade, Onde Lê-Se: PREGÃO ELETRÔNICO N.º 32/2026 e DATA E HORA DA SESSÃO: 28/04/2026 ÀS 09:00 H, Leia-Se: CONCORRÊNCIA ELETRÔNICA Nº 01/2026 e DATA E HORA DA SESSÃO: 20/05/2026 ÀS 09:00 H.
No Mais, Mantenha-Se Inalterada.
Edital Disponível No http://webapp1-pindorama.cidade360.cloud/pronimtb/index.asp?acao=1&amp;item=2&amp;flagRedFiltroLicitacao=2</t>
  </si>
  <si>
    <t>SESC-Serviço Social do Comércio - Departamento Regional do SESC no Estado do Acre</t>
  </si>
  <si>
    <t>PE/50/2025</t>
  </si>
  <si>
    <t>* Licitação Eletrônica * AQUISIÇÃO DE EQUIPAMENTOS DE DIVULGAÇÃO INSTITUCIONAL, PARA O SERVIÇO SOCIAL DO COMÉRCIO - DEPARTAMENTO REGIONAL NO ESTADO DO ACRE - SESC DR/AC. * http://www.licitacoes-e.com.br *</t>
  </si>
  <si>
    <t>Edital : PE_50_2025 
Modalidade : Pregão 
Nº Licitação : 1086235 
Início acolhimento de propostas : 14/01/2026-17:30 
Limite acolhimento de propostas : 16/04/2026-10:00 
Abertura das propostas : 16/04/2026-10:00 
Data e a hora da disputa : 16/04/2026-10:30 
Pregoeiro : JUCIELE MARIA SOUSA E SOUZA
 - Licitação sujeita a confirmação pois não foi informado que trata-se de prorrogação.</t>
  </si>
  <si>
    <t>Prefeitura Municipal de Pacoti</t>
  </si>
  <si>
    <t>Pacoti</t>
  </si>
  <si>
    <t>* Chamada Pública *   Seleção de Organização da Sociedade Civil, entidade privada sem fins lucrativos, para a produção de 20 vinte unidades habitacionais de interesse social, em área pública do Município de Pacoti, disponibilizado por meio deste procedimento no âmbito do Programa Minha Casa, Minha Vida - PMCMV/FNHIS Sub 50 do Ministério das Cidades, tendo a Caixa Econômica Federal como Mandatária/Agente Financeiro, nos termos das especificações e anexos deste Edital, através do Termo de Compromisso Nº 992432/2026/MCIDADES/CAIXA., conforme as condições do Termo de Referência e seus Anexos, e Demais Condições do Edital</t>
  </si>
  <si>
    <t>* Nova publicação sujeita a confirmação na unidade licitante, pois não foi informado tratar-se de prorrogação. * 
AVISO DE CHAMADA PÚBLICA Nº 1/2026-CP
Secretaria de Infraestrutura e Defesa Civil. AVISO DE CHAMADA PÚBLICA Nº 001/2026-CP. O Município de Pacoti, através da Comissão de Publicização, torna público que se encontra a disposição dos interessados, o Edital de Chamada Pública Nº 001/2026-CP, que até o dia 05 de maio de 2026, no horário de 17h:00mim, estará recebendo os Documentos e Planos de Trabalho para a Seleção de Organização da Sociedade Civil, entidade privada sem fins lucrativos, para a produção de 20 vinte unidades habitacionais de interesse social, em área pública do Município de Pacoti, disponibilizado por meio deste procedimento no âmbito do Programa Minha Casa, Minha Vida - PMCMV/FNHIS Sub 50 do Ministério das Cidades, tendo a Caixa Econômica Federal como Mandatária/Agente Financeiro, nos termos das especificações e anexos deste Edital, através do Termo de Compromisso Nº 992432/2026/MCIDADES/CAIXA., conforme as condições do Termo de Referência e seus Anexos, e Demais Condições do Edital. O Edital completo poderá ser adquirido no Endereço: Secretaria de Educação do Município, localizada na Rua Duarte Holanda, Nº S/N - Centro - Cep: 62.770-000, Pacoti-CE. No site do município Sítio eletrônico _ https://www.pacoti.ce.gov.br/ e no site do TCE - Tribunal de Contas dos Munícipios http/: municipios.tce.ce.gov.br/licitacoes.</t>
  </si>
  <si>
    <t>Ministério do Meio Ambiente e Mudança do Clima</t>
  </si>
  <si>
    <t>SM/9/2026</t>
  </si>
  <si>
    <t>recebimento de contribuições da sociedade para o aprimoramento da proposta de Plano Decenal de Fortalecimento do Sistema Nacional do Meio Ambiente - Sisnama, que estabelece diretrizes estratégicas para o fortalecimento da cooperação federativa, da governança ambiental e das capacidades institucionais dos entes federativos no âmbito da política ambiental brasileira.</t>
  </si>
  <si>
    <t>** Confirmar prazo na Unidade Licitante ** AVISO DE PRORROGAÇÃO DA CONSULTA PÚBLICA Nº 9, DE 6 DE MARÇO DE 2026
O MINISTRO DE ESTADO DO MEIO AMBIENTE E MUDANÇA DO CLIMA, no uso
de suas atribuições legais e tendo em vista o que consta no Processo Administrativo nº
02000.002463/2026-89, prorroga a consulta pública a seguir descrita.
OBJETO: recebimento de contribuições da sociedade para o aprimoramento da
proposta de Plano Decenal de Fortalecimento do Sistema Nacional do Meio Ambiente -
Sisnama, que estabelece diretrizes estratégicas para o fortalecimento da cooperação
federativa, da governança ambiental e das capacidades institucionais dos entes federativos
no âmbito da política ambiental brasileira.
ACESSO: a proposta do Plano submetida à consulta pública encontra-se
disponível na plataforma Brasil Participativo https://brasilparticipativo.presidencia.gov.br/,
na aba consultas públicas, por meio da qual os interessados poderão encaminhar suas
contribuições.
PERÍODO DE PRORROGAÇÃO: a consulta pública será prorrogada pelo prazo de
quinze dias, contados da publicação do presente Aviso, excluído da contagem o dia do
começo e incluído o dia do vencimento.
JOÃO PAULO RIBEIRO CAPOBIANCO</t>
  </si>
  <si>
    <t>CEMIG-Companhia Energética de Minas Gerais</t>
  </si>
  <si>
    <t>SM/805.21673</t>
  </si>
  <si>
    <t xml:space="preserve">* Licitação Eletrônica *  Serviços de reforma das válvulas de entrada e seus acionamentos, das unidades geradoras 01 e 02 da Usina Hidrelétrica de Joasal. </t>
  </si>
  <si>
    <t xml:space="preserve">* Nova publicação sujeita a confirmação na unidade licitante, pois não foi informado tratar-se de prorrogação. * 
O Edital de Licitação poderá ser obtido gratuitamente por meio do endereço eletrônico: https://app-compras.cemig.com.br - Portal Eletrônico de Compras e Cadastro.
5.     ENVIO DE PROPOSTA E ABERTURA DA SESSÃO 
5.1.  A abertura da presente licitação dar-se-á em sessão pública a ser realizada conforme indicado abaixo, de acordo com a legislação mencionada neste Edital.
• Data limite para envio de propostas e abertura da sessão: 10:00h do dia 04/05/2026. 
 </t>
  </si>
  <si>
    <t>Prefeitura Municipal de Cedro do Abaeté</t>
  </si>
  <si>
    <t>Cedro do Abaeté</t>
  </si>
  <si>
    <t>Contratação de empresa de engenharia especializada em obras de edificações, com fornecimento de materiais e mão de obra, para elaboração de projeto e  execução da infraestrutura dos lotes 20 vinte lotes muro de arrimo e nivelamento e construção de 20 vinte unidades habitacionais pelo Programa Minha Casa Minha Vida, com recursos do Ministério das Cidades, conforme Termo de Compromisso nº 992446/2025, localizadas no Loteamento Novo Horizonte, no município de Cedro do Abaeté/MG. * https://ammlicita.org.br *</t>
  </si>
  <si>
    <t>Id: 95748
Unidade licitante: Prefeitura Municipal de Cedro do Abaeté - Unidade Única
Plataforma: ammlicita
 - Licitação sujeita a confirmação pois não foi informado que trata-se de prorrogação.</t>
  </si>
  <si>
    <t>SM/21620</t>
  </si>
  <si>
    <t>* Licitação Eletrônica * Sobressalentes de relés de proteção, switches - https://app2-compras.cemig.com.br/pesquisa</t>
  </si>
  <si>
    <t>ID: 21620
 - Licitação sujeita a confirmação pois não foi informado que trata-se de prorrogação.</t>
  </si>
  <si>
    <t>SM/820261461</t>
  </si>
  <si>
    <t xml:space="preserve"> * Licitação Eletrônica * - * Orçamentação Eletrônica * SOLVENTE P/LIMPEZA DE MOTORES ELETRICOS</t>
  </si>
  <si>
    <t>Instituto de Desenvolvimento do Piauí - IDEPI</t>
  </si>
  <si>
    <t>CR/21/2026</t>
  </si>
  <si>
    <t>EXECUÇÃO DOS SERVIÇOS DE IMPLANTAÇÃO DO SISTEMA ADUTOR NO MUNICÍPIO DE CAPITÃO GERVÁSIO DE OLIVEIRA - PI, conforme condições, quantidades e exigências estabelecidas neste Edital e seus anexos.</t>
  </si>
  <si>
    <t>LW-003832/26 ID 1158570
Regime Jurídico: DIVULGADA
Forma Realização: Lei nº 14.133/21
Modo de Disputa : Eletrônica
Critério julgamento: Aberto
Adjudicação do objeto: Menor preço
 - Licitação sujeita a confirmação pois não foi informado que trata-se de prorrogação.</t>
  </si>
  <si>
    <t>CR/16/2026</t>
  </si>
  <si>
    <t>EXECUÇÃO DOS SERVIÇOS DE IMPLANTAÇÃO DO SISTEMA ADUTOR NO MUNICÍPIO DE SÃO LOURENÇO DO PIAUÍ - PI, conforme condições, quantidades e exigências estabelecidas neste Edital e seus anexos.</t>
  </si>
  <si>
    <t>LW-003828/26 ID 1158566
Regime Jurídico: DIVULGADA
Forma Realização: Lei nº 14.133/21
Modo de Disputa : Eletrônica
Critério julgamento: Aberto
Adjudicação do objeto: Menor preço
 - Licitação sujeita a confirmação pois não foi informado que trata-se de prorrogação.</t>
  </si>
  <si>
    <t>Prefeitura Municipal de Guaraqueçaba</t>
  </si>
  <si>
    <t>Guaraqueçaba</t>
  </si>
  <si>
    <t>* Licitação Eletrônica * Registro de Preços para a futura e eventual aquisição parcelada de materiais de construção civil, elétricos, hidráulicos, pintura, acabamentos e ferramentas, divididos em 14 catorze lotes temáticos, visando atender às demandas de manutenção preventiva e corretiva da infraestrutura predial e viária do Município de Guaraqueçaba Sede, Áreas Rurais e Comunidades Insulares. - ** www.comprasbr.com.br **</t>
  </si>
  <si>
    <t>Serviço Intermunicipal de Água e Esgoto de Joaçaba, Herval D´Oeste e Luzerna</t>
  </si>
  <si>
    <t>Joaçaba</t>
  </si>
  <si>
    <t>PE/49/2025</t>
  </si>
  <si>
    <t>* Licitação Eletrônica * Registro de preços para prestação de serviços de manutenção de motores e conjuntos motobombas.</t>
  </si>
  <si>
    <t>https://e-gov.betha.com.br/transparencia/01037-108/main.faces
 - Licitação sujeita a confirmação pois não foi informado que trata-se de prorrogação.</t>
  </si>
  <si>
    <t>DESO-Companhia de Saneamento de Sergipe</t>
  </si>
  <si>
    <t>* Licitação Eletrônica * AQUISIÇÃO DE TUBOS FERRO FUNDIDO E PRFV. * http://www.licitacoes-e.com.br *</t>
  </si>
  <si>
    <t>Edital : 006/2026 
Modalidade : Pregão 
Nº Licitação : 1089859 
Início acolhimento de propostas : 20/03/2026-08:00 
Limite acolhimento de propostas : 23/04/2026-08:15 
Abertura das propostas : 23/04/2026-08:15 
Data e a hora da disputa : 23/04/2026-08:30 
Pregoeiro : MECIANA MUNIZ PINHEIRO SILVA
 - Licitação sujeita a confirmação pois não foi informado que trata-se de prorrogação.</t>
  </si>
  <si>
    <t>Prefeitura Municipal de Santa Maria da Serra</t>
  </si>
  <si>
    <t>Santa Maria da Serra</t>
  </si>
  <si>
    <t>CR/5/2025</t>
  </si>
  <si>
    <t>* Licitação Eletrônica * Contratação de empresa especializada para elaboração do Plano Diretor de Drenagem do Município de Santa Maria da Serra, com o fornecimento de todos os materiais, mão-de-obra, equipamentos, ferramentas, EPIs e EPCs necessários. * https://bllcompras.com *</t>
  </si>
  <si>
    <t>LOCAL: https://bllcompras.com/
Nº PROC. ADM: 0848/2025
 TIPO CONTRATO: AQUISIÇÃO
 INÍCIO REC. PROPOSTA: 26/08/2025 11:57:00
 FIM REC. PROPOSTA: 03/06/2026 09:30:00
 INÍCIO DISPUTA: 03/06/2026 09:35:00
 CIDADE: SANTA MARIA DA SERRA
 FASE: RECEPÇÃO DE PROPOSTAS
 EXCLUSIVO ME: NÃO
 EXCLUSIVO REGIONAL: NÃO
 MODO DE DISPUTA: FECHADO
 TIPO DE LANCE: MELHOR TÉCNICA E PREÇO
 FONE PROMOTOR: 1931879900
 E-MAIL PROMOTOR: prefeito@santamariadaserra.sp.gov.br
 CONDUTOR: EDUARDO PIZZO OTTOBONI
 AUTORIDADE: JOSIAS ZANI NETO
 INFORMACÕES ADICIONAIS: através do Contrato nº 264/2024 de Financiamento com Recursos não Reembolsáveis, FEHIDRO - Fundo Estadual de Recursos Hídricos, firmado entre o Governo do Estado de São Paulo, Secretaria de Meio Ambiente Infraestrutura e Logística, Desenvolve SP
 VALOR ESTIMADO: R$574.534,83
 - Licitação sujeita a confirmação pois não foi informado que trata-se de prorrogação.</t>
  </si>
  <si>
    <t>AQUISIÇÃO DE ACESSÓRIOS PARA MOTOBOMBA</t>
  </si>
  <si>
    <t xml:space="preserve">* Licitação eletrônica * CONTRATAÇÃO DE EMPRESA ESPECIALIZADA PARA A REFORMA E ADEQUAÇÃO DA ETE DE SAO BENEDITO DA CACHOEIRINHA, CONFORME CONTRATO COM 0 FEHIDRO DE N° 351/2025, de acordo com os quantitativos e especificações relacionadas no anexo I do edital. </t>
  </si>
  <si>
    <t xml:space="preserve"> Serviço Autônomo de Água e Esgoto - Ituverava Aviso de licitação nº 005/2026 2º CHAMADA PREGÃO ELETRONICO Nº 001/2026 PROCESSO DE LICITAÇÃO Nº 005/2026. O superintendente do Serviço Autônomo de Água e Esgoto de Ituverava, usando das atribuições que lhe são conferidas por lei, torna público para o conhecimento de interessados, que se encontra aberto o Pregão Eletrônico nº 001/2026, tendo por finalidade a CONTRATAÇÃO DE EMPRESA ESPECIALIZADA PARA A REFORMA E READEQUAÇÃO DA ETE DE SÃO BENEDITO DA CACHOEIRINHA, CONFORME CONTRATO COM O FEHIDRO DE Nº 351/2025, de acordo com os quantitativos e especificações relacionadas no anexo I do edital. O período de envio das propostas será a partir de 10/04/2026 até 28/04/2026 as 08:30 horas no endereço eletrônico novobbmnet.com.br. O início das disputas ocorrerá no dia 28/04/2026 as 08:40 horas na mesma plataforma. Esclarecimentos somente através de e-mail licitacao@saaeituverava.sp.gov.br  ou novobbmnet.com.br. Edital a disposição na internet www.saaeituverava.sp.gov.br, a partir do dia 10/04/2026. Ituverava, 08 de abril de 2026. Carlos Eduardo Origuela - Agente de Contratação Alfredo Adriano Augusto Junior - Superintendente. </t>
  </si>
  <si>
    <t>Prefeitura Municipal de Guarapuava</t>
  </si>
  <si>
    <t xml:space="preserve"> Pavimentação de estrada rural em concreto, área de 104.150,34 m², compreendendo: serviços preliminares; terraplenagem; drenagem; base e sub-base; revestimento; sinalização de trânsito; serviços diversos; e ensaios de controle tecnológico. * https://bllcompras.com *</t>
  </si>
  <si>
    <t>LOCAL: https://bllcompras.com/
Nº PROC. ADM: 18/2026
 TIPO CONTRATO: AQUISIÇÃO
 INÍCIO REC. PROPOSTA: 08/04/2026 17:00:00
 FIM REC. PROPOSTA: 04/05/2026 09:00:00
 INÍCIO DISPUTA: 04/05/2026 09:01:00
 CIDADE: GUARAPUAVA
 FASE: RECEPÇÃO DE PROPOSTAS
 EXCLUSIVO ME: NÃO
 EXCLUSIVO REGIONAL: NÃO
 MODO DE DISPUTA: ABERTO
 TIPO DE LANCE: MENOR LANCE
 FONE PROMOTOR: 4236213000
 E-MAIL PROMOTOR: licitacao.guarapuava@gmail.com
 CONDUTOR: EDISON CALDAS DE OLIVEIRA
 AUTORIDADE: ADLIMARA REGINA RUIZ
 INFORMACÕES ADICIONAIS: 
 VALOR ESTIMADO: R$22.441.882,98
 - Licitação sujeita a confirmação pois não foi informado que trata-se de prorrogação.</t>
  </si>
  <si>
    <t>Prefeitura Municipal de Boa Vista do Incra</t>
  </si>
  <si>
    <t>Boa Vista do Incra</t>
  </si>
  <si>
    <t>* Licitação Eletrônica * CONTRATAÇÃO DE EMPRESA PARA EXECUÇÃO DE PROJETO PARA A CONSTRUÇÃO DE 20 VINTE UNIDADES HABITACIONAIS COM ÁREA CONSTRUÍDA DE 50,24 M² CADA UNIDADE, DE ACORDO COM A PROPOSTA NO TRANSFEREGOV Nº 040880/2025 E TERMO DE COMPROMISSO Nº 983474/2025, CONFORME PROJETO BÁSICO, PROJETO EXECUTIVO, MEMORIAL DESCRITIVO, PLANILHA ORÇAMENTÁRIA, CRONOGRAMA FÍSICO FINANCEIRO, DETALHAMENTO DAS BONIFICAÇÕES E DESPESAS INDIRETAS BDI E DOS ENCARGOS SOCIAIS ES SOBRE A MÃO DE OBRA, E DEMAIS CONDIÇÕES E ESPECIFICAÇÕES CONTIDAS NESSE EDITAL E SEUS ANEXOS.</t>
  </si>
  <si>
    <t>Edital : CR/1/2026
Modalidade : Concorrência Eletrônica 14.133/21
Nº Licitação : 346240
 - Licitação sujeita a confirmação pois não foi informado que trata-se de prorrogação.</t>
  </si>
  <si>
    <t>SM/620260020</t>
  </si>
  <si>
    <t>Prestação de serviços técnicos de engenharia para elaborar, implementar e operacionalizar os planos de ação de emergência PAE das barragens Vargem das Flores, Viamão e Todos os Santos .</t>
  </si>
  <si>
    <t xml:space="preserve">AVISO DE SUSPENSÃO DE LICITAÇÃO
 licitação Nº CPLI .0620260020 Objeto: Prestação de serviços técnicos
de engenharia para elaborar, implementar e operacionalizar os planos
de ação de emergência PAE das barragens Vargem das Flores, Viamão
e Todos os Santos . Informamos que a sessão pública marcada apara
para o dia:03/05/2026 às 14:30 horas - Local: Site da COPASA, está
adiada "sine die" suspensa .Motivo: adequação do edital </t>
  </si>
  <si>
    <t>Concessão dos serviços públicos de abastecimento de água e esgotamento sanitário do Município de Coribe - Bahia</t>
  </si>
  <si>
    <t>CONCORRÊNCIA N.º 001/2026 - REVOGAÇÃO O Município de Coribe - O Município de Coribe - Estado da
Bahia, por intermédio da Comissão de Contratação nomeada pela Portaria n.º 001/2026, comunica a revogação da Concorrência
n.º 001/2026, cujo objeto era a Concessão dos serviços públicos de abastecimento de água e esgotamento sanitário do Município
de Coribe - Bahia, considerando que a Administração Pública possui o dever-poder de autotutela, podendo revogar atos por
conveniência e oportunidade objetivando a alteração para a forma eletrônica e demais adequações imprescindíveis, ficando
assegurando o prazo previsto no art. 165, inciso I, alínea D, da Lei n.º 14.133, de 1 de abril de 2021. O edital e demais atos
encontram-se disponíveis em www.coribe.ba.gov.br e na sede da Prefeitura Municipal, sito à Rua Bandeirantes, 285, Centro.
Informações: 77 3480.2130. Coribe - Bahia, 08 de abril de 2026. Murillo Ferreira Viana - Prefeito.</t>
  </si>
  <si>
    <t>Contratação pretendida justifica-se pela necessidade de ampliação e consolidação do Sistema de Esgotamento Sanitário do Município de Itapecuru Mirim/MA, diante do expressivo déficit de cobertura do serviço, atualmente restrito a parcela reduzida da população urbana, bem como da inexistência de sistema público coletivo plenamente operacional. O cenário diagnosticado evidencia impactos negativos à saúde pública, ao meio ambiente e à qualidade de vida da população, especialme</t>
  </si>
  <si>
    <t>TERMO DE REVOGAÇÃO CONCORRÊNCIA PÚBLICA N°
041/2026 - CSL/SEGOV. PROCESSO ADMINISTRATIVO SEI
Nº 2026.11124.00035 - SEGOV. O SECRETÁRIO DE ESTADO
DE GOVERNO, Sr. MÁRCIO RIBEIRO MACHADO, no uso de
suas atribuições que lhe são conferidas e, ainda, em cumprimento as
disposições previstas no art. 71 da Lei Federal nº 14.133/2021, decide REVOGAR a CONCORRÊNCIA PÚBLICA Nº 041/2026,
que tem como objeto a Contratação pretendida justifica-se pela
necessidade de ampliação e consolidação do Sistema de Esgotamento Sanitário do Município de Itapecuru Mirim/MA, diante
do expressivo déficit de cobertura do serviço, atualmente restrito
a parcela reduzida da população urbana, bem como da inexistência de sistema público coletivo plenamente operacional. O cenário diagnosticado evidencia impactos negativos à saúde pública,
ao meio ambiente e à qualidade de vida da população, especialmente em contextos de vulnerabilidade socioeconômico, com recursos do Termo de Compromisso nº 968720/MCIDADES/CAIXA firmado com a Secretaria de Estado de Governo, pela seguinte
motivação: 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968720/2024/MCIDADES/CAIXA,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 REVOGA-SE, pois, a CONCORRÊNCIA PÚBLICA Nº
041/2026, nos termos do art. 71 da Lei Federal nº 14.133/2021. São
Luís - MA, 09 de março de 2026. MÁRCIO RIBEIRO MACHADO
Secretário de Estado de Governo.</t>
  </si>
  <si>
    <t>A presente contratação consiste na implantação do Sistema de Esgotamento Sanitário SES no Município de Barreirinhas/MA, contemplando as Bacias 04 e 05, conforme detalhado no Anteprojeto de Engenharia e no Plano de Trabalho vinculado ao Termo de Compromisso n 968718/2024/MCIDADES/CAIXA</t>
  </si>
  <si>
    <t>TERMO DE REVOGAÇÃO CONCORRÊNCIA PÚBLICA N°
0 43/2026 - CSL/SEGOV. PROCESSO ADMINISTRATIVO SEI
Nº 2026.11124.00166 - SEGOV. O SECRETÁRIO DE ESTADO
DE GOVERNO, Sr. MÁRCIO RIBEIRO MACHADO, no uso de
suas atribuições que lhe são conferidas e, ainda, em cumprimento as
disposições previstas no art. 71 da Lei Federal nº 14.133/2021, decide REVOGAR a CONCORRÊNCIA PÚBLICA Nº 043/2026, que
tem como objeto a implantação do Sistema de Esgotamento Sanitário SES no Município de Barreirinhas/MA, contemplando
as Bacias 04 e 05, conforme detalhado no Anteprojeto de Engenharia e no Plano de Trabalho vinculado ao Termo de Compromisso nº 968718/2024/MCIDADES/CAIXA, pela seguinte motivação:CONSIDERANDO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968718/2024/MCIDADES/CAIXA,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contratação;REVOGA-SE, pois, a CONCORRÊNCIA PÚBLICA Nº 043/2026, nos termos do art. 71 da Lei Federal
nº 14.133/2021. São Luís - MA, 09 de março de 2026. MÁRCIO RIBEIRO MACHADO Secretário de Estado de Governo.</t>
  </si>
  <si>
    <t>Prefeitura Municipal de Itapororoca</t>
  </si>
  <si>
    <t>Itapororoca</t>
  </si>
  <si>
    <t>CONTRATAÇÃO DE EMPRESA ESPECIALIZADA NO RAMO DA CONSTRUÇÃO CIVIL PARA EXECUTAR A CONSTRUÇÃO DE AGROINDÚSTRIA E DE ESTRUTURAS PARA BENEFICIAMENTO E CONSERVAÇÃO DE PRODUTOS AGROPECUÁRIOS, OPERAÇÃO CAIXA 1080676-63, SINCONV 921800/ MAPA, LOCALIZADO NO MUN.</t>
  </si>
  <si>
    <t>REVOGAÇÃO
CONCORRÊNCIA ELETRÔNICA Nº 00002/2025
Com base nos elementos constantes do processo e observado o parecer da Assessoria Jurídica, referente
a Concorrência Eletrônica nº 00002/2025, que objetiva: CONTRATAÇÃO DE EMPRESA ESPECIALIZADA NO RAMO DA CONSTRUÇÃO CIVIL PARA EXECUTAR A CONSTRUÇÃO DE AGROINDÚSTRIA E DE ESTRUTURAS PARA BENEFICIAMENTO E CONSERVAÇÃO DE PRODUTOS
AGROPECUÁRIOS, OPERAÇÃO CAIXA 1080676-63, SINCONV 921800/MAPA, LOCALIZADO
NO MUN; REVOGO o correspondente procedimento licitatório. Justifi cativa: Motivo de conveniência
e oportunidade - licitação REVOGADA.
Itapororoca - PB, 08 de Abril de 2026</t>
  </si>
  <si>
    <t>CR/90001/2026</t>
  </si>
  <si>
    <t>* Licitação Eletrônica * Contratação de empresa especializada para a execução de obras de construção de 43 quarenta e três unidades habitacionais, sendo 38 trinta e oito unidades com banheiro convencional e 05 cinco unidades com banheiro adaptado para Pessoas com Deficiência - PCD, conforme projetos, memoriais descritivos, planilhas orçamentárias e demais especificações técnicas disponibilizadas pelo Município de Xanxerê, no âmbito do Programa Casa Catarina, promovido pelo Governo do Estado de SC</t>
  </si>
  <si>
    <t>ATO DE REVOGAÇÃO CÂMARA MUNICIPAL DE XANXERÊ Estado de Santa Catarina CNPJ: 83.828.285/0001-80 Rua Rui Barbosa, 238 - Centro - Xanxerê/SC - CEP 89820-000
PROCESSO LICITATÓRIO Nº 5/2026 CONCORRÊNCIA PRESENCIAL Nº 01/2026 OBJETO: LOCAÇÃO NA MODALIDADE BUILT TO SUIT DECISÃO DEFINITIVA DE REVOGAÇÃO DE LICITAÇÃO O Presidente da Câmara Municipal de Xanxerê, Estado de Santa Catarina, Sr. Claudemir Fernandes, no uso das atribuições legais que lhe são conferidas pela Lei Orgânica Municipal e pelo Regimento Interno desta Casa Legislativa, e CONSIDERANDO que, por meio do Ato de Revogação datado de 31 de março de 2026, foi instaurado o procedimento de revogação do Processo Licitatório nº 5/2026 - Concorrência Presencial nº 01/2026, por razões de interesse público, com fundamento no art. 71, caput, da Lei Federal nº 14.133/2021, sendo assegurado ao proponente participante o prazo de 3 três dias úteis para apresentação de manifestação escrita no exercício do contraditório e da ampla defesa, conforme art. 71, § 3º, do mesmo diploma legal; CONSIDERANDO que o proponente participante, Sr. Neli Lino Saibo Junior, CPF nº 006.076.509-74, foi regularmente notificado acerca do referido ato CONSIDERANDO que, decorrido o prazo de 3 três dias úteis concedido para manifestação, o proponente participante quedou-se silente, não apresentando qualquer impugnação, recurso ou manifestação escrita, operando-se, portanto, o decurso in albis do prazo sem exercício do contraditório; CONSIDERANDO que o silêncio do proponente, no prazo assinalado, não obsta o prosseguimento e a prolação da decisão definitiva de revogação, sendo cumprida integralmente a garantia constitucional do contraditório e da ampla defesa art. 5º, LV, da Constituição Federal com a abertura da oportunidade de manifestação prévia, nos termos do art. 71, § 3º, da Lei Federal nº 14.133/2021; CONSIDERANDO que os fundamentos que embasam a revogação, detalhadamente expostos no Ato de 31 de março de 2026, permanecem íntegros e juridicamente sustentáveis, notadamente: i a reduzida competitividade do certame, com participação de apenas 1 um proponente; ii a necessidade de revisão da delimitação geográfica fixada no edital; iii a ausência de exigência de qualificação técnica específica na área de construção civil no envelope de habilitação; e iv a necessidade de cotejo mais aprofundado entre o valor ofertado pelo único proponente e os parâmetros de mercado para locações na modalidade Built to Suit, a fim de assegurar a economicidade e a vantajosidade da contratação nos termos do art. 34 da Lei Federal nº 14.133/2021; CONSIDERANDO que a revogação do certame antes da homologação, por razões de interesse público, encontra amparo no art. 71, caput, da Lei Federal nº 14.133/2021, e que foram observadas todas as garantias legais e constitucionais aplicáveis ao procedimento; RESOLVE: Art. 1º Declarar, em caráter definitivo, a revogação do Processo Licitatório nº 5/2026 - Concorrência Presencial nº 01/2026, com fundamento no art. 71, caput, da Lei Federal nº 14.133/2021, por razões de interesse público consistentes na necessidade de revisão do modelo contratual estruturado no instrumento convocatório, objetivando maior competitividade, economicidade e segurança jurídica para esta Casa Legislativa. Art. 2º Registrar que o proponente participante, Sr. Neli Lino Saibo Junior, CPF nº 006.076.509-74, foi regularmente notificado para exercício do contraditório e da ampla defesa, nos termos do art. 71, § 3º, da Lei Federal nº 14.133/2021, e que, decorrido in albis o prazo concedido sem apresentação de manifestação, fica confirmada a revogação do certame nos termos do art. 1º deste ato. Art. 3º Determinar a devolução, ao proponente participante, de todos os documentos e envelopes apresentados no certame ora revogado, mediante protocolo de recebimento. Art. 4º Determinar a publicação da presente decisão definitiva no sítio eletrônico oficial desta Câmara Municipal para fins de publicidade e transparência, nos termos da Lei Federal nº 14.133/2021. Art. 5º Determinar a notificação do proponente participante acerca da presente decisão definitiva, por meio hábil que permita a comprovação do recebimento. Art. 6º Este ato entra em vigor na data de sua assinatura. 
Xanxerê/SC, 07 de abril de 2026.</t>
  </si>
  <si>
    <t>Prefeitura Municipal de Santo Antônio do Sudoeste</t>
  </si>
  <si>
    <t>Santo Antônio do Sudoeste</t>
  </si>
  <si>
    <t>CR/34/2025</t>
  </si>
  <si>
    <t>Contrtacao de empresa especializada para pavimentacao asfaltico sobre pedras irregulares em vias urbanas em CBUQ 70.51958 m2 incluindo os servicos preliminares revestimento meiofio e sarjeta servicos de urbanizacao sinalizacao de transito ensaios tecnologicos e placa de comunicacao visual conforme planilhas convenio N? 8052025  SECID</t>
  </si>
  <si>
    <t>Anulação integral do certame por ilegalidade na fase de habilitação
08 de abril de 2026
1. INTRODUÇÃO
A Comissão Permanente de Licitação da Prefeitura Municipal de Santo Antonio do Sudoeste -
PR, no uso de suas atribuições legais e em conformidade com a legislação vigente, torna público
o resultado da análise e a consequente anulação da Concorrência Presencial nº 034/2025, cujo
objeto é a contratação de serviços de pavimentação asfáltica com Concreto Betuminoso
Usinado a Quente CBUQ. O processo licitatório foi aberto em 08 de janeiro de 2026,
conforme edital nº 034/2025, visando a execução de obras de infraestrutura no município.
2. FUNDAMENTAÇÃO
A decisão pela anulação integral do certame fundamenta-se em parecer técnico-jurídico emitido
pela Procuradoria Jurídica do Paranacidade, órgão responsável pela análise de conformidade
dos processos licitatórios. O referido parecer, após minuciosa avaliação da documentação e dos
termos do Edital nº 034/2025, apontou a existência de ilegalidade na fase de habilitação,
especificamente na qualificação técnico-profissional dos licitantes. A Procuradoria Jurídica do
Paranacidade manifestou-se nos seguintes termos:
"Da análise à documentação apresentada, verifica-se que, no presente caso, o município
incorreu em ilegalidade ao inserir, na fase de habilitação - qualificação técnico-profissional,
exigência não prevista no Art. 67 da Lei 14.133 e considerada pelo TCE/PR como causadora
de restrição indevida da competitividade exigência de apresentação de licenciamento
ambiental da usina de CBUQ, de insumos, de fornecedores, nos termos do Acórdão 3517/2025
- TCE/PR - Tribunal Pleno. Sendo assim, a Procuradoria Jurídica do Paranacidade emite
parecer DESFAVORÁVEL ao presente caso e recomenda a anulação do certame. O município
deverá aguardar o contato do engenheiro do PARANACIDADE responsável por este projeto,
para realização de nova licitação."
A exigência de apresentação de licenciamento ambiental da usina de CBUQ, de insumos e de
fornecedores, conforme apontado pelo parecer, configura uma restrição indevida à
competitividade, em desacordo com o Art. 67 da Lei nº 14.133/2021, que estabelece os
requisitos para a qualificação técnico-profissional, e com o entendimento consolidado pelo
Tribunal de Contas do Estado do Paraná TCE/PR no Acórdão 3517/2025 - TCE/PR -
Tribunal Pleno.
3. DECISÃO
Diante da fundamentação exposta e em observância ao princípio da autotutela administrativa,
consagrado pela Súmula 473 do Supremo Tribunal Federal STF, que confere à Administração
Pública o poder-dever de anular seus próprios atos quando eivados de ilegalidade, e em
conformidade com o Art. 6º da Lei nº 14.133/2021, que trata dos princípios e definições
aplicáveis às licitações e contratos administrativos, a Comissão Permanente de Licitação decide
MUNICÍPIO DE SANTO ANTONIO DO SUDOESTE
ESTADO DO PARANÁ
Avenida Brasil, 1431 -centro- CEP 85.71-000
CNPJ 75.927.582/0001-55
E-mail: licitacao1@pmsas.pr.gov.br - Telefone: 46 35638000
pela ANULAÇÃO INTEGRAL da Concorrência Presencial nº 034/2025, em todos os seus
atos e fases, acolhendo a recomendação expressa da Procuradoria Jurídica do Paranacidade.
Santo Antonio do Sudoeste/PR, 08 de abril de 2026.</t>
  </si>
  <si>
    <t>Prefeitura Municipal de São Jorge do Patrocínio</t>
  </si>
  <si>
    <t>São Jorge do Patrocínio</t>
  </si>
  <si>
    <t>* Licitação Eletrônica * Seleção de empresa especializada para a execução de obra de Pavimentação de vias urbanas em concreto betuminoso usinado a quente CBUQ, área de 24.904,83 m², compreendendo: serviços preliminares; terraplenagem; drenagem; base e sub-base; revestimento; meio-fio e sarjeta; serviços de urbanização; sinalização de trânsito; e ensaios de controle tecnológico.
 * https://bnccompras.com *</t>
  </si>
  <si>
    <t>ESTADO DO PARANÁ
DECISÃO ADMINISTRATIVA DE ANULAÇÃO DE PROCESSO LICITATÓRIO
Processo Administrativo nº 18/2026
Concorrência Eletrônica nº 001/2026
Objeto: Pavimentação de vias urbanas em CBUQ - Município de São Jorge do Patrocínio/PR
I - RELATÓRIO
Trata-se de procedimento licitatório instaurado com a finalidade de contratação de empresa
especializada para execução de obra de pavimentação de vias urbanas em concreto betuminoso
usinado a quente CBUQ, abrangendo área total de 24.904,83 m², incluindo serviços de
terraplenagem, drenagem, base, sub-base, revestimento, sinalização e demais serviços correlatos.
O processo foi regularmente instruído na fase preparatória, com a elaboração do Documento
de Formalização da Demanda, Estudo Técnico Preliminar e Termo de Referência, tendo sido
devidamente fundamentado sob os aspectos técnico, operacional e administrativo, conforme
exigido pela Lei nº 14.133/2021.
Registre-se que, na fase interna, foram apresentadas justificativas técnicas detalhadas quanto
às exigências constantes do edital, especialmente no que se refere às condições necessárias à
adequada execução da obra e à garantia da qualidade do revestimento asfáltico em CBUQ.
Contudo, após análise técnica realizada pelo PARANACIDADE, foi apontada a existência de
irregularidade no instrumento convocatório, especialmente quanto às exigências relacionadas à
qualificação técnica, consideradas potencialmente restritivas à competitividade.
Em razão disso, foi emitido parecer desfavorável ao prosseguimento do certame, com
recomendação expressa de anulação do procedimento e realização de nova licitação com os
devidos ajustes.
II - FUNDAMENTAÇÃO
Nos termos do art. 71 da Lei nº 14.133/2021, a Administração Pública deve anular seus próprios
atos quando eivados de vício de legalidade, assegurando a observância dos princípios que regem
as contratações públicas, especialmente a legalidade, a isonomia, a competitividade e a seleção
da proposta mais vantajosa.
No caso em análise, embora as exigências previstas no edital tenham sido tecnicamente
justificadas na fase interna, com o objetivo de assegurar a qualidade da execução do objeto e a
adequada logística de produção e aplicação do CBUQ, o entendimento consolidado do Tribunal
de Contas do Estado do Paraná, conforme Acórdão nº 3517/2025 - Tribunal Pleno, aponta que
exigências dessa natureza, quando inseridas como condição de habilitação, podem configurar
restrição indevida à competitividade, por não estarem expressamente previstas no rol do art. 67
da Lei nº 14.133/2021.
Dessa forma, verifica-se a existência de vício de legalidade no instrumento convocatório, o qual
compromete a regularidade do certame, tornando inviável o seu prosseguimento.
Ademais, a manutenção do procedimento nas condições atuais poderia ensejar prejuízos à
Administração Pública, inclusive quanto à validade futura do contrato, à segurança jurídica e à
possibilidade de questionamentos pelos órgãos de controle.
Importante destacar que a anulação do processo não decorre de ausência de planejamento ou de
falha na instrução processual, mas sim da necessidade de adequação às orientações dos órgãos
de controle, visando assegurar maior competitividade, legalidade e segurança jurídica ao certame.
III - DECISÃO
Diante do exposto, com fundamento no art. 71 da Lei nº 14.133/2021, e em observância ao princípio
da autotutela administrativa, bem como às orientações do PARANACIDADE e ao entendimento do
Tribunal de Contas do Estado do Paraná,
DECIDO:
1. ANULAR o Processo Administrativo nº 18/2026, referente à Concorrência Eletrônica nº
001/2026, em razão da existência de vício de legalidade no instrumento convocatório, relacionado
às exigências de qualificação técnica consideradas potencialmente restritivas à competitividade,
conforme recomendação do Paranacidade;
2. Determinar o retorno do processo à fase de planejamento, para revisão e adequação do Estudo
Técnico Preliminar, Termo de Referência e edital, de modo a assegurar plena conformidade com a
Lei nº 14.133/2021 e com as orientações dos órgãos de controle;
3. Determinar a adoção das providências necessárias para a elaboração de novo procedimento
licitatório, com a devida correção das exigências apontadas;
4. Determinar a publicação desta decisão nos meios oficiais, assegurando a devida transparência
e publicidade do ato.
IV - DISPOSIÇÕES FINAIS
Ressalte-se que a presente decisão visa resguardar o interesse público, garantindo que a futura
contratação ocorra em estrita observância aos princípios da legalidade, competitividade, eficiência
e segurança jurídica.
São Jorge do Patrocínio - PR, 07 de abril de 2026.
Ronaldo Tinti
Prefeito</t>
  </si>
  <si>
    <t>CR/75/2026</t>
  </si>
  <si>
    <t>Contratação integrada de empresa especializada em engenharia para a elaboração dos projetos básico e executivo, bem como a execução das obras e serviços necessários à implantação, modernização e automação integral do Sistema de Abastecimento de Água SAA de São Luís/MA - Bairro Sacavém, conforme diretrizes, parâmetros técnicos e soluções indicadas no anteprojeto com recursos do Termo de Compromisso nº 953280/2024/MCIDADES/CAIXA firmado com a Secretaria de Estado de Governo</t>
  </si>
  <si>
    <t>CRITÉRIO DE JULGAMENTO: TÉCNICA
E PREÇO. FORMA: ELETRÔNICA DATA DA ABERTURA: às
15h30min do dia 10/07/2026, horário de Brasília/DF. Local de Realização:
Av. Pedro II, 180 - Centro, São Luís/MA, 65010-450 Ed.
João Goulart, Auditório. Edital e demais informações do processo
licitatório estão em: www.licitama.com.br www.segov.ma.gov.br ou
www.gov.br/pncp. Informações adicionais serão prestadas na CSL/
SEGOV localizada no Av. Pedro II, 180 - Centro, São Luís/MA,
65010-450, Ed. João Goulart, 1º Andar, ou pelo e-mail csl@segov.
ma.gov.br. São Luís MA, 31 de março de 2026. Eduardo Henrique
de Melo Santos Presidente da Comissão de Contratação Secretaria
de Governo do Estado do Maranhão - SEGOV/MA</t>
  </si>
  <si>
    <t>CR/72/2026</t>
  </si>
  <si>
    <t>Contratação integrada de empresa especializada em engenharia para a elaboração dos projetos básico e executivo, bem como a execução das obras e serviços necessários à implantação de abastecimento de água no município de Barreirinhas/ MA, conforme diretrizes, parâmetros técnicos e soluções indicadas no anteprojeto com recursos do Termo de Compromisso nº 968346/2024/MCIDADES/CAIXA firmado com a Secretaria de Estado de Governo</t>
  </si>
  <si>
    <t>CRITÉRIO DE JULGAMENTO: TÉCNICA
E PREÇO. FORMA: ELETRÔNICA DATA DA ABERTURA: às
11h00min do dia 10/07/2026, horário de Brasília/DF. Local de Realização:
Av. Pedro II, 180 - Centro, São Luís/MA, 65010-450 Ed.
João Goulart, Auditório. Edital e demais informações do processo licitatório
estão em: www.licitama.com.br, www.segov.ma.gov.br ou
www.gov.br/pncp. Informações adicionais serão prestadas na CSL/
SEGOV localizada no Av. Pedro II, 180 - Centro, São Luís/MA,
65010-450, Ed. João Goulart, 1º Andar, ou pelo e-mail csl@segov.
ma.gov.br. São Luís MA, 31 de março de 2026. Eduardo Henrique
de Melo Santos Presidente da Comissão de Contratação Secretaria
de Governo do Estado do Maranhão - SEGOV/MA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</si>
</sst>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m/d/yyyy\ h:mm"/>
  </numFmts>
  <fonts count="5" x14ac:knownFonts="1">
    <font>
      <sz val="11"/>
      <color theme="1"/>
      <name val="Calibri"/>
      <family val="2"/>
      <scheme val="minor"/>
    </font>
    <font>
      <b/>
      <sz val="11"/>
      <color theme="1"/>
      <name val="Calibri"/>
      <family val="2"/>
      <scheme val="minor"/>
    </font>
    <font>
      <b/>
      <sz val="11"/>
      <color rgb="FF000000"/>
      <name val="Arial"/>
      <family val="2"/>
    </font>
    <font>
      <sz val="11"/>
      <name val="Calibri"/>
      <family val="2"/>
      <scheme val="minor"/>
    </font>
    <font>
      <sz val="11"/>
      <color theme="0"/>
      <name val="Calibri"/>
      <family val="2"/>
      <scheme val="minor"/>
    </font>
  </fonts>
  <fills count="2">
    <fill>
      <patternFill patternType="none"/>
    </fill>
    <fill>
      <patternFill patternType="gray125"/>
    </fill>
  </fills>
  <borders count="4">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style="thin">
        <color auto="1"/>
      </left>
      <right/>
      <top style="thin">
        <color auto="1"/>
      </top>
      <bottom/>
      <diagonal/>
    </border>
  </borders>
  <cellStyleXfs count="1">
    <xf numFmtId="0" fontId="0" fillId="0" borderId="0"/>
  </cellStyleXfs>
  <cellXfs count="21">
    <xf numFmtId="0" fontId="0" fillId="0" borderId="0" xfId="0"/>
    <xf numFmtId="0" fontId="0" fillId="0" borderId="0" xfId="0" applyAlignment="1">
      <alignment vertical="center"/>
    </xf>
    <xf numFmtId="0" fontId="0" fillId="0" borderId="1" xfId="0" applyBorder="1" applyAlignment="1">
      <alignment vertical="center"/>
    </xf>
    <xf numFmtId="0" fontId="1" fillId="0" borderId="2" xfId="0" applyFont="1" applyBorder="1" applyAlignment="1">
      <alignment horizontal="center" vertical="center"/>
    </xf>
    <xf numFmtId="0" fontId="0" fillId="0" borderId="3" xfId="0" applyBorder="1" applyAlignment="1">
      <alignment vertical="center"/>
    </xf>
    <xf numFmtId="0" fontId="0" fillId="0" borderId="0" xfId="0" applyFill="1" applyAlignment="1">
      <alignment horizontal="center" vertical="center" wrapText="1"/>
    </xf>
    <xf numFmtId="0" fontId="0" fillId="0" borderId="0" xfId="0" applyNumberFormat="1" applyFill="1" applyAlignment="1">
      <alignment vertical="center" wrapText="1"/>
    </xf>
    <xf numFmtId="0" fontId="0" fillId="0" borderId="0" xfId="0" applyFill="1" applyAlignment="1">
      <alignment vertical="center" wrapText="1"/>
    </xf>
    <xf numFmtId="0" fontId="0" fillId="0" borderId="0" xfId="0" applyNumberFormat="1" applyFill="1" applyAlignment="1">
      <alignment horizontal="center" vertical="center" wrapText="1"/>
    </xf>
    <xf numFmtId="14" fontId="0" fillId="0" borderId="0" xfId="0" applyNumberFormat="1" applyFill="1" applyAlignment="1">
      <alignment vertical="center" wrapText="1"/>
    </xf>
    <xf numFmtId="0" fontId="3" fillId="0" borderId="0" xfId="0" applyNumberFormat="1" applyFont="1" applyFill="1" applyAlignment="1">
      <alignment vertical="center" wrapText="1"/>
    </xf>
    <xf numFmtId="164" fontId="0" fillId="0" borderId="0" xfId="0" applyNumberFormat="1" applyFill="1" applyAlignment="1">
      <alignment vertical="center" wrapText="1"/>
    </xf>
    <xf numFmtId="165" fontId="0" fillId="0" borderId="0" xfId="0" applyNumberFormat="1" applyFill="1" applyAlignment="1">
      <alignment vertical="center" wrapText="1"/>
    </xf>
    <xf numFmtId="0" fontId="3" fillId="0" borderId="0" xfId="0" applyFont="1" applyFill="1" applyAlignment="1">
      <alignment horizontal="center" vertical="center" wrapText="1"/>
    </xf>
    <xf numFmtId="0" fontId="3" fillId="0" borderId="0" xfId="0" applyFont="1" applyFill="1" applyAlignment="1">
      <alignment vertical="center" wrapText="1"/>
    </xf>
    <xf numFmtId="0" fontId="3" fillId="0" borderId="0" xfId="0" applyNumberFormat="1" applyFont="1" applyFill="1" applyAlignment="1">
      <alignment horizontal="center" vertical="center" wrapText="1"/>
    </xf>
    <xf numFmtId="164" fontId="3" fillId="0" borderId="0" xfId="0" applyNumberFormat="1" applyFont="1" applyFill="1" applyAlignment="1">
      <alignment vertical="center" wrapText="1"/>
    </xf>
    <xf numFmtId="165" fontId="3" fillId="0" borderId="0" xfId="0" applyNumberFormat="1" applyFont="1" applyFill="1" applyAlignment="1">
      <alignment vertical="center" wrapText="1"/>
    </xf>
    <xf numFmtId="0" fontId="4" fillId="0" borderId="0" xfId="0" applyFont="1" applyFill="1" applyAlignment="1">
      <alignment horizontal="center" vertical="center" wrapText="1"/>
    </xf>
    <xf numFmtId="0" fontId="4" fillId="0" borderId="0" xfId="0" applyFont="1" applyFill="1" applyAlignment="1">
      <alignment vertical="center" wrapText="1"/>
    </xf>
    <xf numFmtId="14" fontId="4" fillId="0" borderId="0" xfId="0" applyNumberFormat="1" applyFont="1" applyFill="1" applyAlignment="1">
      <alignment vertical="center" wrapText="1"/>
    </xf>
  </cellXfs>
  <cellStyles count="1">
    <cellStyle name="Normal" xfId="0" builtinId="0"/>
  </cellStyles>
  <dxfs count="31">
    <dxf>
      <numFmt numFmtId="164" formatCode="m/d/yyyy"/>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165" formatCode="m/d/yyyy\ h:mm"/>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ont>
        <strike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1" indent="0" justifyLastLine="0" shrinkToFit="0" readingOrder="0"/>
    </dxf>
    <dxf>
      <numFmt numFmtId="164" formatCode="m/d/yyyy"/>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rgb="FF000000"/>
          <bgColor auto="1"/>
        </patternFill>
      </fill>
      <alignment horizontal="general" vertical="center" textRotation="0" wrapText="1" indent="0" justifyLastLine="0" shrinkToFit="0" readingOrder="0"/>
    </dxf>
    <dxf>
      <font>
        <strike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165" formatCode="m/d/yyyy\ h:mm"/>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ont>
        <strike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1" indent="0" justifyLastLine="0" shrinkToFit="0" readingOrder="0"/>
    </dxf>
    <dxf>
      <numFmt numFmtId="164" formatCode="m/d/yyyy"/>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general" vertical="center" textRotation="0" wrapText="0" indent="0" justifyLastLine="0" shrinkToFit="0" readingOrder="0"/>
      <border diagonalUp="0" diagonalDown="0">
        <left style="thin">
          <color auto="1"/>
        </left>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ill>
        <patternFill patternType="none">
          <fgColor indexed="64"/>
          <bgColor auto="1"/>
        </patternFill>
      </fill>
      <alignment horizontal="general" vertical="center" textRotation="0" wrapText="1" indent="0" justifyLastLine="0" shrinkToFit="0" readingOrder="0"/>
    </dxf>
    <dxf>
      <font>
        <strike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1"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100" b="1" i="0" u="none" strike="noStrike" baseline="0">
                  <a:solidFill>
                    <a:srgbClr val="000000"/>
                  </a:solidFill>
                  <a:latin typeface="Arial"/>
                  <a:cs typeface="Arial"/>
                </a:rPr>
                <a:t>PALAVRAS CHAVE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7620</xdr:rowOff>
        </xdr:from>
        <xdr:to>
          <xdr:col>1</xdr:col>
          <xdr:colOff>960120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100" b="1" i="0" u="none" strike="noStrike" baseline="0">
                  <a:solidFill>
                    <a:srgbClr val="000000"/>
                  </a:solidFill>
                  <a:latin typeface="Arial"/>
                  <a:cs typeface="Arial"/>
                </a:rPr>
                <a:t>SALVAR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22860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E84D9208-B327-4EE3-8F40-6CA665BFD03B}"/>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100" b="1" i="0" u="none" strike="noStrike" baseline="0">
                  <a:solidFill>
                    <a:srgbClr val="000000"/>
                  </a:solidFill>
                  <a:latin typeface="Arial"/>
                  <a:cs typeface="Arial"/>
                </a:rPr>
                <a:t>PALAVRAS CHAVE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7620</xdr:rowOff>
        </xdr:from>
        <xdr:to>
          <xdr:col>1</xdr:col>
          <xdr:colOff>960120</xdr:colOff>
          <xdr:row>1</xdr:row>
          <xdr:rowOff>0</xdr:rowOff>
        </xdr:to>
        <xdr:sp macro="" textlink="">
          <xdr:nvSpPr>
            <xdr:cNvPr id="5122" name="Button 2" hidden="1">
              <a:extLst>
                <a:ext uri="{63B3BB69-23CF-44E3-9099-C40C66FF867C}">
                  <a14:compatExt spid="_x0000_s5122"/>
                </a:ext>
                <a:ext uri="{FF2B5EF4-FFF2-40B4-BE49-F238E27FC236}">
                  <a16:creationId xmlns:a16="http://schemas.microsoft.com/office/drawing/2014/main" id="{46923FD3-B5E4-4EAF-B477-09FD6627431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100" b="1" i="0" u="none" strike="noStrike" baseline="0">
                  <a:solidFill>
                    <a:srgbClr val="000000"/>
                  </a:solidFill>
                  <a:latin typeface="Arial"/>
                  <a:cs typeface="Arial"/>
                </a:rPr>
                <a:t>SALVAR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1" xr16:uid="{754DD607-5670-4AE9-8549-D340FE809353}" autoFormatId="16" applyNumberFormats="0" applyBorderFormats="0" applyFontFormats="0" applyPatternFormats="0" applyAlignmentFormats="0" applyWidthHeightFormats="0">
  <queryTableRefresh nextId="13" unboundColumnsRight="1">
    <queryTableFields count="11">
      <queryTableField id="1" name="Número ConLicitação" tableColumnId="1"/>
      <queryTableField id="2" name="Órgão" tableColumnId="2"/>
      <queryTableField id="3" name="Cidade" tableColumnId="3"/>
      <queryTableField id="4" name="Estado" tableColumnId="4"/>
      <queryTableField id="5" name="Edital" tableColumnId="5"/>
      <queryTableField id="6" name="Situação" tableColumnId="6"/>
      <queryTableField id="7" name="Abertura" tableColumnId="7"/>
      <queryTableField id="8" name="Objeto" tableColumnId="8"/>
      <queryTableField id="9" name="Observação" tableColumnId="9"/>
      <queryTableField id="10" name="Atualizada em" tableColumnId="10"/>
      <queryTableField id="11"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26" xr16:uid="{DA912D69-9FFB-4FE9-A7B0-D104BFE63C3B}" autoFormatId="16" applyNumberFormats="0" applyBorderFormats="0" applyFontFormats="0" applyPatternFormats="0" applyAlignmentFormats="0" applyWidthHeightFormats="0">
  <queryTableRefresh nextId="14" unboundColumnsRight="1">
    <queryTableFields count="12">
      <queryTableField id="1" name="Número ConLicitação" tableColumnId="1"/>
      <queryTableField id="2" name="Órgão" tableColumnId="2"/>
      <queryTableField id="3" name="Cidade" tableColumnId="3"/>
      <queryTableField id="4" name="Estado" tableColumnId="4"/>
      <queryTableField id="5" name="Edital" tableColumnId="5"/>
      <queryTableField id="6" name="Situação" tableColumnId="6"/>
      <queryTableField id="7" name="Abertura" tableColumnId="7"/>
      <queryTableField id="13" dataBound="0" tableColumnId="12"/>
      <queryTableField id="8" name="Objeto" tableColumnId="8"/>
      <queryTableField id="9" name="Observação" tableColumnId="9"/>
      <queryTableField id="10" name="Atualizada em" tableColumnId="10"/>
      <queryTableField id="11" dataBound="0" tableColumnId="1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D48542-9662-4B37-82D5-8DFF450908DE}" name="Boletim" displayName="Boletim" ref="A1:K1787" tableType="queryTable" totalsRowShown="0" headerRowDxfId="30" dataDxfId="29">
  <autoFilter ref="A1:K1787" xr:uid="{9ED48542-9662-4B37-82D5-8DFF450908DE}">
    <filterColumn colId="10">
      <filters>
        <filter val="ABRACADEIRA"/>
        <filter val="abraçadeira"/>
        <filter val="BOMBEAMENTO"/>
        <filter val="BOOSTER"/>
        <filter val="DIAGNÓSTICO"/>
        <filter val="EFICIÊNCIA"/>
        <filter val="ELEVADO"/>
        <filter val="ELEVATÓRIA"/>
        <filter val="INOX"/>
        <filter val="JUNTA"/>
        <filter val="MEDIÇÃO"/>
        <filter val="RESERVAT"/>
        <filter val="TAÇA"/>
        <filter val="TANQUE"/>
        <filter val="UNIAO"/>
      </filters>
    </filterColumn>
  </autoFilter>
  <tableColumns count="11">
    <tableColumn id="1" xr3:uid="{7E611854-0878-443A-9C41-E77FB73927D4}" uniqueName="1" name="Número ConLicitação" queryTableFieldId="1" dataDxfId="24"/>
    <tableColumn id="2" xr3:uid="{C669BDA6-AC7B-44D4-A428-0D017B2C82E9}" uniqueName="2" name="Órgão" queryTableFieldId="2" dataDxfId="23"/>
    <tableColumn id="3" xr3:uid="{E93EC713-B358-4B24-97EE-50E66C4AC7CB}" uniqueName="3" name="Cidade" queryTableFieldId="3" dataDxfId="22"/>
    <tableColumn id="4" xr3:uid="{729104B2-8204-4BCC-8CED-717829DC179C}" uniqueName="4" name="Estado" queryTableFieldId="4" dataDxfId="21"/>
    <tableColumn id="5" xr3:uid="{F5E6C381-9DEE-45C2-AE0B-F1C58AE772C6}" uniqueName="5" name="Edital" queryTableFieldId="5" dataDxfId="20"/>
    <tableColumn id="6" xr3:uid="{32C9451F-5807-45C5-85AA-C4D6A431D2DC}" uniqueName="6" name="Situação" queryTableFieldId="6" dataDxfId="19"/>
    <tableColumn id="7" xr3:uid="{D2F230A7-B8D8-4DC1-965F-8177B463F1F4}" uniqueName="7" name="Abertura" queryTableFieldId="7" dataDxfId="18"/>
    <tableColumn id="8" xr3:uid="{9F7C9FDB-A003-4AF7-9AB9-FD5A475CA8C2}" uniqueName="8" name="Objeto" queryTableFieldId="8" dataDxfId="17"/>
    <tableColumn id="9" xr3:uid="{D9AB14CA-3F04-4402-A846-12D24E53EE8B}" uniqueName="9" name="Observação" queryTableFieldId="9" dataDxfId="16"/>
    <tableColumn id="10" xr3:uid="{2736448B-204C-4BAE-B303-B721125D2318}" uniqueName="10" name="Atualizada em" queryTableFieldId="10" dataDxfId="15"/>
    <tableColumn id="11" xr3:uid="{4C6C9DD2-B1BF-4217-AD43-902708004D2B}" uniqueName="11" name="Palavra Chave" queryTableFieldId="11" dataDxfId="14">
      <calculatedColumnFormula array="1">LOOKUP(2^15,SEARCH(Tabela2[Palavras-Chave],Boletim[[#This Row],[Objeto]],1),Tabela2[Palavras-Chave])</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98E5D4-5C8D-4F1E-B636-D7605B197124}" name="Tabela2" displayName="Tabela2" ref="A1:A42" totalsRowShown="0" headerRowBorderDxfId="28" tableBorderDxfId="27" totalsRowBorderDxfId="26">
  <autoFilter ref="A1:A42" xr:uid="{1F98E5D4-5C8D-4F1E-B636-D7605B197124}"/>
  <tableColumns count="1">
    <tableColumn id="2" xr3:uid="{A228E419-BDDB-4254-84C7-5C8B7B7BA21B}" name="Palavras-Chave" dataDxfId="2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868682A-64CF-470A-B334-C47982CFED8A}" name="Boletim4" displayName="Boletim4" ref="A1:L1787" tableType="queryTable" totalsRowShown="0" headerRowDxfId="13" dataDxfId="12">
  <autoFilter ref="A1:L1787" xr:uid="{9ED48542-9662-4B37-82D5-8DFF450908DE}">
    <filterColumn colId="11">
      <filters>
        <filter val="ABRACADEIRA"/>
        <filter val="abraçadeira"/>
        <filter val="BOMBEAMENTO"/>
        <filter val="BOOSTER"/>
        <filter val="DIAGNÓSTICO"/>
        <filter val="EFICIÊNCIA"/>
        <filter val="ELEVADO"/>
        <filter val="ELEVATÓRIA"/>
        <filter val="INOX"/>
        <filter val="JUNTA"/>
        <filter val="MEDIÇÃO"/>
        <filter val="RESERVAT"/>
        <filter val="TAÇA"/>
        <filter val="TANQUE"/>
        <filter val="UNIAO"/>
      </filters>
    </filterColumn>
  </autoFilter>
  <tableColumns count="12">
    <tableColumn id="1" xr3:uid="{AAFC6DBB-3A2A-4C98-9B77-371DFCDFC811}" uniqueName="1" name="Número ConLicitação" queryTableFieldId="1" dataDxfId="11"/>
    <tableColumn id="2" xr3:uid="{387EB4C9-A994-4C3D-9A37-3A37850B0A55}" uniqueName="2" name="Órgão" queryTableFieldId="2" dataDxfId="10"/>
    <tableColumn id="3" xr3:uid="{73E041B4-3689-43DF-9E86-4B1913F28CFF}" uniqueName="3" name="Cidade" queryTableFieldId="3" dataDxfId="9"/>
    <tableColumn id="4" xr3:uid="{77111C5B-8D66-4E71-BF1B-B34F91E1909A}" uniqueName="4" name="Estado" queryTableFieldId="4" dataDxfId="8"/>
    <tableColumn id="5" xr3:uid="{F49E2160-DD45-4385-843C-A3088A739E11}" uniqueName="5" name="Edital" queryTableFieldId="5" dataDxfId="7"/>
    <tableColumn id="6" xr3:uid="{E53462D1-5387-488E-92DC-B30553F676FC}" uniqueName="6" name="Situação" queryTableFieldId="6" dataDxfId="6"/>
    <tableColumn id="7" xr3:uid="{78F2EB15-1165-4233-84BC-F7C29EE4D802}" uniqueName="7" name="Abertura" queryTableFieldId="7" dataDxfId="5"/>
    <tableColumn id="12" xr3:uid="{BEA9DE89-6A28-453F-A7A5-30C1EAAEA191}" uniqueName="12" name="filtro" queryTableFieldId="13" dataDxfId="0"/>
    <tableColumn id="8" xr3:uid="{A7072BAD-7211-404B-B2A8-DEF1439FD799}" uniqueName="8" name="Objeto" queryTableFieldId="8" dataDxfId="4"/>
    <tableColumn id="9" xr3:uid="{01C3EDE6-86C3-4160-9565-4D8C4B21E90B}" uniqueName="9" name="Observação" queryTableFieldId="9" dataDxfId="3"/>
    <tableColumn id="10" xr3:uid="{D2FBF40C-0C69-459A-826E-1FE7B9DB57D1}" uniqueName="10" name="Atualizada em" queryTableFieldId="10" dataDxfId="2"/>
    <tableColumn id="11" xr3:uid="{88077813-FAA4-49B5-A54C-A80DB40971E1}" uniqueName="11" name="Palavra Chave" queryTableFieldId="11" dataDxfId="1">
      <calculatedColumnFormula array="1">LOOKUP(2^15,SEARCH(Tabela2[Palavras-Chave],Boletim4[[#This Row],[Objeto]],1),Tabela2[Palavras-Chave])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0034B-BAEC-420D-AC3B-6B3B632D2188}">
  <sheetPr codeName="Planilha1"/>
  <dimension ref="A1:K1787"/>
  <sheetViews>
    <sheetView topLeftCell="E1" zoomScale="85" zoomScaleNormal="85" workbookViewId="0">
      <selection activeCell="H24" sqref="H24"/>
    </sheetView>
  </sheetViews>
  <sheetFormatPr defaultColWidth="9.109375" defaultRowHeight="14.4" x14ac:dyDescent="0.3"/>
  <cols>
    <col min="1" max="1" width="25.44140625" style="5" bestFit="1" customWidth="1"/>
    <col min="2" max="2" width="80.88671875" style="7" bestFit="1" customWidth="1"/>
    <col min="3" max="3" width="25.88671875" style="7" bestFit="1" customWidth="1"/>
    <col min="4" max="4" width="12.109375" style="5" bestFit="1" customWidth="1"/>
    <col min="5" max="5" width="23.21875" style="7" bestFit="1" customWidth="1"/>
    <col min="6" max="6" width="17.33203125" style="7" bestFit="1" customWidth="1"/>
    <col min="7" max="7" width="13.5546875" style="9" bestFit="1" customWidth="1"/>
    <col min="8" max="8" width="80.88671875" style="14" bestFit="1" customWidth="1"/>
    <col min="9" max="9" width="80.88671875" style="7" bestFit="1" customWidth="1"/>
    <col min="10" max="10" width="18.88671875" style="5" bestFit="1" customWidth="1"/>
    <col min="11" max="11" width="18.77734375" style="5" bestFit="1" customWidth="1"/>
    <col min="12" max="16384" width="9.109375" style="7"/>
  </cols>
  <sheetData>
    <row r="1" spans="1:11" s="19" customFormat="1" x14ac:dyDescent="0.3">
      <c r="A1" s="18" t="s">
        <v>35</v>
      </c>
      <c r="B1" s="18" t="s">
        <v>36</v>
      </c>
      <c r="C1" s="18" t="s">
        <v>37</v>
      </c>
      <c r="D1" s="18" t="s">
        <v>38</v>
      </c>
      <c r="E1" s="18" t="s">
        <v>39</v>
      </c>
      <c r="F1" s="18" t="s">
        <v>40</v>
      </c>
      <c r="G1" s="20" t="s">
        <v>41</v>
      </c>
      <c r="H1" s="18" t="s">
        <v>42</v>
      </c>
      <c r="I1" s="18" t="s">
        <v>44</v>
      </c>
      <c r="J1" s="18" t="s">
        <v>43</v>
      </c>
      <c r="K1" s="18" t="s">
        <v>45</v>
      </c>
    </row>
    <row r="2" spans="1:11" ht="100.8" x14ac:dyDescent="0.3">
      <c r="A2" s="5">
        <v>18810867</v>
      </c>
      <c r="B2" s="6" t="s">
        <v>725</v>
      </c>
      <c r="C2" s="6" t="s">
        <v>87</v>
      </c>
      <c r="D2" s="8" t="s">
        <v>86</v>
      </c>
      <c r="E2" s="6" t="s">
        <v>726</v>
      </c>
      <c r="F2" s="6" t="s">
        <v>51</v>
      </c>
      <c r="G2" s="11">
        <v>46129.499305555553</v>
      </c>
      <c r="H2" s="10" t="s">
        <v>727</v>
      </c>
      <c r="I2" s="6" t="s">
        <v>728</v>
      </c>
      <c r="J2" s="12">
        <v>46121.76662037037</v>
      </c>
      <c r="K2" s="6" t="str" cm="1">
        <f t="array" ref="K2">LOOKUP(2^15,SEARCH(Tabela2[Palavras-Chave],Boletim[[#This Row],[Objeto]],1),Tabela2[Palavras-Chave])</f>
        <v>RESERVAT</v>
      </c>
    </row>
    <row r="3" spans="1:11" ht="100.8" hidden="1" x14ac:dyDescent="0.3">
      <c r="A3" s="5">
        <v>18806649</v>
      </c>
      <c r="B3" s="6" t="s">
        <v>729</v>
      </c>
      <c r="C3" s="6" t="s">
        <v>52</v>
      </c>
      <c r="D3" s="8" t="s">
        <v>50</v>
      </c>
      <c r="E3" s="6" t="s">
        <v>118</v>
      </c>
      <c r="F3" s="6" t="s">
        <v>51</v>
      </c>
      <c r="G3" s="11">
        <v>46127.333333333336</v>
      </c>
      <c r="H3" s="10" t="s">
        <v>730</v>
      </c>
      <c r="I3" s="6" t="s">
        <v>731</v>
      </c>
      <c r="J3" s="12">
        <v>46121.435347222221</v>
      </c>
      <c r="K3" s="6" t="e" cm="1">
        <f t="array" ref="K3">LOOKUP(2^15,SEARCH(Tabela2[Palavras-Chave],Boletim[[#This Row],[Objeto]],1),Tabela2[Palavras-Chave])</f>
        <v>#N/A</v>
      </c>
    </row>
    <row r="4" spans="1:11" ht="100.8" hidden="1" x14ac:dyDescent="0.3">
      <c r="A4" s="5">
        <v>18806669</v>
      </c>
      <c r="B4" s="6" t="s">
        <v>729</v>
      </c>
      <c r="C4" s="6" t="s">
        <v>52</v>
      </c>
      <c r="D4" s="8" t="s">
        <v>50</v>
      </c>
      <c r="E4" s="6" t="s">
        <v>105</v>
      </c>
      <c r="F4" s="6" t="s">
        <v>51</v>
      </c>
      <c r="G4" s="11">
        <v>46126.333333333336</v>
      </c>
      <c r="H4" s="10" t="s">
        <v>732</v>
      </c>
      <c r="I4" s="6" t="s">
        <v>733</v>
      </c>
      <c r="J4" s="12">
        <v>46121.436388888891</v>
      </c>
      <c r="K4" s="6" t="e" cm="1">
        <f t="array" ref="K4">LOOKUP(2^15,SEARCH(Tabela2[Palavras-Chave],Boletim[[#This Row],[Objeto]],1),Tabela2[Palavras-Chave])</f>
        <v>#N/A</v>
      </c>
    </row>
    <row r="5" spans="1:11" ht="72" hidden="1" x14ac:dyDescent="0.3">
      <c r="A5" s="5">
        <v>18769997</v>
      </c>
      <c r="B5" s="6" t="s">
        <v>74</v>
      </c>
      <c r="C5" s="6" t="s">
        <v>52</v>
      </c>
      <c r="D5" s="8" t="s">
        <v>50</v>
      </c>
      <c r="E5" s="6" t="s">
        <v>734</v>
      </c>
      <c r="F5" s="6" t="s">
        <v>51</v>
      </c>
      <c r="G5" s="11" t="s">
        <v>56</v>
      </c>
      <c r="H5" s="10" t="s">
        <v>735</v>
      </c>
      <c r="I5" s="6" t="s">
        <v>736</v>
      </c>
      <c r="J5" s="12">
        <v>46121.440335648149</v>
      </c>
      <c r="K5" s="6" t="e" cm="1">
        <f t="array" ref="K5">LOOKUP(2^15,SEARCH(Tabela2[Palavras-Chave],Boletim[[#This Row],[Objeto]],1),Tabela2[Palavras-Chave])</f>
        <v>#N/A</v>
      </c>
    </row>
    <row r="6" spans="1:11" ht="72" hidden="1" x14ac:dyDescent="0.3">
      <c r="A6" s="5">
        <v>18770046</v>
      </c>
      <c r="B6" s="6" t="s">
        <v>74</v>
      </c>
      <c r="C6" s="6" t="s">
        <v>52</v>
      </c>
      <c r="D6" s="8" t="s">
        <v>50</v>
      </c>
      <c r="E6" s="6" t="s">
        <v>737</v>
      </c>
      <c r="F6" s="6" t="s">
        <v>51</v>
      </c>
      <c r="G6" s="11" t="s">
        <v>56</v>
      </c>
      <c r="H6" s="10" t="s">
        <v>738</v>
      </c>
      <c r="I6" s="6" t="s">
        <v>739</v>
      </c>
      <c r="J6" s="12">
        <v>46121.443090277775</v>
      </c>
      <c r="K6" s="6" t="e" cm="1">
        <f t="array" ref="K6">LOOKUP(2^15,SEARCH(Tabela2[Palavras-Chave],Boletim[[#This Row],[Objeto]],1),Tabela2[Palavras-Chave])</f>
        <v>#N/A</v>
      </c>
    </row>
    <row r="7" spans="1:11" ht="72" hidden="1" x14ac:dyDescent="0.3">
      <c r="A7" s="5">
        <v>18769998</v>
      </c>
      <c r="B7" s="6" t="s">
        <v>74</v>
      </c>
      <c r="C7" s="6" t="s">
        <v>53</v>
      </c>
      <c r="D7" s="8" t="s">
        <v>54</v>
      </c>
      <c r="E7" s="6" t="s">
        <v>734</v>
      </c>
      <c r="F7" s="6" t="s">
        <v>51</v>
      </c>
      <c r="G7" s="11" t="s">
        <v>56</v>
      </c>
      <c r="H7" s="10" t="s">
        <v>735</v>
      </c>
      <c r="I7" s="6" t="s">
        <v>736</v>
      </c>
      <c r="J7" s="12">
        <v>46121.440335648149</v>
      </c>
      <c r="K7" s="6" t="e" cm="1">
        <f t="array" ref="K7">LOOKUP(2^15,SEARCH(Tabela2[Palavras-Chave],Boletim[[#This Row],[Objeto]],1),Tabela2[Palavras-Chave])</f>
        <v>#N/A</v>
      </c>
    </row>
    <row r="8" spans="1:11" ht="158.4" hidden="1" x14ac:dyDescent="0.3">
      <c r="A8" s="5">
        <v>18807634</v>
      </c>
      <c r="B8" s="6" t="s">
        <v>269</v>
      </c>
      <c r="C8" s="6" t="s">
        <v>53</v>
      </c>
      <c r="D8" s="8" t="s">
        <v>54</v>
      </c>
      <c r="E8" s="6" t="s">
        <v>55</v>
      </c>
      <c r="F8" s="6" t="s">
        <v>51</v>
      </c>
      <c r="G8" s="11" t="s">
        <v>56</v>
      </c>
      <c r="H8" s="10" t="s">
        <v>740</v>
      </c>
      <c r="I8" s="6" t="s">
        <v>741</v>
      </c>
      <c r="J8" s="12">
        <v>46121.468124999999</v>
      </c>
      <c r="K8" s="6" t="e" cm="1">
        <f t="array" ref="K8">LOOKUP(2^15,SEARCH(Tabela2[Palavras-Chave],Boletim[[#This Row],[Objeto]],1),Tabela2[Palavras-Chave])</f>
        <v>#N/A</v>
      </c>
    </row>
    <row r="9" spans="1:11" ht="172.8" hidden="1" x14ac:dyDescent="0.3">
      <c r="A9" s="5">
        <v>18807658</v>
      </c>
      <c r="B9" s="6" t="s">
        <v>264</v>
      </c>
      <c r="C9" s="6" t="s">
        <v>268</v>
      </c>
      <c r="D9" s="8" t="s">
        <v>54</v>
      </c>
      <c r="E9" s="6" t="s">
        <v>55</v>
      </c>
      <c r="F9" s="6" t="s">
        <v>51</v>
      </c>
      <c r="G9" s="11" t="s">
        <v>56</v>
      </c>
      <c r="H9" s="10" t="s">
        <v>742</v>
      </c>
      <c r="I9" s="6" t="s">
        <v>743</v>
      </c>
      <c r="J9" s="12">
        <v>46121.52615740741</v>
      </c>
      <c r="K9" s="6" t="e" cm="1">
        <f t="array" ref="K9">LOOKUP(2^15,SEARCH(Tabela2[Palavras-Chave],Boletim[[#This Row],[Objeto]],1),Tabela2[Palavras-Chave])</f>
        <v>#N/A</v>
      </c>
    </row>
    <row r="10" spans="1:11" ht="72" hidden="1" x14ac:dyDescent="0.3">
      <c r="A10" s="5">
        <v>18809422</v>
      </c>
      <c r="B10" s="6" t="s">
        <v>150</v>
      </c>
      <c r="C10" s="6" t="s">
        <v>57</v>
      </c>
      <c r="D10" s="8" t="s">
        <v>54</v>
      </c>
      <c r="E10" s="6" t="s">
        <v>744</v>
      </c>
      <c r="F10" s="6" t="s">
        <v>51</v>
      </c>
      <c r="G10" s="11" t="s">
        <v>56</v>
      </c>
      <c r="H10" s="10" t="s">
        <v>745</v>
      </c>
      <c r="I10" s="6" t="s">
        <v>746</v>
      </c>
      <c r="J10" s="12">
        <v>46121.603842592594</v>
      </c>
      <c r="K10" s="6" t="e" cm="1">
        <f t="array" ref="K10">LOOKUP(2^15,SEARCH(Tabela2[Palavras-Chave],Boletim[[#This Row],[Objeto]],1),Tabela2[Palavras-Chave])</f>
        <v>#N/A</v>
      </c>
    </row>
    <row r="11" spans="1:11" ht="172.8" hidden="1" x14ac:dyDescent="0.3">
      <c r="A11" s="5">
        <v>18809159</v>
      </c>
      <c r="B11" s="6" t="s">
        <v>267</v>
      </c>
      <c r="C11" s="6" t="s">
        <v>308</v>
      </c>
      <c r="D11" s="8" t="s">
        <v>54</v>
      </c>
      <c r="E11" s="6" t="s">
        <v>55</v>
      </c>
      <c r="F11" s="6" t="s">
        <v>51</v>
      </c>
      <c r="G11" s="11" t="s">
        <v>56</v>
      </c>
      <c r="H11" s="10" t="s">
        <v>747</v>
      </c>
      <c r="I11" s="6" t="s">
        <v>748</v>
      </c>
      <c r="J11" s="12">
        <v>46121.606990740744</v>
      </c>
      <c r="K11" s="6" t="e" cm="1">
        <f t="array" ref="K11">LOOKUP(2^15,SEARCH(Tabela2[Palavras-Chave],Boletim[[#This Row],[Objeto]],1),Tabela2[Palavras-Chave])</f>
        <v>#N/A</v>
      </c>
    </row>
    <row r="12" spans="1:11" ht="158.4" hidden="1" x14ac:dyDescent="0.3">
      <c r="A12" s="5">
        <v>18807638</v>
      </c>
      <c r="B12" s="6" t="s">
        <v>749</v>
      </c>
      <c r="C12" s="6" t="s">
        <v>53</v>
      </c>
      <c r="D12" s="8" t="s">
        <v>54</v>
      </c>
      <c r="E12" s="6" t="s">
        <v>55</v>
      </c>
      <c r="F12" s="6" t="s">
        <v>51</v>
      </c>
      <c r="G12" s="11" t="s">
        <v>56</v>
      </c>
      <c r="H12" s="10" t="s">
        <v>750</v>
      </c>
      <c r="I12" s="6" t="s">
        <v>751</v>
      </c>
      <c r="J12" s="12">
        <v>46121.663541666669</v>
      </c>
      <c r="K12" s="6" t="e" cm="1">
        <f t="array" ref="K12">LOOKUP(2^15,SEARCH(Tabela2[Palavras-Chave],Boletim[[#This Row],[Objeto]],1),Tabela2[Palavras-Chave])</f>
        <v>#N/A</v>
      </c>
    </row>
    <row r="13" spans="1:11" ht="172.8" hidden="1" x14ac:dyDescent="0.3">
      <c r="A13" s="5">
        <v>18807665</v>
      </c>
      <c r="B13" s="6" t="s">
        <v>214</v>
      </c>
      <c r="C13" s="6" t="s">
        <v>53</v>
      </c>
      <c r="D13" s="8" t="s">
        <v>54</v>
      </c>
      <c r="E13" s="6" t="s">
        <v>55</v>
      </c>
      <c r="F13" s="6" t="s">
        <v>51</v>
      </c>
      <c r="G13" s="11" t="s">
        <v>56</v>
      </c>
      <c r="H13" s="10" t="s">
        <v>752</v>
      </c>
      <c r="I13" s="6" t="s">
        <v>753</v>
      </c>
      <c r="J13" s="12">
        <v>46121.702291666668</v>
      </c>
      <c r="K13" s="6" t="e" cm="1">
        <f t="array" ref="K13">LOOKUP(2^15,SEARCH(Tabela2[Palavras-Chave],Boletim[[#This Row],[Objeto]],1),Tabela2[Palavras-Chave])</f>
        <v>#N/A</v>
      </c>
    </row>
    <row r="14" spans="1:11" ht="72" hidden="1" x14ac:dyDescent="0.3">
      <c r="A14" s="5">
        <v>18809425</v>
      </c>
      <c r="B14" s="6" t="s">
        <v>150</v>
      </c>
      <c r="C14" s="6" t="s">
        <v>57</v>
      </c>
      <c r="D14" s="8" t="s">
        <v>54</v>
      </c>
      <c r="E14" s="6" t="s">
        <v>754</v>
      </c>
      <c r="F14" s="6" t="s">
        <v>51</v>
      </c>
      <c r="G14" s="11" t="s">
        <v>56</v>
      </c>
      <c r="H14" s="10" t="s">
        <v>755</v>
      </c>
      <c r="I14" s="6" t="s">
        <v>756</v>
      </c>
      <c r="J14" s="12">
        <v>46121.70648148148</v>
      </c>
      <c r="K14" s="6" t="e" cm="1">
        <f t="array" ref="K14">LOOKUP(2^15,SEARCH(Tabela2[Palavras-Chave],Boletim[[#This Row],[Objeto]],1),Tabela2[Palavras-Chave])</f>
        <v>#N/A</v>
      </c>
    </row>
    <row r="15" spans="1:11" ht="72" hidden="1" x14ac:dyDescent="0.3">
      <c r="A15" s="5">
        <v>18809421</v>
      </c>
      <c r="B15" s="6" t="s">
        <v>58</v>
      </c>
      <c r="C15" s="6" t="s">
        <v>53</v>
      </c>
      <c r="D15" s="8" t="s">
        <v>54</v>
      </c>
      <c r="E15" s="6" t="s">
        <v>757</v>
      </c>
      <c r="F15" s="6" t="s">
        <v>51</v>
      </c>
      <c r="G15" s="11" t="s">
        <v>56</v>
      </c>
      <c r="H15" s="10" t="s">
        <v>758</v>
      </c>
      <c r="I15" s="6" t="s">
        <v>759</v>
      </c>
      <c r="J15" s="12">
        <v>46121.707812499997</v>
      </c>
      <c r="K15" s="6" t="e" cm="1">
        <f t="array" ref="K15">LOOKUP(2^15,SEARCH(Tabela2[Palavras-Chave],Boletim[[#This Row],[Objeto]],1),Tabela2[Palavras-Chave])</f>
        <v>#N/A</v>
      </c>
    </row>
    <row r="16" spans="1:11" ht="172.8" hidden="1" x14ac:dyDescent="0.3">
      <c r="A16" s="5">
        <v>18810229</v>
      </c>
      <c r="B16" s="6" t="s">
        <v>760</v>
      </c>
      <c r="C16" s="6" t="s">
        <v>53</v>
      </c>
      <c r="D16" s="8" t="s">
        <v>54</v>
      </c>
      <c r="E16" s="6" t="s">
        <v>55</v>
      </c>
      <c r="F16" s="6" t="s">
        <v>51</v>
      </c>
      <c r="G16" s="11" t="s">
        <v>56</v>
      </c>
      <c r="H16" s="10" t="s">
        <v>761</v>
      </c>
      <c r="I16" s="6" t="s">
        <v>762</v>
      </c>
      <c r="J16" s="12">
        <v>46121.729270833333</v>
      </c>
      <c r="K16" s="6" t="e" cm="1">
        <f t="array" ref="K16">LOOKUP(2^15,SEARCH(Tabela2[Palavras-Chave],Boletim[[#This Row],[Objeto]],1),Tabela2[Palavras-Chave])</f>
        <v>#N/A</v>
      </c>
    </row>
    <row r="17" spans="1:11" ht="158.4" hidden="1" x14ac:dyDescent="0.3">
      <c r="A17" s="5">
        <v>18810234</v>
      </c>
      <c r="B17" s="6" t="s">
        <v>320</v>
      </c>
      <c r="C17" s="6" t="s">
        <v>53</v>
      </c>
      <c r="D17" s="8" t="s">
        <v>54</v>
      </c>
      <c r="E17" s="6" t="s">
        <v>55</v>
      </c>
      <c r="F17" s="6" t="s">
        <v>51</v>
      </c>
      <c r="G17" s="11" t="s">
        <v>56</v>
      </c>
      <c r="H17" s="10" t="s">
        <v>763</v>
      </c>
      <c r="I17" s="6" t="s">
        <v>764</v>
      </c>
      <c r="J17" s="12">
        <v>46121.729270833333</v>
      </c>
      <c r="K17" s="6" t="e" cm="1">
        <f t="array" ref="K17">LOOKUP(2^15,SEARCH(Tabela2[Palavras-Chave],Boletim[[#This Row],[Objeto]],1),Tabela2[Palavras-Chave])</f>
        <v>#N/A</v>
      </c>
    </row>
    <row r="18" spans="1:11" ht="144" hidden="1" x14ac:dyDescent="0.3">
      <c r="A18" s="5">
        <v>18810189</v>
      </c>
      <c r="B18" s="6" t="s">
        <v>765</v>
      </c>
      <c r="C18" s="6" t="s">
        <v>53</v>
      </c>
      <c r="D18" s="8" t="s">
        <v>54</v>
      </c>
      <c r="E18" s="6" t="s">
        <v>55</v>
      </c>
      <c r="F18" s="6" t="s">
        <v>51</v>
      </c>
      <c r="G18" s="11" t="s">
        <v>56</v>
      </c>
      <c r="H18" s="10" t="s">
        <v>766</v>
      </c>
      <c r="I18" s="6" t="s">
        <v>767</v>
      </c>
      <c r="J18" s="12">
        <v>46121.732025462959</v>
      </c>
      <c r="K18" s="6" t="e" cm="1">
        <f t="array" ref="K18">LOOKUP(2^15,SEARCH(Tabela2[Palavras-Chave],Boletim[[#This Row],[Objeto]],1),Tabela2[Palavras-Chave])</f>
        <v>#N/A</v>
      </c>
    </row>
    <row r="19" spans="1:11" ht="158.4" hidden="1" x14ac:dyDescent="0.3">
      <c r="A19" s="5">
        <v>18810201</v>
      </c>
      <c r="B19" s="6" t="s">
        <v>768</v>
      </c>
      <c r="C19" s="6" t="s">
        <v>53</v>
      </c>
      <c r="D19" s="8" t="s">
        <v>54</v>
      </c>
      <c r="E19" s="6" t="s">
        <v>55</v>
      </c>
      <c r="F19" s="6" t="s">
        <v>51</v>
      </c>
      <c r="G19" s="11" t="s">
        <v>56</v>
      </c>
      <c r="H19" s="10" t="s">
        <v>769</v>
      </c>
      <c r="I19" s="6" t="s">
        <v>770</v>
      </c>
      <c r="J19" s="12">
        <v>46121.732685185183</v>
      </c>
      <c r="K19" s="6" t="e" cm="1">
        <f t="array" ref="K19">LOOKUP(2^15,SEARCH(Tabela2[Palavras-Chave],Boletim[[#This Row],[Objeto]],1),Tabela2[Palavras-Chave])</f>
        <v>#N/A</v>
      </c>
    </row>
    <row r="20" spans="1:11" ht="158.4" hidden="1" x14ac:dyDescent="0.3">
      <c r="A20" s="5">
        <v>18810194</v>
      </c>
      <c r="B20" s="6" t="s">
        <v>320</v>
      </c>
      <c r="C20" s="6" t="s">
        <v>53</v>
      </c>
      <c r="D20" s="8" t="s">
        <v>54</v>
      </c>
      <c r="E20" s="6" t="s">
        <v>55</v>
      </c>
      <c r="F20" s="6" t="s">
        <v>51</v>
      </c>
      <c r="G20" s="11" t="s">
        <v>56</v>
      </c>
      <c r="H20" s="10" t="s">
        <v>771</v>
      </c>
      <c r="I20" s="6" t="s">
        <v>772</v>
      </c>
      <c r="J20" s="12">
        <v>46121.733391203707</v>
      </c>
      <c r="K20" s="6" t="e" cm="1">
        <f t="array" ref="K20">LOOKUP(2^15,SEARCH(Tabela2[Palavras-Chave],Boletim[[#This Row],[Objeto]],1),Tabela2[Palavras-Chave])</f>
        <v>#N/A</v>
      </c>
    </row>
    <row r="21" spans="1:11" ht="158.4" hidden="1" x14ac:dyDescent="0.3">
      <c r="A21" s="5">
        <v>18810191</v>
      </c>
      <c r="B21" s="6" t="s">
        <v>773</v>
      </c>
      <c r="C21" s="6" t="s">
        <v>53</v>
      </c>
      <c r="D21" s="8" t="s">
        <v>54</v>
      </c>
      <c r="E21" s="6" t="s">
        <v>55</v>
      </c>
      <c r="F21" s="6" t="s">
        <v>51</v>
      </c>
      <c r="G21" s="11" t="s">
        <v>56</v>
      </c>
      <c r="H21" s="10" t="s">
        <v>774</v>
      </c>
      <c r="I21" s="6" t="s">
        <v>775</v>
      </c>
      <c r="J21" s="12">
        <v>46121.733402777776</v>
      </c>
      <c r="K21" s="6" t="e" cm="1">
        <f t="array" ref="K21">LOOKUP(2^15,SEARCH(Tabela2[Palavras-Chave],Boletim[[#This Row],[Objeto]],1),Tabela2[Palavras-Chave])</f>
        <v>#N/A</v>
      </c>
    </row>
    <row r="22" spans="1:11" ht="86.4" hidden="1" x14ac:dyDescent="0.3">
      <c r="A22" s="5">
        <v>18776658</v>
      </c>
      <c r="B22" s="6" t="s">
        <v>150</v>
      </c>
      <c r="C22" s="6" t="s">
        <v>57</v>
      </c>
      <c r="D22" s="8" t="s">
        <v>54</v>
      </c>
      <c r="E22" s="6" t="s">
        <v>776</v>
      </c>
      <c r="F22" s="6" t="s">
        <v>51</v>
      </c>
      <c r="G22" s="11" t="s">
        <v>56</v>
      </c>
      <c r="H22" s="10" t="s">
        <v>777</v>
      </c>
      <c r="I22" s="6" t="s">
        <v>778</v>
      </c>
      <c r="J22" s="12">
        <v>46121.79178240741</v>
      </c>
      <c r="K22" s="6" t="e" cm="1">
        <f t="array" ref="K22">LOOKUP(2^15,SEARCH(Tabela2[Palavras-Chave],Boletim[[#This Row],[Objeto]],1),Tabela2[Palavras-Chave])</f>
        <v>#N/A</v>
      </c>
    </row>
    <row r="23" spans="1:11" ht="86.4" hidden="1" x14ac:dyDescent="0.3">
      <c r="A23" s="5">
        <v>18786778</v>
      </c>
      <c r="B23" s="6" t="s">
        <v>150</v>
      </c>
      <c r="C23" s="6" t="s">
        <v>57</v>
      </c>
      <c r="D23" s="8" t="s">
        <v>54</v>
      </c>
      <c r="E23" s="6" t="s">
        <v>779</v>
      </c>
      <c r="F23" s="6" t="s">
        <v>51</v>
      </c>
      <c r="G23" s="11" t="s">
        <v>56</v>
      </c>
      <c r="H23" s="10" t="s">
        <v>780</v>
      </c>
      <c r="I23" s="6" t="s">
        <v>781</v>
      </c>
      <c r="J23" s="12">
        <v>46121.830590277779</v>
      </c>
      <c r="K23" s="6" t="e" cm="1">
        <f t="array" ref="K23">LOOKUP(2^15,SEARCH(Tabela2[Palavras-Chave],Boletim[[#This Row],[Objeto]],1),Tabela2[Palavras-Chave])</f>
        <v>#N/A</v>
      </c>
    </row>
    <row r="24" spans="1:11" ht="72" x14ac:dyDescent="0.3">
      <c r="A24" s="5">
        <v>18811316</v>
      </c>
      <c r="B24" s="6" t="s">
        <v>150</v>
      </c>
      <c r="C24" s="6" t="s">
        <v>57</v>
      </c>
      <c r="D24" s="8" t="s">
        <v>54</v>
      </c>
      <c r="E24" s="6" t="s">
        <v>782</v>
      </c>
      <c r="F24" s="6" t="s">
        <v>51</v>
      </c>
      <c r="G24" s="11" t="s">
        <v>56</v>
      </c>
      <c r="H24" s="10" t="s">
        <v>783</v>
      </c>
      <c r="I24" s="6" t="s">
        <v>784</v>
      </c>
      <c r="J24" s="12">
        <v>46121.836157407408</v>
      </c>
      <c r="K24" s="6" t="str" cm="1">
        <f t="array" ref="K24">LOOKUP(2^15,SEARCH(Tabela2[Palavras-Chave],Boletim[[#This Row],[Objeto]],1),Tabela2[Palavras-Chave])</f>
        <v>TANQUE</v>
      </c>
    </row>
    <row r="25" spans="1:11" ht="86.4" hidden="1" x14ac:dyDescent="0.3">
      <c r="A25" s="5">
        <v>18769631</v>
      </c>
      <c r="B25" s="6" t="s">
        <v>153</v>
      </c>
      <c r="C25" s="6" t="s">
        <v>53</v>
      </c>
      <c r="D25" s="8" t="s">
        <v>54</v>
      </c>
      <c r="E25" s="6" t="s">
        <v>785</v>
      </c>
      <c r="F25" s="6" t="s">
        <v>51</v>
      </c>
      <c r="G25" s="11" t="s">
        <v>56</v>
      </c>
      <c r="H25" s="10" t="s">
        <v>786</v>
      </c>
      <c r="I25" s="6" t="s">
        <v>787</v>
      </c>
      <c r="J25" s="12">
        <v>46121.838229166664</v>
      </c>
      <c r="K25" s="6" t="e" cm="1">
        <f t="array" ref="K25">LOOKUP(2^15,SEARCH(Tabela2[Palavras-Chave],Boletim[[#This Row],[Objeto]],1),Tabela2[Palavras-Chave])</f>
        <v>#N/A</v>
      </c>
    </row>
    <row r="26" spans="1:11" ht="72" hidden="1" x14ac:dyDescent="0.3">
      <c r="A26" s="5">
        <v>18807306</v>
      </c>
      <c r="B26" s="6" t="s">
        <v>58</v>
      </c>
      <c r="C26" s="6" t="s">
        <v>319</v>
      </c>
      <c r="D26" s="8" t="s">
        <v>54</v>
      </c>
      <c r="E26" s="6" t="s">
        <v>788</v>
      </c>
      <c r="F26" s="6" t="s">
        <v>51</v>
      </c>
      <c r="G26" s="11" t="s">
        <v>56</v>
      </c>
      <c r="H26" s="10" t="s">
        <v>789</v>
      </c>
      <c r="I26" s="6" t="s">
        <v>790</v>
      </c>
      <c r="J26" s="12">
        <v>46121.836435185185</v>
      </c>
      <c r="K26" s="6" t="e" cm="1">
        <f t="array" ref="K26">LOOKUP(2^15,SEARCH(Tabela2[Palavras-Chave],Boletim[[#This Row],[Objeto]],1),Tabela2[Palavras-Chave])</f>
        <v>#N/A</v>
      </c>
    </row>
    <row r="27" spans="1:11" ht="72" hidden="1" x14ac:dyDescent="0.3">
      <c r="A27" s="5">
        <v>18811332</v>
      </c>
      <c r="B27" s="6" t="s">
        <v>58</v>
      </c>
      <c r="C27" s="6" t="s">
        <v>53</v>
      </c>
      <c r="D27" s="8" t="s">
        <v>54</v>
      </c>
      <c r="E27" s="6" t="s">
        <v>791</v>
      </c>
      <c r="F27" s="6" t="s">
        <v>51</v>
      </c>
      <c r="G27" s="11" t="s">
        <v>56</v>
      </c>
      <c r="H27" s="10" t="s">
        <v>792</v>
      </c>
      <c r="I27" s="6" t="s">
        <v>793</v>
      </c>
      <c r="J27" s="12">
        <v>46121.838946759257</v>
      </c>
      <c r="K27" s="6" t="e" cm="1">
        <f t="array" ref="K27">LOOKUP(2^15,SEARCH(Tabela2[Palavras-Chave],Boletim[[#This Row],[Objeto]],1),Tabela2[Palavras-Chave])</f>
        <v>#N/A</v>
      </c>
    </row>
    <row r="28" spans="1:11" ht="86.4" hidden="1" x14ac:dyDescent="0.3">
      <c r="A28" s="5">
        <v>18776645</v>
      </c>
      <c r="B28" s="6" t="s">
        <v>58</v>
      </c>
      <c r="C28" s="6" t="s">
        <v>53</v>
      </c>
      <c r="D28" s="8" t="s">
        <v>54</v>
      </c>
      <c r="E28" s="6" t="s">
        <v>586</v>
      </c>
      <c r="F28" s="6" t="s">
        <v>51</v>
      </c>
      <c r="G28" s="11" t="s">
        <v>56</v>
      </c>
      <c r="H28" s="10" t="s">
        <v>587</v>
      </c>
      <c r="I28" s="6" t="s">
        <v>794</v>
      </c>
      <c r="J28" s="12">
        <v>46121.845879629633</v>
      </c>
      <c r="K28" s="6" t="e" cm="1">
        <f t="array" ref="K28">LOOKUP(2^15,SEARCH(Tabela2[Palavras-Chave],Boletim[[#This Row],[Objeto]],1),Tabela2[Palavras-Chave])</f>
        <v>#N/A</v>
      </c>
    </row>
    <row r="29" spans="1:11" ht="86.4" hidden="1" x14ac:dyDescent="0.3">
      <c r="A29" s="5">
        <v>18799162</v>
      </c>
      <c r="B29" s="6" t="s">
        <v>150</v>
      </c>
      <c r="C29" s="6" t="s">
        <v>57</v>
      </c>
      <c r="D29" s="8" t="s">
        <v>54</v>
      </c>
      <c r="E29" s="6" t="s">
        <v>795</v>
      </c>
      <c r="F29" s="6" t="s">
        <v>51</v>
      </c>
      <c r="G29" s="11" t="s">
        <v>56</v>
      </c>
      <c r="H29" s="10" t="s">
        <v>796</v>
      </c>
      <c r="I29" s="6" t="s">
        <v>797</v>
      </c>
      <c r="J29" s="12">
        <v>46121.847951388889</v>
      </c>
      <c r="K29" s="6" t="e" cm="1">
        <f t="array" ref="K29">LOOKUP(2^15,SEARCH(Tabela2[Palavras-Chave],Boletim[[#This Row],[Objeto]],1),Tabela2[Palavras-Chave])</f>
        <v>#N/A</v>
      </c>
    </row>
    <row r="30" spans="1:11" ht="72" hidden="1" x14ac:dyDescent="0.3">
      <c r="A30" s="5">
        <v>18811376</v>
      </c>
      <c r="B30" s="6" t="s">
        <v>58</v>
      </c>
      <c r="C30" s="6" t="s">
        <v>53</v>
      </c>
      <c r="D30" s="8" t="s">
        <v>54</v>
      </c>
      <c r="E30" s="6" t="s">
        <v>798</v>
      </c>
      <c r="F30" s="6" t="s">
        <v>51</v>
      </c>
      <c r="G30" s="11" t="s">
        <v>56</v>
      </c>
      <c r="H30" s="10" t="s">
        <v>799</v>
      </c>
      <c r="I30" s="6" t="s">
        <v>800</v>
      </c>
      <c r="J30" s="12">
        <v>46121.846562500003</v>
      </c>
      <c r="K30" s="6" t="e" cm="1">
        <f t="array" ref="K30">LOOKUP(2^15,SEARCH(Tabela2[Palavras-Chave],Boletim[[#This Row],[Objeto]],1),Tabela2[Palavras-Chave])</f>
        <v>#N/A</v>
      </c>
    </row>
    <row r="31" spans="1:11" ht="86.4" hidden="1" x14ac:dyDescent="0.3">
      <c r="A31" s="5">
        <v>18708832</v>
      </c>
      <c r="B31" s="6" t="s">
        <v>58</v>
      </c>
      <c r="C31" s="6" t="s">
        <v>53</v>
      </c>
      <c r="D31" s="8" t="s">
        <v>54</v>
      </c>
      <c r="E31" s="6" t="s">
        <v>801</v>
      </c>
      <c r="F31" s="6" t="s">
        <v>51</v>
      </c>
      <c r="G31" s="11" t="s">
        <v>56</v>
      </c>
      <c r="H31" s="10" t="s">
        <v>802</v>
      </c>
      <c r="I31" s="6" t="s">
        <v>803</v>
      </c>
      <c r="J31" s="12">
        <v>46121.856412037036</v>
      </c>
      <c r="K31" s="6" t="e" cm="1">
        <f t="array" ref="K31">LOOKUP(2^15,SEARCH(Tabela2[Palavras-Chave],Boletim[[#This Row],[Objeto]],1),Tabela2[Palavras-Chave])</f>
        <v>#N/A</v>
      </c>
    </row>
    <row r="32" spans="1:11" ht="72" hidden="1" x14ac:dyDescent="0.3">
      <c r="A32" s="5">
        <v>18809954</v>
      </c>
      <c r="B32" s="6" t="s">
        <v>58</v>
      </c>
      <c r="C32" s="6" t="s">
        <v>53</v>
      </c>
      <c r="D32" s="8" t="s">
        <v>54</v>
      </c>
      <c r="E32" s="6" t="s">
        <v>804</v>
      </c>
      <c r="F32" s="6" t="s">
        <v>51</v>
      </c>
      <c r="G32" s="11" t="s">
        <v>56</v>
      </c>
      <c r="H32" s="10" t="s">
        <v>805</v>
      </c>
      <c r="I32" s="6" t="s">
        <v>806</v>
      </c>
      <c r="J32" s="12">
        <v>46121.867465277777</v>
      </c>
      <c r="K32" s="6" t="e" cm="1">
        <f t="array" ref="K32">LOOKUP(2^15,SEARCH(Tabela2[Palavras-Chave],Boletim[[#This Row],[Objeto]],1),Tabela2[Palavras-Chave])</f>
        <v>#N/A</v>
      </c>
    </row>
    <row r="33" spans="1:11" ht="86.4" hidden="1" x14ac:dyDescent="0.3">
      <c r="A33" s="5">
        <v>18805878</v>
      </c>
      <c r="B33" s="6" t="s">
        <v>330</v>
      </c>
      <c r="C33" s="6" t="s">
        <v>331</v>
      </c>
      <c r="D33" s="8" t="s">
        <v>60</v>
      </c>
      <c r="E33" s="6" t="s">
        <v>332</v>
      </c>
      <c r="F33" s="6" t="s">
        <v>51</v>
      </c>
      <c r="G33" s="11">
        <v>46126.583333333336</v>
      </c>
      <c r="H33" s="10" t="s">
        <v>333</v>
      </c>
      <c r="I33" s="6" t="s">
        <v>334</v>
      </c>
      <c r="J33" s="12">
        <v>46121.409062500003</v>
      </c>
      <c r="K33" s="6" t="e" cm="1">
        <f t="array" ref="K33">LOOKUP(2^15,SEARCH(Tabela2[Palavras-Chave],Boletim[[#This Row],[Objeto]],1),Tabela2[Palavras-Chave])</f>
        <v>#N/A</v>
      </c>
    </row>
    <row r="34" spans="1:11" ht="86.4" hidden="1" x14ac:dyDescent="0.3">
      <c r="A34" s="5">
        <v>18806765</v>
      </c>
      <c r="B34" s="6" t="s">
        <v>807</v>
      </c>
      <c r="C34" s="6" t="s">
        <v>808</v>
      </c>
      <c r="D34" s="8" t="s">
        <v>60</v>
      </c>
      <c r="E34" s="6" t="s">
        <v>809</v>
      </c>
      <c r="F34" s="6" t="s">
        <v>51</v>
      </c>
      <c r="G34" s="11">
        <v>46126.333333333336</v>
      </c>
      <c r="H34" s="10" t="s">
        <v>810</v>
      </c>
      <c r="I34" s="6" t="s">
        <v>811</v>
      </c>
      <c r="J34" s="12">
        <v>46121.445393518516</v>
      </c>
      <c r="K34" s="6" t="e" cm="1">
        <f t="array" ref="K34">LOOKUP(2^15,SEARCH(Tabela2[Palavras-Chave],Boletim[[#This Row],[Objeto]],1),Tabela2[Palavras-Chave])</f>
        <v>#N/A</v>
      </c>
    </row>
    <row r="35" spans="1:11" ht="244.8" hidden="1" x14ac:dyDescent="0.3">
      <c r="A35" s="5">
        <v>18807169</v>
      </c>
      <c r="B35" s="6" t="s">
        <v>812</v>
      </c>
      <c r="C35" s="6" t="s">
        <v>59</v>
      </c>
      <c r="D35" s="8" t="s">
        <v>60</v>
      </c>
      <c r="E35" s="6" t="s">
        <v>283</v>
      </c>
      <c r="F35" s="6" t="s">
        <v>51</v>
      </c>
      <c r="G35" s="11" t="s">
        <v>56</v>
      </c>
      <c r="H35" s="10" t="s">
        <v>813</v>
      </c>
      <c r="I35" s="6" t="s">
        <v>814</v>
      </c>
      <c r="J35" s="12">
        <v>46121.451226851852</v>
      </c>
      <c r="K35" s="6" t="e" cm="1">
        <f t="array" ref="K35">LOOKUP(2^15,SEARCH(Tabela2[Palavras-Chave],Boletim[[#This Row],[Objeto]],1),Tabela2[Palavras-Chave])</f>
        <v>#N/A</v>
      </c>
    </row>
    <row r="36" spans="1:11" ht="86.4" hidden="1" x14ac:dyDescent="0.3">
      <c r="A36" s="5">
        <v>18806657</v>
      </c>
      <c r="B36" s="6" t="s">
        <v>815</v>
      </c>
      <c r="C36" s="6" t="s">
        <v>816</v>
      </c>
      <c r="D36" s="8" t="s">
        <v>60</v>
      </c>
      <c r="E36" s="6" t="s">
        <v>817</v>
      </c>
      <c r="F36" s="6" t="s">
        <v>51</v>
      </c>
      <c r="G36" s="11">
        <v>46126.416666666664</v>
      </c>
      <c r="H36" s="10" t="s">
        <v>818</v>
      </c>
      <c r="I36" s="6" t="s">
        <v>819</v>
      </c>
      <c r="J36" s="12">
        <v>46121.456932870373</v>
      </c>
      <c r="K36" s="6" t="e" cm="1">
        <f t="array" ref="K36">LOOKUP(2^15,SEARCH(Tabela2[Palavras-Chave],Boletim[[#This Row],[Objeto]],1),Tabela2[Palavras-Chave])</f>
        <v>#N/A</v>
      </c>
    </row>
    <row r="37" spans="1:11" ht="115.2" hidden="1" x14ac:dyDescent="0.3">
      <c r="A37" s="5">
        <v>18806747</v>
      </c>
      <c r="B37" s="6" t="s">
        <v>820</v>
      </c>
      <c r="C37" s="6" t="s">
        <v>821</v>
      </c>
      <c r="D37" s="8" t="s">
        <v>60</v>
      </c>
      <c r="E37" s="6" t="s">
        <v>822</v>
      </c>
      <c r="F37" s="6" t="s">
        <v>51</v>
      </c>
      <c r="G37" s="11">
        <v>46125.666666666664</v>
      </c>
      <c r="H37" s="10" t="s">
        <v>823</v>
      </c>
      <c r="I37" s="6" t="s">
        <v>824</v>
      </c>
      <c r="J37" s="12">
        <v>46121.472048611111</v>
      </c>
      <c r="K37" s="6" t="e" cm="1">
        <f t="array" ref="K37">LOOKUP(2^15,SEARCH(Tabela2[Palavras-Chave],Boletim[[#This Row],[Objeto]],1),Tabela2[Palavras-Chave])</f>
        <v>#N/A</v>
      </c>
    </row>
    <row r="38" spans="1:11" ht="201.6" x14ac:dyDescent="0.3">
      <c r="A38" s="5">
        <v>18807168</v>
      </c>
      <c r="B38" s="6" t="s">
        <v>812</v>
      </c>
      <c r="C38" s="6" t="s">
        <v>59</v>
      </c>
      <c r="D38" s="8" t="s">
        <v>60</v>
      </c>
      <c r="E38" s="6" t="s">
        <v>825</v>
      </c>
      <c r="F38" s="6" t="s">
        <v>51</v>
      </c>
      <c r="G38" s="11" t="s">
        <v>56</v>
      </c>
      <c r="H38" s="10" t="s">
        <v>826</v>
      </c>
      <c r="I38" s="6" t="s">
        <v>814</v>
      </c>
      <c r="J38" s="12">
        <v>46121.473495370374</v>
      </c>
      <c r="K38" s="6" t="str" cm="1">
        <f t="array" ref="K38">LOOKUP(2^15,SEARCH(Tabela2[Palavras-Chave],Boletim[[#This Row],[Objeto]],1),Tabela2[Palavras-Chave])</f>
        <v>INOX</v>
      </c>
    </row>
    <row r="39" spans="1:11" ht="100.8" hidden="1" x14ac:dyDescent="0.3">
      <c r="A39" s="5">
        <v>18806582</v>
      </c>
      <c r="B39" s="6" t="s">
        <v>827</v>
      </c>
      <c r="C39" s="6" t="s">
        <v>828</v>
      </c>
      <c r="D39" s="8" t="s">
        <v>60</v>
      </c>
      <c r="E39" s="6" t="s">
        <v>829</v>
      </c>
      <c r="F39" s="6" t="s">
        <v>51</v>
      </c>
      <c r="G39" s="11">
        <v>46125.729166666664</v>
      </c>
      <c r="H39" s="10" t="s">
        <v>322</v>
      </c>
      <c r="I39" s="6" t="s">
        <v>830</v>
      </c>
      <c r="J39" s="12">
        <v>46121.523773148147</v>
      </c>
      <c r="K39" s="6" t="e" cm="1">
        <f t="array" ref="K39">LOOKUP(2^15,SEARCH(Tabela2[Palavras-Chave],Boletim[[#This Row],[Objeto]],1),Tabela2[Palavras-Chave])</f>
        <v>#N/A</v>
      </c>
    </row>
    <row r="40" spans="1:11" ht="86.4" hidden="1" x14ac:dyDescent="0.3">
      <c r="A40" s="5">
        <v>18808135</v>
      </c>
      <c r="B40" s="6" t="s">
        <v>831</v>
      </c>
      <c r="C40" s="6" t="s">
        <v>331</v>
      </c>
      <c r="D40" s="8" t="s">
        <v>60</v>
      </c>
      <c r="E40" s="6" t="s">
        <v>832</v>
      </c>
      <c r="F40" s="6" t="s">
        <v>51</v>
      </c>
      <c r="G40" s="11">
        <v>46125.666666666664</v>
      </c>
      <c r="H40" s="10" t="s">
        <v>833</v>
      </c>
      <c r="I40" s="6" t="s">
        <v>834</v>
      </c>
      <c r="J40" s="12">
        <v>46121.526226851849</v>
      </c>
      <c r="K40" s="6" t="e" cm="1">
        <f t="array" ref="K40">LOOKUP(2^15,SEARCH(Tabela2[Palavras-Chave],Boletim[[#This Row],[Objeto]],1),Tabela2[Palavras-Chave])</f>
        <v>#N/A</v>
      </c>
    </row>
    <row r="41" spans="1:11" ht="86.4" hidden="1" x14ac:dyDescent="0.3">
      <c r="A41" s="5">
        <v>18806675</v>
      </c>
      <c r="B41" s="6" t="s">
        <v>835</v>
      </c>
      <c r="C41" s="6" t="s">
        <v>836</v>
      </c>
      <c r="D41" s="8" t="s">
        <v>60</v>
      </c>
      <c r="E41" s="6" t="s">
        <v>837</v>
      </c>
      <c r="F41" s="6" t="s">
        <v>51</v>
      </c>
      <c r="G41" s="11">
        <v>46126.333333333336</v>
      </c>
      <c r="H41" s="10" t="s">
        <v>322</v>
      </c>
      <c r="I41" s="6" t="s">
        <v>838</v>
      </c>
      <c r="J41" s="12">
        <v>46121.526539351849</v>
      </c>
      <c r="K41" s="6" t="e" cm="1">
        <f t="array" ref="K41">LOOKUP(2^15,SEARCH(Tabela2[Palavras-Chave],Boletim[[#This Row],[Objeto]],1),Tabela2[Palavras-Chave])</f>
        <v>#N/A</v>
      </c>
    </row>
    <row r="42" spans="1:11" ht="86.4" hidden="1" x14ac:dyDescent="0.3">
      <c r="A42" s="5">
        <v>18806588</v>
      </c>
      <c r="B42" s="6" t="s">
        <v>839</v>
      </c>
      <c r="C42" s="6" t="s">
        <v>59</v>
      </c>
      <c r="D42" s="8" t="s">
        <v>60</v>
      </c>
      <c r="E42" s="6" t="s">
        <v>840</v>
      </c>
      <c r="F42" s="6" t="s">
        <v>51</v>
      </c>
      <c r="G42" s="11">
        <v>46125.75</v>
      </c>
      <c r="H42" s="10" t="s">
        <v>841</v>
      </c>
      <c r="I42" s="6" t="s">
        <v>842</v>
      </c>
      <c r="J42" s="12">
        <v>46121.526585648149</v>
      </c>
      <c r="K42" s="6" t="e" cm="1">
        <f t="array" ref="K42">LOOKUP(2^15,SEARCH(Tabela2[Palavras-Chave],Boletim[[#This Row],[Objeto]],1),Tabela2[Palavras-Chave])</f>
        <v>#N/A</v>
      </c>
    </row>
    <row r="43" spans="1:11" ht="115.2" hidden="1" x14ac:dyDescent="0.3">
      <c r="A43" s="5">
        <v>18806572</v>
      </c>
      <c r="B43" s="6" t="s">
        <v>843</v>
      </c>
      <c r="C43" s="6" t="s">
        <v>844</v>
      </c>
      <c r="D43" s="8" t="s">
        <v>60</v>
      </c>
      <c r="E43" s="6" t="s">
        <v>845</v>
      </c>
      <c r="F43" s="6" t="s">
        <v>51</v>
      </c>
      <c r="G43" s="11">
        <v>46125.729166666664</v>
      </c>
      <c r="H43" s="10" t="s">
        <v>846</v>
      </c>
      <c r="I43" s="6" t="s">
        <v>847</v>
      </c>
      <c r="J43" s="12">
        <v>46121.611481481479</v>
      </c>
      <c r="K43" s="6" t="e" cm="1">
        <f t="array" ref="K43">LOOKUP(2^15,SEARCH(Tabela2[Palavras-Chave],Boletim[[#This Row],[Objeto]],1),Tabela2[Palavras-Chave])</f>
        <v>#N/A</v>
      </c>
    </row>
    <row r="44" spans="1:11" ht="187.2" hidden="1" x14ac:dyDescent="0.3">
      <c r="A44" s="5">
        <v>18805914</v>
      </c>
      <c r="B44" s="6" t="s">
        <v>325</v>
      </c>
      <c r="C44" s="6" t="s">
        <v>59</v>
      </c>
      <c r="D44" s="8" t="s">
        <v>60</v>
      </c>
      <c r="E44" s="6" t="s">
        <v>326</v>
      </c>
      <c r="F44" s="6" t="s">
        <v>51</v>
      </c>
      <c r="G44" s="11">
        <v>46128.333333333336</v>
      </c>
      <c r="H44" s="10" t="s">
        <v>327</v>
      </c>
      <c r="I44" s="6" t="s">
        <v>328</v>
      </c>
      <c r="J44" s="12">
        <v>46121.659074074072</v>
      </c>
      <c r="K44" s="6" t="e" cm="1">
        <f t="array" ref="K44">LOOKUP(2^15,SEARCH(Tabela2[Palavras-Chave],Boletim[[#This Row],[Objeto]],1),Tabela2[Palavras-Chave])</f>
        <v>#N/A</v>
      </c>
    </row>
    <row r="45" spans="1:11" ht="100.8" hidden="1" x14ac:dyDescent="0.3">
      <c r="A45" s="5">
        <v>18806793</v>
      </c>
      <c r="B45" s="6" t="s">
        <v>848</v>
      </c>
      <c r="C45" s="6" t="s">
        <v>59</v>
      </c>
      <c r="D45" s="8" t="s">
        <v>60</v>
      </c>
      <c r="E45" s="6" t="s">
        <v>849</v>
      </c>
      <c r="F45" s="6" t="s">
        <v>51</v>
      </c>
      <c r="G45" s="11">
        <v>46125.635416666664</v>
      </c>
      <c r="H45" s="10" t="s">
        <v>850</v>
      </c>
      <c r="I45" s="6" t="s">
        <v>851</v>
      </c>
      <c r="J45" s="12">
        <v>46121.701516203706</v>
      </c>
      <c r="K45" s="6" t="e" cm="1">
        <f t="array" ref="K45">LOOKUP(2^15,SEARCH(Tabela2[Palavras-Chave],Boletim[[#This Row],[Objeto]],1),Tabela2[Palavras-Chave])</f>
        <v>#N/A</v>
      </c>
    </row>
    <row r="46" spans="1:11" ht="100.8" hidden="1" x14ac:dyDescent="0.3">
      <c r="A46" s="5">
        <v>18809866</v>
      </c>
      <c r="B46" s="6" t="s">
        <v>321</v>
      </c>
      <c r="C46" s="6" t="s">
        <v>270</v>
      </c>
      <c r="D46" s="8" t="s">
        <v>60</v>
      </c>
      <c r="E46" s="6" t="s">
        <v>852</v>
      </c>
      <c r="F46" s="6" t="s">
        <v>51</v>
      </c>
      <c r="G46" s="11">
        <v>46126.4375</v>
      </c>
      <c r="H46" s="10" t="s">
        <v>853</v>
      </c>
      <c r="I46" s="6" t="s">
        <v>854</v>
      </c>
      <c r="J46" s="12">
        <v>46121.763252314813</v>
      </c>
      <c r="K46" s="6" t="e" cm="1">
        <f t="array" ref="K46">LOOKUP(2^15,SEARCH(Tabela2[Palavras-Chave],Boletim[[#This Row],[Objeto]],1),Tabela2[Palavras-Chave])</f>
        <v>#N/A</v>
      </c>
    </row>
    <row r="47" spans="1:11" ht="86.4" hidden="1" x14ac:dyDescent="0.3">
      <c r="A47" s="5">
        <v>18809320</v>
      </c>
      <c r="B47" s="6" t="s">
        <v>324</v>
      </c>
      <c r="C47" s="6" t="s">
        <v>323</v>
      </c>
      <c r="D47" s="8" t="s">
        <v>60</v>
      </c>
      <c r="E47" s="6" t="s">
        <v>855</v>
      </c>
      <c r="F47" s="6" t="s">
        <v>51</v>
      </c>
      <c r="G47" s="11">
        <v>46126.416666666664</v>
      </c>
      <c r="H47" s="10" t="s">
        <v>856</v>
      </c>
      <c r="I47" s="6" t="s">
        <v>857</v>
      </c>
      <c r="J47" s="12">
        <v>46121.704675925925</v>
      </c>
      <c r="K47" s="6" t="e" cm="1">
        <f t="array" ref="K47">LOOKUP(2^15,SEARCH(Tabela2[Palavras-Chave],Boletim[[#This Row],[Objeto]],1),Tabela2[Palavras-Chave])</f>
        <v>#N/A</v>
      </c>
    </row>
    <row r="48" spans="1:11" ht="86.4" hidden="1" x14ac:dyDescent="0.3">
      <c r="A48" s="5">
        <v>18806569</v>
      </c>
      <c r="B48" s="6" t="s">
        <v>839</v>
      </c>
      <c r="C48" s="6" t="s">
        <v>59</v>
      </c>
      <c r="D48" s="8" t="s">
        <v>60</v>
      </c>
      <c r="E48" s="6" t="s">
        <v>858</v>
      </c>
      <c r="F48" s="6" t="s">
        <v>51</v>
      </c>
      <c r="G48" s="11">
        <v>46125.75</v>
      </c>
      <c r="H48" s="10" t="s">
        <v>859</v>
      </c>
      <c r="I48" s="6" t="s">
        <v>860</v>
      </c>
      <c r="J48" s="12">
        <v>46121.719606481478</v>
      </c>
      <c r="K48" s="6" t="e" cm="1">
        <f t="array" ref="K48">LOOKUP(2^15,SEARCH(Tabela2[Palavras-Chave],Boletim[[#This Row],[Objeto]],1),Tabela2[Palavras-Chave])</f>
        <v>#N/A</v>
      </c>
    </row>
    <row r="49" spans="1:11" ht="115.2" hidden="1" x14ac:dyDescent="0.3">
      <c r="A49" s="5">
        <v>18806621</v>
      </c>
      <c r="B49" s="6" t="s">
        <v>861</v>
      </c>
      <c r="C49" s="6" t="s">
        <v>862</v>
      </c>
      <c r="D49" s="8" t="s">
        <v>60</v>
      </c>
      <c r="E49" s="6" t="s">
        <v>863</v>
      </c>
      <c r="F49" s="6" t="s">
        <v>51</v>
      </c>
      <c r="G49" s="11">
        <v>46125.697916666664</v>
      </c>
      <c r="H49" s="10" t="s">
        <v>864</v>
      </c>
      <c r="I49" s="6" t="s">
        <v>865</v>
      </c>
      <c r="J49" s="12">
        <v>46121.721180555556</v>
      </c>
      <c r="K49" s="6" t="e" cm="1">
        <f t="array" ref="K49">LOOKUP(2^15,SEARCH(Tabela2[Palavras-Chave],Boletim[[#This Row],[Objeto]],1),Tabela2[Palavras-Chave])</f>
        <v>#N/A</v>
      </c>
    </row>
    <row r="50" spans="1:11" ht="100.8" hidden="1" x14ac:dyDescent="0.3">
      <c r="A50" s="13">
        <v>18810793</v>
      </c>
      <c r="B50" s="10" t="s">
        <v>866</v>
      </c>
      <c r="C50" s="10" t="s">
        <v>867</v>
      </c>
      <c r="D50" s="15" t="s">
        <v>60</v>
      </c>
      <c r="E50" s="10" t="s">
        <v>868</v>
      </c>
      <c r="F50" s="10" t="s">
        <v>51</v>
      </c>
      <c r="G50" s="16">
        <v>46126.520833333336</v>
      </c>
      <c r="H50" s="10" t="s">
        <v>869</v>
      </c>
      <c r="I50" s="10" t="s">
        <v>870</v>
      </c>
      <c r="J50" s="17">
        <v>46121.756331018521</v>
      </c>
      <c r="K50" s="6" t="e" cm="1">
        <f t="array" ref="K50">LOOKUP(2^15,SEARCH(Tabela2[Palavras-Chave],Boletim[[#This Row],[Objeto]],1),Tabela2[Palavras-Chave])</f>
        <v>#N/A</v>
      </c>
    </row>
    <row r="51" spans="1:11" ht="86.4" hidden="1" x14ac:dyDescent="0.3">
      <c r="A51" s="5">
        <v>18809868</v>
      </c>
      <c r="B51" s="6" t="s">
        <v>871</v>
      </c>
      <c r="C51" s="6" t="s">
        <v>872</v>
      </c>
      <c r="D51" s="8" t="s">
        <v>60</v>
      </c>
      <c r="E51" s="6" t="s">
        <v>873</v>
      </c>
      <c r="F51" s="6" t="s">
        <v>51</v>
      </c>
      <c r="G51" s="11">
        <v>46126.5</v>
      </c>
      <c r="H51" s="10" t="s">
        <v>874</v>
      </c>
      <c r="I51" s="6" t="s">
        <v>875</v>
      </c>
      <c r="J51" s="12">
        <v>46121.763252314813</v>
      </c>
      <c r="K51" s="6" t="e" cm="1">
        <f t="array" ref="K51">LOOKUP(2^15,SEARCH(Tabela2[Palavras-Chave],Boletim[[#This Row],[Objeto]],1),Tabela2[Palavras-Chave])</f>
        <v>#N/A</v>
      </c>
    </row>
    <row r="52" spans="1:11" ht="115.2" hidden="1" x14ac:dyDescent="0.3">
      <c r="A52" s="5">
        <v>18810808</v>
      </c>
      <c r="B52" s="6" t="s">
        <v>876</v>
      </c>
      <c r="C52" s="6" t="s">
        <v>877</v>
      </c>
      <c r="D52" s="8" t="s">
        <v>60</v>
      </c>
      <c r="E52" s="6" t="s">
        <v>878</v>
      </c>
      <c r="F52" s="6" t="s">
        <v>51</v>
      </c>
      <c r="G52" s="11">
        <v>46126.458333333336</v>
      </c>
      <c r="H52" s="10" t="s">
        <v>879</v>
      </c>
      <c r="I52" s="6" t="s">
        <v>880</v>
      </c>
      <c r="J52" s="12">
        <v>46121.761620370373</v>
      </c>
      <c r="K52" s="6" t="e" cm="1">
        <f t="array" ref="K52">LOOKUP(2^15,SEARCH(Tabela2[Palavras-Chave],Boletim[[#This Row],[Objeto]],1),Tabela2[Palavras-Chave])</f>
        <v>#N/A</v>
      </c>
    </row>
    <row r="53" spans="1:11" ht="100.8" hidden="1" x14ac:dyDescent="0.3">
      <c r="A53" s="5">
        <v>18810830</v>
      </c>
      <c r="B53" s="6" t="s">
        <v>881</v>
      </c>
      <c r="C53" s="6" t="s">
        <v>882</v>
      </c>
      <c r="D53" s="8" t="s">
        <v>60</v>
      </c>
      <c r="E53" s="6" t="s">
        <v>883</v>
      </c>
      <c r="F53" s="6" t="s">
        <v>51</v>
      </c>
      <c r="G53" s="11">
        <v>46126.541666666664</v>
      </c>
      <c r="H53" s="10" t="s">
        <v>884</v>
      </c>
      <c r="I53" s="6" t="s">
        <v>885</v>
      </c>
      <c r="J53" s="12">
        <v>46121.761747685188</v>
      </c>
      <c r="K53" s="6" t="e" cm="1">
        <f t="array" ref="K53">LOOKUP(2^15,SEARCH(Tabela2[Palavras-Chave],Boletim[[#This Row],[Objeto]],1),Tabela2[Palavras-Chave])</f>
        <v>#N/A</v>
      </c>
    </row>
    <row r="54" spans="1:11" ht="100.8" hidden="1" x14ac:dyDescent="0.3">
      <c r="A54" s="5">
        <v>18810767</v>
      </c>
      <c r="B54" s="6" t="s">
        <v>866</v>
      </c>
      <c r="C54" s="6" t="s">
        <v>867</v>
      </c>
      <c r="D54" s="8" t="s">
        <v>60</v>
      </c>
      <c r="E54" s="6" t="s">
        <v>886</v>
      </c>
      <c r="F54" s="6" t="s">
        <v>51</v>
      </c>
      <c r="G54" s="11">
        <v>46126.520833333336</v>
      </c>
      <c r="H54" s="10" t="s">
        <v>887</v>
      </c>
      <c r="I54" s="6" t="s">
        <v>888</v>
      </c>
      <c r="J54" s="12">
        <v>46121.762175925927</v>
      </c>
      <c r="K54" s="6" t="e" cm="1">
        <f t="array" ref="K54">LOOKUP(2^15,SEARCH(Tabela2[Palavras-Chave],Boletim[[#This Row],[Objeto]],1),Tabela2[Palavras-Chave])</f>
        <v>#N/A</v>
      </c>
    </row>
    <row r="55" spans="1:11" ht="86.4" hidden="1" x14ac:dyDescent="0.3">
      <c r="A55" s="5">
        <v>18809366</v>
      </c>
      <c r="B55" s="6" t="s">
        <v>889</v>
      </c>
      <c r="C55" s="6" t="s">
        <v>59</v>
      </c>
      <c r="D55" s="8" t="s">
        <v>60</v>
      </c>
      <c r="E55" s="6" t="s">
        <v>890</v>
      </c>
      <c r="F55" s="6" t="s">
        <v>51</v>
      </c>
      <c r="G55" s="11">
        <v>46126.416666666664</v>
      </c>
      <c r="H55" s="10" t="s">
        <v>322</v>
      </c>
      <c r="I55" s="6" t="s">
        <v>891</v>
      </c>
      <c r="J55" s="12">
        <v>46121.767245370371</v>
      </c>
      <c r="K55" s="6" t="e" cm="1">
        <f t="array" ref="K55">LOOKUP(2^15,SEARCH(Tabela2[Palavras-Chave],Boletim[[#This Row],[Objeto]],1),Tabela2[Palavras-Chave])</f>
        <v>#N/A</v>
      </c>
    </row>
    <row r="56" spans="1:11" ht="86.4" hidden="1" x14ac:dyDescent="0.3">
      <c r="A56" s="5">
        <v>18810961</v>
      </c>
      <c r="B56" s="6" t="s">
        <v>892</v>
      </c>
      <c r="C56" s="6" t="s">
        <v>59</v>
      </c>
      <c r="D56" s="8" t="s">
        <v>60</v>
      </c>
      <c r="E56" s="6" t="s">
        <v>893</v>
      </c>
      <c r="F56" s="6" t="s">
        <v>51</v>
      </c>
      <c r="G56" s="11">
        <v>46125.416666666664</v>
      </c>
      <c r="H56" s="10" t="s">
        <v>894</v>
      </c>
      <c r="I56" s="6" t="s">
        <v>895</v>
      </c>
      <c r="J56" s="12">
        <v>46121.772430555553</v>
      </c>
      <c r="K56" s="6" t="e" cm="1">
        <f t="array" ref="K56">LOOKUP(2^15,SEARCH(Tabela2[Palavras-Chave],Boletim[[#This Row],[Objeto]],1),Tabela2[Palavras-Chave])</f>
        <v>#N/A</v>
      </c>
    </row>
    <row r="57" spans="1:11" ht="86.4" x14ac:dyDescent="0.3">
      <c r="A57" s="5">
        <v>18810964</v>
      </c>
      <c r="B57" s="6" t="s">
        <v>896</v>
      </c>
      <c r="C57" s="6" t="s">
        <v>59</v>
      </c>
      <c r="D57" s="8" t="s">
        <v>60</v>
      </c>
      <c r="E57" s="6" t="s">
        <v>897</v>
      </c>
      <c r="F57" s="6" t="s">
        <v>51</v>
      </c>
      <c r="G57" s="11">
        <v>46125.416666666664</v>
      </c>
      <c r="H57" s="10" t="s">
        <v>898</v>
      </c>
      <c r="I57" s="6" t="s">
        <v>899</v>
      </c>
      <c r="J57" s="12">
        <v>46121.821805555555</v>
      </c>
      <c r="K57" s="6" t="str" cm="1">
        <f t="array" ref="K57">LOOKUP(2^15,SEARCH(Tabela2[Palavras-Chave],Boletim[[#This Row],[Objeto]],1),Tabela2[Palavras-Chave])</f>
        <v>abraçadeira</v>
      </c>
    </row>
    <row r="58" spans="1:11" ht="86.4" hidden="1" x14ac:dyDescent="0.3">
      <c r="A58" s="13">
        <v>18810950</v>
      </c>
      <c r="B58" s="10" t="s">
        <v>272</v>
      </c>
      <c r="C58" s="10" t="s">
        <v>59</v>
      </c>
      <c r="D58" s="15" t="s">
        <v>60</v>
      </c>
      <c r="E58" s="10" t="s">
        <v>900</v>
      </c>
      <c r="F58" s="10" t="s">
        <v>51</v>
      </c>
      <c r="G58" s="16">
        <v>46125.416666666664</v>
      </c>
      <c r="H58" s="10" t="s">
        <v>901</v>
      </c>
      <c r="I58" s="10" t="s">
        <v>902</v>
      </c>
      <c r="J58" s="17">
        <v>46121.823912037034</v>
      </c>
      <c r="K58" s="6" t="e" cm="1">
        <f t="array" ref="K58">LOOKUP(2^15,SEARCH(Tabela2[Palavras-Chave],Boletim[[#This Row],[Objeto]],1),Tabela2[Palavras-Chave])</f>
        <v>#N/A</v>
      </c>
    </row>
    <row r="59" spans="1:11" ht="100.8" hidden="1" x14ac:dyDescent="0.3">
      <c r="A59" s="5">
        <v>18806549</v>
      </c>
      <c r="B59" s="6" t="s">
        <v>903</v>
      </c>
      <c r="C59" s="6" t="s">
        <v>61</v>
      </c>
      <c r="D59" s="8" t="s">
        <v>62</v>
      </c>
      <c r="E59" s="6" t="s">
        <v>904</v>
      </c>
      <c r="F59" s="6" t="s">
        <v>51</v>
      </c>
      <c r="G59" s="11">
        <v>46125.333333333336</v>
      </c>
      <c r="H59" s="10" t="s">
        <v>905</v>
      </c>
      <c r="I59" s="6" t="s">
        <v>906</v>
      </c>
      <c r="J59" s="12">
        <v>46121.48940972222</v>
      </c>
      <c r="K59" s="6" t="e" cm="1">
        <f t="array" ref="K59">LOOKUP(2^15,SEARCH(Tabela2[Palavras-Chave],Boletim[[#This Row],[Objeto]],1),Tabela2[Palavras-Chave])</f>
        <v>#N/A</v>
      </c>
    </row>
    <row r="60" spans="1:11" ht="57.6" hidden="1" x14ac:dyDescent="0.3">
      <c r="A60" s="5">
        <v>18808130</v>
      </c>
      <c r="B60" s="6" t="s">
        <v>907</v>
      </c>
      <c r="C60" s="6" t="s">
        <v>88</v>
      </c>
      <c r="D60" s="8" t="s">
        <v>63</v>
      </c>
      <c r="E60" s="6" t="s">
        <v>908</v>
      </c>
      <c r="F60" s="6" t="s">
        <v>51</v>
      </c>
      <c r="G60" s="11">
        <v>46125.5</v>
      </c>
      <c r="H60" s="10" t="s">
        <v>909</v>
      </c>
      <c r="I60" s="6" t="s">
        <v>910</v>
      </c>
      <c r="J60" s="12">
        <v>46121.51054398148</v>
      </c>
      <c r="K60" s="6" t="e" cm="1">
        <f t="array" ref="K60">LOOKUP(2^15,SEARCH(Tabela2[Palavras-Chave],Boletim[[#This Row],[Objeto]],1),Tabela2[Palavras-Chave])</f>
        <v>#N/A</v>
      </c>
    </row>
    <row r="61" spans="1:11" ht="100.8" hidden="1" x14ac:dyDescent="0.3">
      <c r="A61" s="5">
        <v>18809313</v>
      </c>
      <c r="B61" s="6" t="s">
        <v>911</v>
      </c>
      <c r="C61" s="6" t="s">
        <v>912</v>
      </c>
      <c r="D61" s="8" t="s">
        <v>63</v>
      </c>
      <c r="E61" s="6" t="s">
        <v>363</v>
      </c>
      <c r="F61" s="6" t="s">
        <v>51</v>
      </c>
      <c r="G61" s="11">
        <v>46134.333333333336</v>
      </c>
      <c r="H61" s="10" t="s">
        <v>913</v>
      </c>
      <c r="I61" s="6" t="s">
        <v>914</v>
      </c>
      <c r="J61" s="12">
        <v>46121.743287037039</v>
      </c>
      <c r="K61" s="6" t="e" cm="1">
        <f t="array" ref="K61">LOOKUP(2^15,SEARCH(Tabela2[Palavras-Chave],Boletim[[#This Row],[Objeto]],1),Tabela2[Palavras-Chave])</f>
        <v>#N/A</v>
      </c>
    </row>
    <row r="62" spans="1:11" ht="100.8" hidden="1" x14ac:dyDescent="0.3">
      <c r="A62" s="5">
        <v>18810778</v>
      </c>
      <c r="B62" s="6" t="s">
        <v>915</v>
      </c>
      <c r="C62" s="6" t="s">
        <v>427</v>
      </c>
      <c r="D62" s="8" t="s">
        <v>63</v>
      </c>
      <c r="E62" s="6" t="s">
        <v>147</v>
      </c>
      <c r="F62" s="6" t="s">
        <v>51</v>
      </c>
      <c r="G62" s="11">
        <v>46136.5</v>
      </c>
      <c r="H62" s="10" t="s">
        <v>916</v>
      </c>
      <c r="I62" s="6" t="s">
        <v>917</v>
      </c>
      <c r="J62" s="12">
        <v>46121.840567129628</v>
      </c>
      <c r="K62" s="6" t="e" cm="1">
        <f t="array" ref="K62">LOOKUP(2^15,SEARCH(Tabela2[Palavras-Chave],Boletim[[#This Row],[Objeto]],1),Tabela2[Palavras-Chave])</f>
        <v>#N/A</v>
      </c>
    </row>
    <row r="63" spans="1:11" ht="100.8" hidden="1" x14ac:dyDescent="0.3">
      <c r="A63" s="5">
        <v>18806646</v>
      </c>
      <c r="B63" s="6" t="s">
        <v>918</v>
      </c>
      <c r="C63" s="6" t="s">
        <v>919</v>
      </c>
      <c r="D63" s="8" t="s">
        <v>64</v>
      </c>
      <c r="E63" s="6" t="s">
        <v>125</v>
      </c>
      <c r="F63" s="6" t="s">
        <v>51</v>
      </c>
      <c r="G63" s="11">
        <v>46125.999305555553</v>
      </c>
      <c r="H63" s="10" t="s">
        <v>920</v>
      </c>
      <c r="I63" s="6" t="s">
        <v>921</v>
      </c>
      <c r="J63" s="12">
        <v>46121.435127314813</v>
      </c>
      <c r="K63" s="6" t="e" cm="1">
        <f t="array" ref="K63">LOOKUP(2^15,SEARCH(Tabela2[Palavras-Chave],Boletim[[#This Row],[Objeto]],1),Tabela2[Palavras-Chave])</f>
        <v>#N/A</v>
      </c>
    </row>
    <row r="64" spans="1:11" ht="57.6" hidden="1" x14ac:dyDescent="0.3">
      <c r="A64" s="5">
        <v>18808037</v>
      </c>
      <c r="B64" s="6" t="s">
        <v>907</v>
      </c>
      <c r="C64" s="6" t="s">
        <v>101</v>
      </c>
      <c r="D64" s="8" t="s">
        <v>64</v>
      </c>
      <c r="E64" s="6" t="s">
        <v>908</v>
      </c>
      <c r="F64" s="6" t="s">
        <v>51</v>
      </c>
      <c r="G64" s="11">
        <v>46125.5</v>
      </c>
      <c r="H64" s="10" t="s">
        <v>909</v>
      </c>
      <c r="I64" s="6" t="s">
        <v>910</v>
      </c>
      <c r="J64" s="12">
        <v>46121.51053240741</v>
      </c>
      <c r="K64" s="6" t="e" cm="1">
        <f t="array" ref="K64">LOOKUP(2^15,SEARCH(Tabela2[Palavras-Chave],Boletim[[#This Row],[Objeto]],1),Tabela2[Palavras-Chave])</f>
        <v>#N/A</v>
      </c>
    </row>
    <row r="65" spans="1:11" ht="259.2" hidden="1" x14ac:dyDescent="0.3">
      <c r="A65" s="5">
        <v>18807037</v>
      </c>
      <c r="B65" s="6" t="s">
        <v>922</v>
      </c>
      <c r="C65" s="6" t="s">
        <v>923</v>
      </c>
      <c r="D65" s="8" t="s">
        <v>64</v>
      </c>
      <c r="E65" s="6" t="s">
        <v>924</v>
      </c>
      <c r="F65" s="6" t="s">
        <v>51</v>
      </c>
      <c r="G65" s="11" t="s">
        <v>56</v>
      </c>
      <c r="H65" s="10" t="s">
        <v>925</v>
      </c>
      <c r="I65" s="6" t="s">
        <v>926</v>
      </c>
      <c r="J65" s="12">
        <v>46121.607731481483</v>
      </c>
      <c r="K65" s="6" t="e" cm="1">
        <f t="array" ref="K65">LOOKUP(2^15,SEARCH(Tabela2[Palavras-Chave],Boletim[[#This Row],[Objeto]],1),Tabela2[Palavras-Chave])</f>
        <v>#N/A</v>
      </c>
    </row>
    <row r="66" spans="1:11" ht="57.6" hidden="1" x14ac:dyDescent="0.3">
      <c r="A66" s="5">
        <v>18785926</v>
      </c>
      <c r="B66" s="6" t="s">
        <v>927</v>
      </c>
      <c r="C66" s="6" t="s">
        <v>928</v>
      </c>
      <c r="D66" s="8" t="s">
        <v>64</v>
      </c>
      <c r="E66" s="6" t="s">
        <v>929</v>
      </c>
      <c r="F66" s="6" t="s">
        <v>51</v>
      </c>
      <c r="G66" s="11">
        <v>46122</v>
      </c>
      <c r="H66" s="10" t="s">
        <v>930</v>
      </c>
      <c r="I66" s="6" t="s">
        <v>931</v>
      </c>
      <c r="J66" s="12">
        <v>46121.587604166663</v>
      </c>
      <c r="K66" s="6" t="e" cm="1">
        <f t="array" ref="K66">LOOKUP(2^15,SEARCH(Tabela2[Palavras-Chave],Boletim[[#This Row],[Objeto]],1),Tabela2[Palavras-Chave])</f>
        <v>#N/A</v>
      </c>
    </row>
    <row r="67" spans="1:11" ht="100.8" hidden="1" x14ac:dyDescent="0.3">
      <c r="A67" s="5">
        <v>18809124</v>
      </c>
      <c r="B67" s="6" t="s">
        <v>932</v>
      </c>
      <c r="C67" s="6" t="s">
        <v>933</v>
      </c>
      <c r="D67" s="8" t="s">
        <v>64</v>
      </c>
      <c r="E67" s="6" t="s">
        <v>934</v>
      </c>
      <c r="F67" s="6" t="s">
        <v>51</v>
      </c>
      <c r="G67" s="11">
        <v>46122.625</v>
      </c>
      <c r="H67" s="10" t="s">
        <v>935</v>
      </c>
      <c r="I67" s="6" t="s">
        <v>936</v>
      </c>
      <c r="J67" s="12">
        <v>46121.650185185186</v>
      </c>
      <c r="K67" s="6" t="e" cm="1">
        <f t="array" ref="K67">LOOKUP(2^15,SEARCH(Tabela2[Palavras-Chave],Boletim[[#This Row],[Objeto]],1),Tabela2[Palavras-Chave])</f>
        <v>#N/A</v>
      </c>
    </row>
    <row r="68" spans="1:11" ht="43.2" hidden="1" x14ac:dyDescent="0.3">
      <c r="A68" s="5">
        <v>18807343</v>
      </c>
      <c r="B68" s="6" t="s">
        <v>937</v>
      </c>
      <c r="C68" s="6" t="s">
        <v>203</v>
      </c>
      <c r="D68" s="8" t="s">
        <v>64</v>
      </c>
      <c r="E68" s="6" t="s">
        <v>938</v>
      </c>
      <c r="F68" s="6" t="s">
        <v>51</v>
      </c>
      <c r="G68" s="11" t="s">
        <v>56</v>
      </c>
      <c r="H68" s="10" t="s">
        <v>939</v>
      </c>
      <c r="I68" s="6" t="s">
        <v>940</v>
      </c>
      <c r="J68" s="12">
        <v>46121.720486111109</v>
      </c>
      <c r="K68" s="6" t="e" cm="1">
        <f t="array" ref="K68">LOOKUP(2^15,SEARCH(Tabela2[Palavras-Chave],Boletim[[#This Row],[Objeto]],1),Tabela2[Palavras-Chave])</f>
        <v>#N/A</v>
      </c>
    </row>
    <row r="69" spans="1:11" ht="43.2" hidden="1" x14ac:dyDescent="0.3">
      <c r="A69" s="5">
        <v>18810641</v>
      </c>
      <c r="B69" s="6" t="s">
        <v>941</v>
      </c>
      <c r="C69" s="6" t="s">
        <v>942</v>
      </c>
      <c r="D69" s="8" t="s">
        <v>64</v>
      </c>
      <c r="E69" s="6" t="s">
        <v>346</v>
      </c>
      <c r="F69" s="6" t="s">
        <v>51</v>
      </c>
      <c r="G69" s="11" t="s">
        <v>56</v>
      </c>
      <c r="H69" s="10" t="s">
        <v>943</v>
      </c>
      <c r="I69" s="6" t="s">
        <v>944</v>
      </c>
      <c r="J69" s="12">
        <v>46121.743391203701</v>
      </c>
      <c r="K69" s="6" t="e" cm="1">
        <f t="array" ref="K69">LOOKUP(2^15,SEARCH(Tabela2[Palavras-Chave],Boletim[[#This Row],[Objeto]],1),Tabela2[Palavras-Chave])</f>
        <v>#N/A</v>
      </c>
    </row>
    <row r="70" spans="1:11" ht="144" hidden="1" x14ac:dyDescent="0.3">
      <c r="A70" s="5">
        <v>18810823</v>
      </c>
      <c r="B70" s="6" t="s">
        <v>945</v>
      </c>
      <c r="C70" s="6" t="s">
        <v>946</v>
      </c>
      <c r="D70" s="8" t="s">
        <v>64</v>
      </c>
      <c r="E70" s="6" t="s">
        <v>265</v>
      </c>
      <c r="F70" s="6" t="s">
        <v>51</v>
      </c>
      <c r="G70" s="11">
        <v>46126.708333333336</v>
      </c>
      <c r="H70" s="10" t="s">
        <v>947</v>
      </c>
      <c r="I70" s="6" t="s">
        <v>948</v>
      </c>
      <c r="J70" s="12">
        <v>46121.770775462966</v>
      </c>
      <c r="K70" s="6" t="e" cm="1">
        <f t="array" ref="K70">LOOKUP(2^15,SEARCH(Tabela2[Palavras-Chave],Boletim[[#This Row],[Objeto]],1),Tabela2[Palavras-Chave])</f>
        <v>#N/A</v>
      </c>
    </row>
    <row r="71" spans="1:11" ht="100.8" hidden="1" x14ac:dyDescent="0.3">
      <c r="A71" s="5">
        <v>18765970</v>
      </c>
      <c r="B71" s="6" t="s">
        <v>949</v>
      </c>
      <c r="C71" s="6" t="s">
        <v>638</v>
      </c>
      <c r="D71" s="8" t="s">
        <v>89</v>
      </c>
      <c r="E71" s="6" t="s">
        <v>149</v>
      </c>
      <c r="F71" s="6" t="s">
        <v>51</v>
      </c>
      <c r="G71" s="11" t="s">
        <v>56</v>
      </c>
      <c r="H71" s="10" t="s">
        <v>950</v>
      </c>
      <c r="I71" s="6" t="s">
        <v>951</v>
      </c>
      <c r="J71" s="12">
        <v>46121.636516203704</v>
      </c>
      <c r="K71" s="6" t="e" cm="1">
        <f t="array" ref="K71">LOOKUP(2^15,SEARCH(Tabela2[Palavras-Chave],Boletim[[#This Row],[Objeto]],1),Tabela2[Palavras-Chave])</f>
        <v>#N/A</v>
      </c>
    </row>
    <row r="72" spans="1:11" ht="86.4" hidden="1" x14ac:dyDescent="0.3">
      <c r="A72" s="5">
        <v>18810772</v>
      </c>
      <c r="B72" s="6" t="s">
        <v>952</v>
      </c>
      <c r="C72" s="6" t="s">
        <v>953</v>
      </c>
      <c r="D72" s="8" t="s">
        <v>89</v>
      </c>
      <c r="E72" s="6" t="s">
        <v>227</v>
      </c>
      <c r="F72" s="6" t="s">
        <v>51</v>
      </c>
      <c r="G72" s="11">
        <v>46128.333333333336</v>
      </c>
      <c r="H72" s="10" t="s">
        <v>954</v>
      </c>
      <c r="I72" s="6" t="s">
        <v>955</v>
      </c>
      <c r="J72" s="12">
        <v>46121.792650462965</v>
      </c>
      <c r="K72" s="6" t="e" cm="1">
        <f t="array" ref="K72">LOOKUP(2^15,SEARCH(Tabela2[Palavras-Chave],Boletim[[#This Row],[Objeto]],1),Tabela2[Palavras-Chave])</f>
        <v>#N/A</v>
      </c>
    </row>
    <row r="73" spans="1:11" ht="100.8" hidden="1" x14ac:dyDescent="0.3">
      <c r="A73" s="13">
        <v>18806534</v>
      </c>
      <c r="B73" s="10" t="s">
        <v>956</v>
      </c>
      <c r="C73" s="10" t="s">
        <v>159</v>
      </c>
      <c r="D73" s="15" t="s">
        <v>89</v>
      </c>
      <c r="E73" s="10" t="s">
        <v>957</v>
      </c>
      <c r="F73" s="10" t="s">
        <v>51</v>
      </c>
      <c r="G73" s="16">
        <v>46125.416666666664</v>
      </c>
      <c r="H73" s="10" t="s">
        <v>958</v>
      </c>
      <c r="I73" s="10" t="s">
        <v>959</v>
      </c>
      <c r="J73" s="17">
        <v>46121.812291666669</v>
      </c>
      <c r="K73" s="6" t="e" cm="1">
        <f t="array" ref="K73">LOOKUP(2^15,SEARCH(Tabela2[Palavras-Chave],Boletim[[#This Row],[Objeto]],1),Tabela2[Palavras-Chave])</f>
        <v>#N/A</v>
      </c>
    </row>
    <row r="74" spans="1:11" ht="43.2" hidden="1" x14ac:dyDescent="0.3">
      <c r="A74" s="5">
        <v>18803635</v>
      </c>
      <c r="B74" s="6" t="s">
        <v>598</v>
      </c>
      <c r="C74" s="6" t="s">
        <v>599</v>
      </c>
      <c r="D74" s="8" t="s">
        <v>66</v>
      </c>
      <c r="E74" s="6" t="s">
        <v>110</v>
      </c>
      <c r="F74" s="6" t="s">
        <v>51</v>
      </c>
      <c r="G74" s="11">
        <v>46140.5625</v>
      </c>
      <c r="H74" s="10" t="s">
        <v>600</v>
      </c>
      <c r="I74" s="6" t="s">
        <v>601</v>
      </c>
      <c r="J74" s="12">
        <v>46121.419479166667</v>
      </c>
      <c r="K74" s="6" t="e" cm="1">
        <f t="array" ref="K74">LOOKUP(2^15,SEARCH(Tabela2[Palavras-Chave],Boletim[[#This Row],[Objeto]],1),Tabela2[Palavras-Chave])</f>
        <v>#N/A</v>
      </c>
    </row>
    <row r="75" spans="1:11" ht="72" hidden="1" x14ac:dyDescent="0.3">
      <c r="A75" s="5">
        <v>18772097</v>
      </c>
      <c r="B75" s="6" t="s">
        <v>74</v>
      </c>
      <c r="C75" s="6" t="s">
        <v>65</v>
      </c>
      <c r="D75" s="8" t="s">
        <v>66</v>
      </c>
      <c r="E75" s="6" t="s">
        <v>960</v>
      </c>
      <c r="F75" s="6" t="s">
        <v>51</v>
      </c>
      <c r="G75" s="11" t="s">
        <v>56</v>
      </c>
      <c r="H75" s="10" t="s">
        <v>961</v>
      </c>
      <c r="I75" s="6" t="s">
        <v>962</v>
      </c>
      <c r="J75" s="12">
        <v>46121.440347222226</v>
      </c>
      <c r="K75" s="6" t="e" cm="1">
        <f t="array" ref="K75">LOOKUP(2^15,SEARCH(Tabela2[Palavras-Chave],Boletim[[#This Row],[Objeto]],1),Tabela2[Palavras-Chave])</f>
        <v>#N/A</v>
      </c>
    </row>
    <row r="76" spans="1:11" ht="72" hidden="1" x14ac:dyDescent="0.3">
      <c r="A76" s="5">
        <v>18751074</v>
      </c>
      <c r="B76" s="6" t="s">
        <v>74</v>
      </c>
      <c r="C76" s="6" t="s">
        <v>65</v>
      </c>
      <c r="D76" s="8" t="s">
        <v>66</v>
      </c>
      <c r="E76" s="6" t="s">
        <v>963</v>
      </c>
      <c r="F76" s="6" t="s">
        <v>51</v>
      </c>
      <c r="G76" s="11" t="s">
        <v>56</v>
      </c>
      <c r="H76" s="10" t="s">
        <v>964</v>
      </c>
      <c r="I76" s="6" t="s">
        <v>965</v>
      </c>
      <c r="J76" s="12">
        <v>46121.442395833335</v>
      </c>
      <c r="K76" s="6" t="e" cm="1">
        <f t="array" ref="K76">LOOKUP(2^15,SEARCH(Tabela2[Palavras-Chave],Boletim[[#This Row],[Objeto]],1),Tabela2[Palavras-Chave])</f>
        <v>#N/A</v>
      </c>
    </row>
    <row r="77" spans="1:11" ht="57.6" hidden="1" x14ac:dyDescent="0.3">
      <c r="A77" s="5">
        <v>18807224</v>
      </c>
      <c r="B77" s="6" t="s">
        <v>966</v>
      </c>
      <c r="C77" s="6" t="s">
        <v>65</v>
      </c>
      <c r="D77" s="8" t="s">
        <v>66</v>
      </c>
      <c r="E77" s="6" t="s">
        <v>967</v>
      </c>
      <c r="F77" s="6" t="s">
        <v>51</v>
      </c>
      <c r="G77" s="11" t="s">
        <v>56</v>
      </c>
      <c r="H77" s="10" t="s">
        <v>968</v>
      </c>
      <c r="I77" s="6" t="s">
        <v>969</v>
      </c>
      <c r="J77" s="12">
        <v>46121.450254629628</v>
      </c>
      <c r="K77" s="6" t="e" cm="1">
        <f t="array" ref="K77">LOOKUP(2^15,SEARCH(Tabela2[Palavras-Chave],Boletim[[#This Row],[Objeto]],1),Tabela2[Palavras-Chave])</f>
        <v>#N/A</v>
      </c>
    </row>
    <row r="78" spans="1:11" ht="57.6" hidden="1" x14ac:dyDescent="0.3">
      <c r="A78" s="5">
        <v>18807215</v>
      </c>
      <c r="B78" s="6" t="s">
        <v>966</v>
      </c>
      <c r="C78" s="6" t="s">
        <v>65</v>
      </c>
      <c r="D78" s="8" t="s">
        <v>66</v>
      </c>
      <c r="E78" s="6" t="s">
        <v>970</v>
      </c>
      <c r="F78" s="6" t="s">
        <v>51</v>
      </c>
      <c r="G78" s="11" t="s">
        <v>56</v>
      </c>
      <c r="H78" s="10" t="s">
        <v>971</v>
      </c>
      <c r="I78" s="6" t="s">
        <v>972</v>
      </c>
      <c r="J78" s="12">
        <v>46121.450300925928</v>
      </c>
      <c r="K78" s="6" t="e" cm="1">
        <f t="array" ref="K78">LOOKUP(2^15,SEARCH(Tabela2[Palavras-Chave],Boletim[[#This Row],[Objeto]],1),Tabela2[Palavras-Chave])</f>
        <v>#N/A</v>
      </c>
    </row>
    <row r="79" spans="1:11" ht="57.6" hidden="1" x14ac:dyDescent="0.3">
      <c r="A79" s="5">
        <v>18807205</v>
      </c>
      <c r="B79" s="6" t="s">
        <v>966</v>
      </c>
      <c r="C79" s="6" t="s">
        <v>65</v>
      </c>
      <c r="D79" s="8" t="s">
        <v>66</v>
      </c>
      <c r="E79" s="6" t="s">
        <v>973</v>
      </c>
      <c r="F79" s="6" t="s">
        <v>51</v>
      </c>
      <c r="G79" s="11" t="s">
        <v>56</v>
      </c>
      <c r="H79" s="10" t="s">
        <v>974</v>
      </c>
      <c r="I79" s="6" t="s">
        <v>975</v>
      </c>
      <c r="J79" s="12">
        <v>46121.450659722221</v>
      </c>
      <c r="K79" s="6" t="e" cm="1">
        <f t="array" ref="K79">LOOKUP(2^15,SEARCH(Tabela2[Palavras-Chave],Boletim[[#This Row],[Objeto]],1),Tabela2[Palavras-Chave])</f>
        <v>#N/A</v>
      </c>
    </row>
    <row r="80" spans="1:11" ht="57.6" hidden="1" x14ac:dyDescent="0.3">
      <c r="A80" s="5">
        <v>18807216</v>
      </c>
      <c r="B80" s="6" t="s">
        <v>966</v>
      </c>
      <c r="C80" s="6" t="s">
        <v>65</v>
      </c>
      <c r="D80" s="8" t="s">
        <v>66</v>
      </c>
      <c r="E80" s="6" t="s">
        <v>976</v>
      </c>
      <c r="F80" s="6" t="s">
        <v>51</v>
      </c>
      <c r="G80" s="11" t="s">
        <v>56</v>
      </c>
      <c r="H80" s="10" t="s">
        <v>977</v>
      </c>
      <c r="I80" s="6" t="s">
        <v>978</v>
      </c>
      <c r="J80" s="12">
        <v>46121.451273148145</v>
      </c>
      <c r="K80" s="6" t="e" cm="1">
        <f t="array" ref="K80">LOOKUP(2^15,SEARCH(Tabela2[Palavras-Chave],Boletim[[#This Row],[Objeto]],1),Tabela2[Palavras-Chave])</f>
        <v>#N/A</v>
      </c>
    </row>
    <row r="81" spans="1:11" ht="57.6" x14ac:dyDescent="0.3">
      <c r="A81" s="5">
        <v>18807220</v>
      </c>
      <c r="B81" s="6" t="s">
        <v>979</v>
      </c>
      <c r="C81" s="6" t="s">
        <v>65</v>
      </c>
      <c r="D81" s="8" t="s">
        <v>66</v>
      </c>
      <c r="E81" s="6" t="s">
        <v>980</v>
      </c>
      <c r="F81" s="6" t="s">
        <v>51</v>
      </c>
      <c r="G81" s="11" t="s">
        <v>56</v>
      </c>
      <c r="H81" s="10" t="s">
        <v>981</v>
      </c>
      <c r="I81" s="6" t="s">
        <v>982</v>
      </c>
      <c r="J81" s="12">
        <v>46121.452916666669</v>
      </c>
      <c r="K81" s="6" t="str" cm="1">
        <f t="array" ref="K81">LOOKUP(2^15,SEARCH(Tabela2[Palavras-Chave],Boletim[[#This Row],[Objeto]],1),Tabela2[Palavras-Chave])</f>
        <v>INOX</v>
      </c>
    </row>
    <row r="82" spans="1:11" ht="43.2" hidden="1" x14ac:dyDescent="0.3">
      <c r="A82" s="5">
        <v>18807165</v>
      </c>
      <c r="B82" s="6" t="s">
        <v>99</v>
      </c>
      <c r="C82" s="6" t="s">
        <v>65</v>
      </c>
      <c r="D82" s="8" t="s">
        <v>66</v>
      </c>
      <c r="E82" s="6" t="s">
        <v>983</v>
      </c>
      <c r="F82" s="6" t="s">
        <v>51</v>
      </c>
      <c r="G82" s="11" t="s">
        <v>56</v>
      </c>
      <c r="H82" s="10" t="s">
        <v>984</v>
      </c>
      <c r="I82" s="6" t="s">
        <v>132</v>
      </c>
      <c r="J82" s="12">
        <v>46121.454282407409</v>
      </c>
      <c r="K82" s="6" t="e" cm="1">
        <f t="array" ref="K82">LOOKUP(2^15,SEARCH(Tabela2[Palavras-Chave],Boletim[[#This Row],[Objeto]],1),Tabela2[Palavras-Chave])</f>
        <v>#N/A</v>
      </c>
    </row>
    <row r="83" spans="1:11" ht="57.6" hidden="1" x14ac:dyDescent="0.3">
      <c r="A83" s="5">
        <v>18806984</v>
      </c>
      <c r="B83" s="6" t="s">
        <v>985</v>
      </c>
      <c r="C83" s="6" t="s">
        <v>986</v>
      </c>
      <c r="D83" s="8" t="s">
        <v>66</v>
      </c>
      <c r="E83" s="6" t="s">
        <v>139</v>
      </c>
      <c r="F83" s="6" t="s">
        <v>51</v>
      </c>
      <c r="G83" s="11">
        <v>46125.333333333336</v>
      </c>
      <c r="H83" s="10" t="s">
        <v>987</v>
      </c>
      <c r="I83" s="6" t="s">
        <v>988</v>
      </c>
      <c r="J83" s="12">
        <v>46121.470173611109</v>
      </c>
      <c r="K83" s="6" t="e" cm="1">
        <f t="array" ref="K83">LOOKUP(2^15,SEARCH(Tabela2[Palavras-Chave],Boletim[[#This Row],[Objeto]],1),Tabela2[Palavras-Chave])</f>
        <v>#N/A</v>
      </c>
    </row>
    <row r="84" spans="1:11" hidden="1" x14ac:dyDescent="0.3">
      <c r="A84" s="5">
        <v>18807163</v>
      </c>
      <c r="B84" s="6" t="s">
        <v>99</v>
      </c>
      <c r="C84" s="6" t="s">
        <v>65</v>
      </c>
      <c r="D84" s="8" t="s">
        <v>66</v>
      </c>
      <c r="E84" s="6" t="s">
        <v>989</v>
      </c>
      <c r="F84" s="6" t="s">
        <v>51</v>
      </c>
      <c r="G84" s="11" t="s">
        <v>56</v>
      </c>
      <c r="H84" s="10" t="s">
        <v>990</v>
      </c>
      <c r="I84" s="6" t="s">
        <v>132</v>
      </c>
      <c r="J84" s="12">
        <v>46121.473078703704</v>
      </c>
      <c r="K84" s="6" t="e" cm="1">
        <f t="array" ref="K84">LOOKUP(2^15,SEARCH(Tabela2[Palavras-Chave],Boletim[[#This Row],[Objeto]],1),Tabela2[Palavras-Chave])</f>
        <v>#N/A</v>
      </c>
    </row>
    <row r="85" spans="1:11" ht="57.6" hidden="1" x14ac:dyDescent="0.3">
      <c r="A85" s="5">
        <v>18807204</v>
      </c>
      <c r="B85" s="6" t="s">
        <v>966</v>
      </c>
      <c r="C85" s="6" t="s">
        <v>65</v>
      </c>
      <c r="D85" s="8" t="s">
        <v>66</v>
      </c>
      <c r="E85" s="6" t="s">
        <v>991</v>
      </c>
      <c r="F85" s="6" t="s">
        <v>51</v>
      </c>
      <c r="G85" s="11" t="s">
        <v>56</v>
      </c>
      <c r="H85" s="10" t="s">
        <v>992</v>
      </c>
      <c r="I85" s="6" t="s">
        <v>993</v>
      </c>
      <c r="J85" s="12">
        <v>46121.473738425928</v>
      </c>
      <c r="K85" s="6" t="e" cm="1">
        <f t="array" ref="K85">LOOKUP(2^15,SEARCH(Tabela2[Palavras-Chave],Boletim[[#This Row],[Objeto]],1),Tabela2[Palavras-Chave])</f>
        <v>#N/A</v>
      </c>
    </row>
    <row r="86" spans="1:11" ht="57.6" hidden="1" x14ac:dyDescent="0.3">
      <c r="A86" s="13">
        <v>18807206</v>
      </c>
      <c r="B86" s="10" t="s">
        <v>966</v>
      </c>
      <c r="C86" s="10" t="s">
        <v>65</v>
      </c>
      <c r="D86" s="15" t="s">
        <v>66</v>
      </c>
      <c r="E86" s="10" t="s">
        <v>994</v>
      </c>
      <c r="F86" s="10" t="s">
        <v>51</v>
      </c>
      <c r="G86" s="16" t="s">
        <v>56</v>
      </c>
      <c r="H86" s="10" t="s">
        <v>995</v>
      </c>
      <c r="I86" s="10" t="s">
        <v>996</v>
      </c>
      <c r="J86" s="17">
        <v>46121.47384259259</v>
      </c>
      <c r="K86" s="6" t="e" cm="1">
        <f t="array" ref="K86">LOOKUP(2^15,SEARCH(Tabela2[Palavras-Chave],Boletim[[#This Row],[Objeto]],1),Tabela2[Palavras-Chave])</f>
        <v>#N/A</v>
      </c>
    </row>
    <row r="87" spans="1:11" ht="57.6" hidden="1" x14ac:dyDescent="0.3">
      <c r="A87" s="5">
        <v>18807214</v>
      </c>
      <c r="B87" s="6" t="s">
        <v>979</v>
      </c>
      <c r="C87" s="6" t="s">
        <v>65</v>
      </c>
      <c r="D87" s="8" t="s">
        <v>66</v>
      </c>
      <c r="E87" s="6" t="s">
        <v>997</v>
      </c>
      <c r="F87" s="6" t="s">
        <v>51</v>
      </c>
      <c r="G87" s="11" t="s">
        <v>56</v>
      </c>
      <c r="H87" s="10" t="s">
        <v>998</v>
      </c>
      <c r="I87" s="6" t="s">
        <v>999</v>
      </c>
      <c r="J87" s="12">
        <v>46121.486689814818</v>
      </c>
      <c r="K87" s="6" t="e" cm="1">
        <f t="array" ref="K87">LOOKUP(2^15,SEARCH(Tabela2[Palavras-Chave],Boletim[[#This Row],[Objeto]],1),Tabela2[Palavras-Chave])</f>
        <v>#N/A</v>
      </c>
    </row>
    <row r="88" spans="1:11" ht="409.6" x14ac:dyDescent="0.3">
      <c r="A88" s="5">
        <v>18807372</v>
      </c>
      <c r="B88" s="6" t="s">
        <v>99</v>
      </c>
      <c r="C88" s="6" t="s">
        <v>65</v>
      </c>
      <c r="D88" s="8" t="s">
        <v>66</v>
      </c>
      <c r="E88" s="6" t="s">
        <v>1000</v>
      </c>
      <c r="F88" s="6" t="s">
        <v>51</v>
      </c>
      <c r="G88" s="11" t="s">
        <v>56</v>
      </c>
      <c r="H88" s="10" t="s">
        <v>1001</v>
      </c>
      <c r="I88" s="6" t="s">
        <v>132</v>
      </c>
      <c r="J88" s="12">
        <v>46121.499768518515</v>
      </c>
      <c r="K88" s="6" t="str" cm="1">
        <f t="array" ref="K88">LOOKUP(2^15,SEARCH(Tabela2[Palavras-Chave],Boletim[[#This Row],[Objeto]],1),Tabela2[Palavras-Chave])</f>
        <v>JUNTA</v>
      </c>
    </row>
    <row r="89" spans="1:11" ht="28.8" hidden="1" x14ac:dyDescent="0.3">
      <c r="A89" s="5">
        <v>18808186</v>
      </c>
      <c r="B89" s="6" t="s">
        <v>1002</v>
      </c>
      <c r="C89" s="6" t="s">
        <v>1003</v>
      </c>
      <c r="D89" s="8" t="s">
        <v>66</v>
      </c>
      <c r="E89" s="6" t="s">
        <v>1004</v>
      </c>
      <c r="F89" s="6" t="s">
        <v>51</v>
      </c>
      <c r="G89" s="11">
        <v>46126.333333333336</v>
      </c>
      <c r="H89" s="10" t="s">
        <v>1005</v>
      </c>
      <c r="I89" s="6" t="s">
        <v>1006</v>
      </c>
      <c r="J89" s="12">
        <v>46121.52207175926</v>
      </c>
      <c r="K89" s="6" t="e" cm="1">
        <f t="array" ref="K89">LOOKUP(2^15,SEARCH(Tabela2[Palavras-Chave],Boletim[[#This Row],[Objeto]],1),Tabela2[Palavras-Chave])</f>
        <v>#N/A</v>
      </c>
    </row>
    <row r="90" spans="1:11" ht="302.39999999999998" x14ac:dyDescent="0.3">
      <c r="A90" s="5">
        <v>18808075</v>
      </c>
      <c r="B90" s="6" t="s">
        <v>259</v>
      </c>
      <c r="C90" s="6" t="s">
        <v>260</v>
      </c>
      <c r="D90" s="8" t="s">
        <v>66</v>
      </c>
      <c r="E90" s="6" t="s">
        <v>1007</v>
      </c>
      <c r="F90" s="6" t="s">
        <v>51</v>
      </c>
      <c r="G90" s="11" t="s">
        <v>56</v>
      </c>
      <c r="H90" s="10" t="s">
        <v>1008</v>
      </c>
      <c r="I90" s="6" t="s">
        <v>1009</v>
      </c>
      <c r="J90" s="12">
        <v>46121.541122685187</v>
      </c>
      <c r="K90" s="6" t="str" cm="1">
        <f t="array" ref="K90">LOOKUP(2^15,SEARCH(Tabela2[Palavras-Chave],Boletim[[#This Row],[Objeto]],1),Tabela2[Palavras-Chave])</f>
        <v>DIAGNÓSTICO</v>
      </c>
    </row>
    <row r="91" spans="1:11" ht="72" hidden="1" x14ac:dyDescent="0.3">
      <c r="A91" s="5">
        <v>18799534</v>
      </c>
      <c r="B91" s="6" t="s">
        <v>1010</v>
      </c>
      <c r="C91" s="6" t="s">
        <v>447</v>
      </c>
      <c r="D91" s="8" t="s">
        <v>66</v>
      </c>
      <c r="E91" s="6" t="s">
        <v>139</v>
      </c>
      <c r="F91" s="6" t="s">
        <v>51</v>
      </c>
      <c r="G91" s="11">
        <v>46122.375</v>
      </c>
      <c r="H91" s="10" t="s">
        <v>1011</v>
      </c>
      <c r="I91" s="6" t="s">
        <v>1012</v>
      </c>
      <c r="J91" s="12">
        <v>46121.587638888886</v>
      </c>
      <c r="K91" s="6" t="e" cm="1">
        <f t="array" ref="K91">LOOKUP(2^15,SEARCH(Tabela2[Palavras-Chave],Boletim[[#This Row],[Objeto]],1),Tabela2[Palavras-Chave])</f>
        <v>#N/A</v>
      </c>
    </row>
    <row r="92" spans="1:11" ht="28.8" hidden="1" x14ac:dyDescent="0.3">
      <c r="A92" s="5">
        <v>18807593</v>
      </c>
      <c r="B92" s="6" t="s">
        <v>99</v>
      </c>
      <c r="C92" s="6" t="s">
        <v>65</v>
      </c>
      <c r="D92" s="8" t="s">
        <v>66</v>
      </c>
      <c r="E92" s="6" t="s">
        <v>1013</v>
      </c>
      <c r="F92" s="6" t="s">
        <v>51</v>
      </c>
      <c r="G92" s="11" t="s">
        <v>56</v>
      </c>
      <c r="H92" s="10" t="s">
        <v>338</v>
      </c>
      <c r="I92" s="6" t="s">
        <v>132</v>
      </c>
      <c r="J92" s="12">
        <v>46121.610902777778</v>
      </c>
      <c r="K92" s="6" t="e" cm="1">
        <f t="array" ref="K92">LOOKUP(2^15,SEARCH(Tabela2[Palavras-Chave],Boletim[[#This Row],[Objeto]],1),Tabela2[Palavras-Chave])</f>
        <v>#N/A</v>
      </c>
    </row>
    <row r="93" spans="1:11" ht="28.8" hidden="1" x14ac:dyDescent="0.3">
      <c r="A93" s="5">
        <v>18807510</v>
      </c>
      <c r="B93" s="6" t="s">
        <v>99</v>
      </c>
      <c r="C93" s="6" t="s">
        <v>65</v>
      </c>
      <c r="D93" s="8" t="s">
        <v>66</v>
      </c>
      <c r="E93" s="6" t="s">
        <v>1014</v>
      </c>
      <c r="F93" s="6" t="s">
        <v>51</v>
      </c>
      <c r="G93" s="11" t="s">
        <v>56</v>
      </c>
      <c r="H93" s="10" t="s">
        <v>338</v>
      </c>
      <c r="I93" s="6" t="s">
        <v>132</v>
      </c>
      <c r="J93" s="12">
        <v>46121.610949074071</v>
      </c>
      <c r="K93" s="6" t="e" cm="1">
        <f t="array" ref="K93">LOOKUP(2^15,SEARCH(Tabela2[Palavras-Chave],Boletim[[#This Row],[Objeto]],1),Tabela2[Palavras-Chave])</f>
        <v>#N/A</v>
      </c>
    </row>
    <row r="94" spans="1:11" ht="28.8" hidden="1" x14ac:dyDescent="0.3">
      <c r="A94" s="5">
        <v>18808187</v>
      </c>
      <c r="B94" s="6" t="s">
        <v>1015</v>
      </c>
      <c r="C94" s="6" t="s">
        <v>65</v>
      </c>
      <c r="D94" s="8" t="s">
        <v>66</v>
      </c>
      <c r="E94" s="6" t="s">
        <v>1016</v>
      </c>
      <c r="F94" s="6" t="s">
        <v>51</v>
      </c>
      <c r="G94" s="11">
        <v>46126.333333333336</v>
      </c>
      <c r="H94" s="10" t="s">
        <v>1017</v>
      </c>
      <c r="I94" s="6" t="s">
        <v>1018</v>
      </c>
      <c r="J94" s="12">
        <v>46121.614201388889</v>
      </c>
      <c r="K94" s="6" t="e" cm="1">
        <f t="array" ref="K94">LOOKUP(2^15,SEARCH(Tabela2[Palavras-Chave],Boletim[[#This Row],[Objeto]],1),Tabela2[Palavras-Chave])</f>
        <v>#N/A</v>
      </c>
    </row>
    <row r="95" spans="1:11" ht="28.8" hidden="1" x14ac:dyDescent="0.3">
      <c r="A95" s="5">
        <v>18807375</v>
      </c>
      <c r="B95" s="6" t="s">
        <v>99</v>
      </c>
      <c r="C95" s="6" t="s">
        <v>65</v>
      </c>
      <c r="D95" s="8" t="s">
        <v>66</v>
      </c>
      <c r="E95" s="6" t="s">
        <v>1019</v>
      </c>
      <c r="F95" s="6" t="s">
        <v>51</v>
      </c>
      <c r="G95" s="11" t="s">
        <v>56</v>
      </c>
      <c r="H95" s="10" t="s">
        <v>338</v>
      </c>
      <c r="I95" s="6" t="s">
        <v>132</v>
      </c>
      <c r="J95" s="12">
        <v>46121.615231481483</v>
      </c>
      <c r="K95" s="6" t="e" cm="1">
        <f t="array" ref="K95">LOOKUP(2^15,SEARCH(Tabela2[Palavras-Chave],Boletim[[#This Row],[Objeto]],1),Tabela2[Palavras-Chave])</f>
        <v>#N/A</v>
      </c>
    </row>
    <row r="96" spans="1:11" ht="28.8" x14ac:dyDescent="0.3">
      <c r="A96" s="5">
        <v>18809789</v>
      </c>
      <c r="B96" s="6" t="s">
        <v>99</v>
      </c>
      <c r="C96" s="6" t="s">
        <v>65</v>
      </c>
      <c r="D96" s="8" t="s">
        <v>66</v>
      </c>
      <c r="E96" s="6" t="s">
        <v>1020</v>
      </c>
      <c r="F96" s="6" t="s">
        <v>51</v>
      </c>
      <c r="G96" s="11" t="s">
        <v>56</v>
      </c>
      <c r="H96" s="10" t="s">
        <v>1021</v>
      </c>
      <c r="I96" s="6" t="s">
        <v>132</v>
      </c>
      <c r="J96" s="12">
        <v>46121.639618055553</v>
      </c>
      <c r="K96" s="6" t="str" cm="1">
        <f t="array" ref="K96">LOOKUP(2^15,SEARCH(Tabela2[Palavras-Chave],Boletim[[#This Row],[Objeto]],1),Tabela2[Palavras-Chave])</f>
        <v>JUNTA</v>
      </c>
    </row>
    <row r="97" spans="1:11" ht="28.8" hidden="1" x14ac:dyDescent="0.3">
      <c r="A97" s="5">
        <v>18762615</v>
      </c>
      <c r="B97" s="6" t="s">
        <v>99</v>
      </c>
      <c r="C97" s="6" t="s">
        <v>65</v>
      </c>
      <c r="D97" s="8" t="s">
        <v>66</v>
      </c>
      <c r="E97" s="6" t="s">
        <v>1022</v>
      </c>
      <c r="F97" s="6" t="s">
        <v>51</v>
      </c>
      <c r="G97" s="11" t="s">
        <v>56</v>
      </c>
      <c r="H97" s="10" t="s">
        <v>1023</v>
      </c>
      <c r="I97" s="6" t="s">
        <v>131</v>
      </c>
      <c r="J97" s="12">
        <v>46121.676423611112</v>
      </c>
      <c r="K97" s="6" t="e" cm="1">
        <f t="array" ref="K97">LOOKUP(2^15,SEARCH(Tabela2[Palavras-Chave],Boletim[[#This Row],[Objeto]],1),Tabela2[Palavras-Chave])</f>
        <v>#N/A</v>
      </c>
    </row>
    <row r="98" spans="1:11" ht="28.8" hidden="1" x14ac:dyDescent="0.3">
      <c r="A98" s="5">
        <v>18774643</v>
      </c>
      <c r="B98" s="6" t="s">
        <v>99</v>
      </c>
      <c r="C98" s="6" t="s">
        <v>65</v>
      </c>
      <c r="D98" s="8" t="s">
        <v>66</v>
      </c>
      <c r="E98" s="6" t="s">
        <v>1024</v>
      </c>
      <c r="F98" s="6" t="s">
        <v>51</v>
      </c>
      <c r="G98" s="11" t="s">
        <v>56</v>
      </c>
      <c r="H98" s="10" t="s">
        <v>1025</v>
      </c>
      <c r="I98" s="6" t="s">
        <v>131</v>
      </c>
      <c r="J98" s="12">
        <v>46121.677824074075</v>
      </c>
      <c r="K98" s="6" t="e" cm="1">
        <f t="array" ref="K98">LOOKUP(2^15,SEARCH(Tabela2[Palavras-Chave],Boletim[[#This Row],[Objeto]],1),Tabela2[Palavras-Chave])</f>
        <v>#N/A</v>
      </c>
    </row>
    <row r="99" spans="1:11" ht="144" x14ac:dyDescent="0.3">
      <c r="A99" s="5">
        <v>18808082</v>
      </c>
      <c r="B99" s="6" t="s">
        <v>259</v>
      </c>
      <c r="C99" s="6" t="s">
        <v>260</v>
      </c>
      <c r="D99" s="8" t="s">
        <v>66</v>
      </c>
      <c r="E99" s="6" t="s">
        <v>1026</v>
      </c>
      <c r="F99" s="6" t="s">
        <v>51</v>
      </c>
      <c r="G99" s="11" t="s">
        <v>56</v>
      </c>
      <c r="H99" s="10" t="s">
        <v>1027</v>
      </c>
      <c r="I99" s="6" t="s">
        <v>1009</v>
      </c>
      <c r="J99" s="12">
        <v>46121.690451388888</v>
      </c>
      <c r="K99" s="6" t="str" cm="1">
        <f t="array" ref="K99">LOOKUP(2^15,SEARCH(Tabela2[Palavras-Chave],Boletim[[#This Row],[Objeto]],1),Tabela2[Palavras-Chave])</f>
        <v>EFICIÊNCIA</v>
      </c>
    </row>
    <row r="100" spans="1:11" ht="100.8" hidden="1" x14ac:dyDescent="0.3">
      <c r="A100" s="5">
        <v>18809987</v>
      </c>
      <c r="B100" s="6" t="s">
        <v>259</v>
      </c>
      <c r="C100" s="6" t="s">
        <v>260</v>
      </c>
      <c r="D100" s="8" t="s">
        <v>66</v>
      </c>
      <c r="E100" s="6" t="s">
        <v>1028</v>
      </c>
      <c r="F100" s="6" t="s">
        <v>51</v>
      </c>
      <c r="G100" s="11" t="s">
        <v>56</v>
      </c>
      <c r="H100" s="10" t="s">
        <v>1029</v>
      </c>
      <c r="I100" s="6" t="s">
        <v>1009</v>
      </c>
      <c r="J100" s="12">
        <v>46121.707870370374</v>
      </c>
      <c r="K100" s="6" t="e" cm="1">
        <f t="array" ref="K100">LOOKUP(2^15,SEARCH(Tabela2[Palavras-Chave],Boletim[[#This Row],[Objeto]],1),Tabela2[Palavras-Chave])</f>
        <v>#N/A</v>
      </c>
    </row>
    <row r="101" spans="1:11" ht="28.8" x14ac:dyDescent="0.3">
      <c r="A101" s="5">
        <v>18809981</v>
      </c>
      <c r="B101" s="6" t="s">
        <v>99</v>
      </c>
      <c r="C101" s="6" t="s">
        <v>65</v>
      </c>
      <c r="D101" s="8" t="s">
        <v>66</v>
      </c>
      <c r="E101" s="6" t="s">
        <v>1030</v>
      </c>
      <c r="F101" s="6" t="s">
        <v>51</v>
      </c>
      <c r="G101" s="11" t="s">
        <v>56</v>
      </c>
      <c r="H101" s="10" t="s">
        <v>1031</v>
      </c>
      <c r="I101" s="6" t="s">
        <v>1032</v>
      </c>
      <c r="J101" s="12">
        <v>46121.708495370367</v>
      </c>
      <c r="K101" s="6" t="str" cm="1">
        <f t="array" ref="K101">LOOKUP(2^15,SEARCH(Tabela2[Palavras-Chave],Boletim[[#This Row],[Objeto]],1),Tabela2[Palavras-Chave])</f>
        <v>RESERVAT</v>
      </c>
    </row>
    <row r="102" spans="1:11" hidden="1" x14ac:dyDescent="0.3">
      <c r="A102" s="5">
        <v>18807592</v>
      </c>
      <c r="B102" s="6" t="s">
        <v>99</v>
      </c>
      <c r="C102" s="6" t="s">
        <v>65</v>
      </c>
      <c r="D102" s="8" t="s">
        <v>66</v>
      </c>
      <c r="E102" s="6" t="s">
        <v>1033</v>
      </c>
      <c r="F102" s="6" t="s">
        <v>51</v>
      </c>
      <c r="G102" s="11" t="s">
        <v>56</v>
      </c>
      <c r="H102" s="10" t="s">
        <v>597</v>
      </c>
      <c r="I102" s="6" t="s">
        <v>132</v>
      </c>
      <c r="J102" s="12">
        <v>46121.722372685188</v>
      </c>
      <c r="K102" s="6" t="e" cm="1">
        <f t="array" ref="K102">LOOKUP(2^15,SEARCH(Tabela2[Palavras-Chave],Boletim[[#This Row],[Objeto]],1),Tabela2[Palavras-Chave])</f>
        <v>#N/A</v>
      </c>
    </row>
    <row r="103" spans="1:11" hidden="1" x14ac:dyDescent="0.3">
      <c r="A103" s="5">
        <v>18807507</v>
      </c>
      <c r="B103" s="6" t="s">
        <v>99</v>
      </c>
      <c r="C103" s="6" t="s">
        <v>65</v>
      </c>
      <c r="D103" s="8" t="s">
        <v>66</v>
      </c>
      <c r="E103" s="6" t="s">
        <v>1034</v>
      </c>
      <c r="F103" s="6" t="s">
        <v>51</v>
      </c>
      <c r="G103" s="11" t="s">
        <v>56</v>
      </c>
      <c r="H103" s="10" t="s">
        <v>1035</v>
      </c>
      <c r="I103" s="6" t="s">
        <v>132</v>
      </c>
      <c r="J103" s="12">
        <v>46121.725370370368</v>
      </c>
      <c r="K103" s="6" t="e" cm="1">
        <f t="array" ref="K103">LOOKUP(2^15,SEARCH(Tabela2[Palavras-Chave],Boletim[[#This Row],[Objeto]],1),Tabela2[Palavras-Chave])</f>
        <v>#N/A</v>
      </c>
    </row>
    <row r="104" spans="1:11" ht="403.2" hidden="1" x14ac:dyDescent="0.3">
      <c r="A104" s="5">
        <v>18809774</v>
      </c>
      <c r="B104" s="6" t="s">
        <v>1036</v>
      </c>
      <c r="C104" s="6" t="s">
        <v>440</v>
      </c>
      <c r="D104" s="8" t="s">
        <v>66</v>
      </c>
      <c r="E104" s="6" t="s">
        <v>139</v>
      </c>
      <c r="F104" s="6" t="s">
        <v>51</v>
      </c>
      <c r="G104" s="11">
        <v>46128.333333333336</v>
      </c>
      <c r="H104" s="10" t="s">
        <v>1037</v>
      </c>
      <c r="I104" s="6" t="s">
        <v>1038</v>
      </c>
      <c r="J104" s="12">
        <v>46121.752916666665</v>
      </c>
      <c r="K104" s="6" t="e" cm="1">
        <f t="array" ref="K104">LOOKUP(2^15,SEARCH(Tabela2[Palavras-Chave],Boletim[[#This Row],[Objeto]],1),Tabela2[Palavras-Chave])</f>
        <v>#N/A</v>
      </c>
    </row>
    <row r="105" spans="1:11" ht="115.2" hidden="1" x14ac:dyDescent="0.3">
      <c r="A105" s="5">
        <v>18791068</v>
      </c>
      <c r="B105" s="6" t="s">
        <v>1039</v>
      </c>
      <c r="C105" s="6" t="s">
        <v>219</v>
      </c>
      <c r="D105" s="8" t="s">
        <v>66</v>
      </c>
      <c r="E105" s="6" t="s">
        <v>1040</v>
      </c>
      <c r="F105" s="6" t="s">
        <v>51</v>
      </c>
      <c r="G105" s="11">
        <v>46125.333333333336</v>
      </c>
      <c r="H105" s="10" t="s">
        <v>1041</v>
      </c>
      <c r="I105" s="6" t="s">
        <v>1042</v>
      </c>
      <c r="J105" s="12">
        <v>46121.758344907408</v>
      </c>
      <c r="K105" s="6" t="e" cm="1">
        <f t="array" ref="K105">LOOKUP(2^15,SEARCH(Tabela2[Palavras-Chave],Boletim[[#This Row],[Objeto]],1),Tabela2[Palavras-Chave])</f>
        <v>#N/A</v>
      </c>
    </row>
    <row r="106" spans="1:11" hidden="1" x14ac:dyDescent="0.3">
      <c r="A106" s="5">
        <v>18807374</v>
      </c>
      <c r="B106" s="6" t="s">
        <v>99</v>
      </c>
      <c r="C106" s="6" t="s">
        <v>65</v>
      </c>
      <c r="D106" s="8" t="s">
        <v>66</v>
      </c>
      <c r="E106" s="6" t="s">
        <v>1043</v>
      </c>
      <c r="F106" s="6" t="s">
        <v>51</v>
      </c>
      <c r="G106" s="11" t="s">
        <v>56</v>
      </c>
      <c r="H106" s="10" t="s">
        <v>597</v>
      </c>
      <c r="I106" s="6" t="s">
        <v>132</v>
      </c>
      <c r="J106" s="12">
        <v>46121.758819444447</v>
      </c>
      <c r="K106" s="6" t="e" cm="1">
        <f t="array" ref="K106">LOOKUP(2^15,SEARCH(Tabela2[Palavras-Chave],Boletim[[#This Row],[Objeto]],1),Tabela2[Palavras-Chave])</f>
        <v>#N/A</v>
      </c>
    </row>
    <row r="107" spans="1:11" hidden="1" x14ac:dyDescent="0.3">
      <c r="A107" s="5">
        <v>18807369</v>
      </c>
      <c r="B107" s="6" t="s">
        <v>99</v>
      </c>
      <c r="C107" s="6" t="s">
        <v>65</v>
      </c>
      <c r="D107" s="8" t="s">
        <v>66</v>
      </c>
      <c r="E107" s="6" t="s">
        <v>1044</v>
      </c>
      <c r="F107" s="6" t="s">
        <v>51</v>
      </c>
      <c r="G107" s="11" t="s">
        <v>56</v>
      </c>
      <c r="H107" s="10" t="s">
        <v>597</v>
      </c>
      <c r="I107" s="6" t="s">
        <v>132</v>
      </c>
      <c r="J107" s="12">
        <v>46121.758923611109</v>
      </c>
      <c r="K107" s="6" t="e" cm="1">
        <f t="array" ref="K107">LOOKUP(2^15,SEARCH(Tabela2[Palavras-Chave],Boletim[[#This Row],[Objeto]],1),Tabela2[Palavras-Chave])</f>
        <v>#N/A</v>
      </c>
    </row>
    <row r="108" spans="1:11" ht="86.4" hidden="1" x14ac:dyDescent="0.3">
      <c r="A108" s="5">
        <v>18810848</v>
      </c>
      <c r="B108" s="6" t="s">
        <v>1045</v>
      </c>
      <c r="C108" s="6" t="s">
        <v>1046</v>
      </c>
      <c r="D108" s="8" t="s">
        <v>66</v>
      </c>
      <c r="E108" s="6" t="s">
        <v>607</v>
      </c>
      <c r="F108" s="6" t="s">
        <v>51</v>
      </c>
      <c r="G108" s="11">
        <v>46127.385416666664</v>
      </c>
      <c r="H108" s="10" t="s">
        <v>1047</v>
      </c>
      <c r="I108" s="6" t="s">
        <v>1048</v>
      </c>
      <c r="J108" s="12">
        <v>46121.828993055555</v>
      </c>
      <c r="K108" s="6" t="e" cm="1">
        <f t="array" ref="K108">LOOKUP(2^15,SEARCH(Tabela2[Palavras-Chave],Boletim[[#This Row],[Objeto]],1),Tabela2[Palavras-Chave])</f>
        <v>#N/A</v>
      </c>
    </row>
    <row r="109" spans="1:11" ht="100.8" hidden="1" x14ac:dyDescent="0.3">
      <c r="A109" s="5">
        <v>18810845</v>
      </c>
      <c r="B109" s="6" t="s">
        <v>1049</v>
      </c>
      <c r="C109" s="6" t="s">
        <v>1050</v>
      </c>
      <c r="D109" s="8" t="s">
        <v>66</v>
      </c>
      <c r="E109" s="6" t="s">
        <v>192</v>
      </c>
      <c r="F109" s="6" t="s">
        <v>51</v>
      </c>
      <c r="G109" s="11">
        <v>46129.333333333336</v>
      </c>
      <c r="H109" s="10" t="s">
        <v>1051</v>
      </c>
      <c r="I109" s="6" t="s">
        <v>1052</v>
      </c>
      <c r="J109" s="12">
        <v>46121.829247685186</v>
      </c>
      <c r="K109" s="6" t="e" cm="1">
        <f t="array" ref="K109">LOOKUP(2^15,SEARCH(Tabela2[Palavras-Chave],Boletim[[#This Row],[Objeto]],1),Tabela2[Palavras-Chave])</f>
        <v>#N/A</v>
      </c>
    </row>
    <row r="110" spans="1:11" ht="43.2" hidden="1" x14ac:dyDescent="0.3">
      <c r="A110" s="5">
        <v>18810936</v>
      </c>
      <c r="B110" s="6" t="s">
        <v>1053</v>
      </c>
      <c r="C110" s="6" t="s">
        <v>1054</v>
      </c>
      <c r="D110" s="8" t="s">
        <v>66</v>
      </c>
      <c r="E110" s="6" t="s">
        <v>129</v>
      </c>
      <c r="F110" s="6" t="s">
        <v>51</v>
      </c>
      <c r="G110" s="11">
        <v>46126.999305555553</v>
      </c>
      <c r="H110" s="10" t="s">
        <v>1055</v>
      </c>
      <c r="I110" s="6" t="s">
        <v>1056</v>
      </c>
      <c r="J110" s="12">
        <v>46121.840162037035</v>
      </c>
      <c r="K110" s="6" t="e" cm="1">
        <f t="array" ref="K110">LOOKUP(2^15,SEARCH(Tabela2[Palavras-Chave],Boletim[[#This Row],[Objeto]],1),Tabela2[Palavras-Chave])</f>
        <v>#N/A</v>
      </c>
    </row>
    <row r="111" spans="1:11" ht="43.2" hidden="1" x14ac:dyDescent="0.3">
      <c r="A111" s="5">
        <v>18810935</v>
      </c>
      <c r="B111" s="6" t="s">
        <v>1057</v>
      </c>
      <c r="C111" s="6" t="s">
        <v>1058</v>
      </c>
      <c r="D111" s="8" t="s">
        <v>66</v>
      </c>
      <c r="E111" s="6" t="s">
        <v>118</v>
      </c>
      <c r="F111" s="6" t="s">
        <v>51</v>
      </c>
      <c r="G111" s="11">
        <v>46127.541666666664</v>
      </c>
      <c r="H111" s="10" t="s">
        <v>1059</v>
      </c>
      <c r="I111" s="6" t="s">
        <v>1060</v>
      </c>
      <c r="J111" s="12">
        <v>46121.849502314813</v>
      </c>
      <c r="K111" s="6" t="e" cm="1">
        <f t="array" ref="K111">LOOKUP(2^15,SEARCH(Tabela2[Palavras-Chave],Boletim[[#This Row],[Objeto]],1),Tabela2[Palavras-Chave])</f>
        <v>#N/A</v>
      </c>
    </row>
    <row r="112" spans="1:11" ht="57.6" hidden="1" x14ac:dyDescent="0.3">
      <c r="A112" s="5">
        <v>18807213</v>
      </c>
      <c r="B112" s="6" t="s">
        <v>966</v>
      </c>
      <c r="C112" s="6" t="s">
        <v>65</v>
      </c>
      <c r="D112" s="8" t="s">
        <v>66</v>
      </c>
      <c r="E112" s="6" t="s">
        <v>1061</v>
      </c>
      <c r="F112" s="6" t="s">
        <v>51</v>
      </c>
      <c r="G112" s="11" t="s">
        <v>56</v>
      </c>
      <c r="H112" s="10" t="s">
        <v>1062</v>
      </c>
      <c r="I112" s="6" t="s">
        <v>1063</v>
      </c>
      <c r="J112" s="12">
        <v>46121.86204861111</v>
      </c>
      <c r="K112" s="6" t="e" cm="1">
        <f t="array" ref="K112">LOOKUP(2^15,SEARCH(Tabela2[Palavras-Chave],Boletim[[#This Row],[Objeto]],1),Tabela2[Palavras-Chave])</f>
        <v>#N/A</v>
      </c>
    </row>
    <row r="113" spans="1:11" ht="28.8" hidden="1" x14ac:dyDescent="0.3">
      <c r="A113" s="5">
        <v>18808181</v>
      </c>
      <c r="B113" s="6" t="s">
        <v>1064</v>
      </c>
      <c r="C113" s="6" t="s">
        <v>1065</v>
      </c>
      <c r="D113" s="8" t="s">
        <v>91</v>
      </c>
      <c r="E113" s="6" t="s">
        <v>379</v>
      </c>
      <c r="F113" s="6" t="s">
        <v>51</v>
      </c>
      <c r="G113" s="11">
        <v>46136.6875</v>
      </c>
      <c r="H113" s="10" t="s">
        <v>1066</v>
      </c>
      <c r="I113" s="6" t="s">
        <v>1067</v>
      </c>
      <c r="J113" s="12">
        <v>46121.781122685185</v>
      </c>
      <c r="K113" s="6" t="e" cm="1">
        <f t="array" ref="K113">LOOKUP(2^15,SEARCH(Tabela2[Palavras-Chave],Boletim[[#This Row],[Objeto]],1),Tabela2[Palavras-Chave])</f>
        <v>#N/A</v>
      </c>
    </row>
    <row r="114" spans="1:11" ht="86.4" hidden="1" x14ac:dyDescent="0.3">
      <c r="A114" s="5">
        <v>18804496</v>
      </c>
      <c r="B114" s="6" t="s">
        <v>347</v>
      </c>
      <c r="C114" s="6" t="s">
        <v>130</v>
      </c>
      <c r="D114" s="8" t="s">
        <v>68</v>
      </c>
      <c r="E114" s="6" t="s">
        <v>147</v>
      </c>
      <c r="F114" s="6" t="s">
        <v>51</v>
      </c>
      <c r="G114" s="11">
        <v>46126.458333333336</v>
      </c>
      <c r="H114" s="10" t="s">
        <v>348</v>
      </c>
      <c r="I114" s="6" t="s">
        <v>349</v>
      </c>
      <c r="J114" s="12">
        <v>46121.429895833331</v>
      </c>
      <c r="K114" s="6" t="e" cm="1">
        <f t="array" ref="K114">LOOKUP(2^15,SEARCH(Tabela2[Palavras-Chave],Boletim[[#This Row],[Objeto]],1),Tabela2[Palavras-Chave])</f>
        <v>#N/A</v>
      </c>
    </row>
    <row r="115" spans="1:11" ht="187.2" hidden="1" x14ac:dyDescent="0.3">
      <c r="A115" s="5">
        <v>18809482</v>
      </c>
      <c r="B115" s="6" t="s">
        <v>1068</v>
      </c>
      <c r="C115" s="6" t="s">
        <v>1069</v>
      </c>
      <c r="D115" s="8" t="s">
        <v>68</v>
      </c>
      <c r="E115" s="6" t="s">
        <v>1070</v>
      </c>
      <c r="F115" s="6" t="s">
        <v>51</v>
      </c>
      <c r="G115" s="11" t="s">
        <v>56</v>
      </c>
      <c r="H115" s="10" t="s">
        <v>1071</v>
      </c>
      <c r="I115" s="6" t="s">
        <v>1072</v>
      </c>
      <c r="J115" s="12">
        <v>46121.601817129631</v>
      </c>
      <c r="K115" s="6" t="e" cm="1">
        <f t="array" ref="K115">LOOKUP(2^15,SEARCH(Tabela2[Palavras-Chave],Boletim[[#This Row],[Objeto]],1),Tabela2[Palavras-Chave])</f>
        <v>#N/A</v>
      </c>
    </row>
    <row r="116" spans="1:11" ht="100.8" hidden="1" x14ac:dyDescent="0.3">
      <c r="A116" s="5">
        <v>18809274</v>
      </c>
      <c r="B116" s="6" t="s">
        <v>1073</v>
      </c>
      <c r="C116" s="6" t="s">
        <v>458</v>
      </c>
      <c r="D116" s="8" t="s">
        <v>68</v>
      </c>
      <c r="E116" s="6" t="s">
        <v>179</v>
      </c>
      <c r="F116" s="6" t="s">
        <v>51</v>
      </c>
      <c r="G116" s="11">
        <v>46125.5</v>
      </c>
      <c r="H116" s="10" t="s">
        <v>1074</v>
      </c>
      <c r="I116" s="6" t="s">
        <v>1075</v>
      </c>
      <c r="J116" s="12">
        <v>46121.690474537034</v>
      </c>
      <c r="K116" s="6" t="e" cm="1">
        <f t="array" ref="K116">LOOKUP(2^15,SEARCH(Tabela2[Palavras-Chave],Boletim[[#This Row],[Objeto]],1),Tabela2[Palavras-Chave])</f>
        <v>#N/A</v>
      </c>
    </row>
    <row r="117" spans="1:11" ht="100.8" hidden="1" x14ac:dyDescent="0.3">
      <c r="A117" s="5">
        <v>18809336</v>
      </c>
      <c r="B117" s="6" t="s">
        <v>1076</v>
      </c>
      <c r="C117" s="6" t="s">
        <v>130</v>
      </c>
      <c r="D117" s="8" t="s">
        <v>68</v>
      </c>
      <c r="E117" s="6" t="s">
        <v>161</v>
      </c>
      <c r="F117" s="6" t="s">
        <v>51</v>
      </c>
      <c r="G117" s="11">
        <v>46125.361111111109</v>
      </c>
      <c r="H117" s="10" t="s">
        <v>1077</v>
      </c>
      <c r="I117" s="6" t="s">
        <v>1078</v>
      </c>
      <c r="J117" s="12">
        <v>46121.718981481485</v>
      </c>
      <c r="K117" s="6" t="e" cm="1">
        <f t="array" ref="K117">LOOKUP(2^15,SEARCH(Tabela2[Palavras-Chave],Boletim[[#This Row],[Objeto]],1),Tabela2[Palavras-Chave])</f>
        <v>#N/A</v>
      </c>
    </row>
    <row r="118" spans="1:11" hidden="1" x14ac:dyDescent="0.3">
      <c r="A118" s="5">
        <v>18810119</v>
      </c>
      <c r="B118" s="6" t="s">
        <v>1079</v>
      </c>
      <c r="C118" s="6" t="s">
        <v>130</v>
      </c>
      <c r="D118" s="8" t="s">
        <v>68</v>
      </c>
      <c r="E118" s="6" t="s">
        <v>147</v>
      </c>
      <c r="F118" s="6" t="s">
        <v>51</v>
      </c>
      <c r="G118" s="11">
        <v>46125.354166666664</v>
      </c>
      <c r="H118" s="10" t="s">
        <v>1080</v>
      </c>
      <c r="I118" s="6" t="s">
        <v>1081</v>
      </c>
      <c r="J118" s="12">
        <v>46121.755497685182</v>
      </c>
      <c r="K118" s="6" t="e" cm="1">
        <f t="array" ref="K118">LOOKUP(2^15,SEARCH(Tabela2[Palavras-Chave],Boletim[[#This Row],[Objeto]],1),Tabela2[Palavras-Chave])</f>
        <v>#N/A</v>
      </c>
    </row>
    <row r="119" spans="1:11" ht="388.8" hidden="1" x14ac:dyDescent="0.3">
      <c r="A119" s="5">
        <v>18808712</v>
      </c>
      <c r="B119" s="6" t="s">
        <v>1082</v>
      </c>
      <c r="C119" s="6" t="s">
        <v>1083</v>
      </c>
      <c r="D119" s="8" t="s">
        <v>70</v>
      </c>
      <c r="E119" s="6" t="s">
        <v>191</v>
      </c>
      <c r="F119" s="6" t="s">
        <v>51</v>
      </c>
      <c r="G119" s="11" t="s">
        <v>56</v>
      </c>
      <c r="H119" s="10" t="s">
        <v>1084</v>
      </c>
      <c r="I119" s="6" t="s">
        <v>1085</v>
      </c>
      <c r="J119" s="12">
        <v>46121.557372685187</v>
      </c>
      <c r="K119" s="6" t="e" cm="1">
        <f t="array" ref="K119">LOOKUP(2^15,SEARCH(Tabela2[Palavras-Chave],Boletim[[#This Row],[Objeto]],1),Tabela2[Palavras-Chave])</f>
        <v>#N/A</v>
      </c>
    </row>
    <row r="120" spans="1:11" ht="86.4" hidden="1" x14ac:dyDescent="0.3">
      <c r="A120" s="5">
        <v>18806546</v>
      </c>
      <c r="B120" s="6" t="s">
        <v>1086</v>
      </c>
      <c r="C120" s="6" t="s">
        <v>1087</v>
      </c>
      <c r="D120" s="8" t="s">
        <v>70</v>
      </c>
      <c r="E120" s="6" t="s">
        <v>125</v>
      </c>
      <c r="F120" s="6" t="s">
        <v>51</v>
      </c>
      <c r="G120" s="11">
        <v>46125.999305555553</v>
      </c>
      <c r="H120" s="10" t="s">
        <v>1088</v>
      </c>
      <c r="I120" s="6" t="s">
        <v>1089</v>
      </c>
      <c r="J120" s="12">
        <v>46121.581250000003</v>
      </c>
      <c r="K120" s="6" t="e" cm="1">
        <f t="array" ref="K120">LOOKUP(2^15,SEARCH(Tabela2[Palavras-Chave],Boletim[[#This Row],[Objeto]],1),Tabela2[Palavras-Chave])</f>
        <v>#N/A</v>
      </c>
    </row>
    <row r="121" spans="1:11" ht="100.8" hidden="1" x14ac:dyDescent="0.3">
      <c r="A121" s="5">
        <v>18809104</v>
      </c>
      <c r="B121" s="6" t="s">
        <v>350</v>
      </c>
      <c r="C121" s="6" t="s">
        <v>69</v>
      </c>
      <c r="D121" s="8" t="s">
        <v>70</v>
      </c>
      <c r="E121" s="6" t="s">
        <v>1090</v>
      </c>
      <c r="F121" s="6" t="s">
        <v>51</v>
      </c>
      <c r="G121" s="11">
        <v>46122.597222222219</v>
      </c>
      <c r="H121" s="10" t="s">
        <v>1091</v>
      </c>
      <c r="I121" s="6" t="s">
        <v>1092</v>
      </c>
      <c r="J121" s="12">
        <v>46121.693449074075</v>
      </c>
      <c r="K121" s="6" t="e" cm="1">
        <f t="array" ref="K121">LOOKUP(2^15,SEARCH(Tabela2[Palavras-Chave],Boletim[[#This Row],[Objeto]],1),Tabela2[Palavras-Chave])</f>
        <v>#N/A</v>
      </c>
    </row>
    <row r="122" spans="1:11" ht="100.8" hidden="1" x14ac:dyDescent="0.3">
      <c r="A122" s="5">
        <v>18807536</v>
      </c>
      <c r="B122" s="6" t="s">
        <v>1093</v>
      </c>
      <c r="C122" s="6" t="s">
        <v>1094</v>
      </c>
      <c r="D122" s="8" t="s">
        <v>71</v>
      </c>
      <c r="E122" s="6" t="s">
        <v>957</v>
      </c>
      <c r="F122" s="6" t="s">
        <v>51</v>
      </c>
      <c r="G122" s="11">
        <v>46125.541666666664</v>
      </c>
      <c r="H122" s="10" t="s">
        <v>1095</v>
      </c>
      <c r="I122" s="6" t="s">
        <v>1096</v>
      </c>
      <c r="J122" s="12">
        <v>46121.509085648147</v>
      </c>
      <c r="K122" s="6" t="e" cm="1">
        <f t="array" ref="K122">LOOKUP(2^15,SEARCH(Tabela2[Palavras-Chave],Boletim[[#This Row],[Objeto]],1),Tabela2[Palavras-Chave])</f>
        <v>#N/A</v>
      </c>
    </row>
    <row r="123" spans="1:11" ht="72" hidden="1" x14ac:dyDescent="0.3">
      <c r="A123" s="5">
        <v>18772098</v>
      </c>
      <c r="B123" s="6" t="s">
        <v>74</v>
      </c>
      <c r="C123" s="6" t="s">
        <v>73</v>
      </c>
      <c r="D123" s="8" t="s">
        <v>72</v>
      </c>
      <c r="E123" s="6" t="s">
        <v>960</v>
      </c>
      <c r="F123" s="6" t="s">
        <v>51</v>
      </c>
      <c r="G123" s="11" t="s">
        <v>56</v>
      </c>
      <c r="H123" s="10" t="s">
        <v>961</v>
      </c>
      <c r="I123" s="6" t="s">
        <v>962</v>
      </c>
      <c r="J123" s="12">
        <v>46121.440347222226</v>
      </c>
      <c r="K123" s="6" t="e" cm="1">
        <f t="array" ref="K123">LOOKUP(2^15,SEARCH(Tabela2[Palavras-Chave],Boletim[[#This Row],[Objeto]],1),Tabela2[Palavras-Chave])</f>
        <v>#N/A</v>
      </c>
    </row>
    <row r="124" spans="1:11" ht="100.8" hidden="1" x14ac:dyDescent="0.3">
      <c r="A124" s="5">
        <v>18806748</v>
      </c>
      <c r="B124" s="6" t="s">
        <v>1097</v>
      </c>
      <c r="C124" s="6" t="s">
        <v>200</v>
      </c>
      <c r="D124" s="8" t="s">
        <v>72</v>
      </c>
      <c r="E124" s="6" t="s">
        <v>904</v>
      </c>
      <c r="F124" s="6" t="s">
        <v>51</v>
      </c>
      <c r="G124" s="11">
        <v>46125.333333333336</v>
      </c>
      <c r="H124" s="10" t="s">
        <v>1098</v>
      </c>
      <c r="I124" s="6" t="s">
        <v>1099</v>
      </c>
      <c r="J124" s="12">
        <v>46121.575798611113</v>
      </c>
      <c r="K124" s="6" t="e" cm="1">
        <f t="array" ref="K124">LOOKUP(2^15,SEARCH(Tabela2[Palavras-Chave],Boletim[[#This Row],[Objeto]],1),Tabela2[Palavras-Chave])</f>
        <v>#N/A</v>
      </c>
    </row>
    <row r="125" spans="1:11" ht="216" hidden="1" x14ac:dyDescent="0.3">
      <c r="A125" s="5">
        <v>18809682</v>
      </c>
      <c r="B125" s="6" t="s">
        <v>1100</v>
      </c>
      <c r="C125" s="6" t="s">
        <v>1101</v>
      </c>
      <c r="D125" s="8" t="s">
        <v>72</v>
      </c>
      <c r="E125" s="6" t="s">
        <v>1102</v>
      </c>
      <c r="F125" s="6" t="s">
        <v>51</v>
      </c>
      <c r="G125" s="11" t="s">
        <v>56</v>
      </c>
      <c r="H125" s="10" t="s">
        <v>1103</v>
      </c>
      <c r="I125" s="6" t="s">
        <v>1104</v>
      </c>
      <c r="J125" s="12">
        <v>46121.618136574078</v>
      </c>
      <c r="K125" s="6" t="e" cm="1">
        <f t="array" ref="K125">LOOKUP(2^15,SEARCH(Tabela2[Palavras-Chave],Boletim[[#This Row],[Objeto]],1),Tabela2[Palavras-Chave])</f>
        <v>#N/A</v>
      </c>
    </row>
    <row r="126" spans="1:11" ht="115.2" hidden="1" x14ac:dyDescent="0.3">
      <c r="A126" s="5">
        <v>18806780</v>
      </c>
      <c r="B126" s="6" t="s">
        <v>1097</v>
      </c>
      <c r="C126" s="6" t="s">
        <v>200</v>
      </c>
      <c r="D126" s="8" t="s">
        <v>72</v>
      </c>
      <c r="E126" s="6" t="s">
        <v>329</v>
      </c>
      <c r="F126" s="6" t="s">
        <v>51</v>
      </c>
      <c r="G126" s="11">
        <v>46125.333333333336</v>
      </c>
      <c r="H126" s="10" t="s">
        <v>1105</v>
      </c>
      <c r="I126" s="6" t="s">
        <v>1106</v>
      </c>
      <c r="J126" s="12">
        <v>46121.775879629633</v>
      </c>
      <c r="K126" s="6" t="e" cm="1">
        <f t="array" ref="K126">LOOKUP(2^15,SEARCH(Tabela2[Palavras-Chave],Boletim[[#This Row],[Objeto]],1),Tabela2[Palavras-Chave])</f>
        <v>#N/A</v>
      </c>
    </row>
    <row r="127" spans="1:11" ht="115.2" hidden="1" x14ac:dyDescent="0.3">
      <c r="A127" s="5">
        <v>18806085</v>
      </c>
      <c r="B127" s="6" t="s">
        <v>605</v>
      </c>
      <c r="C127" s="6" t="s">
        <v>606</v>
      </c>
      <c r="D127" s="8" t="s">
        <v>72</v>
      </c>
      <c r="E127" s="6" t="s">
        <v>105</v>
      </c>
      <c r="F127" s="6" t="s">
        <v>51</v>
      </c>
      <c r="G127" s="11">
        <v>46125.333333333336</v>
      </c>
      <c r="H127" s="10" t="s">
        <v>1107</v>
      </c>
      <c r="I127" s="6" t="s">
        <v>1108</v>
      </c>
      <c r="J127" s="12">
        <v>46121.821111111109</v>
      </c>
      <c r="K127" s="6" t="e" cm="1">
        <f t="array" ref="K127">LOOKUP(2^15,SEARCH(Tabela2[Palavras-Chave],Boletim[[#This Row],[Objeto]],1),Tabela2[Palavras-Chave])</f>
        <v>#N/A</v>
      </c>
    </row>
    <row r="128" spans="1:11" ht="43.2" hidden="1" x14ac:dyDescent="0.3">
      <c r="A128" s="5">
        <v>18746604</v>
      </c>
      <c r="B128" s="6" t="s">
        <v>74</v>
      </c>
      <c r="C128" s="6" t="s">
        <v>75</v>
      </c>
      <c r="D128" s="8" t="s">
        <v>76</v>
      </c>
      <c r="E128" s="6" t="s">
        <v>1109</v>
      </c>
      <c r="F128" s="6" t="s">
        <v>51</v>
      </c>
      <c r="G128" s="11" t="s">
        <v>56</v>
      </c>
      <c r="H128" s="10" t="s">
        <v>1110</v>
      </c>
      <c r="I128" s="6" t="s">
        <v>1111</v>
      </c>
      <c r="J128" s="12">
        <v>46121.436145833337</v>
      </c>
      <c r="K128" s="6" t="e" cm="1">
        <f t="array" ref="K128">LOOKUP(2^15,SEARCH(Tabela2[Palavras-Chave],Boletim[[#This Row],[Objeto]],1),Tabela2[Palavras-Chave])</f>
        <v>#N/A</v>
      </c>
    </row>
    <row r="129" spans="1:11" ht="43.2" hidden="1" x14ac:dyDescent="0.3">
      <c r="A129" s="5">
        <v>18726123</v>
      </c>
      <c r="B129" s="6" t="s">
        <v>74</v>
      </c>
      <c r="C129" s="6" t="s">
        <v>75</v>
      </c>
      <c r="D129" s="8" t="s">
        <v>76</v>
      </c>
      <c r="E129" s="6" t="s">
        <v>1112</v>
      </c>
      <c r="F129" s="6" t="s">
        <v>51</v>
      </c>
      <c r="G129" s="11" t="s">
        <v>56</v>
      </c>
      <c r="H129" s="10" t="s">
        <v>1113</v>
      </c>
      <c r="I129" s="6" t="s">
        <v>1114</v>
      </c>
      <c r="J129" s="12">
        <v>46121.437569444446</v>
      </c>
      <c r="K129" s="6" t="e" cm="1">
        <f t="array" ref="K129">LOOKUP(2^15,SEARCH(Tabela2[Palavras-Chave],Boletim[[#This Row],[Objeto]],1),Tabela2[Palavras-Chave])</f>
        <v>#N/A</v>
      </c>
    </row>
    <row r="130" spans="1:11" ht="100.8" hidden="1" x14ac:dyDescent="0.3">
      <c r="A130" s="5">
        <v>18806660</v>
      </c>
      <c r="B130" s="6" t="s">
        <v>1115</v>
      </c>
      <c r="C130" s="6" t="s">
        <v>190</v>
      </c>
      <c r="D130" s="8" t="s">
        <v>76</v>
      </c>
      <c r="E130" s="6" t="s">
        <v>1116</v>
      </c>
      <c r="F130" s="6" t="s">
        <v>51</v>
      </c>
      <c r="G130" s="11">
        <v>46126.333333333336</v>
      </c>
      <c r="H130" s="10" t="s">
        <v>1117</v>
      </c>
      <c r="I130" s="6" t="s">
        <v>1118</v>
      </c>
      <c r="J130" s="12">
        <v>46121.435740740744</v>
      </c>
      <c r="K130" s="6" t="e" cm="1">
        <f t="array" ref="K130">LOOKUP(2^15,SEARCH(Tabela2[Palavras-Chave],Boletim[[#This Row],[Objeto]],1),Tabela2[Palavras-Chave])</f>
        <v>#N/A</v>
      </c>
    </row>
    <row r="131" spans="1:11" ht="72" x14ac:dyDescent="0.3">
      <c r="A131" s="13">
        <v>18730553</v>
      </c>
      <c r="B131" s="10" t="s">
        <v>74</v>
      </c>
      <c r="C131" s="10" t="s">
        <v>75</v>
      </c>
      <c r="D131" s="15" t="s">
        <v>76</v>
      </c>
      <c r="E131" s="10" t="s">
        <v>1119</v>
      </c>
      <c r="F131" s="10" t="s">
        <v>51</v>
      </c>
      <c r="G131" s="16" t="s">
        <v>56</v>
      </c>
      <c r="H131" s="10" t="s">
        <v>1120</v>
      </c>
      <c r="I131" s="10" t="s">
        <v>1121</v>
      </c>
      <c r="J131" s="17">
        <v>46121.438240740739</v>
      </c>
      <c r="K131" s="6" t="str" cm="1">
        <f t="array" ref="K131">LOOKUP(2^15,SEARCH(Tabela2[Palavras-Chave],Boletim[[#This Row],[Objeto]],1),Tabela2[Palavras-Chave])</f>
        <v>TANQUE</v>
      </c>
    </row>
    <row r="132" spans="1:11" ht="72" hidden="1" x14ac:dyDescent="0.3">
      <c r="A132" s="5">
        <v>18755506</v>
      </c>
      <c r="B132" s="6" t="s">
        <v>74</v>
      </c>
      <c r="C132" s="6" t="s">
        <v>75</v>
      </c>
      <c r="D132" s="8" t="s">
        <v>76</v>
      </c>
      <c r="E132" s="6" t="s">
        <v>1122</v>
      </c>
      <c r="F132" s="6" t="s">
        <v>51</v>
      </c>
      <c r="G132" s="11" t="s">
        <v>56</v>
      </c>
      <c r="H132" s="10" t="s">
        <v>1123</v>
      </c>
      <c r="I132" s="6" t="s">
        <v>1124</v>
      </c>
      <c r="J132" s="12">
        <v>46121.437638888892</v>
      </c>
      <c r="K132" s="6" t="e" cm="1">
        <f t="array" ref="K132">LOOKUP(2^15,SEARCH(Tabela2[Palavras-Chave],Boletim[[#This Row],[Objeto]],1),Tabela2[Palavras-Chave])</f>
        <v>#N/A</v>
      </c>
    </row>
    <row r="133" spans="1:11" ht="72" hidden="1" x14ac:dyDescent="0.3">
      <c r="A133" s="5">
        <v>18769996</v>
      </c>
      <c r="B133" s="6" t="s">
        <v>74</v>
      </c>
      <c r="C133" s="6" t="s">
        <v>75</v>
      </c>
      <c r="D133" s="8" t="s">
        <v>76</v>
      </c>
      <c r="E133" s="6" t="s">
        <v>734</v>
      </c>
      <c r="F133" s="6" t="s">
        <v>51</v>
      </c>
      <c r="G133" s="11" t="s">
        <v>56</v>
      </c>
      <c r="H133" s="10" t="s">
        <v>735</v>
      </c>
      <c r="I133" s="6" t="s">
        <v>736</v>
      </c>
      <c r="J133" s="12">
        <v>46121.437743055554</v>
      </c>
      <c r="K133" s="6" t="e" cm="1">
        <f t="array" ref="K133">LOOKUP(2^15,SEARCH(Tabela2[Palavras-Chave],Boletim[[#This Row],[Objeto]],1),Tabela2[Palavras-Chave])</f>
        <v>#N/A</v>
      </c>
    </row>
    <row r="134" spans="1:11" ht="72" hidden="1" x14ac:dyDescent="0.3">
      <c r="A134" s="5">
        <v>18772095</v>
      </c>
      <c r="B134" s="6" t="s">
        <v>74</v>
      </c>
      <c r="C134" s="6" t="s">
        <v>75</v>
      </c>
      <c r="D134" s="8" t="s">
        <v>76</v>
      </c>
      <c r="E134" s="6" t="s">
        <v>960</v>
      </c>
      <c r="F134" s="6" t="s">
        <v>51</v>
      </c>
      <c r="G134" s="11" t="s">
        <v>56</v>
      </c>
      <c r="H134" s="10" t="s">
        <v>961</v>
      </c>
      <c r="I134" s="6" t="s">
        <v>962</v>
      </c>
      <c r="J134" s="12">
        <v>46121.438217592593</v>
      </c>
      <c r="K134" s="6" t="e" cm="1">
        <f t="array" ref="K134">LOOKUP(2^15,SEARCH(Tabela2[Palavras-Chave],Boletim[[#This Row],[Objeto]],1),Tabela2[Palavras-Chave])</f>
        <v>#N/A</v>
      </c>
    </row>
    <row r="135" spans="1:11" ht="72" hidden="1" x14ac:dyDescent="0.3">
      <c r="A135" s="5">
        <v>18775137</v>
      </c>
      <c r="B135" s="6" t="s">
        <v>74</v>
      </c>
      <c r="C135" s="6" t="s">
        <v>75</v>
      </c>
      <c r="D135" s="8" t="s">
        <v>76</v>
      </c>
      <c r="E135" s="6" t="s">
        <v>1125</v>
      </c>
      <c r="F135" s="6" t="s">
        <v>51</v>
      </c>
      <c r="G135" s="11" t="s">
        <v>56</v>
      </c>
      <c r="H135" s="10" t="s">
        <v>1126</v>
      </c>
      <c r="I135" s="6" t="s">
        <v>1127</v>
      </c>
      <c r="J135" s="12">
        <v>46121.43822916667</v>
      </c>
      <c r="K135" s="6" t="e" cm="1">
        <f t="array" ref="K135">LOOKUP(2^15,SEARCH(Tabela2[Palavras-Chave],Boletim[[#This Row],[Objeto]],1),Tabela2[Palavras-Chave])</f>
        <v>#N/A</v>
      </c>
    </row>
    <row r="136" spans="1:11" ht="43.2" hidden="1" x14ac:dyDescent="0.3">
      <c r="A136" s="5">
        <v>18780366</v>
      </c>
      <c r="B136" s="6" t="s">
        <v>74</v>
      </c>
      <c r="C136" s="6" t="s">
        <v>75</v>
      </c>
      <c r="D136" s="8" t="s">
        <v>76</v>
      </c>
      <c r="E136" s="6" t="s">
        <v>1128</v>
      </c>
      <c r="F136" s="6" t="s">
        <v>51</v>
      </c>
      <c r="G136" s="11" t="s">
        <v>56</v>
      </c>
      <c r="H136" s="10" t="s">
        <v>1129</v>
      </c>
      <c r="I136" s="6" t="s">
        <v>1114</v>
      </c>
      <c r="J136" s="12">
        <v>46121.441006944442</v>
      </c>
      <c r="K136" s="6" t="e" cm="1">
        <f t="array" ref="K136">LOOKUP(2^15,SEARCH(Tabela2[Palavras-Chave],Boletim[[#This Row],[Objeto]],1),Tabela2[Palavras-Chave])</f>
        <v>#N/A</v>
      </c>
    </row>
    <row r="137" spans="1:11" ht="72" hidden="1" x14ac:dyDescent="0.3">
      <c r="A137" s="5">
        <v>18780361</v>
      </c>
      <c r="B137" s="6" t="s">
        <v>74</v>
      </c>
      <c r="C137" s="6" t="s">
        <v>75</v>
      </c>
      <c r="D137" s="8" t="s">
        <v>76</v>
      </c>
      <c r="E137" s="6" t="s">
        <v>1130</v>
      </c>
      <c r="F137" s="6" t="s">
        <v>51</v>
      </c>
      <c r="G137" s="11" t="s">
        <v>56</v>
      </c>
      <c r="H137" s="10" t="s">
        <v>1131</v>
      </c>
      <c r="I137" s="6" t="s">
        <v>1132</v>
      </c>
      <c r="J137" s="12">
        <v>46121.438935185186</v>
      </c>
      <c r="K137" s="6" t="e" cm="1">
        <f t="array" ref="K137">LOOKUP(2^15,SEARCH(Tabela2[Palavras-Chave],Boletim[[#This Row],[Objeto]],1),Tabela2[Palavras-Chave])</f>
        <v>#N/A</v>
      </c>
    </row>
    <row r="138" spans="1:11" ht="43.2" hidden="1" x14ac:dyDescent="0.3">
      <c r="A138" s="5">
        <v>18784599</v>
      </c>
      <c r="B138" s="6" t="s">
        <v>74</v>
      </c>
      <c r="C138" s="6" t="s">
        <v>75</v>
      </c>
      <c r="D138" s="8" t="s">
        <v>76</v>
      </c>
      <c r="E138" s="6" t="s">
        <v>1133</v>
      </c>
      <c r="F138" s="6" t="s">
        <v>51</v>
      </c>
      <c r="G138" s="11" t="s">
        <v>56</v>
      </c>
      <c r="H138" s="10" t="s">
        <v>1134</v>
      </c>
      <c r="I138" s="6" t="s">
        <v>1135</v>
      </c>
      <c r="J138" s="12">
        <v>46121.438923611109</v>
      </c>
      <c r="K138" s="6" t="e" cm="1">
        <f t="array" ref="K138">LOOKUP(2^15,SEARCH(Tabela2[Palavras-Chave],Boletim[[#This Row],[Objeto]],1),Tabela2[Palavras-Chave])</f>
        <v>#N/A</v>
      </c>
    </row>
    <row r="139" spans="1:11" ht="72" hidden="1" x14ac:dyDescent="0.3">
      <c r="A139" s="5">
        <v>18760222</v>
      </c>
      <c r="B139" s="6" t="s">
        <v>74</v>
      </c>
      <c r="C139" s="6" t="s">
        <v>75</v>
      </c>
      <c r="D139" s="8" t="s">
        <v>76</v>
      </c>
      <c r="E139" s="6" t="s">
        <v>1136</v>
      </c>
      <c r="F139" s="6" t="s">
        <v>51</v>
      </c>
      <c r="G139" s="11" t="s">
        <v>56</v>
      </c>
      <c r="H139" s="10" t="s">
        <v>1137</v>
      </c>
      <c r="I139" s="6" t="s">
        <v>1138</v>
      </c>
      <c r="J139" s="12">
        <v>46121.441030092596</v>
      </c>
      <c r="K139" s="6" t="e" cm="1">
        <f t="array" ref="K139">LOOKUP(2^15,SEARCH(Tabela2[Palavras-Chave],Boletim[[#This Row],[Objeto]],1),Tabela2[Palavras-Chave])</f>
        <v>#N/A</v>
      </c>
    </row>
    <row r="140" spans="1:11" ht="72" hidden="1" x14ac:dyDescent="0.3">
      <c r="A140" s="5">
        <v>18770042</v>
      </c>
      <c r="B140" s="6" t="s">
        <v>74</v>
      </c>
      <c r="C140" s="6" t="s">
        <v>75</v>
      </c>
      <c r="D140" s="8" t="s">
        <v>76</v>
      </c>
      <c r="E140" s="6" t="s">
        <v>737</v>
      </c>
      <c r="F140" s="6" t="s">
        <v>51</v>
      </c>
      <c r="G140" s="11" t="s">
        <v>56</v>
      </c>
      <c r="H140" s="10" t="s">
        <v>738</v>
      </c>
      <c r="I140" s="6" t="s">
        <v>739</v>
      </c>
      <c r="J140" s="12">
        <v>46121.441006944442</v>
      </c>
      <c r="K140" s="6" t="e" cm="1">
        <f t="array" ref="K140">LOOKUP(2^15,SEARCH(Tabela2[Palavras-Chave],Boletim[[#This Row],[Objeto]],1),Tabela2[Palavras-Chave])</f>
        <v>#N/A</v>
      </c>
    </row>
    <row r="141" spans="1:11" ht="100.8" hidden="1" x14ac:dyDescent="0.3">
      <c r="A141" s="5">
        <v>18806627</v>
      </c>
      <c r="B141" s="6" t="s">
        <v>1115</v>
      </c>
      <c r="C141" s="6" t="s">
        <v>190</v>
      </c>
      <c r="D141" s="8" t="s">
        <v>76</v>
      </c>
      <c r="E141" s="6" t="s">
        <v>1139</v>
      </c>
      <c r="F141" s="6" t="s">
        <v>51</v>
      </c>
      <c r="G141" s="11">
        <v>46125.333333333336</v>
      </c>
      <c r="H141" s="10" t="s">
        <v>1140</v>
      </c>
      <c r="I141" s="6" t="s">
        <v>1141</v>
      </c>
      <c r="J141" s="12">
        <v>46121.452627314815</v>
      </c>
      <c r="K141" s="6" t="e" cm="1">
        <f t="array" ref="K141">LOOKUP(2^15,SEARCH(Tabela2[Palavras-Chave],Boletim[[#This Row],[Objeto]],1),Tabela2[Palavras-Chave])</f>
        <v>#N/A</v>
      </c>
    </row>
    <row r="142" spans="1:11" ht="57.6" hidden="1" x14ac:dyDescent="0.3">
      <c r="A142" s="5">
        <v>18807242</v>
      </c>
      <c r="B142" s="6" t="s">
        <v>234</v>
      </c>
      <c r="C142" s="6" t="s">
        <v>75</v>
      </c>
      <c r="D142" s="8" t="s">
        <v>76</v>
      </c>
      <c r="E142" s="6" t="s">
        <v>55</v>
      </c>
      <c r="F142" s="6" t="s">
        <v>51</v>
      </c>
      <c r="G142" s="11" t="s">
        <v>56</v>
      </c>
      <c r="H142" s="10" t="s">
        <v>1142</v>
      </c>
      <c r="I142" s="6" t="s">
        <v>1143</v>
      </c>
      <c r="J142" s="12">
        <v>46121.475046296298</v>
      </c>
      <c r="K142" s="6" t="e" cm="1">
        <f t="array" ref="K142">LOOKUP(2^15,SEARCH(Tabela2[Palavras-Chave],Boletim[[#This Row],[Objeto]],1),Tabela2[Palavras-Chave])</f>
        <v>#N/A</v>
      </c>
    </row>
    <row r="143" spans="1:11" ht="28.8" hidden="1" x14ac:dyDescent="0.3">
      <c r="A143" s="5">
        <v>18537155</v>
      </c>
      <c r="B143" s="6" t="s">
        <v>1144</v>
      </c>
      <c r="C143" s="6" t="s">
        <v>75</v>
      </c>
      <c r="D143" s="8" t="s">
        <v>76</v>
      </c>
      <c r="E143" s="6" t="s">
        <v>119</v>
      </c>
      <c r="F143" s="6" t="s">
        <v>51</v>
      </c>
      <c r="G143" s="11">
        <v>46125.375</v>
      </c>
      <c r="H143" s="10" t="s">
        <v>1145</v>
      </c>
      <c r="I143" s="6" t="s">
        <v>1146</v>
      </c>
      <c r="J143" s="12">
        <v>46121.497546296298</v>
      </c>
      <c r="K143" s="6" t="e" cm="1">
        <f t="array" ref="K143">LOOKUP(2^15,SEARCH(Tabela2[Palavras-Chave],Boletim[[#This Row],[Objeto]],1),Tabela2[Palavras-Chave])</f>
        <v>#N/A</v>
      </c>
    </row>
    <row r="144" spans="1:11" ht="28.8" hidden="1" x14ac:dyDescent="0.3">
      <c r="A144" s="5">
        <v>18803657</v>
      </c>
      <c r="B144" s="6" t="s">
        <v>359</v>
      </c>
      <c r="C144" s="6" t="s">
        <v>75</v>
      </c>
      <c r="D144" s="8" t="s">
        <v>76</v>
      </c>
      <c r="E144" s="6" t="s">
        <v>110</v>
      </c>
      <c r="F144" s="6" t="s">
        <v>51</v>
      </c>
      <c r="G144" s="11">
        <v>46125.375</v>
      </c>
      <c r="H144" s="10" t="s">
        <v>1147</v>
      </c>
      <c r="I144" s="6" t="s">
        <v>1148</v>
      </c>
      <c r="J144" s="12">
        <v>46121.498738425929</v>
      </c>
      <c r="K144" s="6" t="e" cm="1">
        <f t="array" ref="K144">LOOKUP(2^15,SEARCH(Tabela2[Palavras-Chave],Boletim[[#This Row],[Objeto]],1),Tabela2[Palavras-Chave])</f>
        <v>#N/A</v>
      </c>
    </row>
    <row r="145" spans="1:11" ht="57.6" hidden="1" x14ac:dyDescent="0.3">
      <c r="A145" s="5">
        <v>18807247</v>
      </c>
      <c r="B145" s="6" t="s">
        <v>1149</v>
      </c>
      <c r="C145" s="6" t="s">
        <v>312</v>
      </c>
      <c r="D145" s="8" t="s">
        <v>76</v>
      </c>
      <c r="E145" s="6" t="s">
        <v>1150</v>
      </c>
      <c r="F145" s="6" t="s">
        <v>51</v>
      </c>
      <c r="G145" s="11" t="s">
        <v>56</v>
      </c>
      <c r="H145" s="10" t="s">
        <v>1151</v>
      </c>
      <c r="I145" s="6" t="s">
        <v>1152</v>
      </c>
      <c r="J145" s="12">
        <v>46121.536145833335</v>
      </c>
      <c r="K145" s="6" t="e" cm="1">
        <f t="array" ref="K145">LOOKUP(2^15,SEARCH(Tabela2[Palavras-Chave],Boletim[[#This Row],[Objeto]],1),Tabela2[Palavras-Chave])</f>
        <v>#N/A</v>
      </c>
    </row>
    <row r="146" spans="1:11" ht="100.8" hidden="1" x14ac:dyDescent="0.3">
      <c r="A146" s="5">
        <v>18539292</v>
      </c>
      <c r="B146" s="6" t="s">
        <v>1153</v>
      </c>
      <c r="C146" s="6" t="s">
        <v>75</v>
      </c>
      <c r="D146" s="8" t="s">
        <v>76</v>
      </c>
      <c r="E146" s="6" t="s">
        <v>119</v>
      </c>
      <c r="F146" s="6" t="s">
        <v>51</v>
      </c>
      <c r="G146" s="11">
        <v>46125.374305555553</v>
      </c>
      <c r="H146" s="10" t="s">
        <v>1154</v>
      </c>
      <c r="I146" s="6" t="s">
        <v>1155</v>
      </c>
      <c r="J146" s="12">
        <v>46121.602268518516</v>
      </c>
      <c r="K146" s="6" t="e" cm="1">
        <f t="array" ref="K146">LOOKUP(2^15,SEARCH(Tabela2[Palavras-Chave],Boletim[[#This Row],[Objeto]],1),Tabela2[Palavras-Chave])</f>
        <v>#N/A</v>
      </c>
    </row>
    <row r="147" spans="1:11" ht="43.2" hidden="1" x14ac:dyDescent="0.3">
      <c r="A147" s="5">
        <v>18774692</v>
      </c>
      <c r="B147" s="6" t="s">
        <v>1156</v>
      </c>
      <c r="C147" s="6" t="s">
        <v>75</v>
      </c>
      <c r="D147" s="8" t="s">
        <v>76</v>
      </c>
      <c r="E147" s="6" t="s">
        <v>55</v>
      </c>
      <c r="F147" s="6" t="s">
        <v>51</v>
      </c>
      <c r="G147" s="11" t="s">
        <v>56</v>
      </c>
      <c r="H147" s="10" t="s">
        <v>1157</v>
      </c>
      <c r="I147" s="6" t="s">
        <v>138</v>
      </c>
      <c r="J147" s="12">
        <v>46121.604895833334</v>
      </c>
      <c r="K147" s="6" t="e" cm="1">
        <f t="array" ref="K147">LOOKUP(2^15,SEARCH(Tabela2[Palavras-Chave],Boletim[[#This Row],[Objeto]],1),Tabela2[Palavras-Chave])</f>
        <v>#N/A</v>
      </c>
    </row>
    <row r="148" spans="1:11" ht="100.8" hidden="1" x14ac:dyDescent="0.3">
      <c r="A148" s="5">
        <v>18806786</v>
      </c>
      <c r="B148" s="6" t="s">
        <v>1158</v>
      </c>
      <c r="C148" s="6" t="s">
        <v>75</v>
      </c>
      <c r="D148" s="8" t="s">
        <v>76</v>
      </c>
      <c r="E148" s="6" t="s">
        <v>1159</v>
      </c>
      <c r="F148" s="6" t="s">
        <v>51</v>
      </c>
      <c r="G148" s="11">
        <v>46125.333333333336</v>
      </c>
      <c r="H148" s="10" t="s">
        <v>1160</v>
      </c>
      <c r="I148" s="6" t="s">
        <v>1161</v>
      </c>
      <c r="J148" s="12">
        <v>46121.615324074075</v>
      </c>
      <c r="K148" s="6" t="e" cm="1">
        <f t="array" ref="K148">LOOKUP(2^15,SEARCH(Tabela2[Palavras-Chave],Boletim[[#This Row],[Objeto]],1),Tabela2[Palavras-Chave])</f>
        <v>#N/A</v>
      </c>
    </row>
    <row r="149" spans="1:11" ht="43.2" hidden="1" x14ac:dyDescent="0.3">
      <c r="A149" s="5">
        <v>18809092</v>
      </c>
      <c r="B149" s="6" t="s">
        <v>234</v>
      </c>
      <c r="C149" s="6" t="s">
        <v>75</v>
      </c>
      <c r="D149" s="8" t="s">
        <v>76</v>
      </c>
      <c r="E149" s="6" t="s">
        <v>1162</v>
      </c>
      <c r="F149" s="6" t="s">
        <v>51</v>
      </c>
      <c r="G149" s="11">
        <v>46122.666666666664</v>
      </c>
      <c r="H149" s="10" t="s">
        <v>1163</v>
      </c>
      <c r="I149" s="6" t="s">
        <v>169</v>
      </c>
      <c r="J149" s="12">
        <v>46121.650462962964</v>
      </c>
      <c r="K149" s="6" t="e" cm="1">
        <f t="array" ref="K149">LOOKUP(2^15,SEARCH(Tabela2[Palavras-Chave],Boletim[[#This Row],[Objeto]],1),Tabela2[Palavras-Chave])</f>
        <v>#N/A</v>
      </c>
    </row>
    <row r="150" spans="1:11" ht="72" hidden="1" x14ac:dyDescent="0.3">
      <c r="A150" s="5">
        <v>18712474</v>
      </c>
      <c r="B150" s="6" t="s">
        <v>74</v>
      </c>
      <c r="C150" s="6" t="s">
        <v>75</v>
      </c>
      <c r="D150" s="8" t="s">
        <v>76</v>
      </c>
      <c r="E150" s="6" t="s">
        <v>1164</v>
      </c>
      <c r="F150" s="6" t="s">
        <v>51</v>
      </c>
      <c r="G150" s="11" t="s">
        <v>56</v>
      </c>
      <c r="H150" s="10" t="s">
        <v>1165</v>
      </c>
      <c r="I150" s="6" t="s">
        <v>1166</v>
      </c>
      <c r="J150" s="12">
        <v>46121.681377314817</v>
      </c>
      <c r="K150" s="6" t="e" cm="1">
        <f t="array" ref="K150">LOOKUP(2^15,SEARCH(Tabela2[Palavras-Chave],Boletim[[#This Row],[Objeto]],1),Tabela2[Palavras-Chave])</f>
        <v>#N/A</v>
      </c>
    </row>
    <row r="151" spans="1:11" ht="72" hidden="1" x14ac:dyDescent="0.3">
      <c r="A151" s="5">
        <v>18722561</v>
      </c>
      <c r="B151" s="6" t="s">
        <v>74</v>
      </c>
      <c r="C151" s="6" t="s">
        <v>75</v>
      </c>
      <c r="D151" s="8" t="s">
        <v>76</v>
      </c>
      <c r="E151" s="6" t="s">
        <v>1167</v>
      </c>
      <c r="F151" s="6" t="s">
        <v>51</v>
      </c>
      <c r="G151" s="11" t="s">
        <v>56</v>
      </c>
      <c r="H151" s="10" t="s">
        <v>1168</v>
      </c>
      <c r="I151" s="6" t="s">
        <v>1169</v>
      </c>
      <c r="J151" s="12">
        <v>46121.684062499997</v>
      </c>
      <c r="K151" s="6" t="e" cm="1">
        <f t="array" ref="K151">LOOKUP(2^15,SEARCH(Tabela2[Palavras-Chave],Boletim[[#This Row],[Objeto]],1),Tabela2[Palavras-Chave])</f>
        <v>#N/A</v>
      </c>
    </row>
    <row r="152" spans="1:11" hidden="1" x14ac:dyDescent="0.3">
      <c r="A152" s="13">
        <v>18810061</v>
      </c>
      <c r="B152" s="10" t="s">
        <v>354</v>
      </c>
      <c r="C152" s="10" t="s">
        <v>75</v>
      </c>
      <c r="D152" s="15" t="s">
        <v>76</v>
      </c>
      <c r="E152" s="10" t="s">
        <v>1170</v>
      </c>
      <c r="F152" s="10" t="s">
        <v>51</v>
      </c>
      <c r="G152" s="16" t="s">
        <v>56</v>
      </c>
      <c r="H152" s="10" t="s">
        <v>1171</v>
      </c>
      <c r="I152" s="10" t="s">
        <v>186</v>
      </c>
      <c r="J152" s="17">
        <v>46121.704050925924</v>
      </c>
      <c r="K152" s="6" t="e" cm="1">
        <f t="array" ref="K152">LOOKUP(2^15,SEARCH(Tabela2[Palavras-Chave],Boletim[[#This Row],[Objeto]],1),Tabela2[Palavras-Chave])</f>
        <v>#N/A</v>
      </c>
    </row>
    <row r="153" spans="1:11" ht="100.8" hidden="1" x14ac:dyDescent="0.3">
      <c r="A153" s="5">
        <v>18810878</v>
      </c>
      <c r="B153" s="6" t="s">
        <v>1172</v>
      </c>
      <c r="C153" s="6" t="s">
        <v>1173</v>
      </c>
      <c r="D153" s="8" t="s">
        <v>76</v>
      </c>
      <c r="E153" s="6" t="s">
        <v>141</v>
      </c>
      <c r="F153" s="6" t="s">
        <v>51</v>
      </c>
      <c r="G153" s="11">
        <v>46127.333333333336</v>
      </c>
      <c r="H153" s="10" t="s">
        <v>1174</v>
      </c>
      <c r="I153" s="6" t="s">
        <v>1175</v>
      </c>
      <c r="J153" s="12">
        <v>46121.757928240739</v>
      </c>
      <c r="K153" s="6" t="e" cm="1">
        <f t="array" ref="K153">LOOKUP(2^15,SEARCH(Tabela2[Palavras-Chave],Boletim[[#This Row],[Objeto]],1),Tabela2[Palavras-Chave])</f>
        <v>#N/A</v>
      </c>
    </row>
    <row r="154" spans="1:11" ht="86.4" hidden="1" x14ac:dyDescent="0.3">
      <c r="A154" s="5">
        <v>18810827</v>
      </c>
      <c r="B154" s="6" t="s">
        <v>1176</v>
      </c>
      <c r="C154" s="6" t="s">
        <v>75</v>
      </c>
      <c r="D154" s="8" t="s">
        <v>76</v>
      </c>
      <c r="E154" s="6" t="s">
        <v>279</v>
      </c>
      <c r="F154" s="6" t="s">
        <v>51</v>
      </c>
      <c r="G154" s="11">
        <v>46126.333333333336</v>
      </c>
      <c r="H154" s="10" t="s">
        <v>1177</v>
      </c>
      <c r="I154" s="6" t="s">
        <v>1178</v>
      </c>
      <c r="J154" s="12">
        <v>46121.769525462965</v>
      </c>
      <c r="K154" s="6" t="e" cm="1">
        <f t="array" ref="K154">LOOKUP(2^15,SEARCH(Tabela2[Palavras-Chave],Boletim[[#This Row],[Objeto]],1),Tabela2[Palavras-Chave])</f>
        <v>#N/A</v>
      </c>
    </row>
    <row r="155" spans="1:11" ht="129.6" hidden="1" x14ac:dyDescent="0.3">
      <c r="A155" s="5">
        <v>18806733</v>
      </c>
      <c r="B155" s="6" t="s">
        <v>1179</v>
      </c>
      <c r="C155" s="6" t="s">
        <v>75</v>
      </c>
      <c r="D155" s="8" t="s">
        <v>76</v>
      </c>
      <c r="E155" s="6" t="s">
        <v>340</v>
      </c>
      <c r="F155" s="6" t="s">
        <v>51</v>
      </c>
      <c r="G155" s="11">
        <v>46125.333333333336</v>
      </c>
      <c r="H155" s="10" t="s">
        <v>1180</v>
      </c>
      <c r="I155" s="6" t="s">
        <v>1181</v>
      </c>
      <c r="J155" s="12">
        <v>46121.7891087963</v>
      </c>
      <c r="K155" s="6" t="e" cm="1">
        <f t="array" ref="K155">LOOKUP(2^15,SEARCH(Tabela2[Palavras-Chave],Boletim[[#This Row],[Objeto]],1),Tabela2[Palavras-Chave])</f>
        <v>#N/A</v>
      </c>
    </row>
    <row r="156" spans="1:11" ht="100.8" hidden="1" x14ac:dyDescent="0.3">
      <c r="A156" s="5">
        <v>18810865</v>
      </c>
      <c r="B156" s="6" t="s">
        <v>353</v>
      </c>
      <c r="C156" s="6" t="s">
        <v>75</v>
      </c>
      <c r="D156" s="8" t="s">
        <v>76</v>
      </c>
      <c r="E156" s="6" t="s">
        <v>1182</v>
      </c>
      <c r="F156" s="6" t="s">
        <v>51</v>
      </c>
      <c r="G156" s="11">
        <v>46126.333333333336</v>
      </c>
      <c r="H156" s="10" t="s">
        <v>1183</v>
      </c>
      <c r="I156" s="6" t="s">
        <v>1184</v>
      </c>
      <c r="J156" s="12">
        <v>46121.828449074077</v>
      </c>
      <c r="K156" s="6" t="e" cm="1">
        <f t="array" ref="K156">LOOKUP(2^15,SEARCH(Tabela2[Palavras-Chave],Boletim[[#This Row],[Objeto]],1),Tabela2[Palavras-Chave])</f>
        <v>#N/A</v>
      </c>
    </row>
    <row r="157" spans="1:11" ht="244.8" hidden="1" x14ac:dyDescent="0.3">
      <c r="A157" s="5">
        <v>18810844</v>
      </c>
      <c r="B157" s="6" t="s">
        <v>353</v>
      </c>
      <c r="C157" s="6" t="s">
        <v>75</v>
      </c>
      <c r="D157" s="8" t="s">
        <v>76</v>
      </c>
      <c r="E157" s="6" t="s">
        <v>274</v>
      </c>
      <c r="F157" s="6" t="s">
        <v>51</v>
      </c>
      <c r="G157" s="11">
        <v>46126.333333333336</v>
      </c>
      <c r="H157" s="10" t="s">
        <v>1185</v>
      </c>
      <c r="I157" s="6" t="s">
        <v>1186</v>
      </c>
      <c r="J157" s="12">
        <v>46121.829386574071</v>
      </c>
      <c r="K157" s="6" t="e" cm="1">
        <f t="array" ref="K157">LOOKUP(2^15,SEARCH(Tabela2[Palavras-Chave],Boletim[[#This Row],[Objeto]],1),Tabela2[Palavras-Chave])</f>
        <v>#N/A</v>
      </c>
    </row>
    <row r="158" spans="1:11" ht="187.2" hidden="1" x14ac:dyDescent="0.3">
      <c r="A158" s="5">
        <v>18808826</v>
      </c>
      <c r="B158" s="6" t="s">
        <v>246</v>
      </c>
      <c r="C158" s="6" t="s">
        <v>102</v>
      </c>
      <c r="D158" s="8" t="s">
        <v>77</v>
      </c>
      <c r="E158" s="6" t="s">
        <v>1187</v>
      </c>
      <c r="F158" s="6" t="s">
        <v>51</v>
      </c>
      <c r="G158" s="11" t="s">
        <v>56</v>
      </c>
      <c r="H158" s="10" t="s">
        <v>1188</v>
      </c>
      <c r="I158" s="6" t="s">
        <v>1189</v>
      </c>
      <c r="J158" s="12">
        <v>46121.709039351852</v>
      </c>
      <c r="K158" s="6" t="e" cm="1">
        <f t="array" ref="K158">LOOKUP(2^15,SEARCH(Tabela2[Palavras-Chave],Boletim[[#This Row],[Objeto]],1),Tabela2[Palavras-Chave])</f>
        <v>#N/A</v>
      </c>
    </row>
    <row r="159" spans="1:11" ht="100.8" hidden="1" x14ac:dyDescent="0.3">
      <c r="A159" s="5">
        <v>18806635</v>
      </c>
      <c r="B159" s="6" t="s">
        <v>1190</v>
      </c>
      <c r="C159" s="6" t="s">
        <v>102</v>
      </c>
      <c r="D159" s="8" t="s">
        <v>77</v>
      </c>
      <c r="E159" s="6" t="s">
        <v>1191</v>
      </c>
      <c r="F159" s="6" t="s">
        <v>51</v>
      </c>
      <c r="G159" s="11">
        <v>46126.333333333336</v>
      </c>
      <c r="H159" s="10" t="s">
        <v>1192</v>
      </c>
      <c r="I159" s="6" t="s">
        <v>1193</v>
      </c>
      <c r="J159" s="12">
        <v>46121.74796296296</v>
      </c>
      <c r="K159" s="6" t="e" cm="1">
        <f t="array" ref="K159">LOOKUP(2^15,SEARCH(Tabela2[Palavras-Chave],Boletim[[#This Row],[Objeto]],1),Tabela2[Palavras-Chave])</f>
        <v>#N/A</v>
      </c>
    </row>
    <row r="160" spans="1:11" ht="86.4" hidden="1" x14ac:dyDescent="0.3">
      <c r="A160" s="5">
        <v>18810853</v>
      </c>
      <c r="B160" s="6" t="s">
        <v>1194</v>
      </c>
      <c r="C160" s="6" t="s">
        <v>102</v>
      </c>
      <c r="D160" s="8" t="s">
        <v>77</v>
      </c>
      <c r="E160" s="6" t="s">
        <v>288</v>
      </c>
      <c r="F160" s="6" t="s">
        <v>51</v>
      </c>
      <c r="G160" s="11">
        <v>46126.458333333336</v>
      </c>
      <c r="H160" s="10" t="s">
        <v>1195</v>
      </c>
      <c r="I160" s="6" t="s">
        <v>1196</v>
      </c>
      <c r="J160" s="12">
        <v>46121.772928240738</v>
      </c>
      <c r="K160" s="6" t="e" cm="1">
        <f t="array" ref="K160">LOOKUP(2^15,SEARCH(Tabela2[Palavras-Chave],Boletim[[#This Row],[Objeto]],1),Tabela2[Palavras-Chave])</f>
        <v>#N/A</v>
      </c>
    </row>
    <row r="161" spans="1:11" ht="100.8" hidden="1" x14ac:dyDescent="0.3">
      <c r="A161" s="5">
        <v>18810822</v>
      </c>
      <c r="B161" s="6" t="s">
        <v>482</v>
      </c>
      <c r="C161" s="6" t="s">
        <v>313</v>
      </c>
      <c r="D161" s="8" t="s">
        <v>78</v>
      </c>
      <c r="E161" s="6" t="s">
        <v>364</v>
      </c>
      <c r="F161" s="6" t="s">
        <v>51</v>
      </c>
      <c r="G161" s="11">
        <v>46134.354166666664</v>
      </c>
      <c r="H161" s="10" t="s">
        <v>1197</v>
      </c>
      <c r="I161" s="6" t="s">
        <v>1198</v>
      </c>
      <c r="J161" s="12">
        <v>46121.773425925923</v>
      </c>
      <c r="K161" s="6" t="e" cm="1">
        <f t="array" ref="K161">LOOKUP(2^15,SEARCH(Tabela2[Palavras-Chave],Boletim[[#This Row],[Objeto]],1),Tabela2[Palavras-Chave])</f>
        <v>#N/A</v>
      </c>
    </row>
    <row r="162" spans="1:11" ht="72" x14ac:dyDescent="0.3">
      <c r="A162" s="13">
        <v>18730561</v>
      </c>
      <c r="B162" s="10" t="s">
        <v>74</v>
      </c>
      <c r="C162" s="10" t="s">
        <v>79</v>
      </c>
      <c r="D162" s="15" t="s">
        <v>80</v>
      </c>
      <c r="E162" s="10" t="s">
        <v>1119</v>
      </c>
      <c r="F162" s="10" t="s">
        <v>51</v>
      </c>
      <c r="G162" s="16" t="s">
        <v>56</v>
      </c>
      <c r="H162" s="10" t="s">
        <v>1120</v>
      </c>
      <c r="I162" s="10" t="s">
        <v>1121</v>
      </c>
      <c r="J162" s="17">
        <v>46121.439722222225</v>
      </c>
      <c r="K162" s="6" t="str" cm="1">
        <f t="array" ref="K162">LOOKUP(2^15,SEARCH(Tabela2[Palavras-Chave],Boletim[[#This Row],[Objeto]],1),Tabela2[Palavras-Chave])</f>
        <v>TANQUE</v>
      </c>
    </row>
    <row r="163" spans="1:11" ht="72" hidden="1" x14ac:dyDescent="0.3">
      <c r="A163" s="5">
        <v>18780362</v>
      </c>
      <c r="B163" s="6" t="s">
        <v>74</v>
      </c>
      <c r="C163" s="6" t="s">
        <v>79</v>
      </c>
      <c r="D163" s="8" t="s">
        <v>80</v>
      </c>
      <c r="E163" s="6" t="s">
        <v>1130</v>
      </c>
      <c r="F163" s="6" t="s">
        <v>51</v>
      </c>
      <c r="G163" s="11" t="s">
        <v>56</v>
      </c>
      <c r="H163" s="10" t="s">
        <v>1131</v>
      </c>
      <c r="I163" s="6" t="s">
        <v>1132</v>
      </c>
      <c r="J163" s="12">
        <v>46121.441018518519</v>
      </c>
      <c r="K163" s="6" t="e" cm="1">
        <f t="array" ref="K163">LOOKUP(2^15,SEARCH(Tabela2[Palavras-Chave],Boletim[[#This Row],[Objeto]],1),Tabela2[Palavras-Chave])</f>
        <v>#N/A</v>
      </c>
    </row>
    <row r="164" spans="1:11" ht="57.6" hidden="1" x14ac:dyDescent="0.3">
      <c r="A164" s="5">
        <v>18807234</v>
      </c>
      <c r="B164" s="6" t="s">
        <v>261</v>
      </c>
      <c r="C164" s="6" t="s">
        <v>79</v>
      </c>
      <c r="D164" s="8" t="s">
        <v>80</v>
      </c>
      <c r="E164" s="6" t="s">
        <v>1199</v>
      </c>
      <c r="F164" s="6" t="s">
        <v>51</v>
      </c>
      <c r="G164" s="11" t="s">
        <v>56</v>
      </c>
      <c r="H164" s="10" t="s">
        <v>1200</v>
      </c>
      <c r="I164" s="6" t="s">
        <v>1201</v>
      </c>
      <c r="J164" s="12">
        <v>46121.449976851851</v>
      </c>
      <c r="K164" s="6" t="e" cm="1">
        <f t="array" ref="K164">LOOKUP(2^15,SEARCH(Tabela2[Palavras-Chave],Boletim[[#This Row],[Objeto]],1),Tabela2[Palavras-Chave])</f>
        <v>#N/A</v>
      </c>
    </row>
    <row r="165" spans="1:11" ht="100.8" hidden="1" x14ac:dyDescent="0.3">
      <c r="A165" s="5">
        <v>18809295</v>
      </c>
      <c r="B165" s="6" t="s">
        <v>1202</v>
      </c>
      <c r="C165" s="6" t="s">
        <v>1203</v>
      </c>
      <c r="D165" s="8" t="s">
        <v>80</v>
      </c>
      <c r="E165" s="6" t="s">
        <v>1204</v>
      </c>
      <c r="F165" s="6" t="s">
        <v>51</v>
      </c>
      <c r="G165" s="11">
        <v>46125.333333333336</v>
      </c>
      <c r="H165" s="10" t="s">
        <v>1205</v>
      </c>
      <c r="I165" s="6" t="s">
        <v>1206</v>
      </c>
      <c r="J165" s="12">
        <v>46121.706863425927</v>
      </c>
      <c r="K165" s="6" t="e" cm="1">
        <f t="array" ref="K165">LOOKUP(2^15,SEARCH(Tabela2[Palavras-Chave],Boletim[[#This Row],[Objeto]],1),Tabela2[Palavras-Chave])</f>
        <v>#N/A</v>
      </c>
    </row>
    <row r="166" spans="1:11" ht="86.4" hidden="1" x14ac:dyDescent="0.3">
      <c r="A166" s="5">
        <v>18810803</v>
      </c>
      <c r="B166" s="6" t="s">
        <v>1207</v>
      </c>
      <c r="C166" s="6" t="s">
        <v>79</v>
      </c>
      <c r="D166" s="8" t="s">
        <v>80</v>
      </c>
      <c r="E166" s="6" t="s">
        <v>1139</v>
      </c>
      <c r="F166" s="6" t="s">
        <v>51</v>
      </c>
      <c r="G166" s="11">
        <v>46127.333333333336</v>
      </c>
      <c r="H166" s="10" t="s">
        <v>1208</v>
      </c>
      <c r="I166" s="6" t="s">
        <v>1209</v>
      </c>
      <c r="J166" s="12">
        <v>46121.764305555553</v>
      </c>
      <c r="K166" s="6" t="e" cm="1">
        <f t="array" ref="K166">LOOKUP(2^15,SEARCH(Tabela2[Palavras-Chave],Boletim[[#This Row],[Objeto]],1),Tabela2[Palavras-Chave])</f>
        <v>#N/A</v>
      </c>
    </row>
    <row r="167" spans="1:11" ht="316.8" x14ac:dyDescent="0.3">
      <c r="A167" s="5">
        <v>18806709</v>
      </c>
      <c r="B167" s="6" t="s">
        <v>1210</v>
      </c>
      <c r="C167" s="6" t="s">
        <v>79</v>
      </c>
      <c r="D167" s="8" t="s">
        <v>80</v>
      </c>
      <c r="E167" s="6" t="s">
        <v>208</v>
      </c>
      <c r="F167" s="6" t="s">
        <v>51</v>
      </c>
      <c r="G167" s="11">
        <v>46125.333333333336</v>
      </c>
      <c r="H167" s="10" t="s">
        <v>1211</v>
      </c>
      <c r="I167" s="6" t="s">
        <v>1212</v>
      </c>
      <c r="J167" s="12">
        <v>46121.777905092589</v>
      </c>
      <c r="K167" s="6" t="str" cm="1">
        <f t="array" ref="K167">LOOKUP(2^15,SEARCH(Tabela2[Palavras-Chave],Boletim[[#This Row],[Objeto]],1),Tabela2[Palavras-Chave])</f>
        <v>RESERVAT</v>
      </c>
    </row>
    <row r="168" spans="1:11" ht="100.8" x14ac:dyDescent="0.3">
      <c r="A168" s="5">
        <v>18810864</v>
      </c>
      <c r="B168" s="6" t="s">
        <v>1213</v>
      </c>
      <c r="C168" s="6" t="s">
        <v>79</v>
      </c>
      <c r="D168" s="8" t="s">
        <v>80</v>
      </c>
      <c r="E168" s="6" t="s">
        <v>1214</v>
      </c>
      <c r="F168" s="6" t="s">
        <v>51</v>
      </c>
      <c r="G168" s="11">
        <v>46125.333333333336</v>
      </c>
      <c r="H168" s="10" t="s">
        <v>1215</v>
      </c>
      <c r="I168" s="6" t="s">
        <v>1216</v>
      </c>
      <c r="J168" s="12">
        <v>46121.782743055555</v>
      </c>
      <c r="K168" s="6" t="str" cm="1">
        <f t="array" ref="K168">LOOKUP(2^15,SEARCH(Tabela2[Palavras-Chave],Boletim[[#This Row],[Objeto]],1),Tabela2[Palavras-Chave])</f>
        <v>INOX</v>
      </c>
    </row>
    <row r="169" spans="1:11" ht="100.8" hidden="1" x14ac:dyDescent="0.3">
      <c r="A169" s="5">
        <v>18810813</v>
      </c>
      <c r="B169" s="6" t="s">
        <v>1217</v>
      </c>
      <c r="C169" s="6" t="s">
        <v>1218</v>
      </c>
      <c r="D169" s="8" t="s">
        <v>80</v>
      </c>
      <c r="E169" s="6" t="s">
        <v>1191</v>
      </c>
      <c r="F169" s="6" t="s">
        <v>51</v>
      </c>
      <c r="G169" s="11">
        <v>46127.5</v>
      </c>
      <c r="H169" s="10" t="s">
        <v>1219</v>
      </c>
      <c r="I169" s="6" t="s">
        <v>1220</v>
      </c>
      <c r="J169" s="12">
        <v>46121.783935185187</v>
      </c>
      <c r="K169" s="6" t="e" cm="1">
        <f t="array" ref="K169">LOOKUP(2^15,SEARCH(Tabela2[Palavras-Chave],Boletim[[#This Row],[Objeto]],1),Tabela2[Palavras-Chave])</f>
        <v>#N/A</v>
      </c>
    </row>
    <row r="170" spans="1:11" ht="86.4" hidden="1" x14ac:dyDescent="0.3">
      <c r="A170" s="5">
        <v>18806637</v>
      </c>
      <c r="B170" s="6" t="s">
        <v>1221</v>
      </c>
      <c r="C170" s="6" t="s">
        <v>104</v>
      </c>
      <c r="D170" s="8" t="s">
        <v>81</v>
      </c>
      <c r="E170" s="6" t="s">
        <v>191</v>
      </c>
      <c r="F170" s="6" t="s">
        <v>51</v>
      </c>
      <c r="G170" s="11">
        <v>46126.333333333336</v>
      </c>
      <c r="H170" s="10" t="s">
        <v>1222</v>
      </c>
      <c r="I170" s="6" t="s">
        <v>1223</v>
      </c>
      <c r="J170" s="12">
        <v>46121.435011574074</v>
      </c>
      <c r="K170" s="6" t="e" cm="1">
        <f t="array" ref="K170">LOOKUP(2^15,SEARCH(Tabela2[Palavras-Chave],Boletim[[#This Row],[Objeto]],1),Tabela2[Palavras-Chave])</f>
        <v>#N/A</v>
      </c>
    </row>
    <row r="171" spans="1:11" ht="86.4" hidden="1" x14ac:dyDescent="0.3">
      <c r="A171" s="5">
        <v>18806716</v>
      </c>
      <c r="B171" s="6" t="s">
        <v>1221</v>
      </c>
      <c r="C171" s="6" t="s">
        <v>104</v>
      </c>
      <c r="D171" s="8" t="s">
        <v>81</v>
      </c>
      <c r="E171" s="6" t="s">
        <v>370</v>
      </c>
      <c r="F171" s="6" t="s">
        <v>51</v>
      </c>
      <c r="G171" s="11">
        <v>46126.333333333336</v>
      </c>
      <c r="H171" s="10" t="s">
        <v>1224</v>
      </c>
      <c r="I171" s="6" t="s">
        <v>1225</v>
      </c>
      <c r="J171" s="12">
        <v>46121.451203703706</v>
      </c>
      <c r="K171" s="6" t="e" cm="1">
        <f t="array" ref="K171">LOOKUP(2^15,SEARCH(Tabela2[Palavras-Chave],Boletim[[#This Row],[Objeto]],1),Tabela2[Palavras-Chave])</f>
        <v>#N/A</v>
      </c>
    </row>
    <row r="172" spans="1:11" ht="259.2" hidden="1" x14ac:dyDescent="0.3">
      <c r="A172" s="5">
        <v>18800118</v>
      </c>
      <c r="B172" s="6" t="s">
        <v>1226</v>
      </c>
      <c r="C172" s="6" t="s">
        <v>1227</v>
      </c>
      <c r="D172" s="8" t="s">
        <v>81</v>
      </c>
      <c r="E172" s="6" t="s">
        <v>904</v>
      </c>
      <c r="F172" s="6" t="s">
        <v>51</v>
      </c>
      <c r="G172" s="11" t="s">
        <v>56</v>
      </c>
      <c r="H172" s="10" t="s">
        <v>1228</v>
      </c>
      <c r="I172" s="6" t="s">
        <v>1229</v>
      </c>
      <c r="J172" s="12">
        <v>46121.587569444448</v>
      </c>
      <c r="K172" s="6" t="e" cm="1">
        <f t="array" ref="K172">LOOKUP(2^15,SEARCH(Tabela2[Palavras-Chave],Boletim[[#This Row],[Objeto]],1),Tabela2[Palavras-Chave])</f>
        <v>#N/A</v>
      </c>
    </row>
    <row r="173" spans="1:11" ht="57.6" hidden="1" x14ac:dyDescent="0.3">
      <c r="A173" s="5">
        <v>18811039</v>
      </c>
      <c r="B173" s="6" t="s">
        <v>1230</v>
      </c>
      <c r="C173" s="6" t="s">
        <v>1231</v>
      </c>
      <c r="D173" s="8" t="s">
        <v>81</v>
      </c>
      <c r="E173" s="6" t="s">
        <v>281</v>
      </c>
      <c r="F173" s="6" t="s">
        <v>51</v>
      </c>
      <c r="G173" s="11" t="s">
        <v>56</v>
      </c>
      <c r="H173" s="10" t="s">
        <v>1232</v>
      </c>
      <c r="I173" s="6" t="s">
        <v>1233</v>
      </c>
      <c r="J173" s="12">
        <v>46121.783495370371</v>
      </c>
      <c r="K173" s="6" t="e" cm="1">
        <f t="array" ref="K173">LOOKUP(2^15,SEARCH(Tabela2[Palavras-Chave],Boletim[[#This Row],[Objeto]],1),Tabela2[Palavras-Chave])</f>
        <v>#N/A</v>
      </c>
    </row>
    <row r="174" spans="1:11" ht="57.6" hidden="1" x14ac:dyDescent="0.3">
      <c r="A174" s="5">
        <v>18811025</v>
      </c>
      <c r="B174" s="6" t="s">
        <v>254</v>
      </c>
      <c r="C174" s="6" t="s">
        <v>255</v>
      </c>
      <c r="D174" s="8" t="s">
        <v>81</v>
      </c>
      <c r="E174" s="6" t="s">
        <v>105</v>
      </c>
      <c r="F174" s="6" t="s">
        <v>51</v>
      </c>
      <c r="G174" s="11" t="s">
        <v>56</v>
      </c>
      <c r="H174" s="10" t="s">
        <v>1234</v>
      </c>
      <c r="I174" s="6" t="s">
        <v>1235</v>
      </c>
      <c r="J174" s="12">
        <v>46121.823067129626</v>
      </c>
      <c r="K174" s="6" t="e" cm="1">
        <f t="array" ref="K174">LOOKUP(2^15,SEARCH(Tabela2[Palavras-Chave],Boletim[[#This Row],[Objeto]],1),Tabela2[Palavras-Chave])</f>
        <v>#N/A</v>
      </c>
    </row>
    <row r="175" spans="1:11" ht="72" hidden="1" x14ac:dyDescent="0.3">
      <c r="A175" s="5">
        <v>18769999</v>
      </c>
      <c r="B175" s="6" t="s">
        <v>74</v>
      </c>
      <c r="C175" s="6" t="s">
        <v>160</v>
      </c>
      <c r="D175" s="8" t="s">
        <v>93</v>
      </c>
      <c r="E175" s="6" t="s">
        <v>734</v>
      </c>
      <c r="F175" s="6" t="s">
        <v>51</v>
      </c>
      <c r="G175" s="11" t="s">
        <v>56</v>
      </c>
      <c r="H175" s="10" t="s">
        <v>735</v>
      </c>
      <c r="I175" s="6" t="s">
        <v>736</v>
      </c>
      <c r="J175" s="12">
        <v>46121.440335648149</v>
      </c>
      <c r="K175" s="6" t="e" cm="1">
        <f t="array" ref="K175">LOOKUP(2^15,SEARCH(Tabela2[Palavras-Chave],Boletim[[#This Row],[Objeto]],1),Tabela2[Palavras-Chave])</f>
        <v>#N/A</v>
      </c>
    </row>
    <row r="176" spans="1:11" ht="72" x14ac:dyDescent="0.3">
      <c r="A176" s="5">
        <v>18730562</v>
      </c>
      <c r="B176" s="6" t="s">
        <v>74</v>
      </c>
      <c r="C176" s="6" t="s">
        <v>83</v>
      </c>
      <c r="D176" s="8" t="s">
        <v>82</v>
      </c>
      <c r="E176" s="6" t="s">
        <v>1119</v>
      </c>
      <c r="F176" s="6" t="s">
        <v>51</v>
      </c>
      <c r="G176" s="11" t="s">
        <v>56</v>
      </c>
      <c r="H176" s="10" t="s">
        <v>1120</v>
      </c>
      <c r="I176" s="6" t="s">
        <v>1121</v>
      </c>
      <c r="J176" s="12">
        <v>46121.439722222225</v>
      </c>
      <c r="K176" s="6" t="str" cm="1">
        <f t="array" ref="K176">LOOKUP(2^15,SEARCH(Tabela2[Palavras-Chave],Boletim[[#This Row],[Objeto]],1),Tabela2[Palavras-Chave])</f>
        <v>TANQUE</v>
      </c>
    </row>
    <row r="177" spans="1:11" ht="72" hidden="1" x14ac:dyDescent="0.3">
      <c r="A177" s="5">
        <v>18755507</v>
      </c>
      <c r="B177" s="6" t="s">
        <v>74</v>
      </c>
      <c r="C177" s="6" t="s">
        <v>83</v>
      </c>
      <c r="D177" s="8" t="s">
        <v>82</v>
      </c>
      <c r="E177" s="6" t="s">
        <v>1122</v>
      </c>
      <c r="F177" s="6" t="s">
        <v>51</v>
      </c>
      <c r="G177" s="11" t="s">
        <v>56</v>
      </c>
      <c r="H177" s="10" t="s">
        <v>1123</v>
      </c>
      <c r="I177" s="6" t="s">
        <v>1124</v>
      </c>
      <c r="J177" s="12">
        <v>46121.440300925926</v>
      </c>
      <c r="K177" s="6" t="e" cm="1">
        <f t="array" ref="K177">LOOKUP(2^15,SEARCH(Tabela2[Palavras-Chave],Boletim[[#This Row],[Objeto]],1),Tabela2[Palavras-Chave])</f>
        <v>#N/A</v>
      </c>
    </row>
    <row r="178" spans="1:11" ht="72" hidden="1" x14ac:dyDescent="0.3">
      <c r="A178" s="5">
        <v>18772099</v>
      </c>
      <c r="B178" s="6" t="s">
        <v>74</v>
      </c>
      <c r="C178" s="6" t="s">
        <v>83</v>
      </c>
      <c r="D178" s="8" t="s">
        <v>82</v>
      </c>
      <c r="E178" s="6" t="s">
        <v>960</v>
      </c>
      <c r="F178" s="6" t="s">
        <v>51</v>
      </c>
      <c r="G178" s="11" t="s">
        <v>56</v>
      </c>
      <c r="H178" s="10" t="s">
        <v>961</v>
      </c>
      <c r="I178" s="6" t="s">
        <v>962</v>
      </c>
      <c r="J178" s="12">
        <v>46121.440347222226</v>
      </c>
      <c r="K178" s="6" t="e" cm="1">
        <f t="array" ref="K178">LOOKUP(2^15,SEARCH(Tabela2[Palavras-Chave],Boletim[[#This Row],[Objeto]],1),Tabela2[Palavras-Chave])</f>
        <v>#N/A</v>
      </c>
    </row>
    <row r="179" spans="1:11" ht="72" hidden="1" x14ac:dyDescent="0.3">
      <c r="A179" s="5">
        <v>18775139</v>
      </c>
      <c r="B179" s="6" t="s">
        <v>74</v>
      </c>
      <c r="C179" s="6" t="s">
        <v>83</v>
      </c>
      <c r="D179" s="8" t="s">
        <v>82</v>
      </c>
      <c r="E179" s="6" t="s">
        <v>1125</v>
      </c>
      <c r="F179" s="6" t="s">
        <v>51</v>
      </c>
      <c r="G179" s="11" t="s">
        <v>56</v>
      </c>
      <c r="H179" s="10" t="s">
        <v>1126</v>
      </c>
      <c r="I179" s="6" t="s">
        <v>1127</v>
      </c>
      <c r="J179" s="12">
        <v>46121.440347222226</v>
      </c>
      <c r="K179" s="6" t="e" cm="1">
        <f t="array" ref="K179">LOOKUP(2^15,SEARCH(Tabela2[Palavras-Chave],Boletim[[#This Row],[Objeto]],1),Tabela2[Palavras-Chave])</f>
        <v>#N/A</v>
      </c>
    </row>
    <row r="180" spans="1:11" ht="72" hidden="1" x14ac:dyDescent="0.3">
      <c r="A180" s="5">
        <v>18751075</v>
      </c>
      <c r="B180" s="6" t="s">
        <v>74</v>
      </c>
      <c r="C180" s="6" t="s">
        <v>83</v>
      </c>
      <c r="D180" s="8" t="s">
        <v>82</v>
      </c>
      <c r="E180" s="6" t="s">
        <v>963</v>
      </c>
      <c r="F180" s="6" t="s">
        <v>51</v>
      </c>
      <c r="G180" s="11" t="s">
        <v>56</v>
      </c>
      <c r="H180" s="10" t="s">
        <v>964</v>
      </c>
      <c r="I180" s="6" t="s">
        <v>965</v>
      </c>
      <c r="J180" s="12">
        <v>46121.442395833335</v>
      </c>
      <c r="K180" s="6" t="e" cm="1">
        <f t="array" ref="K180">LOOKUP(2^15,SEARCH(Tabela2[Palavras-Chave],Boletim[[#This Row],[Objeto]],1),Tabela2[Palavras-Chave])</f>
        <v>#N/A</v>
      </c>
    </row>
    <row r="181" spans="1:11" ht="72" hidden="1" x14ac:dyDescent="0.3">
      <c r="A181" s="5">
        <v>18760223</v>
      </c>
      <c r="B181" s="6" t="s">
        <v>74</v>
      </c>
      <c r="C181" s="6" t="s">
        <v>83</v>
      </c>
      <c r="D181" s="8" t="s">
        <v>82</v>
      </c>
      <c r="E181" s="6" t="s">
        <v>1136</v>
      </c>
      <c r="F181" s="6" t="s">
        <v>51</v>
      </c>
      <c r="G181" s="11" t="s">
        <v>56</v>
      </c>
      <c r="H181" s="10" t="s">
        <v>1137</v>
      </c>
      <c r="I181" s="6" t="s">
        <v>1138</v>
      </c>
      <c r="J181" s="12">
        <v>46121.442395833335</v>
      </c>
      <c r="K181" s="6" t="e" cm="1">
        <f t="array" ref="K181">LOOKUP(2^15,SEARCH(Tabela2[Palavras-Chave],Boletim[[#This Row],[Objeto]],1),Tabela2[Palavras-Chave])</f>
        <v>#N/A</v>
      </c>
    </row>
    <row r="182" spans="1:11" ht="100.8" hidden="1" x14ac:dyDescent="0.3">
      <c r="A182" s="5">
        <v>18806695</v>
      </c>
      <c r="B182" s="6" t="s">
        <v>1236</v>
      </c>
      <c r="C182" s="6" t="s">
        <v>1237</v>
      </c>
      <c r="D182" s="8" t="s">
        <v>82</v>
      </c>
      <c r="E182" s="6" t="s">
        <v>351</v>
      </c>
      <c r="F182" s="6" t="s">
        <v>51</v>
      </c>
      <c r="G182" s="11">
        <v>46128.375</v>
      </c>
      <c r="H182" s="10" t="s">
        <v>1238</v>
      </c>
      <c r="I182" s="6" t="s">
        <v>1239</v>
      </c>
      <c r="J182" s="12">
        <v>46121.442800925928</v>
      </c>
      <c r="K182" s="6" t="e" cm="1">
        <f t="array" ref="K182">LOOKUP(2^15,SEARCH(Tabela2[Palavras-Chave],Boletim[[#This Row],[Objeto]],1),Tabela2[Palavras-Chave])</f>
        <v>#N/A</v>
      </c>
    </row>
    <row r="183" spans="1:11" ht="100.8" hidden="1" x14ac:dyDescent="0.3">
      <c r="A183" s="5">
        <v>18806585</v>
      </c>
      <c r="B183" s="6" t="s">
        <v>1240</v>
      </c>
      <c r="C183" s="6" t="s">
        <v>164</v>
      </c>
      <c r="D183" s="8" t="s">
        <v>82</v>
      </c>
      <c r="E183" s="6" t="s">
        <v>1241</v>
      </c>
      <c r="F183" s="6" t="s">
        <v>51</v>
      </c>
      <c r="G183" s="11">
        <v>46127.333333333336</v>
      </c>
      <c r="H183" s="10" t="s">
        <v>1242</v>
      </c>
      <c r="I183" s="6" t="s">
        <v>1243</v>
      </c>
      <c r="J183" s="12">
        <v>46121.448206018518</v>
      </c>
      <c r="K183" s="6" t="e" cm="1">
        <f t="array" ref="K183">LOOKUP(2^15,SEARCH(Tabela2[Palavras-Chave],Boletim[[#This Row],[Objeto]],1),Tabela2[Palavras-Chave])</f>
        <v>#N/A</v>
      </c>
    </row>
    <row r="184" spans="1:11" ht="100.8" hidden="1" x14ac:dyDescent="0.3">
      <c r="A184" s="5">
        <v>18806633</v>
      </c>
      <c r="B184" s="6" t="s">
        <v>1244</v>
      </c>
      <c r="C184" s="6" t="s">
        <v>1245</v>
      </c>
      <c r="D184" s="8" t="s">
        <v>82</v>
      </c>
      <c r="E184" s="6" t="s">
        <v>1139</v>
      </c>
      <c r="F184" s="6" t="s">
        <v>51</v>
      </c>
      <c r="G184" s="11">
        <v>46126.333333333336</v>
      </c>
      <c r="H184" s="10" t="s">
        <v>1246</v>
      </c>
      <c r="I184" s="6" t="s">
        <v>1247</v>
      </c>
      <c r="J184" s="12">
        <v>46121.45107638889</v>
      </c>
      <c r="K184" s="6" t="e" cm="1">
        <f t="array" ref="K184">LOOKUP(2^15,SEARCH(Tabela2[Palavras-Chave],Boletim[[#This Row],[Objeto]],1),Tabela2[Palavras-Chave])</f>
        <v>#N/A</v>
      </c>
    </row>
    <row r="185" spans="1:11" ht="115.2" hidden="1" x14ac:dyDescent="0.3">
      <c r="A185" s="13">
        <v>18806759</v>
      </c>
      <c r="B185" s="10" t="s">
        <v>380</v>
      </c>
      <c r="C185" s="10" t="s">
        <v>83</v>
      </c>
      <c r="D185" s="15" t="s">
        <v>82</v>
      </c>
      <c r="E185" s="10" t="s">
        <v>1248</v>
      </c>
      <c r="F185" s="10" t="s">
        <v>51</v>
      </c>
      <c r="G185" s="16">
        <v>46139.333333333336</v>
      </c>
      <c r="H185" s="10" t="s">
        <v>1249</v>
      </c>
      <c r="I185" s="10" t="s">
        <v>1250</v>
      </c>
      <c r="J185" s="17">
        <v>46121.452766203707</v>
      </c>
      <c r="K185" s="6" t="e" cm="1">
        <f t="array" ref="K185">LOOKUP(2^15,SEARCH(Tabela2[Palavras-Chave],Boletim[[#This Row],[Objeto]],1),Tabela2[Palavras-Chave])</f>
        <v>#N/A</v>
      </c>
    </row>
    <row r="186" spans="1:11" ht="72" hidden="1" x14ac:dyDescent="0.3">
      <c r="A186" s="5">
        <v>18807919</v>
      </c>
      <c r="B186" s="6" t="s">
        <v>180</v>
      </c>
      <c r="C186" s="6" t="s">
        <v>181</v>
      </c>
      <c r="D186" s="8" t="s">
        <v>82</v>
      </c>
      <c r="E186" s="6" t="s">
        <v>1251</v>
      </c>
      <c r="F186" s="6" t="s">
        <v>51</v>
      </c>
      <c r="G186" s="11" t="s">
        <v>56</v>
      </c>
      <c r="H186" s="10" t="s">
        <v>1252</v>
      </c>
      <c r="I186" s="6" t="s">
        <v>1253</v>
      </c>
      <c r="J186" s="12">
        <v>46121.496516203704</v>
      </c>
      <c r="K186" s="6" t="e" cm="1">
        <f t="array" ref="K186">LOOKUP(2^15,SEARCH(Tabela2[Palavras-Chave],Boletim[[#This Row],[Objeto]],1),Tabela2[Palavras-Chave])</f>
        <v>#N/A</v>
      </c>
    </row>
    <row r="187" spans="1:11" ht="100.8" hidden="1" x14ac:dyDescent="0.3">
      <c r="A187" s="5">
        <v>18705632</v>
      </c>
      <c r="B187" s="6" t="s">
        <v>180</v>
      </c>
      <c r="C187" s="6" t="s">
        <v>181</v>
      </c>
      <c r="D187" s="8" t="s">
        <v>82</v>
      </c>
      <c r="E187" s="6" t="s">
        <v>1254</v>
      </c>
      <c r="F187" s="6" t="s">
        <v>51</v>
      </c>
      <c r="G187" s="11" t="s">
        <v>56</v>
      </c>
      <c r="H187" s="10" t="s">
        <v>1255</v>
      </c>
      <c r="I187" s="6" t="s">
        <v>1256</v>
      </c>
      <c r="J187" s="12">
        <v>46121.582708333335</v>
      </c>
      <c r="K187" s="6" t="e" cm="1">
        <f t="array" ref="K187">LOOKUP(2^15,SEARCH(Tabela2[Palavras-Chave],Boletim[[#This Row],[Objeto]],1),Tabela2[Palavras-Chave])</f>
        <v>#N/A</v>
      </c>
    </row>
    <row r="188" spans="1:11" ht="100.8" hidden="1" x14ac:dyDescent="0.3">
      <c r="A188" s="5">
        <v>18784545</v>
      </c>
      <c r="B188" s="6" t="s">
        <v>180</v>
      </c>
      <c r="C188" s="6" t="s">
        <v>181</v>
      </c>
      <c r="D188" s="8" t="s">
        <v>82</v>
      </c>
      <c r="E188" s="6" t="s">
        <v>1257</v>
      </c>
      <c r="F188" s="6" t="s">
        <v>51</v>
      </c>
      <c r="G188" s="11" t="s">
        <v>56</v>
      </c>
      <c r="H188" s="10" t="s">
        <v>1258</v>
      </c>
      <c r="I188" s="6" t="s">
        <v>1259</v>
      </c>
      <c r="J188" s="12">
        <v>46121.582928240743</v>
      </c>
      <c r="K188" s="6" t="e" cm="1">
        <f t="array" ref="K188">LOOKUP(2^15,SEARCH(Tabela2[Palavras-Chave],Boletim[[#This Row],[Objeto]],1),Tabela2[Palavras-Chave])</f>
        <v>#N/A</v>
      </c>
    </row>
    <row r="189" spans="1:11" ht="28.8" hidden="1" x14ac:dyDescent="0.3">
      <c r="A189" s="5">
        <v>18801521</v>
      </c>
      <c r="B189" s="6" t="s">
        <v>365</v>
      </c>
      <c r="C189" s="6" t="s">
        <v>366</v>
      </c>
      <c r="D189" s="8" t="s">
        <v>82</v>
      </c>
      <c r="E189" s="6" t="s">
        <v>314</v>
      </c>
      <c r="F189" s="6" t="s">
        <v>51</v>
      </c>
      <c r="G189" s="11">
        <v>46122.708333333336</v>
      </c>
      <c r="H189" s="10" t="s">
        <v>367</v>
      </c>
      <c r="I189" s="6" t="s">
        <v>368</v>
      </c>
      <c r="J189" s="12">
        <v>46121.586921296293</v>
      </c>
      <c r="K189" s="6" t="e" cm="1">
        <f t="array" ref="K189">LOOKUP(2^15,SEARCH(Tabela2[Palavras-Chave],Boletim[[#This Row],[Objeto]],1),Tabela2[Palavras-Chave])</f>
        <v>#N/A</v>
      </c>
    </row>
    <row r="190" spans="1:11" ht="57.6" x14ac:dyDescent="0.3">
      <c r="A190" s="5">
        <v>18801515</v>
      </c>
      <c r="B190" s="6" t="s">
        <v>365</v>
      </c>
      <c r="C190" s="6" t="s">
        <v>366</v>
      </c>
      <c r="D190" s="8" t="s">
        <v>82</v>
      </c>
      <c r="E190" s="6" t="s">
        <v>371</v>
      </c>
      <c r="F190" s="6" t="s">
        <v>51</v>
      </c>
      <c r="G190" s="11">
        <v>46122.725694444445</v>
      </c>
      <c r="H190" s="10" t="s">
        <v>372</v>
      </c>
      <c r="I190" s="6" t="s">
        <v>373</v>
      </c>
      <c r="J190" s="12">
        <v>46121.58693287037</v>
      </c>
      <c r="K190" s="6" t="str" cm="1">
        <f t="array" ref="K190">LOOKUP(2^15,SEARCH(Tabela2[Palavras-Chave],Boletim[[#This Row],[Objeto]],1),Tabela2[Palavras-Chave])</f>
        <v>RESERVAT</v>
      </c>
    </row>
    <row r="191" spans="1:11" ht="115.2" hidden="1" x14ac:dyDescent="0.3">
      <c r="A191" s="5">
        <v>18809559</v>
      </c>
      <c r="B191" s="6" t="s">
        <v>217</v>
      </c>
      <c r="C191" s="6" t="s">
        <v>216</v>
      </c>
      <c r="D191" s="8" t="s">
        <v>82</v>
      </c>
      <c r="E191" s="6" t="s">
        <v>1260</v>
      </c>
      <c r="F191" s="6" t="s">
        <v>51</v>
      </c>
      <c r="G191" s="11">
        <v>46126.332638888889</v>
      </c>
      <c r="H191" s="10" t="s">
        <v>1261</v>
      </c>
      <c r="I191" s="6" t="s">
        <v>1262</v>
      </c>
      <c r="J191" s="12">
        <v>46121.619780092595</v>
      </c>
      <c r="K191" s="6" t="e" cm="1">
        <f t="array" ref="K191">LOOKUP(2^15,SEARCH(Tabela2[Palavras-Chave],Boletim[[#This Row],[Objeto]],1),Tabela2[Palavras-Chave])</f>
        <v>#N/A</v>
      </c>
    </row>
    <row r="192" spans="1:11" ht="86.4" hidden="1" x14ac:dyDescent="0.3">
      <c r="A192" s="5">
        <v>18806690</v>
      </c>
      <c r="B192" s="6" t="s">
        <v>1263</v>
      </c>
      <c r="C192" s="6" t="s">
        <v>280</v>
      </c>
      <c r="D192" s="8" t="s">
        <v>82</v>
      </c>
      <c r="E192" s="6" t="s">
        <v>228</v>
      </c>
      <c r="F192" s="6" t="s">
        <v>51</v>
      </c>
      <c r="G192" s="11">
        <v>46125.632638888892</v>
      </c>
      <c r="H192" s="10" t="s">
        <v>1264</v>
      </c>
      <c r="I192" s="6" t="s">
        <v>1265</v>
      </c>
      <c r="J192" s="12">
        <v>46121.623888888891</v>
      </c>
      <c r="K192" s="6" t="e" cm="1">
        <f t="array" ref="K192">LOOKUP(2^15,SEARCH(Tabela2[Palavras-Chave],Boletim[[#This Row],[Objeto]],1),Tabela2[Palavras-Chave])</f>
        <v>#N/A</v>
      </c>
    </row>
    <row r="193" spans="1:11" ht="201.6" hidden="1" x14ac:dyDescent="0.3">
      <c r="A193" s="5">
        <v>18807266</v>
      </c>
      <c r="B193" s="6" t="s">
        <v>1266</v>
      </c>
      <c r="C193" s="6" t="s">
        <v>1267</v>
      </c>
      <c r="D193" s="8" t="s">
        <v>82</v>
      </c>
      <c r="E193" s="6" t="s">
        <v>185</v>
      </c>
      <c r="F193" s="6" t="s">
        <v>51</v>
      </c>
      <c r="G193" s="11">
        <v>46121.875</v>
      </c>
      <c r="H193" s="10" t="s">
        <v>1268</v>
      </c>
      <c r="I193" s="6" t="s">
        <v>1269</v>
      </c>
      <c r="J193" s="12">
        <v>46121.645254629628</v>
      </c>
      <c r="K193" s="6" t="e" cm="1">
        <f t="array" ref="K193">LOOKUP(2^15,SEARCH(Tabela2[Palavras-Chave],Boletim[[#This Row],[Objeto]],1),Tabela2[Palavras-Chave])</f>
        <v>#N/A</v>
      </c>
    </row>
    <row r="194" spans="1:11" ht="86.4" hidden="1" x14ac:dyDescent="0.3">
      <c r="A194" s="5">
        <v>18809064</v>
      </c>
      <c r="B194" s="6" t="s">
        <v>377</v>
      </c>
      <c r="C194" s="6" t="s">
        <v>378</v>
      </c>
      <c r="D194" s="8" t="s">
        <v>82</v>
      </c>
      <c r="E194" s="6" t="s">
        <v>1270</v>
      </c>
      <c r="F194" s="6" t="s">
        <v>51</v>
      </c>
      <c r="G194" s="11">
        <v>46126.583333333336</v>
      </c>
      <c r="H194" s="10" t="s">
        <v>1271</v>
      </c>
      <c r="I194" s="6" t="s">
        <v>1272</v>
      </c>
      <c r="J194" s="12">
        <v>46121.701215277775</v>
      </c>
      <c r="K194" s="6" t="e" cm="1">
        <f t="array" ref="K194">LOOKUP(2^15,SEARCH(Tabela2[Palavras-Chave],Boletim[[#This Row],[Objeto]],1),Tabela2[Palavras-Chave])</f>
        <v>#N/A</v>
      </c>
    </row>
    <row r="195" spans="1:11" ht="100.8" hidden="1" x14ac:dyDescent="0.3">
      <c r="A195" s="5">
        <v>18806785</v>
      </c>
      <c r="B195" s="6" t="s">
        <v>1273</v>
      </c>
      <c r="C195" s="6" t="s">
        <v>83</v>
      </c>
      <c r="D195" s="8" t="s">
        <v>82</v>
      </c>
      <c r="E195" s="6" t="s">
        <v>192</v>
      </c>
      <c r="F195" s="6" t="s">
        <v>51</v>
      </c>
      <c r="G195" s="11">
        <v>46127.333333333336</v>
      </c>
      <c r="H195" s="10" t="s">
        <v>1274</v>
      </c>
      <c r="I195" s="6" t="s">
        <v>1275</v>
      </c>
      <c r="J195" s="12">
        <v>46121.701261574075</v>
      </c>
      <c r="K195" s="6" t="e" cm="1">
        <f t="array" ref="K195">LOOKUP(2^15,SEARCH(Tabela2[Palavras-Chave],Boletim[[#This Row],[Objeto]],1),Tabela2[Palavras-Chave])</f>
        <v>#N/A</v>
      </c>
    </row>
    <row r="196" spans="1:11" ht="57.6" hidden="1" x14ac:dyDescent="0.3">
      <c r="A196" s="5">
        <v>18807901</v>
      </c>
      <c r="B196" s="6" t="s">
        <v>1276</v>
      </c>
      <c r="C196" s="6" t="s">
        <v>1277</v>
      </c>
      <c r="D196" s="8" t="s">
        <v>82</v>
      </c>
      <c r="E196" s="6" t="s">
        <v>370</v>
      </c>
      <c r="F196" s="6" t="s">
        <v>51</v>
      </c>
      <c r="G196" s="11">
        <v>46125.333333333336</v>
      </c>
      <c r="H196" s="10" t="s">
        <v>1278</v>
      </c>
      <c r="I196" s="6" t="s">
        <v>1279</v>
      </c>
      <c r="J196" s="12">
        <v>46121.706550925926</v>
      </c>
      <c r="K196" s="6" t="e" cm="1">
        <f t="array" ref="K196">LOOKUP(2^15,SEARCH(Tabela2[Palavras-Chave],Boletim[[#This Row],[Objeto]],1),Tabela2[Palavras-Chave])</f>
        <v>#N/A</v>
      </c>
    </row>
    <row r="197" spans="1:11" ht="43.2" hidden="1" x14ac:dyDescent="0.3">
      <c r="A197" s="13">
        <v>18809901</v>
      </c>
      <c r="B197" s="10" t="s">
        <v>365</v>
      </c>
      <c r="C197" s="10" t="s">
        <v>366</v>
      </c>
      <c r="D197" s="15" t="s">
        <v>82</v>
      </c>
      <c r="E197" s="10" t="s">
        <v>1280</v>
      </c>
      <c r="F197" s="10" t="s">
        <v>51</v>
      </c>
      <c r="G197" s="16">
        <v>46126.708333333336</v>
      </c>
      <c r="H197" s="10" t="s">
        <v>1281</v>
      </c>
      <c r="I197" s="10" t="s">
        <v>1282</v>
      </c>
      <c r="J197" s="17">
        <v>46121.709236111114</v>
      </c>
      <c r="K197" s="6" t="str" cm="1">
        <f t="array" ref="K197">LOOKUP(2^15,SEARCH(Tabela2[Palavras-Chave],Boletim[[#This Row],[Objeto]],1),Tabela2[Palavras-Chave])</f>
        <v>ACOPLAMENTO</v>
      </c>
    </row>
    <row r="198" spans="1:11" ht="100.8" hidden="1" x14ac:dyDescent="0.3">
      <c r="A198" s="13">
        <v>18806663</v>
      </c>
      <c r="B198" s="10" t="s">
        <v>1283</v>
      </c>
      <c r="C198" s="10" t="s">
        <v>382</v>
      </c>
      <c r="D198" s="15" t="s">
        <v>82</v>
      </c>
      <c r="E198" s="10" t="s">
        <v>1284</v>
      </c>
      <c r="F198" s="10" t="s">
        <v>51</v>
      </c>
      <c r="G198" s="16">
        <v>46127.374305555553</v>
      </c>
      <c r="H198" s="10" t="s">
        <v>1285</v>
      </c>
      <c r="I198" s="10" t="s">
        <v>1286</v>
      </c>
      <c r="J198" s="17">
        <v>46121.71534722222</v>
      </c>
      <c r="K198" s="6" t="e" cm="1">
        <f t="array" ref="K198">LOOKUP(2^15,SEARCH(Tabela2[Palavras-Chave],Boletim[[#This Row],[Objeto]],1),Tabela2[Palavras-Chave])</f>
        <v>#N/A</v>
      </c>
    </row>
    <row r="199" spans="1:11" ht="115.2" hidden="1" x14ac:dyDescent="0.3">
      <c r="A199" s="5">
        <v>18793036</v>
      </c>
      <c r="B199" s="6" t="s">
        <v>1287</v>
      </c>
      <c r="C199" s="6" t="s">
        <v>375</v>
      </c>
      <c r="D199" s="8" t="s">
        <v>82</v>
      </c>
      <c r="E199" s="6" t="s">
        <v>208</v>
      </c>
      <c r="F199" s="6" t="s">
        <v>51</v>
      </c>
      <c r="G199" s="11">
        <v>46125.375</v>
      </c>
      <c r="H199" s="10" t="s">
        <v>1288</v>
      </c>
      <c r="I199" s="6" t="s">
        <v>1289</v>
      </c>
      <c r="J199" s="12">
        <v>46121.741759259261</v>
      </c>
      <c r="K199" s="6" t="e" cm="1">
        <f t="array" ref="K199">LOOKUP(2^15,SEARCH(Tabela2[Palavras-Chave],Boletim[[#This Row],[Objeto]],1),Tabela2[Palavras-Chave])</f>
        <v>#N/A</v>
      </c>
    </row>
    <row r="200" spans="1:11" ht="273.60000000000002" hidden="1" x14ac:dyDescent="0.3">
      <c r="A200" s="5">
        <v>18808010</v>
      </c>
      <c r="B200" s="6" t="s">
        <v>1290</v>
      </c>
      <c r="C200" s="6" t="s">
        <v>1291</v>
      </c>
      <c r="D200" s="8" t="s">
        <v>82</v>
      </c>
      <c r="E200" s="6" t="s">
        <v>1292</v>
      </c>
      <c r="F200" s="6" t="s">
        <v>51</v>
      </c>
      <c r="G200" s="11" t="s">
        <v>56</v>
      </c>
      <c r="H200" s="10" t="s">
        <v>1293</v>
      </c>
      <c r="I200" s="6" t="s">
        <v>1294</v>
      </c>
      <c r="J200" s="12">
        <v>46121.755439814813</v>
      </c>
      <c r="K200" s="6" t="e" cm="1">
        <f t="array" ref="K200">LOOKUP(2^15,SEARCH(Tabela2[Palavras-Chave],Boletim[[#This Row],[Objeto]],1),Tabela2[Palavras-Chave])</f>
        <v>#N/A</v>
      </c>
    </row>
    <row r="201" spans="1:11" ht="100.8" hidden="1" x14ac:dyDescent="0.3">
      <c r="A201" s="5">
        <v>18810783</v>
      </c>
      <c r="B201" s="6" t="s">
        <v>1295</v>
      </c>
      <c r="C201" s="6" t="s">
        <v>83</v>
      </c>
      <c r="D201" s="8" t="s">
        <v>82</v>
      </c>
      <c r="E201" s="6" t="s">
        <v>381</v>
      </c>
      <c r="F201" s="6" t="s">
        <v>51</v>
      </c>
      <c r="G201" s="11">
        <v>46125.333333333336</v>
      </c>
      <c r="H201" s="10" t="s">
        <v>1296</v>
      </c>
      <c r="I201" s="6" t="s">
        <v>1297</v>
      </c>
      <c r="J201" s="12">
        <v>46121.782951388886</v>
      </c>
      <c r="K201" s="6" t="e" cm="1">
        <f t="array" ref="K201">LOOKUP(2^15,SEARCH(Tabela2[Palavras-Chave],Boletim[[#This Row],[Objeto]],1),Tabela2[Palavras-Chave])</f>
        <v>#N/A</v>
      </c>
    </row>
    <row r="202" spans="1:11" ht="144" hidden="1" x14ac:dyDescent="0.3">
      <c r="A202" s="5">
        <v>18810846</v>
      </c>
      <c r="B202" s="6" t="s">
        <v>1298</v>
      </c>
      <c r="C202" s="6" t="s">
        <v>1299</v>
      </c>
      <c r="D202" s="8" t="s">
        <v>82</v>
      </c>
      <c r="E202" s="6" t="s">
        <v>1300</v>
      </c>
      <c r="F202" s="6" t="s">
        <v>51</v>
      </c>
      <c r="G202" s="11">
        <v>46126.333333333336</v>
      </c>
      <c r="H202" s="10" t="s">
        <v>1301</v>
      </c>
      <c r="I202" s="6" t="s">
        <v>1302</v>
      </c>
      <c r="J202" s="12">
        <v>46121.783668981479</v>
      </c>
      <c r="K202" s="6" t="e" cm="1">
        <f t="array" ref="K202">LOOKUP(2^15,SEARCH(Tabela2[Palavras-Chave],Boletim[[#This Row],[Objeto]],1),Tabela2[Palavras-Chave])</f>
        <v>#N/A</v>
      </c>
    </row>
    <row r="203" spans="1:11" ht="100.8" hidden="1" x14ac:dyDescent="0.3">
      <c r="A203" s="5">
        <v>18809281</v>
      </c>
      <c r="B203" s="6" t="s">
        <v>1303</v>
      </c>
      <c r="C203" s="6" t="s">
        <v>83</v>
      </c>
      <c r="D203" s="8" t="s">
        <v>82</v>
      </c>
      <c r="E203" s="6" t="s">
        <v>1304</v>
      </c>
      <c r="F203" s="6" t="s">
        <v>51</v>
      </c>
      <c r="G203" s="11">
        <v>46127.354166666664</v>
      </c>
      <c r="H203" s="10" t="s">
        <v>1305</v>
      </c>
      <c r="I203" s="6" t="s">
        <v>1306</v>
      </c>
      <c r="J203" s="12">
        <v>46121.784016203703</v>
      </c>
      <c r="K203" s="6" t="e" cm="1">
        <f t="array" ref="K203">LOOKUP(2^15,SEARCH(Tabela2[Palavras-Chave],Boletim[[#This Row],[Objeto]],1),Tabela2[Palavras-Chave])</f>
        <v>#N/A</v>
      </c>
    </row>
    <row r="204" spans="1:11" ht="100.8" hidden="1" x14ac:dyDescent="0.3">
      <c r="A204" s="5">
        <v>18809342</v>
      </c>
      <c r="B204" s="6" t="s">
        <v>1307</v>
      </c>
      <c r="C204" s="6" t="s">
        <v>1308</v>
      </c>
      <c r="D204" s="8" t="s">
        <v>82</v>
      </c>
      <c r="E204" s="6" t="s">
        <v>275</v>
      </c>
      <c r="F204" s="6" t="s">
        <v>51</v>
      </c>
      <c r="G204" s="11">
        <v>46127.333333333336</v>
      </c>
      <c r="H204" s="10" t="s">
        <v>1309</v>
      </c>
      <c r="I204" s="6" t="s">
        <v>1310</v>
      </c>
      <c r="J204" s="12">
        <v>46121.790497685186</v>
      </c>
      <c r="K204" s="6" t="e" cm="1">
        <f t="array" ref="K204">LOOKUP(2^15,SEARCH(Tabela2[Palavras-Chave],Boletim[[#This Row],[Objeto]],1),Tabela2[Palavras-Chave])</f>
        <v>#N/A</v>
      </c>
    </row>
    <row r="205" spans="1:11" ht="273.60000000000002" hidden="1" x14ac:dyDescent="0.3">
      <c r="A205" s="5">
        <v>18811328</v>
      </c>
      <c r="B205" s="6" t="s">
        <v>1290</v>
      </c>
      <c r="C205" s="6" t="s">
        <v>1291</v>
      </c>
      <c r="D205" s="8" t="s">
        <v>82</v>
      </c>
      <c r="E205" s="6" t="s">
        <v>1311</v>
      </c>
      <c r="F205" s="6" t="s">
        <v>51</v>
      </c>
      <c r="G205" s="11" t="s">
        <v>56</v>
      </c>
      <c r="H205" s="10" t="s">
        <v>1312</v>
      </c>
      <c r="I205" s="6" t="s">
        <v>1313</v>
      </c>
      <c r="J205" s="12">
        <v>46121.838912037034</v>
      </c>
      <c r="K205" s="6" t="e" cm="1">
        <f t="array" ref="K205">LOOKUP(2^15,SEARCH(Tabela2[Palavras-Chave],Boletim[[#This Row],[Objeto]],1),Tabela2[Palavras-Chave])</f>
        <v>#N/A</v>
      </c>
    </row>
    <row r="206" spans="1:11" ht="273.60000000000002" hidden="1" x14ac:dyDescent="0.3">
      <c r="A206" s="5">
        <v>18811340</v>
      </c>
      <c r="B206" s="6" t="s">
        <v>1290</v>
      </c>
      <c r="C206" s="6" t="s">
        <v>1291</v>
      </c>
      <c r="D206" s="8" t="s">
        <v>82</v>
      </c>
      <c r="E206" s="6" t="s">
        <v>281</v>
      </c>
      <c r="F206" s="6" t="s">
        <v>51</v>
      </c>
      <c r="G206" s="11" t="s">
        <v>56</v>
      </c>
      <c r="H206" s="10" t="s">
        <v>1314</v>
      </c>
      <c r="I206" s="6" t="s">
        <v>1315</v>
      </c>
      <c r="J206" s="12">
        <v>46121.839629629627</v>
      </c>
      <c r="K206" s="6" t="e" cm="1">
        <f t="array" ref="K206">LOOKUP(2^15,SEARCH(Tabela2[Palavras-Chave],Boletim[[#This Row],[Objeto]],1),Tabela2[Palavras-Chave])</f>
        <v>#N/A</v>
      </c>
    </row>
    <row r="207" spans="1:11" ht="158.4" hidden="1" x14ac:dyDescent="0.3">
      <c r="A207" s="5">
        <v>18797542</v>
      </c>
      <c r="B207" s="6" t="s">
        <v>566</v>
      </c>
      <c r="C207" s="6" t="s">
        <v>567</v>
      </c>
      <c r="D207" s="8" t="s">
        <v>66</v>
      </c>
      <c r="E207" s="6" t="s">
        <v>1316</v>
      </c>
      <c r="F207" s="6" t="s">
        <v>85</v>
      </c>
      <c r="G207" s="11" t="s">
        <v>56</v>
      </c>
      <c r="H207" s="10" t="s">
        <v>1317</v>
      </c>
      <c r="I207" s="6" t="s">
        <v>1318</v>
      </c>
      <c r="J207" s="12">
        <v>46121.412858796299</v>
      </c>
      <c r="K207" s="6" t="e" cm="1">
        <f t="array" ref="K207">LOOKUP(2^15,SEARCH(Tabela2[Palavras-Chave],Boletim[[#This Row],[Objeto]],1),Tabela2[Palavras-Chave])</f>
        <v>#N/A</v>
      </c>
    </row>
    <row r="208" spans="1:11" ht="100.8" hidden="1" x14ac:dyDescent="0.3">
      <c r="A208" s="5">
        <v>18807427</v>
      </c>
      <c r="B208" s="6" t="s">
        <v>74</v>
      </c>
      <c r="C208" s="6" t="s">
        <v>162</v>
      </c>
      <c r="D208" s="8" t="s">
        <v>144</v>
      </c>
      <c r="E208" s="6" t="s">
        <v>1319</v>
      </c>
      <c r="F208" s="6" t="s">
        <v>85</v>
      </c>
      <c r="G208" s="11" t="s">
        <v>56</v>
      </c>
      <c r="H208" s="10" t="s">
        <v>1320</v>
      </c>
      <c r="I208" s="6" t="s">
        <v>1321</v>
      </c>
      <c r="J208" s="12">
        <v>46121.447256944448</v>
      </c>
      <c r="K208" s="6" t="e" cm="1">
        <f t="array" ref="K208">LOOKUP(2^15,SEARCH(Tabela2[Palavras-Chave],Boletim[[#This Row],[Objeto]],1),Tabela2[Palavras-Chave])</f>
        <v>#N/A</v>
      </c>
    </row>
    <row r="209" spans="1:11" ht="409.6" x14ac:dyDescent="0.3">
      <c r="A209" s="5">
        <v>18807909</v>
      </c>
      <c r="B209" s="6" t="s">
        <v>1322</v>
      </c>
      <c r="C209" s="6" t="s">
        <v>162</v>
      </c>
      <c r="D209" s="8" t="s">
        <v>144</v>
      </c>
      <c r="E209" s="6" t="s">
        <v>110</v>
      </c>
      <c r="F209" s="6" t="s">
        <v>85</v>
      </c>
      <c r="G209" s="11" t="s">
        <v>56</v>
      </c>
      <c r="H209" s="10" t="s">
        <v>1323</v>
      </c>
      <c r="I209" s="6" t="s">
        <v>1324</v>
      </c>
      <c r="J209" s="12">
        <v>46121.523125</v>
      </c>
      <c r="K209" s="6" t="str" cm="1">
        <f t="array" ref="K209">LOOKUP(2^15,SEARCH(Tabela2[Palavras-Chave],Boletim[[#This Row],[Objeto]],1),Tabela2[Palavras-Chave])</f>
        <v>INOX</v>
      </c>
    </row>
    <row r="210" spans="1:11" ht="115.2" hidden="1" x14ac:dyDescent="0.3">
      <c r="A210" s="5">
        <v>18808262</v>
      </c>
      <c r="B210" s="6" t="s">
        <v>1325</v>
      </c>
      <c r="C210" s="6" t="s">
        <v>162</v>
      </c>
      <c r="D210" s="8" t="s">
        <v>144</v>
      </c>
      <c r="E210" s="6" t="s">
        <v>1326</v>
      </c>
      <c r="F210" s="6" t="s">
        <v>85</v>
      </c>
      <c r="G210" s="11" t="s">
        <v>56</v>
      </c>
      <c r="H210" s="10" t="s">
        <v>1327</v>
      </c>
      <c r="I210" s="6" t="s">
        <v>1328</v>
      </c>
      <c r="J210" s="12">
        <v>46121.745509259257</v>
      </c>
      <c r="K210" s="6" t="e" cm="1">
        <f t="array" ref="K210">LOOKUP(2^15,SEARCH(Tabela2[Palavras-Chave],Boletim[[#This Row],[Objeto]],1),Tabela2[Palavras-Chave])</f>
        <v>#N/A</v>
      </c>
    </row>
    <row r="211" spans="1:11" ht="100.8" hidden="1" x14ac:dyDescent="0.3">
      <c r="A211" s="5">
        <v>18807429</v>
      </c>
      <c r="B211" s="6" t="s">
        <v>74</v>
      </c>
      <c r="C211" s="6" t="s">
        <v>87</v>
      </c>
      <c r="D211" s="8" t="s">
        <v>86</v>
      </c>
      <c r="E211" s="6" t="s">
        <v>1319</v>
      </c>
      <c r="F211" s="6" t="s">
        <v>85</v>
      </c>
      <c r="G211" s="11" t="s">
        <v>56</v>
      </c>
      <c r="H211" s="10" t="s">
        <v>1320</v>
      </c>
      <c r="I211" s="6" t="s">
        <v>1321</v>
      </c>
      <c r="J211" s="12">
        <v>46121.447268518517</v>
      </c>
      <c r="K211" s="6" t="e" cm="1">
        <f t="array" ref="K211">LOOKUP(2^15,SEARCH(Tabela2[Palavras-Chave],Boletim[[#This Row],[Objeto]],1),Tabela2[Palavras-Chave])</f>
        <v>#N/A</v>
      </c>
    </row>
    <row r="212" spans="1:11" ht="244.8" hidden="1" x14ac:dyDescent="0.3">
      <c r="A212" s="5">
        <v>18807118</v>
      </c>
      <c r="B212" s="6" t="s">
        <v>1329</v>
      </c>
      <c r="C212" s="6" t="s">
        <v>1330</v>
      </c>
      <c r="D212" s="8" t="s">
        <v>86</v>
      </c>
      <c r="E212" s="6" t="s">
        <v>115</v>
      </c>
      <c r="F212" s="6" t="s">
        <v>85</v>
      </c>
      <c r="G212" s="11" t="s">
        <v>56</v>
      </c>
      <c r="H212" s="10" t="s">
        <v>1331</v>
      </c>
      <c r="I212" s="6" t="s">
        <v>1332</v>
      </c>
      <c r="J212" s="12">
        <v>46121.503460648149</v>
      </c>
      <c r="K212" s="6" t="e" cm="1">
        <f t="array" ref="K212">LOOKUP(2^15,SEARCH(Tabela2[Palavras-Chave],Boletim[[#This Row],[Objeto]],1),Tabela2[Palavras-Chave])</f>
        <v>#N/A</v>
      </c>
    </row>
    <row r="213" spans="1:11" ht="115.2" hidden="1" x14ac:dyDescent="0.3">
      <c r="A213" s="5">
        <v>18808234</v>
      </c>
      <c r="B213" s="6" t="s">
        <v>1333</v>
      </c>
      <c r="C213" s="6" t="s">
        <v>1334</v>
      </c>
      <c r="D213" s="8" t="s">
        <v>86</v>
      </c>
      <c r="E213" s="6" t="s">
        <v>152</v>
      </c>
      <c r="F213" s="6" t="s">
        <v>85</v>
      </c>
      <c r="G213" s="11" t="s">
        <v>56</v>
      </c>
      <c r="H213" s="10" t="s">
        <v>1335</v>
      </c>
      <c r="I213" s="6" t="s">
        <v>1336</v>
      </c>
      <c r="J213" s="12">
        <v>46121.680150462962</v>
      </c>
      <c r="K213" s="6" t="e" cm="1">
        <f t="array" ref="K213">LOOKUP(2^15,SEARCH(Tabela2[Palavras-Chave],Boletim[[#This Row],[Objeto]],1),Tabela2[Palavras-Chave])</f>
        <v>#N/A</v>
      </c>
    </row>
    <row r="214" spans="1:11" ht="72" hidden="1" x14ac:dyDescent="0.3">
      <c r="A214" s="5">
        <v>18792816</v>
      </c>
      <c r="B214" s="6" t="s">
        <v>1337</v>
      </c>
      <c r="C214" s="6" t="s">
        <v>87</v>
      </c>
      <c r="D214" s="8" t="s">
        <v>86</v>
      </c>
      <c r="E214" s="6" t="s">
        <v>1338</v>
      </c>
      <c r="F214" s="6" t="s">
        <v>85</v>
      </c>
      <c r="G214" s="11">
        <v>46141</v>
      </c>
      <c r="H214" s="10" t="s">
        <v>1339</v>
      </c>
      <c r="I214" s="6" t="s">
        <v>1340</v>
      </c>
      <c r="J214" s="12">
        <v>46121.698645833334</v>
      </c>
      <c r="K214" s="6" t="e" cm="1">
        <f t="array" ref="K214">LOOKUP(2^15,SEARCH(Tabela2[Palavras-Chave],Boletim[[#This Row],[Objeto]],1),Tabela2[Palavras-Chave])</f>
        <v>#N/A</v>
      </c>
    </row>
    <row r="215" spans="1:11" ht="28.8" hidden="1" x14ac:dyDescent="0.3">
      <c r="A215" s="5">
        <v>18808671</v>
      </c>
      <c r="B215" s="6" t="s">
        <v>205</v>
      </c>
      <c r="C215" s="6" t="s">
        <v>87</v>
      </c>
      <c r="D215" s="8" t="s">
        <v>86</v>
      </c>
      <c r="E215" s="6" t="s">
        <v>1341</v>
      </c>
      <c r="F215" s="6" t="s">
        <v>85</v>
      </c>
      <c r="G215" s="11">
        <v>46134.375</v>
      </c>
      <c r="H215" s="10" t="s">
        <v>1342</v>
      </c>
      <c r="I215" s="6" t="s">
        <v>1343</v>
      </c>
      <c r="J215" s="12">
        <v>46121.721053240741</v>
      </c>
      <c r="K215" s="6" t="e" cm="1">
        <f t="array" ref="K215">LOOKUP(2^15,SEARCH(Tabela2[Palavras-Chave],Boletim[[#This Row],[Objeto]],1),Tabela2[Palavras-Chave])</f>
        <v>#N/A</v>
      </c>
    </row>
    <row r="216" spans="1:11" ht="244.8" hidden="1" x14ac:dyDescent="0.3">
      <c r="A216" s="5">
        <v>18809238</v>
      </c>
      <c r="B216" s="6" t="s">
        <v>1344</v>
      </c>
      <c r="C216" s="6" t="s">
        <v>1345</v>
      </c>
      <c r="D216" s="8" t="s">
        <v>86</v>
      </c>
      <c r="E216" s="6" t="s">
        <v>146</v>
      </c>
      <c r="F216" s="6" t="s">
        <v>85</v>
      </c>
      <c r="G216" s="11" t="s">
        <v>56</v>
      </c>
      <c r="H216" s="10" t="s">
        <v>1346</v>
      </c>
      <c r="I216" s="6" t="s">
        <v>1347</v>
      </c>
      <c r="J216" s="12">
        <v>46121.728576388887</v>
      </c>
      <c r="K216" s="6" t="e" cm="1">
        <f t="array" ref="K216">LOOKUP(2^15,SEARCH(Tabela2[Palavras-Chave],Boletim[[#This Row],[Objeto]],1),Tabela2[Palavras-Chave])</f>
        <v>#N/A</v>
      </c>
    </row>
    <row r="217" spans="1:11" ht="244.8" hidden="1" x14ac:dyDescent="0.3">
      <c r="A217" s="5">
        <v>18811189</v>
      </c>
      <c r="B217" s="6" t="s">
        <v>1348</v>
      </c>
      <c r="C217" s="6" t="s">
        <v>1349</v>
      </c>
      <c r="D217" s="8" t="s">
        <v>86</v>
      </c>
      <c r="E217" s="6" t="s">
        <v>142</v>
      </c>
      <c r="F217" s="6" t="s">
        <v>85</v>
      </c>
      <c r="G217" s="11" t="s">
        <v>56</v>
      </c>
      <c r="H217" s="10" t="s">
        <v>1350</v>
      </c>
      <c r="I217" s="6" t="s">
        <v>1351</v>
      </c>
      <c r="J217" s="12">
        <v>46121.81559027778</v>
      </c>
      <c r="K217" s="6" t="e" cm="1">
        <f t="array" ref="K217">LOOKUP(2^15,SEARCH(Tabela2[Palavras-Chave],Boletim[[#This Row],[Objeto]],1),Tabela2[Palavras-Chave])</f>
        <v>#N/A</v>
      </c>
    </row>
    <row r="218" spans="1:11" ht="129.6" hidden="1" x14ac:dyDescent="0.3">
      <c r="A218" s="5">
        <v>18807290</v>
      </c>
      <c r="B218" s="6" t="s">
        <v>1352</v>
      </c>
      <c r="C218" s="6" t="s">
        <v>87</v>
      </c>
      <c r="D218" s="8" t="s">
        <v>86</v>
      </c>
      <c r="E218" s="6" t="s">
        <v>1341</v>
      </c>
      <c r="F218" s="6" t="s">
        <v>85</v>
      </c>
      <c r="G218" s="11">
        <v>46134</v>
      </c>
      <c r="H218" s="10" t="s">
        <v>1353</v>
      </c>
      <c r="I218" s="6" t="s">
        <v>1354</v>
      </c>
      <c r="J218" s="12">
        <v>46121.838159722225</v>
      </c>
      <c r="K218" s="6" t="e" cm="1">
        <f t="array" ref="K218">LOOKUP(2^15,SEARCH(Tabela2[Palavras-Chave],Boletim[[#This Row],[Objeto]],1),Tabela2[Palavras-Chave])</f>
        <v>#N/A</v>
      </c>
    </row>
    <row r="219" spans="1:11" ht="100.8" hidden="1" x14ac:dyDescent="0.3">
      <c r="A219" s="5">
        <v>18807431</v>
      </c>
      <c r="B219" s="6" t="s">
        <v>74</v>
      </c>
      <c r="C219" s="6" t="s">
        <v>52</v>
      </c>
      <c r="D219" s="8" t="s">
        <v>50</v>
      </c>
      <c r="E219" s="6" t="s">
        <v>1319</v>
      </c>
      <c r="F219" s="6" t="s">
        <v>85</v>
      </c>
      <c r="G219" s="11" t="s">
        <v>56</v>
      </c>
      <c r="H219" s="10" t="s">
        <v>1320</v>
      </c>
      <c r="I219" s="6" t="s">
        <v>1321</v>
      </c>
      <c r="J219" s="12">
        <v>46121.447268518517</v>
      </c>
      <c r="K219" s="6" t="e" cm="1">
        <f t="array" ref="K219">LOOKUP(2^15,SEARCH(Tabela2[Palavras-Chave],Boletim[[#This Row],[Objeto]],1),Tabela2[Palavras-Chave])</f>
        <v>#N/A</v>
      </c>
    </row>
    <row r="220" spans="1:11" ht="72" hidden="1" x14ac:dyDescent="0.3">
      <c r="A220" s="5">
        <v>18807455</v>
      </c>
      <c r="B220" s="6" t="s">
        <v>74</v>
      </c>
      <c r="C220" s="6" t="s">
        <v>52</v>
      </c>
      <c r="D220" s="8" t="s">
        <v>50</v>
      </c>
      <c r="E220" s="6" t="s">
        <v>1355</v>
      </c>
      <c r="F220" s="6" t="s">
        <v>85</v>
      </c>
      <c r="G220" s="11" t="s">
        <v>56</v>
      </c>
      <c r="H220" s="10" t="s">
        <v>1356</v>
      </c>
      <c r="I220" s="6" t="s">
        <v>1357</v>
      </c>
      <c r="J220" s="12">
        <v>46121.458402777775</v>
      </c>
      <c r="K220" s="6" t="e" cm="1">
        <f t="array" ref="K220">LOOKUP(2^15,SEARCH(Tabela2[Palavras-Chave],Boletim[[#This Row],[Objeto]],1),Tabela2[Palavras-Chave])</f>
        <v>#N/A</v>
      </c>
    </row>
    <row r="221" spans="1:11" ht="115.2" hidden="1" x14ac:dyDescent="0.3">
      <c r="A221" s="5">
        <v>18808238</v>
      </c>
      <c r="B221" s="6" t="s">
        <v>1358</v>
      </c>
      <c r="C221" s="6" t="s">
        <v>1359</v>
      </c>
      <c r="D221" s="8" t="s">
        <v>50</v>
      </c>
      <c r="E221" s="6" t="s">
        <v>212</v>
      </c>
      <c r="F221" s="6" t="s">
        <v>85</v>
      </c>
      <c r="G221" s="11" t="s">
        <v>56</v>
      </c>
      <c r="H221" s="10" t="s">
        <v>1360</v>
      </c>
      <c r="I221" s="6" t="s">
        <v>1361</v>
      </c>
      <c r="J221" s="12">
        <v>46121.720057870371</v>
      </c>
      <c r="K221" s="6" t="e" cm="1">
        <f t="array" ref="K221">LOOKUP(2^15,SEARCH(Tabela2[Palavras-Chave],Boletim[[#This Row],[Objeto]],1),Tabela2[Palavras-Chave])</f>
        <v>#N/A</v>
      </c>
    </row>
    <row r="222" spans="1:11" ht="100.8" hidden="1" x14ac:dyDescent="0.3">
      <c r="A222" s="5">
        <v>18807532</v>
      </c>
      <c r="B222" s="6" t="s">
        <v>1362</v>
      </c>
      <c r="C222" s="6" t="s">
        <v>1363</v>
      </c>
      <c r="D222" s="8" t="s">
        <v>50</v>
      </c>
      <c r="E222" s="6" t="s">
        <v>115</v>
      </c>
      <c r="F222" s="6" t="s">
        <v>85</v>
      </c>
      <c r="G222" s="11">
        <v>46132.582638888889</v>
      </c>
      <c r="H222" s="10" t="s">
        <v>1364</v>
      </c>
      <c r="I222" s="6" t="s">
        <v>1365</v>
      </c>
      <c r="J222" s="12">
        <v>46121.729895833334</v>
      </c>
      <c r="K222" s="6" t="e" cm="1">
        <f t="array" ref="K222">LOOKUP(2^15,SEARCH(Tabela2[Palavras-Chave],Boletim[[#This Row],[Objeto]],1),Tabela2[Palavras-Chave])</f>
        <v>#N/A</v>
      </c>
    </row>
    <row r="223" spans="1:11" ht="100.8" hidden="1" x14ac:dyDescent="0.3">
      <c r="A223" s="5">
        <v>18807432</v>
      </c>
      <c r="B223" s="6" t="s">
        <v>74</v>
      </c>
      <c r="C223" s="6" t="s">
        <v>1366</v>
      </c>
      <c r="D223" s="8" t="s">
        <v>1367</v>
      </c>
      <c r="E223" s="6" t="s">
        <v>1319</v>
      </c>
      <c r="F223" s="6" t="s">
        <v>85</v>
      </c>
      <c r="G223" s="11" t="s">
        <v>56</v>
      </c>
      <c r="H223" s="10" t="s">
        <v>1320</v>
      </c>
      <c r="I223" s="6" t="s">
        <v>1321</v>
      </c>
      <c r="J223" s="12">
        <v>46121.447280092594</v>
      </c>
      <c r="K223" s="6" t="e" cm="1">
        <f t="array" ref="K223">LOOKUP(2^15,SEARCH(Tabela2[Palavras-Chave],Boletim[[#This Row],[Objeto]],1),Tabela2[Palavras-Chave])</f>
        <v>#N/A</v>
      </c>
    </row>
    <row r="224" spans="1:11" ht="187.2" hidden="1" x14ac:dyDescent="0.3">
      <c r="A224" s="5">
        <v>18802512</v>
      </c>
      <c r="B224" s="6" t="s">
        <v>163</v>
      </c>
      <c r="C224" s="6" t="s">
        <v>53</v>
      </c>
      <c r="D224" s="8" t="s">
        <v>54</v>
      </c>
      <c r="E224" s="6" t="s">
        <v>409</v>
      </c>
      <c r="F224" s="6" t="s">
        <v>85</v>
      </c>
      <c r="G224" s="11">
        <v>46146.583333333336</v>
      </c>
      <c r="H224" s="10" t="s">
        <v>410</v>
      </c>
      <c r="I224" s="6" t="s">
        <v>411</v>
      </c>
      <c r="J224" s="12">
        <v>46121.389062499999</v>
      </c>
      <c r="K224" s="6" t="e" cm="1">
        <f t="array" ref="K224">LOOKUP(2^15,SEARCH(Tabela2[Palavras-Chave],Boletim[[#This Row],[Objeto]],1),Tabela2[Palavras-Chave])</f>
        <v>#N/A</v>
      </c>
    </row>
    <row r="225" spans="1:11" ht="144" hidden="1" x14ac:dyDescent="0.3">
      <c r="A225" s="5">
        <v>18802511</v>
      </c>
      <c r="B225" s="6" t="s">
        <v>163</v>
      </c>
      <c r="C225" s="6" t="s">
        <v>53</v>
      </c>
      <c r="D225" s="8" t="s">
        <v>54</v>
      </c>
      <c r="E225" s="6" t="s">
        <v>295</v>
      </c>
      <c r="F225" s="6" t="s">
        <v>85</v>
      </c>
      <c r="G225" s="11" t="s">
        <v>56</v>
      </c>
      <c r="H225" s="10" t="s">
        <v>396</v>
      </c>
      <c r="I225" s="6" t="s">
        <v>397</v>
      </c>
      <c r="J225" s="12">
        <v>46121.496087962965</v>
      </c>
      <c r="K225" s="6" t="e" cm="1">
        <f t="array" ref="K225">LOOKUP(2^15,SEARCH(Tabela2[Palavras-Chave],Boletim[[#This Row],[Objeto]],1),Tabela2[Palavras-Chave])</f>
        <v>#N/A</v>
      </c>
    </row>
    <row r="226" spans="1:11" ht="187.2" hidden="1" x14ac:dyDescent="0.3">
      <c r="A226" s="5">
        <v>18802505</v>
      </c>
      <c r="B226" s="6" t="s">
        <v>163</v>
      </c>
      <c r="C226" s="6" t="s">
        <v>53</v>
      </c>
      <c r="D226" s="8" t="s">
        <v>54</v>
      </c>
      <c r="E226" s="6" t="s">
        <v>406</v>
      </c>
      <c r="F226" s="6" t="s">
        <v>85</v>
      </c>
      <c r="G226" s="11" t="s">
        <v>56</v>
      </c>
      <c r="H226" s="10" t="s">
        <v>407</v>
      </c>
      <c r="I226" s="6" t="s">
        <v>408</v>
      </c>
      <c r="J226" s="12">
        <v>46121.389062499999</v>
      </c>
      <c r="K226" s="6" t="e" cm="1">
        <f t="array" ref="K226">LOOKUP(2^15,SEARCH(Tabela2[Palavras-Chave],Boletim[[#This Row],[Objeto]],1),Tabela2[Palavras-Chave])</f>
        <v>#N/A</v>
      </c>
    </row>
    <row r="227" spans="1:11" ht="187.2" hidden="1" x14ac:dyDescent="0.3">
      <c r="A227" s="5">
        <v>18802509</v>
      </c>
      <c r="B227" s="6" t="s">
        <v>163</v>
      </c>
      <c r="C227" s="6" t="s">
        <v>53</v>
      </c>
      <c r="D227" s="8" t="s">
        <v>54</v>
      </c>
      <c r="E227" s="6" t="s">
        <v>398</v>
      </c>
      <c r="F227" s="6" t="s">
        <v>85</v>
      </c>
      <c r="G227" s="11" t="s">
        <v>56</v>
      </c>
      <c r="H227" s="10" t="s">
        <v>399</v>
      </c>
      <c r="I227" s="6" t="s">
        <v>400</v>
      </c>
      <c r="J227" s="12">
        <v>46121.389062499999</v>
      </c>
      <c r="K227" s="6" t="e" cm="1">
        <f t="array" ref="K227">LOOKUP(2^15,SEARCH(Tabela2[Palavras-Chave],Boletim[[#This Row],[Objeto]],1),Tabela2[Palavras-Chave])</f>
        <v>#N/A</v>
      </c>
    </row>
    <row r="228" spans="1:11" ht="57.6" hidden="1" x14ac:dyDescent="0.3">
      <c r="A228" s="5">
        <v>18805619</v>
      </c>
      <c r="B228" s="6" t="s">
        <v>616</v>
      </c>
      <c r="C228" s="6" t="s">
        <v>617</v>
      </c>
      <c r="D228" s="8" t="s">
        <v>54</v>
      </c>
      <c r="E228" s="6" t="s">
        <v>113</v>
      </c>
      <c r="F228" s="6" t="s">
        <v>85</v>
      </c>
      <c r="G228" s="11">
        <v>46135.416666666664</v>
      </c>
      <c r="H228" s="10" t="s">
        <v>618</v>
      </c>
      <c r="I228" s="6" t="s">
        <v>619</v>
      </c>
      <c r="J228" s="12">
        <v>46121.409050925926</v>
      </c>
      <c r="K228" s="6" t="e" cm="1">
        <f t="array" ref="K228">LOOKUP(2^15,SEARCH(Tabela2[Palavras-Chave],Boletim[[#This Row],[Objeto]],1),Tabela2[Palavras-Chave])</f>
        <v>#N/A</v>
      </c>
    </row>
    <row r="229" spans="1:11" ht="115.2" hidden="1" x14ac:dyDescent="0.3">
      <c r="A229" s="5">
        <v>18802563</v>
      </c>
      <c r="B229" s="6" t="s">
        <v>392</v>
      </c>
      <c r="C229" s="6" t="s">
        <v>393</v>
      </c>
      <c r="D229" s="8" t="s">
        <v>54</v>
      </c>
      <c r="E229" s="6" t="s">
        <v>175</v>
      </c>
      <c r="F229" s="6" t="s">
        <v>85</v>
      </c>
      <c r="G229" s="11" t="s">
        <v>56</v>
      </c>
      <c r="H229" s="10" t="s">
        <v>394</v>
      </c>
      <c r="I229" s="6" t="s">
        <v>395</v>
      </c>
      <c r="J229" s="12">
        <v>46121.409062500003</v>
      </c>
      <c r="K229" s="6" t="e" cm="1">
        <f t="array" ref="K229">LOOKUP(2^15,SEARCH(Tabela2[Palavras-Chave],Boletim[[#This Row],[Objeto]],1),Tabela2[Palavras-Chave])</f>
        <v>#N/A</v>
      </c>
    </row>
    <row r="230" spans="1:11" ht="100.8" hidden="1" x14ac:dyDescent="0.3">
      <c r="A230" s="5">
        <v>18807433</v>
      </c>
      <c r="B230" s="6" t="s">
        <v>74</v>
      </c>
      <c r="C230" s="6" t="s">
        <v>53</v>
      </c>
      <c r="D230" s="8" t="s">
        <v>54</v>
      </c>
      <c r="E230" s="6" t="s">
        <v>1319</v>
      </c>
      <c r="F230" s="6" t="s">
        <v>85</v>
      </c>
      <c r="G230" s="11" t="s">
        <v>56</v>
      </c>
      <c r="H230" s="10" t="s">
        <v>1320</v>
      </c>
      <c r="I230" s="6" t="s">
        <v>1321</v>
      </c>
      <c r="J230" s="12">
        <v>46121.447280092594</v>
      </c>
      <c r="K230" s="6" t="e" cm="1">
        <f t="array" ref="K230">LOOKUP(2^15,SEARCH(Tabela2[Palavras-Chave],Boletim[[#This Row],[Objeto]],1),Tabela2[Palavras-Chave])</f>
        <v>#N/A</v>
      </c>
    </row>
    <row r="231" spans="1:11" ht="244.8" hidden="1" x14ac:dyDescent="0.3">
      <c r="A231" s="13">
        <v>18807133</v>
      </c>
      <c r="B231" s="10" t="s">
        <v>1368</v>
      </c>
      <c r="C231" s="10" t="s">
        <v>1369</v>
      </c>
      <c r="D231" s="15" t="s">
        <v>54</v>
      </c>
      <c r="E231" s="10" t="s">
        <v>114</v>
      </c>
      <c r="F231" s="10" t="s">
        <v>85</v>
      </c>
      <c r="G231" s="16" t="s">
        <v>56</v>
      </c>
      <c r="H231" s="10" t="s">
        <v>1370</v>
      </c>
      <c r="I231" s="10" t="s">
        <v>1371</v>
      </c>
      <c r="J231" s="17">
        <v>46121.446631944447</v>
      </c>
      <c r="K231" s="6" t="e" cm="1">
        <f t="array" ref="K231">LOOKUP(2^15,SEARCH(Tabela2[Palavras-Chave],Boletim[[#This Row],[Objeto]],1),Tabela2[Palavras-Chave])</f>
        <v>#N/A</v>
      </c>
    </row>
    <row r="232" spans="1:11" ht="259.2" hidden="1" x14ac:dyDescent="0.3">
      <c r="A232" s="5">
        <v>18807094</v>
      </c>
      <c r="B232" s="6" t="s">
        <v>1372</v>
      </c>
      <c r="C232" s="6" t="s">
        <v>1373</v>
      </c>
      <c r="D232" s="8" t="s">
        <v>54</v>
      </c>
      <c r="E232" s="6" t="s">
        <v>106</v>
      </c>
      <c r="F232" s="6" t="s">
        <v>85</v>
      </c>
      <c r="G232" s="11" t="s">
        <v>56</v>
      </c>
      <c r="H232" s="10" t="s">
        <v>1374</v>
      </c>
      <c r="I232" s="6" t="s">
        <v>1375</v>
      </c>
      <c r="J232" s="12">
        <v>46121.481307870374</v>
      </c>
      <c r="K232" s="6" t="e" cm="1">
        <f t="array" ref="K232">LOOKUP(2^15,SEARCH(Tabela2[Palavras-Chave],Boletim[[#This Row],[Objeto]],1),Tabela2[Palavras-Chave])</f>
        <v>#N/A</v>
      </c>
    </row>
    <row r="233" spans="1:11" ht="57.6" hidden="1" x14ac:dyDescent="0.3">
      <c r="A233" s="5">
        <v>18807287</v>
      </c>
      <c r="B233" s="6" t="s">
        <v>1376</v>
      </c>
      <c r="C233" s="6" t="s">
        <v>1377</v>
      </c>
      <c r="D233" s="8" t="s">
        <v>54</v>
      </c>
      <c r="E233" s="6" t="s">
        <v>262</v>
      </c>
      <c r="F233" s="6" t="s">
        <v>85</v>
      </c>
      <c r="G233" s="11">
        <v>46142</v>
      </c>
      <c r="H233" s="10" t="s">
        <v>1378</v>
      </c>
      <c r="I233" s="6" t="s">
        <v>1379</v>
      </c>
      <c r="J233" s="12">
        <v>46121.509328703702</v>
      </c>
      <c r="K233" s="6" t="e" cm="1">
        <f t="array" ref="K233">LOOKUP(2^15,SEARCH(Tabela2[Palavras-Chave],Boletim[[#This Row],[Objeto]],1),Tabela2[Palavras-Chave])</f>
        <v>#N/A</v>
      </c>
    </row>
    <row r="234" spans="1:11" ht="244.8" hidden="1" x14ac:dyDescent="0.3">
      <c r="A234" s="13">
        <v>18807876</v>
      </c>
      <c r="B234" s="10" t="s">
        <v>1380</v>
      </c>
      <c r="C234" s="10" t="s">
        <v>1381</v>
      </c>
      <c r="D234" s="15" t="s">
        <v>54</v>
      </c>
      <c r="E234" s="10" t="s">
        <v>124</v>
      </c>
      <c r="F234" s="10" t="s">
        <v>85</v>
      </c>
      <c r="G234" s="16" t="s">
        <v>56</v>
      </c>
      <c r="H234" s="10" t="s">
        <v>1382</v>
      </c>
      <c r="I234" s="10" t="s">
        <v>1383</v>
      </c>
      <c r="J234" s="17">
        <v>46121.526273148149</v>
      </c>
      <c r="K234" s="6" t="e" cm="1">
        <f t="array" ref="K234">LOOKUP(2^15,SEARCH(Tabela2[Palavras-Chave],Boletim[[#This Row],[Objeto]],1),Tabela2[Palavras-Chave])</f>
        <v>#N/A</v>
      </c>
    </row>
    <row r="235" spans="1:11" ht="244.8" hidden="1" x14ac:dyDescent="0.3">
      <c r="A235" s="5">
        <v>18809456</v>
      </c>
      <c r="B235" s="6" t="s">
        <v>404</v>
      </c>
      <c r="C235" s="6" t="s">
        <v>405</v>
      </c>
      <c r="D235" s="8" t="s">
        <v>54</v>
      </c>
      <c r="E235" s="6" t="s">
        <v>108</v>
      </c>
      <c r="F235" s="6" t="s">
        <v>85</v>
      </c>
      <c r="G235" s="11" t="s">
        <v>56</v>
      </c>
      <c r="H235" s="10" t="s">
        <v>1384</v>
      </c>
      <c r="I235" s="6" t="s">
        <v>1385</v>
      </c>
      <c r="J235" s="12">
        <v>46121.602129629631</v>
      </c>
      <c r="K235" s="6" t="e" cm="1">
        <f t="array" ref="K235">LOOKUP(2^15,SEARCH(Tabela2[Palavras-Chave],Boletim[[#This Row],[Objeto]],1),Tabela2[Palavras-Chave])</f>
        <v>#N/A</v>
      </c>
    </row>
    <row r="236" spans="1:11" ht="100.8" hidden="1" x14ac:dyDescent="0.3">
      <c r="A236" s="13">
        <v>18806852</v>
      </c>
      <c r="B236" s="10" t="s">
        <v>412</v>
      </c>
      <c r="C236" s="10" t="s">
        <v>413</v>
      </c>
      <c r="D236" s="15" t="s">
        <v>54</v>
      </c>
      <c r="E236" s="10" t="s">
        <v>122</v>
      </c>
      <c r="F236" s="10" t="s">
        <v>85</v>
      </c>
      <c r="G236" s="16" t="s">
        <v>56</v>
      </c>
      <c r="H236" s="10" t="s">
        <v>1386</v>
      </c>
      <c r="I236" s="10" t="s">
        <v>1387</v>
      </c>
      <c r="J236" s="17">
        <v>46121.613159722219</v>
      </c>
      <c r="K236" s="6" t="e" cm="1">
        <f t="array" ref="K236">LOOKUP(2^15,SEARCH(Tabela2[Palavras-Chave],Boletim[[#This Row],[Objeto]],1),Tabela2[Palavras-Chave])</f>
        <v>#N/A</v>
      </c>
    </row>
    <row r="237" spans="1:11" ht="172.8" hidden="1" x14ac:dyDescent="0.3">
      <c r="A237" s="5">
        <v>18809768</v>
      </c>
      <c r="B237" s="6" t="s">
        <v>1388</v>
      </c>
      <c r="C237" s="6" t="s">
        <v>53</v>
      </c>
      <c r="D237" s="8" t="s">
        <v>54</v>
      </c>
      <c r="E237" s="6" t="s">
        <v>1389</v>
      </c>
      <c r="F237" s="6" t="s">
        <v>85</v>
      </c>
      <c r="G237" s="11" t="s">
        <v>56</v>
      </c>
      <c r="H237" s="10" t="s">
        <v>1390</v>
      </c>
      <c r="I237" s="6" t="s">
        <v>1391</v>
      </c>
      <c r="J237" s="12">
        <v>46121.636828703704</v>
      </c>
      <c r="K237" s="6" t="e" cm="1">
        <f t="array" ref="K237">LOOKUP(2^15,SEARCH(Tabela2[Palavras-Chave],Boletim[[#This Row],[Objeto]],1),Tabela2[Palavras-Chave])</f>
        <v>#N/A</v>
      </c>
    </row>
    <row r="238" spans="1:11" ht="259.2" hidden="1" x14ac:dyDescent="0.3">
      <c r="A238" s="13">
        <v>18809732</v>
      </c>
      <c r="B238" s="10" t="s">
        <v>1392</v>
      </c>
      <c r="C238" s="10" t="s">
        <v>1393</v>
      </c>
      <c r="D238" s="15" t="s">
        <v>54</v>
      </c>
      <c r="E238" s="10" t="s">
        <v>1394</v>
      </c>
      <c r="F238" s="10" t="s">
        <v>85</v>
      </c>
      <c r="G238" s="16" t="s">
        <v>56</v>
      </c>
      <c r="H238" s="10" t="s">
        <v>1395</v>
      </c>
      <c r="I238" s="10" t="s">
        <v>1396</v>
      </c>
      <c r="J238" s="17">
        <v>46121.665034722224</v>
      </c>
      <c r="K238" s="6" t="e" cm="1">
        <f t="array" ref="K238">LOOKUP(2^15,SEARCH(Tabela2[Palavras-Chave],Boletim[[#This Row],[Objeto]],1),Tabela2[Palavras-Chave])</f>
        <v>#N/A</v>
      </c>
    </row>
    <row r="239" spans="1:11" ht="57.6" hidden="1" x14ac:dyDescent="0.3">
      <c r="A239" s="5">
        <v>18809599</v>
      </c>
      <c r="B239" s="6" t="s">
        <v>284</v>
      </c>
      <c r="C239" s="6" t="s">
        <v>285</v>
      </c>
      <c r="D239" s="8" t="s">
        <v>54</v>
      </c>
      <c r="E239" s="6" t="s">
        <v>165</v>
      </c>
      <c r="F239" s="6" t="s">
        <v>85</v>
      </c>
      <c r="G239" s="11">
        <v>46135.354166666664</v>
      </c>
      <c r="H239" s="10" t="s">
        <v>1397</v>
      </c>
      <c r="I239" s="6" t="s">
        <v>1398</v>
      </c>
      <c r="J239" s="12">
        <v>46121.675462962965</v>
      </c>
      <c r="K239" s="6" t="e" cm="1">
        <f t="array" ref="K239">LOOKUP(2^15,SEARCH(Tabela2[Palavras-Chave],Boletim[[#This Row],[Objeto]],1),Tabela2[Palavras-Chave])</f>
        <v>#N/A</v>
      </c>
    </row>
    <row r="240" spans="1:11" ht="57.6" hidden="1" x14ac:dyDescent="0.3">
      <c r="A240" s="5">
        <v>18809626</v>
      </c>
      <c r="B240" s="6" t="s">
        <v>1399</v>
      </c>
      <c r="C240" s="6" t="s">
        <v>1400</v>
      </c>
      <c r="D240" s="8" t="s">
        <v>54</v>
      </c>
      <c r="E240" s="6" t="s">
        <v>450</v>
      </c>
      <c r="F240" s="6" t="s">
        <v>85</v>
      </c>
      <c r="G240" s="11" t="s">
        <v>56</v>
      </c>
      <c r="H240" s="10" t="s">
        <v>1401</v>
      </c>
      <c r="I240" s="6" t="s">
        <v>1402</v>
      </c>
      <c r="J240" s="12">
        <v>46121.742395833331</v>
      </c>
      <c r="K240" s="6" t="e" cm="1">
        <f t="array" ref="K240">LOOKUP(2^15,SEARCH(Tabela2[Palavras-Chave],Boletim[[#This Row],[Objeto]],1),Tabela2[Palavras-Chave])</f>
        <v>#N/A</v>
      </c>
    </row>
    <row r="241" spans="1:11" ht="86.4" hidden="1" x14ac:dyDescent="0.3">
      <c r="A241" s="5">
        <v>18808994</v>
      </c>
      <c r="B241" s="6" t="s">
        <v>1403</v>
      </c>
      <c r="C241" s="6" t="s">
        <v>1404</v>
      </c>
      <c r="D241" s="8" t="s">
        <v>54</v>
      </c>
      <c r="E241" s="6" t="s">
        <v>441</v>
      </c>
      <c r="F241" s="6" t="s">
        <v>85</v>
      </c>
      <c r="G241" s="11" t="s">
        <v>56</v>
      </c>
      <c r="H241" s="10" t="s">
        <v>1405</v>
      </c>
      <c r="I241" s="6" t="s">
        <v>1406</v>
      </c>
      <c r="J241" s="12">
        <v>46121.704305555555</v>
      </c>
      <c r="K241" s="6" t="e" cm="1">
        <f t="array" ref="K241">LOOKUP(2^15,SEARCH(Tabela2[Palavras-Chave],Boletim[[#This Row],[Objeto]],1),Tabela2[Palavras-Chave])</f>
        <v>#N/A</v>
      </c>
    </row>
    <row r="242" spans="1:11" ht="115.2" hidden="1" x14ac:dyDescent="0.3">
      <c r="A242" s="5">
        <v>18808268</v>
      </c>
      <c r="B242" s="6" t="s">
        <v>614</v>
      </c>
      <c r="C242" s="6" t="s">
        <v>615</v>
      </c>
      <c r="D242" s="8" t="s">
        <v>54</v>
      </c>
      <c r="E242" s="6" t="s">
        <v>1316</v>
      </c>
      <c r="F242" s="6" t="s">
        <v>85</v>
      </c>
      <c r="G242" s="11" t="s">
        <v>56</v>
      </c>
      <c r="H242" s="10" t="s">
        <v>1407</v>
      </c>
      <c r="I242" s="6" t="s">
        <v>1408</v>
      </c>
      <c r="J242" s="12">
        <v>46121.719050925924</v>
      </c>
      <c r="K242" s="6" t="e" cm="1">
        <f t="array" ref="K242">LOOKUP(2^15,SEARCH(Tabela2[Palavras-Chave],Boletim[[#This Row],[Objeto]],1),Tabela2[Palavras-Chave])</f>
        <v>#N/A</v>
      </c>
    </row>
    <row r="243" spans="1:11" ht="187.2" hidden="1" x14ac:dyDescent="0.3">
      <c r="A243" s="5">
        <v>18811198</v>
      </c>
      <c r="B243" s="6" t="s">
        <v>1409</v>
      </c>
      <c r="C243" s="6" t="s">
        <v>1410</v>
      </c>
      <c r="D243" s="8" t="s">
        <v>54</v>
      </c>
      <c r="E243" s="6" t="s">
        <v>148</v>
      </c>
      <c r="F243" s="6" t="s">
        <v>85</v>
      </c>
      <c r="G243" s="11" t="s">
        <v>56</v>
      </c>
      <c r="H243" s="10" t="s">
        <v>1411</v>
      </c>
      <c r="I243" s="6" t="s">
        <v>1412</v>
      </c>
      <c r="J243" s="12">
        <v>46121.813078703701</v>
      </c>
      <c r="K243" s="6" t="e" cm="1">
        <f t="array" ref="K243">LOOKUP(2^15,SEARCH(Tabela2[Palavras-Chave],Boletim[[#This Row],[Objeto]],1),Tabela2[Palavras-Chave])</f>
        <v>#N/A</v>
      </c>
    </row>
    <row r="244" spans="1:11" ht="244.8" hidden="1" x14ac:dyDescent="0.3">
      <c r="A244" s="5">
        <v>18810364</v>
      </c>
      <c r="B244" s="6" t="s">
        <v>1413</v>
      </c>
      <c r="C244" s="6" t="s">
        <v>1414</v>
      </c>
      <c r="D244" s="8" t="s">
        <v>54</v>
      </c>
      <c r="E244" s="6" t="s">
        <v>127</v>
      </c>
      <c r="F244" s="6" t="s">
        <v>85</v>
      </c>
      <c r="G244" s="11" t="s">
        <v>56</v>
      </c>
      <c r="H244" s="10" t="s">
        <v>1415</v>
      </c>
      <c r="I244" s="6" t="s">
        <v>1416</v>
      </c>
      <c r="J244" s="12">
        <v>46121.871759259258</v>
      </c>
      <c r="K244" s="6" t="e" cm="1">
        <f t="array" ref="K244">LOOKUP(2^15,SEARCH(Tabela2[Palavras-Chave],Boletim[[#This Row],[Objeto]],1),Tabela2[Palavras-Chave])</f>
        <v>#N/A</v>
      </c>
    </row>
    <row r="245" spans="1:11" ht="100.8" hidden="1" x14ac:dyDescent="0.3">
      <c r="A245" s="5">
        <v>18807434</v>
      </c>
      <c r="B245" s="6" t="s">
        <v>74</v>
      </c>
      <c r="C245" s="6" t="s">
        <v>59</v>
      </c>
      <c r="D245" s="8" t="s">
        <v>60</v>
      </c>
      <c r="E245" s="6" t="s">
        <v>1319</v>
      </c>
      <c r="F245" s="6" t="s">
        <v>85</v>
      </c>
      <c r="G245" s="11" t="s">
        <v>56</v>
      </c>
      <c r="H245" s="10" t="s">
        <v>1320</v>
      </c>
      <c r="I245" s="6" t="s">
        <v>1321</v>
      </c>
      <c r="J245" s="12">
        <v>46121.447280092594</v>
      </c>
      <c r="K245" s="6" t="e" cm="1">
        <f t="array" ref="K245">LOOKUP(2^15,SEARCH(Tabela2[Palavras-Chave],Boletim[[#This Row],[Objeto]],1),Tabela2[Palavras-Chave])</f>
        <v>#N/A</v>
      </c>
    </row>
    <row r="246" spans="1:11" ht="57.6" hidden="1" x14ac:dyDescent="0.3">
      <c r="A246" s="5">
        <v>18802425</v>
      </c>
      <c r="B246" s="6" t="s">
        <v>414</v>
      </c>
      <c r="C246" s="6" t="s">
        <v>415</v>
      </c>
      <c r="D246" s="8" t="s">
        <v>60</v>
      </c>
      <c r="E246" s="6" t="s">
        <v>416</v>
      </c>
      <c r="F246" s="6" t="s">
        <v>85</v>
      </c>
      <c r="G246" s="11">
        <v>46135.375</v>
      </c>
      <c r="H246" s="10" t="s">
        <v>417</v>
      </c>
      <c r="I246" s="6" t="s">
        <v>418</v>
      </c>
      <c r="J246" s="12">
        <v>46121.450729166667</v>
      </c>
      <c r="K246" s="6" t="e" cm="1">
        <f t="array" ref="K246">LOOKUP(2^15,SEARCH(Tabela2[Palavras-Chave],Boletim[[#This Row],[Objeto]],1),Tabela2[Palavras-Chave])</f>
        <v>#N/A</v>
      </c>
    </row>
    <row r="247" spans="1:11" ht="259.2" hidden="1" x14ac:dyDescent="0.3">
      <c r="A247" s="5">
        <v>18806079</v>
      </c>
      <c r="B247" s="6" t="s">
        <v>419</v>
      </c>
      <c r="C247" s="6" t="s">
        <v>271</v>
      </c>
      <c r="D247" s="8" t="s">
        <v>60</v>
      </c>
      <c r="E247" s="6" t="s">
        <v>420</v>
      </c>
      <c r="F247" s="6" t="s">
        <v>85</v>
      </c>
      <c r="G247" s="11" t="s">
        <v>56</v>
      </c>
      <c r="H247" s="10" t="s">
        <v>421</v>
      </c>
      <c r="I247" s="6" t="s">
        <v>422</v>
      </c>
      <c r="J247" s="12">
        <v>46121.450740740744</v>
      </c>
      <c r="K247" s="6" t="e" cm="1">
        <f t="array" ref="K247">LOOKUP(2^15,SEARCH(Tabela2[Palavras-Chave],Boletim[[#This Row],[Objeto]],1),Tabela2[Palavras-Chave])</f>
        <v>#N/A</v>
      </c>
    </row>
    <row r="248" spans="1:11" ht="57.6" hidden="1" x14ac:dyDescent="0.3">
      <c r="A248" s="5">
        <v>18807989</v>
      </c>
      <c r="B248" s="6" t="s">
        <v>1417</v>
      </c>
      <c r="C248" s="6" t="s">
        <v>1418</v>
      </c>
      <c r="D248" s="8" t="s">
        <v>60</v>
      </c>
      <c r="E248" s="6" t="s">
        <v>1419</v>
      </c>
      <c r="F248" s="6" t="s">
        <v>85</v>
      </c>
      <c r="G248" s="11">
        <v>46135.375</v>
      </c>
      <c r="H248" s="10" t="s">
        <v>1420</v>
      </c>
      <c r="I248" s="6" t="s">
        <v>1421</v>
      </c>
      <c r="J248" s="12">
        <v>46121.518854166665</v>
      </c>
      <c r="K248" s="6" t="e" cm="1">
        <f t="array" ref="K248">LOOKUP(2^15,SEARCH(Tabela2[Palavras-Chave],Boletim[[#This Row],[Objeto]],1),Tabela2[Palavras-Chave])</f>
        <v>#N/A</v>
      </c>
    </row>
    <row r="249" spans="1:11" ht="129.6" hidden="1" x14ac:dyDescent="0.3">
      <c r="A249" s="5">
        <v>18808250</v>
      </c>
      <c r="B249" s="6" t="s">
        <v>151</v>
      </c>
      <c r="C249" s="6" t="s">
        <v>59</v>
      </c>
      <c r="D249" s="8" t="s">
        <v>60</v>
      </c>
      <c r="E249" s="6" t="s">
        <v>1422</v>
      </c>
      <c r="F249" s="6" t="s">
        <v>85</v>
      </c>
      <c r="G249" s="11" t="s">
        <v>56</v>
      </c>
      <c r="H249" s="10" t="s">
        <v>1423</v>
      </c>
      <c r="I249" s="6" t="s">
        <v>1424</v>
      </c>
      <c r="J249" s="12">
        <v>46121.694849537038</v>
      </c>
      <c r="K249" s="6" t="e" cm="1">
        <f t="array" ref="K249">LOOKUP(2^15,SEARCH(Tabela2[Palavras-Chave],Boletim[[#This Row],[Objeto]],1),Tabela2[Palavras-Chave])</f>
        <v>#N/A</v>
      </c>
    </row>
    <row r="250" spans="1:11" ht="115.2" hidden="1" x14ac:dyDescent="0.3">
      <c r="A250" s="5">
        <v>18808582</v>
      </c>
      <c r="B250" s="6" t="s">
        <v>1425</v>
      </c>
      <c r="C250" s="6" t="s">
        <v>1426</v>
      </c>
      <c r="D250" s="8" t="s">
        <v>60</v>
      </c>
      <c r="E250" s="6" t="s">
        <v>1427</v>
      </c>
      <c r="F250" s="6" t="s">
        <v>85</v>
      </c>
      <c r="G250" s="11">
        <v>46135.395833333336</v>
      </c>
      <c r="H250" s="10" t="s">
        <v>1428</v>
      </c>
      <c r="I250" s="6" t="s">
        <v>1429</v>
      </c>
      <c r="J250" s="12">
        <v>46121.702106481483</v>
      </c>
      <c r="K250" s="6" t="e" cm="1">
        <f t="array" ref="K250">LOOKUP(2^15,SEARCH(Tabela2[Palavras-Chave],Boletim[[#This Row],[Objeto]],1),Tabela2[Palavras-Chave])</f>
        <v>#N/A</v>
      </c>
    </row>
    <row r="251" spans="1:11" ht="72" hidden="1" x14ac:dyDescent="0.3">
      <c r="A251" s="5">
        <v>18808008</v>
      </c>
      <c r="B251" s="6" t="s">
        <v>1417</v>
      </c>
      <c r="C251" s="6" t="s">
        <v>1418</v>
      </c>
      <c r="D251" s="8" t="s">
        <v>60</v>
      </c>
      <c r="E251" s="6" t="s">
        <v>117</v>
      </c>
      <c r="F251" s="6" t="s">
        <v>85</v>
      </c>
      <c r="G251" s="11">
        <v>46134.333333333336</v>
      </c>
      <c r="H251" s="10" t="s">
        <v>1430</v>
      </c>
      <c r="I251" s="6" t="s">
        <v>1431</v>
      </c>
      <c r="J251" s="12">
        <v>46121.703865740739</v>
      </c>
      <c r="K251" s="6" t="e" cm="1">
        <f t="array" ref="K251">LOOKUP(2^15,SEARCH(Tabela2[Palavras-Chave],Boletim[[#This Row],[Objeto]],1),Tabela2[Palavras-Chave])</f>
        <v>#N/A</v>
      </c>
    </row>
    <row r="252" spans="1:11" ht="115.2" hidden="1" x14ac:dyDescent="0.3">
      <c r="A252" s="5">
        <v>18810389</v>
      </c>
      <c r="B252" s="6" t="s">
        <v>1432</v>
      </c>
      <c r="C252" s="6" t="s">
        <v>59</v>
      </c>
      <c r="D252" s="8" t="s">
        <v>60</v>
      </c>
      <c r="E252" s="6" t="s">
        <v>175</v>
      </c>
      <c r="F252" s="6" t="s">
        <v>85</v>
      </c>
      <c r="G252" s="11" t="s">
        <v>56</v>
      </c>
      <c r="H252" s="10" t="s">
        <v>1433</v>
      </c>
      <c r="I252" s="6" t="s">
        <v>1434</v>
      </c>
      <c r="J252" s="12">
        <v>46121.737384259257</v>
      </c>
      <c r="K252" s="6" t="e" cm="1">
        <f t="array" ref="K252">LOOKUP(2^15,SEARCH(Tabela2[Palavras-Chave],Boletim[[#This Row],[Objeto]],1),Tabela2[Palavras-Chave])</f>
        <v>#N/A</v>
      </c>
    </row>
    <row r="253" spans="1:11" ht="100.8" hidden="1" x14ac:dyDescent="0.3">
      <c r="A253" s="5">
        <v>18807436</v>
      </c>
      <c r="B253" s="6" t="s">
        <v>74</v>
      </c>
      <c r="C253" s="6" t="s">
        <v>61</v>
      </c>
      <c r="D253" s="8" t="s">
        <v>62</v>
      </c>
      <c r="E253" s="6" t="s">
        <v>1319</v>
      </c>
      <c r="F253" s="6" t="s">
        <v>85</v>
      </c>
      <c r="G253" s="11" t="s">
        <v>56</v>
      </c>
      <c r="H253" s="10" t="s">
        <v>1320</v>
      </c>
      <c r="I253" s="6" t="s">
        <v>1321</v>
      </c>
      <c r="J253" s="12">
        <v>46121.447280092594</v>
      </c>
      <c r="K253" s="6" t="e" cm="1">
        <f t="array" ref="K253">LOOKUP(2^15,SEARCH(Tabela2[Palavras-Chave],Boletim[[#This Row],[Objeto]],1),Tabela2[Palavras-Chave])</f>
        <v>#N/A</v>
      </c>
    </row>
    <row r="254" spans="1:11" ht="409.6" hidden="1" x14ac:dyDescent="0.3">
      <c r="A254" s="5">
        <v>18781119</v>
      </c>
      <c r="B254" s="6" t="s">
        <v>425</v>
      </c>
      <c r="C254" s="6" t="s">
        <v>61</v>
      </c>
      <c r="D254" s="8" t="s">
        <v>62</v>
      </c>
      <c r="E254" s="6" t="s">
        <v>1435</v>
      </c>
      <c r="F254" s="6" t="s">
        <v>85</v>
      </c>
      <c r="G254" s="11" t="s">
        <v>56</v>
      </c>
      <c r="H254" s="10" t="s">
        <v>1436</v>
      </c>
      <c r="I254" s="6" t="s">
        <v>1437</v>
      </c>
      <c r="J254" s="12">
        <v>46121.491423611114</v>
      </c>
      <c r="K254" s="6" t="e" cm="1">
        <f t="array" ref="K254">LOOKUP(2^15,SEARCH(Tabela2[Palavras-Chave],Boletim[[#This Row],[Objeto]],1),Tabela2[Palavras-Chave])</f>
        <v>#N/A</v>
      </c>
    </row>
    <row r="255" spans="1:11" ht="115.2" hidden="1" x14ac:dyDescent="0.3">
      <c r="A255" s="5">
        <v>18808277</v>
      </c>
      <c r="B255" s="6" t="s">
        <v>339</v>
      </c>
      <c r="C255" s="6" t="s">
        <v>61</v>
      </c>
      <c r="D255" s="8" t="s">
        <v>62</v>
      </c>
      <c r="E255" s="6" t="s">
        <v>157</v>
      </c>
      <c r="F255" s="6" t="s">
        <v>85</v>
      </c>
      <c r="G255" s="11" t="s">
        <v>56</v>
      </c>
      <c r="H255" s="10" t="s">
        <v>1438</v>
      </c>
      <c r="I255" s="6" t="s">
        <v>1439</v>
      </c>
      <c r="J255" s="12">
        <v>46121.529953703706</v>
      </c>
      <c r="K255" s="6" t="e" cm="1">
        <f t="array" ref="K255">LOOKUP(2^15,SEARCH(Tabela2[Palavras-Chave],Boletim[[#This Row],[Objeto]],1),Tabela2[Palavras-Chave])</f>
        <v>#N/A</v>
      </c>
    </row>
    <row r="256" spans="1:11" ht="115.2" hidden="1" x14ac:dyDescent="0.3">
      <c r="A256" s="5">
        <v>18809905</v>
      </c>
      <c r="B256" s="6" t="s">
        <v>425</v>
      </c>
      <c r="C256" s="6" t="s">
        <v>61</v>
      </c>
      <c r="D256" s="8" t="s">
        <v>62</v>
      </c>
      <c r="E256" s="6" t="s">
        <v>1440</v>
      </c>
      <c r="F256" s="6" t="s">
        <v>85</v>
      </c>
      <c r="G256" s="11">
        <v>46140.374305555553</v>
      </c>
      <c r="H256" s="10" t="s">
        <v>1441</v>
      </c>
      <c r="I256" s="6" t="s">
        <v>1442</v>
      </c>
      <c r="J256" s="12">
        <v>46121.659212962964</v>
      </c>
      <c r="K256" s="6" t="e" cm="1">
        <f t="array" ref="K256">LOOKUP(2^15,SEARCH(Tabela2[Palavras-Chave],Boletim[[#This Row],[Objeto]],1),Tabela2[Palavras-Chave])</f>
        <v>#N/A</v>
      </c>
    </row>
    <row r="257" spans="1:11" ht="115.2" hidden="1" x14ac:dyDescent="0.3">
      <c r="A257" s="5">
        <v>18810377</v>
      </c>
      <c r="B257" s="6" t="s">
        <v>1443</v>
      </c>
      <c r="C257" s="6" t="s">
        <v>61</v>
      </c>
      <c r="D257" s="8" t="s">
        <v>62</v>
      </c>
      <c r="E257" s="6" t="s">
        <v>424</v>
      </c>
      <c r="F257" s="6" t="s">
        <v>85</v>
      </c>
      <c r="G257" s="11" t="s">
        <v>56</v>
      </c>
      <c r="H257" s="10" t="s">
        <v>1444</v>
      </c>
      <c r="I257" s="6" t="s">
        <v>1445</v>
      </c>
      <c r="J257" s="12">
        <v>46121.745335648149</v>
      </c>
      <c r="K257" s="6" t="e" cm="1">
        <f t="array" ref="K257">LOOKUP(2^15,SEARCH(Tabela2[Palavras-Chave],Boletim[[#This Row],[Objeto]],1),Tabela2[Palavras-Chave])</f>
        <v>#N/A</v>
      </c>
    </row>
    <row r="258" spans="1:11" ht="115.2" hidden="1" x14ac:dyDescent="0.3">
      <c r="A258" s="5">
        <v>18808348</v>
      </c>
      <c r="B258" s="6" t="s">
        <v>1446</v>
      </c>
      <c r="C258" s="6" t="s">
        <v>61</v>
      </c>
      <c r="D258" s="8" t="s">
        <v>62</v>
      </c>
      <c r="E258" s="6" t="s">
        <v>183</v>
      </c>
      <c r="F258" s="6" t="s">
        <v>85</v>
      </c>
      <c r="G258" s="11" t="s">
        <v>56</v>
      </c>
      <c r="H258" s="10" t="s">
        <v>1447</v>
      </c>
      <c r="I258" s="6" t="s">
        <v>1448</v>
      </c>
      <c r="J258" s="12">
        <v>46121.758726851855</v>
      </c>
      <c r="K258" s="6" t="e" cm="1">
        <f t="array" ref="K258">LOOKUP(2^15,SEARCH(Tabela2[Palavras-Chave],Boletim[[#This Row],[Objeto]],1),Tabela2[Palavras-Chave])</f>
        <v>#N/A</v>
      </c>
    </row>
    <row r="259" spans="1:11" ht="115.2" hidden="1" x14ac:dyDescent="0.3">
      <c r="A259" s="5">
        <v>18809907</v>
      </c>
      <c r="B259" s="6" t="s">
        <v>425</v>
      </c>
      <c r="C259" s="6" t="s">
        <v>61</v>
      </c>
      <c r="D259" s="8" t="s">
        <v>62</v>
      </c>
      <c r="E259" s="6" t="s">
        <v>1449</v>
      </c>
      <c r="F259" s="6" t="s">
        <v>85</v>
      </c>
      <c r="G259" s="11">
        <v>46139.374305555553</v>
      </c>
      <c r="H259" s="10" t="s">
        <v>1450</v>
      </c>
      <c r="I259" s="6" t="s">
        <v>1451</v>
      </c>
      <c r="J259" s="12">
        <v>46121.853506944448</v>
      </c>
      <c r="K259" s="6" t="e" cm="1">
        <f t="array" ref="K259">LOOKUP(2^15,SEARCH(Tabela2[Palavras-Chave],Boletim[[#This Row],[Objeto]],1),Tabela2[Palavras-Chave])</f>
        <v>#N/A</v>
      </c>
    </row>
    <row r="260" spans="1:11" ht="259.2" hidden="1" x14ac:dyDescent="0.3">
      <c r="A260" s="13">
        <v>18809729</v>
      </c>
      <c r="B260" s="10" t="s">
        <v>1452</v>
      </c>
      <c r="C260" s="10" t="s">
        <v>61</v>
      </c>
      <c r="D260" s="15" t="s">
        <v>62</v>
      </c>
      <c r="E260" s="10" t="s">
        <v>1453</v>
      </c>
      <c r="F260" s="10" t="s">
        <v>85</v>
      </c>
      <c r="G260" s="16" t="s">
        <v>56</v>
      </c>
      <c r="H260" s="10" t="s">
        <v>1454</v>
      </c>
      <c r="I260" s="10" t="s">
        <v>1455</v>
      </c>
      <c r="J260" s="17">
        <v>46121.854930555557</v>
      </c>
      <c r="K260" s="6" t="e" cm="1">
        <f t="array" ref="K260">LOOKUP(2^15,SEARCH(Tabela2[Palavras-Chave],Boletim[[#This Row],[Objeto]],1),Tabela2[Palavras-Chave])</f>
        <v>#N/A</v>
      </c>
    </row>
    <row r="261" spans="1:11" ht="100.8" hidden="1" x14ac:dyDescent="0.3">
      <c r="A261" s="5">
        <v>18807437</v>
      </c>
      <c r="B261" s="6" t="s">
        <v>74</v>
      </c>
      <c r="C261" s="6" t="s">
        <v>88</v>
      </c>
      <c r="D261" s="8" t="s">
        <v>63</v>
      </c>
      <c r="E261" s="6" t="s">
        <v>1319</v>
      </c>
      <c r="F261" s="6" t="s">
        <v>85</v>
      </c>
      <c r="G261" s="11" t="s">
        <v>56</v>
      </c>
      <c r="H261" s="10" t="s">
        <v>1320</v>
      </c>
      <c r="I261" s="6" t="s">
        <v>1321</v>
      </c>
      <c r="J261" s="12">
        <v>46121.447291666664</v>
      </c>
      <c r="K261" s="6" t="e" cm="1">
        <f t="array" ref="K261">LOOKUP(2^15,SEARCH(Tabela2[Palavras-Chave],Boletim[[#This Row],[Objeto]],1),Tabela2[Palavras-Chave])</f>
        <v>#N/A</v>
      </c>
    </row>
    <row r="262" spans="1:11" ht="100.8" hidden="1" x14ac:dyDescent="0.3">
      <c r="A262" s="5">
        <v>18807406</v>
      </c>
      <c r="B262" s="6" t="s">
        <v>1456</v>
      </c>
      <c r="C262" s="6" t="s">
        <v>1457</v>
      </c>
      <c r="D262" s="8" t="s">
        <v>63</v>
      </c>
      <c r="E262" s="6" t="s">
        <v>108</v>
      </c>
      <c r="F262" s="6" t="s">
        <v>85</v>
      </c>
      <c r="G262" s="11">
        <v>46140.333333333336</v>
      </c>
      <c r="H262" s="10" t="s">
        <v>1458</v>
      </c>
      <c r="I262" s="6" t="s">
        <v>1459</v>
      </c>
      <c r="J262" s="12">
        <v>46121.534050925926</v>
      </c>
      <c r="K262" s="6" t="e" cm="1">
        <f t="array" ref="K262">LOOKUP(2^15,SEARCH(Tabela2[Palavras-Chave],Boletim[[#This Row],[Objeto]],1),Tabela2[Palavras-Chave])</f>
        <v>#N/A</v>
      </c>
    </row>
    <row r="263" spans="1:11" ht="172.8" hidden="1" x14ac:dyDescent="0.3">
      <c r="A263" s="13">
        <v>18808388</v>
      </c>
      <c r="B263" s="10" t="s">
        <v>1460</v>
      </c>
      <c r="C263" s="10" t="s">
        <v>1461</v>
      </c>
      <c r="D263" s="15" t="s">
        <v>63</v>
      </c>
      <c r="E263" s="10" t="s">
        <v>209</v>
      </c>
      <c r="F263" s="10" t="s">
        <v>85</v>
      </c>
      <c r="G263" s="16" t="s">
        <v>56</v>
      </c>
      <c r="H263" s="10" t="s">
        <v>1462</v>
      </c>
      <c r="I263" s="10" t="s">
        <v>1463</v>
      </c>
      <c r="J263" s="17">
        <v>46121.544849537036</v>
      </c>
      <c r="K263" s="6" t="e" cm="1">
        <f t="array" ref="K263">LOOKUP(2^15,SEARCH(Tabela2[Palavras-Chave],Boletim[[#This Row],[Objeto]],1),Tabela2[Palavras-Chave])</f>
        <v>#N/A</v>
      </c>
    </row>
    <row r="264" spans="1:11" ht="28.8" hidden="1" x14ac:dyDescent="0.3">
      <c r="A264" s="5">
        <v>18808120</v>
      </c>
      <c r="B264" s="6" t="s">
        <v>1464</v>
      </c>
      <c r="C264" s="6" t="s">
        <v>88</v>
      </c>
      <c r="D264" s="8" t="s">
        <v>63</v>
      </c>
      <c r="E264" s="6" t="s">
        <v>224</v>
      </c>
      <c r="F264" s="6" t="s">
        <v>85</v>
      </c>
      <c r="G264" s="11">
        <v>46140.416666666664</v>
      </c>
      <c r="H264" s="10" t="s">
        <v>1465</v>
      </c>
      <c r="I264" s="6" t="s">
        <v>1466</v>
      </c>
      <c r="J264" s="12">
        <v>46121.548425925925</v>
      </c>
      <c r="K264" s="6" t="e" cm="1">
        <f t="array" ref="K264">LOOKUP(2^15,SEARCH(Tabela2[Palavras-Chave],Boletim[[#This Row],[Objeto]],1),Tabela2[Palavras-Chave])</f>
        <v>#N/A</v>
      </c>
    </row>
    <row r="265" spans="1:11" ht="115.2" hidden="1" x14ac:dyDescent="0.3">
      <c r="A265" s="5">
        <v>18807675</v>
      </c>
      <c r="B265" s="6" t="s">
        <v>625</v>
      </c>
      <c r="C265" s="6" t="s">
        <v>88</v>
      </c>
      <c r="D265" s="8" t="s">
        <v>63</v>
      </c>
      <c r="E265" s="6" t="s">
        <v>498</v>
      </c>
      <c r="F265" s="6" t="s">
        <v>85</v>
      </c>
      <c r="G265" s="11">
        <v>46128.583333333336</v>
      </c>
      <c r="H265" s="10" t="s">
        <v>1467</v>
      </c>
      <c r="I265" s="6" t="s">
        <v>1468</v>
      </c>
      <c r="J265" s="12">
        <v>46121.566018518519</v>
      </c>
      <c r="K265" s="6" t="e" cm="1">
        <f t="array" ref="K265">LOOKUP(2^15,SEARCH(Tabela2[Palavras-Chave],Boletim[[#This Row],[Objeto]],1),Tabela2[Palavras-Chave])</f>
        <v>#N/A</v>
      </c>
    </row>
    <row r="266" spans="1:11" ht="100.8" hidden="1" x14ac:dyDescent="0.3">
      <c r="A266" s="13">
        <v>18809542</v>
      </c>
      <c r="B266" s="10" t="s">
        <v>1469</v>
      </c>
      <c r="C266" s="10" t="s">
        <v>1470</v>
      </c>
      <c r="D266" s="15" t="s">
        <v>63</v>
      </c>
      <c r="E266" s="10" t="s">
        <v>107</v>
      </c>
      <c r="F266" s="10" t="s">
        <v>85</v>
      </c>
      <c r="G266" s="16">
        <v>46136.332638888889</v>
      </c>
      <c r="H266" s="10" t="s">
        <v>1471</v>
      </c>
      <c r="I266" s="10" t="s">
        <v>1472</v>
      </c>
      <c r="J266" s="17">
        <v>46121.611875000002</v>
      </c>
      <c r="K266" s="6" t="e" cm="1">
        <f t="array" ref="K266">LOOKUP(2^15,SEARCH(Tabela2[Palavras-Chave],Boletim[[#This Row],[Objeto]],1),Tabela2[Palavras-Chave])</f>
        <v>#N/A</v>
      </c>
    </row>
    <row r="267" spans="1:11" ht="144" hidden="1" x14ac:dyDescent="0.3">
      <c r="A267" s="5">
        <v>18806863</v>
      </c>
      <c r="B267" s="6" t="s">
        <v>1473</v>
      </c>
      <c r="C267" s="6" t="s">
        <v>1474</v>
      </c>
      <c r="D267" s="8" t="s">
        <v>63</v>
      </c>
      <c r="E267" s="6" t="s">
        <v>134</v>
      </c>
      <c r="F267" s="6" t="s">
        <v>85</v>
      </c>
      <c r="G267" s="11" t="s">
        <v>56</v>
      </c>
      <c r="H267" s="10" t="s">
        <v>1475</v>
      </c>
      <c r="I267" s="6" t="s">
        <v>1476</v>
      </c>
      <c r="J267" s="12">
        <v>46121.6174537037</v>
      </c>
      <c r="K267" s="6" t="e" cm="1">
        <f t="array" ref="K267">LOOKUP(2^15,SEARCH(Tabela2[Palavras-Chave],Boletim[[#This Row],[Objeto]],1),Tabela2[Palavras-Chave])</f>
        <v>#N/A</v>
      </c>
    </row>
    <row r="268" spans="1:11" ht="273.60000000000002" hidden="1" x14ac:dyDescent="0.3">
      <c r="A268" s="5">
        <v>18808456</v>
      </c>
      <c r="B268" s="6" t="s">
        <v>1477</v>
      </c>
      <c r="C268" s="6" t="s">
        <v>629</v>
      </c>
      <c r="D268" s="8" t="s">
        <v>63</v>
      </c>
      <c r="E268" s="6" t="s">
        <v>108</v>
      </c>
      <c r="F268" s="6" t="s">
        <v>85</v>
      </c>
      <c r="G268" s="11" t="s">
        <v>56</v>
      </c>
      <c r="H268" s="10" t="s">
        <v>1478</v>
      </c>
      <c r="I268" s="6" t="s">
        <v>1479</v>
      </c>
      <c r="J268" s="12">
        <v>46121.660810185182</v>
      </c>
      <c r="K268" s="6" t="e" cm="1">
        <f t="array" ref="K268">LOOKUP(2^15,SEARCH(Tabela2[Palavras-Chave],Boletim[[#This Row],[Objeto]],1),Tabela2[Palavras-Chave])</f>
        <v>#N/A</v>
      </c>
    </row>
    <row r="269" spans="1:11" ht="115.2" hidden="1" x14ac:dyDescent="0.3">
      <c r="A269" s="5">
        <v>18808274</v>
      </c>
      <c r="B269" s="6" t="s">
        <v>1480</v>
      </c>
      <c r="C269" s="6" t="s">
        <v>426</v>
      </c>
      <c r="D269" s="8" t="s">
        <v>63</v>
      </c>
      <c r="E269" s="6" t="s">
        <v>1481</v>
      </c>
      <c r="F269" s="6" t="s">
        <v>85</v>
      </c>
      <c r="G269" s="11" t="s">
        <v>56</v>
      </c>
      <c r="H269" s="10" t="s">
        <v>1482</v>
      </c>
      <c r="I269" s="6" t="s">
        <v>1483</v>
      </c>
      <c r="J269" s="12">
        <v>46121.667523148149</v>
      </c>
      <c r="K269" s="6" t="e" cm="1">
        <f t="array" ref="K269">LOOKUP(2^15,SEARCH(Tabela2[Palavras-Chave],Boletim[[#This Row],[Objeto]],1),Tabela2[Palavras-Chave])</f>
        <v>#N/A</v>
      </c>
    </row>
    <row r="270" spans="1:11" ht="244.8" hidden="1" x14ac:dyDescent="0.3">
      <c r="A270" s="5">
        <v>18810342</v>
      </c>
      <c r="B270" s="6" t="s">
        <v>428</v>
      </c>
      <c r="C270" s="6" t="s">
        <v>427</v>
      </c>
      <c r="D270" s="8" t="s">
        <v>63</v>
      </c>
      <c r="E270" s="6" t="s">
        <v>464</v>
      </c>
      <c r="F270" s="6" t="s">
        <v>85</v>
      </c>
      <c r="G270" s="11" t="s">
        <v>56</v>
      </c>
      <c r="H270" s="10" t="s">
        <v>1484</v>
      </c>
      <c r="I270" s="6" t="s">
        <v>1485</v>
      </c>
      <c r="J270" s="12">
        <v>46121.721956018519</v>
      </c>
      <c r="K270" s="6" t="e" cm="1">
        <f t="array" ref="K270">LOOKUP(2^15,SEARCH(Tabela2[Palavras-Chave],Boletim[[#This Row],[Objeto]],1),Tabela2[Palavras-Chave])</f>
        <v>#N/A</v>
      </c>
    </row>
    <row r="271" spans="1:11" ht="144" hidden="1" x14ac:dyDescent="0.3">
      <c r="A271" s="5">
        <v>18810399</v>
      </c>
      <c r="B271" s="6" t="s">
        <v>428</v>
      </c>
      <c r="C271" s="6" t="s">
        <v>427</v>
      </c>
      <c r="D271" s="8" t="s">
        <v>63</v>
      </c>
      <c r="E271" s="6" t="s">
        <v>464</v>
      </c>
      <c r="F271" s="6" t="s">
        <v>85</v>
      </c>
      <c r="G271" s="11" t="s">
        <v>56</v>
      </c>
      <c r="H271" s="10" t="s">
        <v>1486</v>
      </c>
      <c r="I271" s="6" t="s">
        <v>1487</v>
      </c>
      <c r="J271" s="12">
        <v>46121.732673611114</v>
      </c>
      <c r="K271" s="6" t="e" cm="1">
        <f t="array" ref="K271">LOOKUP(2^15,SEARCH(Tabela2[Palavras-Chave],Boletim[[#This Row],[Objeto]],1),Tabela2[Palavras-Chave])</f>
        <v>#N/A</v>
      </c>
    </row>
    <row r="272" spans="1:11" ht="28.8" hidden="1" x14ac:dyDescent="0.3">
      <c r="A272" s="13">
        <v>18810601</v>
      </c>
      <c r="B272" s="10" t="s">
        <v>1488</v>
      </c>
      <c r="C272" s="10" t="s">
        <v>1489</v>
      </c>
      <c r="D272" s="15" t="s">
        <v>63</v>
      </c>
      <c r="E272" s="10" t="s">
        <v>120</v>
      </c>
      <c r="F272" s="10" t="s">
        <v>85</v>
      </c>
      <c r="G272" s="16">
        <v>46140.5</v>
      </c>
      <c r="H272" s="10" t="s">
        <v>1490</v>
      </c>
      <c r="I272" s="10" t="s">
        <v>1491</v>
      </c>
      <c r="J272" s="17">
        <v>46121.743449074071</v>
      </c>
      <c r="K272" s="6" t="e" cm="1">
        <f t="array" ref="K272">LOOKUP(2^15,SEARCH(Tabela2[Palavras-Chave],Boletim[[#This Row],[Objeto]],1),Tabela2[Palavras-Chave])</f>
        <v>#N/A</v>
      </c>
    </row>
    <row r="273" spans="1:11" ht="100.8" hidden="1" x14ac:dyDescent="0.3">
      <c r="A273" s="5">
        <v>18809509</v>
      </c>
      <c r="B273" s="6" t="s">
        <v>1492</v>
      </c>
      <c r="C273" s="6" t="s">
        <v>1493</v>
      </c>
      <c r="D273" s="8" t="s">
        <v>63</v>
      </c>
      <c r="E273" s="6" t="s">
        <v>142</v>
      </c>
      <c r="F273" s="6" t="s">
        <v>85</v>
      </c>
      <c r="G273" s="11">
        <v>46140.354166666664</v>
      </c>
      <c r="H273" s="10" t="s">
        <v>1494</v>
      </c>
      <c r="I273" s="6" t="s">
        <v>1495</v>
      </c>
      <c r="J273" s="12">
        <v>46121.763877314814</v>
      </c>
      <c r="K273" s="6" t="e" cm="1">
        <f t="array" ref="K273">LOOKUP(2^15,SEARCH(Tabela2[Palavras-Chave],Boletim[[#This Row],[Objeto]],1),Tabela2[Palavras-Chave])</f>
        <v>#N/A</v>
      </c>
    </row>
    <row r="274" spans="1:11" ht="86.4" hidden="1" x14ac:dyDescent="0.3">
      <c r="A274" s="5">
        <v>18811069</v>
      </c>
      <c r="B274" s="6" t="s">
        <v>428</v>
      </c>
      <c r="C274" s="6" t="s">
        <v>427</v>
      </c>
      <c r="D274" s="8" t="s">
        <v>63</v>
      </c>
      <c r="E274" s="6" t="s">
        <v>536</v>
      </c>
      <c r="F274" s="6" t="s">
        <v>85</v>
      </c>
      <c r="G274" s="11" t="s">
        <v>56</v>
      </c>
      <c r="H274" s="10" t="s">
        <v>1496</v>
      </c>
      <c r="I274" s="6" t="s">
        <v>1497</v>
      </c>
      <c r="J274" s="12">
        <v>46121.788263888891</v>
      </c>
      <c r="K274" s="6" t="e" cm="1">
        <f t="array" ref="K274">LOOKUP(2^15,SEARCH(Tabela2[Palavras-Chave],Boletim[[#This Row],[Objeto]],1),Tabela2[Palavras-Chave])</f>
        <v>#N/A</v>
      </c>
    </row>
    <row r="275" spans="1:11" ht="115.2" hidden="1" x14ac:dyDescent="0.3">
      <c r="A275" s="13">
        <v>18810020</v>
      </c>
      <c r="B275" s="10" t="s">
        <v>1498</v>
      </c>
      <c r="C275" s="10" t="s">
        <v>88</v>
      </c>
      <c r="D275" s="15" t="s">
        <v>63</v>
      </c>
      <c r="E275" s="10" t="s">
        <v>450</v>
      </c>
      <c r="F275" s="10" t="s">
        <v>85</v>
      </c>
      <c r="G275" s="16">
        <v>46136.364583333336</v>
      </c>
      <c r="H275" s="10" t="s">
        <v>1499</v>
      </c>
      <c r="I275" s="10" t="s">
        <v>1500</v>
      </c>
      <c r="J275" s="17">
        <v>46121.866087962961</v>
      </c>
      <c r="K275" s="6" t="e" cm="1">
        <f t="array" ref="K275">LOOKUP(2^15,SEARCH(Tabela2[Palavras-Chave],Boletim[[#This Row],[Objeto]],1),Tabela2[Palavras-Chave])</f>
        <v>#N/A</v>
      </c>
    </row>
    <row r="276" spans="1:11" ht="100.8" hidden="1" x14ac:dyDescent="0.3">
      <c r="A276" s="5">
        <v>18807439</v>
      </c>
      <c r="B276" s="6" t="s">
        <v>74</v>
      </c>
      <c r="C276" s="6" t="s">
        <v>101</v>
      </c>
      <c r="D276" s="8" t="s">
        <v>64</v>
      </c>
      <c r="E276" s="6" t="s">
        <v>1319</v>
      </c>
      <c r="F276" s="6" t="s">
        <v>85</v>
      </c>
      <c r="G276" s="11" t="s">
        <v>56</v>
      </c>
      <c r="H276" s="10" t="s">
        <v>1320</v>
      </c>
      <c r="I276" s="6" t="s">
        <v>1321</v>
      </c>
      <c r="J276" s="12">
        <v>46121.447291666664</v>
      </c>
      <c r="K276" s="6" t="e" cm="1">
        <f t="array" ref="K276">LOOKUP(2^15,SEARCH(Tabela2[Palavras-Chave],Boletim[[#This Row],[Objeto]],1),Tabela2[Palavras-Chave])</f>
        <v>#N/A</v>
      </c>
    </row>
    <row r="277" spans="1:11" ht="172.8" hidden="1" x14ac:dyDescent="0.3">
      <c r="A277" s="5">
        <v>18806870</v>
      </c>
      <c r="B277" s="6" t="s">
        <v>438</v>
      </c>
      <c r="C277" s="6" t="s">
        <v>439</v>
      </c>
      <c r="D277" s="8" t="s">
        <v>64</v>
      </c>
      <c r="E277" s="6" t="s">
        <v>143</v>
      </c>
      <c r="F277" s="6" t="s">
        <v>85</v>
      </c>
      <c r="G277" s="11" t="s">
        <v>56</v>
      </c>
      <c r="H277" s="10" t="s">
        <v>1501</v>
      </c>
      <c r="I277" s="6" t="s">
        <v>1502</v>
      </c>
      <c r="J277" s="12">
        <v>46121.448599537034</v>
      </c>
      <c r="K277" s="6" t="e" cm="1">
        <f t="array" ref="K277">LOOKUP(2^15,SEARCH(Tabela2[Palavras-Chave],Boletim[[#This Row],[Objeto]],1),Tabela2[Palavras-Chave])</f>
        <v>#N/A</v>
      </c>
    </row>
    <row r="278" spans="1:11" ht="57.6" hidden="1" x14ac:dyDescent="0.3">
      <c r="A278" s="5">
        <v>18808734</v>
      </c>
      <c r="B278" s="6" t="s">
        <v>1503</v>
      </c>
      <c r="C278" s="6" t="s">
        <v>1504</v>
      </c>
      <c r="D278" s="8" t="s">
        <v>64</v>
      </c>
      <c r="E278" s="6" t="s">
        <v>291</v>
      </c>
      <c r="F278" s="6" t="s">
        <v>85</v>
      </c>
      <c r="G278" s="11">
        <v>46136.375</v>
      </c>
      <c r="H278" s="10" t="s">
        <v>1505</v>
      </c>
      <c r="I278" s="6" t="s">
        <v>1506</v>
      </c>
      <c r="J278" s="12">
        <v>46121.60769675926</v>
      </c>
      <c r="K278" s="6" t="e" cm="1">
        <f t="array" ref="K278">LOOKUP(2^15,SEARCH(Tabela2[Palavras-Chave],Boletim[[#This Row],[Objeto]],1),Tabela2[Palavras-Chave])</f>
        <v>#N/A</v>
      </c>
    </row>
    <row r="279" spans="1:11" ht="259.2" hidden="1" x14ac:dyDescent="0.3">
      <c r="A279" s="5">
        <v>18801587</v>
      </c>
      <c r="B279" s="6" t="s">
        <v>432</v>
      </c>
      <c r="C279" s="6" t="s">
        <v>433</v>
      </c>
      <c r="D279" s="8" t="s">
        <v>64</v>
      </c>
      <c r="E279" s="6" t="s">
        <v>124</v>
      </c>
      <c r="F279" s="6" t="s">
        <v>85</v>
      </c>
      <c r="G279" s="11" t="s">
        <v>56</v>
      </c>
      <c r="H279" s="10" t="s">
        <v>434</v>
      </c>
      <c r="I279" s="6" t="s">
        <v>435</v>
      </c>
      <c r="J279" s="12">
        <v>46121.607743055552</v>
      </c>
      <c r="K279" s="6" t="e" cm="1">
        <f t="array" ref="K279">LOOKUP(2^15,SEARCH(Tabela2[Palavras-Chave],Boletim[[#This Row],[Objeto]],1),Tabela2[Palavras-Chave])</f>
        <v>#N/A</v>
      </c>
    </row>
    <row r="280" spans="1:11" ht="43.2" hidden="1" x14ac:dyDescent="0.3">
      <c r="A280" s="5">
        <v>18806382</v>
      </c>
      <c r="B280" s="6" t="s">
        <v>633</v>
      </c>
      <c r="C280" s="6" t="s">
        <v>634</v>
      </c>
      <c r="D280" s="8" t="s">
        <v>64</v>
      </c>
      <c r="E280" s="6" t="s">
        <v>142</v>
      </c>
      <c r="F280" s="6" t="s">
        <v>85</v>
      </c>
      <c r="G280" s="11">
        <v>46134.416666666664</v>
      </c>
      <c r="H280" s="10" t="s">
        <v>636</v>
      </c>
      <c r="I280" s="6" t="s">
        <v>637</v>
      </c>
      <c r="J280" s="12">
        <v>46121.607766203706</v>
      </c>
      <c r="K280" s="6" t="e" cm="1">
        <f t="array" ref="K280">LOOKUP(2^15,SEARCH(Tabela2[Palavras-Chave],Boletim[[#This Row],[Objeto]],1),Tabela2[Palavras-Chave])</f>
        <v>#N/A</v>
      </c>
    </row>
    <row r="281" spans="1:11" ht="28.8" hidden="1" x14ac:dyDescent="0.3">
      <c r="A281" s="5">
        <v>18809638</v>
      </c>
      <c r="B281" s="6" t="s">
        <v>317</v>
      </c>
      <c r="C281" s="6" t="s">
        <v>101</v>
      </c>
      <c r="D281" s="8" t="s">
        <v>64</v>
      </c>
      <c r="E281" s="6" t="s">
        <v>165</v>
      </c>
      <c r="F281" s="6" t="s">
        <v>85</v>
      </c>
      <c r="G281" s="11">
        <v>46129.395833333336</v>
      </c>
      <c r="H281" s="10" t="s">
        <v>1507</v>
      </c>
      <c r="I281" s="6" t="s">
        <v>90</v>
      </c>
      <c r="J281" s="12">
        <v>46121.613923611112</v>
      </c>
      <c r="K281" s="6" t="e" cm="1">
        <f t="array" ref="K281">LOOKUP(2^15,SEARCH(Tabela2[Palavras-Chave],Boletim[[#This Row],[Objeto]],1),Tabela2[Palavras-Chave])</f>
        <v>#N/A</v>
      </c>
    </row>
    <row r="282" spans="1:11" ht="28.8" hidden="1" x14ac:dyDescent="0.3">
      <c r="A282" s="5">
        <v>18810008</v>
      </c>
      <c r="B282" s="6" t="s">
        <v>1508</v>
      </c>
      <c r="C282" s="6" t="s">
        <v>1509</v>
      </c>
      <c r="D282" s="8" t="s">
        <v>64</v>
      </c>
      <c r="E282" s="6" t="s">
        <v>106</v>
      </c>
      <c r="F282" s="6" t="s">
        <v>85</v>
      </c>
      <c r="G282" s="11">
        <v>46140.375</v>
      </c>
      <c r="H282" s="10" t="s">
        <v>1510</v>
      </c>
      <c r="I282" s="6" t="s">
        <v>1511</v>
      </c>
      <c r="J282" s="12">
        <v>46121.711157407408</v>
      </c>
      <c r="K282" s="6" t="e" cm="1">
        <f t="array" ref="K282">LOOKUP(2^15,SEARCH(Tabela2[Palavras-Chave],Boletim[[#This Row],[Objeto]],1),Tabela2[Palavras-Chave])</f>
        <v>#N/A</v>
      </c>
    </row>
    <row r="283" spans="1:11" ht="115.2" hidden="1" x14ac:dyDescent="0.3">
      <c r="A283" s="5">
        <v>18809496</v>
      </c>
      <c r="B283" s="6" t="s">
        <v>1512</v>
      </c>
      <c r="C283" s="6" t="s">
        <v>635</v>
      </c>
      <c r="D283" s="8" t="s">
        <v>64</v>
      </c>
      <c r="E283" s="6" t="s">
        <v>1513</v>
      </c>
      <c r="F283" s="6" t="s">
        <v>85</v>
      </c>
      <c r="G283" s="11">
        <v>46150.354166666664</v>
      </c>
      <c r="H283" s="10" t="s">
        <v>1514</v>
      </c>
      <c r="I283" s="6" t="s">
        <v>1515</v>
      </c>
      <c r="J283" s="12">
        <v>46121.768414351849</v>
      </c>
      <c r="K283" s="6" t="e" cm="1">
        <f t="array" ref="K283">LOOKUP(2^15,SEARCH(Tabela2[Palavras-Chave],Boletim[[#This Row],[Objeto]],1),Tabela2[Palavras-Chave])</f>
        <v>#N/A</v>
      </c>
    </row>
    <row r="284" spans="1:11" ht="100.8" hidden="1" x14ac:dyDescent="0.3">
      <c r="A284" s="5">
        <v>18807440</v>
      </c>
      <c r="B284" s="6" t="s">
        <v>74</v>
      </c>
      <c r="C284" s="6" t="s">
        <v>159</v>
      </c>
      <c r="D284" s="8" t="s">
        <v>89</v>
      </c>
      <c r="E284" s="6" t="s">
        <v>1319</v>
      </c>
      <c r="F284" s="6" t="s">
        <v>85</v>
      </c>
      <c r="G284" s="11" t="s">
        <v>56</v>
      </c>
      <c r="H284" s="10" t="s">
        <v>1320</v>
      </c>
      <c r="I284" s="6" t="s">
        <v>1321</v>
      </c>
      <c r="J284" s="12">
        <v>46121.447291666664</v>
      </c>
      <c r="K284" s="6" t="e" cm="1">
        <f t="array" ref="K284">LOOKUP(2^15,SEARCH(Tabela2[Palavras-Chave],Boletim[[#This Row],[Objeto]],1),Tabela2[Palavras-Chave])</f>
        <v>#N/A</v>
      </c>
    </row>
    <row r="285" spans="1:11" ht="72" hidden="1" x14ac:dyDescent="0.3">
      <c r="A285" s="5">
        <v>18795516</v>
      </c>
      <c r="B285" s="6" t="s">
        <v>1516</v>
      </c>
      <c r="C285" s="6" t="s">
        <v>1517</v>
      </c>
      <c r="D285" s="8" t="s">
        <v>89</v>
      </c>
      <c r="E285" s="6" t="s">
        <v>113</v>
      </c>
      <c r="F285" s="6" t="s">
        <v>85</v>
      </c>
      <c r="G285" s="11">
        <v>46141.416666666664</v>
      </c>
      <c r="H285" s="10" t="s">
        <v>1518</v>
      </c>
      <c r="I285" s="6" t="s">
        <v>1519</v>
      </c>
      <c r="J285" s="12">
        <v>46121.57571759259</v>
      </c>
      <c r="K285" s="6" t="e" cm="1">
        <f t="array" ref="K285">LOOKUP(2^15,SEARCH(Tabela2[Palavras-Chave],Boletim[[#This Row],[Objeto]],1),Tabela2[Palavras-Chave])</f>
        <v>#N/A</v>
      </c>
    </row>
    <row r="286" spans="1:11" ht="115.2" hidden="1" x14ac:dyDescent="0.3">
      <c r="A286" s="5">
        <v>18810651</v>
      </c>
      <c r="B286" s="6" t="s">
        <v>1520</v>
      </c>
      <c r="C286" s="6" t="s">
        <v>1521</v>
      </c>
      <c r="D286" s="8" t="s">
        <v>89</v>
      </c>
      <c r="E286" s="6" t="s">
        <v>115</v>
      </c>
      <c r="F286" s="6" t="s">
        <v>85</v>
      </c>
      <c r="G286" s="11">
        <v>46139.375</v>
      </c>
      <c r="H286" s="10" t="s">
        <v>1522</v>
      </c>
      <c r="I286" s="6" t="s">
        <v>1523</v>
      </c>
      <c r="J286" s="12">
        <v>46121.79451388889</v>
      </c>
      <c r="K286" s="6" t="e" cm="1">
        <f t="array" ref="K286">LOOKUP(2^15,SEARCH(Tabela2[Palavras-Chave],Boletim[[#This Row],[Objeto]],1),Tabela2[Palavras-Chave])</f>
        <v>#N/A</v>
      </c>
    </row>
    <row r="287" spans="1:11" ht="86.4" hidden="1" x14ac:dyDescent="0.3">
      <c r="A287" s="5">
        <v>18809632</v>
      </c>
      <c r="B287" s="6" t="s">
        <v>1524</v>
      </c>
      <c r="C287" s="6" t="s">
        <v>1525</v>
      </c>
      <c r="D287" s="8" t="s">
        <v>89</v>
      </c>
      <c r="E287" s="6" t="s">
        <v>126</v>
      </c>
      <c r="F287" s="6" t="s">
        <v>85</v>
      </c>
      <c r="G287" s="11" t="s">
        <v>56</v>
      </c>
      <c r="H287" s="10" t="s">
        <v>1526</v>
      </c>
      <c r="I287" s="6" t="s">
        <v>1527</v>
      </c>
      <c r="J287" s="12">
        <v>46121.743807870371</v>
      </c>
      <c r="K287" s="6" t="e" cm="1">
        <f t="array" ref="K287">LOOKUP(2^15,SEARCH(Tabela2[Palavras-Chave],Boletim[[#This Row],[Objeto]],1),Tabela2[Palavras-Chave])</f>
        <v>#N/A</v>
      </c>
    </row>
    <row r="288" spans="1:11" ht="86.4" hidden="1" x14ac:dyDescent="0.3">
      <c r="A288" s="5">
        <v>18811068</v>
      </c>
      <c r="B288" s="6" t="s">
        <v>646</v>
      </c>
      <c r="C288" s="6" t="s">
        <v>647</v>
      </c>
      <c r="D288" s="8" t="s">
        <v>89</v>
      </c>
      <c r="E288" s="6" t="s">
        <v>128</v>
      </c>
      <c r="F288" s="6" t="s">
        <v>85</v>
      </c>
      <c r="G288" s="11" t="s">
        <v>56</v>
      </c>
      <c r="H288" s="10" t="s">
        <v>1528</v>
      </c>
      <c r="I288" s="6" t="s">
        <v>1529</v>
      </c>
      <c r="J288" s="12">
        <v>46121.820949074077</v>
      </c>
      <c r="K288" s="6" t="e" cm="1">
        <f t="array" ref="K288">LOOKUP(2^15,SEARCH(Tabela2[Palavras-Chave],Boletim[[#This Row],[Objeto]],1),Tabela2[Palavras-Chave])</f>
        <v>#N/A</v>
      </c>
    </row>
    <row r="289" spans="1:11" ht="144" hidden="1" x14ac:dyDescent="0.3">
      <c r="A289" s="5">
        <v>18779276</v>
      </c>
      <c r="B289" s="6" t="s">
        <v>1530</v>
      </c>
      <c r="C289" s="6" t="s">
        <v>1531</v>
      </c>
      <c r="D289" s="8" t="s">
        <v>66</v>
      </c>
      <c r="E289" s="6" t="s">
        <v>114</v>
      </c>
      <c r="F289" s="6" t="s">
        <v>85</v>
      </c>
      <c r="G289" s="11">
        <v>46211</v>
      </c>
      <c r="H289" s="10" t="s">
        <v>1532</v>
      </c>
      <c r="I289" s="6" t="s">
        <v>1533</v>
      </c>
      <c r="J289" s="12">
        <v>46121.388969907406</v>
      </c>
      <c r="K289" s="6" t="e" cm="1">
        <f t="array" ref="K289">LOOKUP(2^15,SEARCH(Tabela2[Palavras-Chave],Boletim[[#This Row],[Objeto]],1),Tabela2[Palavras-Chave])</f>
        <v>#N/A</v>
      </c>
    </row>
    <row r="290" spans="1:11" ht="28.8" hidden="1" x14ac:dyDescent="0.3">
      <c r="A290" s="5">
        <v>18806236</v>
      </c>
      <c r="B290" s="6" t="s">
        <v>448</v>
      </c>
      <c r="C290" s="6" t="s">
        <v>449</v>
      </c>
      <c r="D290" s="8" t="s">
        <v>66</v>
      </c>
      <c r="E290" s="6" t="s">
        <v>155</v>
      </c>
      <c r="F290" s="6" t="s">
        <v>85</v>
      </c>
      <c r="G290" s="11">
        <v>46136.333333333336</v>
      </c>
      <c r="H290" s="10" t="s">
        <v>651</v>
      </c>
      <c r="I290" s="6" t="s">
        <v>652</v>
      </c>
      <c r="J290" s="12">
        <v>46121.419479166667</v>
      </c>
      <c r="K290" s="6" t="e" cm="1">
        <f t="array" ref="K290">LOOKUP(2^15,SEARCH(Tabela2[Palavras-Chave],Boletim[[#This Row],[Objeto]],1),Tabela2[Palavras-Chave])</f>
        <v>#N/A</v>
      </c>
    </row>
    <row r="291" spans="1:11" ht="86.4" hidden="1" x14ac:dyDescent="0.3">
      <c r="A291" s="5">
        <v>18800236</v>
      </c>
      <c r="B291" s="6" t="s">
        <v>1534</v>
      </c>
      <c r="C291" s="6" t="s">
        <v>1535</v>
      </c>
      <c r="D291" s="8" t="s">
        <v>66</v>
      </c>
      <c r="E291" s="6" t="s">
        <v>498</v>
      </c>
      <c r="F291" s="6" t="s">
        <v>85</v>
      </c>
      <c r="G291" s="11">
        <v>46136.354166666664</v>
      </c>
      <c r="H291" s="10" t="s">
        <v>1536</v>
      </c>
      <c r="I291" s="6" t="s">
        <v>1537</v>
      </c>
      <c r="J291" s="12">
        <v>46121.419490740744</v>
      </c>
      <c r="K291" s="6" t="e" cm="1">
        <f t="array" ref="K291">LOOKUP(2^15,SEARCH(Tabela2[Palavras-Chave],Boletim[[#This Row],[Objeto]],1),Tabela2[Palavras-Chave])</f>
        <v>#N/A</v>
      </c>
    </row>
    <row r="292" spans="1:11" ht="259.2" hidden="1" x14ac:dyDescent="0.3">
      <c r="A292" s="5">
        <v>18807051</v>
      </c>
      <c r="B292" s="6" t="s">
        <v>1538</v>
      </c>
      <c r="C292" s="6" t="s">
        <v>1539</v>
      </c>
      <c r="D292" s="8" t="s">
        <v>66</v>
      </c>
      <c r="E292" s="6" t="s">
        <v>117</v>
      </c>
      <c r="F292" s="6" t="s">
        <v>85</v>
      </c>
      <c r="G292" s="11" t="s">
        <v>56</v>
      </c>
      <c r="H292" s="10" t="s">
        <v>1540</v>
      </c>
      <c r="I292" s="6" t="s">
        <v>1541</v>
      </c>
      <c r="J292" s="12">
        <v>46121.443530092591</v>
      </c>
      <c r="K292" s="6" t="e" cm="1">
        <f t="array" ref="K292">LOOKUP(2^15,SEARCH(Tabela2[Palavras-Chave],Boletim[[#This Row],[Objeto]],1),Tabela2[Palavras-Chave])</f>
        <v>#N/A</v>
      </c>
    </row>
    <row r="293" spans="1:11" ht="100.8" hidden="1" x14ac:dyDescent="0.3">
      <c r="A293" s="5">
        <v>18807441</v>
      </c>
      <c r="B293" s="6" t="s">
        <v>74</v>
      </c>
      <c r="C293" s="6" t="s">
        <v>65</v>
      </c>
      <c r="D293" s="8" t="s">
        <v>66</v>
      </c>
      <c r="E293" s="6" t="s">
        <v>1319</v>
      </c>
      <c r="F293" s="6" t="s">
        <v>85</v>
      </c>
      <c r="G293" s="11" t="s">
        <v>56</v>
      </c>
      <c r="H293" s="10" t="s">
        <v>1320</v>
      </c>
      <c r="I293" s="6" t="s">
        <v>1321</v>
      </c>
      <c r="J293" s="12">
        <v>46121.447291666664</v>
      </c>
      <c r="K293" s="6" t="e" cm="1">
        <f t="array" ref="K293">LOOKUP(2^15,SEARCH(Tabela2[Palavras-Chave],Boletim[[#This Row],[Objeto]],1),Tabela2[Palavras-Chave])</f>
        <v>#N/A</v>
      </c>
    </row>
    <row r="294" spans="1:11" ht="86.4" hidden="1" x14ac:dyDescent="0.3">
      <c r="A294" s="5">
        <v>18806878</v>
      </c>
      <c r="B294" s="6" t="s">
        <v>1542</v>
      </c>
      <c r="C294" s="6" t="s">
        <v>221</v>
      </c>
      <c r="D294" s="8" t="s">
        <v>66</v>
      </c>
      <c r="E294" s="6" t="s">
        <v>127</v>
      </c>
      <c r="F294" s="6" t="s">
        <v>85</v>
      </c>
      <c r="G294" s="11" t="s">
        <v>56</v>
      </c>
      <c r="H294" s="10" t="s">
        <v>1543</v>
      </c>
      <c r="I294" s="6" t="s">
        <v>1544</v>
      </c>
      <c r="J294" s="12">
        <v>46121.447951388887</v>
      </c>
      <c r="K294" s="6" t="e" cm="1">
        <f t="array" ref="K294">LOOKUP(2^15,SEARCH(Tabela2[Palavras-Chave],Boletim[[#This Row],[Objeto]],1),Tabela2[Palavras-Chave])</f>
        <v>#N/A</v>
      </c>
    </row>
    <row r="295" spans="1:11" ht="288" hidden="1" x14ac:dyDescent="0.3">
      <c r="A295" s="5">
        <v>18807145</v>
      </c>
      <c r="B295" s="6" t="s">
        <v>1545</v>
      </c>
      <c r="C295" s="6" t="s">
        <v>1546</v>
      </c>
      <c r="D295" s="8" t="s">
        <v>66</v>
      </c>
      <c r="E295" s="6" t="s">
        <v>135</v>
      </c>
      <c r="F295" s="6" t="s">
        <v>85</v>
      </c>
      <c r="G295" s="11" t="s">
        <v>56</v>
      </c>
      <c r="H295" s="10" t="s">
        <v>1547</v>
      </c>
      <c r="I295" s="6" t="s">
        <v>1548</v>
      </c>
      <c r="J295" s="12">
        <v>46121.452476851853</v>
      </c>
      <c r="K295" s="6" t="e" cm="1">
        <f t="array" ref="K295">LOOKUP(2^15,SEARCH(Tabela2[Palavras-Chave],Boletim[[#This Row],[Objeto]],1),Tabela2[Palavras-Chave])</f>
        <v>#N/A</v>
      </c>
    </row>
    <row r="296" spans="1:11" ht="244.8" hidden="1" x14ac:dyDescent="0.3">
      <c r="A296" s="5">
        <v>18807692</v>
      </c>
      <c r="B296" s="6" t="s">
        <v>1549</v>
      </c>
      <c r="C296" s="6" t="s">
        <v>1550</v>
      </c>
      <c r="D296" s="8" t="s">
        <v>66</v>
      </c>
      <c r="E296" s="6" t="s">
        <v>134</v>
      </c>
      <c r="F296" s="6" t="s">
        <v>85</v>
      </c>
      <c r="G296" s="11" t="s">
        <v>56</v>
      </c>
      <c r="H296" s="10" t="s">
        <v>1551</v>
      </c>
      <c r="I296" s="6" t="s">
        <v>1552</v>
      </c>
      <c r="J296" s="12">
        <v>46121.467395833337</v>
      </c>
      <c r="K296" s="6" t="e" cm="1">
        <f t="array" ref="K296">LOOKUP(2^15,SEARCH(Tabela2[Palavras-Chave],Boletim[[#This Row],[Objeto]],1),Tabela2[Palavras-Chave])</f>
        <v>#N/A</v>
      </c>
    </row>
    <row r="297" spans="1:11" ht="43.2" hidden="1" x14ac:dyDescent="0.3">
      <c r="A297" s="5">
        <v>18806982</v>
      </c>
      <c r="B297" s="6" t="s">
        <v>1553</v>
      </c>
      <c r="C297" s="6" t="s">
        <v>1554</v>
      </c>
      <c r="D297" s="8" t="s">
        <v>66</v>
      </c>
      <c r="E297" s="6" t="s">
        <v>146</v>
      </c>
      <c r="F297" s="6" t="s">
        <v>85</v>
      </c>
      <c r="G297" s="11">
        <v>46140.333333333336</v>
      </c>
      <c r="H297" s="10" t="s">
        <v>1555</v>
      </c>
      <c r="I297" s="6" t="s">
        <v>1556</v>
      </c>
      <c r="J297" s="12">
        <v>46121.488009259258</v>
      </c>
      <c r="K297" s="6" t="e" cm="1">
        <f t="array" ref="K297">LOOKUP(2^15,SEARCH(Tabela2[Palavras-Chave],Boletim[[#This Row],[Objeto]],1),Tabela2[Palavras-Chave])</f>
        <v>#N/A</v>
      </c>
    </row>
    <row r="298" spans="1:11" ht="28.8" hidden="1" x14ac:dyDescent="0.3">
      <c r="A298" s="5">
        <v>18808174</v>
      </c>
      <c r="B298" s="6" t="s">
        <v>653</v>
      </c>
      <c r="C298" s="6" t="s">
        <v>65</v>
      </c>
      <c r="D298" s="8" t="s">
        <v>66</v>
      </c>
      <c r="E298" s="6" t="s">
        <v>1557</v>
      </c>
      <c r="F298" s="6" t="s">
        <v>85</v>
      </c>
      <c r="G298" s="11" t="s">
        <v>56</v>
      </c>
      <c r="H298" s="10" t="s">
        <v>1558</v>
      </c>
      <c r="I298" s="6" t="s">
        <v>1559</v>
      </c>
      <c r="J298" s="12">
        <v>46121.523634259262</v>
      </c>
      <c r="K298" s="6" t="e" cm="1">
        <f t="array" ref="K298">LOOKUP(2^15,SEARCH(Tabela2[Palavras-Chave],Boletim[[#This Row],[Objeto]],1),Tabela2[Palavras-Chave])</f>
        <v>#N/A</v>
      </c>
    </row>
    <row r="299" spans="1:11" ht="115.2" hidden="1" x14ac:dyDescent="0.3">
      <c r="A299" s="5">
        <v>18808473</v>
      </c>
      <c r="B299" s="6" t="s">
        <v>1560</v>
      </c>
      <c r="C299" s="6" t="s">
        <v>1561</v>
      </c>
      <c r="D299" s="8" t="s">
        <v>66</v>
      </c>
      <c r="E299" s="6" t="s">
        <v>211</v>
      </c>
      <c r="F299" s="6" t="s">
        <v>85</v>
      </c>
      <c r="G299" s="11">
        <v>46134.368055555555</v>
      </c>
      <c r="H299" s="10" t="s">
        <v>1562</v>
      </c>
      <c r="I299" s="6" t="s">
        <v>1563</v>
      </c>
      <c r="J299" s="12">
        <v>46121.533784722225</v>
      </c>
      <c r="K299" s="6" t="e" cm="1">
        <f t="array" ref="K299">LOOKUP(2^15,SEARCH(Tabela2[Palavras-Chave],Boletim[[#This Row],[Objeto]],1),Tabela2[Palavras-Chave])</f>
        <v>#N/A</v>
      </c>
    </row>
    <row r="300" spans="1:11" ht="57.6" hidden="1" x14ac:dyDescent="0.3">
      <c r="A300" s="5">
        <v>18808159</v>
      </c>
      <c r="B300" s="6" t="s">
        <v>1564</v>
      </c>
      <c r="C300" s="6" t="s">
        <v>1565</v>
      </c>
      <c r="D300" s="8" t="s">
        <v>66</v>
      </c>
      <c r="E300" s="6" t="s">
        <v>113</v>
      </c>
      <c r="F300" s="6" t="s">
        <v>85</v>
      </c>
      <c r="G300" s="11" t="s">
        <v>56</v>
      </c>
      <c r="H300" s="10" t="s">
        <v>1566</v>
      </c>
      <c r="I300" s="6" t="s">
        <v>1567</v>
      </c>
      <c r="J300" s="12">
        <v>46121.545289351852</v>
      </c>
      <c r="K300" s="6" t="e" cm="1">
        <f t="array" ref="K300">LOOKUP(2^15,SEARCH(Tabela2[Palavras-Chave],Boletim[[#This Row],[Objeto]],1),Tabela2[Palavras-Chave])</f>
        <v>#N/A</v>
      </c>
    </row>
    <row r="301" spans="1:11" ht="115.2" hidden="1" x14ac:dyDescent="0.3">
      <c r="A301" s="5">
        <v>18808291</v>
      </c>
      <c r="B301" s="6" t="s">
        <v>1568</v>
      </c>
      <c r="C301" s="6" t="s">
        <v>1569</v>
      </c>
      <c r="D301" s="8" t="s">
        <v>66</v>
      </c>
      <c r="E301" s="6" t="s">
        <v>441</v>
      </c>
      <c r="F301" s="6" t="s">
        <v>85</v>
      </c>
      <c r="G301" s="11" t="s">
        <v>56</v>
      </c>
      <c r="H301" s="10" t="s">
        <v>1570</v>
      </c>
      <c r="I301" s="6" t="s">
        <v>1571</v>
      </c>
      <c r="J301" s="12">
        <v>46121.596574074072</v>
      </c>
      <c r="K301" s="6" t="e" cm="1">
        <f t="array" ref="K301">LOOKUP(2^15,SEARCH(Tabela2[Palavras-Chave],Boletim[[#This Row],[Objeto]],1),Tabela2[Palavras-Chave])</f>
        <v>#N/A</v>
      </c>
    </row>
    <row r="302" spans="1:11" ht="129.6" hidden="1" x14ac:dyDescent="0.3">
      <c r="A302" s="5">
        <v>18804818</v>
      </c>
      <c r="B302" s="6" t="s">
        <v>648</v>
      </c>
      <c r="C302" s="6" t="s">
        <v>65</v>
      </c>
      <c r="D302" s="8" t="s">
        <v>66</v>
      </c>
      <c r="E302" s="6" t="s">
        <v>299</v>
      </c>
      <c r="F302" s="6" t="s">
        <v>85</v>
      </c>
      <c r="G302" s="11">
        <v>46147.375</v>
      </c>
      <c r="H302" s="10" t="s">
        <v>649</v>
      </c>
      <c r="I302" s="6" t="s">
        <v>650</v>
      </c>
      <c r="J302" s="12">
        <v>46121.558368055557</v>
      </c>
      <c r="K302" s="6" t="e" cm="1">
        <f t="array" ref="K302">LOOKUP(2^15,SEARCH(Tabela2[Palavras-Chave],Boletim[[#This Row],[Objeto]],1),Tabela2[Palavras-Chave])</f>
        <v>#N/A</v>
      </c>
    </row>
    <row r="303" spans="1:11" ht="43.2" hidden="1" x14ac:dyDescent="0.3">
      <c r="A303" s="5">
        <v>18807839</v>
      </c>
      <c r="B303" s="6" t="s">
        <v>1572</v>
      </c>
      <c r="C303" s="6" t="s">
        <v>1573</v>
      </c>
      <c r="D303" s="8" t="s">
        <v>66</v>
      </c>
      <c r="E303" s="6" t="s">
        <v>446</v>
      </c>
      <c r="F303" s="6" t="s">
        <v>85</v>
      </c>
      <c r="G303" s="11">
        <v>46140.541666666664</v>
      </c>
      <c r="H303" s="10" t="s">
        <v>1574</v>
      </c>
      <c r="I303" s="6" t="s">
        <v>1575</v>
      </c>
      <c r="J303" s="12">
        <v>46121.561921296299</v>
      </c>
      <c r="K303" s="6" t="e" cm="1">
        <f t="array" ref="K303">LOOKUP(2^15,SEARCH(Tabela2[Palavras-Chave],Boletim[[#This Row],[Objeto]],1),Tabela2[Palavras-Chave])</f>
        <v>#N/A</v>
      </c>
    </row>
    <row r="304" spans="1:11" ht="115.2" hidden="1" x14ac:dyDescent="0.3">
      <c r="A304" s="5">
        <v>18808311</v>
      </c>
      <c r="B304" s="6" t="s">
        <v>289</v>
      </c>
      <c r="C304" s="6" t="s">
        <v>290</v>
      </c>
      <c r="D304" s="8" t="s">
        <v>66</v>
      </c>
      <c r="E304" s="6" t="s">
        <v>249</v>
      </c>
      <c r="F304" s="6" t="s">
        <v>85</v>
      </c>
      <c r="G304" s="11" t="s">
        <v>56</v>
      </c>
      <c r="H304" s="10" t="s">
        <v>1576</v>
      </c>
      <c r="I304" s="6" t="s">
        <v>1577</v>
      </c>
      <c r="J304" s="12">
        <v>46121.574594907404</v>
      </c>
      <c r="K304" s="6" t="e" cm="1">
        <f t="array" ref="K304">LOOKUP(2^15,SEARCH(Tabela2[Palavras-Chave],Boletim[[#This Row],[Objeto]],1),Tabela2[Palavras-Chave])</f>
        <v>#N/A</v>
      </c>
    </row>
    <row r="305" spans="1:11" ht="259.2" hidden="1" x14ac:dyDescent="0.3">
      <c r="A305" s="5">
        <v>18752729</v>
      </c>
      <c r="B305" s="6" t="s">
        <v>1578</v>
      </c>
      <c r="C305" s="6" t="s">
        <v>1579</v>
      </c>
      <c r="D305" s="8" t="s">
        <v>66</v>
      </c>
      <c r="E305" s="6" t="s">
        <v>113</v>
      </c>
      <c r="F305" s="6" t="s">
        <v>85</v>
      </c>
      <c r="G305" s="11" t="s">
        <v>56</v>
      </c>
      <c r="H305" s="10" t="s">
        <v>1580</v>
      </c>
      <c r="I305" s="6" t="s">
        <v>1581</v>
      </c>
      <c r="J305" s="12">
        <v>46121.577175925922</v>
      </c>
      <c r="K305" s="6" t="e" cm="1">
        <f t="array" ref="K305">LOOKUP(2^15,SEARCH(Tabela2[Palavras-Chave],Boletim[[#This Row],[Objeto]],1),Tabela2[Palavras-Chave])</f>
        <v>#N/A</v>
      </c>
    </row>
    <row r="306" spans="1:11" ht="115.2" hidden="1" x14ac:dyDescent="0.3">
      <c r="A306" s="5">
        <v>18800561</v>
      </c>
      <c r="B306" s="6" t="s">
        <v>1582</v>
      </c>
      <c r="C306" s="6" t="s">
        <v>310</v>
      </c>
      <c r="D306" s="8" t="s">
        <v>66</v>
      </c>
      <c r="E306" s="6" t="s">
        <v>117</v>
      </c>
      <c r="F306" s="6" t="s">
        <v>85</v>
      </c>
      <c r="G306" s="11">
        <v>46134.375</v>
      </c>
      <c r="H306" s="10" t="s">
        <v>1583</v>
      </c>
      <c r="I306" s="6" t="s">
        <v>1584</v>
      </c>
      <c r="J306" s="12">
        <v>46121.58699074074</v>
      </c>
      <c r="K306" s="6" t="e" cm="1">
        <f t="array" ref="K306">LOOKUP(2^15,SEARCH(Tabela2[Palavras-Chave],Boletim[[#This Row],[Objeto]],1),Tabela2[Palavras-Chave])</f>
        <v>#N/A</v>
      </c>
    </row>
    <row r="307" spans="1:11" ht="57.6" hidden="1" x14ac:dyDescent="0.3">
      <c r="A307" s="5">
        <v>18798866</v>
      </c>
      <c r="B307" s="6" t="s">
        <v>657</v>
      </c>
      <c r="C307" s="6" t="s">
        <v>658</v>
      </c>
      <c r="D307" s="8" t="s">
        <v>66</v>
      </c>
      <c r="E307" s="6" t="s">
        <v>128</v>
      </c>
      <c r="F307" s="6" t="s">
        <v>85</v>
      </c>
      <c r="G307" s="11">
        <v>46136.354166666664</v>
      </c>
      <c r="H307" s="10" t="s">
        <v>1585</v>
      </c>
      <c r="I307" s="6" t="s">
        <v>1586</v>
      </c>
      <c r="J307" s="12">
        <v>46121.587592592594</v>
      </c>
      <c r="K307" s="6" t="e" cm="1">
        <f t="array" ref="K307">LOOKUP(2^15,SEARCH(Tabela2[Palavras-Chave],Boletim[[#This Row],[Objeto]],1),Tabela2[Palavras-Chave])</f>
        <v>#N/A</v>
      </c>
    </row>
    <row r="308" spans="1:11" ht="57.6" hidden="1" x14ac:dyDescent="0.3">
      <c r="A308" s="5">
        <v>18801222</v>
      </c>
      <c r="B308" s="6" t="s">
        <v>1587</v>
      </c>
      <c r="C308" s="6" t="s">
        <v>1588</v>
      </c>
      <c r="D308" s="8" t="s">
        <v>66</v>
      </c>
      <c r="E308" s="6" t="s">
        <v>107</v>
      </c>
      <c r="F308" s="6" t="s">
        <v>85</v>
      </c>
      <c r="G308" s="11">
        <v>46140.395833333336</v>
      </c>
      <c r="H308" s="10" t="s">
        <v>1589</v>
      </c>
      <c r="I308" s="6" t="s">
        <v>1590</v>
      </c>
      <c r="J308" s="12">
        <v>46121.587604166663</v>
      </c>
      <c r="K308" s="6" t="e" cm="1">
        <f t="array" ref="K308">LOOKUP(2^15,SEARCH(Tabela2[Palavras-Chave],Boletim[[#This Row],[Objeto]],1),Tabela2[Palavras-Chave])</f>
        <v>#N/A</v>
      </c>
    </row>
    <row r="309" spans="1:11" ht="43.2" hidden="1" x14ac:dyDescent="0.3">
      <c r="A309" s="5">
        <v>18797428</v>
      </c>
      <c r="B309" s="6" t="s">
        <v>309</v>
      </c>
      <c r="C309" s="6" t="s">
        <v>310</v>
      </c>
      <c r="D309" s="8" t="s">
        <v>66</v>
      </c>
      <c r="E309" s="6" t="s">
        <v>240</v>
      </c>
      <c r="F309" s="6" t="s">
        <v>85</v>
      </c>
      <c r="G309" s="11">
        <v>46139.375</v>
      </c>
      <c r="H309" s="10" t="s">
        <v>1591</v>
      </c>
      <c r="I309" s="6" t="s">
        <v>1592</v>
      </c>
      <c r="J309" s="12">
        <v>46121.587638888886</v>
      </c>
      <c r="K309" s="6" t="e" cm="1">
        <f t="array" ref="K309">LOOKUP(2^15,SEARCH(Tabela2[Palavras-Chave],Boletim[[#This Row],[Objeto]],1),Tabela2[Palavras-Chave])</f>
        <v>#N/A</v>
      </c>
    </row>
    <row r="310" spans="1:11" ht="86.4" hidden="1" x14ac:dyDescent="0.3">
      <c r="A310" s="5">
        <v>18809055</v>
      </c>
      <c r="B310" s="6" t="s">
        <v>1593</v>
      </c>
      <c r="C310" s="6" t="s">
        <v>1594</v>
      </c>
      <c r="D310" s="8" t="s">
        <v>66</v>
      </c>
      <c r="E310" s="6" t="s">
        <v>1595</v>
      </c>
      <c r="F310" s="6" t="s">
        <v>85</v>
      </c>
      <c r="G310" s="11" t="s">
        <v>56</v>
      </c>
      <c r="H310" s="10" t="s">
        <v>1596</v>
      </c>
      <c r="I310" s="6" t="s">
        <v>1597</v>
      </c>
      <c r="J310" s="12">
        <v>46121.602858796294</v>
      </c>
      <c r="K310" s="6" t="e" cm="1">
        <f t="array" ref="K310">LOOKUP(2^15,SEARCH(Tabela2[Palavras-Chave],Boletim[[#This Row],[Objeto]],1),Tabela2[Palavras-Chave])</f>
        <v>#N/A</v>
      </c>
    </row>
    <row r="311" spans="1:11" ht="43.2" hidden="1" x14ac:dyDescent="0.3">
      <c r="A311" s="5">
        <v>18792658</v>
      </c>
      <c r="B311" s="6" t="s">
        <v>1598</v>
      </c>
      <c r="C311" s="6" t="s">
        <v>1599</v>
      </c>
      <c r="D311" s="8" t="s">
        <v>66</v>
      </c>
      <c r="E311" s="6" t="s">
        <v>450</v>
      </c>
      <c r="F311" s="6" t="s">
        <v>85</v>
      </c>
      <c r="G311" s="11">
        <v>46136.375</v>
      </c>
      <c r="H311" s="10" t="s">
        <v>1600</v>
      </c>
      <c r="I311" s="6" t="s">
        <v>1601</v>
      </c>
      <c r="J311" s="12">
        <v>46121.607037037036</v>
      </c>
      <c r="K311" s="6" t="e" cm="1">
        <f t="array" ref="K311">LOOKUP(2^15,SEARCH(Tabela2[Palavras-Chave],Boletim[[#This Row],[Objeto]],1),Tabela2[Palavras-Chave])</f>
        <v>#N/A</v>
      </c>
    </row>
    <row r="312" spans="1:11" ht="100.8" hidden="1" x14ac:dyDescent="0.3">
      <c r="A312" s="5">
        <v>18809532</v>
      </c>
      <c r="B312" s="6" t="s">
        <v>341</v>
      </c>
      <c r="C312" s="6" t="s">
        <v>342</v>
      </c>
      <c r="D312" s="8" t="s">
        <v>66</v>
      </c>
      <c r="E312" s="6" t="s">
        <v>171</v>
      </c>
      <c r="F312" s="6" t="s">
        <v>85</v>
      </c>
      <c r="G312" s="11">
        <v>46139.375</v>
      </c>
      <c r="H312" s="10" t="s">
        <v>1602</v>
      </c>
      <c r="I312" s="6" t="s">
        <v>1603</v>
      </c>
      <c r="J312" s="12">
        <v>46121.607789351852</v>
      </c>
      <c r="K312" s="6" t="e" cm="1">
        <f t="array" ref="K312">LOOKUP(2^15,SEARCH(Tabela2[Palavras-Chave],Boletim[[#This Row],[Objeto]],1),Tabela2[Palavras-Chave])</f>
        <v>#N/A</v>
      </c>
    </row>
    <row r="313" spans="1:11" ht="28.8" hidden="1" x14ac:dyDescent="0.3">
      <c r="A313" s="5">
        <v>18808176</v>
      </c>
      <c r="B313" s="6" t="s">
        <v>1604</v>
      </c>
      <c r="C313" s="6" t="s">
        <v>194</v>
      </c>
      <c r="D313" s="8" t="s">
        <v>66</v>
      </c>
      <c r="E313" s="6" t="s">
        <v>498</v>
      </c>
      <c r="F313" s="6" t="s">
        <v>85</v>
      </c>
      <c r="G313" s="11">
        <v>46139.375</v>
      </c>
      <c r="H313" s="10" t="s">
        <v>1605</v>
      </c>
      <c r="I313" s="6" t="s">
        <v>1606</v>
      </c>
      <c r="J313" s="12">
        <v>46121.62195601852</v>
      </c>
      <c r="K313" s="6" t="e" cm="1">
        <f t="array" ref="K313">LOOKUP(2^15,SEARCH(Tabela2[Palavras-Chave],Boletim[[#This Row],[Objeto]],1),Tabela2[Palavras-Chave])</f>
        <v>#N/A</v>
      </c>
    </row>
    <row r="314" spans="1:11" ht="244.8" hidden="1" x14ac:dyDescent="0.3">
      <c r="A314" s="5">
        <v>18809229</v>
      </c>
      <c r="B314" s="6" t="s">
        <v>1607</v>
      </c>
      <c r="C314" s="6" t="s">
        <v>1608</v>
      </c>
      <c r="D314" s="8" t="s">
        <v>66</v>
      </c>
      <c r="E314" s="6" t="s">
        <v>441</v>
      </c>
      <c r="F314" s="6" t="s">
        <v>85</v>
      </c>
      <c r="G314" s="11" t="s">
        <v>56</v>
      </c>
      <c r="H314" s="10" t="s">
        <v>1609</v>
      </c>
      <c r="I314" s="6" t="s">
        <v>1610</v>
      </c>
      <c r="J314" s="12">
        <v>46121.659594907411</v>
      </c>
      <c r="K314" s="6" t="e" cm="1">
        <f t="array" ref="K314">LOOKUP(2^15,SEARCH(Tabela2[Palavras-Chave],Boletim[[#This Row],[Objeto]],1),Tabela2[Palavras-Chave])</f>
        <v>#N/A</v>
      </c>
    </row>
    <row r="315" spans="1:11" ht="86.4" hidden="1" x14ac:dyDescent="0.3">
      <c r="A315" s="5">
        <v>18806902</v>
      </c>
      <c r="B315" s="6" t="s">
        <v>1611</v>
      </c>
      <c r="C315" s="6" t="s">
        <v>1612</v>
      </c>
      <c r="D315" s="8" t="s">
        <v>66</v>
      </c>
      <c r="E315" s="6" t="s">
        <v>120</v>
      </c>
      <c r="F315" s="6" t="s">
        <v>85</v>
      </c>
      <c r="G315" s="11" t="s">
        <v>56</v>
      </c>
      <c r="H315" s="10" t="s">
        <v>1613</v>
      </c>
      <c r="I315" s="6" t="s">
        <v>1614</v>
      </c>
      <c r="J315" s="12">
        <v>46121.664282407408</v>
      </c>
      <c r="K315" s="6" t="e" cm="1">
        <f t="array" ref="K315">LOOKUP(2^15,SEARCH(Tabela2[Palavras-Chave],Boletim[[#This Row],[Objeto]],1),Tabela2[Palavras-Chave])</f>
        <v>#N/A</v>
      </c>
    </row>
    <row r="316" spans="1:11" ht="86.4" hidden="1" x14ac:dyDescent="0.3">
      <c r="A316" s="5">
        <v>18806898</v>
      </c>
      <c r="B316" s="6" t="s">
        <v>1615</v>
      </c>
      <c r="C316" s="6" t="s">
        <v>1616</v>
      </c>
      <c r="D316" s="8" t="s">
        <v>66</v>
      </c>
      <c r="E316" s="6" t="s">
        <v>1617</v>
      </c>
      <c r="F316" s="6" t="s">
        <v>85</v>
      </c>
      <c r="G316" s="11" t="s">
        <v>56</v>
      </c>
      <c r="H316" s="10" t="s">
        <v>1618</v>
      </c>
      <c r="I316" s="6" t="s">
        <v>1619</v>
      </c>
      <c r="J316" s="12">
        <v>46121.664618055554</v>
      </c>
      <c r="K316" s="6" t="e" cm="1">
        <f t="array" ref="K316">LOOKUP(2^15,SEARCH(Tabela2[Palavras-Chave],Boletim[[#This Row],[Objeto]],1),Tabela2[Palavras-Chave])</f>
        <v>#N/A</v>
      </c>
    </row>
    <row r="317" spans="1:11" ht="43.2" hidden="1" x14ac:dyDescent="0.3">
      <c r="A317" s="5">
        <v>18808175</v>
      </c>
      <c r="B317" s="6" t="s">
        <v>1620</v>
      </c>
      <c r="C317" s="6" t="s">
        <v>65</v>
      </c>
      <c r="D317" s="8" t="s">
        <v>66</v>
      </c>
      <c r="E317" s="6" t="s">
        <v>1621</v>
      </c>
      <c r="F317" s="6" t="s">
        <v>85</v>
      </c>
      <c r="G317" s="11" t="s">
        <v>56</v>
      </c>
      <c r="H317" s="10" t="s">
        <v>1622</v>
      </c>
      <c r="I317" s="6" t="s">
        <v>1623</v>
      </c>
      <c r="J317" s="12">
        <v>46121.69253472222</v>
      </c>
      <c r="K317" s="6" t="e" cm="1">
        <f t="array" ref="K317">LOOKUP(2^15,SEARCH(Tabela2[Palavras-Chave],Boletim[[#This Row],[Objeto]],1),Tabela2[Palavras-Chave])</f>
        <v>#N/A</v>
      </c>
    </row>
    <row r="318" spans="1:11" ht="144" hidden="1" x14ac:dyDescent="0.3">
      <c r="A318" s="5">
        <v>18808293</v>
      </c>
      <c r="B318" s="6" t="s">
        <v>1624</v>
      </c>
      <c r="C318" s="6" t="s">
        <v>65</v>
      </c>
      <c r="D318" s="8" t="s">
        <v>66</v>
      </c>
      <c r="E318" s="6" t="s">
        <v>183</v>
      </c>
      <c r="F318" s="6" t="s">
        <v>85</v>
      </c>
      <c r="G318" s="11" t="s">
        <v>56</v>
      </c>
      <c r="H318" s="10" t="s">
        <v>1625</v>
      </c>
      <c r="I318" s="6" t="s">
        <v>1626</v>
      </c>
      <c r="J318" s="12">
        <v>46121.697916666664</v>
      </c>
      <c r="K318" s="6" t="e" cm="1">
        <f t="array" ref="K318">LOOKUP(2^15,SEARCH(Tabela2[Palavras-Chave],Boletim[[#This Row],[Objeto]],1),Tabela2[Palavras-Chave])</f>
        <v>#N/A</v>
      </c>
    </row>
    <row r="319" spans="1:11" ht="86.4" hidden="1" x14ac:dyDescent="0.3">
      <c r="A319" s="5">
        <v>18809060</v>
      </c>
      <c r="B319" s="6" t="s">
        <v>1627</v>
      </c>
      <c r="C319" s="6" t="s">
        <v>65</v>
      </c>
      <c r="D319" s="8" t="s">
        <v>66</v>
      </c>
      <c r="E319" s="6" t="s">
        <v>1628</v>
      </c>
      <c r="F319" s="6" t="s">
        <v>85</v>
      </c>
      <c r="G319" s="11" t="s">
        <v>56</v>
      </c>
      <c r="H319" s="10" t="s">
        <v>1629</v>
      </c>
      <c r="I319" s="6" t="s">
        <v>1630</v>
      </c>
      <c r="J319" s="12">
        <v>46121.702962962961</v>
      </c>
      <c r="K319" s="6" t="e" cm="1">
        <f t="array" ref="K319">LOOKUP(2^15,SEARCH(Tabela2[Palavras-Chave],Boletim[[#This Row],[Objeto]],1),Tabela2[Palavras-Chave])</f>
        <v>#N/A</v>
      </c>
    </row>
    <row r="320" spans="1:11" ht="100.8" hidden="1" x14ac:dyDescent="0.3">
      <c r="A320" s="5">
        <v>18807682</v>
      </c>
      <c r="B320" s="6" t="s">
        <v>570</v>
      </c>
      <c r="C320" s="6" t="s">
        <v>571</v>
      </c>
      <c r="D320" s="8" t="s">
        <v>66</v>
      </c>
      <c r="E320" s="6" t="s">
        <v>109</v>
      </c>
      <c r="F320" s="6" t="s">
        <v>85</v>
      </c>
      <c r="G320" s="11" t="s">
        <v>56</v>
      </c>
      <c r="H320" s="10" t="s">
        <v>1631</v>
      </c>
      <c r="I320" s="6" t="s">
        <v>1632</v>
      </c>
      <c r="J320" s="12">
        <v>46121.706597222219</v>
      </c>
      <c r="K320" s="6" t="e" cm="1">
        <f t="array" ref="K320">LOOKUP(2^15,SEARCH(Tabela2[Palavras-Chave],Boletim[[#This Row],[Objeto]],1),Tabela2[Palavras-Chave])</f>
        <v>#N/A</v>
      </c>
    </row>
    <row r="321" spans="1:11" ht="57.6" hidden="1" x14ac:dyDescent="0.3">
      <c r="A321" s="5">
        <v>18809999</v>
      </c>
      <c r="B321" s="6" t="s">
        <v>1633</v>
      </c>
      <c r="C321" s="6" t="s">
        <v>1634</v>
      </c>
      <c r="D321" s="8" t="s">
        <v>66</v>
      </c>
      <c r="E321" s="6" t="s">
        <v>135</v>
      </c>
      <c r="F321" s="6" t="s">
        <v>85</v>
      </c>
      <c r="G321" s="11">
        <v>46136.333333333336</v>
      </c>
      <c r="H321" s="10" t="s">
        <v>1635</v>
      </c>
      <c r="I321" s="6" t="s">
        <v>1636</v>
      </c>
      <c r="J321" s="12">
        <v>46121.714606481481</v>
      </c>
      <c r="K321" s="6" t="e" cm="1">
        <f t="array" ref="K321">LOOKUP(2^15,SEARCH(Tabela2[Palavras-Chave],Boletim[[#This Row],[Objeto]],1),Tabela2[Palavras-Chave])</f>
        <v>#N/A</v>
      </c>
    </row>
    <row r="322" spans="1:11" ht="129.6" hidden="1" x14ac:dyDescent="0.3">
      <c r="A322" s="5">
        <v>18808465</v>
      </c>
      <c r="B322" s="6" t="s">
        <v>1637</v>
      </c>
      <c r="C322" s="6" t="s">
        <v>194</v>
      </c>
      <c r="D322" s="8" t="s">
        <v>66</v>
      </c>
      <c r="E322" s="6" t="s">
        <v>146</v>
      </c>
      <c r="F322" s="6" t="s">
        <v>85</v>
      </c>
      <c r="G322" s="11">
        <v>46134.371527777781</v>
      </c>
      <c r="H322" s="10" t="s">
        <v>1638</v>
      </c>
      <c r="I322" s="6" t="s">
        <v>1639</v>
      </c>
      <c r="J322" s="12">
        <v>46121.719490740739</v>
      </c>
      <c r="K322" s="6" t="e" cm="1">
        <f t="array" ref="K322">LOOKUP(2^15,SEARCH(Tabela2[Palavras-Chave],Boletim[[#This Row],[Objeto]],1),Tabela2[Palavras-Chave])</f>
        <v>#N/A</v>
      </c>
    </row>
    <row r="323" spans="1:11" ht="115.2" hidden="1" x14ac:dyDescent="0.3">
      <c r="A323" s="5">
        <v>18806897</v>
      </c>
      <c r="B323" s="6" t="s">
        <v>1640</v>
      </c>
      <c r="C323" s="6" t="s">
        <v>1641</v>
      </c>
      <c r="D323" s="8" t="s">
        <v>66</v>
      </c>
      <c r="E323" s="6" t="s">
        <v>134</v>
      </c>
      <c r="F323" s="6" t="s">
        <v>85</v>
      </c>
      <c r="G323" s="11" t="s">
        <v>56</v>
      </c>
      <c r="H323" s="10" t="s">
        <v>1642</v>
      </c>
      <c r="I323" s="6" t="s">
        <v>1643</v>
      </c>
      <c r="J323" s="12">
        <v>46121.720729166664</v>
      </c>
      <c r="K323" s="6" t="e" cm="1">
        <f t="array" ref="K323">LOOKUP(2^15,SEARCH(Tabela2[Palavras-Chave],Boletim[[#This Row],[Objeto]],1),Tabela2[Palavras-Chave])</f>
        <v>#N/A</v>
      </c>
    </row>
    <row r="324" spans="1:11" ht="100.8" hidden="1" x14ac:dyDescent="0.3">
      <c r="A324" s="5">
        <v>18809505</v>
      </c>
      <c r="B324" s="6" t="s">
        <v>336</v>
      </c>
      <c r="C324" s="6" t="s">
        <v>337</v>
      </c>
      <c r="D324" s="8" t="s">
        <v>66</v>
      </c>
      <c r="E324" s="6" t="s">
        <v>188</v>
      </c>
      <c r="F324" s="6" t="s">
        <v>85</v>
      </c>
      <c r="G324" s="11">
        <v>46140.354166666664</v>
      </c>
      <c r="H324" s="10" t="s">
        <v>1644</v>
      </c>
      <c r="I324" s="6" t="s">
        <v>1645</v>
      </c>
      <c r="J324" s="12">
        <v>46121.723402777781</v>
      </c>
      <c r="K324" s="6" t="e" cm="1">
        <f t="array" ref="K324">LOOKUP(2^15,SEARCH(Tabela2[Palavras-Chave],Boletim[[#This Row],[Objeto]],1),Tabela2[Palavras-Chave])</f>
        <v>#N/A</v>
      </c>
    </row>
    <row r="325" spans="1:11" ht="115.2" hidden="1" x14ac:dyDescent="0.3">
      <c r="A325" s="5">
        <v>18810409</v>
      </c>
      <c r="B325" s="6" t="s">
        <v>445</v>
      </c>
      <c r="C325" s="6" t="s">
        <v>221</v>
      </c>
      <c r="D325" s="8" t="s">
        <v>66</v>
      </c>
      <c r="E325" s="6" t="s">
        <v>183</v>
      </c>
      <c r="F325" s="6" t="s">
        <v>85</v>
      </c>
      <c r="G325" s="11" t="s">
        <v>56</v>
      </c>
      <c r="H325" s="10" t="s">
        <v>1646</v>
      </c>
      <c r="I325" s="6" t="s">
        <v>1647</v>
      </c>
      <c r="J325" s="12">
        <v>46121.736145833333</v>
      </c>
      <c r="K325" s="6" t="e" cm="1">
        <f t="array" ref="K325">LOOKUP(2^15,SEARCH(Tabela2[Palavras-Chave],Boletim[[#This Row],[Objeto]],1),Tabela2[Palavras-Chave])</f>
        <v>#N/A</v>
      </c>
    </row>
    <row r="326" spans="1:11" ht="57.6" hidden="1" x14ac:dyDescent="0.3">
      <c r="A326" s="5">
        <v>18810655</v>
      </c>
      <c r="B326" s="6" t="s">
        <v>1648</v>
      </c>
      <c r="C326" s="6" t="s">
        <v>1649</v>
      </c>
      <c r="D326" s="8" t="s">
        <v>66</v>
      </c>
      <c r="E326" s="6" t="s">
        <v>202</v>
      </c>
      <c r="F326" s="6" t="s">
        <v>85</v>
      </c>
      <c r="G326" s="11">
        <v>46147.395833333336</v>
      </c>
      <c r="H326" s="10" t="s">
        <v>1650</v>
      </c>
      <c r="I326" s="6" t="s">
        <v>1651</v>
      </c>
      <c r="J326" s="12">
        <v>46121.740914351853</v>
      </c>
      <c r="K326" s="6" t="e" cm="1">
        <f t="array" ref="K326">LOOKUP(2^15,SEARCH(Tabela2[Palavras-Chave],Boletim[[#This Row],[Objeto]],1),Tabela2[Palavras-Chave])</f>
        <v>#N/A</v>
      </c>
    </row>
    <row r="327" spans="1:11" ht="100.8" x14ac:dyDescent="0.3">
      <c r="A327" s="5">
        <v>18810639</v>
      </c>
      <c r="B327" s="6" t="s">
        <v>1652</v>
      </c>
      <c r="C327" s="6" t="s">
        <v>1653</v>
      </c>
      <c r="D327" s="8" t="s">
        <v>66</v>
      </c>
      <c r="E327" s="6" t="s">
        <v>139</v>
      </c>
      <c r="F327" s="6" t="s">
        <v>85</v>
      </c>
      <c r="G327" s="11" t="s">
        <v>56</v>
      </c>
      <c r="H327" s="10" t="s">
        <v>1654</v>
      </c>
      <c r="I327" s="6" t="s">
        <v>1655</v>
      </c>
      <c r="J327" s="12">
        <v>46121.747986111113</v>
      </c>
      <c r="K327" s="6" t="str" cm="1">
        <f t="array" ref="K327">LOOKUP(2^15,SEARCH(Tabela2[Palavras-Chave],Boletim[[#This Row],[Objeto]],1),Tabela2[Palavras-Chave])</f>
        <v>EFICIÊNCIA</v>
      </c>
    </row>
    <row r="328" spans="1:11" hidden="1" x14ac:dyDescent="0.3">
      <c r="A328" s="5">
        <v>18804640</v>
      </c>
      <c r="B328" s="6" t="s">
        <v>653</v>
      </c>
      <c r="C328" s="6" t="s">
        <v>65</v>
      </c>
      <c r="D328" s="8" t="s">
        <v>66</v>
      </c>
      <c r="E328" s="6" t="s">
        <v>654</v>
      </c>
      <c r="F328" s="6" t="s">
        <v>85</v>
      </c>
      <c r="G328" s="11" t="s">
        <v>56</v>
      </c>
      <c r="H328" s="10" t="s">
        <v>655</v>
      </c>
      <c r="I328" s="6" t="s">
        <v>656</v>
      </c>
      <c r="J328" s="12">
        <v>46121.749699074076</v>
      </c>
      <c r="K328" s="6" t="e" cm="1">
        <f t="array" ref="K328">LOOKUP(2^15,SEARCH(Tabela2[Palavras-Chave],Boletim[[#This Row],[Objeto]],1),Tabela2[Palavras-Chave])</f>
        <v>#N/A</v>
      </c>
    </row>
    <row r="329" spans="1:11" ht="86.4" hidden="1" x14ac:dyDescent="0.3">
      <c r="A329" s="5">
        <v>18810414</v>
      </c>
      <c r="B329" s="6" t="s">
        <v>1656</v>
      </c>
      <c r="C329" s="6" t="s">
        <v>1657</v>
      </c>
      <c r="D329" s="8" t="s">
        <v>66</v>
      </c>
      <c r="E329" s="6" t="s">
        <v>114</v>
      </c>
      <c r="F329" s="6" t="s">
        <v>85</v>
      </c>
      <c r="G329" s="11" t="s">
        <v>56</v>
      </c>
      <c r="H329" s="10" t="s">
        <v>1658</v>
      </c>
      <c r="I329" s="6" t="s">
        <v>1659</v>
      </c>
      <c r="J329" s="12">
        <v>46121.753101851849</v>
      </c>
      <c r="K329" s="6" t="e" cm="1">
        <f t="array" ref="K329">LOOKUP(2^15,SEARCH(Tabela2[Palavras-Chave],Boletim[[#This Row],[Objeto]],1),Tabela2[Palavras-Chave])</f>
        <v>#N/A</v>
      </c>
    </row>
    <row r="330" spans="1:11" ht="57.6" hidden="1" x14ac:dyDescent="0.3">
      <c r="A330" s="5">
        <v>18810657</v>
      </c>
      <c r="B330" s="6" t="s">
        <v>1660</v>
      </c>
      <c r="C330" s="6" t="s">
        <v>1661</v>
      </c>
      <c r="D330" s="8" t="s">
        <v>66</v>
      </c>
      <c r="E330" s="6" t="s">
        <v>126</v>
      </c>
      <c r="F330" s="6" t="s">
        <v>85</v>
      </c>
      <c r="G330" s="11">
        <v>46139.354166666664</v>
      </c>
      <c r="H330" s="10" t="s">
        <v>1662</v>
      </c>
      <c r="I330" s="6" t="s">
        <v>1663</v>
      </c>
      <c r="J330" s="12">
        <v>46121.754386574074</v>
      </c>
      <c r="K330" s="6" t="e" cm="1">
        <f t="array" ref="K330">LOOKUP(2^15,SEARCH(Tabela2[Palavras-Chave],Boletim[[#This Row],[Objeto]],1),Tabela2[Palavras-Chave])</f>
        <v>#N/A</v>
      </c>
    </row>
    <row r="331" spans="1:11" ht="100.8" hidden="1" x14ac:dyDescent="0.3">
      <c r="A331" s="13">
        <v>18809561</v>
      </c>
      <c r="B331" s="10" t="s">
        <v>1036</v>
      </c>
      <c r="C331" s="10" t="s">
        <v>440</v>
      </c>
      <c r="D331" s="15" t="s">
        <v>66</v>
      </c>
      <c r="E331" s="10" t="s">
        <v>141</v>
      </c>
      <c r="F331" s="10" t="s">
        <v>85</v>
      </c>
      <c r="G331" s="16">
        <v>46127.333333333336</v>
      </c>
      <c r="H331" s="10" t="s">
        <v>1664</v>
      </c>
      <c r="I331" s="10" t="s">
        <v>1665</v>
      </c>
      <c r="J331" s="17">
        <v>46121.755335648151</v>
      </c>
      <c r="K331" s="6" t="e" cm="1">
        <f t="array" ref="K331">LOOKUP(2^15,SEARCH(Tabela2[Palavras-Chave],Boletim[[#This Row],[Objeto]],1),Tabela2[Palavras-Chave])</f>
        <v>#N/A</v>
      </c>
    </row>
    <row r="332" spans="1:11" ht="86.4" hidden="1" x14ac:dyDescent="0.3">
      <c r="A332" s="5">
        <v>18809091</v>
      </c>
      <c r="B332" s="6" t="s">
        <v>1666</v>
      </c>
      <c r="C332" s="6" t="s">
        <v>1667</v>
      </c>
      <c r="D332" s="8" t="s">
        <v>66</v>
      </c>
      <c r="E332" s="6" t="s">
        <v>202</v>
      </c>
      <c r="F332" s="6" t="s">
        <v>85</v>
      </c>
      <c r="G332" s="11" t="s">
        <v>56</v>
      </c>
      <c r="H332" s="10" t="s">
        <v>1668</v>
      </c>
      <c r="I332" s="6" t="s">
        <v>1669</v>
      </c>
      <c r="J332" s="12">
        <v>46121.768472222226</v>
      </c>
      <c r="K332" s="6" t="e" cm="1">
        <f t="array" ref="K332">LOOKUP(2^15,SEARCH(Tabela2[Palavras-Chave],Boletim[[#This Row],[Objeto]],1),Tabela2[Palavras-Chave])</f>
        <v>#N/A</v>
      </c>
    </row>
    <row r="333" spans="1:11" ht="28.8" hidden="1" x14ac:dyDescent="0.3">
      <c r="A333" s="5">
        <v>18810983</v>
      </c>
      <c r="B333" s="6" t="s">
        <v>1670</v>
      </c>
      <c r="C333" s="6" t="s">
        <v>1671</v>
      </c>
      <c r="D333" s="8" t="s">
        <v>66</v>
      </c>
      <c r="E333" s="6" t="s">
        <v>441</v>
      </c>
      <c r="F333" s="6" t="s">
        <v>85</v>
      </c>
      <c r="G333" s="11">
        <v>46140.375</v>
      </c>
      <c r="H333" s="10" t="s">
        <v>1672</v>
      </c>
      <c r="I333" s="6" t="s">
        <v>90</v>
      </c>
      <c r="J333" s="12">
        <v>46121.794502314813</v>
      </c>
      <c r="K333" s="6" t="e" cm="1">
        <f t="array" ref="K333">LOOKUP(2^15,SEARCH(Tabela2[Palavras-Chave],Boletim[[#This Row],[Objeto]],1),Tabela2[Palavras-Chave])</f>
        <v>#N/A</v>
      </c>
    </row>
    <row r="334" spans="1:11" ht="115.2" hidden="1" x14ac:dyDescent="0.3">
      <c r="A334" s="5">
        <v>18810406</v>
      </c>
      <c r="B334" s="6" t="s">
        <v>445</v>
      </c>
      <c r="C334" s="6" t="s">
        <v>221</v>
      </c>
      <c r="D334" s="8" t="s">
        <v>66</v>
      </c>
      <c r="E334" s="6" t="s">
        <v>152</v>
      </c>
      <c r="F334" s="6" t="s">
        <v>85</v>
      </c>
      <c r="G334" s="11" t="s">
        <v>56</v>
      </c>
      <c r="H334" s="10" t="s">
        <v>1673</v>
      </c>
      <c r="I334" s="6" t="s">
        <v>1674</v>
      </c>
      <c r="J334" s="12">
        <v>46121.78733796296</v>
      </c>
      <c r="K334" s="6" t="e" cm="1">
        <f t="array" ref="K334">LOOKUP(2^15,SEARCH(Tabela2[Palavras-Chave],Boletim[[#This Row],[Objeto]],1),Tabela2[Palavras-Chave])</f>
        <v>#N/A</v>
      </c>
    </row>
    <row r="335" spans="1:11" ht="158.4" hidden="1" x14ac:dyDescent="0.3">
      <c r="A335" s="5">
        <v>18811084</v>
      </c>
      <c r="B335" s="6" t="s">
        <v>1675</v>
      </c>
      <c r="C335" s="6" t="s">
        <v>1676</v>
      </c>
      <c r="D335" s="8" t="s">
        <v>66</v>
      </c>
      <c r="E335" s="6" t="s">
        <v>148</v>
      </c>
      <c r="F335" s="6" t="s">
        <v>85</v>
      </c>
      <c r="G335" s="11" t="s">
        <v>56</v>
      </c>
      <c r="H335" s="10" t="s">
        <v>1677</v>
      </c>
      <c r="I335" s="6" t="s">
        <v>1678</v>
      </c>
      <c r="J335" s="12">
        <v>46121.790219907409</v>
      </c>
      <c r="K335" s="6" t="e" cm="1">
        <f t="array" ref="K335">LOOKUP(2^15,SEARCH(Tabela2[Palavras-Chave],Boletim[[#This Row],[Objeto]],1),Tabela2[Palavras-Chave])</f>
        <v>#N/A</v>
      </c>
    </row>
    <row r="336" spans="1:11" ht="259.2" hidden="1" x14ac:dyDescent="0.3">
      <c r="A336" s="5">
        <v>18810274</v>
      </c>
      <c r="B336" s="6" t="s">
        <v>1679</v>
      </c>
      <c r="C336" s="6" t="s">
        <v>1680</v>
      </c>
      <c r="D336" s="8" t="s">
        <v>66</v>
      </c>
      <c r="E336" s="6" t="s">
        <v>165</v>
      </c>
      <c r="F336" s="6" t="s">
        <v>85</v>
      </c>
      <c r="G336" s="11" t="s">
        <v>56</v>
      </c>
      <c r="H336" s="10" t="s">
        <v>1681</v>
      </c>
      <c r="I336" s="6" t="s">
        <v>1682</v>
      </c>
      <c r="J336" s="12">
        <v>46121.791215277779</v>
      </c>
      <c r="K336" s="6" t="e" cm="1">
        <f t="array" ref="K336">LOOKUP(2^15,SEARCH(Tabela2[Palavras-Chave],Boletim[[#This Row],[Objeto]],1),Tabela2[Palavras-Chave])</f>
        <v>#N/A</v>
      </c>
    </row>
    <row r="337" spans="1:11" ht="43.2" hidden="1" x14ac:dyDescent="0.3">
      <c r="A337" s="5">
        <v>18811015</v>
      </c>
      <c r="B337" s="6" t="s">
        <v>1683</v>
      </c>
      <c r="C337" s="6" t="s">
        <v>1684</v>
      </c>
      <c r="D337" s="8" t="s">
        <v>66</v>
      </c>
      <c r="E337" s="6" t="s">
        <v>450</v>
      </c>
      <c r="F337" s="6" t="s">
        <v>85</v>
      </c>
      <c r="G337" s="11">
        <v>46136.374305555553</v>
      </c>
      <c r="H337" s="10" t="s">
        <v>1685</v>
      </c>
      <c r="I337" s="6" t="s">
        <v>1686</v>
      </c>
      <c r="J337" s="12">
        <v>46121.791261574072</v>
      </c>
      <c r="K337" s="6" t="e" cm="1">
        <f t="array" ref="K337">LOOKUP(2^15,SEARCH(Tabela2[Palavras-Chave],Boletim[[#This Row],[Objeto]],1),Tabela2[Palavras-Chave])</f>
        <v>#N/A</v>
      </c>
    </row>
    <row r="338" spans="1:11" ht="72" hidden="1" x14ac:dyDescent="0.3">
      <c r="A338" s="5">
        <v>18811040</v>
      </c>
      <c r="B338" s="6" t="s">
        <v>1687</v>
      </c>
      <c r="C338" s="6" t="s">
        <v>1688</v>
      </c>
      <c r="D338" s="8" t="s">
        <v>66</v>
      </c>
      <c r="E338" s="6" t="s">
        <v>318</v>
      </c>
      <c r="F338" s="6" t="s">
        <v>85</v>
      </c>
      <c r="G338" s="11" t="s">
        <v>56</v>
      </c>
      <c r="H338" s="10" t="s">
        <v>1689</v>
      </c>
      <c r="I338" s="6" t="s">
        <v>1690</v>
      </c>
      <c r="J338" s="12">
        <v>46121.795312499999</v>
      </c>
      <c r="K338" s="6" t="e" cm="1">
        <f t="array" ref="K338">LOOKUP(2^15,SEARCH(Tabela2[Palavras-Chave],Boletim[[#This Row],[Objeto]],1),Tabela2[Palavras-Chave])</f>
        <v>#N/A</v>
      </c>
    </row>
    <row r="339" spans="1:11" ht="43.2" hidden="1" x14ac:dyDescent="0.3">
      <c r="A339" s="5">
        <v>18811250</v>
      </c>
      <c r="B339" s="6" t="s">
        <v>1691</v>
      </c>
      <c r="C339" s="6" t="s">
        <v>1692</v>
      </c>
      <c r="D339" s="8" t="s">
        <v>66</v>
      </c>
      <c r="E339" s="6" t="s">
        <v>429</v>
      </c>
      <c r="F339" s="6" t="s">
        <v>85</v>
      </c>
      <c r="G339" s="11">
        <v>46142.375</v>
      </c>
      <c r="H339" s="10" t="s">
        <v>1693</v>
      </c>
      <c r="I339" s="6" t="s">
        <v>1694</v>
      </c>
      <c r="J339" s="12">
        <v>46121.820185185185</v>
      </c>
      <c r="K339" s="6" t="e" cm="1">
        <f t="array" ref="K339">LOOKUP(2^15,SEARCH(Tabela2[Palavras-Chave],Boletim[[#This Row],[Objeto]],1),Tabela2[Palavras-Chave])</f>
        <v>#N/A</v>
      </c>
    </row>
    <row r="340" spans="1:11" ht="259.2" hidden="1" x14ac:dyDescent="0.3">
      <c r="A340" s="5">
        <v>18810276</v>
      </c>
      <c r="B340" s="6" t="s">
        <v>1679</v>
      </c>
      <c r="C340" s="6" t="s">
        <v>1680</v>
      </c>
      <c r="D340" s="8" t="s">
        <v>66</v>
      </c>
      <c r="E340" s="6" t="s">
        <v>155</v>
      </c>
      <c r="F340" s="6" t="s">
        <v>85</v>
      </c>
      <c r="G340" s="11" t="s">
        <v>56</v>
      </c>
      <c r="H340" s="10" t="s">
        <v>1695</v>
      </c>
      <c r="I340" s="6" t="s">
        <v>1696</v>
      </c>
      <c r="J340" s="12">
        <v>46121.839918981481</v>
      </c>
      <c r="K340" s="6" t="e" cm="1">
        <f t="array" ref="K340">LOOKUP(2^15,SEARCH(Tabela2[Palavras-Chave],Boletim[[#This Row],[Objeto]],1),Tabela2[Palavras-Chave])</f>
        <v>#N/A</v>
      </c>
    </row>
    <row r="341" spans="1:11" ht="115.2" hidden="1" x14ac:dyDescent="0.3">
      <c r="A341" s="5">
        <v>18807483</v>
      </c>
      <c r="B341" s="6" t="s">
        <v>1697</v>
      </c>
      <c r="C341" s="6" t="s">
        <v>1698</v>
      </c>
      <c r="D341" s="8" t="s">
        <v>66</v>
      </c>
      <c r="E341" s="6" t="s">
        <v>121</v>
      </c>
      <c r="F341" s="6" t="s">
        <v>85</v>
      </c>
      <c r="G341" s="11">
        <v>46139.333333333336</v>
      </c>
      <c r="H341" s="10" t="s">
        <v>1699</v>
      </c>
      <c r="I341" s="6" t="s">
        <v>1700</v>
      </c>
      <c r="J341" s="12">
        <v>46121.844050925924</v>
      </c>
      <c r="K341" s="6" t="e" cm="1">
        <f t="array" ref="K341">LOOKUP(2^15,SEARCH(Tabela2[Palavras-Chave],Boletim[[#This Row],[Objeto]],1),Tabela2[Palavras-Chave])</f>
        <v>#N/A</v>
      </c>
    </row>
    <row r="342" spans="1:11" ht="86.4" hidden="1" x14ac:dyDescent="0.3">
      <c r="A342" s="5">
        <v>18811219</v>
      </c>
      <c r="B342" s="6" t="s">
        <v>576</v>
      </c>
      <c r="C342" s="6" t="s">
        <v>577</v>
      </c>
      <c r="D342" s="8" t="s">
        <v>66</v>
      </c>
      <c r="E342" s="6" t="s">
        <v>240</v>
      </c>
      <c r="F342" s="6" t="s">
        <v>85</v>
      </c>
      <c r="G342" s="11" t="s">
        <v>56</v>
      </c>
      <c r="H342" s="10" t="s">
        <v>1701</v>
      </c>
      <c r="I342" s="6" t="s">
        <v>1702</v>
      </c>
      <c r="J342" s="12">
        <v>46121.846851851849</v>
      </c>
      <c r="K342" s="6" t="e" cm="1">
        <f t="array" ref="K342">LOOKUP(2^15,SEARCH(Tabela2[Palavras-Chave],Boletim[[#This Row],[Objeto]],1),Tabela2[Palavras-Chave])</f>
        <v>#N/A</v>
      </c>
    </row>
    <row r="343" spans="1:11" ht="100.8" hidden="1" x14ac:dyDescent="0.3">
      <c r="A343" s="5">
        <v>18809546</v>
      </c>
      <c r="B343" s="6" t="s">
        <v>443</v>
      </c>
      <c r="C343" s="6" t="s">
        <v>444</v>
      </c>
      <c r="D343" s="8" t="s">
        <v>66</v>
      </c>
      <c r="E343" s="6" t="s">
        <v>166</v>
      </c>
      <c r="F343" s="6" t="s">
        <v>85</v>
      </c>
      <c r="G343" s="11">
        <v>46135.415972222225</v>
      </c>
      <c r="H343" s="10" t="s">
        <v>1703</v>
      </c>
      <c r="I343" s="6" t="s">
        <v>1704</v>
      </c>
      <c r="J343" s="12">
        <v>46121.848715277774</v>
      </c>
      <c r="K343" s="6" t="e" cm="1">
        <f t="array" ref="K343">LOOKUP(2^15,SEARCH(Tabela2[Palavras-Chave],Boletim[[#This Row],[Objeto]],1),Tabela2[Palavras-Chave])</f>
        <v>#N/A</v>
      </c>
    </row>
    <row r="344" spans="1:11" ht="115.2" hidden="1" x14ac:dyDescent="0.3">
      <c r="A344" s="5">
        <v>18811245</v>
      </c>
      <c r="B344" s="6" t="s">
        <v>1705</v>
      </c>
      <c r="C344" s="6" t="s">
        <v>311</v>
      </c>
      <c r="D344" s="8" t="s">
        <v>66</v>
      </c>
      <c r="E344" s="6" t="s">
        <v>107</v>
      </c>
      <c r="F344" s="6" t="s">
        <v>85</v>
      </c>
      <c r="G344" s="11">
        <v>46134.541666666664</v>
      </c>
      <c r="H344" s="10" t="s">
        <v>1706</v>
      </c>
      <c r="I344" s="6" t="s">
        <v>1707</v>
      </c>
      <c r="J344" s="12">
        <v>46121.850983796299</v>
      </c>
      <c r="K344" s="6" t="e" cm="1">
        <f t="array" ref="K344">LOOKUP(2^15,SEARCH(Tabela2[Palavras-Chave],Boletim[[#This Row],[Objeto]],1),Tabela2[Palavras-Chave])</f>
        <v>#N/A</v>
      </c>
    </row>
    <row r="345" spans="1:11" ht="100.8" hidden="1" x14ac:dyDescent="0.3">
      <c r="A345" s="5">
        <v>18807443</v>
      </c>
      <c r="B345" s="6" t="s">
        <v>74</v>
      </c>
      <c r="C345" s="6" t="s">
        <v>123</v>
      </c>
      <c r="D345" s="8" t="s">
        <v>67</v>
      </c>
      <c r="E345" s="6" t="s">
        <v>1319</v>
      </c>
      <c r="F345" s="6" t="s">
        <v>85</v>
      </c>
      <c r="G345" s="11" t="s">
        <v>56</v>
      </c>
      <c r="H345" s="10" t="s">
        <v>1320</v>
      </c>
      <c r="I345" s="6" t="s">
        <v>1321</v>
      </c>
      <c r="J345" s="12">
        <v>46121.447291666664</v>
      </c>
      <c r="K345" s="6" t="e" cm="1">
        <f t="array" ref="K345">LOOKUP(2^15,SEARCH(Tabela2[Palavras-Chave],Boletim[[#This Row],[Objeto]],1),Tabela2[Palavras-Chave])</f>
        <v>#N/A</v>
      </c>
    </row>
    <row r="346" spans="1:11" ht="72" hidden="1" x14ac:dyDescent="0.3">
      <c r="A346" s="5">
        <v>18810040</v>
      </c>
      <c r="B346" s="6" t="s">
        <v>1708</v>
      </c>
      <c r="C346" s="6" t="s">
        <v>1709</v>
      </c>
      <c r="D346" s="8" t="s">
        <v>67</v>
      </c>
      <c r="E346" s="6" t="s">
        <v>124</v>
      </c>
      <c r="F346" s="6" t="s">
        <v>85</v>
      </c>
      <c r="G346" s="11">
        <v>46141.375</v>
      </c>
      <c r="H346" s="10" t="s">
        <v>1710</v>
      </c>
      <c r="I346" s="6" t="s">
        <v>90</v>
      </c>
      <c r="J346" s="12">
        <v>46121.704479166663</v>
      </c>
      <c r="K346" s="6" t="e" cm="1">
        <f t="array" ref="K346">LOOKUP(2^15,SEARCH(Tabela2[Palavras-Chave],Boletim[[#This Row],[Objeto]],1),Tabela2[Palavras-Chave])</f>
        <v>#N/A</v>
      </c>
    </row>
    <row r="347" spans="1:11" ht="100.8" hidden="1" x14ac:dyDescent="0.3">
      <c r="A347" s="5">
        <v>18809923</v>
      </c>
      <c r="B347" s="6" t="s">
        <v>1708</v>
      </c>
      <c r="C347" s="6" t="s">
        <v>1709</v>
      </c>
      <c r="D347" s="8" t="s">
        <v>67</v>
      </c>
      <c r="E347" s="6" t="s">
        <v>113</v>
      </c>
      <c r="F347" s="6" t="s">
        <v>85</v>
      </c>
      <c r="G347" s="11">
        <v>46140.375</v>
      </c>
      <c r="H347" s="10" t="s">
        <v>1711</v>
      </c>
      <c r="I347" s="6" t="s">
        <v>90</v>
      </c>
      <c r="J347" s="12">
        <v>46121.717650462961</v>
      </c>
      <c r="K347" s="6" t="e" cm="1">
        <f t="array" ref="K347">LOOKUP(2^15,SEARCH(Tabela2[Palavras-Chave],Boletim[[#This Row],[Objeto]],1),Tabela2[Palavras-Chave])</f>
        <v>#N/A</v>
      </c>
    </row>
    <row r="348" spans="1:11" ht="115.2" hidden="1" x14ac:dyDescent="0.3">
      <c r="A348" s="5">
        <v>18810422</v>
      </c>
      <c r="B348" s="6" t="s">
        <v>1712</v>
      </c>
      <c r="C348" s="6" t="s">
        <v>123</v>
      </c>
      <c r="D348" s="8" t="s">
        <v>67</v>
      </c>
      <c r="E348" s="6" t="s">
        <v>112</v>
      </c>
      <c r="F348" s="6" t="s">
        <v>85</v>
      </c>
      <c r="G348" s="11" t="s">
        <v>56</v>
      </c>
      <c r="H348" s="10" t="s">
        <v>1713</v>
      </c>
      <c r="I348" s="6" t="s">
        <v>1714</v>
      </c>
      <c r="J348" s="12">
        <v>46121.853784722225</v>
      </c>
      <c r="K348" s="6" t="e" cm="1">
        <f t="array" ref="K348">LOOKUP(2^15,SEARCH(Tabela2[Palavras-Chave],Boletim[[#This Row],[Objeto]],1),Tabela2[Palavras-Chave])</f>
        <v>#N/A</v>
      </c>
    </row>
    <row r="349" spans="1:11" ht="100.8" hidden="1" x14ac:dyDescent="0.3">
      <c r="A349" s="5">
        <v>18807445</v>
      </c>
      <c r="B349" s="6" t="s">
        <v>74</v>
      </c>
      <c r="C349" s="6" t="s">
        <v>111</v>
      </c>
      <c r="D349" s="8" t="s">
        <v>91</v>
      </c>
      <c r="E349" s="6" t="s">
        <v>1319</v>
      </c>
      <c r="F349" s="6" t="s">
        <v>85</v>
      </c>
      <c r="G349" s="11" t="s">
        <v>56</v>
      </c>
      <c r="H349" s="10" t="s">
        <v>1320</v>
      </c>
      <c r="I349" s="6" t="s">
        <v>1321</v>
      </c>
      <c r="J349" s="12">
        <v>46121.447291666664</v>
      </c>
      <c r="K349" s="6" t="e" cm="1">
        <f t="array" ref="K349">LOOKUP(2^15,SEARCH(Tabela2[Palavras-Chave],Boletim[[#This Row],[Objeto]],1),Tabela2[Palavras-Chave])</f>
        <v>#N/A</v>
      </c>
    </row>
    <row r="350" spans="1:11" ht="259.2" hidden="1" x14ac:dyDescent="0.3">
      <c r="A350" s="5">
        <v>18808479</v>
      </c>
      <c r="B350" s="6" t="s">
        <v>1715</v>
      </c>
      <c r="C350" s="6" t="s">
        <v>1716</v>
      </c>
      <c r="D350" s="8" t="s">
        <v>91</v>
      </c>
      <c r="E350" s="6" t="s">
        <v>124</v>
      </c>
      <c r="F350" s="6" t="s">
        <v>85</v>
      </c>
      <c r="G350" s="11" t="s">
        <v>56</v>
      </c>
      <c r="H350" s="10" t="s">
        <v>1717</v>
      </c>
      <c r="I350" s="6" t="s">
        <v>1718</v>
      </c>
      <c r="J350" s="12">
        <v>46121.534050925926</v>
      </c>
      <c r="K350" s="6" t="e" cm="1">
        <f t="array" ref="K350">LOOKUP(2^15,SEARCH(Tabela2[Palavras-Chave],Boletim[[#This Row],[Objeto]],1),Tabela2[Palavras-Chave])</f>
        <v>#N/A</v>
      </c>
    </row>
    <row r="351" spans="1:11" ht="259.2" hidden="1" x14ac:dyDescent="0.3">
      <c r="A351" s="5">
        <v>18809187</v>
      </c>
      <c r="B351" s="6" t="s">
        <v>1719</v>
      </c>
      <c r="C351" s="6" t="s">
        <v>1720</v>
      </c>
      <c r="D351" s="8" t="s">
        <v>91</v>
      </c>
      <c r="E351" s="6" t="s">
        <v>122</v>
      </c>
      <c r="F351" s="6" t="s">
        <v>85</v>
      </c>
      <c r="G351" s="11" t="s">
        <v>56</v>
      </c>
      <c r="H351" s="10" t="s">
        <v>1721</v>
      </c>
      <c r="I351" s="6" t="s">
        <v>1722</v>
      </c>
      <c r="J351" s="12">
        <v>46121.612222222226</v>
      </c>
      <c r="K351" s="6" t="e" cm="1">
        <f t="array" ref="K351">LOOKUP(2^15,SEARCH(Tabela2[Palavras-Chave],Boletim[[#This Row],[Objeto]],1),Tabela2[Palavras-Chave])</f>
        <v>#N/A</v>
      </c>
    </row>
    <row r="352" spans="1:11" ht="100.8" hidden="1" x14ac:dyDescent="0.3">
      <c r="A352" s="5">
        <v>18810083</v>
      </c>
      <c r="B352" s="6" t="s">
        <v>1723</v>
      </c>
      <c r="C352" s="6" t="s">
        <v>1065</v>
      </c>
      <c r="D352" s="8" t="s">
        <v>91</v>
      </c>
      <c r="E352" s="6" t="s">
        <v>142</v>
      </c>
      <c r="F352" s="6" t="s">
        <v>85</v>
      </c>
      <c r="G352" s="11">
        <v>46139.375</v>
      </c>
      <c r="H352" s="10" t="s">
        <v>1724</v>
      </c>
      <c r="I352" s="6" t="s">
        <v>1725</v>
      </c>
      <c r="J352" s="12">
        <v>46121.704965277779</v>
      </c>
      <c r="K352" s="6" t="e" cm="1">
        <f t="array" ref="K352">LOOKUP(2^15,SEARCH(Tabela2[Palavras-Chave],Boletim[[#This Row],[Objeto]],1),Tabela2[Palavras-Chave])</f>
        <v>#N/A</v>
      </c>
    </row>
    <row r="353" spans="1:11" ht="259.2" hidden="1" x14ac:dyDescent="0.3">
      <c r="A353" s="5">
        <v>18810291</v>
      </c>
      <c r="B353" s="6" t="s">
        <v>1726</v>
      </c>
      <c r="C353" s="6" t="s">
        <v>1727</v>
      </c>
      <c r="D353" s="8" t="s">
        <v>91</v>
      </c>
      <c r="E353" s="6" t="s">
        <v>135</v>
      </c>
      <c r="F353" s="6" t="s">
        <v>85</v>
      </c>
      <c r="G353" s="11" t="s">
        <v>56</v>
      </c>
      <c r="H353" s="10" t="s">
        <v>1728</v>
      </c>
      <c r="I353" s="6" t="s">
        <v>1729</v>
      </c>
      <c r="J353" s="12">
        <v>46121.72552083333</v>
      </c>
      <c r="K353" s="6" t="e" cm="1">
        <f t="array" ref="K353">LOOKUP(2^15,SEARCH(Tabela2[Palavras-Chave],Boletim[[#This Row],[Objeto]],1),Tabela2[Palavras-Chave])</f>
        <v>#N/A</v>
      </c>
    </row>
    <row r="354" spans="1:11" ht="115.2" hidden="1" x14ac:dyDescent="0.3">
      <c r="A354" s="5">
        <v>18809959</v>
      </c>
      <c r="B354" s="6" t="s">
        <v>1730</v>
      </c>
      <c r="C354" s="6" t="s">
        <v>345</v>
      </c>
      <c r="D354" s="8" t="s">
        <v>91</v>
      </c>
      <c r="E354" s="6" t="s">
        <v>1731</v>
      </c>
      <c r="F354" s="6" t="s">
        <v>85</v>
      </c>
      <c r="G354" s="11" t="s">
        <v>56</v>
      </c>
      <c r="H354" s="10" t="s">
        <v>1732</v>
      </c>
      <c r="I354" s="6" t="s">
        <v>1733</v>
      </c>
      <c r="J354" s="12">
        <v>46121.735717592594</v>
      </c>
      <c r="K354" s="6" t="e" cm="1">
        <f t="array" ref="K354">LOOKUP(2^15,SEARCH(Tabela2[Palavras-Chave],Boletim[[#This Row],[Objeto]],1),Tabela2[Palavras-Chave])</f>
        <v>#N/A</v>
      </c>
    </row>
    <row r="355" spans="1:11" ht="259.2" hidden="1" x14ac:dyDescent="0.3">
      <c r="A355" s="5">
        <v>18807063</v>
      </c>
      <c r="B355" s="6" t="s">
        <v>452</v>
      </c>
      <c r="C355" s="6" t="s">
        <v>453</v>
      </c>
      <c r="D355" s="8" t="s">
        <v>91</v>
      </c>
      <c r="E355" s="6" t="s">
        <v>106</v>
      </c>
      <c r="F355" s="6" t="s">
        <v>85</v>
      </c>
      <c r="G355" s="11" t="s">
        <v>56</v>
      </c>
      <c r="H355" s="10" t="s">
        <v>1734</v>
      </c>
      <c r="I355" s="6" t="s">
        <v>1735</v>
      </c>
      <c r="J355" s="12">
        <v>46121.76358796296</v>
      </c>
      <c r="K355" s="6" t="e" cm="1">
        <f t="array" ref="K355">LOOKUP(2^15,SEARCH(Tabela2[Palavras-Chave],Boletim[[#This Row],[Objeto]],1),Tabela2[Palavras-Chave])</f>
        <v>#N/A</v>
      </c>
    </row>
    <row r="356" spans="1:11" ht="115.2" hidden="1" x14ac:dyDescent="0.3">
      <c r="A356" s="5">
        <v>18802016</v>
      </c>
      <c r="B356" s="6" t="s">
        <v>459</v>
      </c>
      <c r="C356" s="6" t="s">
        <v>458</v>
      </c>
      <c r="D356" s="8" t="s">
        <v>68</v>
      </c>
      <c r="E356" s="6" t="s">
        <v>117</v>
      </c>
      <c r="F356" s="6" t="s">
        <v>85</v>
      </c>
      <c r="G356" s="11">
        <v>46134.374305555553</v>
      </c>
      <c r="H356" s="10" t="s">
        <v>460</v>
      </c>
      <c r="I356" s="6" t="s">
        <v>461</v>
      </c>
      <c r="J356" s="12">
        <v>46121.3987037037</v>
      </c>
      <c r="K356" s="6" t="e" cm="1">
        <f t="array" ref="K356">LOOKUP(2^15,SEARCH(Tabela2[Palavras-Chave],Boletim[[#This Row],[Objeto]],1),Tabela2[Palavras-Chave])</f>
        <v>#N/A</v>
      </c>
    </row>
    <row r="357" spans="1:11" ht="100.8" hidden="1" x14ac:dyDescent="0.3">
      <c r="A357" s="5">
        <v>18807446</v>
      </c>
      <c r="B357" s="6" t="s">
        <v>74</v>
      </c>
      <c r="C357" s="6" t="s">
        <v>130</v>
      </c>
      <c r="D357" s="8" t="s">
        <v>68</v>
      </c>
      <c r="E357" s="6" t="s">
        <v>1319</v>
      </c>
      <c r="F357" s="6" t="s">
        <v>85</v>
      </c>
      <c r="G357" s="11" t="s">
        <v>56</v>
      </c>
      <c r="H357" s="10" t="s">
        <v>1320</v>
      </c>
      <c r="I357" s="6" t="s">
        <v>1321</v>
      </c>
      <c r="J357" s="12">
        <v>46121.447291666664</v>
      </c>
      <c r="K357" s="6" t="e" cm="1">
        <f t="array" ref="K357">LOOKUP(2^15,SEARCH(Tabela2[Palavras-Chave],Boletim[[#This Row],[Objeto]],1),Tabela2[Palavras-Chave])</f>
        <v>#N/A</v>
      </c>
    </row>
    <row r="358" spans="1:11" ht="57.6" hidden="1" x14ac:dyDescent="0.3">
      <c r="A358" s="5">
        <v>18806394</v>
      </c>
      <c r="B358" s="6" t="s">
        <v>663</v>
      </c>
      <c r="C358" s="6" t="s">
        <v>664</v>
      </c>
      <c r="D358" s="8" t="s">
        <v>68</v>
      </c>
      <c r="E358" s="6" t="s">
        <v>135</v>
      </c>
      <c r="F358" s="6" t="s">
        <v>85</v>
      </c>
      <c r="G358" s="11">
        <v>46132.416666666664</v>
      </c>
      <c r="H358" s="10" t="s">
        <v>665</v>
      </c>
      <c r="I358" s="6" t="s">
        <v>666</v>
      </c>
      <c r="J358" s="12">
        <v>46121.45076388889</v>
      </c>
      <c r="K358" s="6" t="e" cm="1">
        <f t="array" ref="K358">LOOKUP(2^15,SEARCH(Tabela2[Palavras-Chave],Boletim[[#This Row],[Objeto]],1),Tabela2[Palavras-Chave])</f>
        <v>#N/A</v>
      </c>
    </row>
    <row r="359" spans="1:11" ht="144" x14ac:dyDescent="0.3">
      <c r="A359" s="13">
        <v>18808523</v>
      </c>
      <c r="B359" s="10" t="s">
        <v>1736</v>
      </c>
      <c r="C359" s="10" t="s">
        <v>130</v>
      </c>
      <c r="D359" s="15" t="s">
        <v>68</v>
      </c>
      <c r="E359" s="10" t="s">
        <v>183</v>
      </c>
      <c r="F359" s="10" t="s">
        <v>85</v>
      </c>
      <c r="G359" s="16" t="s">
        <v>56</v>
      </c>
      <c r="H359" s="10" t="s">
        <v>1737</v>
      </c>
      <c r="I359" s="10" t="s">
        <v>1738</v>
      </c>
      <c r="J359" s="17">
        <v>46121.753125000003</v>
      </c>
      <c r="K359" s="6" t="str" cm="1">
        <f t="array" ref="K359">LOOKUP(2^15,SEARCH(Tabela2[Palavras-Chave],Boletim[[#This Row],[Objeto]],1),Tabela2[Palavras-Chave])</f>
        <v>TANQUE</v>
      </c>
    </row>
    <row r="360" spans="1:11" ht="57.6" hidden="1" x14ac:dyDescent="0.3">
      <c r="A360" s="5">
        <v>18810223</v>
      </c>
      <c r="B360" s="6" t="s">
        <v>1739</v>
      </c>
      <c r="C360" s="6" t="s">
        <v>1740</v>
      </c>
      <c r="D360" s="8" t="s">
        <v>68</v>
      </c>
      <c r="E360" s="6" t="s">
        <v>1741</v>
      </c>
      <c r="F360" s="6" t="s">
        <v>85</v>
      </c>
      <c r="G360" s="11">
        <v>46132.375</v>
      </c>
      <c r="H360" s="10" t="s">
        <v>1742</v>
      </c>
      <c r="I360" s="6" t="s">
        <v>1743</v>
      </c>
      <c r="J360" s="12">
        <v>46121.757361111115</v>
      </c>
      <c r="K360" s="6" t="e" cm="1">
        <f t="array" ref="K360">LOOKUP(2^15,SEARCH(Tabela2[Palavras-Chave],Boletim[[#This Row],[Objeto]],1),Tabela2[Palavras-Chave])</f>
        <v>#N/A</v>
      </c>
    </row>
    <row r="361" spans="1:11" ht="100.8" hidden="1" x14ac:dyDescent="0.3">
      <c r="A361" s="5">
        <v>18810506</v>
      </c>
      <c r="B361" s="6" t="s">
        <v>462</v>
      </c>
      <c r="C361" s="6" t="s">
        <v>463</v>
      </c>
      <c r="D361" s="8" t="s">
        <v>68</v>
      </c>
      <c r="E361" s="6" t="s">
        <v>390</v>
      </c>
      <c r="F361" s="6" t="s">
        <v>85</v>
      </c>
      <c r="G361" s="11">
        <v>46134.333333333336</v>
      </c>
      <c r="H361" s="10" t="s">
        <v>1744</v>
      </c>
      <c r="I361" s="6" t="s">
        <v>1745</v>
      </c>
      <c r="J361" s="12">
        <v>46121.765393518515</v>
      </c>
      <c r="K361" s="6" t="e" cm="1">
        <f t="array" ref="K361">LOOKUP(2^15,SEARCH(Tabela2[Palavras-Chave],Boletim[[#This Row],[Objeto]],1),Tabela2[Palavras-Chave])</f>
        <v>#N/A</v>
      </c>
    </row>
    <row r="362" spans="1:11" ht="100.8" hidden="1" x14ac:dyDescent="0.3">
      <c r="A362" s="5">
        <v>18807418</v>
      </c>
      <c r="B362" s="6" t="s">
        <v>1746</v>
      </c>
      <c r="C362" s="6" t="s">
        <v>1747</v>
      </c>
      <c r="D362" s="8" t="s">
        <v>92</v>
      </c>
      <c r="E362" s="6" t="s">
        <v>149</v>
      </c>
      <c r="F362" s="6" t="s">
        <v>85</v>
      </c>
      <c r="G362" s="11">
        <v>46135.583333333336</v>
      </c>
      <c r="H362" s="10" t="s">
        <v>1748</v>
      </c>
      <c r="I362" s="6" t="s">
        <v>1749</v>
      </c>
      <c r="J362" s="12">
        <v>46121.444490740738</v>
      </c>
      <c r="K362" s="6" t="e" cm="1">
        <f t="array" ref="K362">LOOKUP(2^15,SEARCH(Tabela2[Palavras-Chave],Boletim[[#This Row],[Objeto]],1),Tabela2[Palavras-Chave])</f>
        <v>#N/A</v>
      </c>
    </row>
    <row r="363" spans="1:11" ht="100.8" hidden="1" x14ac:dyDescent="0.3">
      <c r="A363" s="5">
        <v>18807448</v>
      </c>
      <c r="B363" s="6" t="s">
        <v>74</v>
      </c>
      <c r="C363" s="6" t="s">
        <v>100</v>
      </c>
      <c r="D363" s="8" t="s">
        <v>92</v>
      </c>
      <c r="E363" s="6" t="s">
        <v>1319</v>
      </c>
      <c r="F363" s="6" t="s">
        <v>85</v>
      </c>
      <c r="G363" s="11" t="s">
        <v>56</v>
      </c>
      <c r="H363" s="10" t="s">
        <v>1320</v>
      </c>
      <c r="I363" s="6" t="s">
        <v>1321</v>
      </c>
      <c r="J363" s="12">
        <v>46121.44730324074</v>
      </c>
      <c r="K363" s="6" t="e" cm="1">
        <f t="array" ref="K363">LOOKUP(2^15,SEARCH(Tabela2[Palavras-Chave],Boletim[[#This Row],[Objeto]],1),Tabela2[Palavras-Chave])</f>
        <v>#N/A</v>
      </c>
    </row>
    <row r="364" spans="1:11" ht="100.8" hidden="1" x14ac:dyDescent="0.3">
      <c r="A364" s="5">
        <v>18807389</v>
      </c>
      <c r="B364" s="6" t="s">
        <v>1750</v>
      </c>
      <c r="C364" s="6" t="s">
        <v>1751</v>
      </c>
      <c r="D364" s="8" t="s">
        <v>92</v>
      </c>
      <c r="E364" s="6" t="s">
        <v>127</v>
      </c>
      <c r="F364" s="6" t="s">
        <v>85</v>
      </c>
      <c r="G364" s="11">
        <v>46141.332638888889</v>
      </c>
      <c r="H364" s="10" t="s">
        <v>1752</v>
      </c>
      <c r="I364" s="6" t="s">
        <v>1753</v>
      </c>
      <c r="J364" s="12">
        <v>46121.444664351853</v>
      </c>
      <c r="K364" s="6" t="e" cm="1">
        <f t="array" ref="K364">LOOKUP(2^15,SEARCH(Tabela2[Palavras-Chave],Boletim[[#This Row],[Objeto]],1),Tabela2[Palavras-Chave])</f>
        <v>#N/A</v>
      </c>
    </row>
    <row r="365" spans="1:11" ht="86.4" hidden="1" x14ac:dyDescent="0.3">
      <c r="A365" s="5">
        <v>18804276</v>
      </c>
      <c r="B365" s="6" t="s">
        <v>667</v>
      </c>
      <c r="C365" s="6" t="s">
        <v>668</v>
      </c>
      <c r="D365" s="8" t="s">
        <v>92</v>
      </c>
      <c r="E365" s="6" t="s">
        <v>120</v>
      </c>
      <c r="F365" s="6" t="s">
        <v>85</v>
      </c>
      <c r="G365" s="11" t="s">
        <v>56</v>
      </c>
      <c r="H365" s="10" t="s">
        <v>669</v>
      </c>
      <c r="I365" s="6" t="s">
        <v>670</v>
      </c>
      <c r="J365" s="12">
        <v>46121.450775462959</v>
      </c>
      <c r="K365" s="6" t="e" cm="1">
        <f t="array" ref="K365">LOOKUP(2^15,SEARCH(Tabela2[Palavras-Chave],Boletim[[#This Row],[Objeto]],1),Tabela2[Palavras-Chave])</f>
        <v>#N/A</v>
      </c>
    </row>
    <row r="366" spans="1:11" ht="86.4" hidden="1" x14ac:dyDescent="0.3">
      <c r="A366" s="5">
        <v>18806911</v>
      </c>
      <c r="B366" s="6" t="s">
        <v>1754</v>
      </c>
      <c r="C366" s="6" t="s">
        <v>1755</v>
      </c>
      <c r="D366" s="8" t="s">
        <v>92</v>
      </c>
      <c r="E366" s="6" t="s">
        <v>142</v>
      </c>
      <c r="F366" s="6" t="s">
        <v>85</v>
      </c>
      <c r="G366" s="11" t="s">
        <v>56</v>
      </c>
      <c r="H366" s="10" t="s">
        <v>1756</v>
      </c>
      <c r="I366" s="6" t="s">
        <v>1757</v>
      </c>
      <c r="J366" s="12">
        <v>46121.48065972222</v>
      </c>
      <c r="K366" s="6" t="e" cm="1">
        <f t="array" ref="K366">LOOKUP(2^15,SEARCH(Tabela2[Palavras-Chave],Boletim[[#This Row],[Objeto]],1),Tabela2[Palavras-Chave])</f>
        <v>#N/A</v>
      </c>
    </row>
    <row r="367" spans="1:11" ht="100.8" hidden="1" x14ac:dyDescent="0.3">
      <c r="A367" s="5">
        <v>18807509</v>
      </c>
      <c r="B367" s="6" t="s">
        <v>1758</v>
      </c>
      <c r="C367" s="6" t="s">
        <v>1759</v>
      </c>
      <c r="D367" s="8" t="s">
        <v>92</v>
      </c>
      <c r="E367" s="6" t="s">
        <v>126</v>
      </c>
      <c r="F367" s="6" t="s">
        <v>85</v>
      </c>
      <c r="G367" s="11">
        <v>46134.4375</v>
      </c>
      <c r="H367" s="10" t="s">
        <v>1760</v>
      </c>
      <c r="I367" s="6" t="s">
        <v>1761</v>
      </c>
      <c r="J367" s="12">
        <v>46121.486932870372</v>
      </c>
      <c r="K367" s="6" t="e" cm="1">
        <f t="array" ref="K367">LOOKUP(2^15,SEARCH(Tabela2[Palavras-Chave],Boletim[[#This Row],[Objeto]],1),Tabela2[Palavras-Chave])</f>
        <v>#N/A</v>
      </c>
    </row>
    <row r="368" spans="1:11" ht="100.8" hidden="1" x14ac:dyDescent="0.3">
      <c r="A368" s="5">
        <v>18809535</v>
      </c>
      <c r="B368" s="6" t="s">
        <v>1762</v>
      </c>
      <c r="C368" s="6" t="s">
        <v>1763</v>
      </c>
      <c r="D368" s="8" t="s">
        <v>92</v>
      </c>
      <c r="E368" s="6" t="s">
        <v>707</v>
      </c>
      <c r="F368" s="6" t="s">
        <v>85</v>
      </c>
      <c r="G368" s="11">
        <v>46139.375</v>
      </c>
      <c r="H368" s="10" t="s">
        <v>1764</v>
      </c>
      <c r="I368" s="6" t="s">
        <v>1765</v>
      </c>
      <c r="J368" s="12">
        <v>46121.607789351852</v>
      </c>
      <c r="K368" s="6" t="e" cm="1">
        <f t="array" ref="K368">LOOKUP(2^15,SEARCH(Tabela2[Palavras-Chave],Boletim[[#This Row],[Objeto]],1),Tabela2[Palavras-Chave])</f>
        <v>#N/A</v>
      </c>
    </row>
    <row r="369" spans="1:11" ht="129.6" hidden="1" x14ac:dyDescent="0.3">
      <c r="A369" s="5">
        <v>18808833</v>
      </c>
      <c r="B369" s="6" t="s">
        <v>1766</v>
      </c>
      <c r="C369" s="6" t="s">
        <v>1767</v>
      </c>
      <c r="D369" s="8" t="s">
        <v>92</v>
      </c>
      <c r="E369" s="6" t="s">
        <v>140</v>
      </c>
      <c r="F369" s="6" t="s">
        <v>85</v>
      </c>
      <c r="G369" s="11" t="s">
        <v>56</v>
      </c>
      <c r="H369" s="10" t="s">
        <v>1768</v>
      </c>
      <c r="I369" s="6" t="s">
        <v>1769</v>
      </c>
      <c r="J369" s="12">
        <v>46121.640219907407</v>
      </c>
      <c r="K369" s="6" t="e" cm="1">
        <f t="array" ref="K369">LOOKUP(2^15,SEARCH(Tabela2[Palavras-Chave],Boletim[[#This Row],[Objeto]],1),Tabela2[Palavras-Chave])</f>
        <v>#N/A</v>
      </c>
    </row>
    <row r="370" spans="1:11" ht="100.8" hidden="1" x14ac:dyDescent="0.3">
      <c r="A370" s="5">
        <v>18810087</v>
      </c>
      <c r="B370" s="6" t="s">
        <v>1770</v>
      </c>
      <c r="C370" s="6" t="s">
        <v>1771</v>
      </c>
      <c r="D370" s="8" t="s">
        <v>92</v>
      </c>
      <c r="E370" s="6" t="s">
        <v>142</v>
      </c>
      <c r="F370" s="6" t="s">
        <v>85</v>
      </c>
      <c r="G370" s="11">
        <v>46135.374305555553</v>
      </c>
      <c r="H370" s="10" t="s">
        <v>1772</v>
      </c>
      <c r="I370" s="6" t="s">
        <v>1773</v>
      </c>
      <c r="J370" s="12">
        <v>46121.707245370373</v>
      </c>
      <c r="K370" s="6" t="e" cm="1">
        <f t="array" ref="K370">LOOKUP(2^15,SEARCH(Tabela2[Palavras-Chave],Boletim[[#This Row],[Objeto]],1),Tabela2[Palavras-Chave])</f>
        <v>#N/A</v>
      </c>
    </row>
    <row r="371" spans="1:11" ht="115.2" x14ac:dyDescent="0.3">
      <c r="A371" s="5">
        <v>18810025</v>
      </c>
      <c r="B371" s="6" t="s">
        <v>232</v>
      </c>
      <c r="C371" s="6" t="s">
        <v>100</v>
      </c>
      <c r="D371" s="8" t="s">
        <v>92</v>
      </c>
      <c r="E371" s="6" t="s">
        <v>1774</v>
      </c>
      <c r="F371" s="6" t="s">
        <v>85</v>
      </c>
      <c r="G371" s="11">
        <v>46149.333333333336</v>
      </c>
      <c r="H371" s="10" t="s">
        <v>1775</v>
      </c>
      <c r="I371" s="6" t="s">
        <v>1776</v>
      </c>
      <c r="J371" s="12">
        <v>46121.732314814813</v>
      </c>
      <c r="K371" s="6" t="str" cm="1">
        <f t="array" ref="K371">LOOKUP(2^15,SEARCH(Tabela2[Palavras-Chave],Boletim[[#This Row],[Objeto]],1),Tabela2[Palavras-Chave])</f>
        <v>RESERVAT</v>
      </c>
    </row>
    <row r="372" spans="1:11" ht="100.8" hidden="1" x14ac:dyDescent="0.3">
      <c r="A372" s="5">
        <v>18810097</v>
      </c>
      <c r="B372" s="6" t="s">
        <v>1777</v>
      </c>
      <c r="C372" s="6" t="s">
        <v>1778</v>
      </c>
      <c r="D372" s="8" t="s">
        <v>92</v>
      </c>
      <c r="E372" s="6" t="s">
        <v>122</v>
      </c>
      <c r="F372" s="6" t="s">
        <v>85</v>
      </c>
      <c r="G372" s="11">
        <v>46134.333333333336</v>
      </c>
      <c r="H372" s="10" t="s">
        <v>1779</v>
      </c>
      <c r="I372" s="6" t="s">
        <v>1780</v>
      </c>
      <c r="J372" s="12">
        <v>46121.754745370374</v>
      </c>
      <c r="K372" s="6" t="e" cm="1">
        <f t="array" ref="K372">LOOKUP(2^15,SEARCH(Tabela2[Palavras-Chave],Boletim[[#This Row],[Objeto]],1),Tabela2[Palavras-Chave])</f>
        <v>#N/A</v>
      </c>
    </row>
    <row r="373" spans="1:11" ht="100.8" hidden="1" x14ac:dyDescent="0.3">
      <c r="A373" s="5">
        <v>18807449</v>
      </c>
      <c r="B373" s="6" t="s">
        <v>74</v>
      </c>
      <c r="C373" s="6" t="s">
        <v>69</v>
      </c>
      <c r="D373" s="8" t="s">
        <v>70</v>
      </c>
      <c r="E373" s="6" t="s">
        <v>1319</v>
      </c>
      <c r="F373" s="6" t="s">
        <v>85</v>
      </c>
      <c r="G373" s="11" t="s">
        <v>56</v>
      </c>
      <c r="H373" s="10" t="s">
        <v>1320</v>
      </c>
      <c r="I373" s="6" t="s">
        <v>1321</v>
      </c>
      <c r="J373" s="12">
        <v>46121.44730324074</v>
      </c>
      <c r="K373" s="6" t="e" cm="1">
        <f t="array" ref="K373">LOOKUP(2^15,SEARCH(Tabela2[Palavras-Chave],Boletim[[#This Row],[Objeto]],1),Tabela2[Palavras-Chave])</f>
        <v>#N/A</v>
      </c>
    </row>
    <row r="374" spans="1:11" ht="259.2" hidden="1" x14ac:dyDescent="0.3">
      <c r="A374" s="5">
        <v>18807132</v>
      </c>
      <c r="B374" s="6" t="s">
        <v>1781</v>
      </c>
      <c r="C374" s="6" t="s">
        <v>1782</v>
      </c>
      <c r="D374" s="8" t="s">
        <v>70</v>
      </c>
      <c r="E374" s="6" t="s">
        <v>148</v>
      </c>
      <c r="F374" s="6" t="s">
        <v>85</v>
      </c>
      <c r="G374" s="11" t="s">
        <v>56</v>
      </c>
      <c r="H374" s="10" t="s">
        <v>1783</v>
      </c>
      <c r="I374" s="6" t="s">
        <v>1784</v>
      </c>
      <c r="J374" s="12">
        <v>46121.47320601852</v>
      </c>
      <c r="K374" s="6" t="e" cm="1">
        <f t="array" ref="K374">LOOKUP(2^15,SEARCH(Tabela2[Palavras-Chave],Boletim[[#This Row],[Objeto]],1),Tabela2[Palavras-Chave])</f>
        <v>#N/A</v>
      </c>
    </row>
    <row r="375" spans="1:11" ht="144" x14ac:dyDescent="0.3">
      <c r="A375" s="5">
        <v>18802437</v>
      </c>
      <c r="B375" s="6" t="s">
        <v>465</v>
      </c>
      <c r="C375" s="6" t="s">
        <v>69</v>
      </c>
      <c r="D375" s="8" t="s">
        <v>70</v>
      </c>
      <c r="E375" s="6" t="s">
        <v>466</v>
      </c>
      <c r="F375" s="6" t="s">
        <v>85</v>
      </c>
      <c r="G375" s="11">
        <v>46128.375</v>
      </c>
      <c r="H375" s="10" t="s">
        <v>467</v>
      </c>
      <c r="I375" s="6" t="s">
        <v>468</v>
      </c>
      <c r="J375" s="12">
        <v>46121.552812499998</v>
      </c>
      <c r="K375" s="6" t="str" cm="1">
        <f t="array" ref="K375">LOOKUP(2^15,SEARCH(Tabela2[Palavras-Chave],Boletim[[#This Row],[Objeto]],1),Tabela2[Palavras-Chave])</f>
        <v>BOOSTER</v>
      </c>
    </row>
    <row r="376" spans="1:11" ht="244.8" hidden="1" x14ac:dyDescent="0.3">
      <c r="A376" s="5">
        <v>18809687</v>
      </c>
      <c r="B376" s="6" t="s">
        <v>1785</v>
      </c>
      <c r="C376" s="6" t="s">
        <v>1786</v>
      </c>
      <c r="D376" s="8" t="s">
        <v>70</v>
      </c>
      <c r="E376" s="6" t="s">
        <v>115</v>
      </c>
      <c r="F376" s="6" t="s">
        <v>85</v>
      </c>
      <c r="G376" s="11" t="s">
        <v>56</v>
      </c>
      <c r="H376" s="10" t="s">
        <v>1787</v>
      </c>
      <c r="I376" s="6" t="s">
        <v>1788</v>
      </c>
      <c r="J376" s="12">
        <v>46121.623425925929</v>
      </c>
      <c r="K376" s="6" t="e" cm="1">
        <f t="array" ref="K376">LOOKUP(2^15,SEARCH(Tabela2[Palavras-Chave],Boletim[[#This Row],[Objeto]],1),Tabela2[Palavras-Chave])</f>
        <v>#N/A</v>
      </c>
    </row>
    <row r="377" spans="1:11" ht="244.8" hidden="1" x14ac:dyDescent="0.3">
      <c r="A377" s="5">
        <v>18807707</v>
      </c>
      <c r="B377" s="6" t="s">
        <v>1789</v>
      </c>
      <c r="C377" s="6" t="s">
        <v>1790</v>
      </c>
      <c r="D377" s="8" t="s">
        <v>70</v>
      </c>
      <c r="E377" s="6" t="s">
        <v>114</v>
      </c>
      <c r="F377" s="6" t="s">
        <v>85</v>
      </c>
      <c r="G377" s="11" t="s">
        <v>56</v>
      </c>
      <c r="H377" s="10" t="s">
        <v>1791</v>
      </c>
      <c r="I377" s="6" t="s">
        <v>1792</v>
      </c>
      <c r="J377" s="12">
        <v>46121.695856481485</v>
      </c>
      <c r="K377" s="6" t="e" cm="1">
        <f t="array" ref="K377">LOOKUP(2^15,SEARCH(Tabela2[Palavras-Chave],Boletim[[#This Row],[Objeto]],1),Tabela2[Palavras-Chave])</f>
        <v>#N/A</v>
      </c>
    </row>
    <row r="378" spans="1:11" ht="158.4" hidden="1" x14ac:dyDescent="0.3">
      <c r="A378" s="5">
        <v>18808551</v>
      </c>
      <c r="B378" s="6" t="s">
        <v>1793</v>
      </c>
      <c r="C378" s="6" t="s">
        <v>1794</v>
      </c>
      <c r="D378" s="8" t="s">
        <v>70</v>
      </c>
      <c r="E378" s="6" t="s">
        <v>140</v>
      </c>
      <c r="F378" s="6" t="s">
        <v>85</v>
      </c>
      <c r="G378" s="11" t="s">
        <v>56</v>
      </c>
      <c r="H378" s="10" t="s">
        <v>1795</v>
      </c>
      <c r="I378" s="6" t="s">
        <v>1796</v>
      </c>
      <c r="J378" s="12">
        <v>46121.699444444443</v>
      </c>
      <c r="K378" s="6" t="e" cm="1">
        <f t="array" ref="K378">LOOKUP(2^15,SEARCH(Tabela2[Palavras-Chave],Boletim[[#This Row],[Objeto]],1),Tabela2[Palavras-Chave])</f>
        <v>#N/A</v>
      </c>
    </row>
    <row r="379" spans="1:11" ht="244.8" hidden="1" x14ac:dyDescent="0.3">
      <c r="A379" s="5">
        <v>18809223</v>
      </c>
      <c r="B379" s="6" t="s">
        <v>1797</v>
      </c>
      <c r="C379" s="6" t="s">
        <v>1798</v>
      </c>
      <c r="D379" s="8" t="s">
        <v>70</v>
      </c>
      <c r="E379" s="6" t="s">
        <v>115</v>
      </c>
      <c r="F379" s="6" t="s">
        <v>85</v>
      </c>
      <c r="G379" s="11" t="s">
        <v>56</v>
      </c>
      <c r="H379" s="10" t="s">
        <v>1799</v>
      </c>
      <c r="I379" s="6" t="s">
        <v>1800</v>
      </c>
      <c r="J379" s="12">
        <v>46121.703159722223</v>
      </c>
      <c r="K379" s="6" t="e" cm="1">
        <f t="array" ref="K379">LOOKUP(2^15,SEARCH(Tabela2[Palavras-Chave],Boletim[[#This Row],[Objeto]],1),Tabela2[Palavras-Chave])</f>
        <v>#N/A</v>
      </c>
    </row>
    <row r="380" spans="1:11" ht="244.8" hidden="1" x14ac:dyDescent="0.3">
      <c r="A380" s="5">
        <v>18811176</v>
      </c>
      <c r="B380" s="6" t="s">
        <v>1801</v>
      </c>
      <c r="C380" s="6" t="s">
        <v>1802</v>
      </c>
      <c r="D380" s="8" t="s">
        <v>70</v>
      </c>
      <c r="E380" s="6" t="s">
        <v>115</v>
      </c>
      <c r="F380" s="6" t="s">
        <v>85</v>
      </c>
      <c r="G380" s="11" t="s">
        <v>56</v>
      </c>
      <c r="H380" s="10" t="s">
        <v>1803</v>
      </c>
      <c r="I380" s="6" t="s">
        <v>1804</v>
      </c>
      <c r="J380" s="12">
        <v>46121.79241898148</v>
      </c>
      <c r="K380" s="6" t="e" cm="1">
        <f t="array" ref="K380">LOOKUP(2^15,SEARCH(Tabela2[Palavras-Chave],Boletim[[#This Row],[Objeto]],1),Tabela2[Palavras-Chave])</f>
        <v>#N/A</v>
      </c>
    </row>
    <row r="381" spans="1:11" ht="100.8" hidden="1" x14ac:dyDescent="0.3">
      <c r="A381" s="5">
        <v>18807451</v>
      </c>
      <c r="B381" s="6" t="s">
        <v>74</v>
      </c>
      <c r="C381" s="6" t="s">
        <v>133</v>
      </c>
      <c r="D381" s="8" t="s">
        <v>71</v>
      </c>
      <c r="E381" s="6" t="s">
        <v>1319</v>
      </c>
      <c r="F381" s="6" t="s">
        <v>85</v>
      </c>
      <c r="G381" s="11" t="s">
        <v>56</v>
      </c>
      <c r="H381" s="10" t="s">
        <v>1320</v>
      </c>
      <c r="I381" s="6" t="s">
        <v>1321</v>
      </c>
      <c r="J381" s="12">
        <v>46121.44730324074</v>
      </c>
      <c r="K381" s="6" t="e" cm="1">
        <f t="array" ref="K381">LOOKUP(2^15,SEARCH(Tabela2[Palavras-Chave],Boletim[[#This Row],[Objeto]],1),Tabela2[Palavras-Chave])</f>
        <v>#N/A</v>
      </c>
    </row>
    <row r="382" spans="1:11" ht="86.4" hidden="1" x14ac:dyDescent="0.3">
      <c r="A382" s="5">
        <v>18806920</v>
      </c>
      <c r="B382" s="6" t="s">
        <v>1805</v>
      </c>
      <c r="C382" s="6" t="s">
        <v>1806</v>
      </c>
      <c r="D382" s="8" t="s">
        <v>71</v>
      </c>
      <c r="E382" s="6" t="s">
        <v>135</v>
      </c>
      <c r="F382" s="6" t="s">
        <v>85</v>
      </c>
      <c r="G382" s="11" t="s">
        <v>56</v>
      </c>
      <c r="H382" s="10" t="s">
        <v>1807</v>
      </c>
      <c r="I382" s="6" t="s">
        <v>1808</v>
      </c>
      <c r="J382" s="12">
        <v>46121.455509259256</v>
      </c>
      <c r="K382" s="6" t="e" cm="1">
        <f t="array" ref="K382">LOOKUP(2^15,SEARCH(Tabela2[Palavras-Chave],Boletim[[#This Row],[Objeto]],1),Tabela2[Palavras-Chave])</f>
        <v>#N/A</v>
      </c>
    </row>
    <row r="383" spans="1:11" ht="57.6" hidden="1" x14ac:dyDescent="0.3">
      <c r="A383" s="5">
        <v>18807161</v>
      </c>
      <c r="B383" s="6" t="s">
        <v>1809</v>
      </c>
      <c r="C383" s="6" t="s">
        <v>1810</v>
      </c>
      <c r="D383" s="8" t="s">
        <v>71</v>
      </c>
      <c r="E383" s="6" t="s">
        <v>122</v>
      </c>
      <c r="F383" s="6" t="s">
        <v>85</v>
      </c>
      <c r="G383" s="11">
        <v>46134.375</v>
      </c>
      <c r="H383" s="10" t="s">
        <v>1811</v>
      </c>
      <c r="I383" s="6" t="s">
        <v>1812</v>
      </c>
      <c r="J383" s="12">
        <v>46121.482546296298</v>
      </c>
      <c r="K383" s="6" t="e" cm="1">
        <f t="array" ref="K383">LOOKUP(2^15,SEARCH(Tabela2[Palavras-Chave],Boletim[[#This Row],[Objeto]],1),Tabela2[Palavras-Chave])</f>
        <v>#N/A</v>
      </c>
    </row>
    <row r="384" spans="1:11" ht="115.2" hidden="1" x14ac:dyDescent="0.3">
      <c r="A384" s="5">
        <v>18808409</v>
      </c>
      <c r="B384" s="6" t="s">
        <v>1813</v>
      </c>
      <c r="C384" s="6" t="s">
        <v>133</v>
      </c>
      <c r="D384" s="8" t="s">
        <v>71</v>
      </c>
      <c r="E384" s="6" t="s">
        <v>140</v>
      </c>
      <c r="F384" s="6" t="s">
        <v>85</v>
      </c>
      <c r="G384" s="11" t="s">
        <v>56</v>
      </c>
      <c r="H384" s="10" t="s">
        <v>1814</v>
      </c>
      <c r="I384" s="6" t="s">
        <v>1815</v>
      </c>
      <c r="J384" s="12">
        <v>46121.538946759261</v>
      </c>
      <c r="K384" s="6" t="e" cm="1">
        <f t="array" ref="K384">LOOKUP(2^15,SEARCH(Tabela2[Palavras-Chave],Boletim[[#This Row],[Objeto]],1),Tabela2[Palavras-Chave])</f>
        <v>#N/A</v>
      </c>
    </row>
    <row r="385" spans="1:11" ht="100.8" hidden="1" x14ac:dyDescent="0.3">
      <c r="A385" s="5">
        <v>18809385</v>
      </c>
      <c r="B385" s="6" t="s">
        <v>1816</v>
      </c>
      <c r="C385" s="6" t="s">
        <v>1817</v>
      </c>
      <c r="D385" s="8" t="s">
        <v>71</v>
      </c>
      <c r="E385" s="6" t="s">
        <v>109</v>
      </c>
      <c r="F385" s="6" t="s">
        <v>85</v>
      </c>
      <c r="G385" s="11">
        <v>46134.333333333336</v>
      </c>
      <c r="H385" s="10" t="s">
        <v>1818</v>
      </c>
      <c r="I385" s="6" t="s">
        <v>1819</v>
      </c>
      <c r="J385" s="12">
        <v>46121.61645833333</v>
      </c>
      <c r="K385" s="6" t="e" cm="1">
        <f t="array" ref="K385">LOOKUP(2^15,SEARCH(Tabela2[Palavras-Chave],Boletim[[#This Row],[Objeto]],1),Tabela2[Palavras-Chave])</f>
        <v>#N/A</v>
      </c>
    </row>
    <row r="386" spans="1:11" ht="345.6" hidden="1" x14ac:dyDescent="0.3">
      <c r="A386" s="5">
        <v>18809651</v>
      </c>
      <c r="B386" s="6" t="s">
        <v>1820</v>
      </c>
      <c r="C386" s="6" t="s">
        <v>133</v>
      </c>
      <c r="D386" s="8" t="s">
        <v>71</v>
      </c>
      <c r="E386" s="6" t="s">
        <v>723</v>
      </c>
      <c r="F386" s="6" t="s">
        <v>85</v>
      </c>
      <c r="G386" s="11" t="s">
        <v>56</v>
      </c>
      <c r="H386" s="10" t="s">
        <v>1821</v>
      </c>
      <c r="I386" s="6" t="s">
        <v>1822</v>
      </c>
      <c r="J386" s="12">
        <v>46121.617743055554</v>
      </c>
      <c r="K386" s="6" t="e" cm="1">
        <f t="array" ref="K386">LOOKUP(2^15,SEARCH(Tabela2[Palavras-Chave],Boletim[[#This Row],[Objeto]],1),Tabela2[Palavras-Chave])</f>
        <v>#N/A</v>
      </c>
    </row>
    <row r="387" spans="1:11" ht="100.8" hidden="1" x14ac:dyDescent="0.3">
      <c r="A387" s="5">
        <v>18809553</v>
      </c>
      <c r="B387" s="6" t="s">
        <v>1823</v>
      </c>
      <c r="C387" s="6" t="s">
        <v>1824</v>
      </c>
      <c r="D387" s="8" t="s">
        <v>71</v>
      </c>
      <c r="E387" s="6" t="s">
        <v>106</v>
      </c>
      <c r="F387" s="6" t="s">
        <v>85</v>
      </c>
      <c r="G387" s="11">
        <v>46134.375</v>
      </c>
      <c r="H387" s="10" t="s">
        <v>1825</v>
      </c>
      <c r="I387" s="6" t="s">
        <v>1826</v>
      </c>
      <c r="J387" s="12">
        <v>46121.704155092593</v>
      </c>
      <c r="K387" s="6" t="e" cm="1">
        <f t="array" ref="K387">LOOKUP(2^15,SEARCH(Tabela2[Palavras-Chave],Boletim[[#This Row],[Objeto]],1),Tabela2[Palavras-Chave])</f>
        <v>#N/A</v>
      </c>
    </row>
    <row r="388" spans="1:11" ht="86.4" hidden="1" x14ac:dyDescent="0.3">
      <c r="A388" s="5">
        <v>18809049</v>
      </c>
      <c r="B388" s="6" t="s">
        <v>1827</v>
      </c>
      <c r="C388" s="6" t="s">
        <v>1828</v>
      </c>
      <c r="D388" s="8" t="s">
        <v>71</v>
      </c>
      <c r="E388" s="6" t="s">
        <v>106</v>
      </c>
      <c r="F388" s="6" t="s">
        <v>85</v>
      </c>
      <c r="G388" s="11" t="s">
        <v>56</v>
      </c>
      <c r="H388" s="10" t="s">
        <v>1829</v>
      </c>
      <c r="I388" s="6" t="s">
        <v>1830</v>
      </c>
      <c r="J388" s="12">
        <v>46121.725057870368</v>
      </c>
      <c r="K388" s="6" t="e" cm="1">
        <f t="array" ref="K388">LOOKUP(2^15,SEARCH(Tabela2[Palavras-Chave],Boletim[[#This Row],[Objeto]],1),Tabela2[Palavras-Chave])</f>
        <v>#N/A</v>
      </c>
    </row>
    <row r="389" spans="1:11" ht="43.2" hidden="1" x14ac:dyDescent="0.3">
      <c r="A389" s="5">
        <v>18807154</v>
      </c>
      <c r="B389" s="6" t="s">
        <v>1809</v>
      </c>
      <c r="C389" s="6" t="s">
        <v>1810</v>
      </c>
      <c r="D389" s="8" t="s">
        <v>71</v>
      </c>
      <c r="E389" s="6" t="s">
        <v>148</v>
      </c>
      <c r="F389" s="6" t="s">
        <v>85</v>
      </c>
      <c r="G389" s="11">
        <v>46136.333333333336</v>
      </c>
      <c r="H389" s="10" t="s">
        <v>1831</v>
      </c>
      <c r="I389" s="6" t="s">
        <v>1832</v>
      </c>
      <c r="J389" s="12">
        <v>46121.742361111108</v>
      </c>
      <c r="K389" s="6" t="e" cm="1">
        <f t="array" ref="K389">LOOKUP(2^15,SEARCH(Tabela2[Palavras-Chave],Boletim[[#This Row],[Objeto]],1),Tabela2[Palavras-Chave])</f>
        <v>#N/A</v>
      </c>
    </row>
    <row r="390" spans="1:11" ht="57.6" hidden="1" x14ac:dyDescent="0.3">
      <c r="A390" s="5">
        <v>18803991</v>
      </c>
      <c r="B390" s="6" t="s">
        <v>680</v>
      </c>
      <c r="C390" s="6" t="s">
        <v>681</v>
      </c>
      <c r="D390" s="8" t="s">
        <v>72</v>
      </c>
      <c r="E390" s="6" t="s">
        <v>128</v>
      </c>
      <c r="F390" s="6" t="s">
        <v>85</v>
      </c>
      <c r="G390" s="11">
        <v>46135.375</v>
      </c>
      <c r="H390" s="10" t="s">
        <v>682</v>
      </c>
      <c r="I390" s="6" t="s">
        <v>683</v>
      </c>
      <c r="J390" s="12">
        <v>46121.388321759259</v>
      </c>
      <c r="K390" s="6" t="e" cm="1">
        <f t="array" ref="K390">LOOKUP(2^15,SEARCH(Tabela2[Palavras-Chave],Boletim[[#This Row],[Objeto]],1),Tabela2[Palavras-Chave])</f>
        <v>#N/A</v>
      </c>
    </row>
    <row r="391" spans="1:11" ht="100.8" hidden="1" x14ac:dyDescent="0.3">
      <c r="A391" s="5">
        <v>18805219</v>
      </c>
      <c r="B391" s="6" t="s">
        <v>243</v>
      </c>
      <c r="C391" s="6" t="s">
        <v>244</v>
      </c>
      <c r="D391" s="8" t="s">
        <v>72</v>
      </c>
      <c r="E391" s="6" t="s">
        <v>474</v>
      </c>
      <c r="F391" s="6" t="s">
        <v>85</v>
      </c>
      <c r="G391" s="11" t="s">
        <v>56</v>
      </c>
      <c r="H391" s="10" t="s">
        <v>475</v>
      </c>
      <c r="I391" s="6" t="s">
        <v>476</v>
      </c>
      <c r="J391" s="12">
        <v>46121.388344907406</v>
      </c>
      <c r="K391" s="6" t="e" cm="1">
        <f t="array" ref="K391">LOOKUP(2^15,SEARCH(Tabela2[Palavras-Chave],Boletim[[#This Row],[Objeto]],1),Tabela2[Palavras-Chave])</f>
        <v>#N/A</v>
      </c>
    </row>
    <row r="392" spans="1:11" ht="86.4" hidden="1" x14ac:dyDescent="0.3">
      <c r="A392" s="5">
        <v>18807348</v>
      </c>
      <c r="B392" s="6" t="s">
        <v>156</v>
      </c>
      <c r="C392" s="6" t="s">
        <v>73</v>
      </c>
      <c r="D392" s="8" t="s">
        <v>72</v>
      </c>
      <c r="E392" s="6" t="s">
        <v>1833</v>
      </c>
      <c r="F392" s="6" t="s">
        <v>85</v>
      </c>
      <c r="G392" s="11">
        <v>46139.375</v>
      </c>
      <c r="H392" s="10" t="s">
        <v>1834</v>
      </c>
      <c r="I392" s="6" t="s">
        <v>1835</v>
      </c>
      <c r="J392" s="12">
        <v>46121.4378125</v>
      </c>
      <c r="K392" s="6" t="e" cm="1">
        <f t="array" ref="K392">LOOKUP(2^15,SEARCH(Tabela2[Palavras-Chave],Boletim[[#This Row],[Objeto]],1),Tabela2[Palavras-Chave])</f>
        <v>#N/A</v>
      </c>
    </row>
    <row r="393" spans="1:11" ht="100.8" hidden="1" x14ac:dyDescent="0.3">
      <c r="A393" s="5">
        <v>18807452</v>
      </c>
      <c r="B393" s="6" t="s">
        <v>74</v>
      </c>
      <c r="C393" s="6" t="s">
        <v>73</v>
      </c>
      <c r="D393" s="8" t="s">
        <v>72</v>
      </c>
      <c r="E393" s="6" t="s">
        <v>1319</v>
      </c>
      <c r="F393" s="6" t="s">
        <v>85</v>
      </c>
      <c r="G393" s="11" t="s">
        <v>56</v>
      </c>
      <c r="H393" s="10" t="s">
        <v>1320</v>
      </c>
      <c r="I393" s="6" t="s">
        <v>1321</v>
      </c>
      <c r="J393" s="12">
        <v>46121.44730324074</v>
      </c>
      <c r="K393" s="6" t="e" cm="1">
        <f t="array" ref="K393">LOOKUP(2^15,SEARCH(Tabela2[Palavras-Chave],Boletim[[#This Row],[Objeto]],1),Tabela2[Palavras-Chave])</f>
        <v>#N/A</v>
      </c>
    </row>
    <row r="394" spans="1:11" ht="86.4" hidden="1" x14ac:dyDescent="0.3">
      <c r="A394" s="5">
        <v>18806914</v>
      </c>
      <c r="B394" s="6" t="s">
        <v>1836</v>
      </c>
      <c r="C394" s="6" t="s">
        <v>73</v>
      </c>
      <c r="D394" s="8" t="s">
        <v>72</v>
      </c>
      <c r="E394" s="6" t="s">
        <v>148</v>
      </c>
      <c r="F394" s="6" t="s">
        <v>85</v>
      </c>
      <c r="G394" s="11" t="s">
        <v>56</v>
      </c>
      <c r="H394" s="10" t="s">
        <v>1837</v>
      </c>
      <c r="I394" s="6" t="s">
        <v>1838</v>
      </c>
      <c r="J394" s="12">
        <v>46121.454305555555</v>
      </c>
      <c r="K394" s="6" t="e" cm="1">
        <f t="array" ref="K394">LOOKUP(2^15,SEARCH(Tabela2[Palavras-Chave],Boletim[[#This Row],[Objeto]],1),Tabela2[Palavras-Chave])</f>
        <v>#N/A</v>
      </c>
    </row>
    <row r="395" spans="1:11" ht="72" hidden="1" x14ac:dyDescent="0.3">
      <c r="A395" s="5">
        <v>18807377</v>
      </c>
      <c r="B395" s="6" t="s">
        <v>74</v>
      </c>
      <c r="C395" s="6" t="s">
        <v>73</v>
      </c>
      <c r="D395" s="8" t="s">
        <v>72</v>
      </c>
      <c r="E395" s="6" t="s">
        <v>1839</v>
      </c>
      <c r="F395" s="6" t="s">
        <v>85</v>
      </c>
      <c r="G395" s="11" t="s">
        <v>56</v>
      </c>
      <c r="H395" s="10" t="s">
        <v>1840</v>
      </c>
      <c r="I395" s="6" t="s">
        <v>1841</v>
      </c>
      <c r="J395" s="12">
        <v>46121.472303240742</v>
      </c>
      <c r="K395" s="6" t="e" cm="1">
        <f t="array" ref="K395">LOOKUP(2^15,SEARCH(Tabela2[Palavras-Chave],Boletim[[#This Row],[Objeto]],1),Tabela2[Palavras-Chave])</f>
        <v>#N/A</v>
      </c>
    </row>
    <row r="396" spans="1:11" ht="129.6" hidden="1" x14ac:dyDescent="0.3">
      <c r="A396" s="13">
        <v>18808548</v>
      </c>
      <c r="B396" s="10" t="s">
        <v>1842</v>
      </c>
      <c r="C396" s="10" t="s">
        <v>1843</v>
      </c>
      <c r="D396" s="15" t="s">
        <v>72</v>
      </c>
      <c r="E396" s="10" t="s">
        <v>209</v>
      </c>
      <c r="F396" s="10" t="s">
        <v>85</v>
      </c>
      <c r="G396" s="16" t="s">
        <v>56</v>
      </c>
      <c r="H396" s="10" t="s">
        <v>1844</v>
      </c>
      <c r="I396" s="10" t="s">
        <v>1845</v>
      </c>
      <c r="J396" s="17">
        <v>46121.54415509259</v>
      </c>
      <c r="K396" s="6" t="e" cm="1">
        <f t="array" ref="K396">LOOKUP(2^15,SEARCH(Tabela2[Palavras-Chave],Boletim[[#This Row],[Objeto]],1),Tabela2[Palavras-Chave])</f>
        <v>#N/A</v>
      </c>
    </row>
    <row r="397" spans="1:11" ht="100.8" hidden="1" x14ac:dyDescent="0.3">
      <c r="A397" s="5">
        <v>18809068</v>
      </c>
      <c r="B397" s="6" t="s">
        <v>1846</v>
      </c>
      <c r="C397" s="6" t="s">
        <v>1847</v>
      </c>
      <c r="D397" s="8" t="s">
        <v>72</v>
      </c>
      <c r="E397" s="6" t="s">
        <v>142</v>
      </c>
      <c r="F397" s="6" t="s">
        <v>85</v>
      </c>
      <c r="G397" s="11" t="s">
        <v>56</v>
      </c>
      <c r="H397" s="10" t="s">
        <v>1848</v>
      </c>
      <c r="I397" s="6" t="s">
        <v>1849</v>
      </c>
      <c r="J397" s="12">
        <v>46121.585995370369</v>
      </c>
      <c r="K397" s="6" t="e" cm="1">
        <f t="array" ref="K397">LOOKUP(2^15,SEARCH(Tabela2[Palavras-Chave],Boletim[[#This Row],[Objeto]],1),Tabela2[Palavras-Chave])</f>
        <v>#N/A</v>
      </c>
    </row>
    <row r="398" spans="1:11" ht="259.2" hidden="1" x14ac:dyDescent="0.3">
      <c r="A398" s="5">
        <v>18809256</v>
      </c>
      <c r="B398" s="6" t="s">
        <v>1850</v>
      </c>
      <c r="C398" s="6" t="s">
        <v>1851</v>
      </c>
      <c r="D398" s="8" t="s">
        <v>72</v>
      </c>
      <c r="E398" s="6" t="s">
        <v>142</v>
      </c>
      <c r="F398" s="6" t="s">
        <v>85</v>
      </c>
      <c r="G398" s="11" t="s">
        <v>56</v>
      </c>
      <c r="H398" s="10" t="s">
        <v>1852</v>
      </c>
      <c r="I398" s="6" t="s">
        <v>1853</v>
      </c>
      <c r="J398" s="12">
        <v>46121.595879629633</v>
      </c>
      <c r="K398" s="6" t="e" cm="1">
        <f t="array" ref="K398">LOOKUP(2^15,SEARCH(Tabela2[Palavras-Chave],Boletim[[#This Row],[Objeto]],1),Tabela2[Palavras-Chave])</f>
        <v>#N/A</v>
      </c>
    </row>
    <row r="399" spans="1:11" ht="244.8" x14ac:dyDescent="0.3">
      <c r="A399" s="5">
        <v>18809240</v>
      </c>
      <c r="B399" s="6" t="s">
        <v>1854</v>
      </c>
      <c r="C399" s="6" t="s">
        <v>1855</v>
      </c>
      <c r="D399" s="8" t="s">
        <v>72</v>
      </c>
      <c r="E399" s="6" t="s">
        <v>126</v>
      </c>
      <c r="F399" s="6" t="s">
        <v>85</v>
      </c>
      <c r="G399" s="11" t="s">
        <v>56</v>
      </c>
      <c r="H399" s="10" t="s">
        <v>1856</v>
      </c>
      <c r="I399" s="6" t="s">
        <v>1857</v>
      </c>
      <c r="J399" s="12">
        <v>46121.599768518521</v>
      </c>
      <c r="K399" s="6" t="str" cm="1">
        <f t="array" ref="K399">LOOKUP(2^15,SEARCH(Tabela2[Palavras-Chave],Boletim[[#This Row],[Objeto]],1),Tabela2[Palavras-Chave])</f>
        <v>BOMBEAMENTO</v>
      </c>
    </row>
    <row r="400" spans="1:11" ht="115.2" hidden="1" x14ac:dyDescent="0.3">
      <c r="A400" s="5">
        <v>18808352</v>
      </c>
      <c r="B400" s="6" t="s">
        <v>1858</v>
      </c>
      <c r="C400" s="6" t="s">
        <v>223</v>
      </c>
      <c r="D400" s="8" t="s">
        <v>72</v>
      </c>
      <c r="E400" s="6" t="s">
        <v>1859</v>
      </c>
      <c r="F400" s="6" t="s">
        <v>85</v>
      </c>
      <c r="G400" s="11" t="s">
        <v>56</v>
      </c>
      <c r="H400" s="10" t="s">
        <v>1860</v>
      </c>
      <c r="I400" s="6" t="s">
        <v>1861</v>
      </c>
      <c r="J400" s="12">
        <v>46121.61482638889</v>
      </c>
      <c r="K400" s="6" t="e" cm="1">
        <f t="array" ref="K400">LOOKUP(2^15,SEARCH(Tabela2[Palavras-Chave],Boletim[[#This Row],[Objeto]],1),Tabela2[Palavras-Chave])</f>
        <v>#N/A</v>
      </c>
    </row>
    <row r="401" spans="1:11" ht="57.6" x14ac:dyDescent="0.3">
      <c r="A401" s="5">
        <v>18809097</v>
      </c>
      <c r="B401" s="6" t="s">
        <v>1862</v>
      </c>
      <c r="C401" s="6" t="s">
        <v>387</v>
      </c>
      <c r="D401" s="8" t="s">
        <v>72</v>
      </c>
      <c r="E401" s="6" t="s">
        <v>122</v>
      </c>
      <c r="F401" s="6" t="s">
        <v>85</v>
      </c>
      <c r="G401" s="11">
        <v>46136.375</v>
      </c>
      <c r="H401" s="10" t="s">
        <v>1863</v>
      </c>
      <c r="I401" s="6" t="s">
        <v>1864</v>
      </c>
      <c r="J401" s="12">
        <v>46121.616064814814</v>
      </c>
      <c r="K401" s="6" t="str" cm="1">
        <f t="array" ref="K401">LOOKUP(2^15,SEARCH(Tabela2[Palavras-Chave],Boletim[[#This Row],[Objeto]],1),Tabela2[Palavras-Chave])</f>
        <v>ELEVATÓRIA</v>
      </c>
    </row>
    <row r="402" spans="1:11" ht="316.8" hidden="1" x14ac:dyDescent="0.3">
      <c r="A402" s="5">
        <v>18809234</v>
      </c>
      <c r="B402" s="6" t="s">
        <v>1865</v>
      </c>
      <c r="C402" s="6" t="s">
        <v>1866</v>
      </c>
      <c r="D402" s="8" t="s">
        <v>72</v>
      </c>
      <c r="E402" s="6" t="s">
        <v>498</v>
      </c>
      <c r="F402" s="6" t="s">
        <v>85</v>
      </c>
      <c r="G402" s="11" t="s">
        <v>56</v>
      </c>
      <c r="H402" s="10" t="s">
        <v>1867</v>
      </c>
      <c r="I402" s="6" t="s">
        <v>1868</v>
      </c>
      <c r="J402" s="12">
        <v>46121.639965277776</v>
      </c>
      <c r="K402" s="6" t="e" cm="1">
        <f t="array" ref="K402">LOOKUP(2^15,SEARCH(Tabela2[Palavras-Chave],Boletim[[#This Row],[Objeto]],1),Tabela2[Palavras-Chave])</f>
        <v>#N/A</v>
      </c>
    </row>
    <row r="403" spans="1:11" ht="158.4" hidden="1" x14ac:dyDescent="0.3">
      <c r="A403" s="5">
        <v>18808366</v>
      </c>
      <c r="B403" s="6" t="s">
        <v>1869</v>
      </c>
      <c r="C403" s="6" t="s">
        <v>1870</v>
      </c>
      <c r="D403" s="8" t="s">
        <v>72</v>
      </c>
      <c r="E403" s="6" t="s">
        <v>242</v>
      </c>
      <c r="F403" s="6" t="s">
        <v>85</v>
      </c>
      <c r="G403" s="11" t="s">
        <v>56</v>
      </c>
      <c r="H403" s="10" t="s">
        <v>1871</v>
      </c>
      <c r="I403" s="6" t="s">
        <v>1872</v>
      </c>
      <c r="J403" s="12">
        <v>46121.657997685186</v>
      </c>
      <c r="K403" s="6" t="e" cm="1">
        <f t="array" ref="K403">LOOKUP(2^15,SEARCH(Tabela2[Palavras-Chave],Boletim[[#This Row],[Objeto]],1),Tabela2[Palavras-Chave])</f>
        <v>#N/A</v>
      </c>
    </row>
    <row r="404" spans="1:11" ht="273.60000000000002" hidden="1" x14ac:dyDescent="0.3">
      <c r="A404" s="5">
        <v>18808310</v>
      </c>
      <c r="B404" s="6" t="s">
        <v>1873</v>
      </c>
      <c r="C404" s="6" t="s">
        <v>1874</v>
      </c>
      <c r="D404" s="8" t="s">
        <v>72</v>
      </c>
      <c r="E404" s="6" t="s">
        <v>108</v>
      </c>
      <c r="F404" s="6" t="s">
        <v>85</v>
      </c>
      <c r="G404" s="11" t="s">
        <v>56</v>
      </c>
      <c r="H404" s="10" t="s">
        <v>1875</v>
      </c>
      <c r="I404" s="6" t="s">
        <v>1876</v>
      </c>
      <c r="J404" s="12">
        <v>46121.661203703705</v>
      </c>
      <c r="K404" s="6" t="e" cm="1">
        <f t="array" ref="K404">LOOKUP(2^15,SEARCH(Tabela2[Palavras-Chave],Boletim[[#This Row],[Objeto]],1),Tabela2[Palavras-Chave])</f>
        <v>#N/A</v>
      </c>
    </row>
    <row r="405" spans="1:11" ht="244.8" hidden="1" x14ac:dyDescent="0.3">
      <c r="A405" s="5">
        <v>18810352</v>
      </c>
      <c r="B405" s="6" t="s">
        <v>469</v>
      </c>
      <c r="C405" s="6" t="s">
        <v>470</v>
      </c>
      <c r="D405" s="8" t="s">
        <v>72</v>
      </c>
      <c r="E405" s="6" t="s">
        <v>148</v>
      </c>
      <c r="F405" s="6" t="s">
        <v>85</v>
      </c>
      <c r="G405" s="11" t="s">
        <v>56</v>
      </c>
      <c r="H405" s="10" t="s">
        <v>1877</v>
      </c>
      <c r="I405" s="6" t="s">
        <v>1878</v>
      </c>
      <c r="J405" s="12">
        <v>46121.79451388889</v>
      </c>
      <c r="K405" s="6" t="e" cm="1">
        <f t="array" ref="K405">LOOKUP(2^15,SEARCH(Tabela2[Palavras-Chave],Boletim[[#This Row],[Objeto]],1),Tabela2[Palavras-Chave])</f>
        <v>#N/A</v>
      </c>
    </row>
    <row r="406" spans="1:11" ht="72" hidden="1" x14ac:dyDescent="0.3">
      <c r="A406" s="5">
        <v>18809634</v>
      </c>
      <c r="B406" s="6" t="s">
        <v>306</v>
      </c>
      <c r="C406" s="6" t="s">
        <v>223</v>
      </c>
      <c r="D406" s="8" t="s">
        <v>72</v>
      </c>
      <c r="E406" s="6" t="s">
        <v>1879</v>
      </c>
      <c r="F406" s="6" t="s">
        <v>85</v>
      </c>
      <c r="G406" s="11" t="s">
        <v>56</v>
      </c>
      <c r="H406" s="10" t="s">
        <v>1880</v>
      </c>
      <c r="I406" s="6" t="s">
        <v>1881</v>
      </c>
      <c r="J406" s="12">
        <v>46121.734837962962</v>
      </c>
      <c r="K406" s="6" t="e" cm="1">
        <f t="array" ref="K406">LOOKUP(2^15,SEARCH(Tabela2[Palavras-Chave],Boletim[[#This Row],[Objeto]],1),Tabela2[Palavras-Chave])</f>
        <v>#N/A</v>
      </c>
    </row>
    <row r="407" spans="1:11" ht="259.2" hidden="1" x14ac:dyDescent="0.3">
      <c r="A407" s="5">
        <v>18810327</v>
      </c>
      <c r="B407" s="6" t="s">
        <v>1882</v>
      </c>
      <c r="C407" s="6" t="s">
        <v>1883</v>
      </c>
      <c r="D407" s="8" t="s">
        <v>72</v>
      </c>
      <c r="E407" s="6" t="s">
        <v>135</v>
      </c>
      <c r="F407" s="6" t="s">
        <v>85</v>
      </c>
      <c r="G407" s="11" t="s">
        <v>56</v>
      </c>
      <c r="H407" s="10" t="s">
        <v>1884</v>
      </c>
      <c r="I407" s="6" t="s">
        <v>1885</v>
      </c>
      <c r="J407" s="12">
        <v>46121.74496527778</v>
      </c>
      <c r="K407" s="6" t="e" cm="1">
        <f t="array" ref="K407">LOOKUP(2^15,SEARCH(Tabela2[Palavras-Chave],Boletim[[#This Row],[Objeto]],1),Tabela2[Palavras-Chave])</f>
        <v>#N/A</v>
      </c>
    </row>
    <row r="408" spans="1:11" ht="115.2" hidden="1" x14ac:dyDescent="0.3">
      <c r="A408" s="5">
        <v>18808302</v>
      </c>
      <c r="B408" s="6" t="s">
        <v>1886</v>
      </c>
      <c r="C408" s="6" t="s">
        <v>1887</v>
      </c>
      <c r="D408" s="8" t="s">
        <v>72</v>
      </c>
      <c r="E408" s="6" t="s">
        <v>483</v>
      </c>
      <c r="F408" s="6" t="s">
        <v>85</v>
      </c>
      <c r="G408" s="11" t="s">
        <v>56</v>
      </c>
      <c r="H408" s="10" t="s">
        <v>1888</v>
      </c>
      <c r="I408" s="6" t="s">
        <v>1889</v>
      </c>
      <c r="J408" s="12">
        <v>46121.746666666666</v>
      </c>
      <c r="K408" s="6" t="e" cm="1">
        <f t="array" ref="K408">LOOKUP(2^15,SEARCH(Tabela2[Palavras-Chave],Boletim[[#This Row],[Objeto]],1),Tabela2[Palavras-Chave])</f>
        <v>#N/A</v>
      </c>
    </row>
    <row r="409" spans="1:11" ht="86.4" hidden="1" x14ac:dyDescent="0.3">
      <c r="A409" s="5">
        <v>18807351</v>
      </c>
      <c r="B409" s="6" t="s">
        <v>156</v>
      </c>
      <c r="C409" s="6" t="s">
        <v>73</v>
      </c>
      <c r="D409" s="8" t="s">
        <v>72</v>
      </c>
      <c r="E409" s="6" t="s">
        <v>1890</v>
      </c>
      <c r="F409" s="6" t="s">
        <v>85</v>
      </c>
      <c r="G409" s="11">
        <v>46146.375</v>
      </c>
      <c r="H409" s="10" t="s">
        <v>1891</v>
      </c>
      <c r="I409" s="6" t="s">
        <v>1892</v>
      </c>
      <c r="J409" s="12">
        <v>46121.748078703706</v>
      </c>
      <c r="K409" s="6" t="e" cm="1">
        <f t="array" ref="K409">LOOKUP(2^15,SEARCH(Tabela2[Palavras-Chave],Boletim[[#This Row],[Objeto]],1),Tabela2[Palavras-Chave])</f>
        <v>#N/A</v>
      </c>
    </row>
    <row r="410" spans="1:11" ht="259.2" hidden="1" x14ac:dyDescent="0.3">
      <c r="A410" s="5">
        <v>18810472</v>
      </c>
      <c r="B410" s="6" t="s">
        <v>1893</v>
      </c>
      <c r="C410" s="6" t="s">
        <v>1894</v>
      </c>
      <c r="D410" s="8" t="s">
        <v>72</v>
      </c>
      <c r="E410" s="6" t="s">
        <v>135</v>
      </c>
      <c r="F410" s="6" t="s">
        <v>85</v>
      </c>
      <c r="G410" s="11" t="s">
        <v>56</v>
      </c>
      <c r="H410" s="10" t="s">
        <v>1895</v>
      </c>
      <c r="I410" s="6" t="s">
        <v>1896</v>
      </c>
      <c r="J410" s="12">
        <v>46121.756365740737</v>
      </c>
      <c r="K410" s="6" t="e" cm="1">
        <f t="array" ref="K410">LOOKUP(2^15,SEARCH(Tabela2[Palavras-Chave],Boletim[[#This Row],[Objeto]],1),Tabela2[Palavras-Chave])</f>
        <v>#N/A</v>
      </c>
    </row>
    <row r="411" spans="1:11" ht="259.2" hidden="1" x14ac:dyDescent="0.3">
      <c r="A411" s="5">
        <v>18810308</v>
      </c>
      <c r="B411" s="6" t="s">
        <v>1897</v>
      </c>
      <c r="C411" s="6" t="s">
        <v>1101</v>
      </c>
      <c r="D411" s="8" t="s">
        <v>72</v>
      </c>
      <c r="E411" s="6" t="s">
        <v>134</v>
      </c>
      <c r="F411" s="6" t="s">
        <v>85</v>
      </c>
      <c r="G411" s="11" t="s">
        <v>56</v>
      </c>
      <c r="H411" s="10" t="s">
        <v>1898</v>
      </c>
      <c r="I411" s="6" t="s">
        <v>1899</v>
      </c>
      <c r="J411" s="12">
        <v>46121.76121527778</v>
      </c>
      <c r="K411" s="6" t="e" cm="1">
        <f t="array" ref="K411">LOOKUP(2^15,SEARCH(Tabela2[Palavras-Chave],Boletim[[#This Row],[Objeto]],1),Tabela2[Palavras-Chave])</f>
        <v>#N/A</v>
      </c>
    </row>
    <row r="412" spans="1:11" ht="43.2" hidden="1" x14ac:dyDescent="0.3">
      <c r="A412" s="5">
        <v>18810984</v>
      </c>
      <c r="B412" s="6" t="s">
        <v>1862</v>
      </c>
      <c r="C412" s="6" t="s">
        <v>387</v>
      </c>
      <c r="D412" s="8" t="s">
        <v>72</v>
      </c>
      <c r="E412" s="6" t="s">
        <v>135</v>
      </c>
      <c r="F412" s="6" t="s">
        <v>85</v>
      </c>
      <c r="G412" s="11">
        <v>46135</v>
      </c>
      <c r="H412" s="10" t="s">
        <v>1900</v>
      </c>
      <c r="I412" s="6" t="s">
        <v>1901</v>
      </c>
      <c r="J412" s="12">
        <v>46121.783784722225</v>
      </c>
      <c r="K412" s="6" t="e" cm="1">
        <f t="array" ref="K412">LOOKUP(2^15,SEARCH(Tabela2[Palavras-Chave],Boletim[[#This Row],[Objeto]],1),Tabela2[Palavras-Chave])</f>
        <v>#N/A</v>
      </c>
    </row>
    <row r="413" spans="1:11" ht="86.4" hidden="1" x14ac:dyDescent="0.3">
      <c r="A413" s="13">
        <v>18811097</v>
      </c>
      <c r="B413" s="10" t="s">
        <v>1902</v>
      </c>
      <c r="C413" s="10" t="s">
        <v>1903</v>
      </c>
      <c r="D413" s="15" t="s">
        <v>72</v>
      </c>
      <c r="E413" s="10" t="s">
        <v>165</v>
      </c>
      <c r="F413" s="10" t="s">
        <v>85</v>
      </c>
      <c r="G413" s="16" t="s">
        <v>56</v>
      </c>
      <c r="H413" s="10" t="s">
        <v>1904</v>
      </c>
      <c r="I413" s="10" t="s">
        <v>1905</v>
      </c>
      <c r="J413" s="17">
        <v>46121.791030092594</v>
      </c>
      <c r="K413" s="6" t="e" cm="1">
        <f t="array" ref="K413">LOOKUP(2^15,SEARCH(Tabela2[Palavras-Chave],Boletim[[#This Row],[Objeto]],1),Tabela2[Palavras-Chave])</f>
        <v>#N/A</v>
      </c>
    </row>
    <row r="414" spans="1:11" ht="86.4" hidden="1" x14ac:dyDescent="0.3">
      <c r="A414" s="5">
        <v>18811092</v>
      </c>
      <c r="B414" s="6" t="s">
        <v>1906</v>
      </c>
      <c r="C414" s="6" t="s">
        <v>1907</v>
      </c>
      <c r="D414" s="8" t="s">
        <v>72</v>
      </c>
      <c r="E414" s="6" t="s">
        <v>474</v>
      </c>
      <c r="F414" s="6" t="s">
        <v>85</v>
      </c>
      <c r="G414" s="11" t="s">
        <v>56</v>
      </c>
      <c r="H414" s="10" t="s">
        <v>1908</v>
      </c>
      <c r="I414" s="6" t="s">
        <v>1909</v>
      </c>
      <c r="J414" s="12">
        <v>46121.794664351852</v>
      </c>
      <c r="K414" s="6" t="e" cm="1">
        <f t="array" ref="K414">LOOKUP(2^15,SEARCH(Tabela2[Palavras-Chave],Boletim[[#This Row],[Objeto]],1),Tabela2[Palavras-Chave])</f>
        <v>#N/A</v>
      </c>
    </row>
    <row r="415" spans="1:11" ht="86.4" hidden="1" x14ac:dyDescent="0.3">
      <c r="A415" s="5">
        <v>18811091</v>
      </c>
      <c r="B415" s="6" t="s">
        <v>1910</v>
      </c>
      <c r="C415" s="6" t="s">
        <v>1911</v>
      </c>
      <c r="D415" s="8" t="s">
        <v>72</v>
      </c>
      <c r="E415" s="6" t="s">
        <v>450</v>
      </c>
      <c r="F415" s="6" t="s">
        <v>85</v>
      </c>
      <c r="G415" s="11" t="s">
        <v>56</v>
      </c>
      <c r="H415" s="10" t="s">
        <v>1912</v>
      </c>
      <c r="I415" s="6" t="s">
        <v>1913</v>
      </c>
      <c r="J415" s="12">
        <v>46121.79614583333</v>
      </c>
      <c r="K415" s="6" t="e" cm="1">
        <f t="array" ref="K415">LOOKUP(2^15,SEARCH(Tabela2[Palavras-Chave],Boletim[[#This Row],[Objeto]],1),Tabela2[Palavras-Chave])</f>
        <v>#N/A</v>
      </c>
    </row>
    <row r="416" spans="1:11" ht="86.4" hidden="1" x14ac:dyDescent="0.3">
      <c r="A416" s="5">
        <v>18811093</v>
      </c>
      <c r="B416" s="6" t="s">
        <v>1914</v>
      </c>
      <c r="C416" s="6" t="s">
        <v>472</v>
      </c>
      <c r="D416" s="8" t="s">
        <v>72</v>
      </c>
      <c r="E416" s="6" t="s">
        <v>117</v>
      </c>
      <c r="F416" s="6" t="s">
        <v>85</v>
      </c>
      <c r="G416" s="11" t="s">
        <v>56</v>
      </c>
      <c r="H416" s="10" t="s">
        <v>1915</v>
      </c>
      <c r="I416" s="6" t="s">
        <v>1916</v>
      </c>
      <c r="J416" s="12">
        <v>46121.801018518519</v>
      </c>
      <c r="K416" s="6" t="e" cm="1">
        <f t="array" ref="K416">LOOKUP(2^15,SEARCH(Tabela2[Palavras-Chave],Boletim[[#This Row],[Objeto]],1),Tabela2[Palavras-Chave])</f>
        <v>#N/A</v>
      </c>
    </row>
    <row r="417" spans="1:11" ht="86.4" hidden="1" x14ac:dyDescent="0.3">
      <c r="A417" s="5">
        <v>18811098</v>
      </c>
      <c r="B417" s="6" t="s">
        <v>1917</v>
      </c>
      <c r="C417" s="6" t="s">
        <v>1918</v>
      </c>
      <c r="D417" s="8" t="s">
        <v>72</v>
      </c>
      <c r="E417" s="6" t="s">
        <v>146</v>
      </c>
      <c r="F417" s="6" t="s">
        <v>85</v>
      </c>
      <c r="G417" s="11" t="s">
        <v>56</v>
      </c>
      <c r="H417" s="10" t="s">
        <v>1919</v>
      </c>
      <c r="I417" s="6" t="s">
        <v>1920</v>
      </c>
      <c r="J417" s="12">
        <v>46121.811574074076</v>
      </c>
      <c r="K417" s="6" t="e" cm="1">
        <f t="array" ref="K417">LOOKUP(2^15,SEARCH(Tabela2[Palavras-Chave],Boletim[[#This Row],[Objeto]],1),Tabela2[Palavras-Chave])</f>
        <v>#N/A</v>
      </c>
    </row>
    <row r="418" spans="1:11" ht="144" hidden="1" x14ac:dyDescent="0.3">
      <c r="A418" s="5">
        <v>18808357</v>
      </c>
      <c r="B418" s="6" t="s">
        <v>478</v>
      </c>
      <c r="C418" s="6" t="s">
        <v>479</v>
      </c>
      <c r="D418" s="8" t="s">
        <v>72</v>
      </c>
      <c r="E418" s="6" t="s">
        <v>1316</v>
      </c>
      <c r="F418" s="6" t="s">
        <v>85</v>
      </c>
      <c r="G418" s="11" t="s">
        <v>56</v>
      </c>
      <c r="H418" s="10" t="s">
        <v>1921</v>
      </c>
      <c r="I418" s="6" t="s">
        <v>1922</v>
      </c>
      <c r="J418" s="12">
        <v>46121.833761574075</v>
      </c>
      <c r="K418" s="6" t="e" cm="1">
        <f t="array" ref="K418">LOOKUP(2^15,SEARCH(Tabela2[Palavras-Chave],Boletim[[#This Row],[Objeto]],1),Tabela2[Palavras-Chave])</f>
        <v>#N/A</v>
      </c>
    </row>
    <row r="419" spans="1:11" ht="259.2" hidden="1" x14ac:dyDescent="0.3">
      <c r="A419" s="5">
        <v>18807081</v>
      </c>
      <c r="B419" s="6" t="s">
        <v>1923</v>
      </c>
      <c r="C419" s="6" t="s">
        <v>1924</v>
      </c>
      <c r="D419" s="8" t="s">
        <v>72</v>
      </c>
      <c r="E419" s="6" t="s">
        <v>202</v>
      </c>
      <c r="F419" s="6" t="s">
        <v>85</v>
      </c>
      <c r="G419" s="11" t="s">
        <v>56</v>
      </c>
      <c r="H419" s="10" t="s">
        <v>1925</v>
      </c>
      <c r="I419" s="6" t="s">
        <v>1926</v>
      </c>
      <c r="J419" s="12">
        <v>46121.835104166668</v>
      </c>
      <c r="K419" s="6" t="e" cm="1">
        <f t="array" ref="K419">LOOKUP(2^15,SEARCH(Tabela2[Palavras-Chave],Boletim[[#This Row],[Objeto]],1),Tabela2[Palavras-Chave])</f>
        <v>#N/A</v>
      </c>
    </row>
    <row r="420" spans="1:11" ht="43.2" hidden="1" x14ac:dyDescent="0.3">
      <c r="A420" s="5">
        <v>18811224</v>
      </c>
      <c r="B420" s="6" t="s">
        <v>1927</v>
      </c>
      <c r="C420" s="6" t="s">
        <v>1928</v>
      </c>
      <c r="D420" s="8" t="s">
        <v>72</v>
      </c>
      <c r="E420" s="6" t="s">
        <v>1929</v>
      </c>
      <c r="F420" s="6" t="s">
        <v>85</v>
      </c>
      <c r="G420" s="11">
        <v>46134.354166666664</v>
      </c>
      <c r="H420" s="10" t="s">
        <v>1930</v>
      </c>
      <c r="I420" s="6" t="s">
        <v>1931</v>
      </c>
      <c r="J420" s="12">
        <v>46121.846574074072</v>
      </c>
      <c r="K420" s="6" t="e" cm="1">
        <f t="array" ref="K420">LOOKUP(2^15,SEARCH(Tabela2[Palavras-Chave],Boletim[[#This Row],[Objeto]],1),Tabela2[Palavras-Chave])</f>
        <v>#N/A</v>
      </c>
    </row>
    <row r="421" spans="1:11" ht="100.8" hidden="1" x14ac:dyDescent="0.3">
      <c r="A421" s="5">
        <v>18807422</v>
      </c>
      <c r="B421" s="6" t="s">
        <v>74</v>
      </c>
      <c r="C421" s="6" t="s">
        <v>75</v>
      </c>
      <c r="D421" s="8" t="s">
        <v>76</v>
      </c>
      <c r="E421" s="6" t="s">
        <v>1319</v>
      </c>
      <c r="F421" s="6" t="s">
        <v>85</v>
      </c>
      <c r="G421" s="11" t="s">
        <v>56</v>
      </c>
      <c r="H421" s="10" t="s">
        <v>1320</v>
      </c>
      <c r="I421" s="6" t="s">
        <v>1321</v>
      </c>
      <c r="J421" s="12">
        <v>46121.444525462961</v>
      </c>
      <c r="K421" s="6" t="e" cm="1">
        <f t="array" ref="K421">LOOKUP(2^15,SEARCH(Tabela2[Palavras-Chave],Boletim[[#This Row],[Objeto]],1),Tabela2[Palavras-Chave])</f>
        <v>#N/A</v>
      </c>
    </row>
    <row r="422" spans="1:11" ht="28.8" hidden="1" x14ac:dyDescent="0.3">
      <c r="A422" s="5">
        <v>18807383</v>
      </c>
      <c r="B422" s="6" t="s">
        <v>74</v>
      </c>
      <c r="C422" s="6" t="s">
        <v>75</v>
      </c>
      <c r="D422" s="8" t="s">
        <v>76</v>
      </c>
      <c r="E422" s="6" t="s">
        <v>1932</v>
      </c>
      <c r="F422" s="6" t="s">
        <v>85</v>
      </c>
      <c r="G422" s="11" t="s">
        <v>56</v>
      </c>
      <c r="H422" s="10" t="s">
        <v>1933</v>
      </c>
      <c r="I422" s="6" t="s">
        <v>1934</v>
      </c>
      <c r="J422" s="12">
        <v>46121.452557870369</v>
      </c>
      <c r="K422" s="6" t="e" cm="1">
        <f t="array" ref="K422">LOOKUP(2^15,SEARCH(Tabela2[Palavras-Chave],Boletim[[#This Row],[Objeto]],1),Tabela2[Palavras-Chave])</f>
        <v>#N/A</v>
      </c>
    </row>
    <row r="423" spans="1:11" ht="72" hidden="1" x14ac:dyDescent="0.3">
      <c r="A423" s="5">
        <v>18807442</v>
      </c>
      <c r="B423" s="6" t="s">
        <v>74</v>
      </c>
      <c r="C423" s="6" t="s">
        <v>75</v>
      </c>
      <c r="D423" s="8" t="s">
        <v>76</v>
      </c>
      <c r="E423" s="6" t="s">
        <v>1355</v>
      </c>
      <c r="F423" s="6" t="s">
        <v>85</v>
      </c>
      <c r="G423" s="11" t="s">
        <v>56</v>
      </c>
      <c r="H423" s="10" t="s">
        <v>1356</v>
      </c>
      <c r="I423" s="6" t="s">
        <v>1357</v>
      </c>
      <c r="J423" s="12">
        <v>46121.456122685187</v>
      </c>
      <c r="K423" s="6" t="e" cm="1">
        <f t="array" ref="K423">LOOKUP(2^15,SEARCH(Tabela2[Palavras-Chave],Boletim[[#This Row],[Objeto]],1),Tabela2[Palavras-Chave])</f>
        <v>#N/A</v>
      </c>
    </row>
    <row r="424" spans="1:11" ht="72" hidden="1" x14ac:dyDescent="0.3">
      <c r="A424" s="5">
        <v>18807376</v>
      </c>
      <c r="B424" s="6" t="s">
        <v>74</v>
      </c>
      <c r="C424" s="6" t="s">
        <v>75</v>
      </c>
      <c r="D424" s="8" t="s">
        <v>76</v>
      </c>
      <c r="E424" s="6" t="s">
        <v>1839</v>
      </c>
      <c r="F424" s="6" t="s">
        <v>85</v>
      </c>
      <c r="G424" s="11" t="s">
        <v>56</v>
      </c>
      <c r="H424" s="10" t="s">
        <v>1840</v>
      </c>
      <c r="I424" s="6" t="s">
        <v>1841</v>
      </c>
      <c r="J424" s="12">
        <v>46121.470092592594</v>
      </c>
      <c r="K424" s="6" t="e" cm="1">
        <f t="array" ref="K424">LOOKUP(2^15,SEARCH(Tabela2[Palavras-Chave],Boletim[[#This Row],[Objeto]],1),Tabela2[Palavras-Chave])</f>
        <v>#N/A</v>
      </c>
    </row>
    <row r="425" spans="1:11" ht="43.2" hidden="1" x14ac:dyDescent="0.3">
      <c r="A425" s="5">
        <v>18807559</v>
      </c>
      <c r="B425" s="6" t="s">
        <v>74</v>
      </c>
      <c r="C425" s="6" t="s">
        <v>75</v>
      </c>
      <c r="D425" s="8" t="s">
        <v>76</v>
      </c>
      <c r="E425" s="6" t="s">
        <v>1935</v>
      </c>
      <c r="F425" s="6" t="s">
        <v>85</v>
      </c>
      <c r="G425" s="11" t="s">
        <v>56</v>
      </c>
      <c r="H425" s="10" t="s">
        <v>1936</v>
      </c>
      <c r="I425" s="6" t="s">
        <v>1937</v>
      </c>
      <c r="J425" s="12">
        <v>46121.502291666664</v>
      </c>
      <c r="K425" s="6" t="e" cm="1">
        <f t="array" ref="K425">LOOKUP(2^15,SEARCH(Tabela2[Palavras-Chave],Boletim[[#This Row],[Objeto]],1),Tabela2[Palavras-Chave])</f>
        <v>#N/A</v>
      </c>
    </row>
    <row r="426" spans="1:11" ht="72" hidden="1" x14ac:dyDescent="0.3">
      <c r="A426" s="5">
        <v>18807473</v>
      </c>
      <c r="B426" s="6" t="s">
        <v>74</v>
      </c>
      <c r="C426" s="6" t="s">
        <v>75</v>
      </c>
      <c r="D426" s="8" t="s">
        <v>76</v>
      </c>
      <c r="E426" s="6" t="s">
        <v>1938</v>
      </c>
      <c r="F426" s="6" t="s">
        <v>85</v>
      </c>
      <c r="G426" s="11" t="s">
        <v>56</v>
      </c>
      <c r="H426" s="10" t="s">
        <v>1939</v>
      </c>
      <c r="I426" s="6" t="s">
        <v>1940</v>
      </c>
      <c r="J426" s="12">
        <v>46121.504513888889</v>
      </c>
      <c r="K426" s="6" t="e" cm="1">
        <f t="array" ref="K426">LOOKUP(2^15,SEARCH(Tabela2[Palavras-Chave],Boletim[[#This Row],[Objeto]],1),Tabela2[Palavras-Chave])</f>
        <v>#N/A</v>
      </c>
    </row>
    <row r="427" spans="1:11" ht="273.60000000000002" hidden="1" x14ac:dyDescent="0.3">
      <c r="A427" s="5">
        <v>18807782</v>
      </c>
      <c r="B427" s="6" t="s">
        <v>1941</v>
      </c>
      <c r="C427" s="6" t="s">
        <v>75</v>
      </c>
      <c r="D427" s="8" t="s">
        <v>76</v>
      </c>
      <c r="E427" s="6" t="s">
        <v>126</v>
      </c>
      <c r="F427" s="6" t="s">
        <v>85</v>
      </c>
      <c r="G427" s="11" t="s">
        <v>56</v>
      </c>
      <c r="H427" s="10" t="s">
        <v>1942</v>
      </c>
      <c r="I427" s="6" t="s">
        <v>1943</v>
      </c>
      <c r="J427" s="12">
        <v>46121.560277777775</v>
      </c>
      <c r="K427" s="6" t="e" cm="1">
        <f t="array" ref="K427">LOOKUP(2^15,SEARCH(Tabela2[Palavras-Chave],Boletim[[#This Row],[Objeto]],1),Tabela2[Palavras-Chave])</f>
        <v>#N/A</v>
      </c>
    </row>
    <row r="428" spans="1:11" ht="115.2" hidden="1" x14ac:dyDescent="0.3">
      <c r="A428" s="5">
        <v>18808959</v>
      </c>
      <c r="B428" s="6" t="s">
        <v>1944</v>
      </c>
      <c r="C428" s="6" t="s">
        <v>75</v>
      </c>
      <c r="D428" s="8" t="s">
        <v>76</v>
      </c>
      <c r="E428" s="6" t="s">
        <v>1945</v>
      </c>
      <c r="F428" s="6" t="s">
        <v>85</v>
      </c>
      <c r="G428" s="11" t="s">
        <v>56</v>
      </c>
      <c r="H428" s="10" t="s">
        <v>1946</v>
      </c>
      <c r="I428" s="6" t="s">
        <v>1947</v>
      </c>
      <c r="J428" s="12">
        <v>46121.576516203706</v>
      </c>
      <c r="K428" s="6" t="e" cm="1">
        <f t="array" ref="K428">LOOKUP(2^15,SEARCH(Tabela2[Palavras-Chave],Boletim[[#This Row],[Objeto]],1),Tabela2[Palavras-Chave])</f>
        <v>#N/A</v>
      </c>
    </row>
    <row r="429" spans="1:11" ht="115.2" hidden="1" x14ac:dyDescent="0.3">
      <c r="A429" s="5">
        <v>18808988</v>
      </c>
      <c r="B429" s="6" t="s">
        <v>1948</v>
      </c>
      <c r="C429" s="6" t="s">
        <v>578</v>
      </c>
      <c r="D429" s="8" t="s">
        <v>76</v>
      </c>
      <c r="E429" s="6" t="s">
        <v>183</v>
      </c>
      <c r="F429" s="6" t="s">
        <v>85</v>
      </c>
      <c r="G429" s="11" t="s">
        <v>56</v>
      </c>
      <c r="H429" s="10" t="s">
        <v>1949</v>
      </c>
      <c r="I429" s="6" t="s">
        <v>1950</v>
      </c>
      <c r="J429" s="12">
        <v>46121.576979166668</v>
      </c>
      <c r="K429" s="6" t="e" cm="1">
        <f t="array" ref="K429">LOOKUP(2^15,SEARCH(Tabela2[Palavras-Chave],Boletim[[#This Row],[Objeto]],1),Tabela2[Palavras-Chave])</f>
        <v>#N/A</v>
      </c>
    </row>
    <row r="430" spans="1:11" ht="115.2" hidden="1" x14ac:dyDescent="0.3">
      <c r="A430" s="13">
        <v>18808974</v>
      </c>
      <c r="B430" s="10" t="s">
        <v>225</v>
      </c>
      <c r="C430" s="10" t="s">
        <v>75</v>
      </c>
      <c r="D430" s="15" t="s">
        <v>76</v>
      </c>
      <c r="E430" s="10" t="s">
        <v>1951</v>
      </c>
      <c r="F430" s="10" t="s">
        <v>85</v>
      </c>
      <c r="G430" s="16" t="s">
        <v>56</v>
      </c>
      <c r="H430" s="10" t="s">
        <v>1952</v>
      </c>
      <c r="I430" s="10" t="s">
        <v>1953</v>
      </c>
      <c r="J430" s="17">
        <v>46121.580243055556</v>
      </c>
      <c r="K430" s="6" t="e" cm="1">
        <f t="array" ref="K430">LOOKUP(2^15,SEARCH(Tabela2[Palavras-Chave],Boletim[[#This Row],[Objeto]],1),Tabela2[Palavras-Chave])</f>
        <v>#N/A</v>
      </c>
    </row>
    <row r="431" spans="1:11" ht="115.2" hidden="1" x14ac:dyDescent="0.3">
      <c r="A431" s="5">
        <v>18808976</v>
      </c>
      <c r="B431" s="6" t="s">
        <v>225</v>
      </c>
      <c r="C431" s="6" t="s">
        <v>75</v>
      </c>
      <c r="D431" s="8" t="s">
        <v>76</v>
      </c>
      <c r="E431" s="6" t="s">
        <v>1954</v>
      </c>
      <c r="F431" s="6" t="s">
        <v>85</v>
      </c>
      <c r="G431" s="11" t="s">
        <v>56</v>
      </c>
      <c r="H431" s="10" t="s">
        <v>1955</v>
      </c>
      <c r="I431" s="6" t="s">
        <v>1956</v>
      </c>
      <c r="J431" s="12">
        <v>46121.612002314818</v>
      </c>
      <c r="K431" s="6" t="e" cm="1">
        <f t="array" ref="K431">LOOKUP(2^15,SEARCH(Tabela2[Palavras-Chave],Boletim[[#This Row],[Objeto]],1),Tabela2[Palavras-Chave])</f>
        <v>#N/A</v>
      </c>
    </row>
    <row r="432" spans="1:11" ht="172.8" hidden="1" x14ac:dyDescent="0.3">
      <c r="A432" s="5">
        <v>18808989</v>
      </c>
      <c r="B432" s="6" t="s">
        <v>1388</v>
      </c>
      <c r="C432" s="6" t="s">
        <v>213</v>
      </c>
      <c r="D432" s="8" t="s">
        <v>76</v>
      </c>
      <c r="E432" s="6" t="s">
        <v>1389</v>
      </c>
      <c r="F432" s="6" t="s">
        <v>85</v>
      </c>
      <c r="G432" s="11" t="s">
        <v>56</v>
      </c>
      <c r="H432" s="10" t="s">
        <v>1390</v>
      </c>
      <c r="I432" s="6" t="s">
        <v>1391</v>
      </c>
      <c r="J432" s="12">
        <v>46121.634710648148</v>
      </c>
      <c r="K432" s="6" t="e" cm="1">
        <f t="array" ref="K432">LOOKUP(2^15,SEARCH(Tabela2[Palavras-Chave],Boletim[[#This Row],[Objeto]],1),Tabela2[Palavras-Chave])</f>
        <v>#N/A</v>
      </c>
    </row>
    <row r="433" spans="1:11" ht="115.2" hidden="1" x14ac:dyDescent="0.3">
      <c r="A433" s="5">
        <v>18808991</v>
      </c>
      <c r="B433" s="6" t="s">
        <v>1957</v>
      </c>
      <c r="C433" s="6" t="s">
        <v>75</v>
      </c>
      <c r="D433" s="8" t="s">
        <v>76</v>
      </c>
      <c r="E433" s="6" t="s">
        <v>157</v>
      </c>
      <c r="F433" s="6" t="s">
        <v>85</v>
      </c>
      <c r="G433" s="11" t="s">
        <v>56</v>
      </c>
      <c r="H433" s="10" t="s">
        <v>1958</v>
      </c>
      <c r="I433" s="6" t="s">
        <v>1959</v>
      </c>
      <c r="J433" s="12">
        <v>46121.652974537035</v>
      </c>
      <c r="K433" s="6" t="e" cm="1">
        <f t="array" ref="K433">LOOKUP(2^15,SEARCH(Tabela2[Palavras-Chave],Boletim[[#This Row],[Objeto]],1),Tabela2[Palavras-Chave])</f>
        <v>#N/A</v>
      </c>
    </row>
    <row r="434" spans="1:11" ht="115.2" hidden="1" x14ac:dyDescent="0.3">
      <c r="A434" s="5">
        <v>18808960</v>
      </c>
      <c r="B434" s="6" t="s">
        <v>1960</v>
      </c>
      <c r="C434" s="6" t="s">
        <v>1961</v>
      </c>
      <c r="D434" s="8" t="s">
        <v>76</v>
      </c>
      <c r="E434" s="6" t="s">
        <v>1962</v>
      </c>
      <c r="F434" s="6" t="s">
        <v>85</v>
      </c>
      <c r="G434" s="11" t="s">
        <v>56</v>
      </c>
      <c r="H434" s="10" t="s">
        <v>1963</v>
      </c>
      <c r="I434" s="6" t="s">
        <v>1964</v>
      </c>
      <c r="J434" s="12">
        <v>46121.663483796299</v>
      </c>
      <c r="K434" s="6" t="e" cm="1">
        <f t="array" ref="K434">LOOKUP(2^15,SEARCH(Tabela2[Palavras-Chave],Boletim[[#This Row],[Objeto]],1),Tabela2[Palavras-Chave])</f>
        <v>#N/A</v>
      </c>
    </row>
    <row r="435" spans="1:11" ht="172.8" hidden="1" x14ac:dyDescent="0.3">
      <c r="A435" s="5">
        <v>18793543</v>
      </c>
      <c r="B435" s="6" t="s">
        <v>1965</v>
      </c>
      <c r="C435" s="6" t="s">
        <v>1961</v>
      </c>
      <c r="D435" s="8" t="s">
        <v>76</v>
      </c>
      <c r="E435" s="6" t="s">
        <v>1966</v>
      </c>
      <c r="F435" s="6" t="s">
        <v>85</v>
      </c>
      <c r="G435" s="11">
        <v>46134.375</v>
      </c>
      <c r="H435" s="10" t="s">
        <v>1967</v>
      </c>
      <c r="I435" s="6" t="s">
        <v>1968</v>
      </c>
      <c r="J435" s="12">
        <v>46121.69122685185</v>
      </c>
      <c r="K435" s="6" t="e" cm="1">
        <f t="array" ref="K435">LOOKUP(2^15,SEARCH(Tabela2[Palavras-Chave],Boletim[[#This Row],[Objeto]],1),Tabela2[Palavras-Chave])</f>
        <v>#N/A</v>
      </c>
    </row>
    <row r="436" spans="1:11" ht="72" x14ac:dyDescent="0.3">
      <c r="A436" s="5">
        <v>18810011</v>
      </c>
      <c r="B436" s="6" t="s">
        <v>74</v>
      </c>
      <c r="C436" s="6" t="s">
        <v>75</v>
      </c>
      <c r="D436" s="8" t="s">
        <v>76</v>
      </c>
      <c r="E436" s="6" t="s">
        <v>1969</v>
      </c>
      <c r="F436" s="6" t="s">
        <v>85</v>
      </c>
      <c r="G436" s="11" t="s">
        <v>56</v>
      </c>
      <c r="H436" s="10" t="s">
        <v>1970</v>
      </c>
      <c r="I436" s="6" t="s">
        <v>1971</v>
      </c>
      <c r="J436" s="12">
        <v>46121.705497685187</v>
      </c>
      <c r="K436" s="6" t="str" cm="1">
        <f t="array" ref="K436">LOOKUP(2^15,SEARCH(Tabela2[Palavras-Chave],Boletim[[#This Row],[Objeto]],1),Tabela2[Palavras-Chave])</f>
        <v>ELEVADO</v>
      </c>
    </row>
    <row r="437" spans="1:11" ht="72" hidden="1" x14ac:dyDescent="0.3">
      <c r="A437" s="5">
        <v>18810009</v>
      </c>
      <c r="B437" s="6" t="s">
        <v>74</v>
      </c>
      <c r="C437" s="6" t="s">
        <v>75</v>
      </c>
      <c r="D437" s="8" t="s">
        <v>76</v>
      </c>
      <c r="E437" s="6" t="s">
        <v>1972</v>
      </c>
      <c r="F437" s="6" t="s">
        <v>85</v>
      </c>
      <c r="G437" s="11" t="s">
        <v>56</v>
      </c>
      <c r="H437" s="10" t="s">
        <v>1973</v>
      </c>
      <c r="I437" s="6" t="s">
        <v>1974</v>
      </c>
      <c r="J437" s="12">
        <v>46121.705694444441</v>
      </c>
      <c r="K437" s="6" t="e" cm="1">
        <f t="array" ref="K437">LOOKUP(2^15,SEARCH(Tabela2[Palavras-Chave],Boletim[[#This Row],[Objeto]],1),Tabela2[Palavras-Chave])</f>
        <v>#N/A</v>
      </c>
    </row>
    <row r="438" spans="1:11" ht="28.8" hidden="1" x14ac:dyDescent="0.3">
      <c r="A438" s="5">
        <v>18810007</v>
      </c>
      <c r="B438" s="6" t="s">
        <v>74</v>
      </c>
      <c r="C438" s="6" t="s">
        <v>75</v>
      </c>
      <c r="D438" s="8" t="s">
        <v>76</v>
      </c>
      <c r="E438" s="6" t="s">
        <v>1975</v>
      </c>
      <c r="F438" s="6" t="s">
        <v>85</v>
      </c>
      <c r="G438" s="11" t="s">
        <v>56</v>
      </c>
      <c r="H438" s="10" t="s">
        <v>1976</v>
      </c>
      <c r="I438" s="6" t="s">
        <v>1977</v>
      </c>
      <c r="J438" s="12">
        <v>46121.705775462964</v>
      </c>
      <c r="K438" s="6" t="e" cm="1">
        <f t="array" ref="K438">LOOKUP(2^15,SEARCH(Tabela2[Palavras-Chave],Boletim[[#This Row],[Objeto]],1),Tabela2[Palavras-Chave])</f>
        <v>#N/A</v>
      </c>
    </row>
    <row r="439" spans="1:11" ht="72" hidden="1" x14ac:dyDescent="0.3">
      <c r="A439" s="5">
        <v>18810004</v>
      </c>
      <c r="B439" s="6" t="s">
        <v>74</v>
      </c>
      <c r="C439" s="6" t="s">
        <v>75</v>
      </c>
      <c r="D439" s="8" t="s">
        <v>76</v>
      </c>
      <c r="E439" s="6" t="s">
        <v>1978</v>
      </c>
      <c r="F439" s="6" t="s">
        <v>85</v>
      </c>
      <c r="G439" s="11" t="s">
        <v>56</v>
      </c>
      <c r="H439" s="10" t="s">
        <v>1979</v>
      </c>
      <c r="I439" s="6" t="s">
        <v>1971</v>
      </c>
      <c r="J439" s="12">
        <v>46121.70590277778</v>
      </c>
      <c r="K439" s="6" t="e" cm="1">
        <f t="array" ref="K439">LOOKUP(2^15,SEARCH(Tabela2[Palavras-Chave],Boletim[[#This Row],[Objeto]],1),Tabela2[Palavras-Chave])</f>
        <v>#N/A</v>
      </c>
    </row>
    <row r="440" spans="1:11" ht="86.4" hidden="1" x14ac:dyDescent="0.3">
      <c r="A440" s="5">
        <v>18809994</v>
      </c>
      <c r="B440" s="6" t="s">
        <v>74</v>
      </c>
      <c r="C440" s="6" t="s">
        <v>75</v>
      </c>
      <c r="D440" s="8" t="s">
        <v>76</v>
      </c>
      <c r="E440" s="6" t="s">
        <v>1980</v>
      </c>
      <c r="F440" s="6" t="s">
        <v>85</v>
      </c>
      <c r="G440" s="11" t="s">
        <v>56</v>
      </c>
      <c r="H440" s="10" t="s">
        <v>1981</v>
      </c>
      <c r="I440" s="6" t="s">
        <v>1982</v>
      </c>
      <c r="J440" s="12">
        <v>46121.707048611112</v>
      </c>
      <c r="K440" s="6" t="e" cm="1">
        <f t="array" ref="K440">LOOKUP(2^15,SEARCH(Tabela2[Palavras-Chave],Boletim[[#This Row],[Objeto]],1),Tabela2[Palavras-Chave])</f>
        <v>#N/A</v>
      </c>
    </row>
    <row r="441" spans="1:11" ht="129.6" hidden="1" x14ac:dyDescent="0.3">
      <c r="A441" s="5">
        <v>18807344</v>
      </c>
      <c r="B441" s="6" t="s">
        <v>1983</v>
      </c>
      <c r="C441" s="6" t="s">
        <v>1984</v>
      </c>
      <c r="D441" s="8" t="s">
        <v>76</v>
      </c>
      <c r="E441" s="6" t="s">
        <v>240</v>
      </c>
      <c r="F441" s="6" t="s">
        <v>85</v>
      </c>
      <c r="G441" s="11">
        <v>46139.375</v>
      </c>
      <c r="H441" s="10" t="s">
        <v>1985</v>
      </c>
      <c r="I441" s="6" t="s">
        <v>1986</v>
      </c>
      <c r="J441" s="12">
        <v>46121.709548611114</v>
      </c>
      <c r="K441" s="6" t="e" cm="1">
        <f t="array" ref="K441">LOOKUP(2^15,SEARCH(Tabela2[Palavras-Chave],Boletim[[#This Row],[Objeto]],1),Tabela2[Palavras-Chave])</f>
        <v>#N/A</v>
      </c>
    </row>
    <row r="442" spans="1:11" ht="57.6" hidden="1" x14ac:dyDescent="0.3">
      <c r="A442" s="5">
        <v>18810006</v>
      </c>
      <c r="B442" s="6" t="s">
        <v>74</v>
      </c>
      <c r="C442" s="6" t="s">
        <v>75</v>
      </c>
      <c r="D442" s="8" t="s">
        <v>76</v>
      </c>
      <c r="E442" s="6" t="s">
        <v>1987</v>
      </c>
      <c r="F442" s="6" t="s">
        <v>85</v>
      </c>
      <c r="G442" s="11" t="s">
        <v>56</v>
      </c>
      <c r="H442" s="10" t="s">
        <v>1988</v>
      </c>
      <c r="I442" s="6" t="s">
        <v>1989</v>
      </c>
      <c r="J442" s="12">
        <v>46121.712638888886</v>
      </c>
      <c r="K442" s="6" t="e" cm="1">
        <f t="array" ref="K442">LOOKUP(2^15,SEARCH(Tabela2[Palavras-Chave],Boletim[[#This Row],[Objeto]],1),Tabela2[Palavras-Chave])</f>
        <v>#N/A</v>
      </c>
    </row>
    <row r="443" spans="1:11" ht="259.2" hidden="1" x14ac:dyDescent="0.3">
      <c r="A443" s="5">
        <v>18810282</v>
      </c>
      <c r="B443" s="6" t="s">
        <v>1990</v>
      </c>
      <c r="C443" s="6" t="s">
        <v>1991</v>
      </c>
      <c r="D443" s="8" t="s">
        <v>76</v>
      </c>
      <c r="E443" s="6" t="s">
        <v>115</v>
      </c>
      <c r="F443" s="6" t="s">
        <v>85</v>
      </c>
      <c r="G443" s="11" t="s">
        <v>56</v>
      </c>
      <c r="H443" s="10" t="s">
        <v>1992</v>
      </c>
      <c r="I443" s="6" t="s">
        <v>1993</v>
      </c>
      <c r="J443" s="12">
        <v>46121.721388888887</v>
      </c>
      <c r="K443" s="6" t="e" cm="1">
        <f t="array" ref="K443">LOOKUP(2^15,SEARCH(Tabela2[Palavras-Chave],Boletim[[#This Row],[Objeto]],1),Tabela2[Palavras-Chave])</f>
        <v>#N/A</v>
      </c>
    </row>
    <row r="444" spans="1:11" ht="115.2" hidden="1" x14ac:dyDescent="0.3">
      <c r="A444" s="13">
        <v>18810432</v>
      </c>
      <c r="B444" s="10" t="s">
        <v>480</v>
      </c>
      <c r="C444" s="10" t="s">
        <v>75</v>
      </c>
      <c r="D444" s="15" t="s">
        <v>76</v>
      </c>
      <c r="E444" s="10" t="s">
        <v>1994</v>
      </c>
      <c r="F444" s="10" t="s">
        <v>85</v>
      </c>
      <c r="G444" s="16" t="s">
        <v>56</v>
      </c>
      <c r="H444" s="10" t="s">
        <v>1995</v>
      </c>
      <c r="I444" s="10" t="s">
        <v>1996</v>
      </c>
      <c r="J444" s="17">
        <v>46121.735868055555</v>
      </c>
      <c r="K444" s="6" t="e" cm="1">
        <f t="array" ref="K444">LOOKUP(2^15,SEARCH(Tabela2[Palavras-Chave],Boletim[[#This Row],[Objeto]],1),Tabela2[Palavras-Chave])</f>
        <v>#N/A</v>
      </c>
    </row>
    <row r="445" spans="1:11" ht="115.2" hidden="1" x14ac:dyDescent="0.3">
      <c r="A445" s="5">
        <v>18808966</v>
      </c>
      <c r="B445" s="6" t="s">
        <v>1997</v>
      </c>
      <c r="C445" s="6" t="s">
        <v>1998</v>
      </c>
      <c r="D445" s="8" t="s">
        <v>76</v>
      </c>
      <c r="E445" s="6" t="s">
        <v>241</v>
      </c>
      <c r="F445" s="6" t="s">
        <v>85</v>
      </c>
      <c r="G445" s="11" t="s">
        <v>56</v>
      </c>
      <c r="H445" s="10" t="s">
        <v>1999</v>
      </c>
      <c r="I445" s="6" t="s">
        <v>2000</v>
      </c>
      <c r="J445" s="12">
        <v>46121.749722222223</v>
      </c>
      <c r="K445" s="6" t="e" cm="1">
        <f t="array" ref="K445">LOOKUP(2^15,SEARCH(Tabela2[Palavras-Chave],Boletim[[#This Row],[Objeto]],1),Tabela2[Palavras-Chave])</f>
        <v>#N/A</v>
      </c>
    </row>
    <row r="446" spans="1:11" ht="43.2" hidden="1" x14ac:dyDescent="0.3">
      <c r="A446" s="5">
        <v>18809993</v>
      </c>
      <c r="B446" s="6" t="s">
        <v>74</v>
      </c>
      <c r="C446" s="6" t="s">
        <v>75</v>
      </c>
      <c r="D446" s="8" t="s">
        <v>76</v>
      </c>
      <c r="E446" s="6" t="s">
        <v>2001</v>
      </c>
      <c r="F446" s="6" t="s">
        <v>85</v>
      </c>
      <c r="G446" s="11" t="s">
        <v>56</v>
      </c>
      <c r="H446" s="10" t="s">
        <v>2002</v>
      </c>
      <c r="I446" s="6" t="s">
        <v>2003</v>
      </c>
      <c r="J446" s="12">
        <v>46121.756666666668</v>
      </c>
      <c r="K446" s="6" t="e" cm="1">
        <f t="array" ref="K446">LOOKUP(2^15,SEARCH(Tabela2[Palavras-Chave],Boletim[[#This Row],[Objeto]],1),Tabela2[Palavras-Chave])</f>
        <v>#N/A</v>
      </c>
    </row>
    <row r="447" spans="1:11" ht="115.2" hidden="1" x14ac:dyDescent="0.3">
      <c r="A447" s="5">
        <v>18808983</v>
      </c>
      <c r="B447" s="6" t="s">
        <v>2004</v>
      </c>
      <c r="C447" s="6" t="s">
        <v>75</v>
      </c>
      <c r="D447" s="8" t="s">
        <v>76</v>
      </c>
      <c r="E447" s="6" t="s">
        <v>2005</v>
      </c>
      <c r="F447" s="6" t="s">
        <v>85</v>
      </c>
      <c r="G447" s="11" t="s">
        <v>56</v>
      </c>
      <c r="H447" s="10" t="s">
        <v>2006</v>
      </c>
      <c r="I447" s="6" t="s">
        <v>2007</v>
      </c>
      <c r="J447" s="12">
        <v>46121.807083333333</v>
      </c>
      <c r="K447" s="6" t="e" cm="1">
        <f t="array" ref="K447">LOOKUP(2^15,SEARCH(Tabela2[Palavras-Chave],Boletim[[#This Row],[Objeto]],1),Tabela2[Palavras-Chave])</f>
        <v>#N/A</v>
      </c>
    </row>
    <row r="448" spans="1:11" ht="115.2" hidden="1" x14ac:dyDescent="0.3">
      <c r="A448" s="5">
        <v>18810913</v>
      </c>
      <c r="B448" s="6" t="s">
        <v>2008</v>
      </c>
      <c r="C448" s="6" t="s">
        <v>75</v>
      </c>
      <c r="D448" s="8" t="s">
        <v>76</v>
      </c>
      <c r="E448" s="6" t="s">
        <v>370</v>
      </c>
      <c r="F448" s="6" t="s">
        <v>85</v>
      </c>
      <c r="G448" s="11">
        <v>46129.416666666664</v>
      </c>
      <c r="H448" s="10" t="s">
        <v>2009</v>
      </c>
      <c r="I448" s="6" t="s">
        <v>2010</v>
      </c>
      <c r="J448" s="12">
        <v>46121.827037037037</v>
      </c>
      <c r="K448" s="6" t="e" cm="1">
        <f t="array" ref="K448">LOOKUP(2^15,SEARCH(Tabela2[Palavras-Chave],Boletim[[#This Row],[Objeto]],1),Tabela2[Palavras-Chave])</f>
        <v>#N/A</v>
      </c>
    </row>
    <row r="449" spans="1:11" ht="115.2" hidden="1" x14ac:dyDescent="0.3">
      <c r="A449" s="5">
        <v>18808985</v>
      </c>
      <c r="B449" s="6" t="s">
        <v>357</v>
      </c>
      <c r="C449" s="6" t="s">
        <v>358</v>
      </c>
      <c r="D449" s="8" t="s">
        <v>76</v>
      </c>
      <c r="E449" s="6" t="s">
        <v>210</v>
      </c>
      <c r="F449" s="6" t="s">
        <v>85</v>
      </c>
      <c r="G449" s="11" t="s">
        <v>56</v>
      </c>
      <c r="H449" s="10" t="s">
        <v>2011</v>
      </c>
      <c r="I449" s="6" t="s">
        <v>2012</v>
      </c>
      <c r="J449" s="12">
        <v>46121.827569444446</v>
      </c>
      <c r="K449" s="6" t="e" cm="1">
        <f t="array" ref="K449">LOOKUP(2^15,SEARCH(Tabela2[Palavras-Chave],Boletim[[#This Row],[Objeto]],1),Tabela2[Palavras-Chave])</f>
        <v>#N/A</v>
      </c>
    </row>
    <row r="450" spans="1:11" ht="43.2" hidden="1" x14ac:dyDescent="0.3">
      <c r="A450" s="5">
        <v>18810939</v>
      </c>
      <c r="B450" s="6" t="s">
        <v>355</v>
      </c>
      <c r="C450" s="6" t="s">
        <v>356</v>
      </c>
      <c r="D450" s="8" t="s">
        <v>76</v>
      </c>
      <c r="E450" s="6" t="s">
        <v>119</v>
      </c>
      <c r="F450" s="6" t="s">
        <v>85</v>
      </c>
      <c r="G450" s="11" t="s">
        <v>56</v>
      </c>
      <c r="H450" s="10" t="s">
        <v>2013</v>
      </c>
      <c r="I450" s="6" t="s">
        <v>2014</v>
      </c>
      <c r="J450" s="12">
        <v>46121.831307870372</v>
      </c>
      <c r="K450" s="6" t="e" cm="1">
        <f t="array" ref="K450">LOOKUP(2^15,SEARCH(Tabela2[Palavras-Chave],Boletim[[#This Row],[Objeto]],1),Tabela2[Palavras-Chave])</f>
        <v>#N/A</v>
      </c>
    </row>
    <row r="451" spans="1:11" ht="100.8" hidden="1" x14ac:dyDescent="0.3">
      <c r="A451" s="5">
        <v>18809518</v>
      </c>
      <c r="B451" s="6" t="s">
        <v>2015</v>
      </c>
      <c r="C451" s="6" t="s">
        <v>2016</v>
      </c>
      <c r="D451" s="8" t="s">
        <v>76</v>
      </c>
      <c r="E451" s="6" t="s">
        <v>146</v>
      </c>
      <c r="F451" s="6" t="s">
        <v>85</v>
      </c>
      <c r="G451" s="11">
        <v>46139.374305555553</v>
      </c>
      <c r="H451" s="10" t="s">
        <v>2017</v>
      </c>
      <c r="I451" s="6" t="s">
        <v>2018</v>
      </c>
      <c r="J451" s="12">
        <v>46121.863159722219</v>
      </c>
      <c r="K451" s="6" t="e" cm="1">
        <f t="array" ref="K451">LOOKUP(2^15,SEARCH(Tabela2[Palavras-Chave],Boletim[[#This Row],[Objeto]],1),Tabela2[Palavras-Chave])</f>
        <v>#N/A</v>
      </c>
    </row>
    <row r="452" spans="1:11" ht="100.8" hidden="1" x14ac:dyDescent="0.3">
      <c r="A452" s="5">
        <v>18807454</v>
      </c>
      <c r="B452" s="6" t="s">
        <v>74</v>
      </c>
      <c r="C452" s="6" t="s">
        <v>102</v>
      </c>
      <c r="D452" s="8" t="s">
        <v>77</v>
      </c>
      <c r="E452" s="6" t="s">
        <v>1319</v>
      </c>
      <c r="F452" s="6" t="s">
        <v>85</v>
      </c>
      <c r="G452" s="11" t="s">
        <v>56</v>
      </c>
      <c r="H452" s="10" t="s">
        <v>1320</v>
      </c>
      <c r="I452" s="6" t="s">
        <v>1321</v>
      </c>
      <c r="J452" s="12">
        <v>46121.44730324074</v>
      </c>
      <c r="K452" s="6" t="e" cm="1">
        <f t="array" ref="K452">LOOKUP(2^15,SEARCH(Tabela2[Palavras-Chave],Boletim[[#This Row],[Objeto]],1),Tabela2[Palavras-Chave])</f>
        <v>#N/A</v>
      </c>
    </row>
    <row r="453" spans="1:11" ht="86.4" hidden="1" x14ac:dyDescent="0.3">
      <c r="A453" s="5">
        <v>18810441</v>
      </c>
      <c r="B453" s="6" t="s">
        <v>2019</v>
      </c>
      <c r="C453" s="6" t="s">
        <v>2020</v>
      </c>
      <c r="D453" s="8" t="s">
        <v>77</v>
      </c>
      <c r="E453" s="6" t="s">
        <v>117</v>
      </c>
      <c r="F453" s="6" t="s">
        <v>85</v>
      </c>
      <c r="G453" s="11" t="s">
        <v>56</v>
      </c>
      <c r="H453" s="10" t="s">
        <v>2021</v>
      </c>
      <c r="I453" s="6" t="s">
        <v>2022</v>
      </c>
      <c r="J453" s="12">
        <v>46121.736018518517</v>
      </c>
      <c r="K453" s="6" t="e" cm="1">
        <f t="array" ref="K453">LOOKUP(2^15,SEARCH(Tabela2[Palavras-Chave],Boletim[[#This Row],[Objeto]],1),Tabela2[Palavras-Chave])</f>
        <v>#N/A</v>
      </c>
    </row>
    <row r="454" spans="1:11" ht="244.8" hidden="1" x14ac:dyDescent="0.3">
      <c r="A454" s="5">
        <v>18810368</v>
      </c>
      <c r="B454" s="6" t="s">
        <v>2023</v>
      </c>
      <c r="C454" s="6" t="s">
        <v>2024</v>
      </c>
      <c r="D454" s="8" t="s">
        <v>77</v>
      </c>
      <c r="E454" s="6" t="s">
        <v>135</v>
      </c>
      <c r="F454" s="6" t="s">
        <v>85</v>
      </c>
      <c r="G454" s="11" t="s">
        <v>56</v>
      </c>
      <c r="H454" s="10" t="s">
        <v>2025</v>
      </c>
      <c r="I454" s="6" t="s">
        <v>2026</v>
      </c>
      <c r="J454" s="12">
        <v>46121.763113425928</v>
      </c>
      <c r="K454" s="6" t="e" cm="1">
        <f t="array" ref="K454">LOOKUP(2^15,SEARCH(Tabela2[Palavras-Chave],Boletim[[#This Row],[Objeto]],1),Tabela2[Palavras-Chave])</f>
        <v>#N/A</v>
      </c>
    </row>
    <row r="455" spans="1:11" ht="129.6" hidden="1" x14ac:dyDescent="0.3">
      <c r="A455" s="5">
        <v>18808533</v>
      </c>
      <c r="B455" s="6" t="s">
        <v>2027</v>
      </c>
      <c r="C455" s="6" t="s">
        <v>102</v>
      </c>
      <c r="D455" s="8" t="s">
        <v>77</v>
      </c>
      <c r="E455" s="6" t="s">
        <v>481</v>
      </c>
      <c r="F455" s="6" t="s">
        <v>85</v>
      </c>
      <c r="G455" s="11" t="s">
        <v>56</v>
      </c>
      <c r="H455" s="10" t="s">
        <v>2028</v>
      </c>
      <c r="I455" s="6" t="s">
        <v>2029</v>
      </c>
      <c r="J455" s="12">
        <v>46121.793541666666</v>
      </c>
      <c r="K455" s="6" t="e" cm="1">
        <f t="array" ref="K455">LOOKUP(2^15,SEARCH(Tabela2[Palavras-Chave],Boletim[[#This Row],[Objeto]],1),Tabela2[Palavras-Chave])</f>
        <v>#N/A</v>
      </c>
    </row>
    <row r="456" spans="1:11" ht="158.4" hidden="1" x14ac:dyDescent="0.3">
      <c r="A456" s="5">
        <v>18802892</v>
      </c>
      <c r="B456" s="6" t="s">
        <v>484</v>
      </c>
      <c r="C456" s="6" t="s">
        <v>136</v>
      </c>
      <c r="D456" s="8" t="s">
        <v>78</v>
      </c>
      <c r="E456" s="6" t="s">
        <v>485</v>
      </c>
      <c r="F456" s="6" t="s">
        <v>85</v>
      </c>
      <c r="G456" s="11" t="s">
        <v>56</v>
      </c>
      <c r="H456" s="10" t="s">
        <v>486</v>
      </c>
      <c r="I456" s="6" t="s">
        <v>487</v>
      </c>
      <c r="J456" s="12">
        <v>46121.429895833331</v>
      </c>
      <c r="K456" s="6" t="e" cm="1">
        <f t="array" ref="K456">LOOKUP(2^15,SEARCH(Tabela2[Palavras-Chave],Boletim[[#This Row],[Objeto]],1),Tabela2[Palavras-Chave])</f>
        <v>#N/A</v>
      </c>
    </row>
    <row r="457" spans="1:11" ht="100.8" hidden="1" x14ac:dyDescent="0.3">
      <c r="A457" s="5">
        <v>18807456</v>
      </c>
      <c r="B457" s="6" t="s">
        <v>74</v>
      </c>
      <c r="C457" s="6" t="s">
        <v>136</v>
      </c>
      <c r="D457" s="8" t="s">
        <v>78</v>
      </c>
      <c r="E457" s="6" t="s">
        <v>1319</v>
      </c>
      <c r="F457" s="6" t="s">
        <v>85</v>
      </c>
      <c r="G457" s="11" t="s">
        <v>56</v>
      </c>
      <c r="H457" s="10" t="s">
        <v>1320</v>
      </c>
      <c r="I457" s="6" t="s">
        <v>1321</v>
      </c>
      <c r="J457" s="12">
        <v>46121.44730324074</v>
      </c>
      <c r="K457" s="6" t="e" cm="1">
        <f t="array" ref="K457">LOOKUP(2^15,SEARCH(Tabela2[Palavras-Chave],Boletim[[#This Row],[Objeto]],1),Tabela2[Palavras-Chave])</f>
        <v>#N/A</v>
      </c>
    </row>
    <row r="458" spans="1:11" ht="72" hidden="1" x14ac:dyDescent="0.3">
      <c r="A458" s="5">
        <v>18807155</v>
      </c>
      <c r="B458" s="6" t="s">
        <v>2030</v>
      </c>
      <c r="C458" s="6" t="s">
        <v>2031</v>
      </c>
      <c r="D458" s="8" t="s">
        <v>78</v>
      </c>
      <c r="E458" s="6" t="s">
        <v>155</v>
      </c>
      <c r="F458" s="6" t="s">
        <v>85</v>
      </c>
      <c r="G458" s="11">
        <v>46135.465277777781</v>
      </c>
      <c r="H458" s="10" t="s">
        <v>2032</v>
      </c>
      <c r="I458" s="6" t="s">
        <v>2033</v>
      </c>
      <c r="J458" s="12">
        <v>46121.487523148149</v>
      </c>
      <c r="K458" s="6" t="e" cm="1">
        <f t="array" ref="K458">LOOKUP(2^15,SEARCH(Tabela2[Palavras-Chave],Boletim[[#This Row],[Objeto]],1),Tabela2[Palavras-Chave])</f>
        <v>#N/A</v>
      </c>
    </row>
    <row r="459" spans="1:11" ht="86.4" hidden="1" x14ac:dyDescent="0.3">
      <c r="A459" s="5">
        <v>18809399</v>
      </c>
      <c r="B459" s="6" t="s">
        <v>2034</v>
      </c>
      <c r="C459" s="6" t="s">
        <v>2035</v>
      </c>
      <c r="D459" s="8" t="s">
        <v>78</v>
      </c>
      <c r="E459" s="6" t="s">
        <v>2036</v>
      </c>
      <c r="F459" s="6" t="s">
        <v>85</v>
      </c>
      <c r="G459" s="11" t="s">
        <v>56</v>
      </c>
      <c r="H459" s="10" t="s">
        <v>2037</v>
      </c>
      <c r="I459" s="6" t="s">
        <v>2038</v>
      </c>
      <c r="J459" s="12">
        <v>46121.627476851849</v>
      </c>
      <c r="K459" s="6" t="e" cm="1">
        <f t="array" ref="K459">LOOKUP(2^15,SEARCH(Tabela2[Palavras-Chave],Boletim[[#This Row],[Objeto]],1),Tabela2[Palavras-Chave])</f>
        <v>#N/A</v>
      </c>
    </row>
    <row r="460" spans="1:11" ht="158.4" hidden="1" x14ac:dyDescent="0.3">
      <c r="A460" s="5">
        <v>18808414</v>
      </c>
      <c r="B460" s="6" t="s">
        <v>484</v>
      </c>
      <c r="C460" s="6" t="s">
        <v>136</v>
      </c>
      <c r="D460" s="8" t="s">
        <v>78</v>
      </c>
      <c r="E460" s="6" t="s">
        <v>2039</v>
      </c>
      <c r="F460" s="6" t="s">
        <v>85</v>
      </c>
      <c r="G460" s="11" t="s">
        <v>56</v>
      </c>
      <c r="H460" s="10" t="s">
        <v>2040</v>
      </c>
      <c r="I460" s="6" t="s">
        <v>2041</v>
      </c>
      <c r="J460" s="12">
        <v>46121.712939814817</v>
      </c>
      <c r="K460" s="6" t="e" cm="1">
        <f t="array" ref="K460">LOOKUP(2^15,SEARCH(Tabela2[Palavras-Chave],Boletim[[#This Row],[Objeto]],1),Tabela2[Palavras-Chave])</f>
        <v>#N/A</v>
      </c>
    </row>
    <row r="461" spans="1:11" ht="57.6" hidden="1" x14ac:dyDescent="0.3">
      <c r="A461" s="5">
        <v>18810585</v>
      </c>
      <c r="B461" s="6" t="s">
        <v>2042</v>
      </c>
      <c r="C461" s="6" t="s">
        <v>2043</v>
      </c>
      <c r="D461" s="8" t="s">
        <v>78</v>
      </c>
      <c r="E461" s="6" t="s">
        <v>390</v>
      </c>
      <c r="F461" s="6" t="s">
        <v>85</v>
      </c>
      <c r="G461" s="11">
        <v>46136.375</v>
      </c>
      <c r="H461" s="10" t="s">
        <v>2044</v>
      </c>
      <c r="I461" s="6" t="s">
        <v>2045</v>
      </c>
      <c r="J461" s="12">
        <v>46121.794490740744</v>
      </c>
      <c r="K461" s="6" t="e" cm="1">
        <f t="array" ref="K461">LOOKUP(2^15,SEARCH(Tabela2[Palavras-Chave],Boletim[[#This Row],[Objeto]],1),Tabela2[Palavras-Chave])</f>
        <v>#N/A</v>
      </c>
    </row>
    <row r="462" spans="1:11" ht="100.8" hidden="1" x14ac:dyDescent="0.3">
      <c r="A462" s="5">
        <v>18807457</v>
      </c>
      <c r="B462" s="6" t="s">
        <v>74</v>
      </c>
      <c r="C462" s="6" t="s">
        <v>2046</v>
      </c>
      <c r="D462" s="8" t="s">
        <v>256</v>
      </c>
      <c r="E462" s="6" t="s">
        <v>1319</v>
      </c>
      <c r="F462" s="6" t="s">
        <v>85</v>
      </c>
      <c r="G462" s="11" t="s">
        <v>56</v>
      </c>
      <c r="H462" s="10" t="s">
        <v>1320</v>
      </c>
      <c r="I462" s="6" t="s">
        <v>1321</v>
      </c>
      <c r="J462" s="12">
        <v>46121.44730324074</v>
      </c>
      <c r="K462" s="6" t="e" cm="1">
        <f t="array" ref="K462">LOOKUP(2^15,SEARCH(Tabela2[Palavras-Chave],Boletim[[#This Row],[Objeto]],1),Tabela2[Palavras-Chave])</f>
        <v>#N/A</v>
      </c>
    </row>
    <row r="463" spans="1:11" ht="86.4" hidden="1" x14ac:dyDescent="0.3">
      <c r="A463" s="5">
        <v>18800747</v>
      </c>
      <c r="B463" s="6" t="s">
        <v>2047</v>
      </c>
      <c r="C463" s="6" t="s">
        <v>79</v>
      </c>
      <c r="D463" s="8" t="s">
        <v>80</v>
      </c>
      <c r="E463" s="6" t="s">
        <v>113</v>
      </c>
      <c r="F463" s="6" t="s">
        <v>85</v>
      </c>
      <c r="G463" s="11" t="s">
        <v>56</v>
      </c>
      <c r="H463" s="10" t="s">
        <v>2048</v>
      </c>
      <c r="I463" s="6" t="s">
        <v>2049</v>
      </c>
      <c r="J463" s="12">
        <v>46121.389039351852</v>
      </c>
      <c r="K463" s="6" t="e" cm="1">
        <f t="array" ref="K463">LOOKUP(2^15,SEARCH(Tabela2[Palavras-Chave],Boletim[[#This Row],[Objeto]],1),Tabela2[Palavras-Chave])</f>
        <v>#N/A</v>
      </c>
    </row>
    <row r="464" spans="1:11" ht="259.2" hidden="1" x14ac:dyDescent="0.3">
      <c r="A464" s="5">
        <v>18807075</v>
      </c>
      <c r="B464" s="6" t="s">
        <v>2050</v>
      </c>
      <c r="C464" s="6" t="s">
        <v>2051</v>
      </c>
      <c r="D464" s="8" t="s">
        <v>80</v>
      </c>
      <c r="E464" s="6" t="s">
        <v>113</v>
      </c>
      <c r="F464" s="6" t="s">
        <v>85</v>
      </c>
      <c r="G464" s="11" t="s">
        <v>56</v>
      </c>
      <c r="H464" s="10" t="s">
        <v>2052</v>
      </c>
      <c r="I464" s="6" t="s">
        <v>2053</v>
      </c>
      <c r="J464" s="12">
        <v>46121.442488425928</v>
      </c>
      <c r="K464" s="6" t="e" cm="1">
        <f t="array" ref="K464">LOOKUP(2^15,SEARCH(Tabela2[Palavras-Chave],Boletim[[#This Row],[Objeto]],1),Tabela2[Palavras-Chave])</f>
        <v>#N/A</v>
      </c>
    </row>
    <row r="465" spans="1:11" ht="43.2" hidden="1" x14ac:dyDescent="0.3">
      <c r="A465" s="5">
        <v>18807027</v>
      </c>
      <c r="B465" s="6" t="s">
        <v>2054</v>
      </c>
      <c r="C465" s="6" t="s">
        <v>2055</v>
      </c>
      <c r="D465" s="8" t="s">
        <v>80</v>
      </c>
      <c r="E465" s="6" t="s">
        <v>474</v>
      </c>
      <c r="F465" s="6" t="s">
        <v>85</v>
      </c>
      <c r="G465" s="11">
        <v>46135.375694444447</v>
      </c>
      <c r="H465" s="10" t="s">
        <v>2056</v>
      </c>
      <c r="I465" s="6" t="s">
        <v>2057</v>
      </c>
      <c r="J465" s="12">
        <v>46121.443553240744</v>
      </c>
      <c r="K465" s="6" t="e" cm="1">
        <f t="array" ref="K465">LOOKUP(2^15,SEARCH(Tabela2[Palavras-Chave],Boletim[[#This Row],[Objeto]],1),Tabela2[Palavras-Chave])</f>
        <v>#N/A</v>
      </c>
    </row>
    <row r="466" spans="1:11" ht="100.8" hidden="1" x14ac:dyDescent="0.3">
      <c r="A466" s="5">
        <v>18807459</v>
      </c>
      <c r="B466" s="6" t="s">
        <v>74</v>
      </c>
      <c r="C466" s="6" t="s">
        <v>79</v>
      </c>
      <c r="D466" s="8" t="s">
        <v>80</v>
      </c>
      <c r="E466" s="6" t="s">
        <v>1319</v>
      </c>
      <c r="F466" s="6" t="s">
        <v>85</v>
      </c>
      <c r="G466" s="11" t="s">
        <v>56</v>
      </c>
      <c r="H466" s="10" t="s">
        <v>1320</v>
      </c>
      <c r="I466" s="6" t="s">
        <v>1321</v>
      </c>
      <c r="J466" s="12">
        <v>46121.447314814817</v>
      </c>
      <c r="K466" s="6" t="e" cm="1">
        <f t="array" ref="K466">LOOKUP(2^15,SEARCH(Tabela2[Palavras-Chave],Boletim[[#This Row],[Objeto]],1),Tabela2[Palavras-Chave])</f>
        <v>#N/A</v>
      </c>
    </row>
    <row r="467" spans="1:11" ht="115.2" hidden="1" x14ac:dyDescent="0.3">
      <c r="A467" s="13">
        <v>18807384</v>
      </c>
      <c r="B467" s="10" t="s">
        <v>2058</v>
      </c>
      <c r="C467" s="10" t="s">
        <v>2059</v>
      </c>
      <c r="D467" s="15" t="s">
        <v>80</v>
      </c>
      <c r="E467" s="10" t="s">
        <v>155</v>
      </c>
      <c r="F467" s="10" t="s">
        <v>85</v>
      </c>
      <c r="G467" s="16">
        <v>46146.395138888889</v>
      </c>
      <c r="H467" s="10" t="s">
        <v>2060</v>
      </c>
      <c r="I467" s="10" t="s">
        <v>2061</v>
      </c>
      <c r="J467" s="17">
        <v>46121.44703703704</v>
      </c>
      <c r="K467" s="6" t="e" cm="1">
        <f t="array" ref="K467">LOOKUP(2^15,SEARCH(Tabela2[Palavras-Chave],Boletim[[#This Row],[Objeto]],1),Tabela2[Palavras-Chave])</f>
        <v>#N/A</v>
      </c>
    </row>
    <row r="468" spans="1:11" ht="86.4" hidden="1" x14ac:dyDescent="0.3">
      <c r="A468" s="5">
        <v>18806056</v>
      </c>
      <c r="B468" s="6" t="s">
        <v>501</v>
      </c>
      <c r="C468" s="6" t="s">
        <v>502</v>
      </c>
      <c r="D468" s="8" t="s">
        <v>80</v>
      </c>
      <c r="E468" s="6" t="s">
        <v>117</v>
      </c>
      <c r="F468" s="6" t="s">
        <v>85</v>
      </c>
      <c r="G468" s="11" t="s">
        <v>56</v>
      </c>
      <c r="H468" s="10" t="s">
        <v>503</v>
      </c>
      <c r="I468" s="6" t="s">
        <v>504</v>
      </c>
      <c r="J468" s="12">
        <v>46121.451493055552</v>
      </c>
      <c r="K468" s="6" t="e" cm="1">
        <f t="array" ref="K468">LOOKUP(2^15,SEARCH(Tabela2[Palavras-Chave],Boletim[[#This Row],[Objeto]],1),Tabela2[Palavras-Chave])</f>
        <v>#N/A</v>
      </c>
    </row>
    <row r="469" spans="1:11" ht="100.8" hidden="1" x14ac:dyDescent="0.3">
      <c r="A469" s="5">
        <v>18807495</v>
      </c>
      <c r="B469" s="6" t="s">
        <v>2062</v>
      </c>
      <c r="C469" s="6" t="s">
        <v>2063</v>
      </c>
      <c r="D469" s="8" t="s">
        <v>80</v>
      </c>
      <c r="E469" s="6" t="s">
        <v>115</v>
      </c>
      <c r="F469" s="6" t="s">
        <v>85</v>
      </c>
      <c r="G469" s="11">
        <v>46135.409722222219</v>
      </c>
      <c r="H469" s="10" t="s">
        <v>2064</v>
      </c>
      <c r="I469" s="6" t="s">
        <v>2065</v>
      </c>
      <c r="J469" s="12">
        <v>46121.452118055553</v>
      </c>
      <c r="K469" s="6" t="e" cm="1">
        <f t="array" ref="K469">LOOKUP(2^15,SEARCH(Tabela2[Palavras-Chave],Boletim[[#This Row],[Objeto]],1),Tabela2[Palavras-Chave])</f>
        <v>#N/A</v>
      </c>
    </row>
    <row r="470" spans="1:11" ht="201.6" x14ac:dyDescent="0.3">
      <c r="A470" s="13">
        <v>18806925</v>
      </c>
      <c r="B470" s="10" t="s">
        <v>2066</v>
      </c>
      <c r="C470" s="10" t="s">
        <v>2067</v>
      </c>
      <c r="D470" s="15" t="s">
        <v>80</v>
      </c>
      <c r="E470" s="10" t="s">
        <v>115</v>
      </c>
      <c r="F470" s="10" t="s">
        <v>85</v>
      </c>
      <c r="G470" s="16" t="s">
        <v>56</v>
      </c>
      <c r="H470" s="10" t="s">
        <v>2068</v>
      </c>
      <c r="I470" s="10" t="s">
        <v>2069</v>
      </c>
      <c r="J470" s="17">
        <v>46121.455983796295</v>
      </c>
      <c r="K470" s="6" t="str" cm="1">
        <f t="array" ref="K470">LOOKUP(2^15,SEARCH(Tabela2[Palavras-Chave],Boletim[[#This Row],[Objeto]],1),Tabela2[Palavras-Chave])</f>
        <v>RESERVAT</v>
      </c>
    </row>
    <row r="471" spans="1:11" ht="86.4" hidden="1" x14ac:dyDescent="0.3">
      <c r="A471" s="5">
        <v>18806919</v>
      </c>
      <c r="B471" s="6" t="s">
        <v>2070</v>
      </c>
      <c r="C471" s="6" t="s">
        <v>2071</v>
      </c>
      <c r="D471" s="8" t="s">
        <v>80</v>
      </c>
      <c r="E471" s="6" t="s">
        <v>122</v>
      </c>
      <c r="F471" s="6" t="s">
        <v>85</v>
      </c>
      <c r="G471" s="11" t="s">
        <v>56</v>
      </c>
      <c r="H471" s="10" t="s">
        <v>2072</v>
      </c>
      <c r="I471" s="6" t="s">
        <v>2073</v>
      </c>
      <c r="J471" s="12">
        <v>46121.48847222222</v>
      </c>
      <c r="K471" s="6" t="e" cm="1">
        <f t="array" ref="K471">LOOKUP(2^15,SEARCH(Tabela2[Palavras-Chave],Boletim[[#This Row],[Objeto]],1),Tabela2[Palavras-Chave])</f>
        <v>#N/A</v>
      </c>
    </row>
    <row r="472" spans="1:11" ht="72" hidden="1" x14ac:dyDescent="0.3">
      <c r="A472" s="5">
        <v>18807487</v>
      </c>
      <c r="B472" s="6" t="s">
        <v>74</v>
      </c>
      <c r="C472" s="6" t="s">
        <v>79</v>
      </c>
      <c r="D472" s="8" t="s">
        <v>80</v>
      </c>
      <c r="E472" s="6" t="s">
        <v>1938</v>
      </c>
      <c r="F472" s="6" t="s">
        <v>85</v>
      </c>
      <c r="G472" s="11" t="s">
        <v>56</v>
      </c>
      <c r="H472" s="10" t="s">
        <v>1939</v>
      </c>
      <c r="I472" s="6" t="s">
        <v>1940</v>
      </c>
      <c r="J472" s="12">
        <v>46121.507002314815</v>
      </c>
      <c r="K472" s="6" t="e" cm="1">
        <f t="array" ref="K472">LOOKUP(2^15,SEARCH(Tabela2[Palavras-Chave],Boletim[[#This Row],[Objeto]],1),Tabela2[Palavras-Chave])</f>
        <v>#N/A</v>
      </c>
    </row>
    <row r="473" spans="1:11" ht="115.2" hidden="1" x14ac:dyDescent="0.3">
      <c r="A473" s="5">
        <v>18807503</v>
      </c>
      <c r="B473" s="6" t="s">
        <v>2074</v>
      </c>
      <c r="C473" s="6" t="s">
        <v>2075</v>
      </c>
      <c r="D473" s="8" t="s">
        <v>80</v>
      </c>
      <c r="E473" s="6" t="s">
        <v>2076</v>
      </c>
      <c r="F473" s="6" t="s">
        <v>85</v>
      </c>
      <c r="G473" s="11">
        <v>46134.375</v>
      </c>
      <c r="H473" s="10" t="s">
        <v>2077</v>
      </c>
      <c r="I473" s="6" t="s">
        <v>2078</v>
      </c>
      <c r="J473" s="12">
        <v>46121.505729166667</v>
      </c>
      <c r="K473" s="6" t="e" cm="1">
        <f t="array" ref="K473">LOOKUP(2^15,SEARCH(Tabela2[Palavras-Chave],Boletim[[#This Row],[Objeto]],1),Tabela2[Palavras-Chave])</f>
        <v>#N/A</v>
      </c>
    </row>
    <row r="474" spans="1:11" ht="100.8" hidden="1" x14ac:dyDescent="0.3">
      <c r="A474" s="5">
        <v>18797112</v>
      </c>
      <c r="B474" s="6" t="s">
        <v>2079</v>
      </c>
      <c r="C474" s="6" t="s">
        <v>2080</v>
      </c>
      <c r="D474" s="8" t="s">
        <v>80</v>
      </c>
      <c r="E474" s="6" t="s">
        <v>113</v>
      </c>
      <c r="F474" s="6" t="s">
        <v>85</v>
      </c>
      <c r="G474" s="11">
        <v>46134.333333333336</v>
      </c>
      <c r="H474" s="10" t="s">
        <v>2081</v>
      </c>
      <c r="I474" s="6" t="s">
        <v>2082</v>
      </c>
      <c r="J474" s="12">
        <v>46121.587581018517</v>
      </c>
      <c r="K474" s="6" t="e" cm="1">
        <f t="array" ref="K474">LOOKUP(2^15,SEARCH(Tabela2[Palavras-Chave],Boletim[[#This Row],[Objeto]],1),Tabela2[Palavras-Chave])</f>
        <v>#N/A</v>
      </c>
    </row>
    <row r="475" spans="1:11" ht="43.2" hidden="1" x14ac:dyDescent="0.3">
      <c r="A475" s="5">
        <v>18801533</v>
      </c>
      <c r="B475" s="6" t="s">
        <v>247</v>
      </c>
      <c r="C475" s="6" t="s">
        <v>79</v>
      </c>
      <c r="D475" s="8" t="s">
        <v>80</v>
      </c>
      <c r="E475" s="6" t="s">
        <v>490</v>
      </c>
      <c r="F475" s="6" t="s">
        <v>85</v>
      </c>
      <c r="G475" s="11">
        <v>46126.417361111111</v>
      </c>
      <c r="H475" s="10" t="s">
        <v>278</v>
      </c>
      <c r="I475" s="6" t="s">
        <v>491</v>
      </c>
      <c r="J475" s="12">
        <v>46121.58693287037</v>
      </c>
      <c r="K475" s="6" t="e" cm="1">
        <f t="array" ref="K475">LOOKUP(2^15,SEARCH(Tabela2[Palavras-Chave],Boletim[[#This Row],[Objeto]],1),Tabela2[Palavras-Chave])</f>
        <v>#N/A</v>
      </c>
    </row>
    <row r="476" spans="1:11" ht="43.2" hidden="1" x14ac:dyDescent="0.3">
      <c r="A476" s="5">
        <v>18800331</v>
      </c>
      <c r="B476" s="6" t="s">
        <v>247</v>
      </c>
      <c r="C476" s="6" t="s">
        <v>79</v>
      </c>
      <c r="D476" s="8" t="s">
        <v>80</v>
      </c>
      <c r="E476" s="6" t="s">
        <v>2083</v>
      </c>
      <c r="F476" s="6" t="s">
        <v>85</v>
      </c>
      <c r="G476" s="11">
        <v>46125.354861111111</v>
      </c>
      <c r="H476" s="10" t="s">
        <v>2084</v>
      </c>
      <c r="I476" s="6" t="s">
        <v>2085</v>
      </c>
      <c r="J476" s="12">
        <v>46121.587557870371</v>
      </c>
      <c r="K476" s="6" t="e" cm="1">
        <f t="array" ref="K476">LOOKUP(2^15,SEARCH(Tabela2[Palavras-Chave],Boletim[[#This Row],[Objeto]],1),Tabela2[Palavras-Chave])</f>
        <v>#N/A</v>
      </c>
    </row>
    <row r="477" spans="1:11" ht="43.2" hidden="1" x14ac:dyDescent="0.3">
      <c r="A477" s="5">
        <v>18798654</v>
      </c>
      <c r="B477" s="6" t="s">
        <v>2086</v>
      </c>
      <c r="C477" s="6" t="s">
        <v>495</v>
      </c>
      <c r="D477" s="8" t="s">
        <v>80</v>
      </c>
      <c r="E477" s="6" t="s">
        <v>292</v>
      </c>
      <c r="F477" s="6" t="s">
        <v>85</v>
      </c>
      <c r="G477" s="11">
        <v>46139.395833333336</v>
      </c>
      <c r="H477" s="10" t="s">
        <v>2087</v>
      </c>
      <c r="I477" s="6" t="s">
        <v>2088</v>
      </c>
      <c r="J477" s="12">
        <v>46121.587627314817</v>
      </c>
      <c r="K477" s="6" t="e" cm="1">
        <f t="array" ref="K477">LOOKUP(2^15,SEARCH(Tabela2[Palavras-Chave],Boletim[[#This Row],[Objeto]],1),Tabela2[Palavras-Chave])</f>
        <v>#N/A</v>
      </c>
    </row>
    <row r="478" spans="1:11" ht="72" hidden="1" x14ac:dyDescent="0.3">
      <c r="A478" s="5">
        <v>18803189</v>
      </c>
      <c r="B478" s="6" t="s">
        <v>2089</v>
      </c>
      <c r="C478" s="6" t="s">
        <v>2090</v>
      </c>
      <c r="D478" s="8" t="s">
        <v>80</v>
      </c>
      <c r="E478" s="6" t="s">
        <v>473</v>
      </c>
      <c r="F478" s="6" t="s">
        <v>85</v>
      </c>
      <c r="G478" s="11">
        <v>46135.354166666664</v>
      </c>
      <c r="H478" s="10" t="s">
        <v>2091</v>
      </c>
      <c r="I478" s="6" t="s">
        <v>2092</v>
      </c>
      <c r="J478" s="12">
        <v>46121.605567129627</v>
      </c>
      <c r="K478" s="6" t="e" cm="1">
        <f t="array" ref="K478">LOOKUP(2^15,SEARCH(Tabela2[Palavras-Chave],Boletim[[#This Row],[Objeto]],1),Tabela2[Palavras-Chave])</f>
        <v>#N/A</v>
      </c>
    </row>
    <row r="479" spans="1:11" ht="43.2" hidden="1" x14ac:dyDescent="0.3">
      <c r="A479" s="5">
        <v>18807282</v>
      </c>
      <c r="B479" s="6" t="s">
        <v>2093</v>
      </c>
      <c r="C479" s="6" t="s">
        <v>2094</v>
      </c>
      <c r="D479" s="8" t="s">
        <v>80</v>
      </c>
      <c r="E479" s="6" t="s">
        <v>128</v>
      </c>
      <c r="F479" s="6" t="s">
        <v>85</v>
      </c>
      <c r="G479" s="11">
        <v>46134.5625</v>
      </c>
      <c r="H479" s="10" t="s">
        <v>2095</v>
      </c>
      <c r="I479" s="6" t="s">
        <v>2096</v>
      </c>
      <c r="J479" s="12">
        <v>46121.61515046296</v>
      </c>
      <c r="K479" s="6" t="e" cm="1">
        <f t="array" ref="K479">LOOKUP(2^15,SEARCH(Tabela2[Palavras-Chave],Boletim[[#This Row],[Objeto]],1),Tabela2[Palavras-Chave])</f>
        <v>#N/A</v>
      </c>
    </row>
    <row r="480" spans="1:11" ht="100.8" hidden="1" x14ac:dyDescent="0.3">
      <c r="A480" s="5">
        <v>18809529</v>
      </c>
      <c r="B480" s="6" t="s">
        <v>496</v>
      </c>
      <c r="C480" s="6" t="s">
        <v>497</v>
      </c>
      <c r="D480" s="8" t="s">
        <v>80</v>
      </c>
      <c r="E480" s="6" t="s">
        <v>536</v>
      </c>
      <c r="F480" s="6" t="s">
        <v>85</v>
      </c>
      <c r="G480" s="11">
        <v>46136.374305555553</v>
      </c>
      <c r="H480" s="10" t="s">
        <v>2097</v>
      </c>
      <c r="I480" s="6" t="s">
        <v>2098</v>
      </c>
      <c r="J480" s="12">
        <v>46121.615983796299</v>
      </c>
      <c r="K480" s="6" t="e" cm="1">
        <f t="array" ref="K480">LOOKUP(2^15,SEARCH(Tabela2[Palavras-Chave],Boletim[[#This Row],[Objeto]],1),Tabela2[Palavras-Chave])</f>
        <v>#N/A</v>
      </c>
    </row>
    <row r="481" spans="1:11" ht="72" hidden="1" x14ac:dyDescent="0.3">
      <c r="A481" s="5">
        <v>18808125</v>
      </c>
      <c r="B481" s="6" t="s">
        <v>2099</v>
      </c>
      <c r="C481" s="6" t="s">
        <v>79</v>
      </c>
      <c r="D481" s="8" t="s">
        <v>80</v>
      </c>
      <c r="E481" s="6" t="s">
        <v>2100</v>
      </c>
      <c r="F481" s="6" t="s">
        <v>85</v>
      </c>
      <c r="G481" s="11">
        <v>46156.395833333336</v>
      </c>
      <c r="H481" s="10" t="s">
        <v>2101</v>
      </c>
      <c r="I481" s="6" t="s">
        <v>2102</v>
      </c>
      <c r="J481" s="12">
        <v>46121.722280092596</v>
      </c>
      <c r="K481" s="6" t="e" cm="1">
        <f t="array" ref="K481">LOOKUP(2^15,SEARCH(Tabela2[Palavras-Chave],Boletim[[#This Row],[Objeto]],1),Tabela2[Palavras-Chave])</f>
        <v>#N/A</v>
      </c>
    </row>
    <row r="482" spans="1:11" ht="100.8" hidden="1" x14ac:dyDescent="0.3">
      <c r="A482" s="5">
        <v>18809550</v>
      </c>
      <c r="B482" s="6" t="s">
        <v>2103</v>
      </c>
      <c r="C482" s="6" t="s">
        <v>2104</v>
      </c>
      <c r="D482" s="8" t="s">
        <v>80</v>
      </c>
      <c r="E482" s="6" t="s">
        <v>293</v>
      </c>
      <c r="F482" s="6" t="s">
        <v>85</v>
      </c>
      <c r="G482" s="11">
        <v>46135.329861111109</v>
      </c>
      <c r="H482" s="10" t="s">
        <v>2105</v>
      </c>
      <c r="I482" s="6" t="s">
        <v>2106</v>
      </c>
      <c r="J482" s="12">
        <v>46121.70275462963</v>
      </c>
      <c r="K482" s="6" t="e" cm="1">
        <f t="array" ref="K482">LOOKUP(2^15,SEARCH(Tabela2[Palavras-Chave],Boletim[[#This Row],[Objeto]],1),Tabela2[Palavras-Chave])</f>
        <v>#N/A</v>
      </c>
    </row>
    <row r="483" spans="1:11" ht="86.4" hidden="1" x14ac:dyDescent="0.3">
      <c r="A483" s="5">
        <v>18806930</v>
      </c>
      <c r="B483" s="6" t="s">
        <v>2107</v>
      </c>
      <c r="C483" s="6" t="s">
        <v>2108</v>
      </c>
      <c r="D483" s="8" t="s">
        <v>80</v>
      </c>
      <c r="E483" s="6" t="s">
        <v>2109</v>
      </c>
      <c r="F483" s="6" t="s">
        <v>85</v>
      </c>
      <c r="G483" s="11" t="s">
        <v>56</v>
      </c>
      <c r="H483" s="10" t="s">
        <v>2110</v>
      </c>
      <c r="I483" s="6" t="s">
        <v>2111</v>
      </c>
      <c r="J483" s="12">
        <v>46121.718738425923</v>
      </c>
      <c r="K483" s="6" t="e" cm="1">
        <f t="array" ref="K483">LOOKUP(2^15,SEARCH(Tabela2[Palavras-Chave],Boletim[[#This Row],[Objeto]],1),Tabela2[Palavras-Chave])</f>
        <v>#N/A</v>
      </c>
    </row>
    <row r="484" spans="1:11" ht="100.8" hidden="1" x14ac:dyDescent="0.3">
      <c r="A484" s="5">
        <v>18807444</v>
      </c>
      <c r="B484" s="6" t="s">
        <v>493</v>
      </c>
      <c r="C484" s="6" t="s">
        <v>494</v>
      </c>
      <c r="D484" s="8" t="s">
        <v>80</v>
      </c>
      <c r="E484" s="6" t="s">
        <v>2109</v>
      </c>
      <c r="F484" s="6" t="s">
        <v>85</v>
      </c>
      <c r="G484" s="11">
        <v>46135.374305555553</v>
      </c>
      <c r="H484" s="10" t="s">
        <v>2112</v>
      </c>
      <c r="I484" s="6" t="s">
        <v>2113</v>
      </c>
      <c r="J484" s="12">
        <v>46121.720335648148</v>
      </c>
      <c r="K484" s="6" t="e" cm="1">
        <f t="array" ref="K484">LOOKUP(2^15,SEARCH(Tabela2[Palavras-Chave],Boletim[[#This Row],[Objeto]],1),Tabela2[Palavras-Chave])</f>
        <v>#N/A</v>
      </c>
    </row>
    <row r="485" spans="1:11" ht="100.8" hidden="1" x14ac:dyDescent="0.3">
      <c r="A485" s="5">
        <v>18809548</v>
      </c>
      <c r="B485" s="6" t="s">
        <v>2114</v>
      </c>
      <c r="C485" s="6" t="s">
        <v>2115</v>
      </c>
      <c r="D485" s="8" t="s">
        <v>80</v>
      </c>
      <c r="E485" s="6" t="s">
        <v>117</v>
      </c>
      <c r="F485" s="6" t="s">
        <v>85</v>
      </c>
      <c r="G485" s="11">
        <v>46134.375</v>
      </c>
      <c r="H485" s="10" t="s">
        <v>2116</v>
      </c>
      <c r="I485" s="6" t="s">
        <v>2117</v>
      </c>
      <c r="J485" s="12">
        <v>46121.725069444445</v>
      </c>
      <c r="K485" s="6" t="e" cm="1">
        <f t="array" ref="K485">LOOKUP(2^15,SEARCH(Tabela2[Palavras-Chave],Boletim[[#This Row],[Objeto]],1),Tabela2[Palavras-Chave])</f>
        <v>#N/A</v>
      </c>
    </row>
    <row r="486" spans="1:11" ht="86.4" hidden="1" x14ac:dyDescent="0.3">
      <c r="A486" s="5">
        <v>18810446</v>
      </c>
      <c r="B486" s="6" t="s">
        <v>2118</v>
      </c>
      <c r="C486" s="6" t="s">
        <v>2119</v>
      </c>
      <c r="D486" s="8" t="s">
        <v>80</v>
      </c>
      <c r="E486" s="6" t="s">
        <v>165</v>
      </c>
      <c r="F486" s="6" t="s">
        <v>85</v>
      </c>
      <c r="G486" s="11" t="s">
        <v>56</v>
      </c>
      <c r="H486" s="10" t="s">
        <v>2120</v>
      </c>
      <c r="I486" s="6" t="s">
        <v>2121</v>
      </c>
      <c r="J486" s="12">
        <v>46121.733159722222</v>
      </c>
      <c r="K486" s="6" t="e" cm="1">
        <f t="array" ref="K486">LOOKUP(2^15,SEARCH(Tabela2[Palavras-Chave],Boletim[[#This Row],[Objeto]],1),Tabela2[Palavras-Chave])</f>
        <v>#N/A</v>
      </c>
    </row>
    <row r="487" spans="1:11" ht="259.2" hidden="1" x14ac:dyDescent="0.3">
      <c r="A487" s="5">
        <v>18810313</v>
      </c>
      <c r="B487" s="6" t="s">
        <v>2122</v>
      </c>
      <c r="C487" s="6" t="s">
        <v>2123</v>
      </c>
      <c r="D487" s="8" t="s">
        <v>80</v>
      </c>
      <c r="E487" s="6" t="s">
        <v>2124</v>
      </c>
      <c r="F487" s="6" t="s">
        <v>85</v>
      </c>
      <c r="G487" s="11" t="s">
        <v>56</v>
      </c>
      <c r="H487" s="10" t="s">
        <v>2125</v>
      </c>
      <c r="I487" s="6" t="s">
        <v>2126</v>
      </c>
      <c r="J487" s="12">
        <v>46121.734953703701</v>
      </c>
      <c r="K487" s="6" t="e" cm="1">
        <f t="array" ref="K487">LOOKUP(2^15,SEARCH(Tabela2[Palavras-Chave],Boletim[[#This Row],[Objeto]],1),Tabela2[Palavras-Chave])</f>
        <v>#N/A</v>
      </c>
    </row>
    <row r="488" spans="1:11" ht="259.2" hidden="1" x14ac:dyDescent="0.3">
      <c r="A488" s="5">
        <v>18810309</v>
      </c>
      <c r="B488" s="6" t="s">
        <v>2127</v>
      </c>
      <c r="C488" s="6" t="s">
        <v>2128</v>
      </c>
      <c r="D488" s="8" t="s">
        <v>80</v>
      </c>
      <c r="E488" s="6" t="s">
        <v>199</v>
      </c>
      <c r="F488" s="6" t="s">
        <v>85</v>
      </c>
      <c r="G488" s="11" t="s">
        <v>56</v>
      </c>
      <c r="H488" s="10" t="s">
        <v>2129</v>
      </c>
      <c r="I488" s="6" t="s">
        <v>2130</v>
      </c>
      <c r="J488" s="12">
        <v>46121.743923611109</v>
      </c>
      <c r="K488" s="6" t="e" cm="1">
        <f t="array" ref="K488">LOOKUP(2^15,SEARCH(Tabela2[Palavras-Chave],Boletim[[#This Row],[Objeto]],1),Tabela2[Palavras-Chave])</f>
        <v>#N/A</v>
      </c>
    </row>
    <row r="489" spans="1:11" ht="86.4" hidden="1" x14ac:dyDescent="0.3">
      <c r="A489" s="5">
        <v>18810452</v>
      </c>
      <c r="B489" s="6" t="s">
        <v>2131</v>
      </c>
      <c r="C489" s="6" t="s">
        <v>2132</v>
      </c>
      <c r="D489" s="8" t="s">
        <v>80</v>
      </c>
      <c r="E489" s="6" t="s">
        <v>134</v>
      </c>
      <c r="F489" s="6" t="s">
        <v>85</v>
      </c>
      <c r="G489" s="11" t="s">
        <v>56</v>
      </c>
      <c r="H489" s="10" t="s">
        <v>2133</v>
      </c>
      <c r="I489" s="6" t="s">
        <v>2134</v>
      </c>
      <c r="J489" s="12">
        <v>46121.751284722224</v>
      </c>
      <c r="K489" s="6" t="e" cm="1">
        <f t="array" ref="K489">LOOKUP(2^15,SEARCH(Tabela2[Palavras-Chave],Boletim[[#This Row],[Objeto]],1),Tabela2[Palavras-Chave])</f>
        <v>#N/A</v>
      </c>
    </row>
    <row r="490" spans="1:11" ht="86.4" hidden="1" x14ac:dyDescent="0.3">
      <c r="A490" s="5">
        <v>18809417</v>
      </c>
      <c r="B490" s="6" t="s">
        <v>2135</v>
      </c>
      <c r="C490" s="6" t="s">
        <v>2136</v>
      </c>
      <c r="D490" s="8" t="s">
        <v>80</v>
      </c>
      <c r="E490" s="6" t="s">
        <v>165</v>
      </c>
      <c r="F490" s="6" t="s">
        <v>85</v>
      </c>
      <c r="G490" s="11" t="s">
        <v>56</v>
      </c>
      <c r="H490" s="10" t="s">
        <v>2137</v>
      </c>
      <c r="I490" s="6" t="s">
        <v>2138</v>
      </c>
      <c r="J490" s="12">
        <v>46121.751793981479</v>
      </c>
      <c r="K490" s="6" t="e" cm="1">
        <f t="array" ref="K490">LOOKUP(2^15,SEARCH(Tabela2[Palavras-Chave],Boletim[[#This Row],[Objeto]],1),Tabela2[Palavras-Chave])</f>
        <v>#N/A</v>
      </c>
    </row>
    <row r="491" spans="1:11" ht="115.2" hidden="1" x14ac:dyDescent="0.3">
      <c r="A491" s="5">
        <v>18810451</v>
      </c>
      <c r="B491" s="6" t="s">
        <v>2139</v>
      </c>
      <c r="C491" s="6" t="s">
        <v>2140</v>
      </c>
      <c r="D491" s="8" t="s">
        <v>80</v>
      </c>
      <c r="E491" s="6" t="s">
        <v>112</v>
      </c>
      <c r="F491" s="6" t="s">
        <v>85</v>
      </c>
      <c r="G491" s="11" t="s">
        <v>56</v>
      </c>
      <c r="H491" s="10" t="s">
        <v>2141</v>
      </c>
      <c r="I491" s="6" t="s">
        <v>2142</v>
      </c>
      <c r="J491" s="12">
        <v>46121.756203703706</v>
      </c>
      <c r="K491" s="6" t="e" cm="1">
        <f t="array" ref="K491">LOOKUP(2^15,SEARCH(Tabela2[Palavras-Chave],Boletim[[#This Row],[Objeto]],1),Tabela2[Palavras-Chave])</f>
        <v>#N/A</v>
      </c>
    </row>
    <row r="492" spans="1:11" ht="115.2" hidden="1" x14ac:dyDescent="0.3">
      <c r="A492" s="5">
        <v>18808570</v>
      </c>
      <c r="B492" s="6" t="s">
        <v>1202</v>
      </c>
      <c r="C492" s="6" t="s">
        <v>1203</v>
      </c>
      <c r="D492" s="8" t="s">
        <v>80</v>
      </c>
      <c r="E492" s="6" t="s">
        <v>242</v>
      </c>
      <c r="F492" s="6" t="s">
        <v>85</v>
      </c>
      <c r="G492" s="11" t="s">
        <v>56</v>
      </c>
      <c r="H492" s="10" t="s">
        <v>2143</v>
      </c>
      <c r="I492" s="6" t="s">
        <v>2144</v>
      </c>
      <c r="J492" s="12">
        <v>46121.764560185184</v>
      </c>
      <c r="K492" s="6" t="e" cm="1">
        <f t="array" ref="K492">LOOKUP(2^15,SEARCH(Tabela2[Palavras-Chave],Boletim[[#This Row],[Objeto]],1),Tabela2[Palavras-Chave])</f>
        <v>#N/A</v>
      </c>
    </row>
    <row r="493" spans="1:11" ht="259.2" hidden="1" x14ac:dyDescent="0.3">
      <c r="A493" s="5">
        <v>18810286</v>
      </c>
      <c r="B493" s="6" t="s">
        <v>2127</v>
      </c>
      <c r="C493" s="6" t="s">
        <v>2128</v>
      </c>
      <c r="D493" s="8" t="s">
        <v>80</v>
      </c>
      <c r="E493" s="6" t="s">
        <v>165</v>
      </c>
      <c r="F493" s="6" t="s">
        <v>85</v>
      </c>
      <c r="G493" s="11" t="s">
        <v>56</v>
      </c>
      <c r="H493" s="10" t="s">
        <v>2145</v>
      </c>
      <c r="I493" s="6" t="s">
        <v>2146</v>
      </c>
      <c r="J493" s="12">
        <v>46121.838090277779</v>
      </c>
      <c r="K493" s="6" t="e" cm="1">
        <f t="array" ref="K493">LOOKUP(2^15,SEARCH(Tabela2[Palavras-Chave],Boletim[[#This Row],[Objeto]],1),Tabela2[Palavras-Chave])</f>
        <v>#N/A</v>
      </c>
    </row>
    <row r="494" spans="1:11" ht="86.4" hidden="1" x14ac:dyDescent="0.3">
      <c r="A494" s="5">
        <v>18811088</v>
      </c>
      <c r="B494" s="6" t="s">
        <v>488</v>
      </c>
      <c r="C494" s="6" t="s">
        <v>489</v>
      </c>
      <c r="D494" s="8" t="s">
        <v>80</v>
      </c>
      <c r="E494" s="6" t="s">
        <v>450</v>
      </c>
      <c r="F494" s="6" t="s">
        <v>85</v>
      </c>
      <c r="G494" s="11" t="s">
        <v>56</v>
      </c>
      <c r="H494" s="10" t="s">
        <v>2147</v>
      </c>
      <c r="I494" s="6" t="s">
        <v>2148</v>
      </c>
      <c r="J494" s="12">
        <v>46121.849652777775</v>
      </c>
      <c r="K494" s="6" t="e" cm="1">
        <f t="array" ref="K494">LOOKUP(2^15,SEARCH(Tabela2[Palavras-Chave],Boletim[[#This Row],[Objeto]],1),Tabela2[Palavras-Chave])</f>
        <v>#N/A</v>
      </c>
    </row>
    <row r="495" spans="1:11" ht="100.8" hidden="1" x14ac:dyDescent="0.3">
      <c r="A495" s="5">
        <v>18807395</v>
      </c>
      <c r="B495" s="6" t="s">
        <v>2149</v>
      </c>
      <c r="C495" s="6" t="s">
        <v>2150</v>
      </c>
      <c r="D495" s="8" t="s">
        <v>81</v>
      </c>
      <c r="E495" s="6" t="s">
        <v>722</v>
      </c>
      <c r="F495" s="6" t="s">
        <v>85</v>
      </c>
      <c r="G495" s="11">
        <v>46139.540972222225</v>
      </c>
      <c r="H495" s="10" t="s">
        <v>2151</v>
      </c>
      <c r="I495" s="6" t="s">
        <v>2152</v>
      </c>
      <c r="J495" s="12">
        <v>46121.444571759261</v>
      </c>
      <c r="K495" s="6" t="str" cm="1">
        <f t="array" ref="K495">LOOKUP(2^15,SEARCH(Tabela2[Palavras-Chave],Boletim[[#This Row],[Objeto]],1),Tabela2[Palavras-Chave])</f>
        <v>UNIÃO</v>
      </c>
    </row>
    <row r="496" spans="1:11" ht="100.8" hidden="1" x14ac:dyDescent="0.3">
      <c r="A496" s="5">
        <v>18807460</v>
      </c>
      <c r="B496" s="6" t="s">
        <v>74</v>
      </c>
      <c r="C496" s="6" t="s">
        <v>104</v>
      </c>
      <c r="D496" s="8" t="s">
        <v>81</v>
      </c>
      <c r="E496" s="6" t="s">
        <v>1319</v>
      </c>
      <c r="F496" s="6" t="s">
        <v>85</v>
      </c>
      <c r="G496" s="11" t="s">
        <v>56</v>
      </c>
      <c r="H496" s="10" t="s">
        <v>1320</v>
      </c>
      <c r="I496" s="6" t="s">
        <v>1321</v>
      </c>
      <c r="J496" s="12">
        <v>46121.447314814817</v>
      </c>
      <c r="K496" s="6" t="e" cm="1">
        <f t="array" ref="K496">LOOKUP(2^15,SEARCH(Tabela2[Palavras-Chave],Boletim[[#This Row],[Objeto]],1),Tabela2[Palavras-Chave])</f>
        <v>#N/A</v>
      </c>
    </row>
    <row r="497" spans="1:11" ht="86.4" hidden="1" x14ac:dyDescent="0.3">
      <c r="A497" s="5">
        <v>18806968</v>
      </c>
      <c r="B497" s="6" t="s">
        <v>2153</v>
      </c>
      <c r="C497" s="6" t="s">
        <v>2154</v>
      </c>
      <c r="D497" s="8" t="s">
        <v>81</v>
      </c>
      <c r="E497" s="6" t="s">
        <v>300</v>
      </c>
      <c r="F497" s="6" t="s">
        <v>85</v>
      </c>
      <c r="G497" s="11" t="s">
        <v>56</v>
      </c>
      <c r="H497" s="10" t="s">
        <v>2155</v>
      </c>
      <c r="I497" s="6" t="s">
        <v>2156</v>
      </c>
      <c r="J497" s="12">
        <v>46121.446493055555</v>
      </c>
      <c r="K497" s="6" t="e" cm="1">
        <f t="array" ref="K497">LOOKUP(2^15,SEARCH(Tabela2[Palavras-Chave],Boletim[[#This Row],[Objeto]],1),Tabela2[Palavras-Chave])</f>
        <v>#N/A</v>
      </c>
    </row>
    <row r="498" spans="1:11" ht="86.4" hidden="1" x14ac:dyDescent="0.3">
      <c r="A498" s="5">
        <v>18806970</v>
      </c>
      <c r="B498" s="6" t="s">
        <v>2157</v>
      </c>
      <c r="C498" s="6" t="s">
        <v>2158</v>
      </c>
      <c r="D498" s="8" t="s">
        <v>81</v>
      </c>
      <c r="E498" s="6" t="s">
        <v>2159</v>
      </c>
      <c r="F498" s="6" t="s">
        <v>85</v>
      </c>
      <c r="G498" s="11" t="s">
        <v>56</v>
      </c>
      <c r="H498" s="10" t="s">
        <v>2160</v>
      </c>
      <c r="I498" s="6" t="s">
        <v>2161</v>
      </c>
      <c r="J498" s="12">
        <v>46121.451516203706</v>
      </c>
      <c r="K498" s="6" t="e" cm="1">
        <f t="array" ref="K498">LOOKUP(2^15,SEARCH(Tabela2[Palavras-Chave],Boletim[[#This Row],[Objeto]],1),Tabela2[Palavras-Chave])</f>
        <v>#N/A</v>
      </c>
    </row>
    <row r="499" spans="1:11" ht="86.4" hidden="1" x14ac:dyDescent="0.3">
      <c r="A499" s="13">
        <v>18803576</v>
      </c>
      <c r="B499" s="10" t="s">
        <v>514</v>
      </c>
      <c r="C499" s="10" t="s">
        <v>515</v>
      </c>
      <c r="D499" s="15" t="s">
        <v>81</v>
      </c>
      <c r="E499" s="10" t="s">
        <v>516</v>
      </c>
      <c r="F499" s="10" t="s">
        <v>85</v>
      </c>
      <c r="G499" s="16" t="s">
        <v>56</v>
      </c>
      <c r="H499" s="10" t="s">
        <v>517</v>
      </c>
      <c r="I499" s="10" t="s">
        <v>518</v>
      </c>
      <c r="J499" s="17">
        <v>46121.451493055552</v>
      </c>
      <c r="K499" s="6" t="e" cm="1">
        <f t="array" ref="K499">LOOKUP(2^15,SEARCH(Tabela2[Palavras-Chave],Boletim[[#This Row],[Objeto]],1),Tabela2[Palavras-Chave])</f>
        <v>#N/A</v>
      </c>
    </row>
    <row r="500" spans="1:11" ht="86.4" hidden="1" x14ac:dyDescent="0.3">
      <c r="A500" s="5">
        <v>18806924</v>
      </c>
      <c r="B500" s="6" t="s">
        <v>2162</v>
      </c>
      <c r="C500" s="6" t="s">
        <v>2163</v>
      </c>
      <c r="D500" s="8" t="s">
        <v>81</v>
      </c>
      <c r="E500" s="6" t="s">
        <v>165</v>
      </c>
      <c r="F500" s="6" t="s">
        <v>85</v>
      </c>
      <c r="G500" s="11" t="s">
        <v>56</v>
      </c>
      <c r="H500" s="10" t="s">
        <v>2164</v>
      </c>
      <c r="I500" s="6" t="s">
        <v>2165</v>
      </c>
      <c r="J500" s="12">
        <v>46121.451666666668</v>
      </c>
      <c r="K500" s="6" t="e" cm="1">
        <f t="array" ref="K500">LOOKUP(2^15,SEARCH(Tabela2[Palavras-Chave],Boletim[[#This Row],[Objeto]],1),Tabela2[Palavras-Chave])</f>
        <v>#N/A</v>
      </c>
    </row>
    <row r="501" spans="1:11" ht="100.8" hidden="1" x14ac:dyDescent="0.3">
      <c r="A501" s="5">
        <v>18806939</v>
      </c>
      <c r="B501" s="6" t="s">
        <v>2166</v>
      </c>
      <c r="C501" s="6" t="s">
        <v>2167</v>
      </c>
      <c r="D501" s="8" t="s">
        <v>81</v>
      </c>
      <c r="E501" s="6" t="s">
        <v>2168</v>
      </c>
      <c r="F501" s="6" t="s">
        <v>85</v>
      </c>
      <c r="G501" s="11" t="s">
        <v>56</v>
      </c>
      <c r="H501" s="10" t="s">
        <v>2169</v>
      </c>
      <c r="I501" s="6" t="s">
        <v>2170</v>
      </c>
      <c r="J501" s="12">
        <v>46121.453368055554</v>
      </c>
      <c r="K501" s="6" t="e" cm="1">
        <f t="array" ref="K501">LOOKUP(2^15,SEARCH(Tabela2[Palavras-Chave],Boletim[[#This Row],[Objeto]],1),Tabela2[Palavras-Chave])</f>
        <v>#N/A</v>
      </c>
    </row>
    <row r="502" spans="1:11" ht="259.2" hidden="1" x14ac:dyDescent="0.3">
      <c r="A502" s="5">
        <v>18807758</v>
      </c>
      <c r="B502" s="6" t="s">
        <v>512</v>
      </c>
      <c r="C502" s="6" t="s">
        <v>513</v>
      </c>
      <c r="D502" s="8" t="s">
        <v>81</v>
      </c>
      <c r="E502" s="6" t="s">
        <v>135</v>
      </c>
      <c r="F502" s="6" t="s">
        <v>85</v>
      </c>
      <c r="G502" s="11" t="s">
        <v>56</v>
      </c>
      <c r="H502" s="10" t="s">
        <v>2171</v>
      </c>
      <c r="I502" s="6" t="s">
        <v>2172</v>
      </c>
      <c r="J502" s="12">
        <v>46121.476435185185</v>
      </c>
      <c r="K502" s="6" t="e" cm="1">
        <f t="array" ref="K502">LOOKUP(2^15,SEARCH(Tabela2[Palavras-Chave],Boletim[[#This Row],[Objeto]],1),Tabela2[Palavras-Chave])</f>
        <v>#N/A</v>
      </c>
    </row>
    <row r="503" spans="1:11" hidden="1" x14ac:dyDescent="0.3">
      <c r="A503" s="5">
        <v>18807337</v>
      </c>
      <c r="B503" s="6" t="s">
        <v>2173</v>
      </c>
      <c r="C503" s="6" t="s">
        <v>104</v>
      </c>
      <c r="D503" s="8" t="s">
        <v>81</v>
      </c>
      <c r="E503" s="6" t="s">
        <v>2174</v>
      </c>
      <c r="F503" s="6" t="s">
        <v>85</v>
      </c>
      <c r="G503" s="11" t="s">
        <v>56</v>
      </c>
      <c r="H503" s="10" t="s">
        <v>2175</v>
      </c>
      <c r="I503" s="6" t="s">
        <v>90</v>
      </c>
      <c r="J503" s="12">
        <v>46121.499363425923</v>
      </c>
      <c r="K503" s="6" t="e" cm="1">
        <f t="array" ref="K503">LOOKUP(2^15,SEARCH(Tabela2[Palavras-Chave],Boletim[[#This Row],[Objeto]],1),Tabela2[Palavras-Chave])</f>
        <v>#N/A</v>
      </c>
    </row>
    <row r="504" spans="1:11" ht="86.4" hidden="1" x14ac:dyDescent="0.3">
      <c r="A504" s="5">
        <v>18794644</v>
      </c>
      <c r="B504" s="6" t="s">
        <v>195</v>
      </c>
      <c r="C504" s="6" t="s">
        <v>196</v>
      </c>
      <c r="D504" s="8" t="s">
        <v>81</v>
      </c>
      <c r="E504" s="6" t="s">
        <v>505</v>
      </c>
      <c r="F504" s="6" t="s">
        <v>85</v>
      </c>
      <c r="G504" s="11" t="s">
        <v>56</v>
      </c>
      <c r="H504" s="10" t="s">
        <v>506</v>
      </c>
      <c r="I504" s="6" t="s">
        <v>507</v>
      </c>
      <c r="J504" s="12">
        <v>46121.513229166667</v>
      </c>
      <c r="K504" s="6" t="e" cm="1">
        <f t="array" ref="K504">LOOKUP(2^15,SEARCH(Tabela2[Palavras-Chave],Boletim[[#This Row],[Objeto]],1),Tabela2[Palavras-Chave])</f>
        <v>#N/A</v>
      </c>
    </row>
    <row r="505" spans="1:11" ht="43.2" hidden="1" x14ac:dyDescent="0.3">
      <c r="A505" s="5">
        <v>18805909</v>
      </c>
      <c r="B505" s="6" t="s">
        <v>527</v>
      </c>
      <c r="C505" s="6" t="s">
        <v>528</v>
      </c>
      <c r="D505" s="8" t="s">
        <v>81</v>
      </c>
      <c r="E505" s="6" t="s">
        <v>529</v>
      </c>
      <c r="F505" s="6" t="s">
        <v>85</v>
      </c>
      <c r="G505" s="11" t="s">
        <v>56</v>
      </c>
      <c r="H505" s="10" t="s">
        <v>530</v>
      </c>
      <c r="I505" s="6" t="s">
        <v>531</v>
      </c>
      <c r="J505" s="12">
        <v>46121.58697916667</v>
      </c>
      <c r="K505" s="6" t="e" cm="1">
        <f t="array" ref="K505">LOOKUP(2^15,SEARCH(Tabela2[Palavras-Chave],Boletim[[#This Row],[Objeto]],1),Tabela2[Palavras-Chave])</f>
        <v>#N/A</v>
      </c>
    </row>
    <row r="506" spans="1:11" ht="86.4" hidden="1" x14ac:dyDescent="0.3">
      <c r="A506" s="5">
        <v>18805312</v>
      </c>
      <c r="B506" s="6" t="s">
        <v>523</v>
      </c>
      <c r="C506" s="6" t="s">
        <v>524</v>
      </c>
      <c r="D506" s="8" t="s">
        <v>81</v>
      </c>
      <c r="E506" s="6" t="s">
        <v>211</v>
      </c>
      <c r="F506" s="6" t="s">
        <v>85</v>
      </c>
      <c r="G506" s="11" t="s">
        <v>56</v>
      </c>
      <c r="H506" s="10" t="s">
        <v>525</v>
      </c>
      <c r="I506" s="6" t="s">
        <v>526</v>
      </c>
      <c r="J506" s="12">
        <v>46121.607002314813</v>
      </c>
      <c r="K506" s="6" t="e" cm="1">
        <f t="array" ref="K506">LOOKUP(2^15,SEARCH(Tabela2[Palavras-Chave],Boletim[[#This Row],[Objeto]],1),Tabela2[Palavras-Chave])</f>
        <v>#N/A</v>
      </c>
    </row>
    <row r="507" spans="1:11" ht="115.2" hidden="1" x14ac:dyDescent="0.3">
      <c r="A507" s="5">
        <v>18802024</v>
      </c>
      <c r="B507" s="6" t="s">
        <v>509</v>
      </c>
      <c r="C507" s="6" t="s">
        <v>263</v>
      </c>
      <c r="D507" s="8" t="s">
        <v>81</v>
      </c>
      <c r="E507" s="6" t="s">
        <v>109</v>
      </c>
      <c r="F507" s="6" t="s">
        <v>85</v>
      </c>
      <c r="G507" s="11">
        <v>46132.329861111109</v>
      </c>
      <c r="H507" s="10" t="s">
        <v>510</v>
      </c>
      <c r="I507" s="6" t="s">
        <v>511</v>
      </c>
      <c r="J507" s="12">
        <v>46121.607708333337</v>
      </c>
      <c r="K507" s="6" t="e" cm="1">
        <f t="array" ref="K507">LOOKUP(2^15,SEARCH(Tabela2[Palavras-Chave],Boletim[[#This Row],[Objeto]],1),Tabela2[Palavras-Chave])</f>
        <v>#N/A</v>
      </c>
    </row>
    <row r="508" spans="1:11" ht="100.8" hidden="1" x14ac:dyDescent="0.3">
      <c r="A508" s="5">
        <v>18804764</v>
      </c>
      <c r="B508" s="6" t="s">
        <v>519</v>
      </c>
      <c r="C508" s="6" t="s">
        <v>520</v>
      </c>
      <c r="D508" s="8" t="s">
        <v>81</v>
      </c>
      <c r="E508" s="6" t="s">
        <v>117</v>
      </c>
      <c r="F508" s="6" t="s">
        <v>85</v>
      </c>
      <c r="G508" s="11">
        <v>46132.374305555553</v>
      </c>
      <c r="H508" s="10" t="s">
        <v>532</v>
      </c>
      <c r="I508" s="6" t="s">
        <v>533</v>
      </c>
      <c r="J508" s="12">
        <v>46121.607743055552</v>
      </c>
      <c r="K508" s="6" t="e" cm="1">
        <f t="array" ref="K508">LOOKUP(2^15,SEARCH(Tabela2[Palavras-Chave],Boletim[[#This Row],[Objeto]],1),Tabela2[Palavras-Chave])</f>
        <v>#N/A</v>
      </c>
    </row>
    <row r="509" spans="1:11" ht="115.2" hidden="1" x14ac:dyDescent="0.3">
      <c r="A509" s="5">
        <v>18808534</v>
      </c>
      <c r="B509" s="6" t="s">
        <v>302</v>
      </c>
      <c r="C509" s="6" t="s">
        <v>193</v>
      </c>
      <c r="D509" s="8" t="s">
        <v>81</v>
      </c>
      <c r="E509" s="6" t="s">
        <v>2176</v>
      </c>
      <c r="F509" s="6" t="s">
        <v>85</v>
      </c>
      <c r="G509" s="11" t="s">
        <v>56</v>
      </c>
      <c r="H509" s="10" t="s">
        <v>508</v>
      </c>
      <c r="I509" s="6" t="s">
        <v>2177</v>
      </c>
      <c r="J509" s="12">
        <v>46121.612638888888</v>
      </c>
      <c r="K509" s="6" t="e" cm="1">
        <f t="array" ref="K509">LOOKUP(2^15,SEARCH(Tabela2[Palavras-Chave],Boletim[[#This Row],[Objeto]],1),Tabela2[Palavras-Chave])</f>
        <v>#N/A</v>
      </c>
    </row>
    <row r="510" spans="1:11" ht="259.2" hidden="1" x14ac:dyDescent="0.3">
      <c r="A510" s="5">
        <v>18809571</v>
      </c>
      <c r="B510" s="6" t="s">
        <v>2178</v>
      </c>
      <c r="C510" s="6" t="s">
        <v>2179</v>
      </c>
      <c r="D510" s="8" t="s">
        <v>81</v>
      </c>
      <c r="E510" s="6" t="s">
        <v>107</v>
      </c>
      <c r="F510" s="6" t="s">
        <v>85</v>
      </c>
      <c r="G510" s="11" t="s">
        <v>56</v>
      </c>
      <c r="H510" s="10" t="s">
        <v>2180</v>
      </c>
      <c r="I510" s="6" t="s">
        <v>2181</v>
      </c>
      <c r="J510" s="12">
        <v>46121.614791666667</v>
      </c>
      <c r="K510" s="6" t="e" cm="1">
        <f t="array" ref="K510">LOOKUP(2^15,SEARCH(Tabela2[Palavras-Chave],Boletim[[#This Row],[Objeto]],1),Tabela2[Palavras-Chave])</f>
        <v>#N/A</v>
      </c>
    </row>
    <row r="511" spans="1:11" ht="259.2" hidden="1" x14ac:dyDescent="0.3">
      <c r="A511" s="5">
        <v>18809209</v>
      </c>
      <c r="B511" s="6" t="s">
        <v>2182</v>
      </c>
      <c r="C511" s="6" t="s">
        <v>2183</v>
      </c>
      <c r="D511" s="8" t="s">
        <v>81</v>
      </c>
      <c r="E511" s="6" t="s">
        <v>126</v>
      </c>
      <c r="F511" s="6" t="s">
        <v>85</v>
      </c>
      <c r="G511" s="11" t="s">
        <v>56</v>
      </c>
      <c r="H511" s="10" t="s">
        <v>2184</v>
      </c>
      <c r="I511" s="6" t="s">
        <v>2185</v>
      </c>
      <c r="J511" s="12">
        <v>46121.625879629632</v>
      </c>
      <c r="K511" s="6" t="e" cm="1">
        <f t="array" ref="K511">LOOKUP(2^15,SEARCH(Tabela2[Palavras-Chave],Boletim[[#This Row],[Objeto]],1),Tabela2[Palavras-Chave])</f>
        <v>#N/A</v>
      </c>
    </row>
    <row r="512" spans="1:11" ht="115.2" hidden="1" x14ac:dyDescent="0.3">
      <c r="A512" s="5">
        <v>18807523</v>
      </c>
      <c r="B512" s="6" t="s">
        <v>2186</v>
      </c>
      <c r="C512" s="6" t="s">
        <v>2187</v>
      </c>
      <c r="D512" s="8" t="s">
        <v>81</v>
      </c>
      <c r="E512" s="6" t="s">
        <v>474</v>
      </c>
      <c r="F512" s="6" t="s">
        <v>85</v>
      </c>
      <c r="G512" s="11">
        <v>46134.353472222225</v>
      </c>
      <c r="H512" s="10" t="s">
        <v>2188</v>
      </c>
      <c r="I512" s="6" t="s">
        <v>2189</v>
      </c>
      <c r="J512" s="12">
        <v>46121.665625000001</v>
      </c>
      <c r="K512" s="6" t="e" cm="1">
        <f t="array" ref="K512">LOOKUP(2^15,SEARCH(Tabela2[Palavras-Chave],Boletim[[#This Row],[Objeto]],1),Tabela2[Palavras-Chave])</f>
        <v>#N/A</v>
      </c>
    </row>
    <row r="513" spans="1:11" ht="244.8" hidden="1" x14ac:dyDescent="0.3">
      <c r="A513" s="5">
        <v>18809470</v>
      </c>
      <c r="B513" s="6" t="s">
        <v>2190</v>
      </c>
      <c r="C513" s="6" t="s">
        <v>2191</v>
      </c>
      <c r="D513" s="8" t="s">
        <v>81</v>
      </c>
      <c r="E513" s="6" t="s">
        <v>474</v>
      </c>
      <c r="F513" s="6" t="s">
        <v>85</v>
      </c>
      <c r="G513" s="11" t="s">
        <v>56</v>
      </c>
      <c r="H513" s="10" t="s">
        <v>2192</v>
      </c>
      <c r="I513" s="6" t="s">
        <v>2193</v>
      </c>
      <c r="J513" s="12">
        <v>46121.666354166664</v>
      </c>
      <c r="K513" s="6" t="e" cm="1">
        <f t="array" ref="K513">LOOKUP(2^15,SEARCH(Tabela2[Palavras-Chave],Boletim[[#This Row],[Objeto]],1),Tabela2[Palavras-Chave])</f>
        <v>#N/A</v>
      </c>
    </row>
    <row r="514" spans="1:11" ht="115.2" hidden="1" x14ac:dyDescent="0.3">
      <c r="A514" s="5">
        <v>18809915</v>
      </c>
      <c r="B514" s="6" t="s">
        <v>2194</v>
      </c>
      <c r="C514" s="6" t="s">
        <v>2195</v>
      </c>
      <c r="D514" s="8" t="s">
        <v>81</v>
      </c>
      <c r="E514" s="6" t="s">
        <v>170</v>
      </c>
      <c r="F514" s="6" t="s">
        <v>85</v>
      </c>
      <c r="G514" s="11">
        <v>46486.395833333336</v>
      </c>
      <c r="H514" s="10" t="s">
        <v>2196</v>
      </c>
      <c r="I514" s="6" t="s">
        <v>2197</v>
      </c>
      <c r="J514" s="12">
        <v>46121.694247685184</v>
      </c>
      <c r="K514" s="6" t="e" cm="1">
        <f t="array" ref="K514">LOOKUP(2^15,SEARCH(Tabela2[Palavras-Chave],Boletim[[#This Row],[Objeto]],1),Tabela2[Palavras-Chave])</f>
        <v>#N/A</v>
      </c>
    </row>
    <row r="515" spans="1:11" ht="57.6" hidden="1" x14ac:dyDescent="0.3">
      <c r="A515" s="5">
        <v>18807618</v>
      </c>
      <c r="B515" s="6" t="s">
        <v>2198</v>
      </c>
      <c r="C515" s="6" t="s">
        <v>2199</v>
      </c>
      <c r="D515" s="8" t="s">
        <v>81</v>
      </c>
      <c r="E515" s="6" t="s">
        <v>113</v>
      </c>
      <c r="F515" s="6" t="s">
        <v>85</v>
      </c>
      <c r="G515" s="11">
        <v>46136.375</v>
      </c>
      <c r="H515" s="10" t="s">
        <v>2200</v>
      </c>
      <c r="I515" s="6" t="s">
        <v>90</v>
      </c>
      <c r="J515" s="12">
        <v>46121.696504629632</v>
      </c>
      <c r="K515" s="6" t="e" cm="1">
        <f t="array" ref="K515">LOOKUP(2^15,SEARCH(Tabela2[Palavras-Chave],Boletim[[#This Row],[Objeto]],1),Tabela2[Palavras-Chave])</f>
        <v>#N/A</v>
      </c>
    </row>
    <row r="516" spans="1:11" ht="100.8" hidden="1" x14ac:dyDescent="0.3">
      <c r="A516" s="5">
        <v>18810075</v>
      </c>
      <c r="B516" s="6" t="s">
        <v>2201</v>
      </c>
      <c r="C516" s="6" t="s">
        <v>2202</v>
      </c>
      <c r="D516" s="8" t="s">
        <v>81</v>
      </c>
      <c r="E516" s="6" t="s">
        <v>124</v>
      </c>
      <c r="F516" s="6" t="s">
        <v>85</v>
      </c>
      <c r="G516" s="11">
        <v>46139.333333333336</v>
      </c>
      <c r="H516" s="10" t="s">
        <v>2203</v>
      </c>
      <c r="I516" s="6" t="s">
        <v>2204</v>
      </c>
      <c r="J516" s="12">
        <v>46121.701435185183</v>
      </c>
      <c r="K516" s="6" t="e" cm="1">
        <f t="array" ref="K516">LOOKUP(2^15,SEARCH(Tabela2[Palavras-Chave],Boletim[[#This Row],[Objeto]],1),Tabela2[Palavras-Chave])</f>
        <v>#N/A</v>
      </c>
    </row>
    <row r="517" spans="1:11" ht="86.4" hidden="1" x14ac:dyDescent="0.3">
      <c r="A517" s="5">
        <v>18808529</v>
      </c>
      <c r="B517" s="6" t="s">
        <v>2205</v>
      </c>
      <c r="C517" s="6" t="s">
        <v>2206</v>
      </c>
      <c r="D517" s="8" t="s">
        <v>81</v>
      </c>
      <c r="E517" s="6" t="s">
        <v>143</v>
      </c>
      <c r="F517" s="6" t="s">
        <v>85</v>
      </c>
      <c r="G517" s="11" t="s">
        <v>56</v>
      </c>
      <c r="H517" s="10" t="s">
        <v>2207</v>
      </c>
      <c r="I517" s="6" t="s">
        <v>2208</v>
      </c>
      <c r="J517" s="12">
        <v>46121.704560185186</v>
      </c>
      <c r="K517" s="6" t="e" cm="1">
        <f t="array" ref="K517">LOOKUP(2^15,SEARCH(Tabela2[Palavras-Chave],Boletim[[#This Row],[Objeto]],1),Tabela2[Palavras-Chave])</f>
        <v>#N/A</v>
      </c>
    </row>
    <row r="518" spans="1:11" ht="57.6" hidden="1" x14ac:dyDescent="0.3">
      <c r="A518" s="5">
        <v>18809391</v>
      </c>
      <c r="B518" s="6" t="s">
        <v>523</v>
      </c>
      <c r="C518" s="6" t="s">
        <v>524</v>
      </c>
      <c r="D518" s="8" t="s">
        <v>81</v>
      </c>
      <c r="E518" s="6" t="s">
        <v>188</v>
      </c>
      <c r="F518" s="6" t="s">
        <v>85</v>
      </c>
      <c r="G518" s="11">
        <v>46136.458333333336</v>
      </c>
      <c r="H518" s="10" t="s">
        <v>2209</v>
      </c>
      <c r="I518" s="6" t="s">
        <v>2210</v>
      </c>
      <c r="J518" s="12">
        <v>46121.734444444446</v>
      </c>
      <c r="K518" s="6" t="e" cm="1">
        <f t="array" ref="K518">LOOKUP(2^15,SEARCH(Tabela2[Palavras-Chave],Boletim[[#This Row],[Objeto]],1),Tabela2[Palavras-Chave])</f>
        <v>#N/A</v>
      </c>
    </row>
    <row r="519" spans="1:11" ht="86.4" hidden="1" x14ac:dyDescent="0.3">
      <c r="A519" s="5">
        <v>18809411</v>
      </c>
      <c r="B519" s="6" t="s">
        <v>2211</v>
      </c>
      <c r="C519" s="6" t="s">
        <v>298</v>
      </c>
      <c r="D519" s="8" t="s">
        <v>81</v>
      </c>
      <c r="E519" s="6" t="s">
        <v>122</v>
      </c>
      <c r="F519" s="6" t="s">
        <v>85</v>
      </c>
      <c r="G519" s="11" t="s">
        <v>56</v>
      </c>
      <c r="H519" s="10" t="s">
        <v>2212</v>
      </c>
      <c r="I519" s="6" t="s">
        <v>2213</v>
      </c>
      <c r="J519" s="12">
        <v>46121.744733796295</v>
      </c>
      <c r="K519" s="6" t="e" cm="1">
        <f t="array" ref="K519">LOOKUP(2^15,SEARCH(Tabela2[Palavras-Chave],Boletim[[#This Row],[Objeto]],1),Tabela2[Palavras-Chave])</f>
        <v>#N/A</v>
      </c>
    </row>
    <row r="520" spans="1:11" ht="100.8" hidden="1" x14ac:dyDescent="0.3">
      <c r="A520" s="5">
        <v>18807478</v>
      </c>
      <c r="B520" s="6" t="s">
        <v>2214</v>
      </c>
      <c r="C520" s="6" t="s">
        <v>2187</v>
      </c>
      <c r="D520" s="8" t="s">
        <v>81</v>
      </c>
      <c r="E520" s="6" t="s">
        <v>146</v>
      </c>
      <c r="F520" s="6" t="s">
        <v>85</v>
      </c>
      <c r="G520" s="11">
        <v>46135.353472222225</v>
      </c>
      <c r="H520" s="10" t="s">
        <v>2215</v>
      </c>
      <c r="I520" s="6" t="s">
        <v>2216</v>
      </c>
      <c r="J520" s="12">
        <v>46121.744884259257</v>
      </c>
      <c r="K520" s="6" t="e" cm="1">
        <f t="array" ref="K520">LOOKUP(2^15,SEARCH(Tabela2[Palavras-Chave],Boletim[[#This Row],[Objeto]],1),Tabela2[Palavras-Chave])</f>
        <v>#N/A</v>
      </c>
    </row>
    <row r="521" spans="1:11" ht="115.2" x14ac:dyDescent="0.3">
      <c r="A521" s="5">
        <v>18808530</v>
      </c>
      <c r="B521" s="6" t="s">
        <v>254</v>
      </c>
      <c r="C521" s="6" t="s">
        <v>255</v>
      </c>
      <c r="D521" s="8" t="s">
        <v>81</v>
      </c>
      <c r="E521" s="6" t="s">
        <v>483</v>
      </c>
      <c r="F521" s="6" t="s">
        <v>85</v>
      </c>
      <c r="G521" s="11" t="s">
        <v>56</v>
      </c>
      <c r="H521" s="10" t="s">
        <v>2217</v>
      </c>
      <c r="I521" s="6" t="s">
        <v>2218</v>
      </c>
      <c r="J521" s="12">
        <v>46121.767164351855</v>
      </c>
      <c r="K521" s="6" t="str" cm="1">
        <f t="array" ref="K521">LOOKUP(2^15,SEARCH(Tabela2[Palavras-Chave],Boletim[[#This Row],[Objeto]],1),Tabela2[Palavras-Chave])</f>
        <v>RESERVAT</v>
      </c>
    </row>
    <row r="522" spans="1:11" ht="86.4" hidden="1" x14ac:dyDescent="0.3">
      <c r="A522" s="5">
        <v>18806936</v>
      </c>
      <c r="B522" s="6" t="s">
        <v>2219</v>
      </c>
      <c r="C522" s="6" t="s">
        <v>2220</v>
      </c>
      <c r="D522" s="8" t="s">
        <v>81</v>
      </c>
      <c r="E522" s="6" t="s">
        <v>155</v>
      </c>
      <c r="F522" s="6" t="s">
        <v>85</v>
      </c>
      <c r="G522" s="11" t="s">
        <v>56</v>
      </c>
      <c r="H522" s="10" t="s">
        <v>2221</v>
      </c>
      <c r="I522" s="6" t="s">
        <v>2222</v>
      </c>
      <c r="J522" s="12">
        <v>46121.769270833334</v>
      </c>
      <c r="K522" s="6" t="e" cm="1">
        <f t="array" ref="K522">LOOKUP(2^15,SEARCH(Tabela2[Palavras-Chave],Boletim[[#This Row],[Objeto]],1),Tabela2[Palavras-Chave])</f>
        <v>#N/A</v>
      </c>
    </row>
    <row r="523" spans="1:11" ht="28.8" hidden="1" x14ac:dyDescent="0.3">
      <c r="A523" s="5">
        <v>18810796</v>
      </c>
      <c r="B523" s="6" t="s">
        <v>2223</v>
      </c>
      <c r="C523" s="6" t="s">
        <v>104</v>
      </c>
      <c r="D523" s="8" t="s">
        <v>81</v>
      </c>
      <c r="E523" s="6" t="s">
        <v>155</v>
      </c>
      <c r="F523" s="6" t="s">
        <v>85</v>
      </c>
      <c r="G523" s="11">
        <v>46148</v>
      </c>
      <c r="H523" s="10" t="s">
        <v>2224</v>
      </c>
      <c r="I523" s="6" t="s">
        <v>169</v>
      </c>
      <c r="J523" s="12">
        <v>46121.774745370371</v>
      </c>
      <c r="K523" s="6" t="e" cm="1">
        <f t="array" ref="K523">LOOKUP(2^15,SEARCH(Tabela2[Palavras-Chave],Boletim[[#This Row],[Objeto]],1),Tabela2[Palavras-Chave])</f>
        <v>#N/A</v>
      </c>
    </row>
    <row r="524" spans="1:11" ht="144" hidden="1" x14ac:dyDescent="0.3">
      <c r="A524" s="5">
        <v>18810938</v>
      </c>
      <c r="B524" s="6" t="s">
        <v>2225</v>
      </c>
      <c r="C524" s="6" t="s">
        <v>104</v>
      </c>
      <c r="D524" s="8" t="s">
        <v>81</v>
      </c>
      <c r="E524" s="6" t="s">
        <v>2226</v>
      </c>
      <c r="F524" s="6" t="s">
        <v>85</v>
      </c>
      <c r="G524" s="11" t="s">
        <v>56</v>
      </c>
      <c r="H524" s="10" t="s">
        <v>2227</v>
      </c>
      <c r="I524" s="6" t="s">
        <v>2228</v>
      </c>
      <c r="J524" s="12">
        <v>46121.794490740744</v>
      </c>
      <c r="K524" s="6" t="e" cm="1">
        <f t="array" ref="K524">LOOKUP(2^15,SEARCH(Tabela2[Palavras-Chave],Boletim[[#This Row],[Objeto]],1),Tabela2[Palavras-Chave])</f>
        <v>#N/A</v>
      </c>
    </row>
    <row r="525" spans="1:11" ht="86.4" hidden="1" x14ac:dyDescent="0.3">
      <c r="A525" s="5">
        <v>18809406</v>
      </c>
      <c r="B525" s="6" t="s">
        <v>2229</v>
      </c>
      <c r="C525" s="6" t="s">
        <v>2230</v>
      </c>
      <c r="D525" s="8" t="s">
        <v>81</v>
      </c>
      <c r="E525" s="6" t="s">
        <v>301</v>
      </c>
      <c r="F525" s="6" t="s">
        <v>85</v>
      </c>
      <c r="G525" s="11" t="s">
        <v>56</v>
      </c>
      <c r="H525" s="10" t="s">
        <v>2231</v>
      </c>
      <c r="I525" s="6" t="s">
        <v>2232</v>
      </c>
      <c r="J525" s="12">
        <v>46121.788541666669</v>
      </c>
      <c r="K525" s="6" t="e" cm="1">
        <f t="array" ref="K525">LOOKUP(2^15,SEARCH(Tabela2[Palavras-Chave],Boletim[[#This Row],[Objeto]],1),Tabela2[Palavras-Chave])</f>
        <v>#N/A</v>
      </c>
    </row>
    <row r="526" spans="1:11" ht="100.8" hidden="1" x14ac:dyDescent="0.3">
      <c r="A526" s="5">
        <v>18811116</v>
      </c>
      <c r="B526" s="6" t="s">
        <v>2233</v>
      </c>
      <c r="C526" s="6" t="s">
        <v>2234</v>
      </c>
      <c r="D526" s="8" t="s">
        <v>81</v>
      </c>
      <c r="E526" s="6" t="s">
        <v>115</v>
      </c>
      <c r="F526" s="6" t="s">
        <v>85</v>
      </c>
      <c r="G526" s="11" t="s">
        <v>56</v>
      </c>
      <c r="H526" s="10" t="s">
        <v>2235</v>
      </c>
      <c r="I526" s="6" t="s">
        <v>2236</v>
      </c>
      <c r="J526" s="12">
        <v>46121.796759259261</v>
      </c>
      <c r="K526" s="6" t="e" cm="1">
        <f t="array" ref="K526">LOOKUP(2^15,SEARCH(Tabela2[Palavras-Chave],Boletim[[#This Row],[Objeto]],1),Tabela2[Palavras-Chave])</f>
        <v>#N/A</v>
      </c>
    </row>
    <row r="527" spans="1:11" ht="273.60000000000002" hidden="1" x14ac:dyDescent="0.3">
      <c r="A527" s="5">
        <v>18811163</v>
      </c>
      <c r="B527" s="6" t="s">
        <v>2237</v>
      </c>
      <c r="C527" s="6" t="s">
        <v>2234</v>
      </c>
      <c r="D527" s="8" t="s">
        <v>81</v>
      </c>
      <c r="E527" s="6" t="s">
        <v>115</v>
      </c>
      <c r="F527" s="6" t="s">
        <v>85</v>
      </c>
      <c r="G527" s="11" t="s">
        <v>56</v>
      </c>
      <c r="H527" s="10" t="s">
        <v>2238</v>
      </c>
      <c r="I527" s="6" t="s">
        <v>2239</v>
      </c>
      <c r="J527" s="12">
        <v>46121.796886574077</v>
      </c>
      <c r="K527" s="6" t="e" cm="1">
        <f t="array" ref="K527">LOOKUP(2^15,SEARCH(Tabela2[Palavras-Chave],Boletim[[#This Row],[Objeto]],1),Tabela2[Palavras-Chave])</f>
        <v>#N/A</v>
      </c>
    </row>
    <row r="528" spans="1:11" ht="115.2" hidden="1" x14ac:dyDescent="0.3">
      <c r="A528" s="5">
        <v>18804678</v>
      </c>
      <c r="B528" s="6" t="s">
        <v>2223</v>
      </c>
      <c r="C528" s="6" t="s">
        <v>104</v>
      </c>
      <c r="D528" s="8" t="s">
        <v>81</v>
      </c>
      <c r="E528" s="6" t="s">
        <v>2240</v>
      </c>
      <c r="F528" s="6" t="s">
        <v>85</v>
      </c>
      <c r="G528" s="11">
        <v>46148.375</v>
      </c>
      <c r="H528" s="10" t="s">
        <v>2241</v>
      </c>
      <c r="I528" s="6" t="s">
        <v>2242</v>
      </c>
      <c r="J528" s="12">
        <v>46121.87222222222</v>
      </c>
      <c r="K528" s="6" t="e" cm="1">
        <f t="array" ref="K528">LOOKUP(2^15,SEARCH(Tabela2[Palavras-Chave],Boletim[[#This Row],[Objeto]],1),Tabela2[Palavras-Chave])</f>
        <v>#N/A</v>
      </c>
    </row>
    <row r="529" spans="1:11" ht="86.4" hidden="1" x14ac:dyDescent="0.3">
      <c r="A529" s="5">
        <v>18806969</v>
      </c>
      <c r="B529" s="6" t="s">
        <v>2243</v>
      </c>
      <c r="C529" s="6" t="s">
        <v>2244</v>
      </c>
      <c r="D529" s="8" t="s">
        <v>93</v>
      </c>
      <c r="E529" s="6" t="s">
        <v>108</v>
      </c>
      <c r="F529" s="6" t="s">
        <v>85</v>
      </c>
      <c r="G529" s="11" t="s">
        <v>56</v>
      </c>
      <c r="H529" s="10" t="s">
        <v>2245</v>
      </c>
      <c r="I529" s="6" t="s">
        <v>2246</v>
      </c>
      <c r="J529" s="12">
        <v>46121.44326388889</v>
      </c>
      <c r="K529" s="6" t="e" cm="1">
        <f t="array" ref="K529">LOOKUP(2^15,SEARCH(Tabela2[Palavras-Chave],Boletim[[#This Row],[Objeto]],1),Tabela2[Palavras-Chave])</f>
        <v>#N/A</v>
      </c>
    </row>
    <row r="530" spans="1:11" ht="100.8" hidden="1" x14ac:dyDescent="0.3">
      <c r="A530" s="5">
        <v>18807462</v>
      </c>
      <c r="B530" s="6" t="s">
        <v>74</v>
      </c>
      <c r="C530" s="6" t="s">
        <v>160</v>
      </c>
      <c r="D530" s="8" t="s">
        <v>93</v>
      </c>
      <c r="E530" s="6" t="s">
        <v>1319</v>
      </c>
      <c r="F530" s="6" t="s">
        <v>85</v>
      </c>
      <c r="G530" s="11" t="s">
        <v>56</v>
      </c>
      <c r="H530" s="10" t="s">
        <v>1320</v>
      </c>
      <c r="I530" s="6" t="s">
        <v>1321</v>
      </c>
      <c r="J530" s="12">
        <v>46121.447314814817</v>
      </c>
      <c r="K530" s="6" t="e" cm="1">
        <f t="array" ref="K530">LOOKUP(2^15,SEARCH(Tabela2[Palavras-Chave],Boletim[[#This Row],[Objeto]],1),Tabela2[Palavras-Chave])</f>
        <v>#N/A</v>
      </c>
    </row>
    <row r="531" spans="1:11" ht="86.4" hidden="1" x14ac:dyDescent="0.3">
      <c r="A531" s="5">
        <v>18806947</v>
      </c>
      <c r="B531" s="6" t="s">
        <v>2247</v>
      </c>
      <c r="C531" s="6" t="s">
        <v>2248</v>
      </c>
      <c r="D531" s="8" t="s">
        <v>93</v>
      </c>
      <c r="E531" s="6" t="s">
        <v>117</v>
      </c>
      <c r="F531" s="6" t="s">
        <v>85</v>
      </c>
      <c r="G531" s="11" t="s">
        <v>56</v>
      </c>
      <c r="H531" s="10" t="s">
        <v>2249</v>
      </c>
      <c r="I531" s="6" t="s">
        <v>2250</v>
      </c>
      <c r="J531" s="12">
        <v>46121.537662037037</v>
      </c>
      <c r="K531" s="6" t="e" cm="1">
        <f t="array" ref="K531">LOOKUP(2^15,SEARCH(Tabela2[Palavras-Chave],Boletim[[#This Row],[Objeto]],1),Tabela2[Palavras-Chave])</f>
        <v>#N/A</v>
      </c>
    </row>
    <row r="532" spans="1:11" ht="158.4" hidden="1" x14ac:dyDescent="0.3">
      <c r="A532" s="5">
        <v>18810150</v>
      </c>
      <c r="B532" s="6" t="s">
        <v>2251</v>
      </c>
      <c r="C532" s="6" t="s">
        <v>160</v>
      </c>
      <c r="D532" s="8" t="s">
        <v>93</v>
      </c>
      <c r="E532" s="6" t="s">
        <v>158</v>
      </c>
      <c r="F532" s="6" t="s">
        <v>85</v>
      </c>
      <c r="G532" s="11">
        <v>46134.375</v>
      </c>
      <c r="H532" s="10" t="s">
        <v>2252</v>
      </c>
      <c r="I532" s="6" t="s">
        <v>2253</v>
      </c>
      <c r="J532" s="12">
        <v>46121.726354166669</v>
      </c>
      <c r="K532" s="6" t="e" cm="1">
        <f t="array" ref="K532">LOOKUP(2^15,SEARCH(Tabela2[Palavras-Chave],Boletim[[#This Row],[Objeto]],1),Tabela2[Palavras-Chave])</f>
        <v>#N/A</v>
      </c>
    </row>
    <row r="533" spans="1:11" ht="43.2" hidden="1" x14ac:dyDescent="0.3">
      <c r="A533" s="5">
        <v>18809590</v>
      </c>
      <c r="B533" s="6" t="s">
        <v>2254</v>
      </c>
      <c r="C533" s="6" t="s">
        <v>1763</v>
      </c>
      <c r="D533" s="8" t="s">
        <v>93</v>
      </c>
      <c r="E533" s="6" t="s">
        <v>121</v>
      </c>
      <c r="F533" s="6" t="s">
        <v>85</v>
      </c>
      <c r="G533" s="11">
        <v>46139.375</v>
      </c>
      <c r="H533" s="10" t="s">
        <v>2255</v>
      </c>
      <c r="I533" s="6" t="s">
        <v>2256</v>
      </c>
      <c r="J533" s="12">
        <v>46121.732002314813</v>
      </c>
      <c r="K533" s="6" t="e" cm="1">
        <f t="array" ref="K533">LOOKUP(2^15,SEARCH(Tabela2[Palavras-Chave],Boletim[[#This Row],[Objeto]],1),Tabela2[Palavras-Chave])</f>
        <v>#N/A</v>
      </c>
    </row>
    <row r="534" spans="1:11" ht="43.2" hidden="1" x14ac:dyDescent="0.3">
      <c r="A534" s="5">
        <v>18810594</v>
      </c>
      <c r="B534" s="6" t="s">
        <v>579</v>
      </c>
      <c r="C534" s="6" t="s">
        <v>580</v>
      </c>
      <c r="D534" s="8" t="s">
        <v>93</v>
      </c>
      <c r="E534" s="6" t="s">
        <v>108</v>
      </c>
      <c r="F534" s="6" t="s">
        <v>85</v>
      </c>
      <c r="G534" s="11">
        <v>46139.375</v>
      </c>
      <c r="H534" s="10" t="s">
        <v>2257</v>
      </c>
      <c r="I534" s="6" t="s">
        <v>2258</v>
      </c>
      <c r="J534" s="12">
        <v>46121.755694444444</v>
      </c>
      <c r="K534" s="6" t="e" cm="1">
        <f t="array" ref="K534">LOOKUP(2^15,SEARCH(Tabela2[Palavras-Chave],Boletim[[#This Row],[Objeto]],1),Tabela2[Palavras-Chave])</f>
        <v>#N/A</v>
      </c>
    </row>
    <row r="535" spans="1:11" ht="158.4" hidden="1" x14ac:dyDescent="0.3">
      <c r="A535" s="5">
        <v>18805488</v>
      </c>
      <c r="B535" s="6" t="s">
        <v>552</v>
      </c>
      <c r="C535" s="6" t="s">
        <v>83</v>
      </c>
      <c r="D535" s="8" t="s">
        <v>82</v>
      </c>
      <c r="E535" s="6" t="s">
        <v>553</v>
      </c>
      <c r="F535" s="6" t="s">
        <v>85</v>
      </c>
      <c r="G535" s="11">
        <v>46134.395833333336</v>
      </c>
      <c r="H535" s="10" t="s">
        <v>554</v>
      </c>
      <c r="I535" s="6" t="s">
        <v>555</v>
      </c>
      <c r="J535" s="12">
        <v>46121.389050925929</v>
      </c>
      <c r="K535" s="6" t="e" cm="1">
        <f t="array" ref="K535">LOOKUP(2^15,SEARCH(Tabela2[Palavras-Chave],Boletim[[#This Row],[Objeto]],1),Tabela2[Palavras-Chave])</f>
        <v>#N/A</v>
      </c>
    </row>
    <row r="536" spans="1:11" ht="115.2" hidden="1" x14ac:dyDescent="0.3">
      <c r="A536" s="5">
        <v>18792175</v>
      </c>
      <c r="B536" s="6" t="s">
        <v>2259</v>
      </c>
      <c r="C536" s="6" t="s">
        <v>2260</v>
      </c>
      <c r="D536" s="8" t="s">
        <v>82</v>
      </c>
      <c r="E536" s="6" t="s">
        <v>293</v>
      </c>
      <c r="F536" s="6" t="s">
        <v>85</v>
      </c>
      <c r="G536" s="11" t="s">
        <v>56</v>
      </c>
      <c r="H536" s="10" t="s">
        <v>2261</v>
      </c>
      <c r="I536" s="6" t="s">
        <v>2262</v>
      </c>
      <c r="J536" s="12">
        <v>46121.389050925929</v>
      </c>
      <c r="K536" s="6" t="e" cm="1">
        <f t="array" ref="K536">LOOKUP(2^15,SEARCH(Tabela2[Palavras-Chave],Boletim[[#This Row],[Objeto]],1),Tabela2[Palavras-Chave])</f>
        <v>#N/A</v>
      </c>
    </row>
    <row r="537" spans="1:11" ht="86.4" hidden="1" x14ac:dyDescent="0.3">
      <c r="A537" s="5">
        <v>18798007</v>
      </c>
      <c r="B537" s="6" t="s">
        <v>2263</v>
      </c>
      <c r="C537" s="6" t="s">
        <v>2264</v>
      </c>
      <c r="D537" s="8" t="s">
        <v>82</v>
      </c>
      <c r="E537" s="6" t="s">
        <v>134</v>
      </c>
      <c r="F537" s="6" t="s">
        <v>85</v>
      </c>
      <c r="G537" s="11" t="s">
        <v>56</v>
      </c>
      <c r="H537" s="10" t="s">
        <v>2265</v>
      </c>
      <c r="I537" s="6" t="s">
        <v>2266</v>
      </c>
      <c r="J537" s="12">
        <v>46121.389050925929</v>
      </c>
      <c r="K537" s="6" t="e" cm="1">
        <f t="array" ref="K537">LOOKUP(2^15,SEARCH(Tabela2[Palavras-Chave],Boletim[[#This Row],[Objeto]],1),Tabela2[Palavras-Chave])</f>
        <v>#N/A</v>
      </c>
    </row>
    <row r="538" spans="1:11" ht="100.8" hidden="1" x14ac:dyDescent="0.3">
      <c r="A538" s="5">
        <v>18807463</v>
      </c>
      <c r="B538" s="6" t="s">
        <v>74</v>
      </c>
      <c r="C538" s="6" t="s">
        <v>83</v>
      </c>
      <c r="D538" s="8" t="s">
        <v>82</v>
      </c>
      <c r="E538" s="6" t="s">
        <v>1319</v>
      </c>
      <c r="F538" s="6" t="s">
        <v>85</v>
      </c>
      <c r="G538" s="11" t="s">
        <v>56</v>
      </c>
      <c r="H538" s="10" t="s">
        <v>1320</v>
      </c>
      <c r="I538" s="6" t="s">
        <v>1321</v>
      </c>
      <c r="J538" s="12">
        <v>46121.447314814817</v>
      </c>
      <c r="K538" s="6" t="e" cm="1">
        <f t="array" ref="K538">LOOKUP(2^15,SEARCH(Tabela2[Palavras-Chave],Boletim[[#This Row],[Objeto]],1),Tabela2[Palavras-Chave])</f>
        <v>#N/A</v>
      </c>
    </row>
    <row r="539" spans="1:11" ht="259.2" hidden="1" x14ac:dyDescent="0.3">
      <c r="A539" s="5">
        <v>18807088</v>
      </c>
      <c r="B539" s="6" t="s">
        <v>2267</v>
      </c>
      <c r="C539" s="6" t="s">
        <v>2268</v>
      </c>
      <c r="D539" s="8" t="s">
        <v>82</v>
      </c>
      <c r="E539" s="6" t="s">
        <v>127</v>
      </c>
      <c r="F539" s="6" t="s">
        <v>85</v>
      </c>
      <c r="G539" s="11" t="s">
        <v>56</v>
      </c>
      <c r="H539" s="10" t="s">
        <v>2269</v>
      </c>
      <c r="I539" s="6" t="s">
        <v>2270</v>
      </c>
      <c r="J539" s="12">
        <v>46121.447071759256</v>
      </c>
      <c r="K539" s="6" t="e" cm="1">
        <f t="array" ref="K539">LOOKUP(2^15,SEARCH(Tabela2[Palavras-Chave],Boletim[[#This Row],[Objeto]],1),Tabela2[Palavras-Chave])</f>
        <v>#N/A</v>
      </c>
    </row>
    <row r="540" spans="1:11" ht="100.8" hidden="1" x14ac:dyDescent="0.3">
      <c r="A540" s="5">
        <v>18804729</v>
      </c>
      <c r="B540" s="6" t="s">
        <v>303</v>
      </c>
      <c r="C540" s="6" t="s">
        <v>304</v>
      </c>
      <c r="D540" s="8" t="s">
        <v>82</v>
      </c>
      <c r="E540" s="6" t="s">
        <v>548</v>
      </c>
      <c r="F540" s="6" t="s">
        <v>85</v>
      </c>
      <c r="G540" s="11">
        <v>46148.604166666664</v>
      </c>
      <c r="H540" s="10" t="s">
        <v>549</v>
      </c>
      <c r="I540" s="6" t="s">
        <v>550</v>
      </c>
      <c r="J540" s="12">
        <v>46121.451516203706</v>
      </c>
      <c r="K540" s="6" t="e" cm="1">
        <f t="array" ref="K540">LOOKUP(2^15,SEARCH(Tabela2[Palavras-Chave],Boletim[[#This Row],[Objeto]],1),Tabela2[Palavras-Chave])</f>
        <v>#N/A</v>
      </c>
    </row>
    <row r="541" spans="1:11" ht="86.4" hidden="1" x14ac:dyDescent="0.3">
      <c r="A541" s="13">
        <v>18806958</v>
      </c>
      <c r="B541" s="10" t="s">
        <v>2271</v>
      </c>
      <c r="C541" s="10" t="s">
        <v>2272</v>
      </c>
      <c r="D541" s="15" t="s">
        <v>82</v>
      </c>
      <c r="E541" s="10" t="s">
        <v>450</v>
      </c>
      <c r="F541" s="10" t="s">
        <v>85</v>
      </c>
      <c r="G541" s="16" t="s">
        <v>56</v>
      </c>
      <c r="H541" s="10" t="s">
        <v>2273</v>
      </c>
      <c r="I541" s="10" t="s">
        <v>2274</v>
      </c>
      <c r="J541" s="17">
        <v>46121.450428240743</v>
      </c>
      <c r="K541" s="6" t="e" cm="1">
        <f t="array" ref="K541">LOOKUP(2^15,SEARCH(Tabela2[Palavras-Chave],Boletim[[#This Row],[Objeto]],1),Tabela2[Palavras-Chave])</f>
        <v>#N/A</v>
      </c>
    </row>
    <row r="542" spans="1:11" ht="28.8" hidden="1" x14ac:dyDescent="0.3">
      <c r="A542" s="5">
        <v>18807031</v>
      </c>
      <c r="B542" s="6" t="s">
        <v>2275</v>
      </c>
      <c r="C542" s="6" t="s">
        <v>2276</v>
      </c>
      <c r="D542" s="8" t="s">
        <v>82</v>
      </c>
      <c r="E542" s="6" t="s">
        <v>121</v>
      </c>
      <c r="F542" s="6" t="s">
        <v>85</v>
      </c>
      <c r="G542" s="11">
        <v>46139.326388888891</v>
      </c>
      <c r="H542" s="10" t="s">
        <v>2277</v>
      </c>
      <c r="I542" s="6" t="s">
        <v>90</v>
      </c>
      <c r="J542" s="12">
        <v>46121.451932870368</v>
      </c>
      <c r="K542" s="6" t="e" cm="1">
        <f t="array" ref="K542">LOOKUP(2^15,SEARCH(Tabela2[Palavras-Chave],Boletim[[#This Row],[Objeto]],1),Tabela2[Palavras-Chave])</f>
        <v>#N/A</v>
      </c>
    </row>
    <row r="543" spans="1:11" ht="259.2" hidden="1" x14ac:dyDescent="0.3">
      <c r="A543" s="5">
        <v>18807066</v>
      </c>
      <c r="B543" s="6" t="s">
        <v>2278</v>
      </c>
      <c r="C543" s="6" t="s">
        <v>2279</v>
      </c>
      <c r="D543" s="8" t="s">
        <v>82</v>
      </c>
      <c r="E543" s="6" t="s">
        <v>128</v>
      </c>
      <c r="F543" s="6" t="s">
        <v>85</v>
      </c>
      <c r="G543" s="11" t="s">
        <v>56</v>
      </c>
      <c r="H543" s="10" t="s">
        <v>2280</v>
      </c>
      <c r="I543" s="6" t="s">
        <v>2281</v>
      </c>
      <c r="J543" s="12">
        <v>46121.452303240738</v>
      </c>
      <c r="K543" s="6" t="e" cm="1">
        <f t="array" ref="K543">LOOKUP(2^15,SEARCH(Tabela2[Palavras-Chave],Boletim[[#This Row],[Objeto]],1),Tabela2[Palavras-Chave])</f>
        <v>#N/A</v>
      </c>
    </row>
    <row r="544" spans="1:11" ht="86.4" hidden="1" x14ac:dyDescent="0.3">
      <c r="A544" s="5">
        <v>18806963</v>
      </c>
      <c r="B544" s="6" t="s">
        <v>2282</v>
      </c>
      <c r="C544" s="6" t="s">
        <v>2283</v>
      </c>
      <c r="D544" s="8" t="s">
        <v>82</v>
      </c>
      <c r="E544" s="6" t="s">
        <v>424</v>
      </c>
      <c r="F544" s="6" t="s">
        <v>85</v>
      </c>
      <c r="G544" s="11" t="s">
        <v>56</v>
      </c>
      <c r="H544" s="10" t="s">
        <v>2284</v>
      </c>
      <c r="I544" s="6" t="s">
        <v>2285</v>
      </c>
      <c r="J544" s="12">
        <v>46121.458009259259</v>
      </c>
      <c r="K544" s="6" t="e" cm="1">
        <f t="array" ref="K544">LOOKUP(2^15,SEARCH(Tabela2[Palavras-Chave],Boletim[[#This Row],[Objeto]],1),Tabela2[Palavras-Chave])</f>
        <v>#N/A</v>
      </c>
    </row>
    <row r="545" spans="1:11" ht="86.4" hidden="1" x14ac:dyDescent="0.3">
      <c r="A545" s="5">
        <v>18806198</v>
      </c>
      <c r="B545" s="6" t="s">
        <v>556</v>
      </c>
      <c r="C545" s="6" t="s">
        <v>557</v>
      </c>
      <c r="D545" s="8" t="s">
        <v>82</v>
      </c>
      <c r="E545" s="6" t="s">
        <v>229</v>
      </c>
      <c r="F545" s="6" t="s">
        <v>85</v>
      </c>
      <c r="G545" s="11" t="s">
        <v>56</v>
      </c>
      <c r="H545" s="10" t="s">
        <v>558</v>
      </c>
      <c r="I545" s="6" t="s">
        <v>559</v>
      </c>
      <c r="J545" s="12">
        <v>46121.461180555554</v>
      </c>
      <c r="K545" s="6" t="e" cm="1">
        <f t="array" ref="K545">LOOKUP(2^15,SEARCH(Tabela2[Palavras-Chave],Boletim[[#This Row],[Objeto]],1),Tabela2[Palavras-Chave])</f>
        <v>#N/A</v>
      </c>
    </row>
    <row r="546" spans="1:11" ht="86.4" hidden="1" x14ac:dyDescent="0.3">
      <c r="A546" s="5">
        <v>18806957</v>
      </c>
      <c r="B546" s="6" t="s">
        <v>2286</v>
      </c>
      <c r="C546" s="6" t="s">
        <v>2287</v>
      </c>
      <c r="D546" s="8" t="s">
        <v>82</v>
      </c>
      <c r="E546" s="6" t="s">
        <v>122</v>
      </c>
      <c r="F546" s="6" t="s">
        <v>85</v>
      </c>
      <c r="G546" s="11" t="s">
        <v>56</v>
      </c>
      <c r="H546" s="10" t="s">
        <v>2288</v>
      </c>
      <c r="I546" s="6" t="s">
        <v>2289</v>
      </c>
      <c r="J546" s="12">
        <v>46121.458958333336</v>
      </c>
      <c r="K546" s="6" t="e" cm="1">
        <f t="array" ref="K546">LOOKUP(2^15,SEARCH(Tabela2[Palavras-Chave],Boletim[[#This Row],[Objeto]],1),Tabela2[Palavras-Chave])</f>
        <v>#N/A</v>
      </c>
    </row>
    <row r="547" spans="1:11" ht="100.8" hidden="1" x14ac:dyDescent="0.3">
      <c r="A547" s="5">
        <v>18783825</v>
      </c>
      <c r="B547" s="6" t="s">
        <v>537</v>
      </c>
      <c r="C547" s="6" t="s">
        <v>282</v>
      </c>
      <c r="D547" s="8" t="s">
        <v>82</v>
      </c>
      <c r="E547" s="6" t="s">
        <v>146</v>
      </c>
      <c r="F547" s="6" t="s">
        <v>85</v>
      </c>
      <c r="G547" s="11" t="s">
        <v>56</v>
      </c>
      <c r="H547" s="10" t="s">
        <v>538</v>
      </c>
      <c r="I547" s="6" t="s">
        <v>539</v>
      </c>
      <c r="J547" s="12">
        <v>46121.48196759259</v>
      </c>
      <c r="K547" s="6" t="e" cm="1">
        <f t="array" ref="K547">LOOKUP(2^15,SEARCH(Tabela2[Palavras-Chave],Boletim[[#This Row],[Objeto]],1),Tabela2[Palavras-Chave])</f>
        <v>#N/A</v>
      </c>
    </row>
    <row r="548" spans="1:11" ht="259.2" x14ac:dyDescent="0.3">
      <c r="A548" s="5">
        <v>18807086</v>
      </c>
      <c r="B548" s="6" t="s">
        <v>2290</v>
      </c>
      <c r="C548" s="6" t="s">
        <v>2291</v>
      </c>
      <c r="D548" s="8" t="s">
        <v>82</v>
      </c>
      <c r="E548" s="6" t="s">
        <v>108</v>
      </c>
      <c r="F548" s="6" t="s">
        <v>85</v>
      </c>
      <c r="G548" s="11" t="s">
        <v>56</v>
      </c>
      <c r="H548" s="10" t="s">
        <v>2292</v>
      </c>
      <c r="I548" s="6" t="s">
        <v>2293</v>
      </c>
      <c r="J548" s="12">
        <v>46121.471493055556</v>
      </c>
      <c r="K548" s="6" t="str" cm="1">
        <f t="array" ref="K548">LOOKUP(2^15,SEARCH(Tabela2[Palavras-Chave],Boletim[[#This Row],[Objeto]],1),Tabela2[Palavras-Chave])</f>
        <v>MEDIÇÃO</v>
      </c>
    </row>
    <row r="549" spans="1:11" ht="230.4" hidden="1" x14ac:dyDescent="0.3">
      <c r="A549" s="13">
        <v>18806962</v>
      </c>
      <c r="B549" s="10" t="s">
        <v>2294</v>
      </c>
      <c r="C549" s="10" t="s">
        <v>2295</v>
      </c>
      <c r="D549" s="15" t="s">
        <v>82</v>
      </c>
      <c r="E549" s="10" t="s">
        <v>115</v>
      </c>
      <c r="F549" s="10" t="s">
        <v>85</v>
      </c>
      <c r="G549" s="16" t="s">
        <v>56</v>
      </c>
      <c r="H549" s="10" t="s">
        <v>2296</v>
      </c>
      <c r="I549" s="10" t="s">
        <v>2297</v>
      </c>
      <c r="J549" s="17">
        <v>46121.499305555553</v>
      </c>
      <c r="K549" s="6" t="e" cm="1">
        <f t="array" ref="K549">LOOKUP(2^15,SEARCH(Tabela2[Palavras-Chave],Boletim[[#This Row],[Objeto]],1),Tabela2[Palavras-Chave])</f>
        <v>#N/A</v>
      </c>
    </row>
    <row r="550" spans="1:11" ht="57.6" hidden="1" x14ac:dyDescent="0.3">
      <c r="A550" s="5">
        <v>18801219</v>
      </c>
      <c r="B550" s="6" t="s">
        <v>2298</v>
      </c>
      <c r="C550" s="6" t="s">
        <v>1267</v>
      </c>
      <c r="D550" s="8" t="s">
        <v>82</v>
      </c>
      <c r="E550" s="6" t="s">
        <v>2299</v>
      </c>
      <c r="F550" s="6" t="s">
        <v>85</v>
      </c>
      <c r="G550" s="11" t="s">
        <v>56</v>
      </c>
      <c r="H550" s="10" t="s">
        <v>2300</v>
      </c>
      <c r="I550" s="6" t="s">
        <v>2301</v>
      </c>
      <c r="J550" s="12">
        <v>46121.502476851849</v>
      </c>
      <c r="K550" s="6" t="e" cm="1">
        <f t="array" ref="K550">LOOKUP(2^15,SEARCH(Tabela2[Palavras-Chave],Boletim[[#This Row],[Objeto]],1),Tabela2[Palavras-Chave])</f>
        <v>#N/A</v>
      </c>
    </row>
    <row r="551" spans="1:11" ht="72" hidden="1" x14ac:dyDescent="0.3">
      <c r="A551" s="5">
        <v>18807488</v>
      </c>
      <c r="B551" s="6" t="s">
        <v>74</v>
      </c>
      <c r="C551" s="6" t="s">
        <v>83</v>
      </c>
      <c r="D551" s="8" t="s">
        <v>82</v>
      </c>
      <c r="E551" s="6" t="s">
        <v>1938</v>
      </c>
      <c r="F551" s="6" t="s">
        <v>85</v>
      </c>
      <c r="G551" s="11" t="s">
        <v>56</v>
      </c>
      <c r="H551" s="10" t="s">
        <v>1939</v>
      </c>
      <c r="I551" s="6" t="s">
        <v>1940</v>
      </c>
      <c r="J551" s="12">
        <v>46121.507002314815</v>
      </c>
      <c r="K551" s="6" t="e" cm="1">
        <f t="array" ref="K551">LOOKUP(2^15,SEARCH(Tabela2[Palavras-Chave],Boletim[[#This Row],[Objeto]],1),Tabela2[Palavras-Chave])</f>
        <v>#N/A</v>
      </c>
    </row>
    <row r="552" spans="1:11" ht="43.2" hidden="1" x14ac:dyDescent="0.3">
      <c r="A552" s="5">
        <v>18807711</v>
      </c>
      <c r="B552" s="6" t="s">
        <v>2278</v>
      </c>
      <c r="C552" s="6" t="s">
        <v>2279</v>
      </c>
      <c r="D552" s="8" t="s">
        <v>82</v>
      </c>
      <c r="E552" s="6" t="s">
        <v>126</v>
      </c>
      <c r="F552" s="6" t="s">
        <v>85</v>
      </c>
      <c r="G552" s="11">
        <v>46136.375</v>
      </c>
      <c r="H552" s="10" t="s">
        <v>2302</v>
      </c>
      <c r="I552" s="6" t="s">
        <v>2303</v>
      </c>
      <c r="J552" s="12">
        <v>46121.526261574072</v>
      </c>
      <c r="K552" s="6" t="e" cm="1">
        <f t="array" ref="K552">LOOKUP(2^15,SEARCH(Tabela2[Palavras-Chave],Boletim[[#This Row],[Objeto]],1),Tabela2[Palavras-Chave])</f>
        <v>#N/A</v>
      </c>
    </row>
    <row r="553" spans="1:11" ht="86.4" hidden="1" x14ac:dyDescent="0.3">
      <c r="A553" s="5">
        <v>18806954</v>
      </c>
      <c r="B553" s="6" t="s">
        <v>2278</v>
      </c>
      <c r="C553" s="6" t="s">
        <v>2279</v>
      </c>
      <c r="D553" s="8" t="s">
        <v>82</v>
      </c>
      <c r="E553" s="6" t="s">
        <v>165</v>
      </c>
      <c r="F553" s="6" t="s">
        <v>85</v>
      </c>
      <c r="G553" s="11" t="s">
        <v>56</v>
      </c>
      <c r="H553" s="10" t="s">
        <v>2304</v>
      </c>
      <c r="I553" s="6" t="s">
        <v>2305</v>
      </c>
      <c r="J553" s="12">
        <v>46121.52648148148</v>
      </c>
      <c r="K553" s="6" t="e" cm="1">
        <f t="array" ref="K553">LOOKUP(2^15,SEARCH(Tabela2[Palavras-Chave],Boletim[[#This Row],[Objeto]],1),Tabela2[Palavras-Chave])</f>
        <v>#N/A</v>
      </c>
    </row>
    <row r="554" spans="1:11" ht="86.4" hidden="1" x14ac:dyDescent="0.3">
      <c r="A554" s="5">
        <v>18789911</v>
      </c>
      <c r="B554" s="6" t="s">
        <v>253</v>
      </c>
      <c r="C554" s="6" t="s">
        <v>164</v>
      </c>
      <c r="D554" s="8" t="s">
        <v>82</v>
      </c>
      <c r="E554" s="6" t="s">
        <v>170</v>
      </c>
      <c r="F554" s="6" t="s">
        <v>85</v>
      </c>
      <c r="G554" s="11" t="s">
        <v>56</v>
      </c>
      <c r="H554" s="10" t="s">
        <v>2306</v>
      </c>
      <c r="I554" s="6" t="s">
        <v>2307</v>
      </c>
      <c r="J554" s="12">
        <v>46121.542407407411</v>
      </c>
      <c r="K554" s="6" t="e" cm="1">
        <f t="array" ref="K554">LOOKUP(2^15,SEARCH(Tabela2[Palavras-Chave],Boletim[[#This Row],[Objeto]],1),Tabela2[Palavras-Chave])</f>
        <v>#N/A</v>
      </c>
    </row>
    <row r="555" spans="1:11" ht="86.4" hidden="1" x14ac:dyDescent="0.3">
      <c r="A555" s="5">
        <v>18800025</v>
      </c>
      <c r="B555" s="6" t="s">
        <v>365</v>
      </c>
      <c r="C555" s="6" t="s">
        <v>366</v>
      </c>
      <c r="D555" s="8" t="s">
        <v>82</v>
      </c>
      <c r="E555" s="6" t="s">
        <v>134</v>
      </c>
      <c r="F555" s="6" t="s">
        <v>85</v>
      </c>
      <c r="G555" s="11" t="s">
        <v>56</v>
      </c>
      <c r="H555" s="10" t="s">
        <v>534</v>
      </c>
      <c r="I555" s="6" t="s">
        <v>535</v>
      </c>
      <c r="J555" s="12">
        <v>46121.586863425924</v>
      </c>
      <c r="K555" s="6" t="e" cm="1">
        <f t="array" ref="K555">LOOKUP(2^15,SEARCH(Tabela2[Palavras-Chave],Boletim[[#This Row],[Objeto]],1),Tabela2[Palavras-Chave])</f>
        <v>#N/A</v>
      </c>
    </row>
    <row r="556" spans="1:11" ht="28.8" hidden="1" x14ac:dyDescent="0.3">
      <c r="A556" s="5">
        <v>18806249</v>
      </c>
      <c r="B556" s="6" t="s">
        <v>560</v>
      </c>
      <c r="C556" s="6" t="s">
        <v>561</v>
      </c>
      <c r="D556" s="8" t="s">
        <v>82</v>
      </c>
      <c r="E556" s="6" t="s">
        <v>120</v>
      </c>
      <c r="F556" s="6" t="s">
        <v>85</v>
      </c>
      <c r="G556" s="11">
        <v>46135.375</v>
      </c>
      <c r="H556" s="10" t="s">
        <v>562</v>
      </c>
      <c r="I556" s="6" t="s">
        <v>563</v>
      </c>
      <c r="J556" s="12">
        <v>46121.586875000001</v>
      </c>
      <c r="K556" s="6" t="e" cm="1">
        <f t="array" ref="K556">LOOKUP(2^15,SEARCH(Tabela2[Palavras-Chave],Boletim[[#This Row],[Objeto]],1),Tabela2[Palavras-Chave])</f>
        <v>#N/A</v>
      </c>
    </row>
    <row r="557" spans="1:11" ht="144" x14ac:dyDescent="0.3">
      <c r="A557" s="5">
        <v>18809489</v>
      </c>
      <c r="B557" s="6" t="s">
        <v>2308</v>
      </c>
      <c r="C557" s="6" t="s">
        <v>164</v>
      </c>
      <c r="D557" s="8" t="s">
        <v>82</v>
      </c>
      <c r="E557" s="6" t="s">
        <v>1994</v>
      </c>
      <c r="F557" s="6" t="s">
        <v>85</v>
      </c>
      <c r="G557" s="11" t="s">
        <v>56</v>
      </c>
      <c r="H557" s="10" t="s">
        <v>2309</v>
      </c>
      <c r="I557" s="6" t="s">
        <v>2310</v>
      </c>
      <c r="J557" s="12">
        <v>46121.60423611111</v>
      </c>
      <c r="K557" s="6" t="str" cm="1">
        <f t="array" ref="K557">LOOKUP(2^15,SEARCH(Tabela2[Palavras-Chave],Boletim[[#This Row],[Objeto]],1),Tabela2[Palavras-Chave])</f>
        <v>DIAGNÓSTICO</v>
      </c>
    </row>
    <row r="558" spans="1:11" ht="129.6" hidden="1" x14ac:dyDescent="0.3">
      <c r="A558" s="5">
        <v>18802488</v>
      </c>
      <c r="B558" s="6" t="s">
        <v>217</v>
      </c>
      <c r="C558" s="6" t="s">
        <v>216</v>
      </c>
      <c r="D558" s="8" t="s">
        <v>82</v>
      </c>
      <c r="E558" s="6" t="s">
        <v>245</v>
      </c>
      <c r="F558" s="6" t="s">
        <v>85</v>
      </c>
      <c r="G558" s="11">
        <v>46136.375694444447</v>
      </c>
      <c r="H558" s="10" t="s">
        <v>543</v>
      </c>
      <c r="I558" s="6" t="s">
        <v>544</v>
      </c>
      <c r="J558" s="12">
        <v>46121.607754629629</v>
      </c>
      <c r="K558" s="6" t="e" cm="1">
        <f t="array" ref="K558">LOOKUP(2^15,SEARCH(Tabela2[Palavras-Chave],Boletim[[#This Row],[Objeto]],1),Tabela2[Palavras-Chave])</f>
        <v>#N/A</v>
      </c>
    </row>
    <row r="559" spans="1:11" ht="158.4" hidden="1" x14ac:dyDescent="0.3">
      <c r="A559" s="5">
        <v>18808886</v>
      </c>
      <c r="B559" s="6" t="s">
        <v>540</v>
      </c>
      <c r="C559" s="6" t="s">
        <v>280</v>
      </c>
      <c r="D559" s="8" t="s">
        <v>82</v>
      </c>
      <c r="E559" s="6" t="s">
        <v>241</v>
      </c>
      <c r="F559" s="6" t="s">
        <v>85</v>
      </c>
      <c r="G559" s="11" t="s">
        <v>56</v>
      </c>
      <c r="H559" s="10" t="s">
        <v>2311</v>
      </c>
      <c r="I559" s="6" t="s">
        <v>2312</v>
      </c>
      <c r="J559" s="12">
        <v>46121.612442129626</v>
      </c>
      <c r="K559" s="6" t="e" cm="1">
        <f t="array" ref="K559">LOOKUP(2^15,SEARCH(Tabela2[Palavras-Chave],Boletim[[#This Row],[Objeto]],1),Tabela2[Palavras-Chave])</f>
        <v>#N/A</v>
      </c>
    </row>
    <row r="560" spans="1:11" ht="28.8" hidden="1" x14ac:dyDescent="0.3">
      <c r="A560" s="5">
        <v>18808801</v>
      </c>
      <c r="B560" s="6" t="s">
        <v>2313</v>
      </c>
      <c r="C560" s="6" t="s">
        <v>2314</v>
      </c>
      <c r="D560" s="8" t="s">
        <v>82</v>
      </c>
      <c r="E560" s="6" t="s">
        <v>2315</v>
      </c>
      <c r="F560" s="6" t="s">
        <v>85</v>
      </c>
      <c r="G560" s="11">
        <v>46135.375</v>
      </c>
      <c r="H560" s="10" t="s">
        <v>2316</v>
      </c>
      <c r="I560" s="6" t="s">
        <v>368</v>
      </c>
      <c r="J560" s="12">
        <v>46121.615011574075</v>
      </c>
      <c r="K560" s="6" t="e" cm="1">
        <f t="array" ref="K560">LOOKUP(2^15,SEARCH(Tabela2[Palavras-Chave],Boletim[[#This Row],[Objeto]],1),Tabela2[Palavras-Chave])</f>
        <v>#N/A</v>
      </c>
    </row>
    <row r="561" spans="1:11" ht="172.8" hidden="1" x14ac:dyDescent="0.3">
      <c r="A561" s="5">
        <v>18808875</v>
      </c>
      <c r="B561" s="6" t="s">
        <v>2317</v>
      </c>
      <c r="C561" s="6" t="s">
        <v>83</v>
      </c>
      <c r="D561" s="8" t="s">
        <v>82</v>
      </c>
      <c r="E561" s="6" t="s">
        <v>152</v>
      </c>
      <c r="F561" s="6" t="s">
        <v>85</v>
      </c>
      <c r="G561" s="11" t="s">
        <v>56</v>
      </c>
      <c r="H561" s="10" t="s">
        <v>2318</v>
      </c>
      <c r="I561" s="6" t="s">
        <v>2319</v>
      </c>
      <c r="J561" s="12">
        <v>46121.632662037038</v>
      </c>
      <c r="K561" s="6" t="e" cm="1">
        <f t="array" ref="K561">LOOKUP(2^15,SEARCH(Tabela2[Palavras-Chave],Boletim[[#This Row],[Objeto]],1),Tabela2[Palavras-Chave])</f>
        <v>#N/A</v>
      </c>
    </row>
    <row r="562" spans="1:11" ht="129.6" hidden="1" x14ac:dyDescent="0.3">
      <c r="A562" s="5">
        <v>18808573</v>
      </c>
      <c r="B562" s="6" t="s">
        <v>2320</v>
      </c>
      <c r="C562" s="6" t="s">
        <v>237</v>
      </c>
      <c r="D562" s="8" t="s">
        <v>82</v>
      </c>
      <c r="E562" s="6" t="s">
        <v>2321</v>
      </c>
      <c r="F562" s="6" t="s">
        <v>85</v>
      </c>
      <c r="G562" s="11" t="s">
        <v>56</v>
      </c>
      <c r="H562" s="10" t="s">
        <v>2322</v>
      </c>
      <c r="I562" s="6" t="s">
        <v>2323</v>
      </c>
      <c r="J562" s="12">
        <v>46121.632835648146</v>
      </c>
      <c r="K562" s="6" t="e" cm="1">
        <f t="array" ref="K562">LOOKUP(2^15,SEARCH(Tabela2[Palavras-Chave],Boletim[[#This Row],[Objeto]],1),Tabela2[Palavras-Chave])</f>
        <v>#N/A</v>
      </c>
    </row>
    <row r="563" spans="1:11" ht="115.2" x14ac:dyDescent="0.3">
      <c r="A563" s="5">
        <v>18808834</v>
      </c>
      <c r="B563" s="6" t="s">
        <v>2324</v>
      </c>
      <c r="C563" s="6" t="s">
        <v>83</v>
      </c>
      <c r="D563" s="8" t="s">
        <v>82</v>
      </c>
      <c r="E563" s="6" t="s">
        <v>391</v>
      </c>
      <c r="F563" s="6" t="s">
        <v>85</v>
      </c>
      <c r="G563" s="11" t="s">
        <v>56</v>
      </c>
      <c r="H563" s="10" t="s">
        <v>2325</v>
      </c>
      <c r="I563" s="6" t="s">
        <v>2326</v>
      </c>
      <c r="J563" s="12">
        <v>46121.645844907405</v>
      </c>
      <c r="K563" s="6" t="str" cm="1">
        <f t="array" ref="K563">LOOKUP(2^15,SEARCH(Tabela2[Palavras-Chave],Boletim[[#This Row],[Objeto]],1),Tabela2[Palavras-Chave])</f>
        <v>TANQUE</v>
      </c>
    </row>
    <row r="564" spans="1:11" ht="172.8" hidden="1" x14ac:dyDescent="0.3">
      <c r="A564" s="5">
        <v>18808945</v>
      </c>
      <c r="B564" s="6" t="s">
        <v>2317</v>
      </c>
      <c r="C564" s="6" t="s">
        <v>83</v>
      </c>
      <c r="D564" s="8" t="s">
        <v>82</v>
      </c>
      <c r="E564" s="6" t="s">
        <v>140</v>
      </c>
      <c r="F564" s="6" t="s">
        <v>85</v>
      </c>
      <c r="G564" s="11" t="s">
        <v>56</v>
      </c>
      <c r="H564" s="10" t="s">
        <v>2327</v>
      </c>
      <c r="I564" s="6" t="s">
        <v>2328</v>
      </c>
      <c r="J564" s="12">
        <v>46121.673900462964</v>
      </c>
      <c r="K564" s="6" t="e" cm="1">
        <f t="array" ref="K564">LOOKUP(2^15,SEARCH(Tabela2[Palavras-Chave],Boletim[[#This Row],[Objeto]],1),Tabela2[Palavras-Chave])</f>
        <v>#N/A</v>
      </c>
    </row>
    <row r="565" spans="1:11" ht="115.2" hidden="1" x14ac:dyDescent="0.3">
      <c r="A565" s="5">
        <v>18808943</v>
      </c>
      <c r="B565" s="6" t="s">
        <v>2329</v>
      </c>
      <c r="C565" s="6" t="s">
        <v>305</v>
      </c>
      <c r="D565" s="8" t="s">
        <v>82</v>
      </c>
      <c r="E565" s="6" t="s">
        <v>220</v>
      </c>
      <c r="F565" s="6" t="s">
        <v>85</v>
      </c>
      <c r="G565" s="11" t="s">
        <v>56</v>
      </c>
      <c r="H565" s="10" t="s">
        <v>2330</v>
      </c>
      <c r="I565" s="6" t="s">
        <v>2331</v>
      </c>
      <c r="J565" s="12">
        <v>46121.700150462966</v>
      </c>
      <c r="K565" s="6" t="e" cm="1">
        <f t="array" ref="K565">LOOKUP(2^15,SEARCH(Tabela2[Palavras-Chave],Boletim[[#This Row],[Objeto]],1),Tabela2[Palavras-Chave])</f>
        <v>#N/A</v>
      </c>
    </row>
    <row r="566" spans="1:11" ht="259.2" hidden="1" x14ac:dyDescent="0.3">
      <c r="A566" s="5">
        <v>18809410</v>
      </c>
      <c r="B566" s="6" t="s">
        <v>2332</v>
      </c>
      <c r="C566" s="6" t="s">
        <v>2333</v>
      </c>
      <c r="D566" s="8" t="s">
        <v>82</v>
      </c>
      <c r="E566" s="6" t="s">
        <v>155</v>
      </c>
      <c r="F566" s="6" t="s">
        <v>85</v>
      </c>
      <c r="G566" s="11" t="s">
        <v>56</v>
      </c>
      <c r="H566" s="10" t="s">
        <v>2334</v>
      </c>
      <c r="I566" s="6" t="s">
        <v>2335</v>
      </c>
      <c r="J566" s="12">
        <v>46121.700798611113</v>
      </c>
      <c r="K566" s="6" t="e" cm="1">
        <f t="array" ref="K566">LOOKUP(2^15,SEARCH(Tabela2[Palavras-Chave],Boletim[[#This Row],[Objeto]],1),Tabela2[Palavras-Chave])</f>
        <v>#N/A</v>
      </c>
    </row>
    <row r="567" spans="1:11" ht="115.2" hidden="1" x14ac:dyDescent="0.3">
      <c r="A567" s="5">
        <v>18809499</v>
      </c>
      <c r="B567" s="6" t="s">
        <v>2336</v>
      </c>
      <c r="C567" s="6" t="s">
        <v>2337</v>
      </c>
      <c r="D567" s="8" t="s">
        <v>82</v>
      </c>
      <c r="E567" s="6" t="s">
        <v>121</v>
      </c>
      <c r="F567" s="6" t="s">
        <v>85</v>
      </c>
      <c r="G567" s="11">
        <v>46142.333333333336</v>
      </c>
      <c r="H567" s="10" t="s">
        <v>2338</v>
      </c>
      <c r="I567" s="6" t="s">
        <v>2339</v>
      </c>
      <c r="J567" s="12">
        <v>46121.702175925922</v>
      </c>
      <c r="K567" s="6" t="e" cm="1">
        <f t="array" ref="K567">LOOKUP(2^15,SEARCH(Tabela2[Palavras-Chave],Boletim[[#This Row],[Objeto]],1),Tabela2[Palavras-Chave])</f>
        <v>#N/A</v>
      </c>
    </row>
    <row r="568" spans="1:11" ht="115.2" hidden="1" x14ac:dyDescent="0.3">
      <c r="A568" s="5">
        <v>18808952</v>
      </c>
      <c r="B568" s="6" t="s">
        <v>2340</v>
      </c>
      <c r="C568" s="6" t="s">
        <v>2341</v>
      </c>
      <c r="D568" s="8" t="s">
        <v>82</v>
      </c>
      <c r="E568" s="6" t="s">
        <v>2342</v>
      </c>
      <c r="F568" s="6" t="s">
        <v>85</v>
      </c>
      <c r="G568" s="11" t="s">
        <v>56</v>
      </c>
      <c r="H568" s="10" t="s">
        <v>2343</v>
      </c>
      <c r="I568" s="6" t="s">
        <v>2344</v>
      </c>
      <c r="J568" s="12">
        <v>46121.704606481479</v>
      </c>
      <c r="K568" s="6" t="e" cm="1">
        <f t="array" ref="K568">LOOKUP(2^15,SEARCH(Tabela2[Palavras-Chave],Boletim[[#This Row],[Objeto]],1),Tabela2[Palavras-Chave])</f>
        <v>#N/A</v>
      </c>
    </row>
    <row r="569" spans="1:11" ht="28.8" hidden="1" x14ac:dyDescent="0.3">
      <c r="A569" s="5">
        <v>18808804</v>
      </c>
      <c r="B569" s="6" t="s">
        <v>2345</v>
      </c>
      <c r="C569" s="6" t="s">
        <v>2346</v>
      </c>
      <c r="D569" s="8" t="s">
        <v>82</v>
      </c>
      <c r="E569" s="6" t="s">
        <v>134</v>
      </c>
      <c r="F569" s="6" t="s">
        <v>85</v>
      </c>
      <c r="G569" s="11">
        <v>46139.375</v>
      </c>
      <c r="H569" s="10" t="s">
        <v>2347</v>
      </c>
      <c r="I569" s="6" t="s">
        <v>368</v>
      </c>
      <c r="J569" s="12">
        <v>46121.706342592595</v>
      </c>
      <c r="K569" s="6" t="e" cm="1">
        <f t="array" ref="K569">LOOKUP(2^15,SEARCH(Tabela2[Palavras-Chave],Boletim[[#This Row],[Objeto]],1),Tabela2[Palavras-Chave])</f>
        <v>#N/A</v>
      </c>
    </row>
    <row r="570" spans="1:11" ht="115.2" hidden="1" x14ac:dyDescent="0.3">
      <c r="A570" s="5">
        <v>18808859</v>
      </c>
      <c r="B570" s="6" t="s">
        <v>2348</v>
      </c>
      <c r="C570" s="6" t="s">
        <v>83</v>
      </c>
      <c r="D570" s="8" t="s">
        <v>82</v>
      </c>
      <c r="E570" s="6" t="s">
        <v>157</v>
      </c>
      <c r="F570" s="6" t="s">
        <v>85</v>
      </c>
      <c r="G570" s="11" t="s">
        <v>56</v>
      </c>
      <c r="H570" s="10" t="s">
        <v>2349</v>
      </c>
      <c r="I570" s="6" t="s">
        <v>2350</v>
      </c>
      <c r="J570" s="12">
        <v>46121.709166666667</v>
      </c>
      <c r="K570" s="6" t="e" cm="1">
        <f t="array" ref="K570">LOOKUP(2^15,SEARCH(Tabela2[Palavras-Chave],Boletim[[#This Row],[Objeto]],1),Tabela2[Palavras-Chave])</f>
        <v>#N/A</v>
      </c>
    </row>
    <row r="571" spans="1:11" ht="144" hidden="1" x14ac:dyDescent="0.3">
      <c r="A571" s="13">
        <v>18808547</v>
      </c>
      <c r="B571" s="10" t="s">
        <v>2351</v>
      </c>
      <c r="C571" s="10" t="s">
        <v>83</v>
      </c>
      <c r="D571" s="15" t="s">
        <v>82</v>
      </c>
      <c r="E571" s="10" t="s">
        <v>2321</v>
      </c>
      <c r="F571" s="10" t="s">
        <v>85</v>
      </c>
      <c r="G571" s="16" t="s">
        <v>56</v>
      </c>
      <c r="H571" s="10" t="s">
        <v>2352</v>
      </c>
      <c r="I571" s="10" t="s">
        <v>2353</v>
      </c>
      <c r="J571" s="17">
        <v>46121.723807870374</v>
      </c>
      <c r="K571" s="6" t="e" cm="1">
        <f t="array" ref="K571">LOOKUP(2^15,SEARCH(Tabela2[Palavras-Chave],Boletim[[#This Row],[Objeto]],1),Tabela2[Palavras-Chave])</f>
        <v>#N/A</v>
      </c>
    </row>
    <row r="572" spans="1:11" ht="129.6" hidden="1" x14ac:dyDescent="0.3">
      <c r="A572" s="5">
        <v>18808903</v>
      </c>
      <c r="B572" s="6" t="s">
        <v>2354</v>
      </c>
      <c r="C572" s="6" t="s">
        <v>2355</v>
      </c>
      <c r="D572" s="8" t="s">
        <v>82</v>
      </c>
      <c r="E572" s="6" t="s">
        <v>183</v>
      </c>
      <c r="F572" s="6" t="s">
        <v>85</v>
      </c>
      <c r="G572" s="11" t="s">
        <v>56</v>
      </c>
      <c r="H572" s="10" t="s">
        <v>2356</v>
      </c>
      <c r="I572" s="6" t="s">
        <v>2357</v>
      </c>
      <c r="J572" s="12">
        <v>46121.725474537037</v>
      </c>
      <c r="K572" s="6" t="e" cm="1">
        <f t="array" ref="K572">LOOKUP(2^15,SEARCH(Tabela2[Palavras-Chave],Boletim[[#This Row],[Objeto]],1),Tabela2[Palavras-Chave])</f>
        <v>#N/A</v>
      </c>
    </row>
    <row r="573" spans="1:11" ht="43.2" hidden="1" x14ac:dyDescent="0.3">
      <c r="A573" s="5">
        <v>18805969</v>
      </c>
      <c r="B573" s="6" t="s">
        <v>701</v>
      </c>
      <c r="C573" s="6" t="s">
        <v>702</v>
      </c>
      <c r="D573" s="8" t="s">
        <v>82</v>
      </c>
      <c r="E573" s="6" t="s">
        <v>536</v>
      </c>
      <c r="F573" s="6" t="s">
        <v>85</v>
      </c>
      <c r="G573" s="11">
        <v>46141.604166666664</v>
      </c>
      <c r="H573" s="10" t="s">
        <v>705</v>
      </c>
      <c r="I573" s="6" t="s">
        <v>706</v>
      </c>
      <c r="J573" s="12">
        <v>46121.731990740744</v>
      </c>
      <c r="K573" s="6" t="e" cm="1">
        <f t="array" ref="K573">LOOKUP(2^15,SEARCH(Tabela2[Palavras-Chave],Boletim[[#This Row],[Objeto]],1),Tabela2[Palavras-Chave])</f>
        <v>#N/A</v>
      </c>
    </row>
    <row r="574" spans="1:11" ht="115.2" hidden="1" x14ac:dyDescent="0.3">
      <c r="A574" s="5">
        <v>18808948</v>
      </c>
      <c r="B574" s="6" t="s">
        <v>2358</v>
      </c>
      <c r="C574" s="6" t="s">
        <v>382</v>
      </c>
      <c r="D574" s="8" t="s">
        <v>82</v>
      </c>
      <c r="E574" s="6" t="s">
        <v>177</v>
      </c>
      <c r="F574" s="6" t="s">
        <v>85</v>
      </c>
      <c r="G574" s="11" t="s">
        <v>56</v>
      </c>
      <c r="H574" s="10" t="s">
        <v>2359</v>
      </c>
      <c r="I574" s="6" t="s">
        <v>2360</v>
      </c>
      <c r="J574" s="12">
        <v>46121.732546296298</v>
      </c>
      <c r="K574" s="6" t="e" cm="1">
        <f t="array" ref="K574">LOOKUP(2^15,SEARCH(Tabela2[Palavras-Chave],Boletim[[#This Row],[Objeto]],1),Tabela2[Palavras-Chave])</f>
        <v>#N/A</v>
      </c>
    </row>
    <row r="575" spans="1:11" ht="115.2" hidden="1" x14ac:dyDescent="0.3">
      <c r="A575" s="5">
        <v>18808944</v>
      </c>
      <c r="B575" s="6" t="s">
        <v>2361</v>
      </c>
      <c r="C575" s="6" t="s">
        <v>164</v>
      </c>
      <c r="D575" s="8" t="s">
        <v>82</v>
      </c>
      <c r="E575" s="6" t="s">
        <v>140</v>
      </c>
      <c r="F575" s="6" t="s">
        <v>85</v>
      </c>
      <c r="G575" s="11" t="s">
        <v>56</v>
      </c>
      <c r="H575" s="10" t="s">
        <v>2362</v>
      </c>
      <c r="I575" s="6" t="s">
        <v>2363</v>
      </c>
      <c r="J575" s="12">
        <v>46121.733530092592</v>
      </c>
      <c r="K575" s="6" t="e" cm="1">
        <f t="array" ref="K575">LOOKUP(2^15,SEARCH(Tabela2[Palavras-Chave],Boletim[[#This Row],[Objeto]],1),Tabela2[Palavras-Chave])</f>
        <v>#N/A</v>
      </c>
    </row>
    <row r="576" spans="1:11" ht="100.8" hidden="1" x14ac:dyDescent="0.3">
      <c r="A576" s="5">
        <v>18809647</v>
      </c>
      <c r="B576" s="6" t="s">
        <v>2364</v>
      </c>
      <c r="C576" s="6" t="s">
        <v>2365</v>
      </c>
      <c r="D576" s="8" t="s">
        <v>82</v>
      </c>
      <c r="E576" s="6" t="s">
        <v>2366</v>
      </c>
      <c r="F576" s="6" t="s">
        <v>85</v>
      </c>
      <c r="G576" s="11" t="s">
        <v>56</v>
      </c>
      <c r="H576" s="10" t="s">
        <v>2367</v>
      </c>
      <c r="I576" s="6" t="s">
        <v>2368</v>
      </c>
      <c r="J576" s="12">
        <v>46121.733668981484</v>
      </c>
      <c r="K576" s="6" t="e" cm="1">
        <f t="array" ref="K576">LOOKUP(2^15,SEARCH(Tabela2[Palavras-Chave],Boletim[[#This Row],[Objeto]],1),Tabela2[Palavras-Chave])</f>
        <v>#N/A</v>
      </c>
    </row>
    <row r="577" spans="1:11" ht="100.8" hidden="1" x14ac:dyDescent="0.3">
      <c r="A577" s="5">
        <v>18809649</v>
      </c>
      <c r="B577" s="6" t="s">
        <v>2364</v>
      </c>
      <c r="C577" s="6" t="s">
        <v>2365</v>
      </c>
      <c r="D577" s="8" t="s">
        <v>82</v>
      </c>
      <c r="E577" s="6" t="s">
        <v>2369</v>
      </c>
      <c r="F577" s="6" t="s">
        <v>85</v>
      </c>
      <c r="G577" s="11" t="s">
        <v>56</v>
      </c>
      <c r="H577" s="10" t="s">
        <v>2370</v>
      </c>
      <c r="I577" s="6" t="s">
        <v>2371</v>
      </c>
      <c r="J577" s="12">
        <v>46121.734583333331</v>
      </c>
      <c r="K577" s="6" t="e" cm="1">
        <f t="array" ref="K577">LOOKUP(2^15,SEARCH(Tabela2[Palavras-Chave],Boletim[[#This Row],[Objeto]],1),Tabela2[Palavras-Chave])</f>
        <v>#N/A</v>
      </c>
    </row>
    <row r="578" spans="1:11" ht="115.2" hidden="1" x14ac:dyDescent="0.3">
      <c r="A578" s="5">
        <v>18808911</v>
      </c>
      <c r="B578" s="6" t="s">
        <v>236</v>
      </c>
      <c r="C578" s="6" t="s">
        <v>83</v>
      </c>
      <c r="D578" s="8" t="s">
        <v>82</v>
      </c>
      <c r="E578" s="6" t="s">
        <v>2372</v>
      </c>
      <c r="F578" s="6" t="s">
        <v>85</v>
      </c>
      <c r="G578" s="11" t="s">
        <v>56</v>
      </c>
      <c r="H578" s="10" t="s">
        <v>2373</v>
      </c>
      <c r="I578" s="6" t="s">
        <v>2374</v>
      </c>
      <c r="J578" s="12">
        <v>46121.737245370372</v>
      </c>
      <c r="K578" s="6" t="e" cm="1">
        <f t="array" ref="K578">LOOKUP(2^15,SEARCH(Tabela2[Palavras-Chave],Boletim[[#This Row],[Objeto]],1),Tabela2[Palavras-Chave])</f>
        <v>#N/A</v>
      </c>
    </row>
    <row r="579" spans="1:11" ht="43.2" hidden="1" x14ac:dyDescent="0.3">
      <c r="A579" s="5">
        <v>18810534</v>
      </c>
      <c r="B579" s="6" t="s">
        <v>2375</v>
      </c>
      <c r="C579" s="6" t="s">
        <v>1291</v>
      </c>
      <c r="D579" s="8" t="s">
        <v>82</v>
      </c>
      <c r="E579" s="6" t="s">
        <v>2376</v>
      </c>
      <c r="F579" s="6" t="s">
        <v>85</v>
      </c>
      <c r="G579" s="11">
        <v>46127.375</v>
      </c>
      <c r="H579" s="10" t="s">
        <v>2377</v>
      </c>
      <c r="I579" s="6" t="s">
        <v>2378</v>
      </c>
      <c r="J579" s="12">
        <v>46121.740706018521</v>
      </c>
      <c r="K579" s="6" t="e" cm="1">
        <f t="array" ref="K579">LOOKUP(2^15,SEARCH(Tabela2[Palavras-Chave],Boletim[[#This Row],[Objeto]],1),Tabela2[Palavras-Chave])</f>
        <v>#N/A</v>
      </c>
    </row>
    <row r="580" spans="1:11" ht="115.2" hidden="1" x14ac:dyDescent="0.3">
      <c r="A580" s="5">
        <v>18808955</v>
      </c>
      <c r="B580" s="6" t="s">
        <v>2379</v>
      </c>
      <c r="C580" s="6" t="s">
        <v>2287</v>
      </c>
      <c r="D580" s="8" t="s">
        <v>82</v>
      </c>
      <c r="E580" s="6" t="s">
        <v>220</v>
      </c>
      <c r="F580" s="6" t="s">
        <v>85</v>
      </c>
      <c r="G580" s="11" t="s">
        <v>56</v>
      </c>
      <c r="H580" s="10" t="s">
        <v>2380</v>
      </c>
      <c r="I580" s="6" t="s">
        <v>2381</v>
      </c>
      <c r="J580" s="12">
        <v>46121.745081018518</v>
      </c>
      <c r="K580" s="6" t="e" cm="1">
        <f t="array" ref="K580">LOOKUP(2^15,SEARCH(Tabela2[Palavras-Chave],Boletim[[#This Row],[Objeto]],1),Tabela2[Palavras-Chave])</f>
        <v>#N/A</v>
      </c>
    </row>
    <row r="581" spans="1:11" ht="115.2" hidden="1" x14ac:dyDescent="0.3">
      <c r="A581" s="5">
        <v>18808872</v>
      </c>
      <c r="B581" s="6" t="s">
        <v>2382</v>
      </c>
      <c r="C581" s="6" t="s">
        <v>2383</v>
      </c>
      <c r="D581" s="8" t="s">
        <v>82</v>
      </c>
      <c r="E581" s="6" t="s">
        <v>157</v>
      </c>
      <c r="F581" s="6" t="s">
        <v>85</v>
      </c>
      <c r="G581" s="11" t="s">
        <v>56</v>
      </c>
      <c r="H581" s="10" t="s">
        <v>2384</v>
      </c>
      <c r="I581" s="6" t="s">
        <v>2385</v>
      </c>
      <c r="J581" s="12">
        <v>46121.755601851852</v>
      </c>
      <c r="K581" s="6" t="e" cm="1">
        <f t="array" ref="K581">LOOKUP(2^15,SEARCH(Tabela2[Palavras-Chave],Boletim[[#This Row],[Objeto]],1),Tabela2[Palavras-Chave])</f>
        <v>#N/A</v>
      </c>
    </row>
    <row r="582" spans="1:11" ht="86.4" hidden="1" x14ac:dyDescent="0.3">
      <c r="A582" s="5">
        <v>18806836</v>
      </c>
      <c r="B582" s="6" t="s">
        <v>2386</v>
      </c>
      <c r="C582" s="6" t="s">
        <v>2355</v>
      </c>
      <c r="D582" s="8" t="s">
        <v>82</v>
      </c>
      <c r="E582" s="6" t="s">
        <v>166</v>
      </c>
      <c r="F582" s="6" t="s">
        <v>85</v>
      </c>
      <c r="G582" s="11" t="s">
        <v>56</v>
      </c>
      <c r="H582" s="10" t="s">
        <v>2387</v>
      </c>
      <c r="I582" s="6" t="s">
        <v>2388</v>
      </c>
      <c r="J582" s="12">
        <v>46121.757071759261</v>
      </c>
      <c r="K582" s="6" t="e" cm="1">
        <f t="array" ref="K582">LOOKUP(2^15,SEARCH(Tabela2[Palavras-Chave],Boletim[[#This Row],[Objeto]],1),Tabela2[Palavras-Chave])</f>
        <v>#N/A</v>
      </c>
    </row>
    <row r="583" spans="1:11" ht="115.2" hidden="1" x14ac:dyDescent="0.3">
      <c r="A583" s="5">
        <v>18808874</v>
      </c>
      <c r="B583" s="6" t="s">
        <v>2389</v>
      </c>
      <c r="C583" s="6" t="s">
        <v>83</v>
      </c>
      <c r="D583" s="8" t="s">
        <v>82</v>
      </c>
      <c r="E583" s="6" t="s">
        <v>220</v>
      </c>
      <c r="F583" s="6" t="s">
        <v>85</v>
      </c>
      <c r="G583" s="11" t="s">
        <v>56</v>
      </c>
      <c r="H583" s="10" t="s">
        <v>2390</v>
      </c>
      <c r="I583" s="6" t="s">
        <v>2391</v>
      </c>
      <c r="J583" s="12">
        <v>46121.762002314812</v>
      </c>
      <c r="K583" s="6" t="e" cm="1">
        <f t="array" ref="K583">LOOKUP(2^15,SEARCH(Tabela2[Palavras-Chave],Boletim[[#This Row],[Objeto]],1),Tabela2[Palavras-Chave])</f>
        <v>#N/A</v>
      </c>
    </row>
    <row r="584" spans="1:11" ht="72" hidden="1" x14ac:dyDescent="0.3">
      <c r="A584" s="5">
        <v>18810143</v>
      </c>
      <c r="B584" s="6" t="s">
        <v>2392</v>
      </c>
      <c r="C584" s="6" t="s">
        <v>2393</v>
      </c>
      <c r="D584" s="8" t="s">
        <v>82</v>
      </c>
      <c r="E584" s="6" t="s">
        <v>277</v>
      </c>
      <c r="F584" s="6" t="s">
        <v>85</v>
      </c>
      <c r="G584" s="11" t="s">
        <v>56</v>
      </c>
      <c r="H584" s="10" t="s">
        <v>2394</v>
      </c>
      <c r="I584" s="6" t="s">
        <v>2395</v>
      </c>
      <c r="J584" s="12">
        <v>46121.762835648151</v>
      </c>
      <c r="K584" s="6" t="e" cm="1">
        <f t="array" ref="K584">LOOKUP(2^15,SEARCH(Tabela2[Palavras-Chave],Boletim[[#This Row],[Objeto]],1),Tabela2[Palavras-Chave])</f>
        <v>#N/A</v>
      </c>
    </row>
    <row r="585" spans="1:11" ht="158.4" hidden="1" x14ac:dyDescent="0.3">
      <c r="A585" s="5">
        <v>18810514</v>
      </c>
      <c r="B585" s="6" t="s">
        <v>552</v>
      </c>
      <c r="C585" s="6" t="s">
        <v>83</v>
      </c>
      <c r="D585" s="8" t="s">
        <v>82</v>
      </c>
      <c r="E585" s="6" t="s">
        <v>2396</v>
      </c>
      <c r="F585" s="6" t="s">
        <v>85</v>
      </c>
      <c r="G585" s="11">
        <v>46135.395833333336</v>
      </c>
      <c r="H585" s="10" t="s">
        <v>2397</v>
      </c>
      <c r="I585" s="6" t="s">
        <v>2398</v>
      </c>
      <c r="J585" s="12">
        <v>46121.764074074075</v>
      </c>
      <c r="K585" s="6" t="e" cm="1">
        <f t="array" ref="K585">LOOKUP(2^15,SEARCH(Tabela2[Palavras-Chave],Boletim[[#This Row],[Objeto]],1),Tabela2[Palavras-Chave])</f>
        <v>#N/A</v>
      </c>
    </row>
    <row r="586" spans="1:11" ht="57.6" hidden="1" x14ac:dyDescent="0.3">
      <c r="A586" s="5">
        <v>18800956</v>
      </c>
      <c r="B586" s="6" t="s">
        <v>2399</v>
      </c>
      <c r="C586" s="6" t="s">
        <v>2400</v>
      </c>
      <c r="D586" s="8" t="s">
        <v>82</v>
      </c>
      <c r="E586" s="6" t="s">
        <v>2401</v>
      </c>
      <c r="F586" s="6" t="s">
        <v>85</v>
      </c>
      <c r="G586" s="11">
        <v>46136.354166666664</v>
      </c>
      <c r="H586" s="10" t="s">
        <v>2402</v>
      </c>
      <c r="I586" s="6" t="s">
        <v>2403</v>
      </c>
      <c r="J586" s="12">
        <v>46121.768449074072</v>
      </c>
      <c r="K586" s="6" t="e" cm="1">
        <f t="array" ref="K586">LOOKUP(2^15,SEARCH(Tabela2[Palavras-Chave],Boletim[[#This Row],[Objeto]],1),Tabela2[Palavras-Chave])</f>
        <v>#N/A</v>
      </c>
    </row>
    <row r="587" spans="1:11" ht="259.2" hidden="1" x14ac:dyDescent="0.3">
      <c r="A587" s="5">
        <v>18810280</v>
      </c>
      <c r="B587" s="6" t="s">
        <v>2404</v>
      </c>
      <c r="C587" s="6" t="s">
        <v>2405</v>
      </c>
      <c r="D587" s="8" t="s">
        <v>82</v>
      </c>
      <c r="E587" s="6" t="s">
        <v>121</v>
      </c>
      <c r="F587" s="6" t="s">
        <v>85</v>
      </c>
      <c r="G587" s="11" t="s">
        <v>56</v>
      </c>
      <c r="H587" s="10" t="s">
        <v>2406</v>
      </c>
      <c r="I587" s="6" t="s">
        <v>2407</v>
      </c>
      <c r="J587" s="12">
        <v>46121.768564814818</v>
      </c>
      <c r="K587" s="6" t="e" cm="1">
        <f t="array" ref="K587">LOOKUP(2^15,SEARCH(Tabela2[Palavras-Chave],Boletim[[#This Row],[Objeto]],1),Tabela2[Palavras-Chave])</f>
        <v>#N/A</v>
      </c>
    </row>
    <row r="588" spans="1:11" ht="57.6" hidden="1" x14ac:dyDescent="0.3">
      <c r="A588" s="5">
        <v>18810998</v>
      </c>
      <c r="B588" s="6" t="s">
        <v>2408</v>
      </c>
      <c r="C588" s="6" t="s">
        <v>2409</v>
      </c>
      <c r="D588" s="8" t="s">
        <v>82</v>
      </c>
      <c r="E588" s="6" t="s">
        <v>120</v>
      </c>
      <c r="F588" s="6" t="s">
        <v>85</v>
      </c>
      <c r="G588" s="11">
        <v>46141.354166666664</v>
      </c>
      <c r="H588" s="10" t="s">
        <v>2410</v>
      </c>
      <c r="I588" s="6" t="s">
        <v>383</v>
      </c>
      <c r="J588" s="12">
        <v>46121.772962962961</v>
      </c>
      <c r="K588" s="6" t="e" cm="1">
        <f t="array" ref="K588">LOOKUP(2^15,SEARCH(Tabela2[Palavras-Chave],Boletim[[#This Row],[Objeto]],1),Tabela2[Palavras-Chave])</f>
        <v>#N/A</v>
      </c>
    </row>
    <row r="589" spans="1:11" ht="129.6" hidden="1" x14ac:dyDescent="0.3">
      <c r="A589" s="5">
        <v>18808897</v>
      </c>
      <c r="B589" s="6" t="s">
        <v>374</v>
      </c>
      <c r="C589" s="6" t="s">
        <v>375</v>
      </c>
      <c r="D589" s="8" t="s">
        <v>82</v>
      </c>
      <c r="E589" s="6" t="s">
        <v>296</v>
      </c>
      <c r="F589" s="6" t="s">
        <v>85</v>
      </c>
      <c r="G589" s="11" t="s">
        <v>56</v>
      </c>
      <c r="H589" s="10" t="s">
        <v>2411</v>
      </c>
      <c r="I589" s="6" t="s">
        <v>2412</v>
      </c>
      <c r="J589" s="12">
        <v>46121.773587962962</v>
      </c>
      <c r="K589" s="6" t="e" cm="1">
        <f t="array" ref="K589">LOOKUP(2^15,SEARCH(Tabela2[Palavras-Chave],Boletim[[#This Row],[Objeto]],1),Tabela2[Palavras-Chave])</f>
        <v>#N/A</v>
      </c>
    </row>
    <row r="590" spans="1:11" ht="144" x14ac:dyDescent="0.3">
      <c r="A590" s="5">
        <v>18808884</v>
      </c>
      <c r="B590" s="6" t="s">
        <v>2413</v>
      </c>
      <c r="C590" s="6" t="s">
        <v>557</v>
      </c>
      <c r="D590" s="8" t="s">
        <v>82</v>
      </c>
      <c r="E590" s="6" t="s">
        <v>1962</v>
      </c>
      <c r="F590" s="6" t="s">
        <v>85</v>
      </c>
      <c r="G590" s="11" t="s">
        <v>56</v>
      </c>
      <c r="H590" s="10" t="s">
        <v>2414</v>
      </c>
      <c r="I590" s="6" t="s">
        <v>2415</v>
      </c>
      <c r="J590" s="12">
        <v>46121.777638888889</v>
      </c>
      <c r="K590" s="6" t="str" cm="1">
        <f t="array" ref="K590">LOOKUP(2^15,SEARCH(Tabela2[Palavras-Chave],Boletim[[#This Row],[Objeto]],1),Tabela2[Palavras-Chave])</f>
        <v>RESERVAT</v>
      </c>
    </row>
    <row r="591" spans="1:11" ht="86.4" x14ac:dyDescent="0.3">
      <c r="A591" s="5">
        <v>18809075</v>
      </c>
      <c r="B591" s="6" t="s">
        <v>2416</v>
      </c>
      <c r="C591" s="6" t="s">
        <v>2417</v>
      </c>
      <c r="D591" s="8" t="s">
        <v>82</v>
      </c>
      <c r="E591" s="6" t="s">
        <v>2418</v>
      </c>
      <c r="F591" s="6" t="s">
        <v>85</v>
      </c>
      <c r="G591" s="11" t="s">
        <v>56</v>
      </c>
      <c r="H591" s="10" t="s">
        <v>2419</v>
      </c>
      <c r="I591" s="6" t="s">
        <v>2420</v>
      </c>
      <c r="J591" s="12">
        <v>46121.780960648146</v>
      </c>
      <c r="K591" s="6" t="str" cm="1">
        <f t="array" ref="K591">LOOKUP(2^15,SEARCH(Tabela2[Palavras-Chave],Boletim[[#This Row],[Objeto]],1),Tabela2[Palavras-Chave])</f>
        <v>ELEVATÓRIA</v>
      </c>
    </row>
    <row r="592" spans="1:11" ht="43.2" hidden="1" x14ac:dyDescent="0.3">
      <c r="A592" s="5">
        <v>18797406</v>
      </c>
      <c r="B592" s="6" t="s">
        <v>2421</v>
      </c>
      <c r="C592" s="6" t="s">
        <v>2422</v>
      </c>
      <c r="D592" s="8" t="s">
        <v>82</v>
      </c>
      <c r="E592" s="6" t="s">
        <v>127</v>
      </c>
      <c r="F592" s="6" t="s">
        <v>85</v>
      </c>
      <c r="G592" s="11">
        <v>46140.375</v>
      </c>
      <c r="H592" s="10" t="s">
        <v>2423</v>
      </c>
      <c r="I592" s="6" t="s">
        <v>2424</v>
      </c>
      <c r="J592" s="12">
        <v>46121.78974537037</v>
      </c>
      <c r="K592" s="6" t="e" cm="1">
        <f t="array" ref="K592">LOOKUP(2^15,SEARCH(Tabela2[Palavras-Chave],Boletim[[#This Row],[Objeto]],1),Tabela2[Palavras-Chave])</f>
        <v>#N/A</v>
      </c>
    </row>
    <row r="593" spans="1:11" ht="100.8" hidden="1" x14ac:dyDescent="0.3">
      <c r="A593" s="5">
        <v>18804010</v>
      </c>
      <c r="B593" s="6" t="s">
        <v>564</v>
      </c>
      <c r="C593" s="6" t="s">
        <v>565</v>
      </c>
      <c r="D593" s="8" t="s">
        <v>82</v>
      </c>
      <c r="E593" s="6" t="s">
        <v>122</v>
      </c>
      <c r="F593" s="6" t="s">
        <v>85</v>
      </c>
      <c r="G593" s="11">
        <v>46136.375</v>
      </c>
      <c r="H593" s="10" t="s">
        <v>2425</v>
      </c>
      <c r="I593" s="6" t="s">
        <v>2426</v>
      </c>
      <c r="J593" s="12">
        <v>46121.819826388892</v>
      </c>
      <c r="K593" s="6" t="e" cm="1">
        <f t="array" ref="K593">LOOKUP(2^15,SEARCH(Tabela2[Palavras-Chave],Boletim[[#This Row],[Objeto]],1),Tabela2[Palavras-Chave])</f>
        <v>#N/A</v>
      </c>
    </row>
    <row r="594" spans="1:11" ht="43.2" x14ac:dyDescent="0.3">
      <c r="A594" s="5">
        <v>18811336</v>
      </c>
      <c r="B594" s="6" t="s">
        <v>696</v>
      </c>
      <c r="C594" s="6" t="s">
        <v>83</v>
      </c>
      <c r="D594" s="8" t="s">
        <v>82</v>
      </c>
      <c r="E594" s="6" t="s">
        <v>231</v>
      </c>
      <c r="F594" s="6" t="s">
        <v>85</v>
      </c>
      <c r="G594" s="11" t="s">
        <v>56</v>
      </c>
      <c r="H594" s="10" t="s">
        <v>2427</v>
      </c>
      <c r="I594" s="6" t="s">
        <v>2428</v>
      </c>
      <c r="J594" s="12">
        <v>46121.837280092594</v>
      </c>
      <c r="K594" s="6" t="str" cm="1">
        <f t="array" ref="K594">LOOKUP(2^15,SEARCH(Tabela2[Palavras-Chave],Boletim[[#This Row],[Objeto]],1),Tabela2[Palavras-Chave])</f>
        <v>RESERVAT</v>
      </c>
    </row>
    <row r="595" spans="1:11" ht="100.8" hidden="1" x14ac:dyDescent="0.3">
      <c r="A595" s="5">
        <v>18807464</v>
      </c>
      <c r="B595" s="6" t="s">
        <v>74</v>
      </c>
      <c r="C595" s="6" t="s">
        <v>2429</v>
      </c>
      <c r="D595" s="8" t="s">
        <v>84</v>
      </c>
      <c r="E595" s="6" t="s">
        <v>1319</v>
      </c>
      <c r="F595" s="6" t="s">
        <v>85</v>
      </c>
      <c r="G595" s="11" t="s">
        <v>56</v>
      </c>
      <c r="H595" s="10" t="s">
        <v>1320</v>
      </c>
      <c r="I595" s="6" t="s">
        <v>1321</v>
      </c>
      <c r="J595" s="12">
        <v>46121.447314814817</v>
      </c>
      <c r="K595" s="6" t="e" cm="1">
        <f t="array" ref="K595">LOOKUP(2^15,SEARCH(Tabela2[Palavras-Chave],Boletim[[#This Row],[Objeto]],1),Tabela2[Palavras-Chave])</f>
        <v>#N/A</v>
      </c>
    </row>
    <row r="596" spans="1:11" ht="158.4" hidden="1" x14ac:dyDescent="0.3">
      <c r="A596" s="5">
        <v>18808571</v>
      </c>
      <c r="B596" s="6" t="s">
        <v>2430</v>
      </c>
      <c r="C596" s="6" t="s">
        <v>2429</v>
      </c>
      <c r="D596" s="8" t="s">
        <v>84</v>
      </c>
      <c r="E596" s="6" t="s">
        <v>2431</v>
      </c>
      <c r="F596" s="6" t="s">
        <v>85</v>
      </c>
      <c r="G596" s="11" t="s">
        <v>56</v>
      </c>
      <c r="H596" s="10" t="s">
        <v>2432</v>
      </c>
      <c r="I596" s="6" t="s">
        <v>2433</v>
      </c>
      <c r="J596" s="12">
        <v>46121.562083333331</v>
      </c>
      <c r="K596" s="6" t="e" cm="1">
        <f t="array" ref="K596">LOOKUP(2^15,SEARCH(Tabela2[Palavras-Chave],Boletim[[#This Row],[Objeto]],1),Tabela2[Palavras-Chave])</f>
        <v>#N/A</v>
      </c>
    </row>
    <row r="597" spans="1:11" ht="129.6" hidden="1" x14ac:dyDescent="0.3">
      <c r="A597" s="5">
        <v>18808808</v>
      </c>
      <c r="B597" s="6" t="s">
        <v>2434</v>
      </c>
      <c r="C597" s="6" t="s">
        <v>2435</v>
      </c>
      <c r="D597" s="8" t="s">
        <v>84</v>
      </c>
      <c r="E597" s="6" t="s">
        <v>112</v>
      </c>
      <c r="F597" s="6" t="s">
        <v>85</v>
      </c>
      <c r="G597" s="11" t="s">
        <v>56</v>
      </c>
      <c r="H597" s="10" t="s">
        <v>2436</v>
      </c>
      <c r="I597" s="6" t="s">
        <v>2437</v>
      </c>
      <c r="J597" s="12">
        <v>46121.629479166666</v>
      </c>
      <c r="K597" s="6" t="e" cm="1">
        <f t="array" ref="K597">LOOKUP(2^15,SEARCH(Tabela2[Palavras-Chave],Boletim[[#This Row],[Objeto]],1),Tabela2[Palavras-Chave])</f>
        <v>#N/A</v>
      </c>
    </row>
    <row r="598" spans="1:11" ht="244.8" hidden="1" x14ac:dyDescent="0.3">
      <c r="A598" s="5">
        <v>18807136</v>
      </c>
      <c r="B598" s="6" t="s">
        <v>2438</v>
      </c>
      <c r="C598" s="6" t="s">
        <v>2439</v>
      </c>
      <c r="D598" s="8" t="s">
        <v>84</v>
      </c>
      <c r="E598" s="6" t="s">
        <v>125</v>
      </c>
      <c r="F598" s="6" t="s">
        <v>85</v>
      </c>
      <c r="G598" s="11" t="s">
        <v>56</v>
      </c>
      <c r="H598" s="10" t="s">
        <v>2440</v>
      </c>
      <c r="I598" s="6" t="s">
        <v>2441</v>
      </c>
      <c r="J598" s="12">
        <v>46121.646412037036</v>
      </c>
      <c r="K598" s="6" t="e" cm="1">
        <f t="array" ref="K598">LOOKUP(2^15,SEARCH(Tabela2[Palavras-Chave],Boletim[[#This Row],[Objeto]],1),Tabela2[Palavras-Chave])</f>
        <v>#N/A</v>
      </c>
    </row>
    <row r="599" spans="1:11" ht="115.2" hidden="1" x14ac:dyDescent="0.3">
      <c r="A599" s="5">
        <v>18808814</v>
      </c>
      <c r="B599" s="6" t="s">
        <v>2442</v>
      </c>
      <c r="C599" s="6" t="s">
        <v>2443</v>
      </c>
      <c r="D599" s="8" t="s">
        <v>84</v>
      </c>
      <c r="E599" s="6" t="s">
        <v>152</v>
      </c>
      <c r="F599" s="6" t="s">
        <v>85</v>
      </c>
      <c r="G599" s="11" t="s">
        <v>56</v>
      </c>
      <c r="H599" s="10" t="s">
        <v>2444</v>
      </c>
      <c r="I599" s="6" t="s">
        <v>2445</v>
      </c>
      <c r="J599" s="12">
        <v>46121.719525462962</v>
      </c>
      <c r="K599" s="6" t="e" cm="1">
        <f t="array" ref="K599">LOOKUP(2^15,SEARCH(Tabela2[Palavras-Chave],Boletim[[#This Row],[Objeto]],1),Tabela2[Palavras-Chave])</f>
        <v>#N/A</v>
      </c>
    </row>
    <row r="600" spans="1:11" ht="244.8" hidden="1" x14ac:dyDescent="0.3">
      <c r="A600" s="5">
        <v>18809648</v>
      </c>
      <c r="B600" s="6" t="s">
        <v>2446</v>
      </c>
      <c r="C600" s="6" t="s">
        <v>2447</v>
      </c>
      <c r="D600" s="8" t="s">
        <v>84</v>
      </c>
      <c r="E600" s="6" t="s">
        <v>107</v>
      </c>
      <c r="F600" s="6" t="s">
        <v>85</v>
      </c>
      <c r="G600" s="11" t="s">
        <v>56</v>
      </c>
      <c r="H600" s="10" t="s">
        <v>2448</v>
      </c>
      <c r="I600" s="6" t="s">
        <v>2449</v>
      </c>
      <c r="J600" s="12">
        <v>46121.721643518518</v>
      </c>
      <c r="K600" s="6" t="e" cm="1">
        <f t="array" ref="K600">LOOKUP(2^15,SEARCH(Tabela2[Palavras-Chave],Boletim[[#This Row],[Objeto]],1),Tabela2[Palavras-Chave])</f>
        <v>#N/A</v>
      </c>
    </row>
    <row r="601" spans="1:11" ht="172.8" hidden="1" x14ac:dyDescent="0.3">
      <c r="A601" s="5">
        <v>18805211</v>
      </c>
      <c r="B601" s="6" t="s">
        <v>286</v>
      </c>
      <c r="C601" s="6" t="s">
        <v>287</v>
      </c>
      <c r="D601" s="8" t="s">
        <v>63</v>
      </c>
      <c r="E601" s="6" t="s">
        <v>2450</v>
      </c>
      <c r="F601" s="6" t="s">
        <v>94</v>
      </c>
      <c r="G601" s="11" t="s">
        <v>56</v>
      </c>
      <c r="H601" s="10" t="s">
        <v>2451</v>
      </c>
      <c r="I601" s="6" t="s">
        <v>2452</v>
      </c>
      <c r="J601" s="12">
        <v>46121.546273148146</v>
      </c>
      <c r="K601" s="6" t="e" cm="1">
        <f t="array" ref="K601">LOOKUP(2^15,SEARCH(Tabela2[Palavras-Chave],Boletim[[#This Row],[Objeto]],1),Tabela2[Palavras-Chave])</f>
        <v>#N/A</v>
      </c>
    </row>
    <row r="602" spans="1:11" ht="144" hidden="1" x14ac:dyDescent="0.3">
      <c r="A602" s="5">
        <v>18747447</v>
      </c>
      <c r="B602" s="6" t="s">
        <v>2453</v>
      </c>
      <c r="C602" s="6" t="s">
        <v>2454</v>
      </c>
      <c r="D602" s="8" t="s">
        <v>66</v>
      </c>
      <c r="E602" s="6" t="s">
        <v>2455</v>
      </c>
      <c r="F602" s="6" t="s">
        <v>94</v>
      </c>
      <c r="G602" s="11">
        <v>46141.375</v>
      </c>
      <c r="H602" s="10" t="s">
        <v>2456</v>
      </c>
      <c r="I602" s="6" t="s">
        <v>2457</v>
      </c>
      <c r="J602" s="12">
        <v>46121.4844212963</v>
      </c>
      <c r="K602" s="6" t="e" cm="1">
        <f t="array" ref="K602">LOOKUP(2^15,SEARCH(Tabela2[Palavras-Chave],Boletim[[#This Row],[Objeto]],1),Tabela2[Palavras-Chave])</f>
        <v>#N/A</v>
      </c>
    </row>
    <row r="603" spans="1:11" ht="115.2" hidden="1" x14ac:dyDescent="0.3">
      <c r="A603" s="5">
        <v>18768246</v>
      </c>
      <c r="B603" s="6" t="s">
        <v>339</v>
      </c>
      <c r="C603" s="6" t="s">
        <v>65</v>
      </c>
      <c r="D603" s="8" t="s">
        <v>66</v>
      </c>
      <c r="E603" s="6" t="s">
        <v>245</v>
      </c>
      <c r="F603" s="6" t="s">
        <v>94</v>
      </c>
      <c r="G603" s="11" t="s">
        <v>56</v>
      </c>
      <c r="H603" s="10" t="s">
        <v>2458</v>
      </c>
      <c r="I603" s="6" t="s">
        <v>2459</v>
      </c>
      <c r="J603" s="12">
        <v>46121.587638888886</v>
      </c>
      <c r="K603" s="6" t="e" cm="1">
        <f t="array" ref="K603">LOOKUP(2^15,SEARCH(Tabela2[Palavras-Chave],Boletim[[#This Row],[Objeto]],1),Tabela2[Palavras-Chave])</f>
        <v>#N/A</v>
      </c>
    </row>
    <row r="604" spans="1:11" ht="409.6" hidden="1" x14ac:dyDescent="0.3">
      <c r="A604" s="5">
        <v>18792768</v>
      </c>
      <c r="B604" s="6" t="s">
        <v>2460</v>
      </c>
      <c r="C604" s="6" t="s">
        <v>2461</v>
      </c>
      <c r="D604" s="8" t="s">
        <v>91</v>
      </c>
      <c r="E604" s="6" t="s">
        <v>113</v>
      </c>
      <c r="F604" s="6" t="s">
        <v>94</v>
      </c>
      <c r="G604" s="11" t="s">
        <v>56</v>
      </c>
      <c r="H604" s="10" t="s">
        <v>2462</v>
      </c>
      <c r="I604" s="6" t="s">
        <v>2463</v>
      </c>
      <c r="J604" s="12">
        <v>46121.692719907405</v>
      </c>
      <c r="K604" s="6" t="e" cm="1">
        <f t="array" ref="K604">LOOKUP(2^15,SEARCH(Tabela2[Palavras-Chave],Boletim[[#This Row],[Objeto]],1),Tabela2[Palavras-Chave])</f>
        <v>#N/A</v>
      </c>
    </row>
    <row r="605" spans="1:11" ht="187.2" hidden="1" x14ac:dyDescent="0.3">
      <c r="A605" s="5">
        <v>18791197</v>
      </c>
      <c r="B605" s="6" t="s">
        <v>386</v>
      </c>
      <c r="C605" s="6" t="s">
        <v>387</v>
      </c>
      <c r="D605" s="8" t="s">
        <v>72</v>
      </c>
      <c r="E605" s="6" t="s">
        <v>126</v>
      </c>
      <c r="F605" s="6" t="s">
        <v>94</v>
      </c>
      <c r="G605" s="11" t="s">
        <v>56</v>
      </c>
      <c r="H605" s="10" t="s">
        <v>568</v>
      </c>
      <c r="I605" s="6" t="s">
        <v>569</v>
      </c>
      <c r="J605" s="12">
        <v>46121.388321759259</v>
      </c>
      <c r="K605" s="6" t="e" cm="1">
        <f t="array" ref="K605">LOOKUP(2^15,SEARCH(Tabela2[Palavras-Chave],Boletim[[#This Row],[Objeto]],1),Tabela2[Palavras-Chave])</f>
        <v>#N/A</v>
      </c>
    </row>
    <row r="606" spans="1:11" ht="302.39999999999998" hidden="1" x14ac:dyDescent="0.3">
      <c r="A606" s="13">
        <v>18791870</v>
      </c>
      <c r="B606" s="10" t="s">
        <v>499</v>
      </c>
      <c r="C606" s="10" t="s">
        <v>500</v>
      </c>
      <c r="D606" s="15" t="s">
        <v>80</v>
      </c>
      <c r="E606" s="10" t="s">
        <v>148</v>
      </c>
      <c r="F606" s="10" t="s">
        <v>94</v>
      </c>
      <c r="G606" s="16">
        <v>46140.583333333336</v>
      </c>
      <c r="H606" s="10" t="s">
        <v>2464</v>
      </c>
      <c r="I606" s="10" t="s">
        <v>2465</v>
      </c>
      <c r="J606" s="17">
        <v>46121.774131944447</v>
      </c>
      <c r="K606" s="6" t="e" cm="1">
        <f t="array" ref="K606">LOOKUP(2^15,SEARCH(Tabela2[Palavras-Chave],Boletim[[#This Row],[Objeto]],1),Tabela2[Palavras-Chave])</f>
        <v>#N/A</v>
      </c>
    </row>
    <row r="607" spans="1:11" ht="259.2" hidden="1" x14ac:dyDescent="0.3">
      <c r="A607" s="5">
        <v>18777914</v>
      </c>
      <c r="B607" s="6" t="s">
        <v>708</v>
      </c>
      <c r="C607" s="6" t="s">
        <v>709</v>
      </c>
      <c r="D607" s="8" t="s">
        <v>54</v>
      </c>
      <c r="E607" s="6" t="s">
        <v>142</v>
      </c>
      <c r="F607" s="6" t="s">
        <v>167</v>
      </c>
      <c r="G607" s="11">
        <v>46134.378472222219</v>
      </c>
      <c r="H607" s="10" t="s">
        <v>710</v>
      </c>
      <c r="I607" s="6" t="s">
        <v>711</v>
      </c>
      <c r="J607" s="12">
        <v>46121.451458333337</v>
      </c>
      <c r="K607" s="6" t="e" cm="1">
        <f t="array" ref="K607">LOOKUP(2^15,SEARCH(Tabela2[Palavras-Chave],Boletim[[#This Row],[Objeto]],1),Tabela2[Palavras-Chave])</f>
        <v>#N/A</v>
      </c>
    </row>
    <row r="608" spans="1:11" ht="230.4" hidden="1" x14ac:dyDescent="0.3">
      <c r="A608" s="5">
        <v>18759757</v>
      </c>
      <c r="B608" s="6" t="s">
        <v>2030</v>
      </c>
      <c r="C608" s="6" t="s">
        <v>2031</v>
      </c>
      <c r="D608" s="8" t="s">
        <v>78</v>
      </c>
      <c r="E608" s="6" t="s">
        <v>128</v>
      </c>
      <c r="F608" s="6" t="s">
        <v>167</v>
      </c>
      <c r="G608" s="11">
        <v>46139.381944444445</v>
      </c>
      <c r="H608" s="10" t="s">
        <v>2466</v>
      </c>
      <c r="I608" s="6" t="s">
        <v>2467</v>
      </c>
      <c r="J608" s="12">
        <v>46121.604247685187</v>
      </c>
      <c r="K608" s="6" t="e" cm="1">
        <f t="array" ref="K608">LOOKUP(2^15,SEARCH(Tabela2[Palavras-Chave],Boletim[[#This Row],[Objeto]],1),Tabela2[Palavras-Chave])</f>
        <v>#N/A</v>
      </c>
    </row>
    <row r="609" spans="1:11" ht="158.4" hidden="1" x14ac:dyDescent="0.3">
      <c r="A609" s="5">
        <v>18756015</v>
      </c>
      <c r="B609" s="6" t="s">
        <v>2468</v>
      </c>
      <c r="C609" s="6" t="s">
        <v>2429</v>
      </c>
      <c r="D609" s="8" t="s">
        <v>84</v>
      </c>
      <c r="E609" s="6" t="s">
        <v>2469</v>
      </c>
      <c r="F609" s="6" t="s">
        <v>167</v>
      </c>
      <c r="G609" s="11">
        <v>46136.625</v>
      </c>
      <c r="H609" s="10" t="s">
        <v>2470</v>
      </c>
      <c r="I609" s="6" t="s">
        <v>2471</v>
      </c>
      <c r="J609" s="12">
        <v>46121.51835648148</v>
      </c>
      <c r="K609" s="6" t="e" cm="1">
        <f t="array" ref="K609">LOOKUP(2^15,SEARCH(Tabela2[Palavras-Chave],Boletim[[#This Row],[Objeto]],1),Tabela2[Palavras-Chave])</f>
        <v>#N/A</v>
      </c>
    </row>
    <row r="610" spans="1:11" ht="100.8" hidden="1" x14ac:dyDescent="0.3">
      <c r="A610" s="5">
        <v>18709902</v>
      </c>
      <c r="B610" s="6" t="s">
        <v>74</v>
      </c>
      <c r="C610" s="6" t="s">
        <v>162</v>
      </c>
      <c r="D610" s="8" t="s">
        <v>144</v>
      </c>
      <c r="E610" s="6" t="s">
        <v>2472</v>
      </c>
      <c r="F610" s="6" t="s">
        <v>95</v>
      </c>
      <c r="G610" s="11" t="s">
        <v>56</v>
      </c>
      <c r="H610" s="10" t="s">
        <v>2473</v>
      </c>
      <c r="I610" s="6" t="s">
        <v>2474</v>
      </c>
      <c r="J610" s="12">
        <v>46121.439618055556</v>
      </c>
      <c r="K610" s="6" t="e" cm="1">
        <f t="array" ref="K610">LOOKUP(2^15,SEARCH(Tabela2[Palavras-Chave],Boletim[[#This Row],[Objeto]],1),Tabela2[Palavras-Chave])</f>
        <v>#N/A</v>
      </c>
    </row>
    <row r="611" spans="1:11" ht="100.8" hidden="1" x14ac:dyDescent="0.3">
      <c r="A611" s="5">
        <v>18715343</v>
      </c>
      <c r="B611" s="6" t="s">
        <v>74</v>
      </c>
      <c r="C611" s="6" t="s">
        <v>162</v>
      </c>
      <c r="D611" s="8" t="s">
        <v>144</v>
      </c>
      <c r="E611" s="6" t="s">
        <v>2475</v>
      </c>
      <c r="F611" s="6" t="s">
        <v>95</v>
      </c>
      <c r="G611" s="11" t="s">
        <v>56</v>
      </c>
      <c r="H611" s="10" t="s">
        <v>2476</v>
      </c>
      <c r="I611" s="6" t="s">
        <v>2477</v>
      </c>
      <c r="J611" s="12">
        <v>46121.439675925925</v>
      </c>
      <c r="K611" s="6" t="e" cm="1">
        <f t="array" ref="K611">LOOKUP(2^15,SEARCH(Tabela2[Palavras-Chave],Boletim[[#This Row],[Objeto]],1),Tabela2[Palavras-Chave])</f>
        <v>#N/A</v>
      </c>
    </row>
    <row r="612" spans="1:11" ht="100.8" hidden="1" x14ac:dyDescent="0.3">
      <c r="A612" s="5">
        <v>18709903</v>
      </c>
      <c r="B612" s="6" t="s">
        <v>74</v>
      </c>
      <c r="C612" s="6" t="s">
        <v>87</v>
      </c>
      <c r="D612" s="8" t="s">
        <v>86</v>
      </c>
      <c r="E612" s="6" t="s">
        <v>2472</v>
      </c>
      <c r="F612" s="6" t="s">
        <v>95</v>
      </c>
      <c r="G612" s="11" t="s">
        <v>56</v>
      </c>
      <c r="H612" s="10" t="s">
        <v>2473</v>
      </c>
      <c r="I612" s="6" t="s">
        <v>2474</v>
      </c>
      <c r="J612" s="12">
        <v>46121.439618055556</v>
      </c>
      <c r="K612" s="6" t="e" cm="1">
        <f t="array" ref="K612">LOOKUP(2^15,SEARCH(Tabela2[Palavras-Chave],Boletim[[#This Row],[Objeto]],1),Tabela2[Palavras-Chave])</f>
        <v>#N/A</v>
      </c>
    </row>
    <row r="613" spans="1:11" ht="100.8" hidden="1" x14ac:dyDescent="0.3">
      <c r="A613" s="5">
        <v>18715344</v>
      </c>
      <c r="B613" s="6" t="s">
        <v>74</v>
      </c>
      <c r="C613" s="6" t="s">
        <v>87</v>
      </c>
      <c r="D613" s="8" t="s">
        <v>86</v>
      </c>
      <c r="E613" s="6" t="s">
        <v>2475</v>
      </c>
      <c r="F613" s="6" t="s">
        <v>95</v>
      </c>
      <c r="G613" s="11" t="s">
        <v>56</v>
      </c>
      <c r="H613" s="10" t="s">
        <v>2476</v>
      </c>
      <c r="I613" s="6" t="s">
        <v>2477</v>
      </c>
      <c r="J613" s="12">
        <v>46121.439675925925</v>
      </c>
      <c r="K613" s="6" t="e" cm="1">
        <f t="array" ref="K613">LOOKUP(2^15,SEARCH(Tabela2[Palavras-Chave],Boletim[[#This Row],[Objeto]],1),Tabela2[Palavras-Chave])</f>
        <v>#N/A</v>
      </c>
    </row>
    <row r="614" spans="1:11" ht="100.8" hidden="1" x14ac:dyDescent="0.3">
      <c r="A614" s="5">
        <v>18709904</v>
      </c>
      <c r="B614" s="6" t="s">
        <v>74</v>
      </c>
      <c r="C614" s="6" t="s">
        <v>52</v>
      </c>
      <c r="D614" s="8" t="s">
        <v>50</v>
      </c>
      <c r="E614" s="6" t="s">
        <v>2472</v>
      </c>
      <c r="F614" s="6" t="s">
        <v>95</v>
      </c>
      <c r="G614" s="11" t="s">
        <v>56</v>
      </c>
      <c r="H614" s="10" t="s">
        <v>2473</v>
      </c>
      <c r="I614" s="6" t="s">
        <v>2474</v>
      </c>
      <c r="J614" s="12">
        <v>46121.439629629633</v>
      </c>
      <c r="K614" s="6" t="e" cm="1">
        <f t="array" ref="K614">LOOKUP(2^15,SEARCH(Tabela2[Palavras-Chave],Boletim[[#This Row],[Objeto]],1),Tabela2[Palavras-Chave])</f>
        <v>#N/A</v>
      </c>
    </row>
    <row r="615" spans="1:11" ht="100.8" hidden="1" x14ac:dyDescent="0.3">
      <c r="A615" s="5">
        <v>18715345</v>
      </c>
      <c r="B615" s="6" t="s">
        <v>74</v>
      </c>
      <c r="C615" s="6" t="s">
        <v>52</v>
      </c>
      <c r="D615" s="8" t="s">
        <v>50</v>
      </c>
      <c r="E615" s="6" t="s">
        <v>2475</v>
      </c>
      <c r="F615" s="6" t="s">
        <v>95</v>
      </c>
      <c r="G615" s="11" t="s">
        <v>56</v>
      </c>
      <c r="H615" s="10" t="s">
        <v>2476</v>
      </c>
      <c r="I615" s="6" t="s">
        <v>2477</v>
      </c>
      <c r="J615" s="12">
        <v>46121.439675925925</v>
      </c>
      <c r="K615" s="6" t="e" cm="1">
        <f t="array" ref="K615">LOOKUP(2^15,SEARCH(Tabela2[Palavras-Chave],Boletim[[#This Row],[Objeto]],1),Tabela2[Palavras-Chave])</f>
        <v>#N/A</v>
      </c>
    </row>
    <row r="616" spans="1:11" ht="100.8" hidden="1" x14ac:dyDescent="0.3">
      <c r="A616" s="5">
        <v>18709905</v>
      </c>
      <c r="B616" s="6" t="s">
        <v>74</v>
      </c>
      <c r="C616" s="6" t="s">
        <v>1366</v>
      </c>
      <c r="D616" s="8" t="s">
        <v>1367</v>
      </c>
      <c r="E616" s="6" t="s">
        <v>2472</v>
      </c>
      <c r="F616" s="6" t="s">
        <v>95</v>
      </c>
      <c r="G616" s="11" t="s">
        <v>56</v>
      </c>
      <c r="H616" s="10" t="s">
        <v>2473</v>
      </c>
      <c r="I616" s="6" t="s">
        <v>2474</v>
      </c>
      <c r="J616" s="12">
        <v>46121.439629629633</v>
      </c>
      <c r="K616" s="6" t="e" cm="1">
        <f t="array" ref="K616">LOOKUP(2^15,SEARCH(Tabela2[Palavras-Chave],Boletim[[#This Row],[Objeto]],1),Tabela2[Palavras-Chave])</f>
        <v>#N/A</v>
      </c>
    </row>
    <row r="617" spans="1:11" ht="100.8" hidden="1" x14ac:dyDescent="0.3">
      <c r="A617" s="5">
        <v>18715346</v>
      </c>
      <c r="B617" s="6" t="s">
        <v>74</v>
      </c>
      <c r="C617" s="6" t="s">
        <v>1366</v>
      </c>
      <c r="D617" s="8" t="s">
        <v>1367</v>
      </c>
      <c r="E617" s="6" t="s">
        <v>2475</v>
      </c>
      <c r="F617" s="6" t="s">
        <v>95</v>
      </c>
      <c r="G617" s="11" t="s">
        <v>56</v>
      </c>
      <c r="H617" s="10" t="s">
        <v>2476</v>
      </c>
      <c r="I617" s="6" t="s">
        <v>2477</v>
      </c>
      <c r="J617" s="12">
        <v>46121.439675925925</v>
      </c>
      <c r="K617" s="6" t="e" cm="1">
        <f t="array" ref="K617">LOOKUP(2^15,SEARCH(Tabela2[Palavras-Chave],Boletim[[#This Row],[Objeto]],1),Tabela2[Palavras-Chave])</f>
        <v>#N/A</v>
      </c>
    </row>
    <row r="618" spans="1:11" ht="100.8" hidden="1" x14ac:dyDescent="0.3">
      <c r="A618" s="5">
        <v>18709906</v>
      </c>
      <c r="B618" s="6" t="s">
        <v>74</v>
      </c>
      <c r="C618" s="6" t="s">
        <v>53</v>
      </c>
      <c r="D618" s="8" t="s">
        <v>54</v>
      </c>
      <c r="E618" s="6" t="s">
        <v>2472</v>
      </c>
      <c r="F618" s="6" t="s">
        <v>95</v>
      </c>
      <c r="G618" s="11" t="s">
        <v>56</v>
      </c>
      <c r="H618" s="10" t="s">
        <v>2473</v>
      </c>
      <c r="I618" s="6" t="s">
        <v>2474</v>
      </c>
      <c r="J618" s="12">
        <v>46121.439629629633</v>
      </c>
      <c r="K618" s="6" t="e" cm="1">
        <f t="array" ref="K618">LOOKUP(2^15,SEARCH(Tabela2[Palavras-Chave],Boletim[[#This Row],[Objeto]],1),Tabela2[Palavras-Chave])</f>
        <v>#N/A</v>
      </c>
    </row>
    <row r="619" spans="1:11" ht="100.8" hidden="1" x14ac:dyDescent="0.3">
      <c r="A619" s="5">
        <v>18715347</v>
      </c>
      <c r="B619" s="6" t="s">
        <v>74</v>
      </c>
      <c r="C619" s="6" t="s">
        <v>53</v>
      </c>
      <c r="D619" s="8" t="s">
        <v>54</v>
      </c>
      <c r="E619" s="6" t="s">
        <v>2475</v>
      </c>
      <c r="F619" s="6" t="s">
        <v>95</v>
      </c>
      <c r="G619" s="11" t="s">
        <v>56</v>
      </c>
      <c r="H619" s="10" t="s">
        <v>2476</v>
      </c>
      <c r="I619" s="6" t="s">
        <v>2477</v>
      </c>
      <c r="J619" s="12">
        <v>46121.439687500002</v>
      </c>
      <c r="K619" s="6" t="e" cm="1">
        <f t="array" ref="K619">LOOKUP(2^15,SEARCH(Tabela2[Palavras-Chave],Boletim[[#This Row],[Objeto]],1),Tabela2[Palavras-Chave])</f>
        <v>#N/A</v>
      </c>
    </row>
    <row r="620" spans="1:11" ht="129.6" hidden="1" x14ac:dyDescent="0.3">
      <c r="A620" s="5">
        <v>18806851</v>
      </c>
      <c r="B620" s="6" t="s">
        <v>392</v>
      </c>
      <c r="C620" s="6" t="s">
        <v>393</v>
      </c>
      <c r="D620" s="8" t="s">
        <v>54</v>
      </c>
      <c r="E620" s="6" t="s">
        <v>1859</v>
      </c>
      <c r="F620" s="6" t="s">
        <v>95</v>
      </c>
      <c r="G620" s="11" t="s">
        <v>56</v>
      </c>
      <c r="H620" s="10" t="s">
        <v>2478</v>
      </c>
      <c r="I620" s="6" t="s">
        <v>2479</v>
      </c>
      <c r="J620" s="12">
        <v>46121.727789351855</v>
      </c>
      <c r="K620" s="6" t="e" cm="1">
        <f t="array" ref="K620">LOOKUP(2^15,SEARCH(Tabela2[Palavras-Chave],Boletim[[#This Row],[Objeto]],1),Tabela2[Palavras-Chave])</f>
        <v>#N/A</v>
      </c>
    </row>
    <row r="621" spans="1:11" ht="100.8" hidden="1" x14ac:dyDescent="0.3">
      <c r="A621" s="5">
        <v>18709907</v>
      </c>
      <c r="B621" s="6" t="s">
        <v>74</v>
      </c>
      <c r="C621" s="6" t="s">
        <v>59</v>
      </c>
      <c r="D621" s="8" t="s">
        <v>60</v>
      </c>
      <c r="E621" s="6" t="s">
        <v>2472</v>
      </c>
      <c r="F621" s="6" t="s">
        <v>95</v>
      </c>
      <c r="G621" s="11" t="s">
        <v>56</v>
      </c>
      <c r="H621" s="10" t="s">
        <v>2473</v>
      </c>
      <c r="I621" s="6" t="s">
        <v>2474</v>
      </c>
      <c r="J621" s="12">
        <v>46121.439629629633</v>
      </c>
      <c r="K621" s="6" t="e" cm="1">
        <f t="array" ref="K621">LOOKUP(2^15,SEARCH(Tabela2[Palavras-Chave],Boletim[[#This Row],[Objeto]],1),Tabela2[Palavras-Chave])</f>
        <v>#N/A</v>
      </c>
    </row>
    <row r="622" spans="1:11" ht="100.8" hidden="1" x14ac:dyDescent="0.3">
      <c r="A622" s="5">
        <v>18715348</v>
      </c>
      <c r="B622" s="6" t="s">
        <v>74</v>
      </c>
      <c r="C622" s="6" t="s">
        <v>59</v>
      </c>
      <c r="D622" s="8" t="s">
        <v>60</v>
      </c>
      <c r="E622" s="6" t="s">
        <v>2475</v>
      </c>
      <c r="F622" s="6" t="s">
        <v>95</v>
      </c>
      <c r="G622" s="11" t="s">
        <v>56</v>
      </c>
      <c r="H622" s="10" t="s">
        <v>2476</v>
      </c>
      <c r="I622" s="6" t="s">
        <v>2477</v>
      </c>
      <c r="J622" s="12">
        <v>46121.439687500002</v>
      </c>
      <c r="K622" s="6" t="e" cm="1">
        <f t="array" ref="K622">LOOKUP(2^15,SEARCH(Tabela2[Palavras-Chave],Boletim[[#This Row],[Objeto]],1),Tabela2[Palavras-Chave])</f>
        <v>#N/A</v>
      </c>
    </row>
    <row r="623" spans="1:11" ht="100.8" hidden="1" x14ac:dyDescent="0.3">
      <c r="A623" s="5">
        <v>18709908</v>
      </c>
      <c r="B623" s="6" t="s">
        <v>74</v>
      </c>
      <c r="C623" s="6" t="s">
        <v>61</v>
      </c>
      <c r="D623" s="8" t="s">
        <v>62</v>
      </c>
      <c r="E623" s="6" t="s">
        <v>2472</v>
      </c>
      <c r="F623" s="6" t="s">
        <v>95</v>
      </c>
      <c r="G623" s="11" t="s">
        <v>56</v>
      </c>
      <c r="H623" s="10" t="s">
        <v>2473</v>
      </c>
      <c r="I623" s="6" t="s">
        <v>2474</v>
      </c>
      <c r="J623" s="12">
        <v>46121.439641203702</v>
      </c>
      <c r="K623" s="6" t="e" cm="1">
        <f t="array" ref="K623">LOOKUP(2^15,SEARCH(Tabela2[Palavras-Chave],Boletim[[#This Row],[Objeto]],1),Tabela2[Palavras-Chave])</f>
        <v>#N/A</v>
      </c>
    </row>
    <row r="624" spans="1:11" ht="100.8" hidden="1" x14ac:dyDescent="0.3">
      <c r="A624" s="5">
        <v>18715349</v>
      </c>
      <c r="B624" s="6" t="s">
        <v>74</v>
      </c>
      <c r="C624" s="6" t="s">
        <v>61</v>
      </c>
      <c r="D624" s="8" t="s">
        <v>62</v>
      </c>
      <c r="E624" s="6" t="s">
        <v>2475</v>
      </c>
      <c r="F624" s="6" t="s">
        <v>95</v>
      </c>
      <c r="G624" s="11" t="s">
        <v>56</v>
      </c>
      <c r="H624" s="10" t="s">
        <v>2476</v>
      </c>
      <c r="I624" s="6" t="s">
        <v>2477</v>
      </c>
      <c r="J624" s="12">
        <v>46121.439687500002</v>
      </c>
      <c r="K624" s="6" t="e" cm="1">
        <f t="array" ref="K624">LOOKUP(2^15,SEARCH(Tabela2[Palavras-Chave],Boletim[[#This Row],[Objeto]],1),Tabela2[Palavras-Chave])</f>
        <v>#N/A</v>
      </c>
    </row>
    <row r="625" spans="1:11" ht="158.4" hidden="1" x14ac:dyDescent="0.3">
      <c r="A625" s="5">
        <v>18606531</v>
      </c>
      <c r="B625" s="6" t="s">
        <v>2480</v>
      </c>
      <c r="C625" s="6" t="s">
        <v>61</v>
      </c>
      <c r="D625" s="8" t="s">
        <v>62</v>
      </c>
      <c r="E625" s="6" t="s">
        <v>2481</v>
      </c>
      <c r="F625" s="6" t="s">
        <v>95</v>
      </c>
      <c r="G625" s="11" t="s">
        <v>56</v>
      </c>
      <c r="H625" s="10" t="s">
        <v>2482</v>
      </c>
      <c r="I625" s="6" t="s">
        <v>2483</v>
      </c>
      <c r="J625" s="12">
        <v>46121.543113425927</v>
      </c>
      <c r="K625" s="6" t="e" cm="1">
        <f t="array" ref="K625">LOOKUP(2^15,SEARCH(Tabela2[Palavras-Chave],Boletim[[#This Row],[Objeto]],1),Tabela2[Palavras-Chave])</f>
        <v>#N/A</v>
      </c>
    </row>
    <row r="626" spans="1:11" ht="100.8" hidden="1" x14ac:dyDescent="0.3">
      <c r="A626" s="5">
        <v>18709909</v>
      </c>
      <c r="B626" s="6" t="s">
        <v>74</v>
      </c>
      <c r="C626" s="6" t="s">
        <v>88</v>
      </c>
      <c r="D626" s="8" t="s">
        <v>63</v>
      </c>
      <c r="E626" s="6" t="s">
        <v>2472</v>
      </c>
      <c r="F626" s="6" t="s">
        <v>95</v>
      </c>
      <c r="G626" s="11" t="s">
        <v>56</v>
      </c>
      <c r="H626" s="10" t="s">
        <v>2473</v>
      </c>
      <c r="I626" s="6" t="s">
        <v>2474</v>
      </c>
      <c r="J626" s="12">
        <v>46121.439641203702</v>
      </c>
      <c r="K626" s="6" t="e" cm="1">
        <f t="array" ref="K626">LOOKUP(2^15,SEARCH(Tabela2[Palavras-Chave],Boletim[[#This Row],[Objeto]],1),Tabela2[Palavras-Chave])</f>
        <v>#N/A</v>
      </c>
    </row>
    <row r="627" spans="1:11" ht="100.8" hidden="1" x14ac:dyDescent="0.3">
      <c r="A627" s="5">
        <v>18715350</v>
      </c>
      <c r="B627" s="6" t="s">
        <v>74</v>
      </c>
      <c r="C627" s="6" t="s">
        <v>88</v>
      </c>
      <c r="D627" s="8" t="s">
        <v>63</v>
      </c>
      <c r="E627" s="6" t="s">
        <v>2475</v>
      </c>
      <c r="F627" s="6" t="s">
        <v>95</v>
      </c>
      <c r="G627" s="11" t="s">
        <v>56</v>
      </c>
      <c r="H627" s="10" t="s">
        <v>2476</v>
      </c>
      <c r="I627" s="6" t="s">
        <v>2477</v>
      </c>
      <c r="J627" s="12">
        <v>46121.439687500002</v>
      </c>
      <c r="K627" s="6" t="e" cm="1">
        <f t="array" ref="K627">LOOKUP(2^15,SEARCH(Tabela2[Palavras-Chave],Boletim[[#This Row],[Objeto]],1),Tabela2[Palavras-Chave])</f>
        <v>#N/A</v>
      </c>
    </row>
    <row r="628" spans="1:11" ht="100.8" hidden="1" x14ac:dyDescent="0.3">
      <c r="A628" s="5">
        <v>18709910</v>
      </c>
      <c r="B628" s="6" t="s">
        <v>74</v>
      </c>
      <c r="C628" s="6" t="s">
        <v>101</v>
      </c>
      <c r="D628" s="8" t="s">
        <v>64</v>
      </c>
      <c r="E628" s="6" t="s">
        <v>2472</v>
      </c>
      <c r="F628" s="6" t="s">
        <v>95</v>
      </c>
      <c r="G628" s="11" t="s">
        <v>56</v>
      </c>
      <c r="H628" s="10" t="s">
        <v>2473</v>
      </c>
      <c r="I628" s="6" t="s">
        <v>2474</v>
      </c>
      <c r="J628" s="12">
        <v>46121.439641203702</v>
      </c>
      <c r="K628" s="6" t="e" cm="1">
        <f t="array" ref="K628">LOOKUP(2^15,SEARCH(Tabela2[Palavras-Chave],Boletim[[#This Row],[Objeto]],1),Tabela2[Palavras-Chave])</f>
        <v>#N/A</v>
      </c>
    </row>
    <row r="629" spans="1:11" ht="100.8" hidden="1" x14ac:dyDescent="0.3">
      <c r="A629" s="5">
        <v>18715351</v>
      </c>
      <c r="B629" s="6" t="s">
        <v>74</v>
      </c>
      <c r="C629" s="6" t="s">
        <v>101</v>
      </c>
      <c r="D629" s="8" t="s">
        <v>64</v>
      </c>
      <c r="E629" s="6" t="s">
        <v>2475</v>
      </c>
      <c r="F629" s="6" t="s">
        <v>95</v>
      </c>
      <c r="G629" s="11" t="s">
        <v>56</v>
      </c>
      <c r="H629" s="10" t="s">
        <v>2476</v>
      </c>
      <c r="I629" s="6" t="s">
        <v>2477</v>
      </c>
      <c r="J629" s="12">
        <v>46121.439687500002</v>
      </c>
      <c r="K629" s="6" t="e" cm="1">
        <f t="array" ref="K629">LOOKUP(2^15,SEARCH(Tabela2[Palavras-Chave],Boletim[[#This Row],[Objeto]],1),Tabela2[Palavras-Chave])</f>
        <v>#N/A</v>
      </c>
    </row>
    <row r="630" spans="1:11" ht="259.2" hidden="1" x14ac:dyDescent="0.3">
      <c r="A630" s="5">
        <v>18698834</v>
      </c>
      <c r="B630" s="6" t="s">
        <v>572</v>
      </c>
      <c r="C630" s="6" t="s">
        <v>573</v>
      </c>
      <c r="D630" s="8" t="s">
        <v>64</v>
      </c>
      <c r="E630" s="6" t="s">
        <v>115</v>
      </c>
      <c r="F630" s="6" t="s">
        <v>95</v>
      </c>
      <c r="G630" s="11" t="s">
        <v>56</v>
      </c>
      <c r="H630" s="10" t="s">
        <v>574</v>
      </c>
      <c r="I630" s="6" t="s">
        <v>575</v>
      </c>
      <c r="J630" s="12">
        <v>46121.607731481483</v>
      </c>
      <c r="K630" s="6" t="e" cm="1">
        <f t="array" ref="K630">LOOKUP(2^15,SEARCH(Tabela2[Palavras-Chave],Boletim[[#This Row],[Objeto]],1),Tabela2[Palavras-Chave])</f>
        <v>#N/A</v>
      </c>
    </row>
    <row r="631" spans="1:11" ht="259.2" hidden="1" x14ac:dyDescent="0.3">
      <c r="A631" s="5">
        <v>18767121</v>
      </c>
      <c r="B631" s="6" t="s">
        <v>2484</v>
      </c>
      <c r="C631" s="6" t="s">
        <v>2485</v>
      </c>
      <c r="D631" s="8" t="s">
        <v>64</v>
      </c>
      <c r="E631" s="6" t="s">
        <v>113</v>
      </c>
      <c r="F631" s="6" t="s">
        <v>95</v>
      </c>
      <c r="G631" s="11" t="s">
        <v>56</v>
      </c>
      <c r="H631" s="10" t="s">
        <v>2486</v>
      </c>
      <c r="I631" s="6" t="s">
        <v>2487</v>
      </c>
      <c r="J631" s="12">
        <v>46121.810104166667</v>
      </c>
      <c r="K631" s="6" t="e" cm="1">
        <f t="array" ref="K631">LOOKUP(2^15,SEARCH(Tabela2[Palavras-Chave],Boletim[[#This Row],[Objeto]],1),Tabela2[Palavras-Chave])</f>
        <v>#N/A</v>
      </c>
    </row>
    <row r="632" spans="1:11" ht="100.8" hidden="1" x14ac:dyDescent="0.3">
      <c r="A632" s="5">
        <v>18709911</v>
      </c>
      <c r="B632" s="6" t="s">
        <v>74</v>
      </c>
      <c r="C632" s="6" t="s">
        <v>159</v>
      </c>
      <c r="D632" s="8" t="s">
        <v>89</v>
      </c>
      <c r="E632" s="6" t="s">
        <v>2472</v>
      </c>
      <c r="F632" s="6" t="s">
        <v>95</v>
      </c>
      <c r="G632" s="11" t="s">
        <v>56</v>
      </c>
      <c r="H632" s="10" t="s">
        <v>2473</v>
      </c>
      <c r="I632" s="6" t="s">
        <v>2474</v>
      </c>
      <c r="J632" s="12">
        <v>46121.439641203702</v>
      </c>
      <c r="K632" s="6" t="e" cm="1">
        <f t="array" ref="K632">LOOKUP(2^15,SEARCH(Tabela2[Palavras-Chave],Boletim[[#This Row],[Objeto]],1),Tabela2[Palavras-Chave])</f>
        <v>#N/A</v>
      </c>
    </row>
    <row r="633" spans="1:11" ht="100.8" hidden="1" x14ac:dyDescent="0.3">
      <c r="A633" s="5">
        <v>18715352</v>
      </c>
      <c r="B633" s="6" t="s">
        <v>74</v>
      </c>
      <c r="C633" s="6" t="s">
        <v>159</v>
      </c>
      <c r="D633" s="8" t="s">
        <v>89</v>
      </c>
      <c r="E633" s="6" t="s">
        <v>2475</v>
      </c>
      <c r="F633" s="6" t="s">
        <v>95</v>
      </c>
      <c r="G633" s="11" t="s">
        <v>56</v>
      </c>
      <c r="H633" s="10" t="s">
        <v>2476</v>
      </c>
      <c r="I633" s="6" t="s">
        <v>2477</v>
      </c>
      <c r="J633" s="12">
        <v>46121.439687500002</v>
      </c>
      <c r="K633" s="6" t="e" cm="1">
        <f t="array" ref="K633">LOOKUP(2^15,SEARCH(Tabela2[Palavras-Chave],Boletim[[#This Row],[Objeto]],1),Tabela2[Palavras-Chave])</f>
        <v>#N/A</v>
      </c>
    </row>
    <row r="634" spans="1:11" ht="57.6" hidden="1" x14ac:dyDescent="0.3">
      <c r="A634" s="5">
        <v>18787853</v>
      </c>
      <c r="B634" s="6" t="s">
        <v>2488</v>
      </c>
      <c r="C634" s="6" t="s">
        <v>2489</v>
      </c>
      <c r="D634" s="8" t="s">
        <v>89</v>
      </c>
      <c r="E634" s="6" t="s">
        <v>108</v>
      </c>
      <c r="F634" s="6" t="s">
        <v>95</v>
      </c>
      <c r="G634" s="11">
        <v>46140.395833333336</v>
      </c>
      <c r="H634" s="10" t="s">
        <v>2490</v>
      </c>
      <c r="I634" s="6" t="s">
        <v>2491</v>
      </c>
      <c r="J634" s="12">
        <v>46121.46665509259</v>
      </c>
      <c r="K634" s="6" t="e" cm="1">
        <f t="array" ref="K634">LOOKUP(2^15,SEARCH(Tabela2[Palavras-Chave],Boletim[[#This Row],[Objeto]],1),Tabela2[Palavras-Chave])</f>
        <v>#N/A</v>
      </c>
    </row>
    <row r="635" spans="1:11" ht="100.8" hidden="1" x14ac:dyDescent="0.3">
      <c r="A635" s="5">
        <v>18709912</v>
      </c>
      <c r="B635" s="6" t="s">
        <v>74</v>
      </c>
      <c r="C635" s="6" t="s">
        <v>65</v>
      </c>
      <c r="D635" s="8" t="s">
        <v>66</v>
      </c>
      <c r="E635" s="6" t="s">
        <v>2472</v>
      </c>
      <c r="F635" s="6" t="s">
        <v>95</v>
      </c>
      <c r="G635" s="11" t="s">
        <v>56</v>
      </c>
      <c r="H635" s="10" t="s">
        <v>2473</v>
      </c>
      <c r="I635" s="6" t="s">
        <v>2474</v>
      </c>
      <c r="J635" s="12">
        <v>46121.439641203702</v>
      </c>
      <c r="K635" s="6" t="e" cm="1">
        <f t="array" ref="K635">LOOKUP(2^15,SEARCH(Tabela2[Palavras-Chave],Boletim[[#This Row],[Objeto]],1),Tabela2[Palavras-Chave])</f>
        <v>#N/A</v>
      </c>
    </row>
    <row r="636" spans="1:11" ht="100.8" hidden="1" x14ac:dyDescent="0.3">
      <c r="A636" s="5">
        <v>18715353</v>
      </c>
      <c r="B636" s="6" t="s">
        <v>74</v>
      </c>
      <c r="C636" s="6" t="s">
        <v>65</v>
      </c>
      <c r="D636" s="8" t="s">
        <v>66</v>
      </c>
      <c r="E636" s="6" t="s">
        <v>2475</v>
      </c>
      <c r="F636" s="6" t="s">
        <v>95</v>
      </c>
      <c r="G636" s="11" t="s">
        <v>56</v>
      </c>
      <c r="H636" s="10" t="s">
        <v>2476</v>
      </c>
      <c r="I636" s="6" t="s">
        <v>2477</v>
      </c>
      <c r="J636" s="12">
        <v>46121.439687500002</v>
      </c>
      <c r="K636" s="6" t="e" cm="1">
        <f t="array" ref="K636">LOOKUP(2^15,SEARCH(Tabela2[Palavras-Chave],Boletim[[#This Row],[Objeto]],1),Tabela2[Palavras-Chave])</f>
        <v>#N/A</v>
      </c>
    </row>
    <row r="637" spans="1:11" ht="72" hidden="1" x14ac:dyDescent="0.3">
      <c r="A637" s="5">
        <v>18790076</v>
      </c>
      <c r="B637" s="6" t="s">
        <v>74</v>
      </c>
      <c r="C637" s="6" t="s">
        <v>65</v>
      </c>
      <c r="D637" s="8" t="s">
        <v>66</v>
      </c>
      <c r="E637" s="6" t="s">
        <v>2492</v>
      </c>
      <c r="F637" s="6" t="s">
        <v>95</v>
      </c>
      <c r="G637" s="11" t="s">
        <v>56</v>
      </c>
      <c r="H637" s="10" t="s">
        <v>2493</v>
      </c>
      <c r="I637" s="6" t="s">
        <v>2494</v>
      </c>
      <c r="J637" s="12">
        <v>46121.441030092596</v>
      </c>
      <c r="K637" s="6" t="e" cm="1">
        <f t="array" ref="K637">LOOKUP(2^15,SEARCH(Tabela2[Palavras-Chave],Boletim[[#This Row],[Objeto]],1),Tabela2[Palavras-Chave])</f>
        <v>#N/A</v>
      </c>
    </row>
    <row r="638" spans="1:11" ht="57.6" hidden="1" x14ac:dyDescent="0.3">
      <c r="A638" s="5">
        <v>18737944</v>
      </c>
      <c r="B638" s="6" t="s">
        <v>2495</v>
      </c>
      <c r="C638" s="6" t="s">
        <v>2496</v>
      </c>
      <c r="D638" s="8" t="s">
        <v>66</v>
      </c>
      <c r="E638" s="6" t="s">
        <v>240</v>
      </c>
      <c r="F638" s="6" t="s">
        <v>95</v>
      </c>
      <c r="G638" s="11">
        <v>46136.375</v>
      </c>
      <c r="H638" s="10" t="s">
        <v>2497</v>
      </c>
      <c r="I638" s="6" t="s">
        <v>2498</v>
      </c>
      <c r="J638" s="12">
        <v>46121.511840277781</v>
      </c>
      <c r="K638" s="6" t="e" cm="1">
        <f t="array" ref="K638">LOOKUP(2^15,SEARCH(Tabela2[Palavras-Chave],Boletim[[#This Row],[Objeto]],1),Tabela2[Palavras-Chave])</f>
        <v>#N/A</v>
      </c>
    </row>
    <row r="639" spans="1:11" ht="28.8" hidden="1" x14ac:dyDescent="0.3">
      <c r="A639" s="5">
        <v>18771818</v>
      </c>
      <c r="B639" s="6" t="s">
        <v>653</v>
      </c>
      <c r="C639" s="6" t="s">
        <v>65</v>
      </c>
      <c r="D639" s="8" t="s">
        <v>66</v>
      </c>
      <c r="E639" s="6" t="s">
        <v>2499</v>
      </c>
      <c r="F639" s="6" t="s">
        <v>95</v>
      </c>
      <c r="G639" s="11" t="s">
        <v>56</v>
      </c>
      <c r="H639" s="10" t="s">
        <v>2500</v>
      </c>
      <c r="I639" s="6" t="s">
        <v>2501</v>
      </c>
      <c r="J639" s="12">
        <v>46121.51761574074</v>
      </c>
      <c r="K639" s="6" t="e" cm="1">
        <f t="array" ref="K639">LOOKUP(2^15,SEARCH(Tabela2[Palavras-Chave],Boletim[[#This Row],[Objeto]],1),Tabela2[Palavras-Chave])</f>
        <v>#N/A</v>
      </c>
    </row>
    <row r="640" spans="1:11" ht="43.2" x14ac:dyDescent="0.3">
      <c r="A640" s="5">
        <v>18771805</v>
      </c>
      <c r="B640" s="6" t="s">
        <v>653</v>
      </c>
      <c r="C640" s="6" t="s">
        <v>65</v>
      </c>
      <c r="D640" s="8" t="s">
        <v>66</v>
      </c>
      <c r="E640" s="6" t="s">
        <v>2502</v>
      </c>
      <c r="F640" s="6" t="s">
        <v>95</v>
      </c>
      <c r="G640" s="11" t="s">
        <v>56</v>
      </c>
      <c r="H640" s="10" t="s">
        <v>2503</v>
      </c>
      <c r="I640" s="6" t="s">
        <v>2504</v>
      </c>
      <c r="J640" s="12">
        <v>46121.520914351851</v>
      </c>
      <c r="K640" s="6" t="str" cm="1">
        <f t="array" ref="K640">LOOKUP(2^15,SEARCH(Tabela2[Palavras-Chave],Boletim[[#This Row],[Objeto]],1),Tabela2[Palavras-Chave])</f>
        <v>MEDIÇÃO</v>
      </c>
    </row>
    <row r="641" spans="1:11" ht="201.6" hidden="1" x14ac:dyDescent="0.3">
      <c r="A641" s="5">
        <v>18725616</v>
      </c>
      <c r="B641" s="6" t="s">
        <v>2505</v>
      </c>
      <c r="C641" s="6" t="s">
        <v>65</v>
      </c>
      <c r="D641" s="8" t="s">
        <v>66</v>
      </c>
      <c r="E641" s="6" t="s">
        <v>140</v>
      </c>
      <c r="F641" s="6" t="s">
        <v>95</v>
      </c>
      <c r="G641" s="11" t="s">
        <v>56</v>
      </c>
      <c r="H641" s="10" t="s">
        <v>2506</v>
      </c>
      <c r="I641" s="6" t="s">
        <v>2507</v>
      </c>
      <c r="J641" s="12">
        <v>46121.539641203701</v>
      </c>
      <c r="K641" s="6" t="e" cm="1">
        <f t="array" ref="K641">LOOKUP(2^15,SEARCH(Tabela2[Palavras-Chave],Boletim[[#This Row],[Objeto]],1),Tabela2[Palavras-Chave])</f>
        <v>#N/A</v>
      </c>
    </row>
    <row r="642" spans="1:11" ht="172.8" hidden="1" x14ac:dyDescent="0.3">
      <c r="A642" s="5">
        <v>18656881</v>
      </c>
      <c r="B642" s="6" t="s">
        <v>2508</v>
      </c>
      <c r="C642" s="6" t="s">
        <v>2509</v>
      </c>
      <c r="D642" s="8" t="s">
        <v>66</v>
      </c>
      <c r="E642" s="6" t="s">
        <v>183</v>
      </c>
      <c r="F642" s="6" t="s">
        <v>95</v>
      </c>
      <c r="G642" s="11" t="s">
        <v>56</v>
      </c>
      <c r="H642" s="10" t="s">
        <v>2510</v>
      </c>
      <c r="I642" s="6" t="s">
        <v>2511</v>
      </c>
      <c r="J642" s="12">
        <v>46121.540995370371</v>
      </c>
      <c r="K642" s="6" t="e" cm="1">
        <f t="array" ref="K642">LOOKUP(2^15,SEARCH(Tabela2[Palavras-Chave],Boletim[[#This Row],[Objeto]],1),Tabela2[Palavras-Chave])</f>
        <v>#N/A</v>
      </c>
    </row>
    <row r="643" spans="1:11" ht="259.2" hidden="1" x14ac:dyDescent="0.3">
      <c r="A643" s="5">
        <v>18784341</v>
      </c>
      <c r="B643" s="6" t="s">
        <v>2512</v>
      </c>
      <c r="C643" s="6" t="s">
        <v>2513</v>
      </c>
      <c r="D643" s="8" t="s">
        <v>66</v>
      </c>
      <c r="E643" s="6" t="s">
        <v>120</v>
      </c>
      <c r="F643" s="6" t="s">
        <v>95</v>
      </c>
      <c r="G643" s="11" t="s">
        <v>56</v>
      </c>
      <c r="H643" s="10" t="s">
        <v>2514</v>
      </c>
      <c r="I643" s="6" t="s">
        <v>2515</v>
      </c>
      <c r="J643" s="12">
        <v>46121.615543981483</v>
      </c>
      <c r="K643" s="6" t="e" cm="1">
        <f t="array" ref="K643">LOOKUP(2^15,SEARCH(Tabela2[Palavras-Chave],Boletim[[#This Row],[Objeto]],1),Tabela2[Palavras-Chave])</f>
        <v>#N/A</v>
      </c>
    </row>
    <row r="644" spans="1:11" ht="57.6" hidden="1" x14ac:dyDescent="0.3">
      <c r="A644" s="5">
        <v>18754766</v>
      </c>
      <c r="B644" s="6" t="s">
        <v>1530</v>
      </c>
      <c r="C644" s="6" t="s">
        <v>1531</v>
      </c>
      <c r="D644" s="8" t="s">
        <v>66</v>
      </c>
      <c r="E644" s="6" t="s">
        <v>128</v>
      </c>
      <c r="F644" s="6" t="s">
        <v>95</v>
      </c>
      <c r="G644" s="11">
        <v>46134.375</v>
      </c>
      <c r="H644" s="10" t="s">
        <v>2516</v>
      </c>
      <c r="I644" s="6" t="s">
        <v>2517</v>
      </c>
      <c r="J644" s="12">
        <v>46121.812662037039</v>
      </c>
      <c r="K644" s="6" t="e" cm="1">
        <f t="array" ref="K644">LOOKUP(2^15,SEARCH(Tabela2[Palavras-Chave],Boletim[[#This Row],[Objeto]],1),Tabela2[Palavras-Chave])</f>
        <v>#N/A</v>
      </c>
    </row>
    <row r="645" spans="1:11" ht="259.2" x14ac:dyDescent="0.3">
      <c r="A645" s="5">
        <v>18744377</v>
      </c>
      <c r="B645" s="6" t="s">
        <v>1652</v>
      </c>
      <c r="C645" s="6" t="s">
        <v>1653</v>
      </c>
      <c r="D645" s="8" t="s">
        <v>66</v>
      </c>
      <c r="E645" s="6" t="s">
        <v>109</v>
      </c>
      <c r="F645" s="6" t="s">
        <v>95</v>
      </c>
      <c r="G645" s="11" t="s">
        <v>56</v>
      </c>
      <c r="H645" s="10" t="s">
        <v>2518</v>
      </c>
      <c r="I645" s="6" t="s">
        <v>2519</v>
      </c>
      <c r="J645" s="12">
        <v>46121.812974537039</v>
      </c>
      <c r="K645" s="6" t="str" cm="1">
        <f t="array" ref="K645">LOOKUP(2^15,SEARCH(Tabela2[Palavras-Chave],Boletim[[#This Row],[Objeto]],1),Tabela2[Palavras-Chave])</f>
        <v>RESERVAT</v>
      </c>
    </row>
    <row r="646" spans="1:11" ht="100.8" hidden="1" x14ac:dyDescent="0.3">
      <c r="A646" s="5">
        <v>18781259</v>
      </c>
      <c r="B646" s="6" t="s">
        <v>2520</v>
      </c>
      <c r="C646" s="6" t="s">
        <v>2521</v>
      </c>
      <c r="D646" s="8" t="s">
        <v>66</v>
      </c>
      <c r="E646" s="6" t="s">
        <v>115</v>
      </c>
      <c r="F646" s="6" t="s">
        <v>95</v>
      </c>
      <c r="G646" s="11" t="s">
        <v>56</v>
      </c>
      <c r="H646" s="10" t="s">
        <v>2522</v>
      </c>
      <c r="I646" s="6" t="s">
        <v>2523</v>
      </c>
      <c r="J646" s="12">
        <v>46121.816030092596</v>
      </c>
      <c r="K646" s="6" t="e" cm="1">
        <f t="array" ref="K646">LOOKUP(2^15,SEARCH(Tabela2[Palavras-Chave],Boletim[[#This Row],[Objeto]],1),Tabela2[Palavras-Chave])</f>
        <v>#N/A</v>
      </c>
    </row>
    <row r="647" spans="1:11" ht="273.60000000000002" hidden="1" x14ac:dyDescent="0.3">
      <c r="A647" s="5">
        <v>18673635</v>
      </c>
      <c r="B647" s="6" t="s">
        <v>2524</v>
      </c>
      <c r="C647" s="6" t="s">
        <v>2525</v>
      </c>
      <c r="D647" s="8" t="s">
        <v>66</v>
      </c>
      <c r="E647" s="6" t="s">
        <v>117</v>
      </c>
      <c r="F647" s="6" t="s">
        <v>95</v>
      </c>
      <c r="G647" s="11" t="s">
        <v>56</v>
      </c>
      <c r="H647" s="10" t="s">
        <v>2526</v>
      </c>
      <c r="I647" s="6" t="s">
        <v>2527</v>
      </c>
      <c r="J647" s="12">
        <v>46121.856446759259</v>
      </c>
      <c r="K647" s="6" t="e" cm="1">
        <f t="array" ref="K647">LOOKUP(2^15,SEARCH(Tabela2[Palavras-Chave],Boletim[[#This Row],[Objeto]],1),Tabela2[Palavras-Chave])</f>
        <v>#N/A</v>
      </c>
    </row>
    <row r="648" spans="1:11" ht="100.8" hidden="1" x14ac:dyDescent="0.3">
      <c r="A648" s="5">
        <v>18709913</v>
      </c>
      <c r="B648" s="6" t="s">
        <v>74</v>
      </c>
      <c r="C648" s="6" t="s">
        <v>123</v>
      </c>
      <c r="D648" s="8" t="s">
        <v>67</v>
      </c>
      <c r="E648" s="6" t="s">
        <v>2472</v>
      </c>
      <c r="F648" s="6" t="s">
        <v>95</v>
      </c>
      <c r="G648" s="11" t="s">
        <v>56</v>
      </c>
      <c r="H648" s="10" t="s">
        <v>2473</v>
      </c>
      <c r="I648" s="6" t="s">
        <v>2474</v>
      </c>
      <c r="J648" s="12">
        <v>46121.439641203702</v>
      </c>
      <c r="K648" s="6" t="e" cm="1">
        <f t="array" ref="K648">LOOKUP(2^15,SEARCH(Tabela2[Palavras-Chave],Boletim[[#This Row],[Objeto]],1),Tabela2[Palavras-Chave])</f>
        <v>#N/A</v>
      </c>
    </row>
    <row r="649" spans="1:11" ht="100.8" hidden="1" x14ac:dyDescent="0.3">
      <c r="A649" s="5">
        <v>18715354</v>
      </c>
      <c r="B649" s="6" t="s">
        <v>74</v>
      </c>
      <c r="C649" s="6" t="s">
        <v>123</v>
      </c>
      <c r="D649" s="8" t="s">
        <v>67</v>
      </c>
      <c r="E649" s="6" t="s">
        <v>2475</v>
      </c>
      <c r="F649" s="6" t="s">
        <v>95</v>
      </c>
      <c r="G649" s="11" t="s">
        <v>56</v>
      </c>
      <c r="H649" s="10" t="s">
        <v>2476</v>
      </c>
      <c r="I649" s="6" t="s">
        <v>2477</v>
      </c>
      <c r="J649" s="12">
        <v>46121.439699074072</v>
      </c>
      <c r="K649" s="6" t="e" cm="1">
        <f t="array" ref="K649">LOOKUP(2^15,SEARCH(Tabela2[Palavras-Chave],Boletim[[#This Row],[Objeto]],1),Tabela2[Palavras-Chave])</f>
        <v>#N/A</v>
      </c>
    </row>
    <row r="650" spans="1:11" ht="273.60000000000002" hidden="1" x14ac:dyDescent="0.3">
      <c r="A650" s="5">
        <v>18787876</v>
      </c>
      <c r="B650" s="6" t="s">
        <v>2528</v>
      </c>
      <c r="C650" s="6" t="s">
        <v>2529</v>
      </c>
      <c r="D650" s="8" t="s">
        <v>67</v>
      </c>
      <c r="E650" s="6" t="s">
        <v>114</v>
      </c>
      <c r="F650" s="6" t="s">
        <v>95</v>
      </c>
      <c r="G650" s="11" t="s">
        <v>56</v>
      </c>
      <c r="H650" s="10" t="s">
        <v>2530</v>
      </c>
      <c r="I650" s="6" t="s">
        <v>2531</v>
      </c>
      <c r="J650" s="12">
        <v>46121.841006944444</v>
      </c>
      <c r="K650" s="6" t="e" cm="1">
        <f t="array" ref="K650">LOOKUP(2^15,SEARCH(Tabela2[Palavras-Chave],Boletim[[#This Row],[Objeto]],1),Tabela2[Palavras-Chave])</f>
        <v>#N/A</v>
      </c>
    </row>
    <row r="651" spans="1:11" ht="100.8" hidden="1" x14ac:dyDescent="0.3">
      <c r="A651" s="5">
        <v>18715355</v>
      </c>
      <c r="B651" s="6" t="s">
        <v>74</v>
      </c>
      <c r="C651" s="6" t="s">
        <v>111</v>
      </c>
      <c r="D651" s="8" t="s">
        <v>91</v>
      </c>
      <c r="E651" s="6" t="s">
        <v>2475</v>
      </c>
      <c r="F651" s="6" t="s">
        <v>95</v>
      </c>
      <c r="G651" s="11" t="s">
        <v>56</v>
      </c>
      <c r="H651" s="10" t="s">
        <v>2476</v>
      </c>
      <c r="I651" s="6" t="s">
        <v>2477</v>
      </c>
      <c r="J651" s="12">
        <v>46121.439699074072</v>
      </c>
      <c r="K651" s="6" t="e" cm="1">
        <f t="array" ref="K651">LOOKUP(2^15,SEARCH(Tabela2[Palavras-Chave],Boletim[[#This Row],[Objeto]],1),Tabela2[Palavras-Chave])</f>
        <v>#N/A</v>
      </c>
    </row>
    <row r="652" spans="1:11" ht="100.8" hidden="1" x14ac:dyDescent="0.3">
      <c r="A652" s="5">
        <v>18709916</v>
      </c>
      <c r="B652" s="6" t="s">
        <v>74</v>
      </c>
      <c r="C652" s="6" t="s">
        <v>130</v>
      </c>
      <c r="D652" s="8" t="s">
        <v>68</v>
      </c>
      <c r="E652" s="6" t="s">
        <v>2472</v>
      </c>
      <c r="F652" s="6" t="s">
        <v>95</v>
      </c>
      <c r="G652" s="11" t="s">
        <v>56</v>
      </c>
      <c r="H652" s="10" t="s">
        <v>2473</v>
      </c>
      <c r="I652" s="6" t="s">
        <v>2474</v>
      </c>
      <c r="J652" s="12">
        <v>46121.439652777779</v>
      </c>
      <c r="K652" s="6" t="e" cm="1">
        <f t="array" ref="K652">LOOKUP(2^15,SEARCH(Tabela2[Palavras-Chave],Boletim[[#This Row],[Objeto]],1),Tabela2[Palavras-Chave])</f>
        <v>#N/A</v>
      </c>
    </row>
    <row r="653" spans="1:11" ht="100.8" hidden="1" x14ac:dyDescent="0.3">
      <c r="A653" s="5">
        <v>18715356</v>
      </c>
      <c r="B653" s="6" t="s">
        <v>74</v>
      </c>
      <c r="C653" s="6" t="s">
        <v>130</v>
      </c>
      <c r="D653" s="8" t="s">
        <v>68</v>
      </c>
      <c r="E653" s="6" t="s">
        <v>2475</v>
      </c>
      <c r="F653" s="6" t="s">
        <v>95</v>
      </c>
      <c r="G653" s="11" t="s">
        <v>56</v>
      </c>
      <c r="H653" s="10" t="s">
        <v>2476</v>
      </c>
      <c r="I653" s="6" t="s">
        <v>2477</v>
      </c>
      <c r="J653" s="12">
        <v>46121.439699074072</v>
      </c>
      <c r="K653" s="6" t="e" cm="1">
        <f t="array" ref="K653">LOOKUP(2^15,SEARCH(Tabela2[Palavras-Chave],Boletim[[#This Row],[Objeto]],1),Tabela2[Palavras-Chave])</f>
        <v>#N/A</v>
      </c>
    </row>
    <row r="654" spans="1:11" ht="158.4" hidden="1" x14ac:dyDescent="0.3">
      <c r="A654" s="5">
        <v>18097280</v>
      </c>
      <c r="B654" s="6" t="s">
        <v>1079</v>
      </c>
      <c r="C654" s="6" t="s">
        <v>130</v>
      </c>
      <c r="D654" s="8" t="s">
        <v>68</v>
      </c>
      <c r="E654" s="6" t="s">
        <v>2532</v>
      </c>
      <c r="F654" s="6" t="s">
        <v>95</v>
      </c>
      <c r="G654" s="11" t="s">
        <v>56</v>
      </c>
      <c r="H654" s="10" t="s">
        <v>2533</v>
      </c>
      <c r="I654" s="6" t="s">
        <v>2534</v>
      </c>
      <c r="J654" s="12">
        <v>46121.54184027778</v>
      </c>
      <c r="K654" s="6" t="e" cm="1">
        <f t="array" ref="K654">LOOKUP(2^15,SEARCH(Tabela2[Palavras-Chave],Boletim[[#This Row],[Objeto]],1),Tabela2[Palavras-Chave])</f>
        <v>#N/A</v>
      </c>
    </row>
    <row r="655" spans="1:11" ht="129.6" hidden="1" x14ac:dyDescent="0.3">
      <c r="A655" s="5">
        <v>18790141</v>
      </c>
      <c r="B655" s="6" t="s">
        <v>2535</v>
      </c>
      <c r="C655" s="6" t="s">
        <v>2536</v>
      </c>
      <c r="D655" s="8" t="s">
        <v>68</v>
      </c>
      <c r="E655" s="6" t="s">
        <v>183</v>
      </c>
      <c r="F655" s="6" t="s">
        <v>95</v>
      </c>
      <c r="G655" s="11" t="s">
        <v>56</v>
      </c>
      <c r="H655" s="10" t="s">
        <v>2537</v>
      </c>
      <c r="I655" s="6" t="s">
        <v>2538</v>
      </c>
      <c r="J655" s="12">
        <v>46121.542291666665</v>
      </c>
      <c r="K655" s="6" t="e" cm="1">
        <f t="array" ref="K655">LOOKUP(2^15,SEARCH(Tabela2[Palavras-Chave],Boletim[[#This Row],[Objeto]],1),Tabela2[Palavras-Chave])</f>
        <v>#N/A</v>
      </c>
    </row>
    <row r="656" spans="1:11" ht="43.2" hidden="1" x14ac:dyDescent="0.3">
      <c r="A656" s="5">
        <v>18797225</v>
      </c>
      <c r="B656" s="6" t="s">
        <v>2539</v>
      </c>
      <c r="C656" s="6" t="s">
        <v>2540</v>
      </c>
      <c r="D656" s="8" t="s">
        <v>68</v>
      </c>
      <c r="E656" s="6" t="s">
        <v>2541</v>
      </c>
      <c r="F656" s="6" t="s">
        <v>95</v>
      </c>
      <c r="G656" s="11">
        <v>46134.416666666664</v>
      </c>
      <c r="H656" s="10" t="s">
        <v>2542</v>
      </c>
      <c r="I656" s="6" t="s">
        <v>2543</v>
      </c>
      <c r="J656" s="12">
        <v>46121.715636574074</v>
      </c>
      <c r="K656" s="6" t="e" cm="1">
        <f t="array" ref="K656">LOOKUP(2^15,SEARCH(Tabela2[Palavras-Chave],Boletim[[#This Row],[Objeto]],1),Tabela2[Palavras-Chave])</f>
        <v>#N/A</v>
      </c>
    </row>
    <row r="657" spans="1:11" ht="115.2" hidden="1" x14ac:dyDescent="0.3">
      <c r="A657" s="5">
        <v>18760083</v>
      </c>
      <c r="B657" s="6" t="s">
        <v>2544</v>
      </c>
      <c r="C657" s="6" t="s">
        <v>2545</v>
      </c>
      <c r="D657" s="8" t="s">
        <v>68</v>
      </c>
      <c r="E657" s="6" t="s">
        <v>390</v>
      </c>
      <c r="F657" s="6" t="s">
        <v>95</v>
      </c>
      <c r="G657" s="11">
        <v>46135.354166666664</v>
      </c>
      <c r="H657" s="10" t="s">
        <v>2546</v>
      </c>
      <c r="I657" s="6" t="s">
        <v>2547</v>
      </c>
      <c r="J657" s="12">
        <v>46121.856990740744</v>
      </c>
      <c r="K657" s="6" t="e" cm="1">
        <f t="array" ref="K657">LOOKUP(2^15,SEARCH(Tabela2[Palavras-Chave],Boletim[[#This Row],[Objeto]],1),Tabela2[Palavras-Chave])</f>
        <v>#N/A</v>
      </c>
    </row>
    <row r="658" spans="1:11" ht="100.8" hidden="1" x14ac:dyDescent="0.3">
      <c r="A658" s="5">
        <v>18709918</v>
      </c>
      <c r="B658" s="6" t="s">
        <v>74</v>
      </c>
      <c r="C658" s="6" t="s">
        <v>100</v>
      </c>
      <c r="D658" s="8" t="s">
        <v>92</v>
      </c>
      <c r="E658" s="6" t="s">
        <v>2472</v>
      </c>
      <c r="F658" s="6" t="s">
        <v>95</v>
      </c>
      <c r="G658" s="11" t="s">
        <v>56</v>
      </c>
      <c r="H658" s="10" t="s">
        <v>2473</v>
      </c>
      <c r="I658" s="6" t="s">
        <v>2474</v>
      </c>
      <c r="J658" s="12">
        <v>46121.439652777779</v>
      </c>
      <c r="K658" s="6" t="e" cm="1">
        <f t="array" ref="K658">LOOKUP(2^15,SEARCH(Tabela2[Palavras-Chave],Boletim[[#This Row],[Objeto]],1),Tabela2[Palavras-Chave])</f>
        <v>#N/A</v>
      </c>
    </row>
    <row r="659" spans="1:11" ht="100.8" hidden="1" x14ac:dyDescent="0.3">
      <c r="A659" s="5">
        <v>18715357</v>
      </c>
      <c r="B659" s="6" t="s">
        <v>74</v>
      </c>
      <c r="C659" s="6" t="s">
        <v>100</v>
      </c>
      <c r="D659" s="8" t="s">
        <v>92</v>
      </c>
      <c r="E659" s="6" t="s">
        <v>2475</v>
      </c>
      <c r="F659" s="6" t="s">
        <v>95</v>
      </c>
      <c r="G659" s="11" t="s">
        <v>56</v>
      </c>
      <c r="H659" s="10" t="s">
        <v>2476</v>
      </c>
      <c r="I659" s="6" t="s">
        <v>2477</v>
      </c>
      <c r="J659" s="12">
        <v>46121.439699074072</v>
      </c>
      <c r="K659" s="6" t="e" cm="1">
        <f t="array" ref="K659">LOOKUP(2^15,SEARCH(Tabela2[Palavras-Chave],Boletim[[#This Row],[Objeto]],1),Tabela2[Palavras-Chave])</f>
        <v>#N/A</v>
      </c>
    </row>
    <row r="660" spans="1:11" ht="115.2" hidden="1" x14ac:dyDescent="0.3">
      <c r="A660" s="5">
        <v>18755214</v>
      </c>
      <c r="B660" s="6" t="s">
        <v>2548</v>
      </c>
      <c r="C660" s="6" t="s">
        <v>2549</v>
      </c>
      <c r="D660" s="8" t="s">
        <v>92</v>
      </c>
      <c r="E660" s="6" t="s">
        <v>122</v>
      </c>
      <c r="F660" s="6" t="s">
        <v>95</v>
      </c>
      <c r="G660" s="11">
        <v>46128.457638888889</v>
      </c>
      <c r="H660" s="10" t="s">
        <v>2550</v>
      </c>
      <c r="I660" s="6" t="s">
        <v>2551</v>
      </c>
      <c r="J660" s="12">
        <v>46121.661157407405</v>
      </c>
      <c r="K660" s="6" t="e" cm="1">
        <f t="array" ref="K660">LOOKUP(2^15,SEARCH(Tabela2[Palavras-Chave],Boletim[[#This Row],[Objeto]],1),Tabela2[Palavras-Chave])</f>
        <v>#N/A</v>
      </c>
    </row>
    <row r="661" spans="1:11" ht="100.8" hidden="1" x14ac:dyDescent="0.3">
      <c r="A661" s="5">
        <v>18709919</v>
      </c>
      <c r="B661" s="6" t="s">
        <v>74</v>
      </c>
      <c r="C661" s="6" t="s">
        <v>69</v>
      </c>
      <c r="D661" s="8" t="s">
        <v>70</v>
      </c>
      <c r="E661" s="6" t="s">
        <v>2472</v>
      </c>
      <c r="F661" s="6" t="s">
        <v>95</v>
      </c>
      <c r="G661" s="11" t="s">
        <v>56</v>
      </c>
      <c r="H661" s="10" t="s">
        <v>2473</v>
      </c>
      <c r="I661" s="6" t="s">
        <v>2474</v>
      </c>
      <c r="J661" s="12">
        <v>46121.439652777779</v>
      </c>
      <c r="K661" s="6" t="e" cm="1">
        <f t="array" ref="K661">LOOKUP(2^15,SEARCH(Tabela2[Palavras-Chave],Boletim[[#This Row],[Objeto]],1),Tabela2[Palavras-Chave])</f>
        <v>#N/A</v>
      </c>
    </row>
    <row r="662" spans="1:11" ht="100.8" hidden="1" x14ac:dyDescent="0.3">
      <c r="A662" s="5">
        <v>18715358</v>
      </c>
      <c r="B662" s="6" t="s">
        <v>74</v>
      </c>
      <c r="C662" s="6" t="s">
        <v>69</v>
      </c>
      <c r="D662" s="8" t="s">
        <v>70</v>
      </c>
      <c r="E662" s="6" t="s">
        <v>2475</v>
      </c>
      <c r="F662" s="6" t="s">
        <v>95</v>
      </c>
      <c r="G662" s="11" t="s">
        <v>56</v>
      </c>
      <c r="H662" s="10" t="s">
        <v>2476</v>
      </c>
      <c r="I662" s="6" t="s">
        <v>2477</v>
      </c>
      <c r="J662" s="12">
        <v>46121.439699074072</v>
      </c>
      <c r="K662" s="6" t="e" cm="1">
        <f t="array" ref="K662">LOOKUP(2^15,SEARCH(Tabela2[Palavras-Chave],Boletim[[#This Row],[Objeto]],1),Tabela2[Palavras-Chave])</f>
        <v>#N/A</v>
      </c>
    </row>
    <row r="663" spans="1:11" ht="72" x14ac:dyDescent="0.3">
      <c r="A663" s="13">
        <v>18770020</v>
      </c>
      <c r="B663" s="10" t="s">
        <v>74</v>
      </c>
      <c r="C663" s="10" t="s">
        <v>69</v>
      </c>
      <c r="D663" s="15" t="s">
        <v>70</v>
      </c>
      <c r="E663" s="10" t="s">
        <v>2552</v>
      </c>
      <c r="F663" s="10" t="s">
        <v>95</v>
      </c>
      <c r="G663" s="16" t="s">
        <v>56</v>
      </c>
      <c r="H663" s="10" t="s">
        <v>2553</v>
      </c>
      <c r="I663" s="10" t="s">
        <v>2554</v>
      </c>
      <c r="J663" s="17">
        <v>46121.440335648149</v>
      </c>
      <c r="K663" s="6" t="str" cm="1">
        <f t="array" ref="K663">LOOKUP(2^15,SEARCH(Tabela2[Palavras-Chave],Boletim[[#This Row],[Objeto]],1),Tabela2[Palavras-Chave])</f>
        <v>abraçadeira</v>
      </c>
    </row>
    <row r="664" spans="1:11" ht="72" hidden="1" x14ac:dyDescent="0.3">
      <c r="A664" s="5">
        <v>18790077</v>
      </c>
      <c r="B664" s="6" t="s">
        <v>74</v>
      </c>
      <c r="C664" s="6" t="s">
        <v>69</v>
      </c>
      <c r="D664" s="8" t="s">
        <v>70</v>
      </c>
      <c r="E664" s="6" t="s">
        <v>2492</v>
      </c>
      <c r="F664" s="6" t="s">
        <v>95</v>
      </c>
      <c r="G664" s="11" t="s">
        <v>56</v>
      </c>
      <c r="H664" s="10" t="s">
        <v>2493</v>
      </c>
      <c r="I664" s="6" t="s">
        <v>2494</v>
      </c>
      <c r="J664" s="12">
        <v>46121.441030092596</v>
      </c>
      <c r="K664" s="6" t="e" cm="1">
        <f t="array" ref="K664">LOOKUP(2^15,SEARCH(Tabela2[Palavras-Chave],Boletim[[#This Row],[Objeto]],1),Tabela2[Palavras-Chave])</f>
        <v>#N/A</v>
      </c>
    </row>
    <row r="665" spans="1:11" ht="100.8" hidden="1" x14ac:dyDescent="0.3">
      <c r="A665" s="5">
        <v>18709920</v>
      </c>
      <c r="B665" s="6" t="s">
        <v>74</v>
      </c>
      <c r="C665" s="6" t="s">
        <v>133</v>
      </c>
      <c r="D665" s="8" t="s">
        <v>71</v>
      </c>
      <c r="E665" s="6" t="s">
        <v>2472</v>
      </c>
      <c r="F665" s="6" t="s">
        <v>95</v>
      </c>
      <c r="G665" s="11" t="s">
        <v>56</v>
      </c>
      <c r="H665" s="10" t="s">
        <v>2473</v>
      </c>
      <c r="I665" s="6" t="s">
        <v>2474</v>
      </c>
      <c r="J665" s="12">
        <v>46121.439652777779</v>
      </c>
      <c r="K665" s="6" t="e" cm="1">
        <f t="array" ref="K665">LOOKUP(2^15,SEARCH(Tabela2[Palavras-Chave],Boletim[[#This Row],[Objeto]],1),Tabela2[Palavras-Chave])</f>
        <v>#N/A</v>
      </c>
    </row>
    <row r="666" spans="1:11" ht="100.8" hidden="1" x14ac:dyDescent="0.3">
      <c r="A666" s="13">
        <v>18715359</v>
      </c>
      <c r="B666" s="10" t="s">
        <v>74</v>
      </c>
      <c r="C666" s="10" t="s">
        <v>133</v>
      </c>
      <c r="D666" s="15" t="s">
        <v>71</v>
      </c>
      <c r="E666" s="10" t="s">
        <v>2475</v>
      </c>
      <c r="F666" s="10" t="s">
        <v>95</v>
      </c>
      <c r="G666" s="16" t="s">
        <v>56</v>
      </c>
      <c r="H666" s="10" t="s">
        <v>2476</v>
      </c>
      <c r="I666" s="10" t="s">
        <v>2477</v>
      </c>
      <c r="J666" s="17">
        <v>46121.439699074072</v>
      </c>
      <c r="K666" s="6" t="e" cm="1">
        <f t="array" ref="K666">LOOKUP(2^15,SEARCH(Tabela2[Palavras-Chave],Boletim[[#This Row],[Objeto]],1),Tabela2[Palavras-Chave])</f>
        <v>#N/A</v>
      </c>
    </row>
    <row r="667" spans="1:11" ht="57.6" hidden="1" x14ac:dyDescent="0.3">
      <c r="A667" s="5">
        <v>18800925</v>
      </c>
      <c r="B667" s="6" t="s">
        <v>2555</v>
      </c>
      <c r="C667" s="6" t="s">
        <v>2556</v>
      </c>
      <c r="D667" s="8" t="s">
        <v>71</v>
      </c>
      <c r="E667" s="6" t="s">
        <v>149</v>
      </c>
      <c r="F667" s="6" t="s">
        <v>95</v>
      </c>
      <c r="G667" s="11">
        <v>46134.334027777775</v>
      </c>
      <c r="H667" s="10" t="s">
        <v>2557</v>
      </c>
      <c r="I667" s="6" t="s">
        <v>178</v>
      </c>
      <c r="J667" s="12">
        <v>46121.514548611114</v>
      </c>
      <c r="K667" s="6" t="e" cm="1">
        <f t="array" ref="K667">LOOKUP(2^15,SEARCH(Tabela2[Palavras-Chave],Boletim[[#This Row],[Objeto]],1),Tabela2[Palavras-Chave])</f>
        <v>#N/A</v>
      </c>
    </row>
    <row r="668" spans="1:11" ht="100.8" hidden="1" x14ac:dyDescent="0.3">
      <c r="A668" s="5">
        <v>18709922</v>
      </c>
      <c r="B668" s="6" t="s">
        <v>74</v>
      </c>
      <c r="C668" s="6" t="s">
        <v>73</v>
      </c>
      <c r="D668" s="8" t="s">
        <v>72</v>
      </c>
      <c r="E668" s="6" t="s">
        <v>2472</v>
      </c>
      <c r="F668" s="6" t="s">
        <v>95</v>
      </c>
      <c r="G668" s="11" t="s">
        <v>56</v>
      </c>
      <c r="H668" s="10" t="s">
        <v>2473</v>
      </c>
      <c r="I668" s="6" t="s">
        <v>2474</v>
      </c>
      <c r="J668" s="12">
        <v>46121.439652777779</v>
      </c>
      <c r="K668" s="6" t="e" cm="1">
        <f t="array" ref="K668">LOOKUP(2^15,SEARCH(Tabela2[Palavras-Chave],Boletim[[#This Row],[Objeto]],1),Tabela2[Palavras-Chave])</f>
        <v>#N/A</v>
      </c>
    </row>
    <row r="669" spans="1:11" ht="100.8" hidden="1" x14ac:dyDescent="0.3">
      <c r="A669" s="5">
        <v>18715360</v>
      </c>
      <c r="B669" s="6" t="s">
        <v>74</v>
      </c>
      <c r="C669" s="6" t="s">
        <v>73</v>
      </c>
      <c r="D669" s="8" t="s">
        <v>72</v>
      </c>
      <c r="E669" s="6" t="s">
        <v>2475</v>
      </c>
      <c r="F669" s="6" t="s">
        <v>95</v>
      </c>
      <c r="G669" s="11" t="s">
        <v>56</v>
      </c>
      <c r="H669" s="10" t="s">
        <v>2476</v>
      </c>
      <c r="I669" s="6" t="s">
        <v>2477</v>
      </c>
      <c r="J669" s="12">
        <v>46121.439710648148</v>
      </c>
      <c r="K669" s="6" t="e" cm="1">
        <f t="array" ref="K669">LOOKUP(2^15,SEARCH(Tabela2[Palavras-Chave],Boletim[[#This Row],[Objeto]],1),Tabela2[Palavras-Chave])</f>
        <v>#N/A</v>
      </c>
    </row>
    <row r="670" spans="1:11" ht="72" hidden="1" x14ac:dyDescent="0.3">
      <c r="A670" s="5">
        <v>18775078</v>
      </c>
      <c r="B670" s="6" t="s">
        <v>74</v>
      </c>
      <c r="C670" s="6" t="s">
        <v>73</v>
      </c>
      <c r="D670" s="8" t="s">
        <v>72</v>
      </c>
      <c r="E670" s="6" t="s">
        <v>2558</v>
      </c>
      <c r="F670" s="6" t="s">
        <v>95</v>
      </c>
      <c r="G670" s="11" t="s">
        <v>56</v>
      </c>
      <c r="H670" s="10" t="s">
        <v>2559</v>
      </c>
      <c r="I670" s="6" t="s">
        <v>2560</v>
      </c>
      <c r="J670" s="12">
        <v>46121.440347222226</v>
      </c>
      <c r="K670" s="6" t="e" cm="1">
        <f t="array" ref="K670">LOOKUP(2^15,SEARCH(Tabela2[Palavras-Chave],Boletim[[#This Row],[Objeto]],1),Tabela2[Palavras-Chave])</f>
        <v>#N/A</v>
      </c>
    </row>
    <row r="671" spans="1:11" ht="72" hidden="1" x14ac:dyDescent="0.3">
      <c r="A671" s="5">
        <v>18790078</v>
      </c>
      <c r="B671" s="6" t="s">
        <v>74</v>
      </c>
      <c r="C671" s="6" t="s">
        <v>73</v>
      </c>
      <c r="D671" s="8" t="s">
        <v>72</v>
      </c>
      <c r="E671" s="6" t="s">
        <v>2492</v>
      </c>
      <c r="F671" s="6" t="s">
        <v>95</v>
      </c>
      <c r="G671" s="11" t="s">
        <v>56</v>
      </c>
      <c r="H671" s="10" t="s">
        <v>2493</v>
      </c>
      <c r="I671" s="6" t="s">
        <v>2494</v>
      </c>
      <c r="J671" s="12">
        <v>46121.441030092596</v>
      </c>
      <c r="K671" s="6" t="e" cm="1">
        <f t="array" ref="K671">LOOKUP(2^15,SEARCH(Tabela2[Palavras-Chave],Boletim[[#This Row],[Objeto]],1),Tabela2[Palavras-Chave])</f>
        <v>#N/A</v>
      </c>
    </row>
    <row r="672" spans="1:11" ht="129.6" hidden="1" x14ac:dyDescent="0.3">
      <c r="A672" s="5">
        <v>18730686</v>
      </c>
      <c r="B672" s="6" t="s">
        <v>2561</v>
      </c>
      <c r="C672" s="6" t="s">
        <v>2562</v>
      </c>
      <c r="D672" s="8" t="s">
        <v>72</v>
      </c>
      <c r="E672" s="6" t="s">
        <v>296</v>
      </c>
      <c r="F672" s="6" t="s">
        <v>95</v>
      </c>
      <c r="G672" s="11" t="s">
        <v>56</v>
      </c>
      <c r="H672" s="10" t="s">
        <v>2563</v>
      </c>
      <c r="I672" s="6" t="s">
        <v>2564</v>
      </c>
      <c r="J672" s="12">
        <v>46121.538969907408</v>
      </c>
      <c r="K672" s="6" t="e" cm="1">
        <f t="array" ref="K672">LOOKUP(2^15,SEARCH(Tabela2[Palavras-Chave],Boletim[[#This Row],[Objeto]],1),Tabela2[Palavras-Chave])</f>
        <v>#N/A</v>
      </c>
    </row>
    <row r="673" spans="1:11" ht="273.60000000000002" hidden="1" x14ac:dyDescent="0.3">
      <c r="A673" s="5">
        <v>18806889</v>
      </c>
      <c r="B673" s="6" t="s">
        <v>2565</v>
      </c>
      <c r="C673" s="6" t="s">
        <v>2566</v>
      </c>
      <c r="D673" s="8" t="s">
        <v>72</v>
      </c>
      <c r="E673" s="6" t="s">
        <v>121</v>
      </c>
      <c r="F673" s="6" t="s">
        <v>95</v>
      </c>
      <c r="G673" s="11" t="s">
        <v>56</v>
      </c>
      <c r="H673" s="10" t="s">
        <v>2567</v>
      </c>
      <c r="I673" s="6" t="s">
        <v>2568</v>
      </c>
      <c r="J673" s="12">
        <v>46121.664756944447</v>
      </c>
      <c r="K673" s="6" t="e" cm="1">
        <f t="array" ref="K673">LOOKUP(2^15,SEARCH(Tabela2[Palavras-Chave],Boletim[[#This Row],[Objeto]],1),Tabela2[Palavras-Chave])</f>
        <v>#N/A</v>
      </c>
    </row>
    <row r="674" spans="1:11" ht="273.60000000000002" hidden="1" x14ac:dyDescent="0.3">
      <c r="A674" s="5">
        <v>18719826</v>
      </c>
      <c r="B674" s="6" t="s">
        <v>2569</v>
      </c>
      <c r="C674" s="6" t="s">
        <v>2570</v>
      </c>
      <c r="D674" s="8" t="s">
        <v>72</v>
      </c>
      <c r="E674" s="6" t="s">
        <v>441</v>
      </c>
      <c r="F674" s="6" t="s">
        <v>95</v>
      </c>
      <c r="G674" s="11" t="s">
        <v>56</v>
      </c>
      <c r="H674" s="10" t="s">
        <v>2571</v>
      </c>
      <c r="I674" s="6" t="s">
        <v>2572</v>
      </c>
      <c r="J674" s="12">
        <v>46121.856377314813</v>
      </c>
      <c r="K674" s="6" t="e" cm="1">
        <f t="array" ref="K674">LOOKUP(2^15,SEARCH(Tabela2[Palavras-Chave],Boletim[[#This Row],[Objeto]],1),Tabela2[Palavras-Chave])</f>
        <v>#N/A</v>
      </c>
    </row>
    <row r="675" spans="1:11" ht="43.2" hidden="1" x14ac:dyDescent="0.3">
      <c r="A675" s="5">
        <v>18730502</v>
      </c>
      <c r="B675" s="6" t="s">
        <v>74</v>
      </c>
      <c r="C675" s="6" t="s">
        <v>75</v>
      </c>
      <c r="D675" s="8" t="s">
        <v>76</v>
      </c>
      <c r="E675" s="6" t="s">
        <v>2573</v>
      </c>
      <c r="F675" s="6" t="s">
        <v>95</v>
      </c>
      <c r="G675" s="11" t="s">
        <v>56</v>
      </c>
      <c r="H675" s="10" t="s">
        <v>2574</v>
      </c>
      <c r="I675" s="6" t="s">
        <v>2575</v>
      </c>
      <c r="J675" s="12">
        <v>46121.437557870369</v>
      </c>
      <c r="K675" s="6" t="e" cm="1">
        <f t="array" ref="K675">LOOKUP(2^15,SEARCH(Tabela2[Palavras-Chave],Boletim[[#This Row],[Objeto]],1),Tabela2[Palavras-Chave])</f>
        <v>#N/A</v>
      </c>
    </row>
    <row r="676" spans="1:11" ht="72" hidden="1" x14ac:dyDescent="0.3">
      <c r="A676" s="5">
        <v>18520559</v>
      </c>
      <c r="B676" s="6" t="s">
        <v>74</v>
      </c>
      <c r="C676" s="6" t="s">
        <v>75</v>
      </c>
      <c r="D676" s="8" t="s">
        <v>76</v>
      </c>
      <c r="E676" s="6" t="s">
        <v>2576</v>
      </c>
      <c r="F676" s="6" t="s">
        <v>95</v>
      </c>
      <c r="G676" s="11" t="s">
        <v>56</v>
      </c>
      <c r="H676" s="10" t="s">
        <v>2577</v>
      </c>
      <c r="I676" s="6" t="s">
        <v>2578</v>
      </c>
      <c r="J676" s="12">
        <v>46121.436736111114</v>
      </c>
      <c r="K676" s="6" t="e" cm="1">
        <f t="array" ref="K676">LOOKUP(2^15,SEARCH(Tabela2[Palavras-Chave],Boletim[[#This Row],[Objeto]],1),Tabela2[Palavras-Chave])</f>
        <v>#N/A</v>
      </c>
    </row>
    <row r="677" spans="1:11" ht="100.8" hidden="1" x14ac:dyDescent="0.3">
      <c r="A677" s="5">
        <v>18715342</v>
      </c>
      <c r="B677" s="6" t="s">
        <v>74</v>
      </c>
      <c r="C677" s="6" t="s">
        <v>75</v>
      </c>
      <c r="D677" s="8" t="s">
        <v>76</v>
      </c>
      <c r="E677" s="6" t="s">
        <v>2475</v>
      </c>
      <c r="F677" s="6" t="s">
        <v>95</v>
      </c>
      <c r="G677" s="11" t="s">
        <v>56</v>
      </c>
      <c r="H677" s="10" t="s">
        <v>2476</v>
      </c>
      <c r="I677" s="6" t="s">
        <v>2477</v>
      </c>
      <c r="J677" s="12">
        <v>46121.437557870369</v>
      </c>
      <c r="K677" s="6" t="e" cm="1">
        <f t="array" ref="K677">LOOKUP(2^15,SEARCH(Tabela2[Palavras-Chave],Boletim[[#This Row],[Objeto]],1),Tabela2[Palavras-Chave])</f>
        <v>#N/A</v>
      </c>
    </row>
    <row r="678" spans="1:11" ht="72" x14ac:dyDescent="0.3">
      <c r="A678" s="5">
        <v>18770019</v>
      </c>
      <c r="B678" s="6" t="s">
        <v>74</v>
      </c>
      <c r="C678" s="6" t="s">
        <v>75</v>
      </c>
      <c r="D678" s="8" t="s">
        <v>76</v>
      </c>
      <c r="E678" s="6" t="s">
        <v>2552</v>
      </c>
      <c r="F678" s="6" t="s">
        <v>95</v>
      </c>
      <c r="G678" s="11" t="s">
        <v>56</v>
      </c>
      <c r="H678" s="10" t="s">
        <v>2553</v>
      </c>
      <c r="I678" s="6" t="s">
        <v>2554</v>
      </c>
      <c r="J678" s="12">
        <v>46121.437789351854</v>
      </c>
      <c r="K678" s="6" t="str" cm="1">
        <f t="array" ref="K678">LOOKUP(2^15,SEARCH(Tabela2[Palavras-Chave],Boletim[[#This Row],[Objeto]],1),Tabela2[Palavras-Chave])</f>
        <v>abraçadeira</v>
      </c>
    </row>
    <row r="679" spans="1:11" ht="72" hidden="1" x14ac:dyDescent="0.3">
      <c r="A679" s="5">
        <v>18775077</v>
      </c>
      <c r="B679" s="6" t="s">
        <v>74</v>
      </c>
      <c r="C679" s="6" t="s">
        <v>75</v>
      </c>
      <c r="D679" s="8" t="s">
        <v>76</v>
      </c>
      <c r="E679" s="6" t="s">
        <v>2558</v>
      </c>
      <c r="F679" s="6" t="s">
        <v>95</v>
      </c>
      <c r="G679" s="11" t="s">
        <v>56</v>
      </c>
      <c r="H679" s="10" t="s">
        <v>2559</v>
      </c>
      <c r="I679" s="6" t="s">
        <v>2560</v>
      </c>
      <c r="J679" s="12">
        <v>46121.437893518516</v>
      </c>
      <c r="K679" s="6" t="e" cm="1">
        <f t="array" ref="K679">LOOKUP(2^15,SEARCH(Tabela2[Palavras-Chave],Boletim[[#This Row],[Objeto]],1),Tabela2[Palavras-Chave])</f>
        <v>#N/A</v>
      </c>
    </row>
    <row r="680" spans="1:11" ht="72" hidden="1" x14ac:dyDescent="0.3">
      <c r="A680" s="5">
        <v>18770023</v>
      </c>
      <c r="B680" s="6" t="s">
        <v>74</v>
      </c>
      <c r="C680" s="6" t="s">
        <v>75</v>
      </c>
      <c r="D680" s="8" t="s">
        <v>76</v>
      </c>
      <c r="E680" s="6" t="s">
        <v>2579</v>
      </c>
      <c r="F680" s="6" t="s">
        <v>95</v>
      </c>
      <c r="G680" s="11" t="s">
        <v>56</v>
      </c>
      <c r="H680" s="10" t="s">
        <v>2580</v>
      </c>
      <c r="I680" s="6" t="s">
        <v>2581</v>
      </c>
      <c r="J680" s="12">
        <v>46121.438935185186</v>
      </c>
      <c r="K680" s="6" t="e" cm="1">
        <f t="array" ref="K680">LOOKUP(2^15,SEARCH(Tabela2[Palavras-Chave],Boletim[[#This Row],[Objeto]],1),Tabela2[Palavras-Chave])</f>
        <v>#N/A</v>
      </c>
    </row>
    <row r="681" spans="1:11" ht="72" hidden="1" x14ac:dyDescent="0.3">
      <c r="A681" s="5">
        <v>18790075</v>
      </c>
      <c r="B681" s="6" t="s">
        <v>74</v>
      </c>
      <c r="C681" s="6" t="s">
        <v>75</v>
      </c>
      <c r="D681" s="8" t="s">
        <v>76</v>
      </c>
      <c r="E681" s="6" t="s">
        <v>2492</v>
      </c>
      <c r="F681" s="6" t="s">
        <v>95</v>
      </c>
      <c r="G681" s="11" t="s">
        <v>56</v>
      </c>
      <c r="H681" s="10" t="s">
        <v>2493</v>
      </c>
      <c r="I681" s="6" t="s">
        <v>2494</v>
      </c>
      <c r="J681" s="12">
        <v>46121.438923611109</v>
      </c>
      <c r="K681" s="6" t="e" cm="1">
        <f t="array" ref="K681">LOOKUP(2^15,SEARCH(Tabela2[Palavras-Chave],Boletim[[#This Row],[Objeto]],1),Tabela2[Palavras-Chave])</f>
        <v>#N/A</v>
      </c>
    </row>
    <row r="682" spans="1:11" ht="129.6" hidden="1" x14ac:dyDescent="0.3">
      <c r="A682" s="5">
        <v>18456475</v>
      </c>
      <c r="B682" s="6" t="s">
        <v>2582</v>
      </c>
      <c r="C682" s="6" t="s">
        <v>75</v>
      </c>
      <c r="D682" s="8" t="s">
        <v>76</v>
      </c>
      <c r="E682" s="6" t="s">
        <v>2583</v>
      </c>
      <c r="F682" s="6" t="s">
        <v>95</v>
      </c>
      <c r="G682" s="11" t="s">
        <v>56</v>
      </c>
      <c r="H682" s="10" t="s">
        <v>2584</v>
      </c>
      <c r="I682" s="6" t="s">
        <v>2585</v>
      </c>
      <c r="J682" s="12">
        <v>46121.618125000001</v>
      </c>
      <c r="K682" s="6" t="e" cm="1">
        <f t="array" ref="K682">LOOKUP(2^15,SEARCH(Tabela2[Palavras-Chave],Boletim[[#This Row],[Objeto]],1),Tabela2[Palavras-Chave])</f>
        <v>#N/A</v>
      </c>
    </row>
    <row r="683" spans="1:11" ht="43.2" hidden="1" x14ac:dyDescent="0.3">
      <c r="A683" s="5">
        <v>18796318</v>
      </c>
      <c r="B683" s="6" t="s">
        <v>74</v>
      </c>
      <c r="C683" s="6" t="s">
        <v>75</v>
      </c>
      <c r="D683" s="8" t="s">
        <v>76</v>
      </c>
      <c r="E683" s="6" t="s">
        <v>2586</v>
      </c>
      <c r="F683" s="6" t="s">
        <v>95</v>
      </c>
      <c r="G683" s="11" t="s">
        <v>56</v>
      </c>
      <c r="H683" s="10" t="s">
        <v>2587</v>
      </c>
      <c r="I683" s="6" t="s">
        <v>2588</v>
      </c>
      <c r="J683" s="12">
        <v>46121.684525462966</v>
      </c>
      <c r="K683" s="6" t="e" cm="1">
        <f t="array" ref="K683">LOOKUP(2^15,SEARCH(Tabela2[Palavras-Chave],Boletim[[#This Row],[Objeto]],1),Tabela2[Palavras-Chave])</f>
        <v>#N/A</v>
      </c>
    </row>
    <row r="684" spans="1:11" ht="100.8" hidden="1" x14ac:dyDescent="0.3">
      <c r="A684" s="5">
        <v>18679362</v>
      </c>
      <c r="B684" s="6" t="s">
        <v>2589</v>
      </c>
      <c r="C684" s="6" t="s">
        <v>2590</v>
      </c>
      <c r="D684" s="8" t="s">
        <v>76</v>
      </c>
      <c r="E684" s="6" t="s">
        <v>135</v>
      </c>
      <c r="F684" s="6" t="s">
        <v>95</v>
      </c>
      <c r="G684" s="11" t="s">
        <v>56</v>
      </c>
      <c r="H684" s="10" t="s">
        <v>2591</v>
      </c>
      <c r="I684" s="6" t="s">
        <v>2592</v>
      </c>
      <c r="J684" s="12">
        <v>46121.727048611108</v>
      </c>
      <c r="K684" s="6" t="e" cm="1">
        <f t="array" ref="K684">LOOKUP(2^15,SEARCH(Tabela2[Palavras-Chave],Boletim[[#This Row],[Objeto]],1),Tabela2[Palavras-Chave])</f>
        <v>#N/A</v>
      </c>
    </row>
    <row r="685" spans="1:11" ht="100.8" hidden="1" x14ac:dyDescent="0.3">
      <c r="A685" s="13">
        <v>18709923</v>
      </c>
      <c r="B685" s="10" t="s">
        <v>74</v>
      </c>
      <c r="C685" s="10" t="s">
        <v>102</v>
      </c>
      <c r="D685" s="15" t="s">
        <v>77</v>
      </c>
      <c r="E685" s="10" t="s">
        <v>2472</v>
      </c>
      <c r="F685" s="10" t="s">
        <v>95</v>
      </c>
      <c r="G685" s="16" t="s">
        <v>56</v>
      </c>
      <c r="H685" s="10" t="s">
        <v>2473</v>
      </c>
      <c r="I685" s="10" t="s">
        <v>2474</v>
      </c>
      <c r="J685" s="17">
        <v>46121.439652777779</v>
      </c>
      <c r="K685" s="6" t="e" cm="1">
        <f t="array" ref="K685">LOOKUP(2^15,SEARCH(Tabela2[Palavras-Chave],Boletim[[#This Row],[Objeto]],1),Tabela2[Palavras-Chave])</f>
        <v>#N/A</v>
      </c>
    </row>
    <row r="686" spans="1:11" ht="100.8" hidden="1" x14ac:dyDescent="0.3">
      <c r="A686" s="5">
        <v>18715361</v>
      </c>
      <c r="B686" s="6" t="s">
        <v>74</v>
      </c>
      <c r="C686" s="6" t="s">
        <v>102</v>
      </c>
      <c r="D686" s="8" t="s">
        <v>77</v>
      </c>
      <c r="E686" s="6" t="s">
        <v>2475</v>
      </c>
      <c r="F686" s="6" t="s">
        <v>95</v>
      </c>
      <c r="G686" s="11" t="s">
        <v>56</v>
      </c>
      <c r="H686" s="10" t="s">
        <v>2476</v>
      </c>
      <c r="I686" s="6" t="s">
        <v>2477</v>
      </c>
      <c r="J686" s="12">
        <v>46121.439710648148</v>
      </c>
      <c r="K686" s="6" t="e" cm="1">
        <f t="array" ref="K686">LOOKUP(2^15,SEARCH(Tabela2[Palavras-Chave],Boletim[[#This Row],[Objeto]],1),Tabela2[Palavras-Chave])</f>
        <v>#N/A</v>
      </c>
    </row>
    <row r="687" spans="1:11" ht="100.8" hidden="1" x14ac:dyDescent="0.3">
      <c r="A687" s="5">
        <v>18709924</v>
      </c>
      <c r="B687" s="6" t="s">
        <v>74</v>
      </c>
      <c r="C687" s="6" t="s">
        <v>136</v>
      </c>
      <c r="D687" s="8" t="s">
        <v>78</v>
      </c>
      <c r="E687" s="6" t="s">
        <v>2472</v>
      </c>
      <c r="F687" s="6" t="s">
        <v>95</v>
      </c>
      <c r="G687" s="11" t="s">
        <v>56</v>
      </c>
      <c r="H687" s="10" t="s">
        <v>2473</v>
      </c>
      <c r="I687" s="6" t="s">
        <v>2474</v>
      </c>
      <c r="J687" s="12">
        <v>46121.439664351848</v>
      </c>
      <c r="K687" s="6" t="e" cm="1">
        <f t="array" ref="K687">LOOKUP(2^15,SEARCH(Tabela2[Palavras-Chave],Boletim[[#This Row],[Objeto]],1),Tabela2[Palavras-Chave])</f>
        <v>#N/A</v>
      </c>
    </row>
    <row r="688" spans="1:11" ht="100.8" hidden="1" x14ac:dyDescent="0.3">
      <c r="A688" s="5">
        <v>18715362</v>
      </c>
      <c r="B688" s="6" t="s">
        <v>74</v>
      </c>
      <c r="C688" s="6" t="s">
        <v>136</v>
      </c>
      <c r="D688" s="8" t="s">
        <v>78</v>
      </c>
      <c r="E688" s="6" t="s">
        <v>2475</v>
      </c>
      <c r="F688" s="6" t="s">
        <v>95</v>
      </c>
      <c r="G688" s="11" t="s">
        <v>56</v>
      </c>
      <c r="H688" s="10" t="s">
        <v>2476</v>
      </c>
      <c r="I688" s="6" t="s">
        <v>2477</v>
      </c>
      <c r="J688" s="12">
        <v>46121.439710648148</v>
      </c>
      <c r="K688" s="6" t="e" cm="1">
        <f t="array" ref="K688">LOOKUP(2^15,SEARCH(Tabela2[Palavras-Chave],Boletim[[#This Row],[Objeto]],1),Tabela2[Palavras-Chave])</f>
        <v>#N/A</v>
      </c>
    </row>
    <row r="689" spans="1:11" ht="100.8" hidden="1" x14ac:dyDescent="0.3">
      <c r="A689" s="5">
        <v>18709925</v>
      </c>
      <c r="B689" s="6" t="s">
        <v>74</v>
      </c>
      <c r="C689" s="6" t="s">
        <v>2046</v>
      </c>
      <c r="D689" s="8" t="s">
        <v>256</v>
      </c>
      <c r="E689" s="6" t="s">
        <v>2472</v>
      </c>
      <c r="F689" s="6" t="s">
        <v>95</v>
      </c>
      <c r="G689" s="11" t="s">
        <v>56</v>
      </c>
      <c r="H689" s="10" t="s">
        <v>2473</v>
      </c>
      <c r="I689" s="6" t="s">
        <v>2474</v>
      </c>
      <c r="J689" s="12">
        <v>46121.439664351848</v>
      </c>
      <c r="K689" s="6" t="e" cm="1">
        <f t="array" ref="K689">LOOKUP(2^15,SEARCH(Tabela2[Palavras-Chave],Boletim[[#This Row],[Objeto]],1),Tabela2[Palavras-Chave])</f>
        <v>#N/A</v>
      </c>
    </row>
    <row r="690" spans="1:11" ht="100.8" hidden="1" x14ac:dyDescent="0.3">
      <c r="A690" s="5">
        <v>18715363</v>
      </c>
      <c r="B690" s="6" t="s">
        <v>74</v>
      </c>
      <c r="C690" s="6" t="s">
        <v>2046</v>
      </c>
      <c r="D690" s="8" t="s">
        <v>256</v>
      </c>
      <c r="E690" s="6" t="s">
        <v>2475</v>
      </c>
      <c r="F690" s="6" t="s">
        <v>95</v>
      </c>
      <c r="G690" s="11" t="s">
        <v>56</v>
      </c>
      <c r="H690" s="10" t="s">
        <v>2476</v>
      </c>
      <c r="I690" s="6" t="s">
        <v>2477</v>
      </c>
      <c r="J690" s="12">
        <v>46121.439710648148</v>
      </c>
      <c r="K690" s="6" t="e" cm="1">
        <f t="array" ref="K690">LOOKUP(2^15,SEARCH(Tabela2[Palavras-Chave],Boletim[[#This Row],[Objeto]],1),Tabela2[Palavras-Chave])</f>
        <v>#N/A</v>
      </c>
    </row>
    <row r="691" spans="1:11" ht="100.8" hidden="1" x14ac:dyDescent="0.3">
      <c r="A691" s="13">
        <v>18709926</v>
      </c>
      <c r="B691" s="10" t="s">
        <v>74</v>
      </c>
      <c r="C691" s="10" t="s">
        <v>79</v>
      </c>
      <c r="D691" s="15" t="s">
        <v>80</v>
      </c>
      <c r="E691" s="10" t="s">
        <v>2472</v>
      </c>
      <c r="F691" s="10" t="s">
        <v>95</v>
      </c>
      <c r="G691" s="16" t="s">
        <v>56</v>
      </c>
      <c r="H691" s="10" t="s">
        <v>2473</v>
      </c>
      <c r="I691" s="10" t="s">
        <v>2474</v>
      </c>
      <c r="J691" s="17">
        <v>46121.439664351848</v>
      </c>
      <c r="K691" s="6" t="e" cm="1">
        <f t="array" ref="K691">LOOKUP(2^15,SEARCH(Tabela2[Palavras-Chave],Boletim[[#This Row],[Objeto]],1),Tabela2[Palavras-Chave])</f>
        <v>#N/A</v>
      </c>
    </row>
    <row r="692" spans="1:11" ht="100.8" hidden="1" x14ac:dyDescent="0.3">
      <c r="A692" s="5">
        <v>18715364</v>
      </c>
      <c r="B692" s="6" t="s">
        <v>74</v>
      </c>
      <c r="C692" s="6" t="s">
        <v>79</v>
      </c>
      <c r="D692" s="8" t="s">
        <v>80</v>
      </c>
      <c r="E692" s="6" t="s">
        <v>2475</v>
      </c>
      <c r="F692" s="6" t="s">
        <v>95</v>
      </c>
      <c r="G692" s="11" t="s">
        <v>56</v>
      </c>
      <c r="H692" s="10" t="s">
        <v>2476</v>
      </c>
      <c r="I692" s="6" t="s">
        <v>2477</v>
      </c>
      <c r="J692" s="12">
        <v>46121.439722222225</v>
      </c>
      <c r="K692" s="6" t="e" cm="1">
        <f t="array" ref="K692">LOOKUP(2^15,SEARCH(Tabela2[Palavras-Chave],Boletim[[#This Row],[Objeto]],1),Tabela2[Palavras-Chave])</f>
        <v>#N/A</v>
      </c>
    </row>
    <row r="693" spans="1:11" ht="273.60000000000002" hidden="1" x14ac:dyDescent="0.3">
      <c r="A693" s="5">
        <v>18768050</v>
      </c>
      <c r="B693" s="6" t="s">
        <v>2593</v>
      </c>
      <c r="C693" s="6" t="s">
        <v>2594</v>
      </c>
      <c r="D693" s="8" t="s">
        <v>80</v>
      </c>
      <c r="E693" s="6" t="s">
        <v>171</v>
      </c>
      <c r="F693" s="6" t="s">
        <v>95</v>
      </c>
      <c r="G693" s="11" t="s">
        <v>56</v>
      </c>
      <c r="H693" s="10" t="s">
        <v>2595</v>
      </c>
      <c r="I693" s="6" t="s">
        <v>2596</v>
      </c>
      <c r="J693" s="12">
        <v>46121.518101851849</v>
      </c>
      <c r="K693" s="6" t="e" cm="1">
        <f t="array" ref="K693">LOOKUP(2^15,SEARCH(Tabela2[Palavras-Chave],Boletim[[#This Row],[Objeto]],1),Tabela2[Palavras-Chave])</f>
        <v>#N/A</v>
      </c>
    </row>
    <row r="694" spans="1:11" ht="129.6" hidden="1" x14ac:dyDescent="0.3">
      <c r="A694" s="5">
        <v>18710608</v>
      </c>
      <c r="B694" s="6" t="s">
        <v>2597</v>
      </c>
      <c r="C694" s="6" t="s">
        <v>79</v>
      </c>
      <c r="D694" s="8" t="s">
        <v>80</v>
      </c>
      <c r="E694" s="6" t="s">
        <v>183</v>
      </c>
      <c r="F694" s="6" t="s">
        <v>95</v>
      </c>
      <c r="G694" s="11" t="s">
        <v>56</v>
      </c>
      <c r="H694" s="10" t="s">
        <v>2598</v>
      </c>
      <c r="I694" s="6" t="s">
        <v>2599</v>
      </c>
      <c r="J694" s="12">
        <v>46121.550729166665</v>
      </c>
      <c r="K694" s="6" t="e" cm="1">
        <f t="array" ref="K694">LOOKUP(2^15,SEARCH(Tabela2[Palavras-Chave],Boletim[[#This Row],[Objeto]],1),Tabela2[Palavras-Chave])</f>
        <v>#N/A</v>
      </c>
    </row>
    <row r="695" spans="1:11" ht="115.2" hidden="1" x14ac:dyDescent="0.3">
      <c r="A695" s="5">
        <v>18772524</v>
      </c>
      <c r="B695" s="6" t="s">
        <v>2600</v>
      </c>
      <c r="C695" s="6" t="s">
        <v>2601</v>
      </c>
      <c r="D695" s="8" t="s">
        <v>80</v>
      </c>
      <c r="E695" s="6" t="s">
        <v>117</v>
      </c>
      <c r="F695" s="6" t="s">
        <v>95</v>
      </c>
      <c r="G695" s="11">
        <v>46135.34375</v>
      </c>
      <c r="H695" s="10" t="s">
        <v>2602</v>
      </c>
      <c r="I695" s="6" t="s">
        <v>2603</v>
      </c>
      <c r="J695" s="12">
        <v>46121.581273148149</v>
      </c>
      <c r="K695" s="6" t="e" cm="1">
        <f t="array" ref="K695">LOOKUP(2^15,SEARCH(Tabela2[Palavras-Chave],Boletim[[#This Row],[Objeto]],1),Tabela2[Palavras-Chave])</f>
        <v>#N/A</v>
      </c>
    </row>
    <row r="696" spans="1:11" ht="100.8" hidden="1" x14ac:dyDescent="0.3">
      <c r="A696" s="5">
        <v>18709927</v>
      </c>
      <c r="B696" s="6" t="s">
        <v>74</v>
      </c>
      <c r="C696" s="6" t="s">
        <v>104</v>
      </c>
      <c r="D696" s="8" t="s">
        <v>81</v>
      </c>
      <c r="E696" s="6" t="s">
        <v>2472</v>
      </c>
      <c r="F696" s="6" t="s">
        <v>95</v>
      </c>
      <c r="G696" s="11" t="s">
        <v>56</v>
      </c>
      <c r="H696" s="10" t="s">
        <v>2473</v>
      </c>
      <c r="I696" s="6" t="s">
        <v>2474</v>
      </c>
      <c r="J696" s="12">
        <v>46121.439664351848</v>
      </c>
      <c r="K696" s="6" t="e" cm="1">
        <f t="array" ref="K696">LOOKUP(2^15,SEARCH(Tabela2[Palavras-Chave],Boletim[[#This Row],[Objeto]],1),Tabela2[Palavras-Chave])</f>
        <v>#N/A</v>
      </c>
    </row>
    <row r="697" spans="1:11" ht="100.8" hidden="1" x14ac:dyDescent="0.3">
      <c r="A697" s="5">
        <v>18715365</v>
      </c>
      <c r="B697" s="6" t="s">
        <v>74</v>
      </c>
      <c r="C697" s="6" t="s">
        <v>104</v>
      </c>
      <c r="D697" s="8" t="s">
        <v>81</v>
      </c>
      <c r="E697" s="6" t="s">
        <v>2475</v>
      </c>
      <c r="F697" s="6" t="s">
        <v>95</v>
      </c>
      <c r="G697" s="11" t="s">
        <v>56</v>
      </c>
      <c r="H697" s="10" t="s">
        <v>2476</v>
      </c>
      <c r="I697" s="6" t="s">
        <v>2477</v>
      </c>
      <c r="J697" s="12">
        <v>46121.439722222225</v>
      </c>
      <c r="K697" s="6" t="e" cm="1">
        <f t="array" ref="K697">LOOKUP(2^15,SEARCH(Tabela2[Palavras-Chave],Boletim[[#This Row],[Objeto]],1),Tabela2[Palavras-Chave])</f>
        <v>#N/A</v>
      </c>
    </row>
    <row r="698" spans="1:11" ht="259.2" hidden="1" x14ac:dyDescent="0.3">
      <c r="A698" s="5">
        <v>18693221</v>
      </c>
      <c r="B698" s="6" t="s">
        <v>690</v>
      </c>
      <c r="C698" s="6" t="s">
        <v>691</v>
      </c>
      <c r="D698" s="8" t="s">
        <v>81</v>
      </c>
      <c r="E698" s="6" t="s">
        <v>300</v>
      </c>
      <c r="F698" s="6" t="s">
        <v>95</v>
      </c>
      <c r="G698" s="11" t="s">
        <v>56</v>
      </c>
      <c r="H698" s="10" t="s">
        <v>2604</v>
      </c>
      <c r="I698" s="6" t="s">
        <v>2605</v>
      </c>
      <c r="J698" s="12">
        <v>46121.470173611109</v>
      </c>
      <c r="K698" s="6" t="e" cm="1">
        <f t="array" ref="K698">LOOKUP(2^15,SEARCH(Tabela2[Palavras-Chave],Boletim[[#This Row],[Objeto]],1),Tabela2[Palavras-Chave])</f>
        <v>#N/A</v>
      </c>
    </row>
    <row r="699" spans="1:11" ht="115.2" hidden="1" x14ac:dyDescent="0.3">
      <c r="A699" s="5">
        <v>18779114</v>
      </c>
      <c r="B699" s="6" t="s">
        <v>2606</v>
      </c>
      <c r="C699" s="6" t="s">
        <v>2607</v>
      </c>
      <c r="D699" s="8" t="s">
        <v>81</v>
      </c>
      <c r="E699" s="6" t="s">
        <v>505</v>
      </c>
      <c r="F699" s="6" t="s">
        <v>95</v>
      </c>
      <c r="G699" s="11">
        <v>46135.374305555553</v>
      </c>
      <c r="H699" s="10" t="s">
        <v>2608</v>
      </c>
      <c r="I699" s="6" t="s">
        <v>2609</v>
      </c>
      <c r="J699" s="12">
        <v>46121.564618055556</v>
      </c>
      <c r="K699" s="6" t="e" cm="1">
        <f t="array" ref="K699">LOOKUP(2^15,SEARCH(Tabela2[Palavras-Chave],Boletim[[#This Row],[Objeto]],1),Tabela2[Palavras-Chave])</f>
        <v>#N/A</v>
      </c>
    </row>
    <row r="700" spans="1:11" ht="115.2" hidden="1" x14ac:dyDescent="0.3">
      <c r="A700" s="5">
        <v>18770175</v>
      </c>
      <c r="B700" s="6" t="s">
        <v>2610</v>
      </c>
      <c r="C700" s="6" t="s">
        <v>2611</v>
      </c>
      <c r="D700" s="8" t="s">
        <v>81</v>
      </c>
      <c r="E700" s="6" t="s">
        <v>126</v>
      </c>
      <c r="F700" s="6" t="s">
        <v>95</v>
      </c>
      <c r="G700" s="11">
        <v>46136.347222222219</v>
      </c>
      <c r="H700" s="10" t="s">
        <v>2612</v>
      </c>
      <c r="I700" s="6" t="s">
        <v>2613</v>
      </c>
      <c r="J700" s="12">
        <v>46121.582905092589</v>
      </c>
      <c r="K700" s="6" t="e" cm="1">
        <f t="array" ref="K700">LOOKUP(2^15,SEARCH(Tabela2[Palavras-Chave],Boletim[[#This Row],[Objeto]],1),Tabela2[Palavras-Chave])</f>
        <v>#N/A</v>
      </c>
    </row>
    <row r="701" spans="1:11" ht="288" hidden="1" x14ac:dyDescent="0.3">
      <c r="A701" s="5">
        <v>18789248</v>
      </c>
      <c r="B701" s="6" t="s">
        <v>2186</v>
      </c>
      <c r="C701" s="6" t="s">
        <v>2187</v>
      </c>
      <c r="D701" s="8" t="s">
        <v>81</v>
      </c>
      <c r="E701" s="6" t="s">
        <v>135</v>
      </c>
      <c r="F701" s="6" t="s">
        <v>95</v>
      </c>
      <c r="G701" s="11" t="s">
        <v>56</v>
      </c>
      <c r="H701" s="10" t="s">
        <v>2614</v>
      </c>
      <c r="I701" s="6" t="s">
        <v>2615</v>
      </c>
      <c r="J701" s="12">
        <v>46121.671863425923</v>
      </c>
      <c r="K701" s="6" t="e" cm="1">
        <f t="array" ref="K701">LOOKUP(2^15,SEARCH(Tabela2[Palavras-Chave],Boletim[[#This Row],[Objeto]],1),Tabela2[Palavras-Chave])</f>
        <v>#N/A</v>
      </c>
    </row>
    <row r="702" spans="1:11" ht="100.8" hidden="1" x14ac:dyDescent="0.3">
      <c r="A702" s="5">
        <v>18795523</v>
      </c>
      <c r="B702" s="6" t="s">
        <v>579</v>
      </c>
      <c r="C702" s="6" t="s">
        <v>580</v>
      </c>
      <c r="D702" s="8" t="s">
        <v>93</v>
      </c>
      <c r="E702" s="6" t="s">
        <v>115</v>
      </c>
      <c r="F702" s="6" t="s">
        <v>95</v>
      </c>
      <c r="G702" s="11" t="s">
        <v>56</v>
      </c>
      <c r="H702" s="10" t="s">
        <v>581</v>
      </c>
      <c r="I702" s="6" t="s">
        <v>582</v>
      </c>
      <c r="J702" s="12">
        <v>46121.38821759259</v>
      </c>
      <c r="K702" s="6" t="e" cm="1">
        <f t="array" ref="K702">LOOKUP(2^15,SEARCH(Tabela2[Palavras-Chave],Boletim[[#This Row],[Objeto]],1),Tabela2[Palavras-Chave])</f>
        <v>#N/A</v>
      </c>
    </row>
    <row r="703" spans="1:11" ht="100.8" hidden="1" x14ac:dyDescent="0.3">
      <c r="A703" s="5">
        <v>18709929</v>
      </c>
      <c r="B703" s="6" t="s">
        <v>74</v>
      </c>
      <c r="C703" s="6" t="s">
        <v>160</v>
      </c>
      <c r="D703" s="8" t="s">
        <v>93</v>
      </c>
      <c r="E703" s="6" t="s">
        <v>2472</v>
      </c>
      <c r="F703" s="6" t="s">
        <v>95</v>
      </c>
      <c r="G703" s="11" t="s">
        <v>56</v>
      </c>
      <c r="H703" s="10" t="s">
        <v>2473</v>
      </c>
      <c r="I703" s="6" t="s">
        <v>2474</v>
      </c>
      <c r="J703" s="12">
        <v>46121.439664351848</v>
      </c>
      <c r="K703" s="6" t="e" cm="1">
        <f t="array" ref="K703">LOOKUP(2^15,SEARCH(Tabela2[Palavras-Chave],Boletim[[#This Row],[Objeto]],1),Tabela2[Palavras-Chave])</f>
        <v>#N/A</v>
      </c>
    </row>
    <row r="704" spans="1:11" ht="100.8" hidden="1" x14ac:dyDescent="0.3">
      <c r="A704" s="5">
        <v>18715366</v>
      </c>
      <c r="B704" s="6" t="s">
        <v>74</v>
      </c>
      <c r="C704" s="6" t="s">
        <v>160</v>
      </c>
      <c r="D704" s="8" t="s">
        <v>93</v>
      </c>
      <c r="E704" s="6" t="s">
        <v>2475</v>
      </c>
      <c r="F704" s="6" t="s">
        <v>95</v>
      </c>
      <c r="G704" s="11" t="s">
        <v>56</v>
      </c>
      <c r="H704" s="10" t="s">
        <v>2476</v>
      </c>
      <c r="I704" s="6" t="s">
        <v>2477</v>
      </c>
      <c r="J704" s="12">
        <v>46121.439722222225</v>
      </c>
      <c r="K704" s="6" t="e" cm="1">
        <f t="array" ref="K704">LOOKUP(2^15,SEARCH(Tabela2[Palavras-Chave],Boletim[[#This Row],[Objeto]],1),Tabela2[Palavras-Chave])</f>
        <v>#N/A</v>
      </c>
    </row>
    <row r="705" spans="1:11" ht="100.8" hidden="1" x14ac:dyDescent="0.3">
      <c r="A705" s="5">
        <v>18657365</v>
      </c>
      <c r="B705" s="6" t="s">
        <v>2616</v>
      </c>
      <c r="C705" s="6" t="s">
        <v>2617</v>
      </c>
      <c r="D705" s="8" t="s">
        <v>93</v>
      </c>
      <c r="E705" s="6" t="s">
        <v>117</v>
      </c>
      <c r="F705" s="6" t="s">
        <v>95</v>
      </c>
      <c r="G705" s="11" t="s">
        <v>56</v>
      </c>
      <c r="H705" s="10" t="s">
        <v>2618</v>
      </c>
      <c r="I705" s="6" t="s">
        <v>2619</v>
      </c>
      <c r="J705" s="12">
        <v>46121.466423611113</v>
      </c>
      <c r="K705" s="6" t="e" cm="1">
        <f t="array" ref="K705">LOOKUP(2^15,SEARCH(Tabela2[Palavras-Chave],Boletim[[#This Row],[Objeto]],1),Tabela2[Palavras-Chave])</f>
        <v>#N/A</v>
      </c>
    </row>
    <row r="706" spans="1:11" ht="72" hidden="1" x14ac:dyDescent="0.3">
      <c r="A706" s="5">
        <v>18520560</v>
      </c>
      <c r="B706" s="6" t="s">
        <v>74</v>
      </c>
      <c r="C706" s="6" t="s">
        <v>83</v>
      </c>
      <c r="D706" s="8" t="s">
        <v>82</v>
      </c>
      <c r="E706" s="6" t="s">
        <v>2576</v>
      </c>
      <c r="F706" s="6" t="s">
        <v>95</v>
      </c>
      <c r="G706" s="11" t="s">
        <v>56</v>
      </c>
      <c r="H706" s="10" t="s">
        <v>2577</v>
      </c>
      <c r="I706" s="6" t="s">
        <v>2578</v>
      </c>
      <c r="J706" s="12">
        <v>46121.438935185186</v>
      </c>
      <c r="K706" s="6" t="e" cm="1">
        <f t="array" ref="K706">LOOKUP(2^15,SEARCH(Tabela2[Palavras-Chave],Boletim[[#This Row],[Objeto]],1),Tabela2[Palavras-Chave])</f>
        <v>#N/A</v>
      </c>
    </row>
    <row r="707" spans="1:11" ht="100.8" hidden="1" x14ac:dyDescent="0.3">
      <c r="A707" s="5">
        <v>18709931</v>
      </c>
      <c r="B707" s="6" t="s">
        <v>74</v>
      </c>
      <c r="C707" s="6" t="s">
        <v>83</v>
      </c>
      <c r="D707" s="8" t="s">
        <v>82</v>
      </c>
      <c r="E707" s="6" t="s">
        <v>2472</v>
      </c>
      <c r="F707" s="6" t="s">
        <v>95</v>
      </c>
      <c r="G707" s="11" t="s">
        <v>56</v>
      </c>
      <c r="H707" s="10" t="s">
        <v>2473</v>
      </c>
      <c r="I707" s="6" t="s">
        <v>2474</v>
      </c>
      <c r="J707" s="12">
        <v>46121.439675925925</v>
      </c>
      <c r="K707" s="6" t="e" cm="1">
        <f t="array" ref="K707">LOOKUP(2^15,SEARCH(Tabela2[Palavras-Chave],Boletim[[#This Row],[Objeto]],1),Tabela2[Palavras-Chave])</f>
        <v>#N/A</v>
      </c>
    </row>
    <row r="708" spans="1:11" ht="100.8" hidden="1" x14ac:dyDescent="0.3">
      <c r="A708" s="5">
        <v>18715368</v>
      </c>
      <c r="B708" s="6" t="s">
        <v>74</v>
      </c>
      <c r="C708" s="6" t="s">
        <v>83</v>
      </c>
      <c r="D708" s="8" t="s">
        <v>82</v>
      </c>
      <c r="E708" s="6" t="s">
        <v>2475</v>
      </c>
      <c r="F708" s="6" t="s">
        <v>95</v>
      </c>
      <c r="G708" s="11" t="s">
        <v>56</v>
      </c>
      <c r="H708" s="10" t="s">
        <v>2476</v>
      </c>
      <c r="I708" s="6" t="s">
        <v>2477</v>
      </c>
      <c r="J708" s="12">
        <v>46121.439722222225</v>
      </c>
      <c r="K708" s="6" t="e" cm="1">
        <f t="array" ref="K708">LOOKUP(2^15,SEARCH(Tabela2[Palavras-Chave],Boletim[[#This Row],[Objeto]],1),Tabela2[Palavras-Chave])</f>
        <v>#N/A</v>
      </c>
    </row>
    <row r="709" spans="1:11" ht="72" hidden="1" x14ac:dyDescent="0.3">
      <c r="A709" s="5">
        <v>18770026</v>
      </c>
      <c r="B709" s="6" t="s">
        <v>74</v>
      </c>
      <c r="C709" s="6" t="s">
        <v>83</v>
      </c>
      <c r="D709" s="8" t="s">
        <v>82</v>
      </c>
      <c r="E709" s="6" t="s">
        <v>2579</v>
      </c>
      <c r="F709" s="6" t="s">
        <v>95</v>
      </c>
      <c r="G709" s="11" t="s">
        <v>56</v>
      </c>
      <c r="H709" s="10" t="s">
        <v>2580</v>
      </c>
      <c r="I709" s="6" t="s">
        <v>2581</v>
      </c>
      <c r="J709" s="12">
        <v>46121.441006944442</v>
      </c>
      <c r="K709" s="6" t="e" cm="1">
        <f t="array" ref="K709">LOOKUP(2^15,SEARCH(Tabela2[Palavras-Chave],Boletim[[#This Row],[Objeto]],1),Tabela2[Palavras-Chave])</f>
        <v>#N/A</v>
      </c>
    </row>
    <row r="710" spans="1:11" ht="72" hidden="1" x14ac:dyDescent="0.3">
      <c r="A710" s="5">
        <v>18790079</v>
      </c>
      <c r="B710" s="6" t="s">
        <v>74</v>
      </c>
      <c r="C710" s="6" t="s">
        <v>83</v>
      </c>
      <c r="D710" s="8" t="s">
        <v>82</v>
      </c>
      <c r="E710" s="6" t="s">
        <v>2492</v>
      </c>
      <c r="F710" s="6" t="s">
        <v>95</v>
      </c>
      <c r="G710" s="11" t="s">
        <v>56</v>
      </c>
      <c r="H710" s="10" t="s">
        <v>2493</v>
      </c>
      <c r="I710" s="6" t="s">
        <v>2494</v>
      </c>
      <c r="J710" s="12">
        <v>46121.441030092596</v>
      </c>
      <c r="K710" s="6" t="e" cm="1">
        <f t="array" ref="K710">LOOKUP(2^15,SEARCH(Tabela2[Palavras-Chave],Boletim[[#This Row],[Objeto]],1),Tabela2[Palavras-Chave])</f>
        <v>#N/A</v>
      </c>
    </row>
    <row r="711" spans="1:11" ht="100.8" hidden="1" x14ac:dyDescent="0.3">
      <c r="A711" s="5">
        <v>18660046</v>
      </c>
      <c r="B711" s="6" t="s">
        <v>2620</v>
      </c>
      <c r="C711" s="6" t="s">
        <v>2621</v>
      </c>
      <c r="D711" s="8" t="s">
        <v>82</v>
      </c>
      <c r="E711" s="6" t="s">
        <v>152</v>
      </c>
      <c r="F711" s="6" t="s">
        <v>95</v>
      </c>
      <c r="G711" s="11" t="s">
        <v>56</v>
      </c>
      <c r="H711" s="10" t="s">
        <v>2622</v>
      </c>
      <c r="I711" s="6" t="s">
        <v>2623</v>
      </c>
      <c r="J711" s="12">
        <v>46121.575775462959</v>
      </c>
      <c r="K711" s="6" t="e" cm="1">
        <f t="array" ref="K711">LOOKUP(2^15,SEARCH(Tabela2[Palavras-Chave],Boletim[[#This Row],[Objeto]],1),Tabela2[Palavras-Chave])</f>
        <v>#N/A</v>
      </c>
    </row>
    <row r="712" spans="1:11" ht="100.8" hidden="1" x14ac:dyDescent="0.3">
      <c r="A712" s="5">
        <v>18769849</v>
      </c>
      <c r="B712" s="6" t="s">
        <v>2624</v>
      </c>
      <c r="C712" s="6" t="s">
        <v>2625</v>
      </c>
      <c r="D712" s="8" t="s">
        <v>82</v>
      </c>
      <c r="E712" s="6" t="s">
        <v>240</v>
      </c>
      <c r="F712" s="6" t="s">
        <v>95</v>
      </c>
      <c r="G712" s="11" t="s">
        <v>56</v>
      </c>
      <c r="H712" s="10" t="s">
        <v>2626</v>
      </c>
      <c r="I712" s="6" t="s">
        <v>2627</v>
      </c>
      <c r="J712" s="12">
        <v>46121.727824074071</v>
      </c>
      <c r="K712" s="6" t="e" cm="1">
        <f t="array" ref="K712">LOOKUP(2^15,SEARCH(Tabela2[Palavras-Chave],Boletim[[#This Row],[Objeto]],1),Tabela2[Palavras-Chave])</f>
        <v>#N/A</v>
      </c>
    </row>
    <row r="713" spans="1:11" ht="100.8" hidden="1" x14ac:dyDescent="0.3">
      <c r="A713" s="5">
        <v>18736762</v>
      </c>
      <c r="B713" s="6" t="s">
        <v>2628</v>
      </c>
      <c r="C713" s="6" t="s">
        <v>2629</v>
      </c>
      <c r="D713" s="8" t="s">
        <v>82</v>
      </c>
      <c r="E713" s="6" t="s">
        <v>117</v>
      </c>
      <c r="F713" s="6" t="s">
        <v>95</v>
      </c>
      <c r="G713" s="11" t="s">
        <v>56</v>
      </c>
      <c r="H713" s="10" t="s">
        <v>2630</v>
      </c>
      <c r="I713" s="6" t="s">
        <v>2631</v>
      </c>
      <c r="J713" s="12">
        <v>46121.73201388889</v>
      </c>
      <c r="K713" s="6" t="e" cm="1">
        <f t="array" ref="K713">LOOKUP(2^15,SEARCH(Tabela2[Palavras-Chave],Boletim[[#This Row],[Objeto]],1),Tabela2[Palavras-Chave])</f>
        <v>#N/A</v>
      </c>
    </row>
    <row r="714" spans="1:11" ht="100.8" hidden="1" x14ac:dyDescent="0.3">
      <c r="A714" s="5">
        <v>18789900</v>
      </c>
      <c r="B714" s="6" t="s">
        <v>2632</v>
      </c>
      <c r="C714" s="6" t="s">
        <v>2633</v>
      </c>
      <c r="D714" s="8" t="s">
        <v>82</v>
      </c>
      <c r="E714" s="6" t="s">
        <v>441</v>
      </c>
      <c r="F714" s="6" t="s">
        <v>95</v>
      </c>
      <c r="G714" s="11" t="s">
        <v>56</v>
      </c>
      <c r="H714" s="10" t="s">
        <v>2634</v>
      </c>
      <c r="I714" s="6" t="s">
        <v>2635</v>
      </c>
      <c r="J714" s="12">
        <v>46121.816574074073</v>
      </c>
      <c r="K714" s="6" t="e" cm="1">
        <f t="array" ref="K714">LOOKUP(2^15,SEARCH(Tabela2[Palavras-Chave],Boletim[[#This Row],[Objeto]],1),Tabela2[Palavras-Chave])</f>
        <v>#N/A</v>
      </c>
    </row>
    <row r="715" spans="1:11" ht="43.2" hidden="1" x14ac:dyDescent="0.3">
      <c r="A715" s="5">
        <v>18806301</v>
      </c>
      <c r="B715" s="6" t="s">
        <v>251</v>
      </c>
      <c r="C715" s="6" t="s">
        <v>252</v>
      </c>
      <c r="D715" s="8" t="s">
        <v>82</v>
      </c>
      <c r="E715" s="6" t="s">
        <v>108</v>
      </c>
      <c r="F715" s="6" t="s">
        <v>95</v>
      </c>
      <c r="G715" s="11">
        <v>46181.375</v>
      </c>
      <c r="H715" s="10" t="s">
        <v>384</v>
      </c>
      <c r="I715" s="6" t="s">
        <v>385</v>
      </c>
      <c r="J715" s="12">
        <v>46121.858564814815</v>
      </c>
      <c r="K715" s="6" t="e" cm="1">
        <f t="array" ref="K715">LOOKUP(2^15,SEARCH(Tabela2[Palavras-Chave],Boletim[[#This Row],[Objeto]],1),Tabela2[Palavras-Chave])</f>
        <v>#N/A</v>
      </c>
    </row>
    <row r="716" spans="1:11" ht="100.8" hidden="1" x14ac:dyDescent="0.3">
      <c r="A716" s="5">
        <v>18709932</v>
      </c>
      <c r="B716" s="6" t="s">
        <v>74</v>
      </c>
      <c r="C716" s="6" t="s">
        <v>2429</v>
      </c>
      <c r="D716" s="8" t="s">
        <v>84</v>
      </c>
      <c r="E716" s="6" t="s">
        <v>2472</v>
      </c>
      <c r="F716" s="6" t="s">
        <v>95</v>
      </c>
      <c r="G716" s="11" t="s">
        <v>56</v>
      </c>
      <c r="H716" s="10" t="s">
        <v>2473</v>
      </c>
      <c r="I716" s="6" t="s">
        <v>2474</v>
      </c>
      <c r="J716" s="12">
        <v>46121.439675925925</v>
      </c>
      <c r="K716" s="6" t="e" cm="1">
        <f t="array" ref="K716">LOOKUP(2^15,SEARCH(Tabela2[Palavras-Chave],Boletim[[#This Row],[Objeto]],1),Tabela2[Palavras-Chave])</f>
        <v>#N/A</v>
      </c>
    </row>
    <row r="717" spans="1:11" ht="100.8" hidden="1" x14ac:dyDescent="0.3">
      <c r="A717" s="5">
        <v>18715369</v>
      </c>
      <c r="B717" s="6" t="s">
        <v>74</v>
      </c>
      <c r="C717" s="6" t="s">
        <v>2429</v>
      </c>
      <c r="D717" s="8" t="s">
        <v>84</v>
      </c>
      <c r="E717" s="6" t="s">
        <v>2475</v>
      </c>
      <c r="F717" s="6" t="s">
        <v>95</v>
      </c>
      <c r="G717" s="11" t="s">
        <v>56</v>
      </c>
      <c r="H717" s="10" t="s">
        <v>2476</v>
      </c>
      <c r="I717" s="6" t="s">
        <v>2477</v>
      </c>
      <c r="J717" s="12">
        <v>46121.439722222225</v>
      </c>
      <c r="K717" s="6" t="e" cm="1">
        <f t="array" ref="K717">LOOKUP(2^15,SEARCH(Tabela2[Palavras-Chave],Boletim[[#This Row],[Objeto]],1),Tabela2[Palavras-Chave])</f>
        <v>#N/A</v>
      </c>
    </row>
    <row r="718" spans="1:11" ht="100.8" hidden="1" x14ac:dyDescent="0.3">
      <c r="A718" s="5">
        <v>18768720</v>
      </c>
      <c r="B718" s="6" t="s">
        <v>2636</v>
      </c>
      <c r="C718" s="6" t="s">
        <v>2637</v>
      </c>
      <c r="D718" s="8" t="s">
        <v>64</v>
      </c>
      <c r="E718" s="6" t="s">
        <v>307</v>
      </c>
      <c r="F718" s="6" t="s">
        <v>184</v>
      </c>
      <c r="G718" s="11">
        <v>46134.334027777775</v>
      </c>
      <c r="H718" s="10" t="s">
        <v>2638</v>
      </c>
      <c r="I718" s="6" t="s">
        <v>2639</v>
      </c>
      <c r="J718" s="12">
        <v>46121.575729166667</v>
      </c>
      <c r="K718" s="6" t="e" cm="1">
        <f t="array" ref="K718">LOOKUP(2^15,SEARCH(Tabela2[Palavras-Chave],Boletim[[#This Row],[Objeto]],1),Tabela2[Palavras-Chave])</f>
        <v>#N/A</v>
      </c>
    </row>
    <row r="719" spans="1:11" ht="158.4" hidden="1" x14ac:dyDescent="0.3">
      <c r="A719" s="5">
        <v>18761147</v>
      </c>
      <c r="B719" s="6" t="s">
        <v>2640</v>
      </c>
      <c r="C719" s="6" t="s">
        <v>194</v>
      </c>
      <c r="D719" s="8" t="s">
        <v>66</v>
      </c>
      <c r="E719" s="6" t="s">
        <v>2641</v>
      </c>
      <c r="F719" s="6" t="s">
        <v>184</v>
      </c>
      <c r="G719" s="11">
        <v>46139.333333333336</v>
      </c>
      <c r="H719" s="10" t="s">
        <v>2642</v>
      </c>
      <c r="I719" s="6" t="s">
        <v>2643</v>
      </c>
      <c r="J719" s="12">
        <v>46121.534085648149</v>
      </c>
      <c r="K719" s="6" t="e" cm="1">
        <f t="array" ref="K719">LOOKUP(2^15,SEARCH(Tabela2[Palavras-Chave],Boletim[[#This Row],[Objeto]],1),Tabela2[Palavras-Chave])</f>
        <v>#N/A</v>
      </c>
    </row>
    <row r="720" spans="1:11" ht="115.2" hidden="1" x14ac:dyDescent="0.3">
      <c r="A720" s="5">
        <v>18806966</v>
      </c>
      <c r="B720" s="6" t="s">
        <v>2644</v>
      </c>
      <c r="C720" s="6" t="s">
        <v>2645</v>
      </c>
      <c r="D720" s="8" t="s">
        <v>77</v>
      </c>
      <c r="E720" s="6" t="s">
        <v>135</v>
      </c>
      <c r="F720" s="6" t="s">
        <v>184</v>
      </c>
      <c r="G720" s="11">
        <v>46134.333333333336</v>
      </c>
      <c r="H720" s="10" t="s">
        <v>2646</v>
      </c>
      <c r="I720" s="6" t="s">
        <v>2647</v>
      </c>
      <c r="J720" s="12">
        <v>46121.583425925928</v>
      </c>
      <c r="K720" s="6" t="e" cm="1">
        <f t="array" ref="K720">LOOKUP(2^15,SEARCH(Tabela2[Palavras-Chave],Boletim[[#This Row],[Objeto]],1),Tabela2[Palavras-Chave])</f>
        <v>#N/A</v>
      </c>
    </row>
    <row r="721" spans="1:11" ht="129.6" hidden="1" x14ac:dyDescent="0.3">
      <c r="A721" s="5">
        <v>18780924</v>
      </c>
      <c r="B721" s="6" t="s">
        <v>2648</v>
      </c>
      <c r="C721" s="6" t="s">
        <v>2649</v>
      </c>
      <c r="D721" s="8" t="s">
        <v>82</v>
      </c>
      <c r="E721" s="6" t="s">
        <v>202</v>
      </c>
      <c r="F721" s="6" t="s">
        <v>184</v>
      </c>
      <c r="G721" s="11">
        <v>46129.354166666664</v>
      </c>
      <c r="H721" s="10" t="s">
        <v>2650</v>
      </c>
      <c r="I721" s="6" t="s">
        <v>2651</v>
      </c>
      <c r="J721" s="12">
        <v>46121.635474537034</v>
      </c>
      <c r="K721" s="6" t="e" cm="1">
        <f t="array" ref="K721">LOOKUP(2^15,SEARCH(Tabela2[Palavras-Chave],Boletim[[#This Row],[Objeto]],1),Tabela2[Palavras-Chave])</f>
        <v>#N/A</v>
      </c>
    </row>
    <row r="722" spans="1:11" ht="259.2" hidden="1" x14ac:dyDescent="0.3">
      <c r="A722" s="5">
        <v>18734079</v>
      </c>
      <c r="B722" s="6" t="s">
        <v>197</v>
      </c>
      <c r="C722" s="6" t="s">
        <v>198</v>
      </c>
      <c r="D722" s="8" t="s">
        <v>64</v>
      </c>
      <c r="E722" s="6" t="s">
        <v>450</v>
      </c>
      <c r="F722" s="6" t="s">
        <v>96</v>
      </c>
      <c r="G722" s="11" t="s">
        <v>56</v>
      </c>
      <c r="H722" s="10" t="s">
        <v>2652</v>
      </c>
      <c r="I722" s="6" t="s">
        <v>2653</v>
      </c>
      <c r="J722" s="12">
        <v>46121.615347222221</v>
      </c>
      <c r="K722" s="6" t="e" cm="1">
        <f t="array" ref="K722">LOOKUP(2^15,SEARCH(Tabela2[Palavras-Chave],Boletim[[#This Row],[Objeto]],1),Tabela2[Palavras-Chave])</f>
        <v>#N/A</v>
      </c>
    </row>
    <row r="723" spans="1:11" ht="158.4" hidden="1" x14ac:dyDescent="0.3">
      <c r="A723" s="5">
        <v>18756821</v>
      </c>
      <c r="B723" s="6" t="s">
        <v>2654</v>
      </c>
      <c r="C723" s="6" t="s">
        <v>2655</v>
      </c>
      <c r="D723" s="8" t="s">
        <v>66</v>
      </c>
      <c r="E723" s="6" t="s">
        <v>451</v>
      </c>
      <c r="F723" s="6" t="s">
        <v>96</v>
      </c>
      <c r="G723" s="11">
        <v>46140.416666666664</v>
      </c>
      <c r="H723" s="10" t="s">
        <v>2656</v>
      </c>
      <c r="I723" s="6" t="s">
        <v>2657</v>
      </c>
      <c r="J723" s="12">
        <v>46121.534062500003</v>
      </c>
      <c r="K723" s="6" t="e" cm="1">
        <f t="array" ref="K723">LOOKUP(2^15,SEARCH(Tabela2[Palavras-Chave],Boletim[[#This Row],[Objeto]],1),Tabela2[Palavras-Chave])</f>
        <v>#N/A</v>
      </c>
    </row>
    <row r="724" spans="1:11" ht="230.4" hidden="1" x14ac:dyDescent="0.3">
      <c r="A724" s="5">
        <v>18733827</v>
      </c>
      <c r="B724" s="6" t="s">
        <v>2658</v>
      </c>
      <c r="C724" s="6" t="s">
        <v>130</v>
      </c>
      <c r="D724" s="8" t="s">
        <v>68</v>
      </c>
      <c r="E724" s="6" t="s">
        <v>2659</v>
      </c>
      <c r="F724" s="6" t="s">
        <v>96</v>
      </c>
      <c r="G724" s="11" t="s">
        <v>56</v>
      </c>
      <c r="H724" s="10" t="s">
        <v>2660</v>
      </c>
      <c r="I724" s="6" t="s">
        <v>2661</v>
      </c>
      <c r="J724" s="12">
        <v>46121.761840277781</v>
      </c>
      <c r="K724" s="6" t="e" cm="1">
        <f t="array" ref="K724">LOOKUP(2^15,SEARCH(Tabela2[Palavras-Chave],Boletim[[#This Row],[Objeto]],1),Tabela2[Palavras-Chave])</f>
        <v>#N/A</v>
      </c>
    </row>
    <row r="725" spans="1:11" ht="409.6" hidden="1" x14ac:dyDescent="0.3">
      <c r="A725" s="5">
        <v>18685585</v>
      </c>
      <c r="B725" s="6" t="s">
        <v>2662</v>
      </c>
      <c r="C725" s="6" t="s">
        <v>136</v>
      </c>
      <c r="D725" s="8" t="s">
        <v>78</v>
      </c>
      <c r="E725" s="6" t="s">
        <v>2663</v>
      </c>
      <c r="F725" s="6" t="s">
        <v>96</v>
      </c>
      <c r="G725" s="11">
        <v>46139.416666666664</v>
      </c>
      <c r="H725" s="10" t="s">
        <v>2664</v>
      </c>
      <c r="I725" s="6" t="s">
        <v>2665</v>
      </c>
      <c r="J725" s="12">
        <v>46121.569537037038</v>
      </c>
      <c r="K725" s="6" t="e" cm="1">
        <f t="array" ref="K725">LOOKUP(2^15,SEARCH(Tabela2[Palavras-Chave],Boletim[[#This Row],[Objeto]],1),Tabela2[Palavras-Chave])</f>
        <v>#N/A</v>
      </c>
    </row>
    <row r="726" spans="1:11" ht="302.39999999999998" hidden="1" x14ac:dyDescent="0.3">
      <c r="A726" s="5">
        <v>18466690</v>
      </c>
      <c r="B726" s="6" t="s">
        <v>2666</v>
      </c>
      <c r="C726" s="6" t="s">
        <v>2667</v>
      </c>
      <c r="D726" s="8" t="s">
        <v>78</v>
      </c>
      <c r="E726" s="6" t="s">
        <v>2668</v>
      </c>
      <c r="F726" s="6" t="s">
        <v>96</v>
      </c>
      <c r="G726" s="11">
        <v>46139.375</v>
      </c>
      <c r="H726" s="10" t="s">
        <v>2669</v>
      </c>
      <c r="I726" s="6" t="s">
        <v>2670</v>
      </c>
      <c r="J726" s="12">
        <v>46121.571504629632</v>
      </c>
      <c r="K726" s="6" t="e" cm="1">
        <f t="array" ref="K726">LOOKUP(2^15,SEARCH(Tabela2[Palavras-Chave],Boletim[[#This Row],[Objeto]],1),Tabela2[Palavras-Chave])</f>
        <v>#N/A</v>
      </c>
    </row>
    <row r="727" spans="1:11" ht="43.2" hidden="1" x14ac:dyDescent="0.3">
      <c r="A727" s="5">
        <v>18452732</v>
      </c>
      <c r="B727" s="6" t="s">
        <v>2671</v>
      </c>
      <c r="C727" s="6" t="s">
        <v>297</v>
      </c>
      <c r="D727" s="8" t="s">
        <v>81</v>
      </c>
      <c r="E727" s="6" t="s">
        <v>2672</v>
      </c>
      <c r="F727" s="6" t="s">
        <v>96</v>
      </c>
      <c r="G727" s="11">
        <v>46134.375</v>
      </c>
      <c r="H727" s="10" t="s">
        <v>2673</v>
      </c>
      <c r="I727" s="6" t="s">
        <v>2674</v>
      </c>
      <c r="J727" s="12">
        <v>46121.618275462963</v>
      </c>
      <c r="K727" s="6" t="str" cm="1">
        <f t="array" ref="K727">LOOKUP(2^15,SEARCH(Tabela2[Palavras-Chave],Boletim[[#This Row],[Objeto]],1),Tabela2[Palavras-Chave])</f>
        <v>EM LINHA</v>
      </c>
    </row>
    <row r="728" spans="1:11" ht="187.2" hidden="1" x14ac:dyDescent="0.3">
      <c r="A728" s="5">
        <v>18401139</v>
      </c>
      <c r="B728" s="6" t="s">
        <v>2675</v>
      </c>
      <c r="C728" s="6" t="s">
        <v>2676</v>
      </c>
      <c r="D728" s="8" t="s">
        <v>82</v>
      </c>
      <c r="E728" s="6" t="s">
        <v>2677</v>
      </c>
      <c r="F728" s="6" t="s">
        <v>168</v>
      </c>
      <c r="G728" s="11" t="s">
        <v>56</v>
      </c>
      <c r="H728" s="10" t="s">
        <v>2678</v>
      </c>
      <c r="I728" s="6" t="s">
        <v>2679</v>
      </c>
      <c r="J728" s="12">
        <v>46121.681817129633</v>
      </c>
      <c r="K728" s="6" t="e" cm="1">
        <f t="array" ref="K728">LOOKUP(2^15,SEARCH(Tabela2[Palavras-Chave],Boletim[[#This Row],[Objeto]],1),Tabela2[Palavras-Chave])</f>
        <v>#N/A</v>
      </c>
    </row>
    <row r="729" spans="1:11" ht="172.8" hidden="1" x14ac:dyDescent="0.3">
      <c r="A729" s="5">
        <v>18629841</v>
      </c>
      <c r="B729" s="6" t="s">
        <v>2680</v>
      </c>
      <c r="C729" s="6" t="s">
        <v>352</v>
      </c>
      <c r="D729" s="8" t="s">
        <v>76</v>
      </c>
      <c r="E729" s="6" t="s">
        <v>105</v>
      </c>
      <c r="F729" s="6" t="s">
        <v>2681</v>
      </c>
      <c r="G729" s="11" t="s">
        <v>56</v>
      </c>
      <c r="H729" s="10" t="s">
        <v>2682</v>
      </c>
      <c r="I729" s="6" t="s">
        <v>2683</v>
      </c>
      <c r="J729" s="12">
        <v>46121.828993055555</v>
      </c>
      <c r="K729" s="6" t="e" cm="1">
        <f t="array" ref="K729">LOOKUP(2^15,SEARCH(Tabela2[Palavras-Chave],Boletim[[#This Row],[Objeto]],1),Tabela2[Palavras-Chave])</f>
        <v>#N/A</v>
      </c>
    </row>
    <row r="730" spans="1:11" ht="172.8" hidden="1" x14ac:dyDescent="0.3">
      <c r="A730" s="5">
        <v>18795663</v>
      </c>
      <c r="B730" s="6" t="s">
        <v>2684</v>
      </c>
      <c r="C730" s="6" t="s">
        <v>2685</v>
      </c>
      <c r="D730" s="8" t="s">
        <v>54</v>
      </c>
      <c r="E730" s="6" t="s">
        <v>179</v>
      </c>
      <c r="F730" s="6" t="s">
        <v>97</v>
      </c>
      <c r="G730" s="11" t="s">
        <v>56</v>
      </c>
      <c r="H730" s="10" t="s">
        <v>2686</v>
      </c>
      <c r="I730" s="6" t="s">
        <v>2687</v>
      </c>
      <c r="J730" s="12">
        <v>46121.56013888889</v>
      </c>
      <c r="K730" s="6" t="e" cm="1">
        <f t="array" ref="K730">LOOKUP(2^15,SEARCH(Tabela2[Palavras-Chave],Boletim[[#This Row],[Objeto]],1),Tabela2[Palavras-Chave])</f>
        <v>#N/A</v>
      </c>
    </row>
    <row r="731" spans="1:11" ht="72" hidden="1" x14ac:dyDescent="0.3">
      <c r="A731" s="5">
        <v>18761167</v>
      </c>
      <c r="B731" s="6" t="s">
        <v>423</v>
      </c>
      <c r="C731" s="6" t="s">
        <v>61</v>
      </c>
      <c r="D731" s="8" t="s">
        <v>62</v>
      </c>
      <c r="E731" s="6" t="s">
        <v>220</v>
      </c>
      <c r="F731" s="6" t="s">
        <v>97</v>
      </c>
      <c r="G731" s="11" t="s">
        <v>56</v>
      </c>
      <c r="H731" s="10" t="s">
        <v>2688</v>
      </c>
      <c r="I731" s="6" t="s">
        <v>2689</v>
      </c>
      <c r="J731" s="12">
        <v>46121.616562499999</v>
      </c>
      <c r="K731" s="6" t="e" cm="1">
        <f t="array" ref="K731">LOOKUP(2^15,SEARCH(Tabela2[Palavras-Chave],Boletim[[#This Row],[Objeto]],1),Tabela2[Palavras-Chave])</f>
        <v>#N/A</v>
      </c>
    </row>
    <row r="732" spans="1:11" ht="201.6" hidden="1" x14ac:dyDescent="0.3">
      <c r="A732" s="5">
        <v>18772414</v>
      </c>
      <c r="B732" s="6" t="s">
        <v>2690</v>
      </c>
      <c r="C732" s="6" t="s">
        <v>2691</v>
      </c>
      <c r="D732" s="8" t="s">
        <v>67</v>
      </c>
      <c r="E732" s="6" t="s">
        <v>142</v>
      </c>
      <c r="F732" s="6" t="s">
        <v>97</v>
      </c>
      <c r="G732" s="11" t="s">
        <v>56</v>
      </c>
      <c r="H732" s="10" t="s">
        <v>2692</v>
      </c>
      <c r="I732" s="6" t="s">
        <v>2693</v>
      </c>
      <c r="J732" s="12">
        <v>46121.769594907404</v>
      </c>
      <c r="K732" s="6" t="e" cm="1">
        <f t="array" ref="K732">LOOKUP(2^15,SEARCH(Tabela2[Palavras-Chave],Boletim[[#This Row],[Objeto]],1),Tabela2[Palavras-Chave])</f>
        <v>#N/A</v>
      </c>
    </row>
    <row r="733" spans="1:11" ht="144" hidden="1" x14ac:dyDescent="0.3">
      <c r="A733" s="5">
        <v>18797534</v>
      </c>
      <c r="B733" s="6" t="s">
        <v>2694</v>
      </c>
      <c r="C733" s="6" t="s">
        <v>111</v>
      </c>
      <c r="D733" s="8" t="s">
        <v>91</v>
      </c>
      <c r="E733" s="6" t="s">
        <v>2695</v>
      </c>
      <c r="F733" s="6" t="s">
        <v>97</v>
      </c>
      <c r="G733" s="11" t="s">
        <v>56</v>
      </c>
      <c r="H733" s="10" t="s">
        <v>2696</v>
      </c>
      <c r="I733" s="6" t="s">
        <v>2697</v>
      </c>
      <c r="J733" s="12">
        <v>46121.513495370367</v>
      </c>
      <c r="K733" s="6" t="e" cm="1">
        <f t="array" ref="K733">LOOKUP(2^15,SEARCH(Tabela2[Palavras-Chave],Boletim[[#This Row],[Objeto]],1),Tabela2[Palavras-Chave])</f>
        <v>#N/A</v>
      </c>
    </row>
    <row r="734" spans="1:11" ht="144" hidden="1" x14ac:dyDescent="0.3">
      <c r="A734" s="5">
        <v>18724697</v>
      </c>
      <c r="B734" s="6" t="s">
        <v>2698</v>
      </c>
      <c r="C734" s="6" t="s">
        <v>2699</v>
      </c>
      <c r="D734" s="8" t="s">
        <v>91</v>
      </c>
      <c r="E734" s="6" t="s">
        <v>211</v>
      </c>
      <c r="F734" s="6" t="s">
        <v>97</v>
      </c>
      <c r="G734" s="11" t="s">
        <v>56</v>
      </c>
      <c r="H734" s="10" t="s">
        <v>2700</v>
      </c>
      <c r="I734" s="6" t="s">
        <v>2701</v>
      </c>
      <c r="J734" s="12">
        <v>46121.606631944444</v>
      </c>
      <c r="K734" s="6" t="e" cm="1">
        <f t="array" ref="K734">LOOKUP(2^15,SEARCH(Tabela2[Palavras-Chave],Boletim[[#This Row],[Objeto]],1),Tabela2[Palavras-Chave])</f>
        <v>#N/A</v>
      </c>
    </row>
    <row r="735" spans="1:11" ht="172.8" hidden="1" x14ac:dyDescent="0.3">
      <c r="A735" s="5">
        <v>18509744</v>
      </c>
      <c r="B735" s="6" t="s">
        <v>2702</v>
      </c>
      <c r="C735" s="6" t="s">
        <v>73</v>
      </c>
      <c r="D735" s="8" t="s">
        <v>72</v>
      </c>
      <c r="E735" s="6" t="s">
        <v>2703</v>
      </c>
      <c r="F735" s="6" t="s">
        <v>97</v>
      </c>
      <c r="G735" s="11" t="s">
        <v>56</v>
      </c>
      <c r="H735" s="10" t="s">
        <v>2704</v>
      </c>
      <c r="I735" s="6" t="s">
        <v>2705</v>
      </c>
      <c r="J735" s="12">
        <v>46121.490324074075</v>
      </c>
      <c r="K735" s="6" t="e" cm="1">
        <f t="array" ref="K735">LOOKUP(2^15,SEARCH(Tabela2[Palavras-Chave],Boletim[[#This Row],[Objeto]],1),Tabela2[Palavras-Chave])</f>
        <v>#N/A</v>
      </c>
    </row>
    <row r="736" spans="1:11" ht="72" hidden="1" x14ac:dyDescent="0.3">
      <c r="A736" s="5">
        <v>18761403</v>
      </c>
      <c r="B736" s="6" t="s">
        <v>2706</v>
      </c>
      <c r="C736" s="6" t="s">
        <v>2707</v>
      </c>
      <c r="D736" s="8" t="s">
        <v>80</v>
      </c>
      <c r="E736" s="6" t="s">
        <v>2708</v>
      </c>
      <c r="F736" s="6" t="s">
        <v>97</v>
      </c>
      <c r="G736" s="11" t="s">
        <v>56</v>
      </c>
      <c r="H736" s="10" t="s">
        <v>2709</v>
      </c>
      <c r="I736" s="6" t="s">
        <v>2710</v>
      </c>
      <c r="J736" s="12">
        <v>46121.615474537037</v>
      </c>
      <c r="K736" s="6" t="e" cm="1">
        <f t="array" ref="K736">LOOKUP(2^15,SEARCH(Tabela2[Palavras-Chave],Boletim[[#This Row],[Objeto]],1),Tabela2[Palavras-Chave])</f>
        <v>#N/A</v>
      </c>
    </row>
    <row r="737" spans="1:11" ht="273.60000000000002" x14ac:dyDescent="0.3">
      <c r="A737" s="5">
        <v>18770385</v>
      </c>
      <c r="B737" s="6" t="s">
        <v>2711</v>
      </c>
      <c r="C737" s="6" t="s">
        <v>104</v>
      </c>
      <c r="D737" s="8" t="s">
        <v>81</v>
      </c>
      <c r="E737" s="6" t="s">
        <v>218</v>
      </c>
      <c r="F737" s="6" t="s">
        <v>97</v>
      </c>
      <c r="G737" s="11" t="s">
        <v>56</v>
      </c>
      <c r="H737" s="10" t="s">
        <v>2712</v>
      </c>
      <c r="I737" s="6" t="s">
        <v>2713</v>
      </c>
      <c r="J737" s="12">
        <v>46121.634432870371</v>
      </c>
      <c r="K737" s="6" t="str" cm="1">
        <f t="array" ref="K737">LOOKUP(2^15,SEARCH(Tabela2[Palavras-Chave],Boletim[[#This Row],[Objeto]],1),Tabela2[Palavras-Chave])</f>
        <v>EFICIÊNCIA</v>
      </c>
    </row>
    <row r="738" spans="1:11" ht="144" hidden="1" x14ac:dyDescent="0.3">
      <c r="A738" s="5">
        <v>18509839</v>
      </c>
      <c r="B738" s="6" t="s">
        <v>2714</v>
      </c>
      <c r="C738" s="6" t="s">
        <v>551</v>
      </c>
      <c r="D738" s="8" t="s">
        <v>82</v>
      </c>
      <c r="E738" s="6" t="s">
        <v>2715</v>
      </c>
      <c r="F738" s="6" t="s">
        <v>97</v>
      </c>
      <c r="G738" s="11" t="s">
        <v>56</v>
      </c>
      <c r="H738" s="10" t="s">
        <v>2716</v>
      </c>
      <c r="I738" s="6" t="s">
        <v>2717</v>
      </c>
      <c r="J738" s="12">
        <v>46121.834305555552</v>
      </c>
      <c r="K738" s="6" t="e" cm="1">
        <f t="array" ref="K738">LOOKUP(2^15,SEARCH(Tabela2[Palavras-Chave],Boletim[[#This Row],[Objeto]],1),Tabela2[Palavras-Chave])</f>
        <v>#N/A</v>
      </c>
    </row>
    <row r="739" spans="1:11" ht="409.6" hidden="1" x14ac:dyDescent="0.3">
      <c r="A739" s="5">
        <v>18579878</v>
      </c>
      <c r="B739" s="6" t="s">
        <v>2718</v>
      </c>
      <c r="C739" s="6" t="s">
        <v>2719</v>
      </c>
      <c r="D739" s="8" t="s">
        <v>54</v>
      </c>
      <c r="E739" s="6" t="s">
        <v>145</v>
      </c>
      <c r="F739" s="6" t="s">
        <v>98</v>
      </c>
      <c r="G739" s="11" t="s">
        <v>56</v>
      </c>
      <c r="H739" s="10" t="s">
        <v>2720</v>
      </c>
      <c r="I739" s="6" t="s">
        <v>2721</v>
      </c>
      <c r="J739" s="12">
        <v>46121.607175925928</v>
      </c>
      <c r="K739" s="6" t="e" cm="1">
        <f t="array" ref="K739">LOOKUP(2^15,SEARCH(Tabela2[Palavras-Chave],Boletim[[#This Row],[Objeto]],1),Tabela2[Palavras-Chave])</f>
        <v>#N/A</v>
      </c>
    </row>
    <row r="740" spans="1:11" ht="129.6" hidden="1" x14ac:dyDescent="0.3">
      <c r="A740" s="5">
        <v>18756105</v>
      </c>
      <c r="B740" s="6" t="s">
        <v>614</v>
      </c>
      <c r="C740" s="6" t="s">
        <v>615</v>
      </c>
      <c r="D740" s="8" t="s">
        <v>54</v>
      </c>
      <c r="E740" s="6" t="s">
        <v>135</v>
      </c>
      <c r="F740" s="6" t="s">
        <v>98</v>
      </c>
      <c r="G740" s="11" t="s">
        <v>56</v>
      </c>
      <c r="H740" s="10" t="s">
        <v>2722</v>
      </c>
      <c r="I740" s="6" t="s">
        <v>2723</v>
      </c>
      <c r="J740" s="12">
        <v>46121.60733796296</v>
      </c>
      <c r="K740" s="6" t="e" cm="1">
        <f t="array" ref="K740">LOOKUP(2^15,SEARCH(Tabela2[Palavras-Chave],Boletim[[#This Row],[Objeto]],1),Tabela2[Palavras-Chave])</f>
        <v>#N/A</v>
      </c>
    </row>
    <row r="741" spans="1:11" ht="100.8" hidden="1" x14ac:dyDescent="0.3">
      <c r="A741" s="5">
        <v>18168769</v>
      </c>
      <c r="B741" s="6" t="s">
        <v>2724</v>
      </c>
      <c r="C741" s="6" t="s">
        <v>2725</v>
      </c>
      <c r="D741" s="8" t="s">
        <v>72</v>
      </c>
      <c r="E741" s="6" t="s">
        <v>2726</v>
      </c>
      <c r="F741" s="6" t="s">
        <v>98</v>
      </c>
      <c r="G741" s="11" t="s">
        <v>56</v>
      </c>
      <c r="H741" s="10" t="s">
        <v>2727</v>
      </c>
      <c r="I741" s="6" t="s">
        <v>2728</v>
      </c>
      <c r="J741" s="12">
        <v>46121.807152777779</v>
      </c>
      <c r="K741" s="6" t="e" cm="1">
        <f t="array" ref="K741">LOOKUP(2^15,SEARCH(Tabela2[Palavras-Chave],Boletim[[#This Row],[Objeto]],1),Tabela2[Palavras-Chave])</f>
        <v>#N/A</v>
      </c>
    </row>
    <row r="742" spans="1:11" ht="187.2" hidden="1" x14ac:dyDescent="0.3">
      <c r="A742" s="5">
        <v>18719707</v>
      </c>
      <c r="B742" s="6" t="s">
        <v>2729</v>
      </c>
      <c r="C742" s="6" t="s">
        <v>2730</v>
      </c>
      <c r="D742" s="8" t="s">
        <v>64</v>
      </c>
      <c r="E742" s="6" t="s">
        <v>135</v>
      </c>
      <c r="F742" s="6" t="s">
        <v>257</v>
      </c>
      <c r="G742" s="11" t="s">
        <v>56</v>
      </c>
      <c r="H742" s="10" t="s">
        <v>2731</v>
      </c>
      <c r="I742" s="6" t="s">
        <v>2732</v>
      </c>
      <c r="J742" s="12">
        <v>46121.852638888886</v>
      </c>
      <c r="K742" s="6" t="e" cm="1">
        <f t="array" ref="K742">LOOKUP(2^15,SEARCH(Tabela2[Palavras-Chave],Boletim[[#This Row],[Objeto]],1),Tabela2[Palavras-Chave])</f>
        <v>#N/A</v>
      </c>
    </row>
    <row r="743" spans="1:11" ht="129.6" hidden="1" x14ac:dyDescent="0.3">
      <c r="A743" s="5">
        <v>18357317</v>
      </c>
      <c r="B743" s="6" t="s">
        <v>712</v>
      </c>
      <c r="C743" s="6" t="s">
        <v>87</v>
      </c>
      <c r="D743" s="8" t="s">
        <v>86</v>
      </c>
      <c r="E743" s="6" t="s">
        <v>713</v>
      </c>
      <c r="F743" s="6" t="s">
        <v>258</v>
      </c>
      <c r="G743" s="11">
        <v>46142.333333333336</v>
      </c>
      <c r="H743" s="10" t="s">
        <v>714</v>
      </c>
      <c r="I743" s="6" t="s">
        <v>715</v>
      </c>
      <c r="J743" s="12">
        <v>46121.554895833331</v>
      </c>
      <c r="K743" s="6" t="e" cm="1">
        <f t="array" ref="K743">LOOKUP(2^15,SEARCH(Tabela2[Palavras-Chave],Boletim[[#This Row],[Objeto]],1),Tabela2[Palavras-Chave])</f>
        <v>#N/A</v>
      </c>
    </row>
    <row r="744" spans="1:11" ht="115.2" hidden="1" x14ac:dyDescent="0.3">
      <c r="A744" s="5">
        <v>18802524</v>
      </c>
      <c r="B744" s="6" t="s">
        <v>625</v>
      </c>
      <c r="C744" s="6" t="s">
        <v>88</v>
      </c>
      <c r="D744" s="8" t="s">
        <v>63</v>
      </c>
      <c r="E744" s="6" t="s">
        <v>245</v>
      </c>
      <c r="F744" s="6" t="s">
        <v>258</v>
      </c>
      <c r="G744" s="11">
        <v>46127.583333333336</v>
      </c>
      <c r="H744" s="10" t="s">
        <v>626</v>
      </c>
      <c r="I744" s="6" t="s">
        <v>627</v>
      </c>
      <c r="J744" s="12">
        <v>46121.548645833333</v>
      </c>
      <c r="K744" s="6" t="e" cm="1">
        <f t="array" ref="K744">LOOKUP(2^15,SEARCH(Tabela2[Palavras-Chave],Boletim[[#This Row],[Objeto]],1),Tabela2[Palavras-Chave])</f>
        <v>#N/A</v>
      </c>
    </row>
    <row r="745" spans="1:11" ht="57.6" hidden="1" x14ac:dyDescent="0.3">
      <c r="A745" s="5">
        <v>18803760</v>
      </c>
      <c r="B745" s="6" t="s">
        <v>628</v>
      </c>
      <c r="C745" s="6" t="s">
        <v>629</v>
      </c>
      <c r="D745" s="8" t="s">
        <v>63</v>
      </c>
      <c r="E745" s="6" t="s">
        <v>630</v>
      </c>
      <c r="F745" s="6" t="s">
        <v>258</v>
      </c>
      <c r="G745" s="11">
        <v>46136.354166666664</v>
      </c>
      <c r="H745" s="10" t="s">
        <v>631</v>
      </c>
      <c r="I745" s="6" t="s">
        <v>632</v>
      </c>
      <c r="J745" s="12">
        <v>46121.81045138889</v>
      </c>
      <c r="K745" s="6" t="e" cm="1">
        <f t="array" ref="K745">LOOKUP(2^15,SEARCH(Tabela2[Palavras-Chave],Boletim[[#This Row],[Objeto]],1),Tabela2[Palavras-Chave])</f>
        <v>#N/A</v>
      </c>
    </row>
    <row r="746" spans="1:11" ht="28.8" hidden="1" x14ac:dyDescent="0.3">
      <c r="A746" s="5">
        <v>18799085</v>
      </c>
      <c r="B746" s="6" t="s">
        <v>436</v>
      </c>
      <c r="C746" s="6" t="s">
        <v>437</v>
      </c>
      <c r="D746" s="8" t="s">
        <v>64</v>
      </c>
      <c r="E746" s="6" t="s">
        <v>2733</v>
      </c>
      <c r="F746" s="6" t="s">
        <v>258</v>
      </c>
      <c r="G746" s="11">
        <v>46122.333333333336</v>
      </c>
      <c r="H746" s="10" t="s">
        <v>2734</v>
      </c>
      <c r="I746" s="6" t="s">
        <v>2735</v>
      </c>
      <c r="J746" s="12">
        <v>46121.481319444443</v>
      </c>
      <c r="K746" s="6" t="e" cm="1">
        <f t="array" ref="K746">LOOKUP(2^15,SEARCH(Tabela2[Palavras-Chave],Boletim[[#This Row],[Objeto]],1),Tabela2[Palavras-Chave])</f>
        <v>#N/A</v>
      </c>
    </row>
    <row r="747" spans="1:11" ht="115.2" hidden="1" x14ac:dyDescent="0.3">
      <c r="A747" s="5">
        <v>18804625</v>
      </c>
      <c r="B747" s="6" t="s">
        <v>639</v>
      </c>
      <c r="C747" s="6" t="s">
        <v>159</v>
      </c>
      <c r="D747" s="8" t="s">
        <v>89</v>
      </c>
      <c r="E747" s="6" t="s">
        <v>643</v>
      </c>
      <c r="F747" s="6" t="s">
        <v>258</v>
      </c>
      <c r="G747" s="11">
        <v>46146.385416666664</v>
      </c>
      <c r="H747" s="10" t="s">
        <v>644</v>
      </c>
      <c r="I747" s="6" t="s">
        <v>645</v>
      </c>
      <c r="J747" s="12">
        <v>46121.552812499998</v>
      </c>
      <c r="K747" s="6" t="e" cm="1">
        <f t="array" ref="K747">LOOKUP(2^15,SEARCH(Tabela2[Palavras-Chave],Boletim[[#This Row],[Objeto]],1),Tabela2[Palavras-Chave])</f>
        <v>#N/A</v>
      </c>
    </row>
    <row r="748" spans="1:11" ht="115.2" hidden="1" x14ac:dyDescent="0.3">
      <c r="A748" s="5">
        <v>18804624</v>
      </c>
      <c r="B748" s="6" t="s">
        <v>639</v>
      </c>
      <c r="C748" s="6" t="s">
        <v>159</v>
      </c>
      <c r="D748" s="8" t="s">
        <v>89</v>
      </c>
      <c r="E748" s="6" t="s">
        <v>640</v>
      </c>
      <c r="F748" s="6" t="s">
        <v>258</v>
      </c>
      <c r="G748" s="11">
        <v>46135.385416666664</v>
      </c>
      <c r="H748" s="10" t="s">
        <v>641</v>
      </c>
      <c r="I748" s="6" t="s">
        <v>642</v>
      </c>
      <c r="J748" s="12">
        <v>46121.56045138889</v>
      </c>
      <c r="K748" s="6" t="e" cm="1">
        <f t="array" ref="K748">LOOKUP(2^15,SEARCH(Tabela2[Palavras-Chave],Boletim[[#This Row],[Objeto]],1),Tabela2[Palavras-Chave])</f>
        <v>#N/A</v>
      </c>
    </row>
    <row r="749" spans="1:11" ht="144" hidden="1" x14ac:dyDescent="0.3">
      <c r="A749" s="5">
        <v>18791091</v>
      </c>
      <c r="B749" s="6" t="s">
        <v>583</v>
      </c>
      <c r="C749" s="6" t="s">
        <v>159</v>
      </c>
      <c r="D749" s="8" t="s">
        <v>89</v>
      </c>
      <c r="E749" s="6" t="s">
        <v>2736</v>
      </c>
      <c r="F749" s="6" t="s">
        <v>258</v>
      </c>
      <c r="G749" s="11">
        <v>46213.375</v>
      </c>
      <c r="H749" s="10" t="s">
        <v>2737</v>
      </c>
      <c r="I749" s="6" t="s">
        <v>2738</v>
      </c>
      <c r="J749" s="12">
        <v>46121.669479166667</v>
      </c>
      <c r="K749" s="6" t="e" cm="1">
        <f t="array" ref="K749">LOOKUP(2^15,SEARCH(Tabela2[Palavras-Chave],Boletim[[#This Row],[Objeto]],1),Tabela2[Palavras-Chave])</f>
        <v>#N/A</v>
      </c>
    </row>
    <row r="750" spans="1:11" ht="115.2" hidden="1" x14ac:dyDescent="0.3">
      <c r="A750" s="5">
        <v>18807326</v>
      </c>
      <c r="B750" s="6" t="s">
        <v>2739</v>
      </c>
      <c r="C750" s="6" t="s">
        <v>123</v>
      </c>
      <c r="D750" s="8" t="s">
        <v>67</v>
      </c>
      <c r="E750" s="6" t="s">
        <v>620</v>
      </c>
      <c r="F750" s="6" t="s">
        <v>258</v>
      </c>
      <c r="G750" s="11">
        <v>46147.59375</v>
      </c>
      <c r="H750" s="10" t="s">
        <v>2740</v>
      </c>
      <c r="I750" s="6" t="s">
        <v>2741</v>
      </c>
      <c r="J750" s="12">
        <v>46121.557685185187</v>
      </c>
      <c r="K750" s="6" t="e" cm="1">
        <f t="array" ref="K750">LOOKUP(2^15,SEARCH(Tabela2[Palavras-Chave],Boletim[[#This Row],[Objeto]],1),Tabela2[Palavras-Chave])</f>
        <v>#N/A</v>
      </c>
    </row>
    <row r="751" spans="1:11" ht="129.6" hidden="1" x14ac:dyDescent="0.3">
      <c r="A751" s="5">
        <v>18603403</v>
      </c>
      <c r="B751" s="6" t="s">
        <v>2739</v>
      </c>
      <c r="C751" s="6" t="s">
        <v>123</v>
      </c>
      <c r="D751" s="8" t="s">
        <v>67</v>
      </c>
      <c r="E751" s="6" t="s">
        <v>158</v>
      </c>
      <c r="F751" s="6" t="s">
        <v>258</v>
      </c>
      <c r="G751" s="11">
        <v>46135.395833333336</v>
      </c>
      <c r="H751" s="10" t="s">
        <v>2742</v>
      </c>
      <c r="I751" s="6" t="s">
        <v>2743</v>
      </c>
      <c r="J751" s="12">
        <v>46121.561851851853</v>
      </c>
      <c r="K751" s="6" t="e" cm="1">
        <f t="array" ref="K751">LOOKUP(2^15,SEARCH(Tabela2[Palavras-Chave],Boletim[[#This Row],[Objeto]],1),Tabela2[Palavras-Chave])</f>
        <v>#N/A</v>
      </c>
    </row>
    <row r="752" spans="1:11" ht="158.4" x14ac:dyDescent="0.3">
      <c r="A752" s="5">
        <v>18804619</v>
      </c>
      <c r="B752" s="6" t="s">
        <v>454</v>
      </c>
      <c r="C752" s="6" t="s">
        <v>455</v>
      </c>
      <c r="D752" s="8" t="s">
        <v>91</v>
      </c>
      <c r="E752" s="6" t="s">
        <v>143</v>
      </c>
      <c r="F752" s="6" t="s">
        <v>258</v>
      </c>
      <c r="G752" s="11">
        <v>46134.354166666664</v>
      </c>
      <c r="H752" s="10" t="s">
        <v>456</v>
      </c>
      <c r="I752" s="6" t="s">
        <v>457</v>
      </c>
      <c r="J752" s="12">
        <v>46121.553506944445</v>
      </c>
      <c r="K752" s="6" t="str" cm="1">
        <f t="array" ref="K752">LOOKUP(2^15,SEARCH(Tabela2[Palavras-Chave],Boletim[[#This Row],[Objeto]],1),Tabela2[Palavras-Chave])</f>
        <v>DIAGNÓSTICO</v>
      </c>
    </row>
    <row r="753" spans="1:11" ht="129.6" hidden="1" x14ac:dyDescent="0.3">
      <c r="A753" s="5">
        <v>18744500</v>
      </c>
      <c r="B753" s="6" t="s">
        <v>465</v>
      </c>
      <c r="C753" s="6" t="s">
        <v>69</v>
      </c>
      <c r="D753" s="8" t="s">
        <v>70</v>
      </c>
      <c r="E753" s="6" t="s">
        <v>2744</v>
      </c>
      <c r="F753" s="6" t="s">
        <v>258</v>
      </c>
      <c r="G753" s="11">
        <v>46127.375</v>
      </c>
      <c r="H753" s="10" t="s">
        <v>2745</v>
      </c>
      <c r="I753" s="6" t="s">
        <v>2746</v>
      </c>
      <c r="J753" s="12">
        <v>46121.538969907408</v>
      </c>
      <c r="K753" s="6" t="e" cm="1">
        <f t="array" ref="K753">LOOKUP(2^15,SEARCH(Tabela2[Palavras-Chave],Boletim[[#This Row],[Objeto]],1),Tabela2[Palavras-Chave])</f>
        <v>#N/A</v>
      </c>
    </row>
    <row r="754" spans="1:11" ht="187.2" hidden="1" x14ac:dyDescent="0.3">
      <c r="A754" s="5">
        <v>18788361</v>
      </c>
      <c r="B754" s="6" t="s">
        <v>2747</v>
      </c>
      <c r="C754" s="6" t="s">
        <v>2748</v>
      </c>
      <c r="D754" s="8" t="s">
        <v>72</v>
      </c>
      <c r="E754" s="6" t="s">
        <v>119</v>
      </c>
      <c r="F754" s="6" t="s">
        <v>258</v>
      </c>
      <c r="G754" s="11" t="s">
        <v>56</v>
      </c>
      <c r="H754" s="10" t="s">
        <v>2749</v>
      </c>
      <c r="I754" s="6" t="s">
        <v>2750</v>
      </c>
      <c r="J754" s="12">
        <v>46121.482673611114</v>
      </c>
      <c r="K754" s="6" t="e" cm="1">
        <f t="array" ref="K754">LOOKUP(2^15,SEARCH(Tabela2[Palavras-Chave],Boletim[[#This Row],[Objeto]],1),Tabela2[Palavras-Chave])</f>
        <v>#N/A</v>
      </c>
    </row>
    <row r="755" spans="1:11" ht="86.4" hidden="1" x14ac:dyDescent="0.3">
      <c r="A755" s="5">
        <v>18798289</v>
      </c>
      <c r="B755" s="6" t="s">
        <v>156</v>
      </c>
      <c r="C755" s="6" t="s">
        <v>73</v>
      </c>
      <c r="D755" s="8" t="s">
        <v>72</v>
      </c>
      <c r="E755" s="6" t="s">
        <v>2751</v>
      </c>
      <c r="F755" s="6" t="s">
        <v>258</v>
      </c>
      <c r="G755" s="11">
        <v>46146.375</v>
      </c>
      <c r="H755" s="10" t="s">
        <v>2752</v>
      </c>
      <c r="I755" s="6" t="s">
        <v>2753</v>
      </c>
      <c r="J755" s="12">
        <v>46121.554212962961</v>
      </c>
      <c r="K755" s="6" t="e" cm="1">
        <f t="array" ref="K755">LOOKUP(2^15,SEARCH(Tabela2[Palavras-Chave],Boletim[[#This Row],[Objeto]],1),Tabela2[Palavras-Chave])</f>
        <v>#N/A</v>
      </c>
    </row>
    <row r="756" spans="1:11" ht="129.6" hidden="1" x14ac:dyDescent="0.3">
      <c r="A756" s="5">
        <v>18699805</v>
      </c>
      <c r="B756" s="6" t="s">
        <v>156</v>
      </c>
      <c r="C756" s="6" t="s">
        <v>73</v>
      </c>
      <c r="D756" s="8" t="s">
        <v>72</v>
      </c>
      <c r="E756" s="6" t="s">
        <v>602</v>
      </c>
      <c r="F756" s="6" t="s">
        <v>258</v>
      </c>
      <c r="G756" s="11">
        <v>46122.458333333336</v>
      </c>
      <c r="H756" s="10" t="s">
        <v>603</v>
      </c>
      <c r="I756" s="6" t="s">
        <v>604</v>
      </c>
      <c r="J756" s="12">
        <v>46121.556967592594</v>
      </c>
      <c r="K756" s="6" t="e" cm="1">
        <f t="array" ref="K756">LOOKUP(2^15,SEARCH(Tabela2[Palavras-Chave],Boletim[[#This Row],[Objeto]],1),Tabela2[Palavras-Chave])</f>
        <v>#N/A</v>
      </c>
    </row>
    <row r="757" spans="1:11" ht="129.6" hidden="1" x14ac:dyDescent="0.3">
      <c r="A757" s="5">
        <v>18799748</v>
      </c>
      <c r="B757" s="6" t="s">
        <v>2754</v>
      </c>
      <c r="C757" s="6" t="s">
        <v>83</v>
      </c>
      <c r="D757" s="8" t="s">
        <v>82</v>
      </c>
      <c r="E757" s="6" t="s">
        <v>2755</v>
      </c>
      <c r="F757" s="6" t="s">
        <v>258</v>
      </c>
      <c r="G757" s="11">
        <v>46122.416666666664</v>
      </c>
      <c r="H757" s="10" t="s">
        <v>2756</v>
      </c>
      <c r="I757" s="6" t="s">
        <v>2757</v>
      </c>
      <c r="J757" s="12">
        <v>46121.544490740744</v>
      </c>
      <c r="K757" s="6" t="e" cm="1">
        <f t="array" ref="K757">LOOKUP(2^15,SEARCH(Tabela2[Palavras-Chave],Boletim[[#This Row],[Objeto]],1),Tabela2[Palavras-Chave])</f>
        <v>#N/A</v>
      </c>
    </row>
    <row r="758" spans="1:11" ht="115.2" hidden="1" x14ac:dyDescent="0.3">
      <c r="A758" s="5">
        <v>18804686</v>
      </c>
      <c r="B758" s="6" t="s">
        <v>253</v>
      </c>
      <c r="C758" s="6" t="s">
        <v>164</v>
      </c>
      <c r="D758" s="8" t="s">
        <v>82</v>
      </c>
      <c r="E758" s="6" t="s">
        <v>294</v>
      </c>
      <c r="F758" s="6" t="s">
        <v>258</v>
      </c>
      <c r="G758" s="11">
        <v>46134.333333333336</v>
      </c>
      <c r="H758" s="10" t="s">
        <v>703</v>
      </c>
      <c r="I758" s="6" t="s">
        <v>704</v>
      </c>
      <c r="J758" s="12">
        <v>46121.545173611114</v>
      </c>
      <c r="K758" s="6" t="e" cm="1">
        <f t="array" ref="K758">LOOKUP(2^15,SEARCH(Tabela2[Palavras-Chave],Boletim[[#This Row],[Objeto]],1),Tabela2[Palavras-Chave])</f>
        <v>#N/A</v>
      </c>
    </row>
    <row r="759" spans="1:11" ht="115.2" hidden="1" x14ac:dyDescent="0.3">
      <c r="A759" s="5">
        <v>18804621</v>
      </c>
      <c r="B759" s="6" t="s">
        <v>253</v>
      </c>
      <c r="C759" s="6" t="s">
        <v>164</v>
      </c>
      <c r="D759" s="8" t="s">
        <v>82</v>
      </c>
      <c r="E759" s="6" t="s">
        <v>545</v>
      </c>
      <c r="F759" s="6" t="s">
        <v>258</v>
      </c>
      <c r="G759" s="11">
        <v>46136.333333333336</v>
      </c>
      <c r="H759" s="10" t="s">
        <v>546</v>
      </c>
      <c r="I759" s="6" t="s">
        <v>547</v>
      </c>
      <c r="J759" s="12">
        <v>46121.554884259262</v>
      </c>
      <c r="K759" s="6" t="e" cm="1">
        <f t="array" ref="K759">LOOKUP(2^15,SEARCH(Tabela2[Palavras-Chave],Boletim[[#This Row],[Objeto]],1),Tabela2[Palavras-Chave])</f>
        <v>#N/A</v>
      </c>
    </row>
    <row r="760" spans="1:11" hidden="1" x14ac:dyDescent="0.3">
      <c r="B760" s="6" t="s">
        <v>36</v>
      </c>
      <c r="C760" s="6" t="s">
        <v>37</v>
      </c>
      <c r="D760" s="8" t="s">
        <v>38</v>
      </c>
      <c r="E760" s="6" t="s">
        <v>39</v>
      </c>
      <c r="F760" s="6" t="s">
        <v>40</v>
      </c>
      <c r="G760" s="11" t="s">
        <v>41</v>
      </c>
      <c r="H760" s="10" t="s">
        <v>42</v>
      </c>
      <c r="I760" s="6" t="s">
        <v>44</v>
      </c>
      <c r="J760" s="12"/>
      <c r="K760" s="6" t="e" cm="1">
        <f t="array" ref="K760">LOOKUP(2^15,SEARCH(Tabela2[Palavras-Chave],Boletim[[#This Row],[Objeto]],1),Tabela2[Palavras-Chave])</f>
        <v>#N/A</v>
      </c>
    </row>
    <row r="761" spans="1:11" ht="100.8" x14ac:dyDescent="0.3">
      <c r="A761" s="5">
        <v>18810867</v>
      </c>
      <c r="B761" s="6" t="s">
        <v>725</v>
      </c>
      <c r="C761" s="6" t="s">
        <v>87</v>
      </c>
      <c r="D761" s="8" t="s">
        <v>86</v>
      </c>
      <c r="E761" s="6" t="s">
        <v>726</v>
      </c>
      <c r="F761" s="6" t="s">
        <v>51</v>
      </c>
      <c r="G761" s="11">
        <v>46129.499305555553</v>
      </c>
      <c r="H761" s="10" t="s">
        <v>727</v>
      </c>
      <c r="I761" s="6" t="s">
        <v>728</v>
      </c>
      <c r="J761" s="12">
        <v>46121.76662037037</v>
      </c>
      <c r="K761" s="6" t="str" cm="1">
        <f t="array" ref="K761">LOOKUP(2^15,SEARCH(Tabela2[Palavras-Chave],Boletim[[#This Row],[Objeto]],1),Tabela2[Palavras-Chave])</f>
        <v>RESERVAT</v>
      </c>
    </row>
    <row r="762" spans="1:11" ht="100.8" hidden="1" x14ac:dyDescent="0.3">
      <c r="A762" s="5">
        <v>18806649</v>
      </c>
      <c r="B762" s="6" t="s">
        <v>729</v>
      </c>
      <c r="C762" s="6" t="s">
        <v>52</v>
      </c>
      <c r="D762" s="8" t="s">
        <v>50</v>
      </c>
      <c r="E762" s="6" t="s">
        <v>118</v>
      </c>
      <c r="F762" s="6" t="s">
        <v>51</v>
      </c>
      <c r="G762" s="11">
        <v>46127.333333333336</v>
      </c>
      <c r="H762" s="10" t="s">
        <v>730</v>
      </c>
      <c r="I762" s="6" t="s">
        <v>731</v>
      </c>
      <c r="J762" s="12">
        <v>46121.435347222221</v>
      </c>
      <c r="K762" s="6" t="e" cm="1">
        <f t="array" ref="K762">LOOKUP(2^15,SEARCH(Tabela2[Palavras-Chave],Boletim[[#This Row],[Objeto]],1),Tabela2[Palavras-Chave])</f>
        <v>#N/A</v>
      </c>
    </row>
    <row r="763" spans="1:11" ht="100.8" hidden="1" x14ac:dyDescent="0.3">
      <c r="A763" s="5">
        <v>18806669</v>
      </c>
      <c r="B763" s="6" t="s">
        <v>729</v>
      </c>
      <c r="C763" s="6" t="s">
        <v>52</v>
      </c>
      <c r="D763" s="8" t="s">
        <v>50</v>
      </c>
      <c r="E763" s="6" t="s">
        <v>105</v>
      </c>
      <c r="F763" s="6" t="s">
        <v>51</v>
      </c>
      <c r="G763" s="11">
        <v>46126.333333333336</v>
      </c>
      <c r="H763" s="10" t="s">
        <v>732</v>
      </c>
      <c r="I763" s="6" t="s">
        <v>733</v>
      </c>
      <c r="J763" s="12">
        <v>46121.436388888891</v>
      </c>
      <c r="K763" s="6" t="e" cm="1">
        <f t="array" ref="K763">LOOKUP(2^15,SEARCH(Tabela2[Palavras-Chave],Boletim[[#This Row],[Objeto]],1),Tabela2[Palavras-Chave])</f>
        <v>#N/A</v>
      </c>
    </row>
    <row r="764" spans="1:11" ht="72" hidden="1" x14ac:dyDescent="0.3">
      <c r="A764" s="5">
        <v>18769997</v>
      </c>
      <c r="B764" s="6" t="s">
        <v>74</v>
      </c>
      <c r="C764" s="6" t="s">
        <v>52</v>
      </c>
      <c r="D764" s="8" t="s">
        <v>50</v>
      </c>
      <c r="E764" s="6" t="s">
        <v>734</v>
      </c>
      <c r="F764" s="6" t="s">
        <v>51</v>
      </c>
      <c r="G764" s="11" t="s">
        <v>56</v>
      </c>
      <c r="H764" s="10" t="s">
        <v>735</v>
      </c>
      <c r="I764" s="6" t="s">
        <v>736</v>
      </c>
      <c r="J764" s="12">
        <v>46121.440335648149</v>
      </c>
      <c r="K764" s="6" t="e" cm="1">
        <f t="array" ref="K764">LOOKUP(2^15,SEARCH(Tabela2[Palavras-Chave],Boletim[[#This Row],[Objeto]],1),Tabela2[Palavras-Chave])</f>
        <v>#N/A</v>
      </c>
    </row>
    <row r="765" spans="1:11" ht="72" hidden="1" x14ac:dyDescent="0.3">
      <c r="A765" s="5">
        <v>18770046</v>
      </c>
      <c r="B765" s="6" t="s">
        <v>74</v>
      </c>
      <c r="C765" s="6" t="s">
        <v>52</v>
      </c>
      <c r="D765" s="8" t="s">
        <v>50</v>
      </c>
      <c r="E765" s="6" t="s">
        <v>737</v>
      </c>
      <c r="F765" s="6" t="s">
        <v>51</v>
      </c>
      <c r="G765" s="11" t="s">
        <v>56</v>
      </c>
      <c r="H765" s="10" t="s">
        <v>738</v>
      </c>
      <c r="I765" s="6" t="s">
        <v>739</v>
      </c>
      <c r="J765" s="12">
        <v>46121.443090277775</v>
      </c>
      <c r="K765" s="6" t="e" cm="1">
        <f t="array" ref="K765">LOOKUP(2^15,SEARCH(Tabela2[Palavras-Chave],Boletim[[#This Row],[Objeto]],1),Tabela2[Palavras-Chave])</f>
        <v>#N/A</v>
      </c>
    </row>
    <row r="766" spans="1:11" ht="72" hidden="1" x14ac:dyDescent="0.3">
      <c r="A766" s="5">
        <v>18769998</v>
      </c>
      <c r="B766" s="6" t="s">
        <v>74</v>
      </c>
      <c r="C766" s="6" t="s">
        <v>53</v>
      </c>
      <c r="D766" s="8" t="s">
        <v>54</v>
      </c>
      <c r="E766" s="6" t="s">
        <v>734</v>
      </c>
      <c r="F766" s="6" t="s">
        <v>51</v>
      </c>
      <c r="G766" s="11" t="s">
        <v>56</v>
      </c>
      <c r="H766" s="10" t="s">
        <v>735</v>
      </c>
      <c r="I766" s="6" t="s">
        <v>736</v>
      </c>
      <c r="J766" s="12">
        <v>46121.440335648149</v>
      </c>
      <c r="K766" s="6" t="e" cm="1">
        <f t="array" ref="K766">LOOKUP(2^15,SEARCH(Tabela2[Palavras-Chave],Boletim[[#This Row],[Objeto]],1),Tabela2[Palavras-Chave])</f>
        <v>#N/A</v>
      </c>
    </row>
    <row r="767" spans="1:11" ht="158.4" hidden="1" x14ac:dyDescent="0.3">
      <c r="A767" s="5">
        <v>18807634</v>
      </c>
      <c r="B767" s="6" t="s">
        <v>269</v>
      </c>
      <c r="C767" s="6" t="s">
        <v>53</v>
      </c>
      <c r="D767" s="8" t="s">
        <v>54</v>
      </c>
      <c r="E767" s="6" t="s">
        <v>55</v>
      </c>
      <c r="F767" s="6" t="s">
        <v>51</v>
      </c>
      <c r="G767" s="11" t="s">
        <v>56</v>
      </c>
      <c r="H767" s="10" t="s">
        <v>740</v>
      </c>
      <c r="I767" s="6" t="s">
        <v>741</v>
      </c>
      <c r="J767" s="12">
        <v>46121.468124999999</v>
      </c>
      <c r="K767" s="6" t="e" cm="1">
        <f t="array" ref="K767">LOOKUP(2^15,SEARCH(Tabela2[Palavras-Chave],Boletim[[#This Row],[Objeto]],1),Tabela2[Palavras-Chave])</f>
        <v>#N/A</v>
      </c>
    </row>
    <row r="768" spans="1:11" ht="43.2" hidden="1" x14ac:dyDescent="0.3">
      <c r="A768" s="5">
        <v>18807238</v>
      </c>
      <c r="B768" s="6" t="s">
        <v>2758</v>
      </c>
      <c r="C768" s="6" t="s">
        <v>2759</v>
      </c>
      <c r="D768" s="8" t="s">
        <v>54</v>
      </c>
      <c r="E768" s="6" t="s">
        <v>55</v>
      </c>
      <c r="F768" s="6" t="s">
        <v>51</v>
      </c>
      <c r="G768" s="11" t="s">
        <v>56</v>
      </c>
      <c r="H768" s="10" t="s">
        <v>2760</v>
      </c>
      <c r="I768" s="6" t="s">
        <v>90</v>
      </c>
      <c r="J768" s="12">
        <v>46121.474606481483</v>
      </c>
      <c r="K768" s="6" t="e" cm="1">
        <f t="array" ref="K768">LOOKUP(2^15,SEARCH(Tabela2[Palavras-Chave],Boletim[[#This Row],[Objeto]],1),Tabela2[Palavras-Chave])</f>
        <v>#N/A</v>
      </c>
    </row>
    <row r="769" spans="1:11" ht="172.8" hidden="1" x14ac:dyDescent="0.3">
      <c r="A769" s="5">
        <v>18807658</v>
      </c>
      <c r="B769" s="6" t="s">
        <v>264</v>
      </c>
      <c r="C769" s="6" t="s">
        <v>268</v>
      </c>
      <c r="D769" s="8" t="s">
        <v>54</v>
      </c>
      <c r="E769" s="6" t="s">
        <v>55</v>
      </c>
      <c r="F769" s="6" t="s">
        <v>51</v>
      </c>
      <c r="G769" s="11" t="s">
        <v>56</v>
      </c>
      <c r="H769" s="10" t="s">
        <v>742</v>
      </c>
      <c r="I769" s="6" t="s">
        <v>743</v>
      </c>
      <c r="J769" s="12">
        <v>46121.52615740741</v>
      </c>
      <c r="K769" s="6" t="e" cm="1">
        <f t="array" ref="K769">LOOKUP(2^15,SEARCH(Tabela2[Palavras-Chave],Boletim[[#This Row],[Objeto]],1),Tabela2[Palavras-Chave])</f>
        <v>#N/A</v>
      </c>
    </row>
    <row r="770" spans="1:11" ht="72" hidden="1" x14ac:dyDescent="0.3">
      <c r="A770" s="5">
        <v>18809422</v>
      </c>
      <c r="B770" s="6" t="s">
        <v>150</v>
      </c>
      <c r="C770" s="6" t="s">
        <v>57</v>
      </c>
      <c r="D770" s="8" t="s">
        <v>54</v>
      </c>
      <c r="E770" s="6" t="s">
        <v>744</v>
      </c>
      <c r="F770" s="6" t="s">
        <v>51</v>
      </c>
      <c r="G770" s="11" t="s">
        <v>56</v>
      </c>
      <c r="H770" s="10" t="s">
        <v>745</v>
      </c>
      <c r="I770" s="6" t="s">
        <v>746</v>
      </c>
      <c r="J770" s="12">
        <v>46121.603842592594</v>
      </c>
      <c r="K770" s="6" t="e" cm="1">
        <f t="array" ref="K770">LOOKUP(2^15,SEARCH(Tabela2[Palavras-Chave],Boletim[[#This Row],[Objeto]],1),Tabela2[Palavras-Chave])</f>
        <v>#N/A</v>
      </c>
    </row>
    <row r="771" spans="1:11" ht="172.8" hidden="1" x14ac:dyDescent="0.3">
      <c r="A771" s="5">
        <v>18809159</v>
      </c>
      <c r="B771" s="6" t="s">
        <v>267</v>
      </c>
      <c r="C771" s="6" t="s">
        <v>308</v>
      </c>
      <c r="D771" s="8" t="s">
        <v>54</v>
      </c>
      <c r="E771" s="6" t="s">
        <v>55</v>
      </c>
      <c r="F771" s="6" t="s">
        <v>51</v>
      </c>
      <c r="G771" s="11" t="s">
        <v>56</v>
      </c>
      <c r="H771" s="10" t="s">
        <v>747</v>
      </c>
      <c r="I771" s="6" t="s">
        <v>748</v>
      </c>
      <c r="J771" s="12">
        <v>46121.606990740744</v>
      </c>
      <c r="K771" s="6" t="e" cm="1">
        <f t="array" ref="K771">LOOKUP(2^15,SEARCH(Tabela2[Palavras-Chave],Boletim[[#This Row],[Objeto]],1),Tabela2[Palavras-Chave])</f>
        <v>#N/A</v>
      </c>
    </row>
    <row r="772" spans="1:11" ht="158.4" hidden="1" x14ac:dyDescent="0.3">
      <c r="A772" s="5">
        <v>18807638</v>
      </c>
      <c r="B772" s="6" t="s">
        <v>749</v>
      </c>
      <c r="C772" s="6" t="s">
        <v>53</v>
      </c>
      <c r="D772" s="8" t="s">
        <v>54</v>
      </c>
      <c r="E772" s="6" t="s">
        <v>55</v>
      </c>
      <c r="F772" s="6" t="s">
        <v>51</v>
      </c>
      <c r="G772" s="11" t="s">
        <v>56</v>
      </c>
      <c r="H772" s="10" t="s">
        <v>750</v>
      </c>
      <c r="I772" s="6" t="s">
        <v>751</v>
      </c>
      <c r="J772" s="12">
        <v>46121.663541666669</v>
      </c>
      <c r="K772" s="6" t="e" cm="1">
        <f t="array" ref="K772">LOOKUP(2^15,SEARCH(Tabela2[Palavras-Chave],Boletim[[#This Row],[Objeto]],1),Tabela2[Palavras-Chave])</f>
        <v>#N/A</v>
      </c>
    </row>
    <row r="773" spans="1:11" ht="57.6" hidden="1" x14ac:dyDescent="0.3">
      <c r="A773" s="5">
        <v>18648867</v>
      </c>
      <c r="B773" s="6" t="s">
        <v>2761</v>
      </c>
      <c r="C773" s="6" t="s">
        <v>182</v>
      </c>
      <c r="D773" s="8" t="s">
        <v>54</v>
      </c>
      <c r="E773" s="6" t="s">
        <v>55</v>
      </c>
      <c r="F773" s="6" t="s">
        <v>51</v>
      </c>
      <c r="G773" s="11" t="s">
        <v>56</v>
      </c>
      <c r="H773" s="10" t="s">
        <v>2762</v>
      </c>
      <c r="I773" s="6" t="s">
        <v>138</v>
      </c>
      <c r="J773" s="12">
        <v>46121.686886574076</v>
      </c>
      <c r="K773" s="6" t="e" cm="1">
        <f t="array" ref="K773">LOOKUP(2^15,SEARCH(Tabela2[Palavras-Chave],Boletim[[#This Row],[Objeto]],1),Tabela2[Palavras-Chave])</f>
        <v>#N/A</v>
      </c>
    </row>
    <row r="774" spans="1:11" ht="172.8" hidden="1" x14ac:dyDescent="0.3">
      <c r="A774" s="5">
        <v>18807665</v>
      </c>
      <c r="B774" s="6" t="s">
        <v>214</v>
      </c>
      <c r="C774" s="6" t="s">
        <v>53</v>
      </c>
      <c r="D774" s="8" t="s">
        <v>54</v>
      </c>
      <c r="E774" s="6" t="s">
        <v>55</v>
      </c>
      <c r="F774" s="6" t="s">
        <v>51</v>
      </c>
      <c r="G774" s="11" t="s">
        <v>56</v>
      </c>
      <c r="H774" s="10" t="s">
        <v>752</v>
      </c>
      <c r="I774" s="6" t="s">
        <v>753</v>
      </c>
      <c r="J774" s="12">
        <v>46121.702291666668</v>
      </c>
      <c r="K774" s="6" t="e" cm="1">
        <f t="array" ref="K774">LOOKUP(2^15,SEARCH(Tabela2[Palavras-Chave],Boletim[[#This Row],[Objeto]],1),Tabela2[Palavras-Chave])</f>
        <v>#N/A</v>
      </c>
    </row>
    <row r="775" spans="1:11" ht="72" hidden="1" x14ac:dyDescent="0.3">
      <c r="A775" s="5">
        <v>18809425</v>
      </c>
      <c r="B775" s="6" t="s">
        <v>150</v>
      </c>
      <c r="C775" s="6" t="s">
        <v>57</v>
      </c>
      <c r="D775" s="8" t="s">
        <v>54</v>
      </c>
      <c r="E775" s="6" t="s">
        <v>754</v>
      </c>
      <c r="F775" s="6" t="s">
        <v>51</v>
      </c>
      <c r="G775" s="11" t="s">
        <v>56</v>
      </c>
      <c r="H775" s="10" t="s">
        <v>755</v>
      </c>
      <c r="I775" s="6" t="s">
        <v>756</v>
      </c>
      <c r="J775" s="12">
        <v>46121.70648148148</v>
      </c>
      <c r="K775" s="6" t="e" cm="1">
        <f t="array" ref="K775">LOOKUP(2^15,SEARCH(Tabela2[Palavras-Chave],Boletim[[#This Row],[Objeto]],1),Tabela2[Palavras-Chave])</f>
        <v>#N/A</v>
      </c>
    </row>
    <row r="776" spans="1:11" ht="72" hidden="1" x14ac:dyDescent="0.3">
      <c r="A776" s="5">
        <v>18809421</v>
      </c>
      <c r="B776" s="6" t="s">
        <v>58</v>
      </c>
      <c r="C776" s="6" t="s">
        <v>53</v>
      </c>
      <c r="D776" s="8" t="s">
        <v>54</v>
      </c>
      <c r="E776" s="6" t="s">
        <v>757</v>
      </c>
      <c r="F776" s="6" t="s">
        <v>51</v>
      </c>
      <c r="G776" s="11" t="s">
        <v>56</v>
      </c>
      <c r="H776" s="10" t="s">
        <v>758</v>
      </c>
      <c r="I776" s="6" t="s">
        <v>759</v>
      </c>
      <c r="J776" s="12">
        <v>46121.707812499997</v>
      </c>
      <c r="K776" s="6" t="e" cm="1">
        <f t="array" ref="K776">LOOKUP(2^15,SEARCH(Tabela2[Palavras-Chave],Boletim[[#This Row],[Objeto]],1),Tabela2[Palavras-Chave])</f>
        <v>#N/A</v>
      </c>
    </row>
    <row r="777" spans="1:11" ht="172.8" hidden="1" x14ac:dyDescent="0.3">
      <c r="A777" s="5">
        <v>18810229</v>
      </c>
      <c r="B777" s="6" t="s">
        <v>760</v>
      </c>
      <c r="C777" s="6" t="s">
        <v>53</v>
      </c>
      <c r="D777" s="8" t="s">
        <v>54</v>
      </c>
      <c r="E777" s="6" t="s">
        <v>55</v>
      </c>
      <c r="F777" s="6" t="s">
        <v>51</v>
      </c>
      <c r="G777" s="11" t="s">
        <v>56</v>
      </c>
      <c r="H777" s="10" t="s">
        <v>761</v>
      </c>
      <c r="I777" s="6" t="s">
        <v>762</v>
      </c>
      <c r="J777" s="12">
        <v>46121.729270833333</v>
      </c>
      <c r="K777" s="6" t="e" cm="1">
        <f t="array" ref="K777">LOOKUP(2^15,SEARCH(Tabela2[Palavras-Chave],Boletim[[#This Row],[Objeto]],1),Tabela2[Palavras-Chave])</f>
        <v>#N/A</v>
      </c>
    </row>
    <row r="778" spans="1:11" ht="158.4" hidden="1" x14ac:dyDescent="0.3">
      <c r="A778" s="5">
        <v>18810234</v>
      </c>
      <c r="B778" s="6" t="s">
        <v>320</v>
      </c>
      <c r="C778" s="6" t="s">
        <v>53</v>
      </c>
      <c r="D778" s="8" t="s">
        <v>54</v>
      </c>
      <c r="E778" s="6" t="s">
        <v>55</v>
      </c>
      <c r="F778" s="6" t="s">
        <v>51</v>
      </c>
      <c r="G778" s="11" t="s">
        <v>56</v>
      </c>
      <c r="H778" s="10" t="s">
        <v>763</v>
      </c>
      <c r="I778" s="6" t="s">
        <v>764</v>
      </c>
      <c r="J778" s="12">
        <v>46121.729270833333</v>
      </c>
      <c r="K778" s="6" t="e" cm="1">
        <f t="array" ref="K778">LOOKUP(2^15,SEARCH(Tabela2[Palavras-Chave],Boletim[[#This Row],[Objeto]],1),Tabela2[Palavras-Chave])</f>
        <v>#N/A</v>
      </c>
    </row>
    <row r="779" spans="1:11" ht="144" hidden="1" x14ac:dyDescent="0.3">
      <c r="A779" s="5">
        <v>18810189</v>
      </c>
      <c r="B779" s="6" t="s">
        <v>765</v>
      </c>
      <c r="C779" s="6" t="s">
        <v>53</v>
      </c>
      <c r="D779" s="8" t="s">
        <v>54</v>
      </c>
      <c r="E779" s="6" t="s">
        <v>55</v>
      </c>
      <c r="F779" s="6" t="s">
        <v>51</v>
      </c>
      <c r="G779" s="11" t="s">
        <v>56</v>
      </c>
      <c r="H779" s="10" t="s">
        <v>766</v>
      </c>
      <c r="I779" s="6" t="s">
        <v>767</v>
      </c>
      <c r="J779" s="12">
        <v>46121.732025462959</v>
      </c>
      <c r="K779" s="6" t="e" cm="1">
        <f t="array" ref="K779">LOOKUP(2^15,SEARCH(Tabela2[Palavras-Chave],Boletim[[#This Row],[Objeto]],1),Tabela2[Palavras-Chave])</f>
        <v>#N/A</v>
      </c>
    </row>
    <row r="780" spans="1:11" ht="158.4" hidden="1" x14ac:dyDescent="0.3">
      <c r="A780" s="5">
        <v>18810201</v>
      </c>
      <c r="B780" s="6" t="s">
        <v>768</v>
      </c>
      <c r="C780" s="6" t="s">
        <v>53</v>
      </c>
      <c r="D780" s="8" t="s">
        <v>54</v>
      </c>
      <c r="E780" s="6" t="s">
        <v>55</v>
      </c>
      <c r="F780" s="6" t="s">
        <v>51</v>
      </c>
      <c r="G780" s="11" t="s">
        <v>56</v>
      </c>
      <c r="H780" s="10" t="s">
        <v>769</v>
      </c>
      <c r="I780" s="6" t="s">
        <v>770</v>
      </c>
      <c r="J780" s="12">
        <v>46121.732685185183</v>
      </c>
      <c r="K780" s="6" t="e" cm="1">
        <f t="array" ref="K780">LOOKUP(2^15,SEARCH(Tabela2[Palavras-Chave],Boletim[[#This Row],[Objeto]],1),Tabela2[Palavras-Chave])</f>
        <v>#N/A</v>
      </c>
    </row>
    <row r="781" spans="1:11" ht="158.4" hidden="1" x14ac:dyDescent="0.3">
      <c r="A781" s="5">
        <v>18810194</v>
      </c>
      <c r="B781" s="6" t="s">
        <v>320</v>
      </c>
      <c r="C781" s="6" t="s">
        <v>53</v>
      </c>
      <c r="D781" s="8" t="s">
        <v>54</v>
      </c>
      <c r="E781" s="6" t="s">
        <v>55</v>
      </c>
      <c r="F781" s="6" t="s">
        <v>51</v>
      </c>
      <c r="G781" s="11" t="s">
        <v>56</v>
      </c>
      <c r="H781" s="10" t="s">
        <v>771</v>
      </c>
      <c r="I781" s="6" t="s">
        <v>772</v>
      </c>
      <c r="J781" s="12">
        <v>46121.733391203707</v>
      </c>
      <c r="K781" s="6" t="e" cm="1">
        <f t="array" ref="K781">LOOKUP(2^15,SEARCH(Tabela2[Palavras-Chave],Boletim[[#This Row],[Objeto]],1),Tabela2[Palavras-Chave])</f>
        <v>#N/A</v>
      </c>
    </row>
    <row r="782" spans="1:11" ht="158.4" hidden="1" x14ac:dyDescent="0.3">
      <c r="A782" s="5">
        <v>18810191</v>
      </c>
      <c r="B782" s="6" t="s">
        <v>773</v>
      </c>
      <c r="C782" s="6" t="s">
        <v>53</v>
      </c>
      <c r="D782" s="8" t="s">
        <v>54</v>
      </c>
      <c r="E782" s="6" t="s">
        <v>55</v>
      </c>
      <c r="F782" s="6" t="s">
        <v>51</v>
      </c>
      <c r="G782" s="11" t="s">
        <v>56</v>
      </c>
      <c r="H782" s="10" t="s">
        <v>774</v>
      </c>
      <c r="I782" s="6" t="s">
        <v>775</v>
      </c>
      <c r="J782" s="12">
        <v>46121.733402777776</v>
      </c>
      <c r="K782" s="6" t="e" cm="1">
        <f t="array" ref="K782">LOOKUP(2^15,SEARCH(Tabela2[Palavras-Chave],Boletim[[#This Row],[Objeto]],1),Tabela2[Palavras-Chave])</f>
        <v>#N/A</v>
      </c>
    </row>
    <row r="783" spans="1:11" ht="72" hidden="1" x14ac:dyDescent="0.3">
      <c r="A783" s="5">
        <v>18809427</v>
      </c>
      <c r="B783" s="6" t="s">
        <v>153</v>
      </c>
      <c r="C783" s="6" t="s">
        <v>53</v>
      </c>
      <c r="D783" s="8" t="s">
        <v>54</v>
      </c>
      <c r="E783" s="6" t="s">
        <v>2763</v>
      </c>
      <c r="F783" s="6" t="s">
        <v>51</v>
      </c>
      <c r="G783" s="11" t="s">
        <v>56</v>
      </c>
      <c r="H783" s="10" t="s">
        <v>2764</v>
      </c>
      <c r="I783" s="6" t="s">
        <v>2765</v>
      </c>
      <c r="J783" s="12">
        <v>46121.735127314816</v>
      </c>
      <c r="K783" s="6" t="e" cm="1">
        <f t="array" ref="K783">LOOKUP(2^15,SEARCH(Tabela2[Palavras-Chave],Boletim[[#This Row],[Objeto]],1),Tabela2[Palavras-Chave])</f>
        <v>#N/A</v>
      </c>
    </row>
    <row r="784" spans="1:11" ht="72" hidden="1" x14ac:dyDescent="0.3">
      <c r="A784" s="5">
        <v>18809438</v>
      </c>
      <c r="B784" s="6" t="s">
        <v>58</v>
      </c>
      <c r="C784" s="6" t="s">
        <v>53</v>
      </c>
      <c r="D784" s="8" t="s">
        <v>54</v>
      </c>
      <c r="E784" s="6" t="s">
        <v>2766</v>
      </c>
      <c r="F784" s="6" t="s">
        <v>51</v>
      </c>
      <c r="G784" s="11" t="s">
        <v>56</v>
      </c>
      <c r="H784" s="10" t="s">
        <v>2767</v>
      </c>
      <c r="I784" s="6" t="s">
        <v>2768</v>
      </c>
      <c r="J784" s="12">
        <v>46121.742627314816</v>
      </c>
      <c r="K784" s="6" t="e" cm="1">
        <f t="array" ref="K784">LOOKUP(2^15,SEARCH(Tabela2[Palavras-Chave],Boletim[[#This Row],[Objeto]],1),Tabela2[Palavras-Chave])</f>
        <v>#N/A</v>
      </c>
    </row>
    <row r="785" spans="1:11" ht="72" hidden="1" x14ac:dyDescent="0.3">
      <c r="A785" s="5">
        <v>18809444</v>
      </c>
      <c r="B785" s="6" t="s">
        <v>150</v>
      </c>
      <c r="C785" s="6" t="s">
        <v>57</v>
      </c>
      <c r="D785" s="8" t="s">
        <v>54</v>
      </c>
      <c r="E785" s="6" t="s">
        <v>2769</v>
      </c>
      <c r="F785" s="6" t="s">
        <v>51</v>
      </c>
      <c r="G785" s="11" t="s">
        <v>56</v>
      </c>
      <c r="H785" s="10" t="s">
        <v>2770</v>
      </c>
      <c r="I785" s="6" t="s">
        <v>2771</v>
      </c>
      <c r="J785" s="12">
        <v>46121.763391203705</v>
      </c>
      <c r="K785" s="6" t="e" cm="1">
        <f t="array" ref="K785">LOOKUP(2^15,SEARCH(Tabela2[Palavras-Chave],Boletim[[#This Row],[Objeto]],1),Tabela2[Palavras-Chave])</f>
        <v>#N/A</v>
      </c>
    </row>
    <row r="786" spans="1:11" ht="86.4" hidden="1" x14ac:dyDescent="0.3">
      <c r="A786" s="5">
        <v>18776658</v>
      </c>
      <c r="B786" s="6" t="s">
        <v>150</v>
      </c>
      <c r="C786" s="6" t="s">
        <v>57</v>
      </c>
      <c r="D786" s="8" t="s">
        <v>54</v>
      </c>
      <c r="E786" s="6" t="s">
        <v>776</v>
      </c>
      <c r="F786" s="6" t="s">
        <v>51</v>
      </c>
      <c r="G786" s="11" t="s">
        <v>56</v>
      </c>
      <c r="H786" s="10" t="s">
        <v>777</v>
      </c>
      <c r="I786" s="6" t="s">
        <v>778</v>
      </c>
      <c r="J786" s="12">
        <v>46121.79178240741</v>
      </c>
      <c r="K786" s="6" t="e" cm="1">
        <f t="array" ref="K786">LOOKUP(2^15,SEARCH(Tabela2[Palavras-Chave],Boletim[[#This Row],[Objeto]],1),Tabela2[Palavras-Chave])</f>
        <v>#N/A</v>
      </c>
    </row>
    <row r="787" spans="1:11" ht="86.4" hidden="1" x14ac:dyDescent="0.3">
      <c r="A787" s="5">
        <v>18735264</v>
      </c>
      <c r="B787" s="6" t="s">
        <v>150</v>
      </c>
      <c r="C787" s="6" t="s">
        <v>57</v>
      </c>
      <c r="D787" s="8" t="s">
        <v>54</v>
      </c>
      <c r="E787" s="6" t="s">
        <v>584</v>
      </c>
      <c r="F787" s="6" t="s">
        <v>51</v>
      </c>
      <c r="G787" s="11" t="s">
        <v>56</v>
      </c>
      <c r="H787" s="10" t="s">
        <v>585</v>
      </c>
      <c r="I787" s="6" t="s">
        <v>2772</v>
      </c>
      <c r="J787" s="12">
        <v>46121.809756944444</v>
      </c>
      <c r="K787" s="6" t="e" cm="1">
        <f t="array" ref="K787">LOOKUP(2^15,SEARCH(Tabela2[Palavras-Chave],Boletim[[#This Row],[Objeto]],1),Tabela2[Palavras-Chave])</f>
        <v>#N/A</v>
      </c>
    </row>
    <row r="788" spans="1:11" ht="86.4" x14ac:dyDescent="0.3">
      <c r="A788" s="5">
        <v>18803784</v>
      </c>
      <c r="B788" s="6" t="s">
        <v>187</v>
      </c>
      <c r="C788" s="6" t="s">
        <v>266</v>
      </c>
      <c r="D788" s="8" t="s">
        <v>54</v>
      </c>
      <c r="E788" s="6" t="s">
        <v>588</v>
      </c>
      <c r="F788" s="6" t="s">
        <v>51</v>
      </c>
      <c r="G788" s="11" t="s">
        <v>56</v>
      </c>
      <c r="H788" s="10" t="s">
        <v>589</v>
      </c>
      <c r="I788" s="6" t="s">
        <v>2773</v>
      </c>
      <c r="J788" s="12">
        <v>46121.812650462962</v>
      </c>
      <c r="K788" s="6" t="str" cm="1">
        <f t="array" ref="K788">LOOKUP(2^15,SEARCH(Tabela2[Palavras-Chave],Boletim[[#This Row],[Objeto]],1),Tabela2[Palavras-Chave])</f>
        <v>MEDIÇÃO</v>
      </c>
    </row>
    <row r="789" spans="1:11" ht="86.4" hidden="1" x14ac:dyDescent="0.3">
      <c r="A789" s="5">
        <v>18788589</v>
      </c>
      <c r="B789" s="6" t="s">
        <v>58</v>
      </c>
      <c r="C789" s="6" t="s">
        <v>53</v>
      </c>
      <c r="D789" s="8" t="s">
        <v>54</v>
      </c>
      <c r="E789" s="6" t="s">
        <v>2774</v>
      </c>
      <c r="F789" s="6" t="s">
        <v>51</v>
      </c>
      <c r="G789" s="11" t="s">
        <v>56</v>
      </c>
      <c r="H789" s="10" t="s">
        <v>2775</v>
      </c>
      <c r="I789" s="6" t="s">
        <v>2776</v>
      </c>
      <c r="J789" s="12">
        <v>46121.813240740739</v>
      </c>
      <c r="K789" s="6" t="e" cm="1">
        <f t="array" ref="K789">LOOKUP(2^15,SEARCH(Tabela2[Palavras-Chave],Boletim[[#This Row],[Objeto]],1),Tabela2[Palavras-Chave])</f>
        <v>#N/A</v>
      </c>
    </row>
    <row r="790" spans="1:11" ht="86.4" hidden="1" x14ac:dyDescent="0.3">
      <c r="A790" s="5">
        <v>18729395</v>
      </c>
      <c r="B790" s="6" t="s">
        <v>58</v>
      </c>
      <c r="C790" s="6" t="s">
        <v>53</v>
      </c>
      <c r="D790" s="8" t="s">
        <v>54</v>
      </c>
      <c r="E790" s="6" t="s">
        <v>2777</v>
      </c>
      <c r="F790" s="6" t="s">
        <v>51</v>
      </c>
      <c r="G790" s="11" t="s">
        <v>56</v>
      </c>
      <c r="H790" s="10" t="s">
        <v>2778</v>
      </c>
      <c r="I790" s="6" t="s">
        <v>2779</v>
      </c>
      <c r="J790" s="12">
        <v>46121.81287037037</v>
      </c>
      <c r="K790" s="6" t="e" cm="1">
        <f t="array" ref="K790">LOOKUP(2^15,SEARCH(Tabela2[Palavras-Chave],Boletim[[#This Row],[Objeto]],1),Tabela2[Palavras-Chave])</f>
        <v>#N/A</v>
      </c>
    </row>
    <row r="791" spans="1:11" ht="86.4" hidden="1" x14ac:dyDescent="0.3">
      <c r="A791" s="5">
        <v>18786778</v>
      </c>
      <c r="B791" s="6" t="s">
        <v>150</v>
      </c>
      <c r="C791" s="6" t="s">
        <v>57</v>
      </c>
      <c r="D791" s="8" t="s">
        <v>54</v>
      </c>
      <c r="E791" s="6" t="s">
        <v>779</v>
      </c>
      <c r="F791" s="6" t="s">
        <v>51</v>
      </c>
      <c r="G791" s="11" t="s">
        <v>56</v>
      </c>
      <c r="H791" s="10" t="s">
        <v>780</v>
      </c>
      <c r="I791" s="6" t="s">
        <v>781</v>
      </c>
      <c r="J791" s="12">
        <v>46121.830590277779</v>
      </c>
      <c r="K791" s="6" t="e" cm="1">
        <f t="array" ref="K791">LOOKUP(2^15,SEARCH(Tabela2[Palavras-Chave],Boletim[[#This Row],[Objeto]],1),Tabela2[Palavras-Chave])</f>
        <v>#N/A</v>
      </c>
    </row>
    <row r="792" spans="1:11" ht="72" x14ac:dyDescent="0.3">
      <c r="A792" s="5">
        <v>18811316</v>
      </c>
      <c r="B792" s="6" t="s">
        <v>150</v>
      </c>
      <c r="C792" s="6" t="s">
        <v>57</v>
      </c>
      <c r="D792" s="8" t="s">
        <v>54</v>
      </c>
      <c r="E792" s="6" t="s">
        <v>782</v>
      </c>
      <c r="F792" s="6" t="s">
        <v>51</v>
      </c>
      <c r="G792" s="11" t="s">
        <v>56</v>
      </c>
      <c r="H792" s="10" t="s">
        <v>783</v>
      </c>
      <c r="I792" s="6" t="s">
        <v>784</v>
      </c>
      <c r="J792" s="12">
        <v>46121.836157407408</v>
      </c>
      <c r="K792" s="6" t="str" cm="1">
        <f t="array" ref="K792">LOOKUP(2^15,SEARCH(Tabela2[Palavras-Chave],Boletim[[#This Row],[Objeto]],1),Tabela2[Palavras-Chave])</f>
        <v>TANQUE</v>
      </c>
    </row>
    <row r="793" spans="1:11" ht="86.4" hidden="1" x14ac:dyDescent="0.3">
      <c r="A793" s="5">
        <v>18769631</v>
      </c>
      <c r="B793" s="6" t="s">
        <v>153</v>
      </c>
      <c r="C793" s="6" t="s">
        <v>53</v>
      </c>
      <c r="D793" s="8" t="s">
        <v>54</v>
      </c>
      <c r="E793" s="6" t="s">
        <v>785</v>
      </c>
      <c r="F793" s="6" t="s">
        <v>51</v>
      </c>
      <c r="G793" s="11" t="s">
        <v>56</v>
      </c>
      <c r="H793" s="10" t="s">
        <v>786</v>
      </c>
      <c r="I793" s="6" t="s">
        <v>787</v>
      </c>
      <c r="J793" s="12">
        <v>46121.838229166664</v>
      </c>
      <c r="K793" s="6" t="e" cm="1">
        <f t="array" ref="K793">LOOKUP(2^15,SEARCH(Tabela2[Palavras-Chave],Boletim[[#This Row],[Objeto]],1),Tabela2[Palavras-Chave])</f>
        <v>#N/A</v>
      </c>
    </row>
    <row r="794" spans="1:11" ht="72" hidden="1" x14ac:dyDescent="0.3">
      <c r="A794" s="5">
        <v>18807306</v>
      </c>
      <c r="B794" s="6" t="s">
        <v>58</v>
      </c>
      <c r="C794" s="6" t="s">
        <v>319</v>
      </c>
      <c r="D794" s="8" t="s">
        <v>54</v>
      </c>
      <c r="E794" s="6" t="s">
        <v>788</v>
      </c>
      <c r="F794" s="6" t="s">
        <v>51</v>
      </c>
      <c r="G794" s="11" t="s">
        <v>56</v>
      </c>
      <c r="H794" s="10" t="s">
        <v>789</v>
      </c>
      <c r="I794" s="6" t="s">
        <v>790</v>
      </c>
      <c r="J794" s="12">
        <v>46121.836435185185</v>
      </c>
      <c r="K794" s="6" t="e" cm="1">
        <f t="array" ref="K794">LOOKUP(2^15,SEARCH(Tabela2[Palavras-Chave],Boletim[[#This Row],[Objeto]],1),Tabela2[Palavras-Chave])</f>
        <v>#N/A</v>
      </c>
    </row>
    <row r="795" spans="1:11" ht="72" hidden="1" x14ac:dyDescent="0.3">
      <c r="A795" s="5">
        <v>18811332</v>
      </c>
      <c r="B795" s="6" t="s">
        <v>58</v>
      </c>
      <c r="C795" s="6" t="s">
        <v>53</v>
      </c>
      <c r="D795" s="8" t="s">
        <v>54</v>
      </c>
      <c r="E795" s="6" t="s">
        <v>791</v>
      </c>
      <c r="F795" s="6" t="s">
        <v>51</v>
      </c>
      <c r="G795" s="11" t="s">
        <v>56</v>
      </c>
      <c r="H795" s="10" t="s">
        <v>792</v>
      </c>
      <c r="I795" s="6" t="s">
        <v>793</v>
      </c>
      <c r="J795" s="12">
        <v>46121.838946759257</v>
      </c>
      <c r="K795" s="6" t="e" cm="1">
        <f t="array" ref="K795">LOOKUP(2^15,SEARCH(Tabela2[Palavras-Chave],Boletim[[#This Row],[Objeto]],1),Tabela2[Palavras-Chave])</f>
        <v>#N/A</v>
      </c>
    </row>
    <row r="796" spans="1:11" ht="86.4" hidden="1" x14ac:dyDescent="0.3">
      <c r="A796" s="5">
        <v>18776645</v>
      </c>
      <c r="B796" s="6" t="s">
        <v>58</v>
      </c>
      <c r="C796" s="6" t="s">
        <v>53</v>
      </c>
      <c r="D796" s="8" t="s">
        <v>54</v>
      </c>
      <c r="E796" s="6" t="s">
        <v>586</v>
      </c>
      <c r="F796" s="6" t="s">
        <v>51</v>
      </c>
      <c r="G796" s="11" t="s">
        <v>56</v>
      </c>
      <c r="H796" s="10" t="s">
        <v>587</v>
      </c>
      <c r="I796" s="6" t="s">
        <v>794</v>
      </c>
      <c r="J796" s="12">
        <v>46121.845879629633</v>
      </c>
      <c r="K796" s="6" t="e" cm="1">
        <f t="array" ref="K796">LOOKUP(2^15,SEARCH(Tabela2[Palavras-Chave],Boletim[[#This Row],[Objeto]],1),Tabela2[Palavras-Chave])</f>
        <v>#N/A</v>
      </c>
    </row>
    <row r="797" spans="1:11" ht="86.4" hidden="1" x14ac:dyDescent="0.3">
      <c r="A797" s="5">
        <v>18799162</v>
      </c>
      <c r="B797" s="6" t="s">
        <v>150</v>
      </c>
      <c r="C797" s="6" t="s">
        <v>57</v>
      </c>
      <c r="D797" s="8" t="s">
        <v>54</v>
      </c>
      <c r="E797" s="6" t="s">
        <v>795</v>
      </c>
      <c r="F797" s="6" t="s">
        <v>51</v>
      </c>
      <c r="G797" s="11" t="s">
        <v>56</v>
      </c>
      <c r="H797" s="10" t="s">
        <v>796</v>
      </c>
      <c r="I797" s="6" t="s">
        <v>797</v>
      </c>
      <c r="J797" s="12">
        <v>46121.847951388889</v>
      </c>
      <c r="K797" s="6" t="e" cm="1">
        <f t="array" ref="K797">LOOKUP(2^15,SEARCH(Tabela2[Palavras-Chave],Boletim[[#This Row],[Objeto]],1),Tabela2[Palavras-Chave])</f>
        <v>#N/A</v>
      </c>
    </row>
    <row r="798" spans="1:11" ht="72" hidden="1" x14ac:dyDescent="0.3">
      <c r="A798" s="5">
        <v>18811376</v>
      </c>
      <c r="B798" s="6" t="s">
        <v>58</v>
      </c>
      <c r="C798" s="6" t="s">
        <v>53</v>
      </c>
      <c r="D798" s="8" t="s">
        <v>54</v>
      </c>
      <c r="E798" s="6" t="s">
        <v>798</v>
      </c>
      <c r="F798" s="6" t="s">
        <v>51</v>
      </c>
      <c r="G798" s="11" t="s">
        <v>56</v>
      </c>
      <c r="H798" s="10" t="s">
        <v>799</v>
      </c>
      <c r="I798" s="6" t="s">
        <v>800</v>
      </c>
      <c r="J798" s="12">
        <v>46121.846562500003</v>
      </c>
      <c r="K798" s="6" t="e" cm="1">
        <f t="array" ref="K798">LOOKUP(2^15,SEARCH(Tabela2[Palavras-Chave],Boletim[[#This Row],[Objeto]],1),Tabela2[Palavras-Chave])</f>
        <v>#N/A</v>
      </c>
    </row>
    <row r="799" spans="1:11" ht="86.4" hidden="1" x14ac:dyDescent="0.3">
      <c r="A799" s="5">
        <v>18799172</v>
      </c>
      <c r="B799" s="6" t="s">
        <v>150</v>
      </c>
      <c r="C799" s="6" t="s">
        <v>57</v>
      </c>
      <c r="D799" s="8" t="s">
        <v>54</v>
      </c>
      <c r="E799" s="6" t="s">
        <v>2780</v>
      </c>
      <c r="F799" s="6" t="s">
        <v>51</v>
      </c>
      <c r="G799" s="11" t="s">
        <v>56</v>
      </c>
      <c r="H799" s="10" t="s">
        <v>2781</v>
      </c>
      <c r="I799" s="6" t="s">
        <v>2782</v>
      </c>
      <c r="J799" s="12">
        <v>46121.851412037038</v>
      </c>
      <c r="K799" s="6" t="e" cm="1">
        <f t="array" ref="K799">LOOKUP(2^15,SEARCH(Tabela2[Palavras-Chave],Boletim[[#This Row],[Objeto]],1),Tabela2[Palavras-Chave])</f>
        <v>#N/A</v>
      </c>
    </row>
    <row r="800" spans="1:11" ht="86.4" hidden="1" x14ac:dyDescent="0.3">
      <c r="A800" s="5">
        <v>18708832</v>
      </c>
      <c r="B800" s="6" t="s">
        <v>58</v>
      </c>
      <c r="C800" s="6" t="s">
        <v>53</v>
      </c>
      <c r="D800" s="8" t="s">
        <v>54</v>
      </c>
      <c r="E800" s="6" t="s">
        <v>801</v>
      </c>
      <c r="F800" s="6" t="s">
        <v>51</v>
      </c>
      <c r="G800" s="11" t="s">
        <v>56</v>
      </c>
      <c r="H800" s="10" t="s">
        <v>802</v>
      </c>
      <c r="I800" s="6" t="s">
        <v>803</v>
      </c>
      <c r="J800" s="12">
        <v>46121.856412037036</v>
      </c>
      <c r="K800" s="6" t="e" cm="1">
        <f t="array" ref="K800">LOOKUP(2^15,SEARCH(Tabela2[Palavras-Chave],Boletim[[#This Row],[Objeto]],1),Tabela2[Palavras-Chave])</f>
        <v>#N/A</v>
      </c>
    </row>
    <row r="801" spans="1:11" ht="72" hidden="1" x14ac:dyDescent="0.3">
      <c r="A801" s="5">
        <v>18809954</v>
      </c>
      <c r="B801" s="6" t="s">
        <v>58</v>
      </c>
      <c r="C801" s="6" t="s">
        <v>53</v>
      </c>
      <c r="D801" s="8" t="s">
        <v>54</v>
      </c>
      <c r="E801" s="6" t="s">
        <v>804</v>
      </c>
      <c r="F801" s="6" t="s">
        <v>51</v>
      </c>
      <c r="G801" s="11" t="s">
        <v>56</v>
      </c>
      <c r="H801" s="10" t="s">
        <v>805</v>
      </c>
      <c r="I801" s="6" t="s">
        <v>806</v>
      </c>
      <c r="J801" s="12">
        <v>46121.867465277777</v>
      </c>
      <c r="K801" s="6" t="e" cm="1">
        <f t="array" ref="K801">LOOKUP(2^15,SEARCH(Tabela2[Palavras-Chave],Boletim[[#This Row],[Objeto]],1),Tabela2[Palavras-Chave])</f>
        <v>#N/A</v>
      </c>
    </row>
    <row r="802" spans="1:11" ht="86.4" hidden="1" x14ac:dyDescent="0.3">
      <c r="A802" s="5">
        <v>18805878</v>
      </c>
      <c r="B802" s="6" t="s">
        <v>330</v>
      </c>
      <c r="C802" s="6" t="s">
        <v>331</v>
      </c>
      <c r="D802" s="8" t="s">
        <v>60</v>
      </c>
      <c r="E802" s="6" t="s">
        <v>332</v>
      </c>
      <c r="F802" s="6" t="s">
        <v>51</v>
      </c>
      <c r="G802" s="11">
        <v>46126.583333333336</v>
      </c>
      <c r="H802" s="10" t="s">
        <v>333</v>
      </c>
      <c r="I802" s="6" t="s">
        <v>334</v>
      </c>
      <c r="J802" s="12">
        <v>46121.409062500003</v>
      </c>
      <c r="K802" s="6" t="e" cm="1">
        <f t="array" ref="K802">LOOKUP(2^15,SEARCH(Tabela2[Palavras-Chave],Boletim[[#This Row],[Objeto]],1),Tabela2[Palavras-Chave])</f>
        <v>#N/A</v>
      </c>
    </row>
    <row r="803" spans="1:11" ht="86.4" hidden="1" x14ac:dyDescent="0.3">
      <c r="A803" s="5">
        <v>18806765</v>
      </c>
      <c r="B803" s="6" t="s">
        <v>807</v>
      </c>
      <c r="C803" s="6" t="s">
        <v>808</v>
      </c>
      <c r="D803" s="8" t="s">
        <v>60</v>
      </c>
      <c r="E803" s="6" t="s">
        <v>809</v>
      </c>
      <c r="F803" s="6" t="s">
        <v>51</v>
      </c>
      <c r="G803" s="11">
        <v>46126.333333333336</v>
      </c>
      <c r="H803" s="10" t="s">
        <v>810</v>
      </c>
      <c r="I803" s="6" t="s">
        <v>811</v>
      </c>
      <c r="J803" s="12">
        <v>46121.445393518516</v>
      </c>
      <c r="K803" s="6" t="e" cm="1">
        <f t="array" ref="K803">LOOKUP(2^15,SEARCH(Tabela2[Palavras-Chave],Boletim[[#This Row],[Objeto]],1),Tabela2[Palavras-Chave])</f>
        <v>#N/A</v>
      </c>
    </row>
    <row r="804" spans="1:11" ht="244.8" hidden="1" x14ac:dyDescent="0.3">
      <c r="A804" s="5">
        <v>18807169</v>
      </c>
      <c r="B804" s="6" t="s">
        <v>812</v>
      </c>
      <c r="C804" s="6" t="s">
        <v>59</v>
      </c>
      <c r="D804" s="8" t="s">
        <v>60</v>
      </c>
      <c r="E804" s="6" t="s">
        <v>283</v>
      </c>
      <c r="F804" s="6" t="s">
        <v>51</v>
      </c>
      <c r="G804" s="11" t="s">
        <v>56</v>
      </c>
      <c r="H804" s="10" t="s">
        <v>813</v>
      </c>
      <c r="I804" s="6" t="s">
        <v>814</v>
      </c>
      <c r="J804" s="12">
        <v>46121.451226851852</v>
      </c>
      <c r="K804" s="6" t="e" cm="1">
        <f t="array" ref="K804">LOOKUP(2^15,SEARCH(Tabela2[Palavras-Chave],Boletim[[#This Row],[Objeto]],1),Tabela2[Palavras-Chave])</f>
        <v>#N/A</v>
      </c>
    </row>
    <row r="805" spans="1:11" ht="86.4" hidden="1" x14ac:dyDescent="0.3">
      <c r="A805" s="5">
        <v>18806657</v>
      </c>
      <c r="B805" s="6" t="s">
        <v>815</v>
      </c>
      <c r="C805" s="6" t="s">
        <v>816</v>
      </c>
      <c r="D805" s="8" t="s">
        <v>60</v>
      </c>
      <c r="E805" s="6" t="s">
        <v>817</v>
      </c>
      <c r="F805" s="6" t="s">
        <v>51</v>
      </c>
      <c r="G805" s="11">
        <v>46126.416666666664</v>
      </c>
      <c r="H805" s="10" t="s">
        <v>818</v>
      </c>
      <c r="I805" s="6" t="s">
        <v>819</v>
      </c>
      <c r="J805" s="12">
        <v>46121.456932870373</v>
      </c>
      <c r="K805" s="6" t="e" cm="1">
        <f t="array" ref="K805">LOOKUP(2^15,SEARCH(Tabela2[Palavras-Chave],Boletim[[#This Row],[Objeto]],1),Tabela2[Palavras-Chave])</f>
        <v>#N/A</v>
      </c>
    </row>
    <row r="806" spans="1:11" ht="115.2" hidden="1" x14ac:dyDescent="0.3">
      <c r="A806" s="5">
        <v>18806747</v>
      </c>
      <c r="B806" s="6" t="s">
        <v>820</v>
      </c>
      <c r="C806" s="6" t="s">
        <v>821</v>
      </c>
      <c r="D806" s="8" t="s">
        <v>60</v>
      </c>
      <c r="E806" s="6" t="s">
        <v>822</v>
      </c>
      <c r="F806" s="6" t="s">
        <v>51</v>
      </c>
      <c r="G806" s="11">
        <v>46125.666666666664</v>
      </c>
      <c r="H806" s="10" t="s">
        <v>823</v>
      </c>
      <c r="I806" s="6" t="s">
        <v>824</v>
      </c>
      <c r="J806" s="12">
        <v>46121.472048611111</v>
      </c>
      <c r="K806" s="6" t="e" cm="1">
        <f t="array" ref="K806">LOOKUP(2^15,SEARCH(Tabela2[Palavras-Chave],Boletim[[#This Row],[Objeto]],1),Tabela2[Palavras-Chave])</f>
        <v>#N/A</v>
      </c>
    </row>
    <row r="807" spans="1:11" ht="201.6" x14ac:dyDescent="0.3">
      <c r="A807" s="5">
        <v>18807168</v>
      </c>
      <c r="B807" s="6" t="s">
        <v>812</v>
      </c>
      <c r="C807" s="6" t="s">
        <v>59</v>
      </c>
      <c r="D807" s="8" t="s">
        <v>60</v>
      </c>
      <c r="E807" s="6" t="s">
        <v>825</v>
      </c>
      <c r="F807" s="6" t="s">
        <v>51</v>
      </c>
      <c r="G807" s="11" t="s">
        <v>56</v>
      </c>
      <c r="H807" s="10" t="s">
        <v>826</v>
      </c>
      <c r="I807" s="6" t="s">
        <v>814</v>
      </c>
      <c r="J807" s="12">
        <v>46121.473495370374</v>
      </c>
      <c r="K807" s="6" t="str" cm="1">
        <f t="array" ref="K807">LOOKUP(2^15,SEARCH(Tabela2[Palavras-Chave],Boletim[[#This Row],[Objeto]],1),Tabela2[Palavras-Chave])</f>
        <v>INOX</v>
      </c>
    </row>
    <row r="808" spans="1:11" ht="100.8" hidden="1" x14ac:dyDescent="0.3">
      <c r="A808" s="5">
        <v>18806582</v>
      </c>
      <c r="B808" s="6" t="s">
        <v>827</v>
      </c>
      <c r="C808" s="6" t="s">
        <v>828</v>
      </c>
      <c r="D808" s="8" t="s">
        <v>60</v>
      </c>
      <c r="E808" s="6" t="s">
        <v>829</v>
      </c>
      <c r="F808" s="6" t="s">
        <v>51</v>
      </c>
      <c r="G808" s="11">
        <v>46125.729166666664</v>
      </c>
      <c r="H808" s="10" t="s">
        <v>322</v>
      </c>
      <c r="I808" s="6" t="s">
        <v>830</v>
      </c>
      <c r="J808" s="12">
        <v>46121.523773148147</v>
      </c>
      <c r="K808" s="6" t="e" cm="1">
        <f t="array" ref="K808">LOOKUP(2^15,SEARCH(Tabela2[Palavras-Chave],Boletim[[#This Row],[Objeto]],1),Tabela2[Palavras-Chave])</f>
        <v>#N/A</v>
      </c>
    </row>
    <row r="809" spans="1:11" ht="86.4" hidden="1" x14ac:dyDescent="0.3">
      <c r="A809" s="5">
        <v>18808135</v>
      </c>
      <c r="B809" s="6" t="s">
        <v>831</v>
      </c>
      <c r="C809" s="6" t="s">
        <v>331</v>
      </c>
      <c r="D809" s="8" t="s">
        <v>60</v>
      </c>
      <c r="E809" s="6" t="s">
        <v>832</v>
      </c>
      <c r="F809" s="6" t="s">
        <v>51</v>
      </c>
      <c r="G809" s="11">
        <v>46125.666666666664</v>
      </c>
      <c r="H809" s="10" t="s">
        <v>833</v>
      </c>
      <c r="I809" s="6" t="s">
        <v>834</v>
      </c>
      <c r="J809" s="12">
        <v>46121.526226851849</v>
      </c>
      <c r="K809" s="6" t="e" cm="1">
        <f t="array" ref="K809">LOOKUP(2^15,SEARCH(Tabela2[Palavras-Chave],Boletim[[#This Row],[Objeto]],1),Tabela2[Palavras-Chave])</f>
        <v>#N/A</v>
      </c>
    </row>
    <row r="810" spans="1:11" ht="86.4" hidden="1" x14ac:dyDescent="0.3">
      <c r="A810" s="5">
        <v>18806675</v>
      </c>
      <c r="B810" s="6" t="s">
        <v>835</v>
      </c>
      <c r="C810" s="6" t="s">
        <v>836</v>
      </c>
      <c r="D810" s="8" t="s">
        <v>60</v>
      </c>
      <c r="E810" s="6" t="s">
        <v>837</v>
      </c>
      <c r="F810" s="6" t="s">
        <v>51</v>
      </c>
      <c r="G810" s="11">
        <v>46126.333333333336</v>
      </c>
      <c r="H810" s="10" t="s">
        <v>322</v>
      </c>
      <c r="I810" s="6" t="s">
        <v>838</v>
      </c>
      <c r="J810" s="12">
        <v>46121.526539351849</v>
      </c>
      <c r="K810" s="6" t="e" cm="1">
        <f t="array" ref="K810">LOOKUP(2^15,SEARCH(Tabela2[Palavras-Chave],Boletim[[#This Row],[Objeto]],1),Tabela2[Palavras-Chave])</f>
        <v>#N/A</v>
      </c>
    </row>
    <row r="811" spans="1:11" ht="86.4" hidden="1" x14ac:dyDescent="0.3">
      <c r="A811" s="5">
        <v>18806588</v>
      </c>
      <c r="B811" s="6" t="s">
        <v>839</v>
      </c>
      <c r="C811" s="6" t="s">
        <v>59</v>
      </c>
      <c r="D811" s="8" t="s">
        <v>60</v>
      </c>
      <c r="E811" s="6" t="s">
        <v>840</v>
      </c>
      <c r="F811" s="6" t="s">
        <v>51</v>
      </c>
      <c r="G811" s="11">
        <v>46125.75</v>
      </c>
      <c r="H811" s="10" t="s">
        <v>841</v>
      </c>
      <c r="I811" s="6" t="s">
        <v>842</v>
      </c>
      <c r="J811" s="12">
        <v>46121.526585648149</v>
      </c>
      <c r="K811" s="6" t="e" cm="1">
        <f t="array" ref="K811">LOOKUP(2^15,SEARCH(Tabela2[Palavras-Chave],Boletim[[#This Row],[Objeto]],1),Tabela2[Palavras-Chave])</f>
        <v>#N/A</v>
      </c>
    </row>
    <row r="812" spans="1:11" ht="115.2" hidden="1" x14ac:dyDescent="0.3">
      <c r="A812" s="5">
        <v>18806572</v>
      </c>
      <c r="B812" s="6" t="s">
        <v>843</v>
      </c>
      <c r="C812" s="6" t="s">
        <v>844</v>
      </c>
      <c r="D812" s="8" t="s">
        <v>60</v>
      </c>
      <c r="E812" s="6" t="s">
        <v>845</v>
      </c>
      <c r="F812" s="6" t="s">
        <v>51</v>
      </c>
      <c r="G812" s="11">
        <v>46125.729166666664</v>
      </c>
      <c r="H812" s="10" t="s">
        <v>846</v>
      </c>
      <c r="I812" s="6" t="s">
        <v>847</v>
      </c>
      <c r="J812" s="12">
        <v>46121.611481481479</v>
      </c>
      <c r="K812" s="6" t="e" cm="1">
        <f t="array" ref="K812">LOOKUP(2^15,SEARCH(Tabela2[Palavras-Chave],Boletim[[#This Row],[Objeto]],1),Tabela2[Palavras-Chave])</f>
        <v>#N/A</v>
      </c>
    </row>
    <row r="813" spans="1:11" ht="187.2" hidden="1" x14ac:dyDescent="0.3">
      <c r="A813" s="5">
        <v>18805914</v>
      </c>
      <c r="B813" s="6" t="s">
        <v>325</v>
      </c>
      <c r="C813" s="6" t="s">
        <v>59</v>
      </c>
      <c r="D813" s="8" t="s">
        <v>60</v>
      </c>
      <c r="E813" s="6" t="s">
        <v>326</v>
      </c>
      <c r="F813" s="6" t="s">
        <v>51</v>
      </c>
      <c r="G813" s="11">
        <v>46128.333333333336</v>
      </c>
      <c r="H813" s="10" t="s">
        <v>327</v>
      </c>
      <c r="I813" s="6" t="s">
        <v>328</v>
      </c>
      <c r="J813" s="12">
        <v>46121.659074074072</v>
      </c>
      <c r="K813" s="6" t="e" cm="1">
        <f t="array" ref="K813">LOOKUP(2^15,SEARCH(Tabela2[Palavras-Chave],Boletim[[#This Row],[Objeto]],1),Tabela2[Palavras-Chave])</f>
        <v>#N/A</v>
      </c>
    </row>
    <row r="814" spans="1:11" ht="28.8" hidden="1" x14ac:dyDescent="0.3">
      <c r="A814" s="5">
        <v>18779909</v>
      </c>
      <c r="B814" s="6" t="s">
        <v>189</v>
      </c>
      <c r="C814" s="6" t="s">
        <v>59</v>
      </c>
      <c r="D814" s="8" t="s">
        <v>60</v>
      </c>
      <c r="E814" s="6" t="s">
        <v>2783</v>
      </c>
      <c r="F814" s="6" t="s">
        <v>51</v>
      </c>
      <c r="G814" s="11" t="s">
        <v>56</v>
      </c>
      <c r="H814" s="10" t="s">
        <v>2784</v>
      </c>
      <c r="I814" s="6" t="s">
        <v>138</v>
      </c>
      <c r="J814" s="12">
        <v>46121.692199074074</v>
      </c>
      <c r="K814" s="6" t="e" cm="1">
        <f t="array" ref="K814">LOOKUP(2^15,SEARCH(Tabela2[Palavras-Chave],Boletim[[#This Row],[Objeto]],1),Tabela2[Palavras-Chave])</f>
        <v>#N/A</v>
      </c>
    </row>
    <row r="815" spans="1:11" ht="28.8" hidden="1" x14ac:dyDescent="0.3">
      <c r="A815" s="5">
        <v>18801859</v>
      </c>
      <c r="B815" s="6" t="s">
        <v>189</v>
      </c>
      <c r="C815" s="6" t="s">
        <v>59</v>
      </c>
      <c r="D815" s="8" t="s">
        <v>60</v>
      </c>
      <c r="E815" s="6" t="s">
        <v>590</v>
      </c>
      <c r="F815" s="6" t="s">
        <v>51</v>
      </c>
      <c r="G815" s="11" t="s">
        <v>56</v>
      </c>
      <c r="H815" s="10" t="s">
        <v>591</v>
      </c>
      <c r="I815" s="6" t="s">
        <v>138</v>
      </c>
      <c r="J815" s="12">
        <v>46121.695173611108</v>
      </c>
      <c r="K815" s="6" t="e" cm="1">
        <f t="array" ref="K815">LOOKUP(2^15,SEARCH(Tabela2[Palavras-Chave],Boletim[[#This Row],[Objeto]],1),Tabela2[Palavras-Chave])</f>
        <v>#N/A</v>
      </c>
    </row>
    <row r="816" spans="1:11" ht="100.8" hidden="1" x14ac:dyDescent="0.3">
      <c r="A816" s="5">
        <v>18806793</v>
      </c>
      <c r="B816" s="6" t="s">
        <v>848</v>
      </c>
      <c r="C816" s="6" t="s">
        <v>59</v>
      </c>
      <c r="D816" s="8" t="s">
        <v>60</v>
      </c>
      <c r="E816" s="6" t="s">
        <v>849</v>
      </c>
      <c r="F816" s="6" t="s">
        <v>51</v>
      </c>
      <c r="G816" s="11">
        <v>46125.635416666664</v>
      </c>
      <c r="H816" s="10" t="s">
        <v>850</v>
      </c>
      <c r="I816" s="6" t="s">
        <v>851</v>
      </c>
      <c r="J816" s="12">
        <v>46121.701516203706</v>
      </c>
      <c r="K816" s="6" t="e" cm="1">
        <f t="array" ref="K816">LOOKUP(2^15,SEARCH(Tabela2[Palavras-Chave],Boletim[[#This Row],[Objeto]],1),Tabela2[Palavras-Chave])</f>
        <v>#N/A</v>
      </c>
    </row>
    <row r="817" spans="1:11" ht="100.8" hidden="1" x14ac:dyDescent="0.3">
      <c r="A817" s="5">
        <v>18809866</v>
      </c>
      <c r="B817" s="6" t="s">
        <v>321</v>
      </c>
      <c r="C817" s="6" t="s">
        <v>270</v>
      </c>
      <c r="D817" s="8" t="s">
        <v>60</v>
      </c>
      <c r="E817" s="6" t="s">
        <v>852</v>
      </c>
      <c r="F817" s="6" t="s">
        <v>51</v>
      </c>
      <c r="G817" s="11">
        <v>46126.4375</v>
      </c>
      <c r="H817" s="10" t="s">
        <v>853</v>
      </c>
      <c r="I817" s="6" t="s">
        <v>854</v>
      </c>
      <c r="J817" s="12">
        <v>46121.763252314813</v>
      </c>
      <c r="K817" s="6" t="e" cm="1">
        <f t="array" ref="K817">LOOKUP(2^15,SEARCH(Tabela2[Palavras-Chave],Boletim[[#This Row],[Objeto]],1),Tabela2[Palavras-Chave])</f>
        <v>#N/A</v>
      </c>
    </row>
    <row r="818" spans="1:11" ht="86.4" hidden="1" x14ac:dyDescent="0.3">
      <c r="A818" s="5">
        <v>18809320</v>
      </c>
      <c r="B818" s="6" t="s">
        <v>324</v>
      </c>
      <c r="C818" s="6" t="s">
        <v>323</v>
      </c>
      <c r="D818" s="8" t="s">
        <v>60</v>
      </c>
      <c r="E818" s="6" t="s">
        <v>855</v>
      </c>
      <c r="F818" s="6" t="s">
        <v>51</v>
      </c>
      <c r="G818" s="11">
        <v>46126.416666666664</v>
      </c>
      <c r="H818" s="10" t="s">
        <v>856</v>
      </c>
      <c r="I818" s="6" t="s">
        <v>857</v>
      </c>
      <c r="J818" s="12">
        <v>46121.704675925925</v>
      </c>
      <c r="K818" s="6" t="e" cm="1">
        <f t="array" ref="K818">LOOKUP(2^15,SEARCH(Tabela2[Palavras-Chave],Boletim[[#This Row],[Objeto]],1),Tabela2[Palavras-Chave])</f>
        <v>#N/A</v>
      </c>
    </row>
    <row r="819" spans="1:11" ht="86.4" hidden="1" x14ac:dyDescent="0.3">
      <c r="A819" s="5">
        <v>18806569</v>
      </c>
      <c r="B819" s="6" t="s">
        <v>839</v>
      </c>
      <c r="C819" s="6" t="s">
        <v>59</v>
      </c>
      <c r="D819" s="8" t="s">
        <v>60</v>
      </c>
      <c r="E819" s="6" t="s">
        <v>858</v>
      </c>
      <c r="F819" s="6" t="s">
        <v>51</v>
      </c>
      <c r="G819" s="11">
        <v>46125.75</v>
      </c>
      <c r="H819" s="10" t="s">
        <v>859</v>
      </c>
      <c r="I819" s="6" t="s">
        <v>860</v>
      </c>
      <c r="J819" s="12">
        <v>46121.719606481478</v>
      </c>
      <c r="K819" s="6" t="e" cm="1">
        <f t="array" ref="K819">LOOKUP(2^15,SEARCH(Tabela2[Palavras-Chave],Boletim[[#This Row],[Objeto]],1),Tabela2[Palavras-Chave])</f>
        <v>#N/A</v>
      </c>
    </row>
    <row r="820" spans="1:11" ht="86.4" hidden="1" x14ac:dyDescent="0.3">
      <c r="A820" s="5">
        <v>18806784</v>
      </c>
      <c r="B820" s="6" t="s">
        <v>2785</v>
      </c>
      <c r="C820" s="6" t="s">
        <v>2786</v>
      </c>
      <c r="D820" s="8" t="s">
        <v>60</v>
      </c>
      <c r="E820" s="6" t="s">
        <v>2787</v>
      </c>
      <c r="F820" s="6" t="s">
        <v>51</v>
      </c>
      <c r="G820" s="11">
        <v>46125.625</v>
      </c>
      <c r="H820" s="10" t="s">
        <v>2788</v>
      </c>
      <c r="I820" s="6" t="s">
        <v>2789</v>
      </c>
      <c r="J820" s="12">
        <v>46121.720879629633</v>
      </c>
      <c r="K820" s="6" t="e" cm="1">
        <f t="array" ref="K820">LOOKUP(2^15,SEARCH(Tabela2[Palavras-Chave],Boletim[[#This Row],[Objeto]],1),Tabela2[Palavras-Chave])</f>
        <v>#N/A</v>
      </c>
    </row>
    <row r="821" spans="1:11" ht="115.2" hidden="1" x14ac:dyDescent="0.3">
      <c r="A821" s="5">
        <v>18806621</v>
      </c>
      <c r="B821" s="6" t="s">
        <v>861</v>
      </c>
      <c r="C821" s="6" t="s">
        <v>862</v>
      </c>
      <c r="D821" s="8" t="s">
        <v>60</v>
      </c>
      <c r="E821" s="6" t="s">
        <v>863</v>
      </c>
      <c r="F821" s="6" t="s">
        <v>51</v>
      </c>
      <c r="G821" s="11">
        <v>46125.697916666664</v>
      </c>
      <c r="H821" s="10" t="s">
        <v>864</v>
      </c>
      <c r="I821" s="6" t="s">
        <v>865</v>
      </c>
      <c r="J821" s="12">
        <v>46121.721180555556</v>
      </c>
      <c r="K821" s="6" t="e" cm="1">
        <f t="array" ref="K821">LOOKUP(2^15,SEARCH(Tabela2[Palavras-Chave],Boletim[[#This Row],[Objeto]],1),Tabela2[Palavras-Chave])</f>
        <v>#N/A</v>
      </c>
    </row>
    <row r="822" spans="1:11" ht="100.8" hidden="1" x14ac:dyDescent="0.3">
      <c r="A822" s="5">
        <v>18810793</v>
      </c>
      <c r="B822" s="6" t="s">
        <v>866</v>
      </c>
      <c r="C822" s="6" t="s">
        <v>867</v>
      </c>
      <c r="D822" s="8" t="s">
        <v>60</v>
      </c>
      <c r="E822" s="6" t="s">
        <v>868</v>
      </c>
      <c r="F822" s="6" t="s">
        <v>51</v>
      </c>
      <c r="G822" s="11">
        <v>46126.520833333336</v>
      </c>
      <c r="H822" s="10" t="s">
        <v>869</v>
      </c>
      <c r="I822" s="6" t="s">
        <v>870</v>
      </c>
      <c r="J822" s="12">
        <v>46121.756331018521</v>
      </c>
      <c r="K822" s="6" t="e" cm="1">
        <f t="array" ref="K822">LOOKUP(2^15,SEARCH(Tabela2[Palavras-Chave],Boletim[[#This Row],[Objeto]],1),Tabela2[Palavras-Chave])</f>
        <v>#N/A</v>
      </c>
    </row>
    <row r="823" spans="1:11" hidden="1" x14ac:dyDescent="0.3">
      <c r="A823" s="5">
        <v>18807300</v>
      </c>
      <c r="B823" s="6" t="s">
        <v>189</v>
      </c>
      <c r="C823" s="6" t="s">
        <v>59</v>
      </c>
      <c r="D823" s="8" t="s">
        <v>60</v>
      </c>
      <c r="E823" s="6" t="s">
        <v>2790</v>
      </c>
      <c r="F823" s="6" t="s">
        <v>51</v>
      </c>
      <c r="G823" s="11" t="s">
        <v>56</v>
      </c>
      <c r="H823" s="10" t="s">
        <v>2791</v>
      </c>
      <c r="I823" s="6" t="s">
        <v>90</v>
      </c>
      <c r="J823" s="12">
        <v>46121.757280092592</v>
      </c>
      <c r="K823" s="6" t="e" cm="1">
        <f t="array" ref="K823">LOOKUP(2^15,SEARCH(Tabela2[Palavras-Chave],Boletim[[#This Row],[Objeto]],1),Tabela2[Palavras-Chave])</f>
        <v>#N/A</v>
      </c>
    </row>
    <row r="824" spans="1:11" ht="86.4" hidden="1" x14ac:dyDescent="0.3">
      <c r="A824" s="5">
        <v>18809868</v>
      </c>
      <c r="B824" s="6" t="s">
        <v>871</v>
      </c>
      <c r="C824" s="6" t="s">
        <v>872</v>
      </c>
      <c r="D824" s="8" t="s">
        <v>60</v>
      </c>
      <c r="E824" s="6" t="s">
        <v>873</v>
      </c>
      <c r="F824" s="6" t="s">
        <v>51</v>
      </c>
      <c r="G824" s="11">
        <v>46126.5</v>
      </c>
      <c r="H824" s="10" t="s">
        <v>874</v>
      </c>
      <c r="I824" s="6" t="s">
        <v>875</v>
      </c>
      <c r="J824" s="12">
        <v>46121.763252314813</v>
      </c>
      <c r="K824" s="6" t="e" cm="1">
        <f t="array" ref="K824">LOOKUP(2^15,SEARCH(Tabela2[Palavras-Chave],Boletim[[#This Row],[Objeto]],1),Tabela2[Palavras-Chave])</f>
        <v>#N/A</v>
      </c>
    </row>
    <row r="825" spans="1:11" ht="115.2" hidden="1" x14ac:dyDescent="0.3">
      <c r="A825" s="5">
        <v>18810808</v>
      </c>
      <c r="B825" s="6" t="s">
        <v>876</v>
      </c>
      <c r="C825" s="6" t="s">
        <v>877</v>
      </c>
      <c r="D825" s="8" t="s">
        <v>60</v>
      </c>
      <c r="E825" s="6" t="s">
        <v>878</v>
      </c>
      <c r="F825" s="6" t="s">
        <v>51</v>
      </c>
      <c r="G825" s="11">
        <v>46126.458333333336</v>
      </c>
      <c r="H825" s="10" t="s">
        <v>879</v>
      </c>
      <c r="I825" s="6" t="s">
        <v>880</v>
      </c>
      <c r="J825" s="12">
        <v>46121.761620370373</v>
      </c>
      <c r="K825" s="6" t="e" cm="1">
        <f t="array" ref="K825">LOOKUP(2^15,SEARCH(Tabela2[Palavras-Chave],Boletim[[#This Row],[Objeto]],1),Tabela2[Palavras-Chave])</f>
        <v>#N/A</v>
      </c>
    </row>
    <row r="826" spans="1:11" ht="100.8" hidden="1" x14ac:dyDescent="0.3">
      <c r="A826" s="5">
        <v>18810830</v>
      </c>
      <c r="B826" s="6" t="s">
        <v>881</v>
      </c>
      <c r="C826" s="6" t="s">
        <v>882</v>
      </c>
      <c r="D826" s="8" t="s">
        <v>60</v>
      </c>
      <c r="E826" s="6" t="s">
        <v>883</v>
      </c>
      <c r="F826" s="6" t="s">
        <v>51</v>
      </c>
      <c r="G826" s="11">
        <v>46126.541666666664</v>
      </c>
      <c r="H826" s="10" t="s">
        <v>884</v>
      </c>
      <c r="I826" s="6" t="s">
        <v>885</v>
      </c>
      <c r="J826" s="12">
        <v>46121.761747685188</v>
      </c>
      <c r="K826" s="6" t="e" cm="1">
        <f t="array" ref="K826">LOOKUP(2^15,SEARCH(Tabela2[Palavras-Chave],Boletim[[#This Row],[Objeto]],1),Tabela2[Palavras-Chave])</f>
        <v>#N/A</v>
      </c>
    </row>
    <row r="827" spans="1:11" ht="100.8" hidden="1" x14ac:dyDescent="0.3">
      <c r="A827" s="5">
        <v>18810767</v>
      </c>
      <c r="B827" s="6" t="s">
        <v>866</v>
      </c>
      <c r="C827" s="6" t="s">
        <v>867</v>
      </c>
      <c r="D827" s="8" t="s">
        <v>60</v>
      </c>
      <c r="E827" s="6" t="s">
        <v>886</v>
      </c>
      <c r="F827" s="6" t="s">
        <v>51</v>
      </c>
      <c r="G827" s="11">
        <v>46126.520833333336</v>
      </c>
      <c r="H827" s="10" t="s">
        <v>887</v>
      </c>
      <c r="I827" s="6" t="s">
        <v>888</v>
      </c>
      <c r="J827" s="12">
        <v>46121.762175925927</v>
      </c>
      <c r="K827" s="6" t="e" cm="1">
        <f t="array" ref="K827">LOOKUP(2^15,SEARCH(Tabela2[Palavras-Chave],Boletim[[#This Row],[Objeto]],1),Tabela2[Palavras-Chave])</f>
        <v>#N/A</v>
      </c>
    </row>
    <row r="828" spans="1:11" ht="86.4" hidden="1" x14ac:dyDescent="0.3">
      <c r="A828" s="5">
        <v>18809366</v>
      </c>
      <c r="B828" s="6" t="s">
        <v>889</v>
      </c>
      <c r="C828" s="6" t="s">
        <v>59</v>
      </c>
      <c r="D828" s="8" t="s">
        <v>60</v>
      </c>
      <c r="E828" s="6" t="s">
        <v>890</v>
      </c>
      <c r="F828" s="6" t="s">
        <v>51</v>
      </c>
      <c r="G828" s="11">
        <v>46126.416666666664</v>
      </c>
      <c r="H828" s="10" t="s">
        <v>322</v>
      </c>
      <c r="I828" s="6" t="s">
        <v>891</v>
      </c>
      <c r="J828" s="12">
        <v>46121.767245370371</v>
      </c>
      <c r="K828" s="6" t="e" cm="1">
        <f t="array" ref="K828">LOOKUP(2^15,SEARCH(Tabela2[Palavras-Chave],Boletim[[#This Row],[Objeto]],1),Tabela2[Palavras-Chave])</f>
        <v>#N/A</v>
      </c>
    </row>
    <row r="829" spans="1:11" ht="86.4" hidden="1" x14ac:dyDescent="0.3">
      <c r="A829" s="5">
        <v>18810961</v>
      </c>
      <c r="B829" s="6" t="s">
        <v>892</v>
      </c>
      <c r="C829" s="6" t="s">
        <v>59</v>
      </c>
      <c r="D829" s="8" t="s">
        <v>60</v>
      </c>
      <c r="E829" s="6" t="s">
        <v>893</v>
      </c>
      <c r="F829" s="6" t="s">
        <v>51</v>
      </c>
      <c r="G829" s="11">
        <v>46125.416666666664</v>
      </c>
      <c r="H829" s="10" t="s">
        <v>894</v>
      </c>
      <c r="I829" s="6" t="s">
        <v>895</v>
      </c>
      <c r="J829" s="12">
        <v>46121.772430555553</v>
      </c>
      <c r="K829" s="6" t="e" cm="1">
        <f t="array" ref="K829">LOOKUP(2^15,SEARCH(Tabela2[Palavras-Chave],Boletim[[#This Row],[Objeto]],1),Tabela2[Palavras-Chave])</f>
        <v>#N/A</v>
      </c>
    </row>
    <row r="830" spans="1:11" ht="86.4" x14ac:dyDescent="0.3">
      <c r="A830" s="5">
        <v>18810964</v>
      </c>
      <c r="B830" s="6" t="s">
        <v>896</v>
      </c>
      <c r="C830" s="6" t="s">
        <v>59</v>
      </c>
      <c r="D830" s="8" t="s">
        <v>60</v>
      </c>
      <c r="E830" s="6" t="s">
        <v>897</v>
      </c>
      <c r="F830" s="6" t="s">
        <v>51</v>
      </c>
      <c r="G830" s="11">
        <v>46125.416666666664</v>
      </c>
      <c r="H830" s="10" t="s">
        <v>898</v>
      </c>
      <c r="I830" s="6" t="s">
        <v>899</v>
      </c>
      <c r="J830" s="12">
        <v>46121.821805555555</v>
      </c>
      <c r="K830" s="6" t="str" cm="1">
        <f t="array" ref="K830">LOOKUP(2^15,SEARCH(Tabela2[Palavras-Chave],Boletim[[#This Row],[Objeto]],1),Tabela2[Palavras-Chave])</f>
        <v>abraçadeira</v>
      </c>
    </row>
    <row r="831" spans="1:11" ht="86.4" hidden="1" x14ac:dyDescent="0.3">
      <c r="A831" s="5">
        <v>18810950</v>
      </c>
      <c r="B831" s="6" t="s">
        <v>272</v>
      </c>
      <c r="C831" s="6" t="s">
        <v>59</v>
      </c>
      <c r="D831" s="8" t="s">
        <v>60</v>
      </c>
      <c r="E831" s="6" t="s">
        <v>900</v>
      </c>
      <c r="F831" s="6" t="s">
        <v>51</v>
      </c>
      <c r="G831" s="11">
        <v>46125.416666666664</v>
      </c>
      <c r="H831" s="10" t="s">
        <v>901</v>
      </c>
      <c r="I831" s="6" t="s">
        <v>902</v>
      </c>
      <c r="J831" s="12">
        <v>46121.823912037034</v>
      </c>
      <c r="K831" s="6" t="e" cm="1">
        <f t="array" ref="K831">LOOKUP(2^15,SEARCH(Tabela2[Palavras-Chave],Boletim[[#This Row],[Objeto]],1),Tabela2[Palavras-Chave])</f>
        <v>#N/A</v>
      </c>
    </row>
    <row r="832" spans="1:11" ht="100.8" hidden="1" x14ac:dyDescent="0.3">
      <c r="A832" s="5">
        <v>18806549</v>
      </c>
      <c r="B832" s="6" t="s">
        <v>903</v>
      </c>
      <c r="C832" s="6" t="s">
        <v>61</v>
      </c>
      <c r="D832" s="8" t="s">
        <v>62</v>
      </c>
      <c r="E832" s="6" t="s">
        <v>904</v>
      </c>
      <c r="F832" s="6" t="s">
        <v>51</v>
      </c>
      <c r="G832" s="11">
        <v>46125.333333333336</v>
      </c>
      <c r="H832" s="10" t="s">
        <v>905</v>
      </c>
      <c r="I832" s="6" t="s">
        <v>906</v>
      </c>
      <c r="J832" s="12">
        <v>46121.48940972222</v>
      </c>
      <c r="K832" s="6" t="e" cm="1">
        <f t="array" ref="K832">LOOKUP(2^15,SEARCH(Tabela2[Palavras-Chave],Boletim[[#This Row],[Objeto]],1),Tabela2[Palavras-Chave])</f>
        <v>#N/A</v>
      </c>
    </row>
    <row r="833" spans="1:11" ht="57.6" hidden="1" x14ac:dyDescent="0.3">
      <c r="A833" s="5">
        <v>18808130</v>
      </c>
      <c r="B833" s="6" t="s">
        <v>907</v>
      </c>
      <c r="C833" s="6" t="s">
        <v>88</v>
      </c>
      <c r="D833" s="8" t="s">
        <v>63</v>
      </c>
      <c r="E833" s="6" t="s">
        <v>908</v>
      </c>
      <c r="F833" s="6" t="s">
        <v>51</v>
      </c>
      <c r="G833" s="11">
        <v>46125.5</v>
      </c>
      <c r="H833" s="10" t="s">
        <v>909</v>
      </c>
      <c r="I833" s="6" t="s">
        <v>910</v>
      </c>
      <c r="J833" s="12">
        <v>46121.51054398148</v>
      </c>
      <c r="K833" s="6" t="e" cm="1">
        <f t="array" ref="K833">LOOKUP(2^15,SEARCH(Tabela2[Palavras-Chave],Boletim[[#This Row],[Objeto]],1),Tabela2[Palavras-Chave])</f>
        <v>#N/A</v>
      </c>
    </row>
    <row r="834" spans="1:11" ht="57.6" hidden="1" x14ac:dyDescent="0.3">
      <c r="A834" s="5">
        <v>18808133</v>
      </c>
      <c r="B834" s="6" t="s">
        <v>907</v>
      </c>
      <c r="C834" s="6" t="s">
        <v>88</v>
      </c>
      <c r="D834" s="8" t="s">
        <v>63</v>
      </c>
      <c r="E834" s="6" t="s">
        <v>2792</v>
      </c>
      <c r="F834" s="6" t="s">
        <v>51</v>
      </c>
      <c r="G834" s="11">
        <v>46125.5</v>
      </c>
      <c r="H834" s="10" t="s">
        <v>2793</v>
      </c>
      <c r="I834" s="6" t="s">
        <v>910</v>
      </c>
      <c r="J834" s="12">
        <v>46121.510752314818</v>
      </c>
      <c r="K834" s="6" t="e" cm="1">
        <f t="array" ref="K834">LOOKUP(2^15,SEARCH(Tabela2[Palavras-Chave],Boletim[[#This Row],[Objeto]],1),Tabela2[Palavras-Chave])</f>
        <v>#N/A</v>
      </c>
    </row>
    <row r="835" spans="1:11" ht="28.8" hidden="1" x14ac:dyDescent="0.3">
      <c r="A835" s="5">
        <v>18807292</v>
      </c>
      <c r="B835" s="6" t="s">
        <v>2794</v>
      </c>
      <c r="C835" s="6" t="s">
        <v>88</v>
      </c>
      <c r="D835" s="8" t="s">
        <v>63</v>
      </c>
      <c r="E835" s="6" t="s">
        <v>2795</v>
      </c>
      <c r="F835" s="6" t="s">
        <v>51</v>
      </c>
      <c r="G835" s="11" t="s">
        <v>56</v>
      </c>
      <c r="H835" s="10" t="s">
        <v>2796</v>
      </c>
      <c r="I835" s="6" t="s">
        <v>90</v>
      </c>
      <c r="J835" s="12">
        <v>46121.673541666663</v>
      </c>
      <c r="K835" s="6" t="e" cm="1">
        <f t="array" ref="K835">LOOKUP(2^15,SEARCH(Tabela2[Palavras-Chave],Boletim[[#This Row],[Objeto]],1),Tabela2[Palavras-Chave])</f>
        <v>#N/A</v>
      </c>
    </row>
    <row r="836" spans="1:11" ht="100.8" hidden="1" x14ac:dyDescent="0.3">
      <c r="A836" s="5">
        <v>18809313</v>
      </c>
      <c r="B836" s="6" t="s">
        <v>911</v>
      </c>
      <c r="C836" s="6" t="s">
        <v>912</v>
      </c>
      <c r="D836" s="8" t="s">
        <v>63</v>
      </c>
      <c r="E836" s="6" t="s">
        <v>363</v>
      </c>
      <c r="F836" s="6" t="s">
        <v>51</v>
      </c>
      <c r="G836" s="11">
        <v>46134.333333333336</v>
      </c>
      <c r="H836" s="10" t="s">
        <v>913</v>
      </c>
      <c r="I836" s="6" t="s">
        <v>914</v>
      </c>
      <c r="J836" s="12">
        <v>46121.743287037039</v>
      </c>
      <c r="K836" s="6" t="e" cm="1">
        <f t="array" ref="K836">LOOKUP(2^15,SEARCH(Tabela2[Palavras-Chave],Boletim[[#This Row],[Objeto]],1),Tabela2[Palavras-Chave])</f>
        <v>#N/A</v>
      </c>
    </row>
    <row r="837" spans="1:11" ht="28.8" hidden="1" x14ac:dyDescent="0.3">
      <c r="A837" s="5">
        <v>18811303</v>
      </c>
      <c r="B837" s="6" t="s">
        <v>2797</v>
      </c>
      <c r="C837" s="6" t="s">
        <v>2798</v>
      </c>
      <c r="D837" s="8" t="s">
        <v>63</v>
      </c>
      <c r="E837" s="6" t="s">
        <v>147</v>
      </c>
      <c r="F837" s="6" t="s">
        <v>51</v>
      </c>
      <c r="G837" s="11">
        <v>46128.395138888889</v>
      </c>
      <c r="H837" s="10" t="s">
        <v>2799</v>
      </c>
      <c r="I837" s="6" t="s">
        <v>2800</v>
      </c>
      <c r="J837" s="12">
        <v>46121.838692129626</v>
      </c>
      <c r="K837" s="6" t="e" cm="1">
        <f t="array" ref="K837">LOOKUP(2^15,SEARCH(Tabela2[Palavras-Chave],Boletim[[#This Row],[Objeto]],1),Tabela2[Palavras-Chave])</f>
        <v>#N/A</v>
      </c>
    </row>
    <row r="838" spans="1:11" ht="100.8" hidden="1" x14ac:dyDescent="0.3">
      <c r="A838" s="5">
        <v>18810778</v>
      </c>
      <c r="B838" s="6" t="s">
        <v>915</v>
      </c>
      <c r="C838" s="6" t="s">
        <v>427</v>
      </c>
      <c r="D838" s="8" t="s">
        <v>63</v>
      </c>
      <c r="E838" s="6" t="s">
        <v>147</v>
      </c>
      <c r="F838" s="6" t="s">
        <v>51</v>
      </c>
      <c r="G838" s="11">
        <v>46136.5</v>
      </c>
      <c r="H838" s="10" t="s">
        <v>916</v>
      </c>
      <c r="I838" s="6" t="s">
        <v>917</v>
      </c>
      <c r="J838" s="12">
        <v>46121.840567129628</v>
      </c>
      <c r="K838" s="6" t="e" cm="1">
        <f t="array" ref="K838">LOOKUP(2^15,SEARCH(Tabela2[Palavras-Chave],Boletim[[#This Row],[Objeto]],1),Tabela2[Palavras-Chave])</f>
        <v>#N/A</v>
      </c>
    </row>
    <row r="839" spans="1:11" ht="129.6" hidden="1" x14ac:dyDescent="0.3">
      <c r="A839" s="5">
        <v>18806601</v>
      </c>
      <c r="B839" s="6" t="s">
        <v>2801</v>
      </c>
      <c r="C839" s="6" t="s">
        <v>2802</v>
      </c>
      <c r="D839" s="8" t="s">
        <v>64</v>
      </c>
      <c r="E839" s="6" t="s">
        <v>2803</v>
      </c>
      <c r="F839" s="6" t="s">
        <v>51</v>
      </c>
      <c r="G839" s="11">
        <v>46125.708333333336</v>
      </c>
      <c r="H839" s="10" t="s">
        <v>2804</v>
      </c>
      <c r="I839" s="6" t="s">
        <v>2805</v>
      </c>
      <c r="J839" s="12">
        <v>46121.43440972222</v>
      </c>
      <c r="K839" s="6" t="e" cm="1">
        <f t="array" ref="K839">LOOKUP(2^15,SEARCH(Tabela2[Palavras-Chave],Boletim[[#This Row],[Objeto]],1),Tabela2[Palavras-Chave])</f>
        <v>#N/A</v>
      </c>
    </row>
    <row r="840" spans="1:11" ht="100.8" hidden="1" x14ac:dyDescent="0.3">
      <c r="A840" s="5">
        <v>18806646</v>
      </c>
      <c r="B840" s="6" t="s">
        <v>918</v>
      </c>
      <c r="C840" s="6" t="s">
        <v>919</v>
      </c>
      <c r="D840" s="8" t="s">
        <v>64</v>
      </c>
      <c r="E840" s="6" t="s">
        <v>125</v>
      </c>
      <c r="F840" s="6" t="s">
        <v>51</v>
      </c>
      <c r="G840" s="11">
        <v>46125.999305555553</v>
      </c>
      <c r="H840" s="10" t="s">
        <v>920</v>
      </c>
      <c r="I840" s="6" t="s">
        <v>921</v>
      </c>
      <c r="J840" s="12">
        <v>46121.435127314813</v>
      </c>
      <c r="K840" s="6" t="e" cm="1">
        <f t="array" ref="K840">LOOKUP(2^15,SEARCH(Tabela2[Palavras-Chave],Boletim[[#This Row],[Objeto]],1),Tabela2[Palavras-Chave])</f>
        <v>#N/A</v>
      </c>
    </row>
    <row r="841" spans="1:11" ht="57.6" hidden="1" x14ac:dyDescent="0.3">
      <c r="A841" s="5">
        <v>18808037</v>
      </c>
      <c r="B841" s="6" t="s">
        <v>907</v>
      </c>
      <c r="C841" s="6" t="s">
        <v>101</v>
      </c>
      <c r="D841" s="8" t="s">
        <v>64</v>
      </c>
      <c r="E841" s="6" t="s">
        <v>908</v>
      </c>
      <c r="F841" s="6" t="s">
        <v>51</v>
      </c>
      <c r="G841" s="11">
        <v>46125.5</v>
      </c>
      <c r="H841" s="10" t="s">
        <v>909</v>
      </c>
      <c r="I841" s="6" t="s">
        <v>910</v>
      </c>
      <c r="J841" s="12">
        <v>46121.51053240741</v>
      </c>
      <c r="K841" s="6" t="e" cm="1">
        <f t="array" ref="K841">LOOKUP(2^15,SEARCH(Tabela2[Palavras-Chave],Boletim[[#This Row],[Objeto]],1),Tabela2[Palavras-Chave])</f>
        <v>#N/A</v>
      </c>
    </row>
    <row r="842" spans="1:11" ht="57.6" hidden="1" x14ac:dyDescent="0.3">
      <c r="A842" s="5">
        <v>18808036</v>
      </c>
      <c r="B842" s="6" t="s">
        <v>907</v>
      </c>
      <c r="C842" s="6" t="s">
        <v>101</v>
      </c>
      <c r="D842" s="8" t="s">
        <v>64</v>
      </c>
      <c r="E842" s="6" t="s">
        <v>2792</v>
      </c>
      <c r="F842" s="6" t="s">
        <v>51</v>
      </c>
      <c r="G842" s="11">
        <v>46125.5</v>
      </c>
      <c r="H842" s="10" t="s">
        <v>2793</v>
      </c>
      <c r="I842" s="6" t="s">
        <v>910</v>
      </c>
      <c r="J842" s="12">
        <v>46121.510740740741</v>
      </c>
      <c r="K842" s="6" t="e" cm="1">
        <f t="array" ref="K842">LOOKUP(2^15,SEARCH(Tabela2[Palavras-Chave],Boletim[[#This Row],[Objeto]],1),Tabela2[Palavras-Chave])</f>
        <v>#N/A</v>
      </c>
    </row>
    <row r="843" spans="1:11" ht="259.2" hidden="1" x14ac:dyDescent="0.3">
      <c r="A843" s="5">
        <v>18807037</v>
      </c>
      <c r="B843" s="6" t="s">
        <v>922</v>
      </c>
      <c r="C843" s="6" t="s">
        <v>923</v>
      </c>
      <c r="D843" s="8" t="s">
        <v>64</v>
      </c>
      <c r="E843" s="6" t="s">
        <v>924</v>
      </c>
      <c r="F843" s="6" t="s">
        <v>51</v>
      </c>
      <c r="G843" s="11" t="s">
        <v>56</v>
      </c>
      <c r="H843" s="10" t="s">
        <v>925</v>
      </c>
      <c r="I843" s="6" t="s">
        <v>926</v>
      </c>
      <c r="J843" s="12">
        <v>46121.607731481483</v>
      </c>
      <c r="K843" s="6" t="e" cm="1">
        <f t="array" ref="K843">LOOKUP(2^15,SEARCH(Tabela2[Palavras-Chave],Boletim[[#This Row],[Objeto]],1),Tabela2[Palavras-Chave])</f>
        <v>#N/A</v>
      </c>
    </row>
    <row r="844" spans="1:11" ht="57.6" hidden="1" x14ac:dyDescent="0.3">
      <c r="A844" s="5">
        <v>18785926</v>
      </c>
      <c r="B844" s="6" t="s">
        <v>927</v>
      </c>
      <c r="C844" s="6" t="s">
        <v>928</v>
      </c>
      <c r="D844" s="8" t="s">
        <v>64</v>
      </c>
      <c r="E844" s="6" t="s">
        <v>929</v>
      </c>
      <c r="F844" s="6" t="s">
        <v>51</v>
      </c>
      <c r="G844" s="11">
        <v>46122</v>
      </c>
      <c r="H844" s="10" t="s">
        <v>930</v>
      </c>
      <c r="I844" s="6" t="s">
        <v>931</v>
      </c>
      <c r="J844" s="12">
        <v>46121.587604166663</v>
      </c>
      <c r="K844" s="6" t="e" cm="1">
        <f t="array" ref="K844">LOOKUP(2^15,SEARCH(Tabela2[Palavras-Chave],Boletim[[#This Row],[Objeto]],1),Tabela2[Palavras-Chave])</f>
        <v>#N/A</v>
      </c>
    </row>
    <row r="845" spans="1:11" ht="100.8" hidden="1" x14ac:dyDescent="0.3">
      <c r="A845" s="5">
        <v>18809124</v>
      </c>
      <c r="B845" s="6" t="s">
        <v>932</v>
      </c>
      <c r="C845" s="6" t="s">
        <v>933</v>
      </c>
      <c r="D845" s="8" t="s">
        <v>64</v>
      </c>
      <c r="E845" s="6" t="s">
        <v>934</v>
      </c>
      <c r="F845" s="6" t="s">
        <v>51</v>
      </c>
      <c r="G845" s="11">
        <v>46122.625</v>
      </c>
      <c r="H845" s="10" t="s">
        <v>935</v>
      </c>
      <c r="I845" s="6" t="s">
        <v>936</v>
      </c>
      <c r="J845" s="12">
        <v>46121.650185185186</v>
      </c>
      <c r="K845" s="6" t="e" cm="1">
        <f t="array" ref="K845">LOOKUP(2^15,SEARCH(Tabela2[Palavras-Chave],Boletim[[#This Row],[Objeto]],1),Tabela2[Palavras-Chave])</f>
        <v>#N/A</v>
      </c>
    </row>
    <row r="846" spans="1:11" ht="43.2" hidden="1" x14ac:dyDescent="0.3">
      <c r="A846" s="5">
        <v>18810158</v>
      </c>
      <c r="B846" s="6" t="s">
        <v>2806</v>
      </c>
      <c r="C846" s="6" t="s">
        <v>2807</v>
      </c>
      <c r="D846" s="8" t="s">
        <v>64</v>
      </c>
      <c r="E846" s="6" t="s">
        <v>2808</v>
      </c>
      <c r="F846" s="6" t="s">
        <v>51</v>
      </c>
      <c r="G846" s="11">
        <v>46126.708333333336</v>
      </c>
      <c r="H846" s="10" t="s">
        <v>2809</v>
      </c>
      <c r="I846" s="6" t="s">
        <v>2810</v>
      </c>
      <c r="J846" s="12">
        <v>46121.701342592591</v>
      </c>
      <c r="K846" s="6" t="e" cm="1">
        <f t="array" ref="K846">LOOKUP(2^15,SEARCH(Tabela2[Palavras-Chave],Boletim[[#This Row],[Objeto]],1),Tabela2[Palavras-Chave])</f>
        <v>#N/A</v>
      </c>
    </row>
    <row r="847" spans="1:11" ht="43.2" hidden="1" x14ac:dyDescent="0.3">
      <c r="A847" s="5">
        <v>18807343</v>
      </c>
      <c r="B847" s="6" t="s">
        <v>937</v>
      </c>
      <c r="C847" s="6" t="s">
        <v>203</v>
      </c>
      <c r="D847" s="8" t="s">
        <v>64</v>
      </c>
      <c r="E847" s="6" t="s">
        <v>938</v>
      </c>
      <c r="F847" s="6" t="s">
        <v>51</v>
      </c>
      <c r="G847" s="11" t="s">
        <v>56</v>
      </c>
      <c r="H847" s="10" t="s">
        <v>939</v>
      </c>
      <c r="I847" s="6" t="s">
        <v>940</v>
      </c>
      <c r="J847" s="12">
        <v>46121.720486111109</v>
      </c>
      <c r="K847" s="6" t="e" cm="1">
        <f t="array" ref="K847">LOOKUP(2^15,SEARCH(Tabela2[Palavras-Chave],Boletim[[#This Row],[Objeto]],1),Tabela2[Palavras-Chave])</f>
        <v>#N/A</v>
      </c>
    </row>
    <row r="848" spans="1:11" ht="43.2" hidden="1" x14ac:dyDescent="0.3">
      <c r="A848" s="5">
        <v>18810641</v>
      </c>
      <c r="B848" s="6" t="s">
        <v>941</v>
      </c>
      <c r="C848" s="6" t="s">
        <v>942</v>
      </c>
      <c r="D848" s="8" t="s">
        <v>64</v>
      </c>
      <c r="E848" s="6" t="s">
        <v>346</v>
      </c>
      <c r="F848" s="6" t="s">
        <v>51</v>
      </c>
      <c r="G848" s="11" t="s">
        <v>56</v>
      </c>
      <c r="H848" s="10" t="s">
        <v>943</v>
      </c>
      <c r="I848" s="6" t="s">
        <v>944</v>
      </c>
      <c r="J848" s="12">
        <v>46121.743391203701</v>
      </c>
      <c r="K848" s="6" t="e" cm="1">
        <f t="array" ref="K848">LOOKUP(2^15,SEARCH(Tabela2[Palavras-Chave],Boletim[[#This Row],[Objeto]],1),Tabela2[Palavras-Chave])</f>
        <v>#N/A</v>
      </c>
    </row>
    <row r="849" spans="1:11" ht="144" hidden="1" x14ac:dyDescent="0.3">
      <c r="A849" s="5">
        <v>18810823</v>
      </c>
      <c r="B849" s="6" t="s">
        <v>945</v>
      </c>
      <c r="C849" s="6" t="s">
        <v>946</v>
      </c>
      <c r="D849" s="8" t="s">
        <v>64</v>
      </c>
      <c r="E849" s="6" t="s">
        <v>265</v>
      </c>
      <c r="F849" s="6" t="s">
        <v>51</v>
      </c>
      <c r="G849" s="11">
        <v>46126.708333333336</v>
      </c>
      <c r="H849" s="10" t="s">
        <v>947</v>
      </c>
      <c r="I849" s="6" t="s">
        <v>948</v>
      </c>
      <c r="J849" s="12">
        <v>46121.770775462966</v>
      </c>
      <c r="K849" s="6" t="e" cm="1">
        <f t="array" ref="K849">LOOKUP(2^15,SEARCH(Tabela2[Palavras-Chave],Boletim[[#This Row],[Objeto]],1),Tabela2[Palavras-Chave])</f>
        <v>#N/A</v>
      </c>
    </row>
    <row r="850" spans="1:11" ht="72" hidden="1" x14ac:dyDescent="0.3">
      <c r="A850" s="5">
        <v>18811387</v>
      </c>
      <c r="B850" s="6" t="s">
        <v>2811</v>
      </c>
      <c r="C850" s="6" t="s">
        <v>2812</v>
      </c>
      <c r="D850" s="8" t="s">
        <v>64</v>
      </c>
      <c r="E850" s="6" t="s">
        <v>116</v>
      </c>
      <c r="F850" s="6" t="s">
        <v>51</v>
      </c>
      <c r="G850" s="11" t="s">
        <v>56</v>
      </c>
      <c r="H850" s="10" t="s">
        <v>2813</v>
      </c>
      <c r="I850" s="6" t="s">
        <v>2814</v>
      </c>
      <c r="J850" s="12">
        <v>46121.848171296297</v>
      </c>
      <c r="K850" s="6" t="e" cm="1">
        <f t="array" ref="K850">LOOKUP(2^15,SEARCH(Tabela2[Palavras-Chave],Boletim[[#This Row],[Objeto]],1),Tabela2[Palavras-Chave])</f>
        <v>#N/A</v>
      </c>
    </row>
    <row r="851" spans="1:11" ht="100.8" hidden="1" x14ac:dyDescent="0.3">
      <c r="A851" s="5">
        <v>18765970</v>
      </c>
      <c r="B851" s="6" t="s">
        <v>949</v>
      </c>
      <c r="C851" s="6" t="s">
        <v>638</v>
      </c>
      <c r="D851" s="8" t="s">
        <v>89</v>
      </c>
      <c r="E851" s="6" t="s">
        <v>149</v>
      </c>
      <c r="F851" s="6" t="s">
        <v>51</v>
      </c>
      <c r="G851" s="11" t="s">
        <v>56</v>
      </c>
      <c r="H851" s="10" t="s">
        <v>950</v>
      </c>
      <c r="I851" s="6" t="s">
        <v>951</v>
      </c>
      <c r="J851" s="12">
        <v>46121.636516203704</v>
      </c>
      <c r="K851" s="6" t="e" cm="1">
        <f t="array" ref="K851">LOOKUP(2^15,SEARCH(Tabela2[Palavras-Chave],Boletim[[#This Row],[Objeto]],1),Tabela2[Palavras-Chave])</f>
        <v>#N/A</v>
      </c>
    </row>
    <row r="852" spans="1:11" ht="86.4" hidden="1" x14ac:dyDescent="0.3">
      <c r="A852" s="5">
        <v>18810772</v>
      </c>
      <c r="B852" s="6" t="s">
        <v>952</v>
      </c>
      <c r="C852" s="6" t="s">
        <v>953</v>
      </c>
      <c r="D852" s="8" t="s">
        <v>89</v>
      </c>
      <c r="E852" s="6" t="s">
        <v>227</v>
      </c>
      <c r="F852" s="6" t="s">
        <v>51</v>
      </c>
      <c r="G852" s="11">
        <v>46128.333333333336</v>
      </c>
      <c r="H852" s="10" t="s">
        <v>954</v>
      </c>
      <c r="I852" s="6" t="s">
        <v>955</v>
      </c>
      <c r="J852" s="12">
        <v>46121.792650462965</v>
      </c>
      <c r="K852" s="6" t="e" cm="1">
        <f t="array" ref="K852">LOOKUP(2^15,SEARCH(Tabela2[Palavras-Chave],Boletim[[#This Row],[Objeto]],1),Tabela2[Palavras-Chave])</f>
        <v>#N/A</v>
      </c>
    </row>
    <row r="853" spans="1:11" ht="100.8" hidden="1" x14ac:dyDescent="0.3">
      <c r="A853" s="5">
        <v>18806534</v>
      </c>
      <c r="B853" s="6" t="s">
        <v>956</v>
      </c>
      <c r="C853" s="6" t="s">
        <v>159</v>
      </c>
      <c r="D853" s="8" t="s">
        <v>89</v>
      </c>
      <c r="E853" s="6" t="s">
        <v>957</v>
      </c>
      <c r="F853" s="6" t="s">
        <v>51</v>
      </c>
      <c r="G853" s="11">
        <v>46125.416666666664</v>
      </c>
      <c r="H853" s="10" t="s">
        <v>958</v>
      </c>
      <c r="I853" s="6" t="s">
        <v>959</v>
      </c>
      <c r="J853" s="12">
        <v>46121.812291666669</v>
      </c>
      <c r="K853" s="6" t="e" cm="1">
        <f t="array" ref="K853">LOOKUP(2^15,SEARCH(Tabela2[Palavras-Chave],Boletim[[#This Row],[Objeto]],1),Tabela2[Palavras-Chave])</f>
        <v>#N/A</v>
      </c>
    </row>
    <row r="854" spans="1:11" ht="144" hidden="1" x14ac:dyDescent="0.3">
      <c r="A854" s="5">
        <v>18811056</v>
      </c>
      <c r="B854" s="6" t="s">
        <v>2815</v>
      </c>
      <c r="C854" s="6" t="s">
        <v>159</v>
      </c>
      <c r="D854" s="8" t="s">
        <v>89</v>
      </c>
      <c r="E854" s="6" t="s">
        <v>172</v>
      </c>
      <c r="F854" s="6" t="s">
        <v>51</v>
      </c>
      <c r="G854" s="11" t="s">
        <v>56</v>
      </c>
      <c r="H854" s="10" t="s">
        <v>2816</v>
      </c>
      <c r="I854" s="6" t="s">
        <v>2817</v>
      </c>
      <c r="J854" s="12">
        <v>46121.865960648145</v>
      </c>
      <c r="K854" s="6" t="e" cm="1">
        <f t="array" ref="K854">LOOKUP(2^15,SEARCH(Tabela2[Palavras-Chave],Boletim[[#This Row],[Objeto]],1),Tabela2[Palavras-Chave])</f>
        <v>#N/A</v>
      </c>
    </row>
    <row r="855" spans="1:11" ht="43.2" hidden="1" x14ac:dyDescent="0.3">
      <c r="A855" s="5">
        <v>18803635</v>
      </c>
      <c r="B855" s="6" t="s">
        <v>598</v>
      </c>
      <c r="C855" s="6" t="s">
        <v>599</v>
      </c>
      <c r="D855" s="8" t="s">
        <v>66</v>
      </c>
      <c r="E855" s="6" t="s">
        <v>110</v>
      </c>
      <c r="F855" s="6" t="s">
        <v>51</v>
      </c>
      <c r="G855" s="11">
        <v>46140.5625</v>
      </c>
      <c r="H855" s="10" t="s">
        <v>600</v>
      </c>
      <c r="I855" s="6" t="s">
        <v>601</v>
      </c>
      <c r="J855" s="12">
        <v>46121.419479166667</v>
      </c>
      <c r="K855" s="6" t="e" cm="1">
        <f t="array" ref="K855">LOOKUP(2^15,SEARCH(Tabela2[Palavras-Chave],Boletim[[#This Row],[Objeto]],1),Tabela2[Palavras-Chave])</f>
        <v>#N/A</v>
      </c>
    </row>
    <row r="856" spans="1:11" ht="28.8" hidden="1" x14ac:dyDescent="0.3">
      <c r="A856" s="5">
        <v>18762606</v>
      </c>
      <c r="B856" s="6" t="s">
        <v>99</v>
      </c>
      <c r="C856" s="6" t="s">
        <v>65</v>
      </c>
      <c r="D856" s="8" t="s">
        <v>66</v>
      </c>
      <c r="E856" s="6" t="s">
        <v>2818</v>
      </c>
      <c r="F856" s="6" t="s">
        <v>51</v>
      </c>
      <c r="G856" s="11" t="s">
        <v>56</v>
      </c>
      <c r="H856" s="10" t="s">
        <v>2819</v>
      </c>
      <c r="I856" s="6" t="s">
        <v>131</v>
      </c>
      <c r="J856" s="12">
        <v>46121.438252314816</v>
      </c>
      <c r="K856" s="6" t="e" cm="1">
        <f t="array" ref="K856">LOOKUP(2^15,SEARCH(Tabela2[Palavras-Chave],Boletim[[#This Row],[Objeto]],1),Tabela2[Palavras-Chave])</f>
        <v>#N/A</v>
      </c>
    </row>
    <row r="857" spans="1:11" ht="72" hidden="1" x14ac:dyDescent="0.3">
      <c r="A857" s="5">
        <v>18772097</v>
      </c>
      <c r="B857" s="6" t="s">
        <v>74</v>
      </c>
      <c r="C857" s="6" t="s">
        <v>65</v>
      </c>
      <c r="D857" s="8" t="s">
        <v>66</v>
      </c>
      <c r="E857" s="6" t="s">
        <v>960</v>
      </c>
      <c r="F857" s="6" t="s">
        <v>51</v>
      </c>
      <c r="G857" s="11" t="s">
        <v>56</v>
      </c>
      <c r="H857" s="10" t="s">
        <v>961</v>
      </c>
      <c r="I857" s="6" t="s">
        <v>962</v>
      </c>
      <c r="J857" s="12">
        <v>46121.440347222226</v>
      </c>
      <c r="K857" s="6" t="e" cm="1">
        <f t="array" ref="K857">LOOKUP(2^15,SEARCH(Tabela2[Palavras-Chave],Boletim[[#This Row],[Objeto]],1),Tabela2[Palavras-Chave])</f>
        <v>#N/A</v>
      </c>
    </row>
    <row r="858" spans="1:11" ht="72" hidden="1" x14ac:dyDescent="0.3">
      <c r="A858" s="5">
        <v>18751074</v>
      </c>
      <c r="B858" s="6" t="s">
        <v>74</v>
      </c>
      <c r="C858" s="6" t="s">
        <v>65</v>
      </c>
      <c r="D858" s="8" t="s">
        <v>66</v>
      </c>
      <c r="E858" s="6" t="s">
        <v>963</v>
      </c>
      <c r="F858" s="6" t="s">
        <v>51</v>
      </c>
      <c r="G858" s="11" t="s">
        <v>56</v>
      </c>
      <c r="H858" s="10" t="s">
        <v>964</v>
      </c>
      <c r="I858" s="6" t="s">
        <v>965</v>
      </c>
      <c r="J858" s="12">
        <v>46121.442395833335</v>
      </c>
      <c r="K858" s="6" t="e" cm="1">
        <f t="array" ref="K858">LOOKUP(2^15,SEARCH(Tabela2[Palavras-Chave],Boletim[[#This Row],[Objeto]],1),Tabela2[Palavras-Chave])</f>
        <v>#N/A</v>
      </c>
    </row>
    <row r="859" spans="1:11" ht="57.6" hidden="1" x14ac:dyDescent="0.3">
      <c r="A859" s="5">
        <v>18807224</v>
      </c>
      <c r="B859" s="6" t="s">
        <v>966</v>
      </c>
      <c r="C859" s="6" t="s">
        <v>65</v>
      </c>
      <c r="D859" s="8" t="s">
        <v>66</v>
      </c>
      <c r="E859" s="6" t="s">
        <v>967</v>
      </c>
      <c r="F859" s="6" t="s">
        <v>51</v>
      </c>
      <c r="G859" s="11" t="s">
        <v>56</v>
      </c>
      <c r="H859" s="10" t="s">
        <v>968</v>
      </c>
      <c r="I859" s="6" t="s">
        <v>969</v>
      </c>
      <c r="J859" s="12">
        <v>46121.450254629628</v>
      </c>
      <c r="K859" s="6" t="e" cm="1">
        <f t="array" ref="K859">LOOKUP(2^15,SEARCH(Tabela2[Palavras-Chave],Boletim[[#This Row],[Objeto]],1),Tabela2[Palavras-Chave])</f>
        <v>#N/A</v>
      </c>
    </row>
    <row r="860" spans="1:11" ht="57.6" hidden="1" x14ac:dyDescent="0.3">
      <c r="A860" s="5">
        <v>18807215</v>
      </c>
      <c r="B860" s="6" t="s">
        <v>966</v>
      </c>
      <c r="C860" s="6" t="s">
        <v>65</v>
      </c>
      <c r="D860" s="8" t="s">
        <v>66</v>
      </c>
      <c r="E860" s="6" t="s">
        <v>970</v>
      </c>
      <c r="F860" s="6" t="s">
        <v>51</v>
      </c>
      <c r="G860" s="11" t="s">
        <v>56</v>
      </c>
      <c r="H860" s="10" t="s">
        <v>971</v>
      </c>
      <c r="I860" s="6" t="s">
        <v>972</v>
      </c>
      <c r="J860" s="12">
        <v>46121.450300925928</v>
      </c>
      <c r="K860" s="6" t="e" cm="1">
        <f t="array" ref="K860">LOOKUP(2^15,SEARCH(Tabela2[Palavras-Chave],Boletim[[#This Row],[Objeto]],1),Tabela2[Palavras-Chave])</f>
        <v>#N/A</v>
      </c>
    </row>
    <row r="861" spans="1:11" ht="57.6" hidden="1" x14ac:dyDescent="0.3">
      <c r="A861" s="5">
        <v>18807205</v>
      </c>
      <c r="B861" s="6" t="s">
        <v>966</v>
      </c>
      <c r="C861" s="6" t="s">
        <v>65</v>
      </c>
      <c r="D861" s="8" t="s">
        <v>66</v>
      </c>
      <c r="E861" s="6" t="s">
        <v>973</v>
      </c>
      <c r="F861" s="6" t="s">
        <v>51</v>
      </c>
      <c r="G861" s="11" t="s">
        <v>56</v>
      </c>
      <c r="H861" s="10" t="s">
        <v>974</v>
      </c>
      <c r="I861" s="6" t="s">
        <v>975</v>
      </c>
      <c r="J861" s="12">
        <v>46121.450659722221</v>
      </c>
      <c r="K861" s="6" t="e" cm="1">
        <f t="array" ref="K861">LOOKUP(2^15,SEARCH(Tabela2[Palavras-Chave],Boletim[[#This Row],[Objeto]],1),Tabela2[Palavras-Chave])</f>
        <v>#N/A</v>
      </c>
    </row>
    <row r="862" spans="1:11" ht="57.6" hidden="1" x14ac:dyDescent="0.3">
      <c r="A862" s="5">
        <v>18807216</v>
      </c>
      <c r="B862" s="6" t="s">
        <v>966</v>
      </c>
      <c r="C862" s="6" t="s">
        <v>65</v>
      </c>
      <c r="D862" s="8" t="s">
        <v>66</v>
      </c>
      <c r="E862" s="6" t="s">
        <v>976</v>
      </c>
      <c r="F862" s="6" t="s">
        <v>51</v>
      </c>
      <c r="G862" s="11" t="s">
        <v>56</v>
      </c>
      <c r="H862" s="10" t="s">
        <v>977</v>
      </c>
      <c r="I862" s="6" t="s">
        <v>978</v>
      </c>
      <c r="J862" s="12">
        <v>46121.451273148145</v>
      </c>
      <c r="K862" s="6" t="e" cm="1">
        <f t="array" ref="K862">LOOKUP(2^15,SEARCH(Tabela2[Palavras-Chave],Boletim[[#This Row],[Objeto]],1),Tabela2[Palavras-Chave])</f>
        <v>#N/A</v>
      </c>
    </row>
    <row r="863" spans="1:11" ht="28.8" hidden="1" x14ac:dyDescent="0.3">
      <c r="A863" s="5">
        <v>18802252</v>
      </c>
      <c r="B863" s="6" t="s">
        <v>99</v>
      </c>
      <c r="C863" s="6" t="s">
        <v>65</v>
      </c>
      <c r="D863" s="8" t="s">
        <v>66</v>
      </c>
      <c r="E863" s="6" t="s">
        <v>595</v>
      </c>
      <c r="F863" s="6" t="s">
        <v>51</v>
      </c>
      <c r="G863" s="11" t="s">
        <v>56</v>
      </c>
      <c r="H863" s="10" t="s">
        <v>596</v>
      </c>
      <c r="I863" s="6" t="s">
        <v>131</v>
      </c>
      <c r="J863" s="12">
        <v>46121.455590277779</v>
      </c>
      <c r="K863" s="6" t="e" cm="1">
        <f t="array" ref="K863">LOOKUP(2^15,SEARCH(Tabela2[Palavras-Chave],Boletim[[#This Row],[Objeto]],1),Tabela2[Palavras-Chave])</f>
        <v>#N/A</v>
      </c>
    </row>
    <row r="864" spans="1:11" ht="57.6" x14ac:dyDescent="0.3">
      <c r="A864" s="5">
        <v>18807220</v>
      </c>
      <c r="B864" s="6" t="s">
        <v>979</v>
      </c>
      <c r="C864" s="6" t="s">
        <v>65</v>
      </c>
      <c r="D864" s="8" t="s">
        <v>66</v>
      </c>
      <c r="E864" s="6" t="s">
        <v>980</v>
      </c>
      <c r="F864" s="6" t="s">
        <v>51</v>
      </c>
      <c r="G864" s="11" t="s">
        <v>56</v>
      </c>
      <c r="H864" s="10" t="s">
        <v>981</v>
      </c>
      <c r="I864" s="6" t="s">
        <v>982</v>
      </c>
      <c r="J864" s="12">
        <v>46121.452916666669</v>
      </c>
      <c r="K864" s="6" t="str" cm="1">
        <f t="array" ref="K864">LOOKUP(2^15,SEARCH(Tabela2[Palavras-Chave],Boletim[[#This Row],[Objeto]],1),Tabela2[Palavras-Chave])</f>
        <v>INOX</v>
      </c>
    </row>
    <row r="865" spans="1:11" ht="28.8" hidden="1" x14ac:dyDescent="0.3">
      <c r="A865" s="5">
        <v>18807602</v>
      </c>
      <c r="B865" s="6" t="s">
        <v>99</v>
      </c>
      <c r="C865" s="6" t="s">
        <v>65</v>
      </c>
      <c r="D865" s="8" t="s">
        <v>66</v>
      </c>
      <c r="E865" s="6" t="s">
        <v>2820</v>
      </c>
      <c r="F865" s="6" t="s">
        <v>51</v>
      </c>
      <c r="G865" s="11" t="s">
        <v>56</v>
      </c>
      <c r="H865" s="10" t="s">
        <v>2821</v>
      </c>
      <c r="I865" s="6" t="s">
        <v>132</v>
      </c>
      <c r="J865" s="12">
        <v>46121.454884259256</v>
      </c>
      <c r="K865" s="6" t="e" cm="1">
        <f t="array" ref="K865">LOOKUP(2^15,SEARCH(Tabela2[Palavras-Chave],Boletim[[#This Row],[Objeto]],1),Tabela2[Palavras-Chave])</f>
        <v>#N/A</v>
      </c>
    </row>
    <row r="866" spans="1:11" ht="28.8" hidden="1" x14ac:dyDescent="0.3">
      <c r="A866" s="5">
        <v>18807600</v>
      </c>
      <c r="B866" s="6" t="s">
        <v>99</v>
      </c>
      <c r="C866" s="6" t="s">
        <v>65</v>
      </c>
      <c r="D866" s="8" t="s">
        <v>66</v>
      </c>
      <c r="E866" s="6" t="s">
        <v>2822</v>
      </c>
      <c r="F866" s="6" t="s">
        <v>51</v>
      </c>
      <c r="G866" s="11" t="s">
        <v>56</v>
      </c>
      <c r="H866" s="10" t="s">
        <v>2823</v>
      </c>
      <c r="I866" s="6" t="s">
        <v>132</v>
      </c>
      <c r="J866" s="12">
        <v>46121.453912037039</v>
      </c>
      <c r="K866" s="6" t="e" cm="1">
        <f t="array" ref="K866">LOOKUP(2^15,SEARCH(Tabela2[Palavras-Chave],Boletim[[#This Row],[Objeto]],1),Tabela2[Palavras-Chave])</f>
        <v>#N/A</v>
      </c>
    </row>
    <row r="867" spans="1:11" ht="43.2" hidden="1" x14ac:dyDescent="0.3">
      <c r="A867" s="5">
        <v>18807165</v>
      </c>
      <c r="B867" s="6" t="s">
        <v>99</v>
      </c>
      <c r="C867" s="6" t="s">
        <v>65</v>
      </c>
      <c r="D867" s="8" t="s">
        <v>66</v>
      </c>
      <c r="E867" s="6" t="s">
        <v>983</v>
      </c>
      <c r="F867" s="6" t="s">
        <v>51</v>
      </c>
      <c r="G867" s="11" t="s">
        <v>56</v>
      </c>
      <c r="H867" s="10" t="s">
        <v>984</v>
      </c>
      <c r="I867" s="6" t="s">
        <v>132</v>
      </c>
      <c r="J867" s="12">
        <v>46121.454282407409</v>
      </c>
      <c r="K867" s="6" t="e" cm="1">
        <f t="array" ref="K867">LOOKUP(2^15,SEARCH(Tabela2[Palavras-Chave],Boletim[[#This Row],[Objeto]],1),Tabela2[Palavras-Chave])</f>
        <v>#N/A</v>
      </c>
    </row>
    <row r="868" spans="1:11" ht="28.8" hidden="1" x14ac:dyDescent="0.3">
      <c r="A868" s="5">
        <v>18795106</v>
      </c>
      <c r="B868" s="6" t="s">
        <v>99</v>
      </c>
      <c r="C868" s="6" t="s">
        <v>65</v>
      </c>
      <c r="D868" s="8" t="s">
        <v>66</v>
      </c>
      <c r="E868" s="6" t="s">
        <v>2824</v>
      </c>
      <c r="F868" s="6" t="s">
        <v>51</v>
      </c>
      <c r="G868" s="11" t="s">
        <v>56</v>
      </c>
      <c r="H868" s="10" t="s">
        <v>2825</v>
      </c>
      <c r="I868" s="6" t="s">
        <v>131</v>
      </c>
      <c r="J868" s="12">
        <v>46121.456585648149</v>
      </c>
      <c r="K868" s="6" t="e" cm="1">
        <f t="array" ref="K868">LOOKUP(2^15,SEARCH(Tabela2[Palavras-Chave],Boletim[[#This Row],[Objeto]],1),Tabela2[Palavras-Chave])</f>
        <v>#N/A</v>
      </c>
    </row>
    <row r="869" spans="1:11" ht="28.8" hidden="1" x14ac:dyDescent="0.3">
      <c r="A869" s="5">
        <v>18807612</v>
      </c>
      <c r="B869" s="6" t="s">
        <v>99</v>
      </c>
      <c r="C869" s="6" t="s">
        <v>65</v>
      </c>
      <c r="D869" s="8" t="s">
        <v>66</v>
      </c>
      <c r="E869" s="6" t="s">
        <v>2826</v>
      </c>
      <c r="F869" s="6" t="s">
        <v>51</v>
      </c>
      <c r="G869" s="11" t="s">
        <v>56</v>
      </c>
      <c r="H869" s="10" t="s">
        <v>2827</v>
      </c>
      <c r="I869" s="6" t="s">
        <v>132</v>
      </c>
      <c r="J869" s="12">
        <v>46121.467465277776</v>
      </c>
      <c r="K869" s="6" t="e" cm="1">
        <f t="array" ref="K869">LOOKUP(2^15,SEARCH(Tabela2[Palavras-Chave],Boletim[[#This Row],[Objeto]],1),Tabela2[Palavras-Chave])</f>
        <v>#N/A</v>
      </c>
    </row>
    <row r="870" spans="1:11" ht="57.6" hidden="1" x14ac:dyDescent="0.3">
      <c r="A870" s="5">
        <v>18806984</v>
      </c>
      <c r="B870" s="6" t="s">
        <v>985</v>
      </c>
      <c r="C870" s="6" t="s">
        <v>986</v>
      </c>
      <c r="D870" s="8" t="s">
        <v>66</v>
      </c>
      <c r="E870" s="6" t="s">
        <v>139</v>
      </c>
      <c r="F870" s="6" t="s">
        <v>51</v>
      </c>
      <c r="G870" s="11">
        <v>46125.333333333336</v>
      </c>
      <c r="H870" s="10" t="s">
        <v>987</v>
      </c>
      <c r="I870" s="6" t="s">
        <v>988</v>
      </c>
      <c r="J870" s="12">
        <v>46121.470173611109</v>
      </c>
      <c r="K870" s="6" t="e" cm="1">
        <f t="array" ref="K870">LOOKUP(2^15,SEARCH(Tabela2[Palavras-Chave],Boletim[[#This Row],[Objeto]],1),Tabela2[Palavras-Chave])</f>
        <v>#N/A</v>
      </c>
    </row>
    <row r="871" spans="1:11" hidden="1" x14ac:dyDescent="0.3">
      <c r="A871" s="5">
        <v>18807163</v>
      </c>
      <c r="B871" s="6" t="s">
        <v>99</v>
      </c>
      <c r="C871" s="6" t="s">
        <v>65</v>
      </c>
      <c r="D871" s="8" t="s">
        <v>66</v>
      </c>
      <c r="E871" s="6" t="s">
        <v>989</v>
      </c>
      <c r="F871" s="6" t="s">
        <v>51</v>
      </c>
      <c r="G871" s="11" t="s">
        <v>56</v>
      </c>
      <c r="H871" s="10" t="s">
        <v>990</v>
      </c>
      <c r="I871" s="6" t="s">
        <v>132</v>
      </c>
      <c r="J871" s="12">
        <v>46121.473078703704</v>
      </c>
      <c r="K871" s="6" t="e" cm="1">
        <f t="array" ref="K871">LOOKUP(2^15,SEARCH(Tabela2[Palavras-Chave],Boletim[[#This Row],[Objeto]],1),Tabela2[Palavras-Chave])</f>
        <v>#N/A</v>
      </c>
    </row>
    <row r="872" spans="1:11" ht="57.6" hidden="1" x14ac:dyDescent="0.3">
      <c r="A872" s="5">
        <v>18807204</v>
      </c>
      <c r="B872" s="6" t="s">
        <v>966</v>
      </c>
      <c r="C872" s="6" t="s">
        <v>65</v>
      </c>
      <c r="D872" s="8" t="s">
        <v>66</v>
      </c>
      <c r="E872" s="6" t="s">
        <v>991</v>
      </c>
      <c r="F872" s="6" t="s">
        <v>51</v>
      </c>
      <c r="G872" s="11" t="s">
        <v>56</v>
      </c>
      <c r="H872" s="10" t="s">
        <v>992</v>
      </c>
      <c r="I872" s="6" t="s">
        <v>993</v>
      </c>
      <c r="J872" s="12">
        <v>46121.473738425928</v>
      </c>
      <c r="K872" s="6" t="e" cm="1">
        <f t="array" ref="K872">LOOKUP(2^15,SEARCH(Tabela2[Palavras-Chave],Boletim[[#This Row],[Objeto]],1),Tabela2[Palavras-Chave])</f>
        <v>#N/A</v>
      </c>
    </row>
    <row r="873" spans="1:11" ht="57.6" hidden="1" x14ac:dyDescent="0.3">
      <c r="A873" s="5">
        <v>18807206</v>
      </c>
      <c r="B873" s="6" t="s">
        <v>966</v>
      </c>
      <c r="C873" s="6" t="s">
        <v>65</v>
      </c>
      <c r="D873" s="8" t="s">
        <v>66</v>
      </c>
      <c r="E873" s="6" t="s">
        <v>994</v>
      </c>
      <c r="F873" s="6" t="s">
        <v>51</v>
      </c>
      <c r="G873" s="11" t="s">
        <v>56</v>
      </c>
      <c r="H873" s="10" t="s">
        <v>995</v>
      </c>
      <c r="I873" s="6" t="s">
        <v>996</v>
      </c>
      <c r="J873" s="12">
        <v>46121.47384259259</v>
      </c>
      <c r="K873" s="6" t="e" cm="1">
        <f t="array" ref="K873">LOOKUP(2^15,SEARCH(Tabela2[Palavras-Chave],Boletim[[#This Row],[Objeto]],1),Tabela2[Palavras-Chave])</f>
        <v>#N/A</v>
      </c>
    </row>
    <row r="874" spans="1:11" ht="72" hidden="1" x14ac:dyDescent="0.3">
      <c r="A874" s="5">
        <v>18807611</v>
      </c>
      <c r="B874" s="6" t="s">
        <v>99</v>
      </c>
      <c r="C874" s="6" t="s">
        <v>65</v>
      </c>
      <c r="D874" s="8" t="s">
        <v>66</v>
      </c>
      <c r="E874" s="6" t="s">
        <v>2828</v>
      </c>
      <c r="F874" s="6" t="s">
        <v>51</v>
      </c>
      <c r="G874" s="11" t="s">
        <v>56</v>
      </c>
      <c r="H874" s="10" t="s">
        <v>2829</v>
      </c>
      <c r="I874" s="6" t="s">
        <v>132</v>
      </c>
      <c r="J874" s="12">
        <v>46121.477152777778</v>
      </c>
      <c r="K874" s="6" t="e" cm="1">
        <f t="array" ref="K874">LOOKUP(2^15,SEARCH(Tabela2[Palavras-Chave],Boletim[[#This Row],[Objeto]],1),Tabela2[Palavras-Chave])</f>
        <v>#N/A</v>
      </c>
    </row>
    <row r="875" spans="1:11" ht="57.6" hidden="1" x14ac:dyDescent="0.3">
      <c r="A875" s="5">
        <v>18807214</v>
      </c>
      <c r="B875" s="6" t="s">
        <v>979</v>
      </c>
      <c r="C875" s="6" t="s">
        <v>65</v>
      </c>
      <c r="D875" s="8" t="s">
        <v>66</v>
      </c>
      <c r="E875" s="6" t="s">
        <v>997</v>
      </c>
      <c r="F875" s="6" t="s">
        <v>51</v>
      </c>
      <c r="G875" s="11" t="s">
        <v>56</v>
      </c>
      <c r="H875" s="10" t="s">
        <v>998</v>
      </c>
      <c r="I875" s="6" t="s">
        <v>999</v>
      </c>
      <c r="J875" s="12">
        <v>46121.486689814818</v>
      </c>
      <c r="K875" s="6" t="e" cm="1">
        <f t="array" ref="K875">LOOKUP(2^15,SEARCH(Tabela2[Palavras-Chave],Boletim[[#This Row],[Objeto]],1),Tabela2[Palavras-Chave])</f>
        <v>#N/A</v>
      </c>
    </row>
    <row r="876" spans="1:11" ht="409.6" x14ac:dyDescent="0.3">
      <c r="A876" s="5">
        <v>18807372</v>
      </c>
      <c r="B876" s="6" t="s">
        <v>99</v>
      </c>
      <c r="C876" s="6" t="s">
        <v>65</v>
      </c>
      <c r="D876" s="8" t="s">
        <v>66</v>
      </c>
      <c r="E876" s="6" t="s">
        <v>1000</v>
      </c>
      <c r="F876" s="6" t="s">
        <v>51</v>
      </c>
      <c r="G876" s="11" t="s">
        <v>56</v>
      </c>
      <c r="H876" s="10" t="s">
        <v>1001</v>
      </c>
      <c r="I876" s="6" t="s">
        <v>132</v>
      </c>
      <c r="J876" s="12">
        <v>46121.499768518515</v>
      </c>
      <c r="K876" s="6" t="str" cm="1">
        <f t="array" ref="K876">LOOKUP(2^15,SEARCH(Tabela2[Palavras-Chave],Boletim[[#This Row],[Objeto]],1),Tabela2[Palavras-Chave])</f>
        <v>JUNTA</v>
      </c>
    </row>
    <row r="877" spans="1:11" ht="28.8" hidden="1" x14ac:dyDescent="0.3">
      <c r="A877" s="5">
        <v>18808186</v>
      </c>
      <c r="B877" s="6" t="s">
        <v>1002</v>
      </c>
      <c r="C877" s="6" t="s">
        <v>1003</v>
      </c>
      <c r="D877" s="8" t="s">
        <v>66</v>
      </c>
      <c r="E877" s="6" t="s">
        <v>1004</v>
      </c>
      <c r="F877" s="6" t="s">
        <v>51</v>
      </c>
      <c r="G877" s="11">
        <v>46126.333333333336</v>
      </c>
      <c r="H877" s="10" t="s">
        <v>1005</v>
      </c>
      <c r="I877" s="6" t="s">
        <v>1006</v>
      </c>
      <c r="J877" s="12">
        <v>46121.52207175926</v>
      </c>
      <c r="K877" s="6" t="e" cm="1">
        <f t="array" ref="K877">LOOKUP(2^15,SEARCH(Tabela2[Palavras-Chave],Boletim[[#This Row],[Objeto]],1),Tabela2[Palavras-Chave])</f>
        <v>#N/A</v>
      </c>
    </row>
    <row r="878" spans="1:11" ht="302.39999999999998" x14ac:dyDescent="0.3">
      <c r="A878" s="5">
        <v>18808075</v>
      </c>
      <c r="B878" s="6" t="s">
        <v>259</v>
      </c>
      <c r="C878" s="6" t="s">
        <v>260</v>
      </c>
      <c r="D878" s="8" t="s">
        <v>66</v>
      </c>
      <c r="E878" s="6" t="s">
        <v>1007</v>
      </c>
      <c r="F878" s="6" t="s">
        <v>51</v>
      </c>
      <c r="G878" s="11" t="s">
        <v>56</v>
      </c>
      <c r="H878" s="10" t="s">
        <v>1008</v>
      </c>
      <c r="I878" s="6" t="s">
        <v>1009</v>
      </c>
      <c r="J878" s="12">
        <v>46121.541122685187</v>
      </c>
      <c r="K878" s="6" t="str" cm="1">
        <f t="array" ref="K878">LOOKUP(2^15,SEARCH(Tabela2[Palavras-Chave],Boletim[[#This Row],[Objeto]],1),Tabela2[Palavras-Chave])</f>
        <v>DIAGNÓSTICO</v>
      </c>
    </row>
    <row r="879" spans="1:11" ht="100.8" hidden="1" x14ac:dyDescent="0.3">
      <c r="A879" s="5">
        <v>18807609</v>
      </c>
      <c r="B879" s="6" t="s">
        <v>99</v>
      </c>
      <c r="C879" s="6" t="s">
        <v>65</v>
      </c>
      <c r="D879" s="8" t="s">
        <v>66</v>
      </c>
      <c r="E879" s="6" t="s">
        <v>2830</v>
      </c>
      <c r="F879" s="6" t="s">
        <v>51</v>
      </c>
      <c r="G879" s="11" t="s">
        <v>56</v>
      </c>
      <c r="H879" s="10" t="s">
        <v>2831</v>
      </c>
      <c r="I879" s="6" t="s">
        <v>132</v>
      </c>
      <c r="J879" s="12">
        <v>46121.558564814812</v>
      </c>
      <c r="K879" s="6" t="e" cm="1">
        <f t="array" ref="K879">LOOKUP(2^15,SEARCH(Tabela2[Palavras-Chave],Boletim[[#This Row],[Objeto]],1),Tabela2[Palavras-Chave])</f>
        <v>#N/A</v>
      </c>
    </row>
    <row r="880" spans="1:11" ht="72" hidden="1" x14ac:dyDescent="0.3">
      <c r="A880" s="5">
        <v>18799534</v>
      </c>
      <c r="B880" s="6" t="s">
        <v>1010</v>
      </c>
      <c r="C880" s="6" t="s">
        <v>447</v>
      </c>
      <c r="D880" s="8" t="s">
        <v>66</v>
      </c>
      <c r="E880" s="6" t="s">
        <v>139</v>
      </c>
      <c r="F880" s="6" t="s">
        <v>51</v>
      </c>
      <c r="G880" s="11">
        <v>46122.375</v>
      </c>
      <c r="H880" s="10" t="s">
        <v>1011</v>
      </c>
      <c r="I880" s="6" t="s">
        <v>1012</v>
      </c>
      <c r="J880" s="12">
        <v>46121.587638888886</v>
      </c>
      <c r="K880" s="6" t="e" cm="1">
        <f t="array" ref="K880">LOOKUP(2^15,SEARCH(Tabela2[Palavras-Chave],Boletim[[#This Row],[Objeto]],1),Tabela2[Palavras-Chave])</f>
        <v>#N/A</v>
      </c>
    </row>
    <row r="881" spans="1:11" ht="28.8" hidden="1" x14ac:dyDescent="0.3">
      <c r="A881" s="5">
        <v>18807593</v>
      </c>
      <c r="B881" s="6" t="s">
        <v>99</v>
      </c>
      <c r="C881" s="6" t="s">
        <v>65</v>
      </c>
      <c r="D881" s="8" t="s">
        <v>66</v>
      </c>
      <c r="E881" s="6" t="s">
        <v>1013</v>
      </c>
      <c r="F881" s="6" t="s">
        <v>51</v>
      </c>
      <c r="G881" s="11" t="s">
        <v>56</v>
      </c>
      <c r="H881" s="10" t="s">
        <v>338</v>
      </c>
      <c r="I881" s="6" t="s">
        <v>132</v>
      </c>
      <c r="J881" s="12">
        <v>46121.610902777778</v>
      </c>
      <c r="K881" s="6" t="e" cm="1">
        <f t="array" ref="K881">LOOKUP(2^15,SEARCH(Tabela2[Palavras-Chave],Boletim[[#This Row],[Objeto]],1),Tabela2[Palavras-Chave])</f>
        <v>#N/A</v>
      </c>
    </row>
    <row r="882" spans="1:11" ht="28.8" hidden="1" x14ac:dyDescent="0.3">
      <c r="A882" s="5">
        <v>18807510</v>
      </c>
      <c r="B882" s="6" t="s">
        <v>99</v>
      </c>
      <c r="C882" s="6" t="s">
        <v>65</v>
      </c>
      <c r="D882" s="8" t="s">
        <v>66</v>
      </c>
      <c r="E882" s="6" t="s">
        <v>1014</v>
      </c>
      <c r="F882" s="6" t="s">
        <v>51</v>
      </c>
      <c r="G882" s="11" t="s">
        <v>56</v>
      </c>
      <c r="H882" s="10" t="s">
        <v>338</v>
      </c>
      <c r="I882" s="6" t="s">
        <v>132</v>
      </c>
      <c r="J882" s="12">
        <v>46121.610949074071</v>
      </c>
      <c r="K882" s="6" t="e" cm="1">
        <f t="array" ref="K882">LOOKUP(2^15,SEARCH(Tabela2[Palavras-Chave],Boletim[[#This Row],[Objeto]],1),Tabela2[Palavras-Chave])</f>
        <v>#N/A</v>
      </c>
    </row>
    <row r="883" spans="1:11" ht="28.8" hidden="1" x14ac:dyDescent="0.3">
      <c r="A883" s="5">
        <v>18808187</v>
      </c>
      <c r="B883" s="6" t="s">
        <v>1015</v>
      </c>
      <c r="C883" s="6" t="s">
        <v>65</v>
      </c>
      <c r="D883" s="8" t="s">
        <v>66</v>
      </c>
      <c r="E883" s="6" t="s">
        <v>1016</v>
      </c>
      <c r="F883" s="6" t="s">
        <v>51</v>
      </c>
      <c r="G883" s="11">
        <v>46126.333333333336</v>
      </c>
      <c r="H883" s="10" t="s">
        <v>1017</v>
      </c>
      <c r="I883" s="6" t="s">
        <v>1018</v>
      </c>
      <c r="J883" s="12">
        <v>46121.614201388889</v>
      </c>
      <c r="K883" s="6" t="e" cm="1">
        <f t="array" ref="K883">LOOKUP(2^15,SEARCH(Tabela2[Palavras-Chave],Boletim[[#This Row],[Objeto]],1),Tabela2[Palavras-Chave])</f>
        <v>#N/A</v>
      </c>
    </row>
    <row r="884" spans="1:11" ht="28.8" hidden="1" x14ac:dyDescent="0.3">
      <c r="A884" s="5">
        <v>18807375</v>
      </c>
      <c r="B884" s="6" t="s">
        <v>99</v>
      </c>
      <c r="C884" s="6" t="s">
        <v>65</v>
      </c>
      <c r="D884" s="8" t="s">
        <v>66</v>
      </c>
      <c r="E884" s="6" t="s">
        <v>1019</v>
      </c>
      <c r="F884" s="6" t="s">
        <v>51</v>
      </c>
      <c r="G884" s="11" t="s">
        <v>56</v>
      </c>
      <c r="H884" s="10" t="s">
        <v>338</v>
      </c>
      <c r="I884" s="6" t="s">
        <v>132</v>
      </c>
      <c r="J884" s="12">
        <v>46121.615231481483</v>
      </c>
      <c r="K884" s="6" t="e" cm="1">
        <f t="array" ref="K884">LOOKUP(2^15,SEARCH(Tabela2[Palavras-Chave],Boletim[[#This Row],[Objeto]],1),Tabela2[Palavras-Chave])</f>
        <v>#N/A</v>
      </c>
    </row>
    <row r="885" spans="1:11" ht="28.8" x14ac:dyDescent="0.3">
      <c r="A885" s="5">
        <v>18809789</v>
      </c>
      <c r="B885" s="6" t="s">
        <v>99</v>
      </c>
      <c r="C885" s="6" t="s">
        <v>65</v>
      </c>
      <c r="D885" s="8" t="s">
        <v>66</v>
      </c>
      <c r="E885" s="6" t="s">
        <v>1020</v>
      </c>
      <c r="F885" s="6" t="s">
        <v>51</v>
      </c>
      <c r="G885" s="11" t="s">
        <v>56</v>
      </c>
      <c r="H885" s="10" t="s">
        <v>1021</v>
      </c>
      <c r="I885" s="6" t="s">
        <v>132</v>
      </c>
      <c r="J885" s="12">
        <v>46121.639618055553</v>
      </c>
      <c r="K885" s="6" t="str" cm="1">
        <f t="array" ref="K885">LOOKUP(2^15,SEARCH(Tabela2[Palavras-Chave],Boletim[[#This Row],[Objeto]],1),Tabela2[Palavras-Chave])</f>
        <v>JUNTA</v>
      </c>
    </row>
    <row r="886" spans="1:11" ht="28.8" hidden="1" x14ac:dyDescent="0.3">
      <c r="A886" s="5">
        <v>18762615</v>
      </c>
      <c r="B886" s="6" t="s">
        <v>99</v>
      </c>
      <c r="C886" s="6" t="s">
        <v>65</v>
      </c>
      <c r="D886" s="8" t="s">
        <v>66</v>
      </c>
      <c r="E886" s="6" t="s">
        <v>1022</v>
      </c>
      <c r="F886" s="6" t="s">
        <v>51</v>
      </c>
      <c r="G886" s="11" t="s">
        <v>56</v>
      </c>
      <c r="H886" s="10" t="s">
        <v>1023</v>
      </c>
      <c r="I886" s="6" t="s">
        <v>131</v>
      </c>
      <c r="J886" s="12">
        <v>46121.676423611112</v>
      </c>
      <c r="K886" s="6" t="e" cm="1">
        <f t="array" ref="K886">LOOKUP(2^15,SEARCH(Tabela2[Palavras-Chave],Boletim[[#This Row],[Objeto]],1),Tabela2[Palavras-Chave])</f>
        <v>#N/A</v>
      </c>
    </row>
    <row r="887" spans="1:11" ht="28.8" hidden="1" x14ac:dyDescent="0.3">
      <c r="A887" s="5">
        <v>18774643</v>
      </c>
      <c r="B887" s="6" t="s">
        <v>99</v>
      </c>
      <c r="C887" s="6" t="s">
        <v>65</v>
      </c>
      <c r="D887" s="8" t="s">
        <v>66</v>
      </c>
      <c r="E887" s="6" t="s">
        <v>1024</v>
      </c>
      <c r="F887" s="6" t="s">
        <v>51</v>
      </c>
      <c r="G887" s="11" t="s">
        <v>56</v>
      </c>
      <c r="H887" s="10" t="s">
        <v>1025</v>
      </c>
      <c r="I887" s="6" t="s">
        <v>131</v>
      </c>
      <c r="J887" s="12">
        <v>46121.677824074075</v>
      </c>
      <c r="K887" s="6" t="e" cm="1">
        <f t="array" ref="K887">LOOKUP(2^15,SEARCH(Tabela2[Palavras-Chave],Boletim[[#This Row],[Objeto]],1),Tabela2[Palavras-Chave])</f>
        <v>#N/A</v>
      </c>
    </row>
    <row r="888" spans="1:11" ht="28.8" hidden="1" x14ac:dyDescent="0.3">
      <c r="A888" s="5">
        <v>18789531</v>
      </c>
      <c r="B888" s="6" t="s">
        <v>99</v>
      </c>
      <c r="C888" s="6" t="s">
        <v>65</v>
      </c>
      <c r="D888" s="8" t="s">
        <v>66</v>
      </c>
      <c r="E888" s="6" t="s">
        <v>2832</v>
      </c>
      <c r="F888" s="6" t="s">
        <v>51</v>
      </c>
      <c r="G888" s="11" t="s">
        <v>56</v>
      </c>
      <c r="H888" s="10" t="s">
        <v>2833</v>
      </c>
      <c r="I888" s="6" t="s">
        <v>131</v>
      </c>
      <c r="J888" s="12">
        <v>46121.6878125</v>
      </c>
      <c r="K888" s="6" t="e" cm="1">
        <f t="array" ref="K888">LOOKUP(2^15,SEARCH(Tabela2[Palavras-Chave],Boletim[[#This Row],[Objeto]],1),Tabela2[Palavras-Chave])</f>
        <v>#N/A</v>
      </c>
    </row>
    <row r="889" spans="1:11" ht="144" x14ac:dyDescent="0.3">
      <c r="A889" s="5">
        <v>18808082</v>
      </c>
      <c r="B889" s="6" t="s">
        <v>259</v>
      </c>
      <c r="C889" s="6" t="s">
        <v>260</v>
      </c>
      <c r="D889" s="8" t="s">
        <v>66</v>
      </c>
      <c r="E889" s="6" t="s">
        <v>1026</v>
      </c>
      <c r="F889" s="6" t="s">
        <v>51</v>
      </c>
      <c r="G889" s="11" t="s">
        <v>56</v>
      </c>
      <c r="H889" s="10" t="s">
        <v>1027</v>
      </c>
      <c r="I889" s="6" t="s">
        <v>1009</v>
      </c>
      <c r="J889" s="12">
        <v>46121.690451388888</v>
      </c>
      <c r="K889" s="6" t="str" cm="1">
        <f t="array" ref="K889">LOOKUP(2^15,SEARCH(Tabela2[Palavras-Chave],Boletim[[#This Row],[Objeto]],1),Tabela2[Palavras-Chave])</f>
        <v>EFICIÊNCIA</v>
      </c>
    </row>
    <row r="890" spans="1:11" ht="115.2" hidden="1" x14ac:dyDescent="0.3">
      <c r="A890" s="5">
        <v>18806753</v>
      </c>
      <c r="B890" s="6" t="s">
        <v>2834</v>
      </c>
      <c r="C890" s="6" t="s">
        <v>65</v>
      </c>
      <c r="D890" s="8" t="s">
        <v>66</v>
      </c>
      <c r="E890" s="6" t="s">
        <v>2835</v>
      </c>
      <c r="F890" s="6" t="s">
        <v>51</v>
      </c>
      <c r="G890" s="11">
        <v>46126.333333333336</v>
      </c>
      <c r="H890" s="10" t="s">
        <v>2836</v>
      </c>
      <c r="I890" s="6" t="s">
        <v>2837</v>
      </c>
      <c r="J890" s="12">
        <v>46121.702789351853</v>
      </c>
      <c r="K890" s="6" t="e" cm="1">
        <f t="array" ref="K890">LOOKUP(2^15,SEARCH(Tabela2[Palavras-Chave],Boletim[[#This Row],[Objeto]],1),Tabela2[Palavras-Chave])</f>
        <v>#N/A</v>
      </c>
    </row>
    <row r="891" spans="1:11" ht="100.8" hidden="1" x14ac:dyDescent="0.3">
      <c r="A891" s="5">
        <v>18809987</v>
      </c>
      <c r="B891" s="6" t="s">
        <v>259</v>
      </c>
      <c r="C891" s="6" t="s">
        <v>260</v>
      </c>
      <c r="D891" s="8" t="s">
        <v>66</v>
      </c>
      <c r="E891" s="6" t="s">
        <v>1028</v>
      </c>
      <c r="F891" s="6" t="s">
        <v>51</v>
      </c>
      <c r="G891" s="11" t="s">
        <v>56</v>
      </c>
      <c r="H891" s="10" t="s">
        <v>1029</v>
      </c>
      <c r="I891" s="6" t="s">
        <v>1009</v>
      </c>
      <c r="J891" s="12">
        <v>46121.707870370374</v>
      </c>
      <c r="K891" s="6" t="e" cm="1">
        <f t="array" ref="K891">LOOKUP(2^15,SEARCH(Tabela2[Palavras-Chave],Boletim[[#This Row],[Objeto]],1),Tabela2[Palavras-Chave])</f>
        <v>#N/A</v>
      </c>
    </row>
    <row r="892" spans="1:11" ht="28.8" hidden="1" x14ac:dyDescent="0.3">
      <c r="A892" s="5">
        <v>18809962</v>
      </c>
      <c r="B892" s="6" t="s">
        <v>99</v>
      </c>
      <c r="C892" s="6" t="s">
        <v>65</v>
      </c>
      <c r="D892" s="8" t="s">
        <v>66</v>
      </c>
      <c r="E892" s="6" t="s">
        <v>2838</v>
      </c>
      <c r="F892" s="6" t="s">
        <v>51</v>
      </c>
      <c r="G892" s="11" t="s">
        <v>56</v>
      </c>
      <c r="H892" s="10" t="s">
        <v>2839</v>
      </c>
      <c r="I892" s="6" t="s">
        <v>1032</v>
      </c>
      <c r="J892" s="12">
        <v>46121.708402777775</v>
      </c>
      <c r="K892" s="6" t="e" cm="1">
        <f t="array" ref="K892">LOOKUP(2^15,SEARCH(Tabela2[Palavras-Chave],Boletim[[#This Row],[Objeto]],1),Tabela2[Palavras-Chave])</f>
        <v>#N/A</v>
      </c>
    </row>
    <row r="893" spans="1:11" ht="28.8" x14ac:dyDescent="0.3">
      <c r="A893" s="5">
        <v>18809981</v>
      </c>
      <c r="B893" s="6" t="s">
        <v>99</v>
      </c>
      <c r="C893" s="6" t="s">
        <v>65</v>
      </c>
      <c r="D893" s="8" t="s">
        <v>66</v>
      </c>
      <c r="E893" s="6" t="s">
        <v>1030</v>
      </c>
      <c r="F893" s="6" t="s">
        <v>51</v>
      </c>
      <c r="G893" s="11" t="s">
        <v>56</v>
      </c>
      <c r="H893" s="10" t="s">
        <v>1031</v>
      </c>
      <c r="I893" s="6" t="s">
        <v>1032</v>
      </c>
      <c r="J893" s="12">
        <v>46121.708495370367</v>
      </c>
      <c r="K893" s="6" t="str" cm="1">
        <f t="array" ref="K893">LOOKUP(2^15,SEARCH(Tabela2[Palavras-Chave],Boletim[[#This Row],[Objeto]],1),Tabela2[Palavras-Chave])</f>
        <v>RESERVAT</v>
      </c>
    </row>
    <row r="894" spans="1:11" ht="100.8" hidden="1" x14ac:dyDescent="0.3">
      <c r="A894" s="5">
        <v>18810015</v>
      </c>
      <c r="B894" s="6" t="s">
        <v>2840</v>
      </c>
      <c r="C894" s="6" t="s">
        <v>273</v>
      </c>
      <c r="D894" s="8" t="s">
        <v>66</v>
      </c>
      <c r="E894" s="6" t="s">
        <v>335</v>
      </c>
      <c r="F894" s="6" t="s">
        <v>51</v>
      </c>
      <c r="G894" s="11" t="s">
        <v>56</v>
      </c>
      <c r="H894" s="10" t="s">
        <v>2841</v>
      </c>
      <c r="I894" s="6" t="s">
        <v>2842</v>
      </c>
      <c r="J894" s="12">
        <v>46121.712326388886</v>
      </c>
      <c r="K894" s="6" t="e" cm="1">
        <f t="array" ref="K894">LOOKUP(2^15,SEARCH(Tabela2[Palavras-Chave],Boletim[[#This Row],[Objeto]],1),Tabela2[Palavras-Chave])</f>
        <v>#N/A</v>
      </c>
    </row>
    <row r="895" spans="1:11" ht="57.6" hidden="1" x14ac:dyDescent="0.3">
      <c r="A895" s="5">
        <v>18808470</v>
      </c>
      <c r="B895" s="6" t="s">
        <v>2843</v>
      </c>
      <c r="C895" s="6" t="s">
        <v>2513</v>
      </c>
      <c r="D895" s="8" t="s">
        <v>66</v>
      </c>
      <c r="E895" s="6" t="s">
        <v>643</v>
      </c>
      <c r="F895" s="6" t="s">
        <v>51</v>
      </c>
      <c r="G895" s="11" t="s">
        <v>56</v>
      </c>
      <c r="H895" s="10" t="s">
        <v>2844</v>
      </c>
      <c r="I895" s="6" t="s">
        <v>2845</v>
      </c>
      <c r="J895" s="12">
        <v>46121.719270833331</v>
      </c>
      <c r="K895" s="6" t="e" cm="1">
        <f t="array" ref="K895">LOOKUP(2^15,SEARCH(Tabela2[Palavras-Chave],Boletim[[#This Row],[Objeto]],1),Tabela2[Palavras-Chave])</f>
        <v>#N/A</v>
      </c>
    </row>
    <row r="896" spans="1:11" hidden="1" x14ac:dyDescent="0.3">
      <c r="A896" s="5">
        <v>18807592</v>
      </c>
      <c r="B896" s="6" t="s">
        <v>99</v>
      </c>
      <c r="C896" s="6" t="s">
        <v>65</v>
      </c>
      <c r="D896" s="8" t="s">
        <v>66</v>
      </c>
      <c r="E896" s="6" t="s">
        <v>1033</v>
      </c>
      <c r="F896" s="6" t="s">
        <v>51</v>
      </c>
      <c r="G896" s="11" t="s">
        <v>56</v>
      </c>
      <c r="H896" s="10" t="s">
        <v>597</v>
      </c>
      <c r="I896" s="6" t="s">
        <v>132</v>
      </c>
      <c r="J896" s="12">
        <v>46121.722372685188</v>
      </c>
      <c r="K896" s="6" t="e" cm="1">
        <f t="array" ref="K896">LOOKUP(2^15,SEARCH(Tabela2[Palavras-Chave],Boletim[[#This Row],[Objeto]],1),Tabela2[Palavras-Chave])</f>
        <v>#N/A</v>
      </c>
    </row>
    <row r="897" spans="1:11" hidden="1" x14ac:dyDescent="0.3">
      <c r="A897" s="5">
        <v>18807507</v>
      </c>
      <c r="B897" s="6" t="s">
        <v>99</v>
      </c>
      <c r="C897" s="6" t="s">
        <v>65</v>
      </c>
      <c r="D897" s="8" t="s">
        <v>66</v>
      </c>
      <c r="E897" s="6" t="s">
        <v>1034</v>
      </c>
      <c r="F897" s="6" t="s">
        <v>51</v>
      </c>
      <c r="G897" s="11" t="s">
        <v>56</v>
      </c>
      <c r="H897" s="10" t="s">
        <v>1035</v>
      </c>
      <c r="I897" s="6" t="s">
        <v>132</v>
      </c>
      <c r="J897" s="12">
        <v>46121.725370370368</v>
      </c>
      <c r="K897" s="6" t="e" cm="1">
        <f t="array" ref="K897">LOOKUP(2^15,SEARCH(Tabela2[Palavras-Chave],Boletim[[#This Row],[Objeto]],1),Tabela2[Palavras-Chave])</f>
        <v>#N/A</v>
      </c>
    </row>
    <row r="898" spans="1:11" hidden="1" x14ac:dyDescent="0.3">
      <c r="A898" s="5">
        <v>18809790</v>
      </c>
      <c r="B898" s="6" t="s">
        <v>99</v>
      </c>
      <c r="C898" s="6" t="s">
        <v>65</v>
      </c>
      <c r="D898" s="8" t="s">
        <v>66</v>
      </c>
      <c r="E898" s="6" t="s">
        <v>2846</v>
      </c>
      <c r="F898" s="6" t="s">
        <v>51</v>
      </c>
      <c r="G898" s="11" t="s">
        <v>56</v>
      </c>
      <c r="H898" s="10" t="s">
        <v>2847</v>
      </c>
      <c r="I898" s="6" t="s">
        <v>132</v>
      </c>
      <c r="J898" s="12">
        <v>46121.734733796293</v>
      </c>
      <c r="K898" s="6" t="e" cm="1">
        <f t="array" ref="K898">LOOKUP(2^15,SEARCH(Tabela2[Palavras-Chave],Boletim[[#This Row],[Objeto]],1),Tabela2[Palavras-Chave])</f>
        <v>#N/A</v>
      </c>
    </row>
    <row r="899" spans="1:11" ht="403.2" hidden="1" x14ac:dyDescent="0.3">
      <c r="A899" s="5">
        <v>18809774</v>
      </c>
      <c r="B899" s="6" t="s">
        <v>1036</v>
      </c>
      <c r="C899" s="6" t="s">
        <v>440</v>
      </c>
      <c r="D899" s="8" t="s">
        <v>66</v>
      </c>
      <c r="E899" s="6" t="s">
        <v>139</v>
      </c>
      <c r="F899" s="6" t="s">
        <v>51</v>
      </c>
      <c r="G899" s="11">
        <v>46128.333333333336</v>
      </c>
      <c r="H899" s="10" t="s">
        <v>1037</v>
      </c>
      <c r="I899" s="6" t="s">
        <v>1038</v>
      </c>
      <c r="J899" s="12">
        <v>46121.752916666665</v>
      </c>
      <c r="K899" s="6" t="e" cm="1">
        <f t="array" ref="K899">LOOKUP(2^15,SEARCH(Tabela2[Palavras-Chave],Boletim[[#This Row],[Objeto]],1),Tabela2[Palavras-Chave])</f>
        <v>#N/A</v>
      </c>
    </row>
    <row r="900" spans="1:11" hidden="1" x14ac:dyDescent="0.3">
      <c r="A900" s="5">
        <v>18807886</v>
      </c>
      <c r="B900" s="6" t="s">
        <v>2848</v>
      </c>
      <c r="C900" s="6" t="s">
        <v>2849</v>
      </c>
      <c r="D900" s="8" t="s">
        <v>66</v>
      </c>
      <c r="E900" s="6" t="s">
        <v>315</v>
      </c>
      <c r="F900" s="6" t="s">
        <v>51</v>
      </c>
      <c r="G900" s="11">
        <v>46126.375</v>
      </c>
      <c r="H900" s="10" t="s">
        <v>2850</v>
      </c>
      <c r="I900" s="6" t="s">
        <v>594</v>
      </c>
      <c r="J900" s="12">
        <v>46121.755532407406</v>
      </c>
      <c r="K900" s="6" t="e" cm="1">
        <f t="array" ref="K900">LOOKUP(2^15,SEARCH(Tabela2[Palavras-Chave],Boletim[[#This Row],[Objeto]],1),Tabela2[Palavras-Chave])</f>
        <v>#N/A</v>
      </c>
    </row>
    <row r="901" spans="1:11" ht="115.2" hidden="1" x14ac:dyDescent="0.3">
      <c r="A901" s="5">
        <v>18791068</v>
      </c>
      <c r="B901" s="6" t="s">
        <v>1039</v>
      </c>
      <c r="C901" s="6" t="s">
        <v>219</v>
      </c>
      <c r="D901" s="8" t="s">
        <v>66</v>
      </c>
      <c r="E901" s="6" t="s">
        <v>1040</v>
      </c>
      <c r="F901" s="6" t="s">
        <v>51</v>
      </c>
      <c r="G901" s="11">
        <v>46125.333333333336</v>
      </c>
      <c r="H901" s="10" t="s">
        <v>1041</v>
      </c>
      <c r="I901" s="6" t="s">
        <v>1042</v>
      </c>
      <c r="J901" s="12">
        <v>46121.758344907408</v>
      </c>
      <c r="K901" s="6" t="e" cm="1">
        <f t="array" ref="K901">LOOKUP(2^15,SEARCH(Tabela2[Palavras-Chave],Boletim[[#This Row],[Objeto]],1),Tabela2[Palavras-Chave])</f>
        <v>#N/A</v>
      </c>
    </row>
    <row r="902" spans="1:11" hidden="1" x14ac:dyDescent="0.3">
      <c r="A902" s="5">
        <v>18807374</v>
      </c>
      <c r="B902" s="6" t="s">
        <v>99</v>
      </c>
      <c r="C902" s="6" t="s">
        <v>65</v>
      </c>
      <c r="D902" s="8" t="s">
        <v>66</v>
      </c>
      <c r="E902" s="6" t="s">
        <v>1043</v>
      </c>
      <c r="F902" s="6" t="s">
        <v>51</v>
      </c>
      <c r="G902" s="11" t="s">
        <v>56</v>
      </c>
      <c r="H902" s="10" t="s">
        <v>597</v>
      </c>
      <c r="I902" s="6" t="s">
        <v>132</v>
      </c>
      <c r="J902" s="12">
        <v>46121.758819444447</v>
      </c>
      <c r="K902" s="6" t="e" cm="1">
        <f t="array" ref="K902">LOOKUP(2^15,SEARCH(Tabela2[Palavras-Chave],Boletim[[#This Row],[Objeto]],1),Tabela2[Palavras-Chave])</f>
        <v>#N/A</v>
      </c>
    </row>
    <row r="903" spans="1:11" hidden="1" x14ac:dyDescent="0.3">
      <c r="A903" s="5">
        <v>18807369</v>
      </c>
      <c r="B903" s="6" t="s">
        <v>99</v>
      </c>
      <c r="C903" s="6" t="s">
        <v>65</v>
      </c>
      <c r="D903" s="8" t="s">
        <v>66</v>
      </c>
      <c r="E903" s="6" t="s">
        <v>1044</v>
      </c>
      <c r="F903" s="6" t="s">
        <v>51</v>
      </c>
      <c r="G903" s="11" t="s">
        <v>56</v>
      </c>
      <c r="H903" s="10" t="s">
        <v>597</v>
      </c>
      <c r="I903" s="6" t="s">
        <v>132</v>
      </c>
      <c r="J903" s="12">
        <v>46121.758923611109</v>
      </c>
      <c r="K903" s="6" t="e" cm="1">
        <f t="array" ref="K903">LOOKUP(2^15,SEARCH(Tabela2[Palavras-Chave],Boletim[[#This Row],[Objeto]],1),Tabela2[Palavras-Chave])</f>
        <v>#N/A</v>
      </c>
    </row>
    <row r="904" spans="1:11" ht="57.6" hidden="1" x14ac:dyDescent="0.3">
      <c r="A904" s="5">
        <v>18807223</v>
      </c>
      <c r="B904" s="6" t="s">
        <v>187</v>
      </c>
      <c r="C904" s="6" t="s">
        <v>65</v>
      </c>
      <c r="D904" s="8" t="s">
        <v>66</v>
      </c>
      <c r="E904" s="6" t="s">
        <v>2851</v>
      </c>
      <c r="F904" s="6" t="s">
        <v>51</v>
      </c>
      <c r="G904" s="11" t="s">
        <v>56</v>
      </c>
      <c r="H904" s="10" t="s">
        <v>2852</v>
      </c>
      <c r="I904" s="6" t="s">
        <v>2853</v>
      </c>
      <c r="J904" s="12">
        <v>46121.773310185185</v>
      </c>
      <c r="K904" s="6" t="e" cm="1">
        <f t="array" ref="K904">LOOKUP(2^15,SEARCH(Tabela2[Palavras-Chave],Boletim[[#This Row],[Objeto]],1),Tabela2[Palavras-Chave])</f>
        <v>#N/A</v>
      </c>
    </row>
    <row r="905" spans="1:11" ht="86.4" hidden="1" x14ac:dyDescent="0.3">
      <c r="A905" s="5">
        <v>18810848</v>
      </c>
      <c r="B905" s="6" t="s">
        <v>1045</v>
      </c>
      <c r="C905" s="6" t="s">
        <v>1046</v>
      </c>
      <c r="D905" s="8" t="s">
        <v>66</v>
      </c>
      <c r="E905" s="6" t="s">
        <v>607</v>
      </c>
      <c r="F905" s="6" t="s">
        <v>51</v>
      </c>
      <c r="G905" s="11">
        <v>46127.385416666664</v>
      </c>
      <c r="H905" s="10" t="s">
        <v>1047</v>
      </c>
      <c r="I905" s="6" t="s">
        <v>1048</v>
      </c>
      <c r="J905" s="12">
        <v>46121.828993055555</v>
      </c>
      <c r="K905" s="6" t="e" cm="1">
        <f t="array" ref="K905">LOOKUP(2^15,SEARCH(Tabela2[Palavras-Chave],Boletim[[#This Row],[Objeto]],1),Tabela2[Palavras-Chave])</f>
        <v>#N/A</v>
      </c>
    </row>
    <row r="906" spans="1:11" ht="100.8" hidden="1" x14ac:dyDescent="0.3">
      <c r="A906" s="5">
        <v>18810845</v>
      </c>
      <c r="B906" s="6" t="s">
        <v>1049</v>
      </c>
      <c r="C906" s="6" t="s">
        <v>1050</v>
      </c>
      <c r="D906" s="8" t="s">
        <v>66</v>
      </c>
      <c r="E906" s="6" t="s">
        <v>192</v>
      </c>
      <c r="F906" s="6" t="s">
        <v>51</v>
      </c>
      <c r="G906" s="11">
        <v>46129.333333333336</v>
      </c>
      <c r="H906" s="10" t="s">
        <v>1051</v>
      </c>
      <c r="I906" s="6" t="s">
        <v>1052</v>
      </c>
      <c r="J906" s="12">
        <v>46121.829247685186</v>
      </c>
      <c r="K906" s="6" t="e" cm="1">
        <f t="array" ref="K906">LOOKUP(2^15,SEARCH(Tabela2[Palavras-Chave],Boletim[[#This Row],[Objeto]],1),Tabela2[Palavras-Chave])</f>
        <v>#N/A</v>
      </c>
    </row>
    <row r="907" spans="1:11" ht="43.2" hidden="1" x14ac:dyDescent="0.3">
      <c r="A907" s="5">
        <v>18810936</v>
      </c>
      <c r="B907" s="6" t="s">
        <v>1053</v>
      </c>
      <c r="C907" s="6" t="s">
        <v>1054</v>
      </c>
      <c r="D907" s="8" t="s">
        <v>66</v>
      </c>
      <c r="E907" s="6" t="s">
        <v>129</v>
      </c>
      <c r="F907" s="6" t="s">
        <v>51</v>
      </c>
      <c r="G907" s="11">
        <v>46126.999305555553</v>
      </c>
      <c r="H907" s="10" t="s">
        <v>1055</v>
      </c>
      <c r="I907" s="6" t="s">
        <v>1056</v>
      </c>
      <c r="J907" s="12">
        <v>46121.840162037035</v>
      </c>
      <c r="K907" s="6" t="e" cm="1">
        <f t="array" ref="K907">LOOKUP(2^15,SEARCH(Tabela2[Palavras-Chave],Boletim[[#This Row],[Objeto]],1),Tabela2[Palavras-Chave])</f>
        <v>#N/A</v>
      </c>
    </row>
    <row r="908" spans="1:11" ht="43.2" hidden="1" x14ac:dyDescent="0.3">
      <c r="A908" s="5">
        <v>18810935</v>
      </c>
      <c r="B908" s="6" t="s">
        <v>1057</v>
      </c>
      <c r="C908" s="6" t="s">
        <v>1058</v>
      </c>
      <c r="D908" s="8" t="s">
        <v>66</v>
      </c>
      <c r="E908" s="6" t="s">
        <v>118</v>
      </c>
      <c r="F908" s="6" t="s">
        <v>51</v>
      </c>
      <c r="G908" s="11">
        <v>46127.541666666664</v>
      </c>
      <c r="H908" s="10" t="s">
        <v>1059</v>
      </c>
      <c r="I908" s="6" t="s">
        <v>1060</v>
      </c>
      <c r="J908" s="12">
        <v>46121.849502314813</v>
      </c>
      <c r="K908" s="6" t="e" cm="1">
        <f t="array" ref="K908">LOOKUP(2^15,SEARCH(Tabela2[Palavras-Chave],Boletim[[#This Row],[Objeto]],1),Tabela2[Palavras-Chave])</f>
        <v>#N/A</v>
      </c>
    </row>
    <row r="909" spans="1:11" ht="57.6" hidden="1" x14ac:dyDescent="0.3">
      <c r="A909" s="5">
        <v>18807213</v>
      </c>
      <c r="B909" s="6" t="s">
        <v>966</v>
      </c>
      <c r="C909" s="6" t="s">
        <v>65</v>
      </c>
      <c r="D909" s="8" t="s">
        <v>66</v>
      </c>
      <c r="E909" s="6" t="s">
        <v>1061</v>
      </c>
      <c r="F909" s="6" t="s">
        <v>51</v>
      </c>
      <c r="G909" s="11" t="s">
        <v>56</v>
      </c>
      <c r="H909" s="10" t="s">
        <v>1062</v>
      </c>
      <c r="I909" s="6" t="s">
        <v>1063</v>
      </c>
      <c r="J909" s="12">
        <v>46121.86204861111</v>
      </c>
      <c r="K909" s="6" t="e" cm="1">
        <f t="array" ref="K909">LOOKUP(2^15,SEARCH(Tabela2[Palavras-Chave],Boletim[[#This Row],[Objeto]],1),Tabela2[Palavras-Chave])</f>
        <v>#N/A</v>
      </c>
    </row>
    <row r="910" spans="1:11" ht="57.6" hidden="1" x14ac:dyDescent="0.3">
      <c r="A910" s="5">
        <v>18811492</v>
      </c>
      <c r="B910" s="6" t="s">
        <v>2854</v>
      </c>
      <c r="C910" s="6" t="s">
        <v>2855</v>
      </c>
      <c r="D910" s="8" t="s">
        <v>66</v>
      </c>
      <c r="E910" s="6" t="s">
        <v>335</v>
      </c>
      <c r="F910" s="6" t="s">
        <v>51</v>
      </c>
      <c r="G910" s="11">
        <v>46125</v>
      </c>
      <c r="H910" s="10" t="s">
        <v>2856</v>
      </c>
      <c r="I910" s="6" t="s">
        <v>2857</v>
      </c>
      <c r="J910" s="12">
        <v>46121.873784722222</v>
      </c>
      <c r="K910" s="6" t="e" cm="1">
        <f t="array" ref="K910">LOOKUP(2^15,SEARCH(Tabela2[Palavras-Chave],Boletim[[#This Row],[Objeto]],1),Tabela2[Palavras-Chave])</f>
        <v>#N/A</v>
      </c>
    </row>
    <row r="911" spans="1:11" ht="144" hidden="1" x14ac:dyDescent="0.3">
      <c r="A911" s="5">
        <v>18808770</v>
      </c>
      <c r="B911" s="6" t="s">
        <v>344</v>
      </c>
      <c r="C911" s="6" t="s">
        <v>123</v>
      </c>
      <c r="D911" s="8" t="s">
        <v>67</v>
      </c>
      <c r="E911" s="6" t="s">
        <v>2858</v>
      </c>
      <c r="F911" s="6" t="s">
        <v>51</v>
      </c>
      <c r="G911" s="11" t="s">
        <v>56</v>
      </c>
      <c r="H911" s="10" t="s">
        <v>2859</v>
      </c>
      <c r="I911" s="6" t="s">
        <v>2860</v>
      </c>
      <c r="J911" s="12">
        <v>46121.693969907406</v>
      </c>
      <c r="K911" s="6" t="e" cm="1">
        <f t="array" ref="K911">LOOKUP(2^15,SEARCH(Tabela2[Palavras-Chave],Boletim[[#This Row],[Objeto]],1),Tabela2[Palavras-Chave])</f>
        <v>#N/A</v>
      </c>
    </row>
    <row r="912" spans="1:11" ht="100.8" hidden="1" x14ac:dyDescent="0.3">
      <c r="A912" s="5">
        <v>18808780</v>
      </c>
      <c r="B912" s="6" t="s">
        <v>344</v>
      </c>
      <c r="C912" s="6" t="s">
        <v>123</v>
      </c>
      <c r="D912" s="8" t="s">
        <v>67</v>
      </c>
      <c r="E912" s="6" t="s">
        <v>277</v>
      </c>
      <c r="F912" s="6" t="s">
        <v>51</v>
      </c>
      <c r="G912" s="11" t="s">
        <v>56</v>
      </c>
      <c r="H912" s="10" t="s">
        <v>2861</v>
      </c>
      <c r="I912" s="6" t="s">
        <v>2860</v>
      </c>
      <c r="J912" s="12">
        <v>46121.696331018517</v>
      </c>
      <c r="K912" s="6" t="e" cm="1">
        <f t="array" ref="K912">LOOKUP(2^15,SEARCH(Tabela2[Palavras-Chave],Boletim[[#This Row],[Objeto]],1),Tabela2[Palavras-Chave])</f>
        <v>#N/A</v>
      </c>
    </row>
    <row r="913" spans="1:11" ht="100.8" hidden="1" x14ac:dyDescent="0.3">
      <c r="A913" s="5">
        <v>18808766</v>
      </c>
      <c r="B913" s="6" t="s">
        <v>344</v>
      </c>
      <c r="C913" s="6" t="s">
        <v>123</v>
      </c>
      <c r="D913" s="8" t="s">
        <v>67</v>
      </c>
      <c r="E913" s="6" t="s">
        <v>1338</v>
      </c>
      <c r="F913" s="6" t="s">
        <v>51</v>
      </c>
      <c r="G913" s="11" t="s">
        <v>56</v>
      </c>
      <c r="H913" s="10" t="s">
        <v>2862</v>
      </c>
      <c r="I913" s="6" t="s">
        <v>2860</v>
      </c>
      <c r="J913" s="12">
        <v>46121.699594907404</v>
      </c>
      <c r="K913" s="6" t="e" cm="1">
        <f t="array" ref="K913">LOOKUP(2^15,SEARCH(Tabela2[Palavras-Chave],Boletim[[#This Row],[Objeto]],1),Tabela2[Palavras-Chave])</f>
        <v>#N/A</v>
      </c>
    </row>
    <row r="914" spans="1:11" ht="201.6" hidden="1" x14ac:dyDescent="0.3">
      <c r="A914" s="5">
        <v>18810156</v>
      </c>
      <c r="B914" s="6" t="s">
        <v>2863</v>
      </c>
      <c r="C914" s="6" t="s">
        <v>2864</v>
      </c>
      <c r="D914" s="8" t="s">
        <v>67</v>
      </c>
      <c r="E914" s="6" t="s">
        <v>137</v>
      </c>
      <c r="F914" s="6" t="s">
        <v>51</v>
      </c>
      <c r="G914" s="11" t="s">
        <v>56</v>
      </c>
      <c r="H914" s="10" t="s">
        <v>2865</v>
      </c>
      <c r="I914" s="6" t="s">
        <v>2866</v>
      </c>
      <c r="J914" s="12">
        <v>46121.701435185183</v>
      </c>
      <c r="K914" s="6" t="e" cm="1">
        <f t="array" ref="K914">LOOKUP(2^15,SEARCH(Tabela2[Palavras-Chave],Boletim[[#This Row],[Objeto]],1),Tabela2[Palavras-Chave])</f>
        <v>#N/A</v>
      </c>
    </row>
    <row r="915" spans="1:11" ht="43.2" hidden="1" x14ac:dyDescent="0.3">
      <c r="A915" s="5">
        <v>18807627</v>
      </c>
      <c r="B915" s="6" t="s">
        <v>2867</v>
      </c>
      <c r="C915" s="6" t="s">
        <v>2868</v>
      </c>
      <c r="D915" s="8" t="s">
        <v>91</v>
      </c>
      <c r="E915" s="6" t="s">
        <v>125</v>
      </c>
      <c r="F915" s="6" t="s">
        <v>51</v>
      </c>
      <c r="G915" s="11" t="s">
        <v>56</v>
      </c>
      <c r="H915" s="10" t="s">
        <v>2869</v>
      </c>
      <c r="I915" s="6" t="s">
        <v>186</v>
      </c>
      <c r="J915" s="12">
        <v>46121.459108796298</v>
      </c>
      <c r="K915" s="6" t="e" cm="1">
        <f t="array" ref="K915">LOOKUP(2^15,SEARCH(Tabela2[Palavras-Chave],Boletim[[#This Row],[Objeto]],1),Tabela2[Palavras-Chave])</f>
        <v>#N/A</v>
      </c>
    </row>
    <row r="916" spans="1:11" ht="43.2" hidden="1" x14ac:dyDescent="0.3">
      <c r="A916" s="5">
        <v>18810058</v>
      </c>
      <c r="B916" s="6" t="s">
        <v>205</v>
      </c>
      <c r="C916" s="6" t="s">
        <v>111</v>
      </c>
      <c r="D916" s="8" t="s">
        <v>91</v>
      </c>
      <c r="E916" s="6" t="s">
        <v>55</v>
      </c>
      <c r="F916" s="6" t="s">
        <v>51</v>
      </c>
      <c r="G916" s="11" t="s">
        <v>56</v>
      </c>
      <c r="H916" s="10" t="s">
        <v>2870</v>
      </c>
      <c r="I916" s="6" t="s">
        <v>169</v>
      </c>
      <c r="J916" s="12">
        <v>46121.699016203704</v>
      </c>
      <c r="K916" s="6" t="e" cm="1">
        <f t="array" ref="K916">LOOKUP(2^15,SEARCH(Tabela2[Palavras-Chave],Boletim[[#This Row],[Objeto]],1),Tabela2[Palavras-Chave])</f>
        <v>#N/A</v>
      </c>
    </row>
    <row r="917" spans="1:11" ht="72" hidden="1" x14ac:dyDescent="0.3">
      <c r="A917" s="5">
        <v>18810754</v>
      </c>
      <c r="B917" s="6" t="s">
        <v>2871</v>
      </c>
      <c r="C917" s="6" t="s">
        <v>2872</v>
      </c>
      <c r="D917" s="8" t="s">
        <v>91</v>
      </c>
      <c r="E917" s="6" t="s">
        <v>191</v>
      </c>
      <c r="F917" s="6" t="s">
        <v>51</v>
      </c>
      <c r="G917" s="11" t="s">
        <v>56</v>
      </c>
      <c r="H917" s="10" t="s">
        <v>2873</v>
      </c>
      <c r="I917" s="6" t="s">
        <v>2874</v>
      </c>
      <c r="J917" s="12">
        <v>46121.76326388889</v>
      </c>
      <c r="K917" s="6" t="e" cm="1">
        <f t="array" ref="K917">LOOKUP(2^15,SEARCH(Tabela2[Palavras-Chave],Boletim[[#This Row],[Objeto]],1),Tabela2[Palavras-Chave])</f>
        <v>#N/A</v>
      </c>
    </row>
    <row r="918" spans="1:11" ht="28.8" hidden="1" x14ac:dyDescent="0.3">
      <c r="A918" s="5">
        <v>18808181</v>
      </c>
      <c r="B918" s="6" t="s">
        <v>1064</v>
      </c>
      <c r="C918" s="6" t="s">
        <v>1065</v>
      </c>
      <c r="D918" s="8" t="s">
        <v>91</v>
      </c>
      <c r="E918" s="6" t="s">
        <v>379</v>
      </c>
      <c r="F918" s="6" t="s">
        <v>51</v>
      </c>
      <c r="G918" s="11">
        <v>46136.6875</v>
      </c>
      <c r="H918" s="10" t="s">
        <v>1066</v>
      </c>
      <c r="I918" s="6" t="s">
        <v>1067</v>
      </c>
      <c r="J918" s="12">
        <v>46121.781122685185</v>
      </c>
      <c r="K918" s="6" t="e" cm="1">
        <f t="array" ref="K918">LOOKUP(2^15,SEARCH(Tabela2[Palavras-Chave],Boletim[[#This Row],[Objeto]],1),Tabela2[Palavras-Chave])</f>
        <v>#N/A</v>
      </c>
    </row>
    <row r="919" spans="1:11" ht="86.4" hidden="1" x14ac:dyDescent="0.3">
      <c r="A919" s="5">
        <v>18811057</v>
      </c>
      <c r="B919" s="6" t="s">
        <v>222</v>
      </c>
      <c r="C919" s="6" t="s">
        <v>215</v>
      </c>
      <c r="D919" s="8" t="s">
        <v>91</v>
      </c>
      <c r="E919" s="6" t="s">
        <v>2875</v>
      </c>
      <c r="F919" s="6" t="s">
        <v>51</v>
      </c>
      <c r="G919" s="11" t="s">
        <v>56</v>
      </c>
      <c r="H919" s="10" t="s">
        <v>2876</v>
      </c>
      <c r="I919" s="6" t="s">
        <v>2877</v>
      </c>
      <c r="J919" s="12">
        <v>46121.815451388888</v>
      </c>
      <c r="K919" s="6" t="e" cm="1">
        <f t="array" ref="K919">LOOKUP(2^15,SEARCH(Tabela2[Palavras-Chave],Boletim[[#This Row],[Objeto]],1),Tabela2[Palavras-Chave])</f>
        <v>#N/A</v>
      </c>
    </row>
    <row r="920" spans="1:11" ht="86.4" hidden="1" x14ac:dyDescent="0.3">
      <c r="A920" s="5">
        <v>18804496</v>
      </c>
      <c r="B920" s="6" t="s">
        <v>347</v>
      </c>
      <c r="C920" s="6" t="s">
        <v>130</v>
      </c>
      <c r="D920" s="8" t="s">
        <v>68</v>
      </c>
      <c r="E920" s="6" t="s">
        <v>147</v>
      </c>
      <c r="F920" s="6" t="s">
        <v>51</v>
      </c>
      <c r="G920" s="11">
        <v>46126.458333333336</v>
      </c>
      <c r="H920" s="10" t="s">
        <v>348</v>
      </c>
      <c r="I920" s="6" t="s">
        <v>349</v>
      </c>
      <c r="J920" s="12">
        <v>46121.429895833331</v>
      </c>
      <c r="K920" s="6" t="e" cm="1">
        <f t="array" ref="K920">LOOKUP(2^15,SEARCH(Tabela2[Palavras-Chave],Boletim[[#This Row],[Objeto]],1),Tabela2[Palavras-Chave])</f>
        <v>#N/A</v>
      </c>
    </row>
    <row r="921" spans="1:11" ht="187.2" hidden="1" x14ac:dyDescent="0.3">
      <c r="A921" s="5">
        <v>18809482</v>
      </c>
      <c r="B921" s="6" t="s">
        <v>1068</v>
      </c>
      <c r="C921" s="6" t="s">
        <v>1069</v>
      </c>
      <c r="D921" s="8" t="s">
        <v>68</v>
      </c>
      <c r="E921" s="6" t="s">
        <v>1070</v>
      </c>
      <c r="F921" s="6" t="s">
        <v>51</v>
      </c>
      <c r="G921" s="11" t="s">
        <v>56</v>
      </c>
      <c r="H921" s="10" t="s">
        <v>1071</v>
      </c>
      <c r="I921" s="6" t="s">
        <v>1072</v>
      </c>
      <c r="J921" s="12">
        <v>46121.601817129631</v>
      </c>
      <c r="K921" s="6" t="e" cm="1">
        <f t="array" ref="K921">LOOKUP(2^15,SEARCH(Tabela2[Palavras-Chave],Boletim[[#This Row],[Objeto]],1),Tabela2[Palavras-Chave])</f>
        <v>#N/A</v>
      </c>
    </row>
    <row r="922" spans="1:11" ht="100.8" hidden="1" x14ac:dyDescent="0.3">
      <c r="A922" s="5">
        <v>18809274</v>
      </c>
      <c r="B922" s="6" t="s">
        <v>1073</v>
      </c>
      <c r="C922" s="6" t="s">
        <v>458</v>
      </c>
      <c r="D922" s="8" t="s">
        <v>68</v>
      </c>
      <c r="E922" s="6" t="s">
        <v>179</v>
      </c>
      <c r="F922" s="6" t="s">
        <v>51</v>
      </c>
      <c r="G922" s="11">
        <v>46125.5</v>
      </c>
      <c r="H922" s="10" t="s">
        <v>1074</v>
      </c>
      <c r="I922" s="6" t="s">
        <v>1075</v>
      </c>
      <c r="J922" s="12">
        <v>46121.690474537034</v>
      </c>
      <c r="K922" s="6" t="e" cm="1">
        <f t="array" ref="K922">LOOKUP(2^15,SEARCH(Tabela2[Palavras-Chave],Boletim[[#This Row],[Objeto]],1),Tabela2[Palavras-Chave])</f>
        <v>#N/A</v>
      </c>
    </row>
    <row r="923" spans="1:11" ht="100.8" hidden="1" x14ac:dyDescent="0.3">
      <c r="A923" s="5">
        <v>18809336</v>
      </c>
      <c r="B923" s="6" t="s">
        <v>1076</v>
      </c>
      <c r="C923" s="6" t="s">
        <v>130</v>
      </c>
      <c r="D923" s="8" t="s">
        <v>68</v>
      </c>
      <c r="E923" s="6" t="s">
        <v>161</v>
      </c>
      <c r="F923" s="6" t="s">
        <v>51</v>
      </c>
      <c r="G923" s="11">
        <v>46125.361111111109</v>
      </c>
      <c r="H923" s="10" t="s">
        <v>1077</v>
      </c>
      <c r="I923" s="6" t="s">
        <v>1078</v>
      </c>
      <c r="J923" s="12">
        <v>46121.718981481485</v>
      </c>
      <c r="K923" s="6" t="e" cm="1">
        <f t="array" ref="K923">LOOKUP(2^15,SEARCH(Tabela2[Palavras-Chave],Boletim[[#This Row],[Objeto]],1),Tabela2[Palavras-Chave])</f>
        <v>#N/A</v>
      </c>
    </row>
    <row r="924" spans="1:11" hidden="1" x14ac:dyDescent="0.3">
      <c r="A924" s="5">
        <v>18810119</v>
      </c>
      <c r="B924" s="6" t="s">
        <v>1079</v>
      </c>
      <c r="C924" s="6" t="s">
        <v>130</v>
      </c>
      <c r="D924" s="8" t="s">
        <v>68</v>
      </c>
      <c r="E924" s="6" t="s">
        <v>147</v>
      </c>
      <c r="F924" s="6" t="s">
        <v>51</v>
      </c>
      <c r="G924" s="11">
        <v>46125.354166666664</v>
      </c>
      <c r="H924" s="10" t="s">
        <v>1080</v>
      </c>
      <c r="I924" s="6" t="s">
        <v>1081</v>
      </c>
      <c r="J924" s="12">
        <v>46121.755497685182</v>
      </c>
      <c r="K924" s="6" t="e" cm="1">
        <f t="array" ref="K924">LOOKUP(2^15,SEARCH(Tabela2[Palavras-Chave],Boletim[[#This Row],[Objeto]],1),Tabela2[Palavras-Chave])</f>
        <v>#N/A</v>
      </c>
    </row>
    <row r="925" spans="1:11" ht="388.8" hidden="1" x14ac:dyDescent="0.3">
      <c r="A925" s="5">
        <v>18808712</v>
      </c>
      <c r="B925" s="6" t="s">
        <v>1082</v>
      </c>
      <c r="C925" s="6" t="s">
        <v>1083</v>
      </c>
      <c r="D925" s="8" t="s">
        <v>70</v>
      </c>
      <c r="E925" s="6" t="s">
        <v>191</v>
      </c>
      <c r="F925" s="6" t="s">
        <v>51</v>
      </c>
      <c r="G925" s="11" t="s">
        <v>56</v>
      </c>
      <c r="H925" s="10" t="s">
        <v>1084</v>
      </c>
      <c r="I925" s="6" t="s">
        <v>1085</v>
      </c>
      <c r="J925" s="12">
        <v>46121.557372685187</v>
      </c>
      <c r="K925" s="6" t="e" cm="1">
        <f t="array" ref="K925">LOOKUP(2^15,SEARCH(Tabela2[Palavras-Chave],Boletim[[#This Row],[Objeto]],1),Tabela2[Palavras-Chave])</f>
        <v>#N/A</v>
      </c>
    </row>
    <row r="926" spans="1:11" ht="86.4" hidden="1" x14ac:dyDescent="0.3">
      <c r="A926" s="5">
        <v>18806546</v>
      </c>
      <c r="B926" s="6" t="s">
        <v>1086</v>
      </c>
      <c r="C926" s="6" t="s">
        <v>1087</v>
      </c>
      <c r="D926" s="8" t="s">
        <v>70</v>
      </c>
      <c r="E926" s="6" t="s">
        <v>125</v>
      </c>
      <c r="F926" s="6" t="s">
        <v>51</v>
      </c>
      <c r="G926" s="11">
        <v>46125.999305555553</v>
      </c>
      <c r="H926" s="10" t="s">
        <v>1088</v>
      </c>
      <c r="I926" s="6" t="s">
        <v>1089</v>
      </c>
      <c r="J926" s="12">
        <v>46121.581250000003</v>
      </c>
      <c r="K926" s="6" t="e" cm="1">
        <f t="array" ref="K926">LOOKUP(2^15,SEARCH(Tabela2[Palavras-Chave],Boletim[[#This Row],[Objeto]],1),Tabela2[Palavras-Chave])</f>
        <v>#N/A</v>
      </c>
    </row>
    <row r="927" spans="1:11" ht="100.8" hidden="1" x14ac:dyDescent="0.3">
      <c r="A927" s="5">
        <v>18809104</v>
      </c>
      <c r="B927" s="6" t="s">
        <v>350</v>
      </c>
      <c r="C927" s="6" t="s">
        <v>69</v>
      </c>
      <c r="D927" s="8" t="s">
        <v>70</v>
      </c>
      <c r="E927" s="6" t="s">
        <v>1090</v>
      </c>
      <c r="F927" s="6" t="s">
        <v>51</v>
      </c>
      <c r="G927" s="11">
        <v>46122.597222222219</v>
      </c>
      <c r="H927" s="10" t="s">
        <v>1091</v>
      </c>
      <c r="I927" s="6" t="s">
        <v>1092</v>
      </c>
      <c r="J927" s="12">
        <v>46121.693449074075</v>
      </c>
      <c r="K927" s="6" t="e" cm="1">
        <f t="array" ref="K927">LOOKUP(2^15,SEARCH(Tabela2[Palavras-Chave],Boletim[[#This Row],[Objeto]],1),Tabela2[Palavras-Chave])</f>
        <v>#N/A</v>
      </c>
    </row>
    <row r="928" spans="1:11" ht="100.8" hidden="1" x14ac:dyDescent="0.3">
      <c r="A928" s="5">
        <v>18807536</v>
      </c>
      <c r="B928" s="6" t="s">
        <v>1093</v>
      </c>
      <c r="C928" s="6" t="s">
        <v>1094</v>
      </c>
      <c r="D928" s="8" t="s">
        <v>71</v>
      </c>
      <c r="E928" s="6" t="s">
        <v>957</v>
      </c>
      <c r="F928" s="6" t="s">
        <v>51</v>
      </c>
      <c r="G928" s="11">
        <v>46125.541666666664</v>
      </c>
      <c r="H928" s="10" t="s">
        <v>1095</v>
      </c>
      <c r="I928" s="6" t="s">
        <v>1096</v>
      </c>
      <c r="J928" s="12">
        <v>46121.509085648147</v>
      </c>
      <c r="K928" s="6" t="e" cm="1">
        <f t="array" ref="K928">LOOKUP(2^15,SEARCH(Tabela2[Palavras-Chave],Boletim[[#This Row],[Objeto]],1),Tabela2[Palavras-Chave])</f>
        <v>#N/A</v>
      </c>
    </row>
    <row r="929" spans="1:11" ht="100.8" hidden="1" x14ac:dyDescent="0.3">
      <c r="A929" s="5">
        <v>18809261</v>
      </c>
      <c r="B929" s="6" t="s">
        <v>1093</v>
      </c>
      <c r="C929" s="6" t="s">
        <v>1094</v>
      </c>
      <c r="D929" s="8" t="s">
        <v>71</v>
      </c>
      <c r="E929" s="6" t="s">
        <v>139</v>
      </c>
      <c r="F929" s="6" t="s">
        <v>51</v>
      </c>
      <c r="G929" s="11">
        <v>46126.375</v>
      </c>
      <c r="H929" s="10" t="s">
        <v>2878</v>
      </c>
      <c r="I929" s="6" t="s">
        <v>2879</v>
      </c>
      <c r="J929" s="12">
        <v>46121.5937037037</v>
      </c>
      <c r="K929" s="6" t="e" cm="1">
        <f t="array" ref="K929">LOOKUP(2^15,SEARCH(Tabela2[Palavras-Chave],Boletim[[#This Row],[Objeto]],1),Tabela2[Palavras-Chave])</f>
        <v>#N/A</v>
      </c>
    </row>
    <row r="930" spans="1:11" ht="72" hidden="1" x14ac:dyDescent="0.3">
      <c r="A930" s="5">
        <v>18772098</v>
      </c>
      <c r="B930" s="6" t="s">
        <v>74</v>
      </c>
      <c r="C930" s="6" t="s">
        <v>73</v>
      </c>
      <c r="D930" s="8" t="s">
        <v>72</v>
      </c>
      <c r="E930" s="6" t="s">
        <v>960</v>
      </c>
      <c r="F930" s="6" t="s">
        <v>51</v>
      </c>
      <c r="G930" s="11" t="s">
        <v>56</v>
      </c>
      <c r="H930" s="10" t="s">
        <v>961</v>
      </c>
      <c r="I930" s="6" t="s">
        <v>962</v>
      </c>
      <c r="J930" s="12">
        <v>46121.440347222226</v>
      </c>
      <c r="K930" s="6" t="e" cm="1">
        <f t="array" ref="K930">LOOKUP(2^15,SEARCH(Tabela2[Palavras-Chave],Boletim[[#This Row],[Objeto]],1),Tabela2[Palavras-Chave])</f>
        <v>#N/A</v>
      </c>
    </row>
    <row r="931" spans="1:11" ht="100.8" hidden="1" x14ac:dyDescent="0.3">
      <c r="A931" s="5">
        <v>18806748</v>
      </c>
      <c r="B931" s="6" t="s">
        <v>1097</v>
      </c>
      <c r="C931" s="6" t="s">
        <v>200</v>
      </c>
      <c r="D931" s="8" t="s">
        <v>72</v>
      </c>
      <c r="E931" s="6" t="s">
        <v>904</v>
      </c>
      <c r="F931" s="6" t="s">
        <v>51</v>
      </c>
      <c r="G931" s="11">
        <v>46125.333333333336</v>
      </c>
      <c r="H931" s="10" t="s">
        <v>1098</v>
      </c>
      <c r="I931" s="6" t="s">
        <v>1099</v>
      </c>
      <c r="J931" s="12">
        <v>46121.575798611113</v>
      </c>
      <c r="K931" s="6" t="e" cm="1">
        <f t="array" ref="K931">LOOKUP(2^15,SEARCH(Tabela2[Palavras-Chave],Boletim[[#This Row],[Objeto]],1),Tabela2[Palavras-Chave])</f>
        <v>#N/A</v>
      </c>
    </row>
    <row r="932" spans="1:11" ht="216" hidden="1" x14ac:dyDescent="0.3">
      <c r="A932" s="5">
        <v>18809682</v>
      </c>
      <c r="B932" s="6" t="s">
        <v>1100</v>
      </c>
      <c r="C932" s="6" t="s">
        <v>1101</v>
      </c>
      <c r="D932" s="8" t="s">
        <v>72</v>
      </c>
      <c r="E932" s="6" t="s">
        <v>1102</v>
      </c>
      <c r="F932" s="6" t="s">
        <v>51</v>
      </c>
      <c r="G932" s="11" t="s">
        <v>56</v>
      </c>
      <c r="H932" s="10" t="s">
        <v>1103</v>
      </c>
      <c r="I932" s="6" t="s">
        <v>1104</v>
      </c>
      <c r="J932" s="12">
        <v>46121.618136574078</v>
      </c>
      <c r="K932" s="6" t="e" cm="1">
        <f t="array" ref="K932">LOOKUP(2^15,SEARCH(Tabela2[Palavras-Chave],Boletim[[#This Row],[Objeto]],1),Tabela2[Palavras-Chave])</f>
        <v>#N/A</v>
      </c>
    </row>
    <row r="933" spans="1:11" ht="86.4" hidden="1" x14ac:dyDescent="0.3">
      <c r="A933" s="5">
        <v>18808067</v>
      </c>
      <c r="B933" s="6" t="s">
        <v>2880</v>
      </c>
      <c r="C933" s="6" t="s">
        <v>73</v>
      </c>
      <c r="D933" s="8" t="s">
        <v>72</v>
      </c>
      <c r="E933" s="6" t="s">
        <v>2881</v>
      </c>
      <c r="F933" s="6" t="s">
        <v>51</v>
      </c>
      <c r="G933" s="11" t="s">
        <v>56</v>
      </c>
      <c r="H933" s="10" t="s">
        <v>2882</v>
      </c>
      <c r="I933" s="6" t="s">
        <v>2883</v>
      </c>
      <c r="J933" s="12">
        <v>46121.690196759257</v>
      </c>
      <c r="K933" s="6" t="e" cm="1">
        <f t="array" ref="K933">LOOKUP(2^15,SEARCH(Tabela2[Palavras-Chave],Boletim[[#This Row],[Objeto]],1),Tabela2[Palavras-Chave])</f>
        <v>#N/A</v>
      </c>
    </row>
    <row r="934" spans="1:11" ht="115.2" hidden="1" x14ac:dyDescent="0.3">
      <c r="A934" s="5">
        <v>18806780</v>
      </c>
      <c r="B934" s="6" t="s">
        <v>1097</v>
      </c>
      <c r="C934" s="6" t="s">
        <v>200</v>
      </c>
      <c r="D934" s="8" t="s">
        <v>72</v>
      </c>
      <c r="E934" s="6" t="s">
        <v>329</v>
      </c>
      <c r="F934" s="6" t="s">
        <v>51</v>
      </c>
      <c r="G934" s="11">
        <v>46125.333333333336</v>
      </c>
      <c r="H934" s="10" t="s">
        <v>1105</v>
      </c>
      <c r="I934" s="6" t="s">
        <v>1106</v>
      </c>
      <c r="J934" s="12">
        <v>46121.775879629633</v>
      </c>
      <c r="K934" s="6" t="e" cm="1">
        <f t="array" ref="K934">LOOKUP(2^15,SEARCH(Tabela2[Palavras-Chave],Boletim[[#This Row],[Objeto]],1),Tabela2[Palavras-Chave])</f>
        <v>#N/A</v>
      </c>
    </row>
    <row r="935" spans="1:11" ht="115.2" hidden="1" x14ac:dyDescent="0.3">
      <c r="A935" s="5">
        <v>18806085</v>
      </c>
      <c r="B935" s="6" t="s">
        <v>605</v>
      </c>
      <c r="C935" s="6" t="s">
        <v>606</v>
      </c>
      <c r="D935" s="8" t="s">
        <v>72</v>
      </c>
      <c r="E935" s="6" t="s">
        <v>105</v>
      </c>
      <c r="F935" s="6" t="s">
        <v>51</v>
      </c>
      <c r="G935" s="11">
        <v>46125.333333333336</v>
      </c>
      <c r="H935" s="10" t="s">
        <v>1107</v>
      </c>
      <c r="I935" s="6" t="s">
        <v>1108</v>
      </c>
      <c r="J935" s="12">
        <v>46121.821111111109</v>
      </c>
      <c r="K935" s="6" t="e" cm="1">
        <f t="array" ref="K935">LOOKUP(2^15,SEARCH(Tabela2[Palavras-Chave],Boletim[[#This Row],[Objeto]],1),Tabela2[Palavras-Chave])</f>
        <v>#N/A</v>
      </c>
    </row>
    <row r="936" spans="1:11" ht="316.8" hidden="1" x14ac:dyDescent="0.3">
      <c r="A936" s="5">
        <v>18621908</v>
      </c>
      <c r="B936" s="6" t="s">
        <v>2884</v>
      </c>
      <c r="C936" s="6" t="s">
        <v>477</v>
      </c>
      <c r="D936" s="8" t="s">
        <v>72</v>
      </c>
      <c r="E936" s="6" t="s">
        <v>118</v>
      </c>
      <c r="F936" s="6" t="s">
        <v>51</v>
      </c>
      <c r="G936" s="11" t="s">
        <v>56</v>
      </c>
      <c r="H936" s="10" t="s">
        <v>2885</v>
      </c>
      <c r="I936" s="6" t="s">
        <v>2886</v>
      </c>
      <c r="J936" s="12">
        <v>46121.838009259256</v>
      </c>
      <c r="K936" s="6" t="e" cm="1">
        <f t="array" ref="K936">LOOKUP(2^15,SEARCH(Tabela2[Palavras-Chave],Boletim[[#This Row],[Objeto]],1),Tabela2[Palavras-Chave])</f>
        <v>#N/A</v>
      </c>
    </row>
    <row r="937" spans="1:11" ht="72" x14ac:dyDescent="0.3">
      <c r="A937" s="5">
        <v>18809979</v>
      </c>
      <c r="B937" s="6" t="s">
        <v>2880</v>
      </c>
      <c r="C937" s="6" t="s">
        <v>73</v>
      </c>
      <c r="D937" s="8" t="s">
        <v>72</v>
      </c>
      <c r="E937" s="6" t="s">
        <v>2887</v>
      </c>
      <c r="F937" s="6" t="s">
        <v>51</v>
      </c>
      <c r="G937" s="11" t="s">
        <v>56</v>
      </c>
      <c r="H937" s="10" t="s">
        <v>2888</v>
      </c>
      <c r="I937" s="6" t="s">
        <v>2889</v>
      </c>
      <c r="J937" s="12">
        <v>46121.84002314815</v>
      </c>
      <c r="K937" s="6" t="str" cm="1">
        <f t="array" ref="K937">LOOKUP(2^15,SEARCH(Tabela2[Palavras-Chave],Boletim[[#This Row],[Objeto]],1),Tabela2[Palavras-Chave])</f>
        <v>INOX</v>
      </c>
    </row>
    <row r="938" spans="1:11" ht="43.2" hidden="1" x14ac:dyDescent="0.3">
      <c r="A938" s="5">
        <v>18746604</v>
      </c>
      <c r="B938" s="6" t="s">
        <v>74</v>
      </c>
      <c r="C938" s="6" t="s">
        <v>75</v>
      </c>
      <c r="D938" s="8" t="s">
        <v>76</v>
      </c>
      <c r="E938" s="6" t="s">
        <v>1109</v>
      </c>
      <c r="F938" s="6" t="s">
        <v>51</v>
      </c>
      <c r="G938" s="11" t="s">
        <v>56</v>
      </c>
      <c r="H938" s="10" t="s">
        <v>1110</v>
      </c>
      <c r="I938" s="6" t="s">
        <v>1111</v>
      </c>
      <c r="J938" s="12">
        <v>46121.436145833337</v>
      </c>
      <c r="K938" s="6" t="e" cm="1">
        <f t="array" ref="K938">LOOKUP(2^15,SEARCH(Tabela2[Palavras-Chave],Boletim[[#This Row],[Objeto]],1),Tabela2[Palavras-Chave])</f>
        <v>#N/A</v>
      </c>
    </row>
    <row r="939" spans="1:11" ht="43.2" hidden="1" x14ac:dyDescent="0.3">
      <c r="A939" s="5">
        <v>18726123</v>
      </c>
      <c r="B939" s="6" t="s">
        <v>74</v>
      </c>
      <c r="C939" s="6" t="s">
        <v>75</v>
      </c>
      <c r="D939" s="8" t="s">
        <v>76</v>
      </c>
      <c r="E939" s="6" t="s">
        <v>1112</v>
      </c>
      <c r="F939" s="6" t="s">
        <v>51</v>
      </c>
      <c r="G939" s="11" t="s">
        <v>56</v>
      </c>
      <c r="H939" s="10" t="s">
        <v>1113</v>
      </c>
      <c r="I939" s="6" t="s">
        <v>1114</v>
      </c>
      <c r="J939" s="12">
        <v>46121.437569444446</v>
      </c>
      <c r="K939" s="6" t="e" cm="1">
        <f t="array" ref="K939">LOOKUP(2^15,SEARCH(Tabela2[Palavras-Chave],Boletim[[#This Row],[Objeto]],1),Tabela2[Palavras-Chave])</f>
        <v>#N/A</v>
      </c>
    </row>
    <row r="940" spans="1:11" ht="100.8" hidden="1" x14ac:dyDescent="0.3">
      <c r="A940" s="5">
        <v>18806660</v>
      </c>
      <c r="B940" s="6" t="s">
        <v>1115</v>
      </c>
      <c r="C940" s="6" t="s">
        <v>190</v>
      </c>
      <c r="D940" s="8" t="s">
        <v>76</v>
      </c>
      <c r="E940" s="6" t="s">
        <v>1116</v>
      </c>
      <c r="F940" s="6" t="s">
        <v>51</v>
      </c>
      <c r="G940" s="11">
        <v>46126.333333333336</v>
      </c>
      <c r="H940" s="10" t="s">
        <v>1117</v>
      </c>
      <c r="I940" s="6" t="s">
        <v>1118</v>
      </c>
      <c r="J940" s="12">
        <v>46121.435740740744</v>
      </c>
      <c r="K940" s="6" t="e" cm="1">
        <f t="array" ref="K940">LOOKUP(2^15,SEARCH(Tabela2[Palavras-Chave],Boletim[[#This Row],[Objeto]],1),Tabela2[Palavras-Chave])</f>
        <v>#N/A</v>
      </c>
    </row>
    <row r="941" spans="1:11" ht="100.8" hidden="1" x14ac:dyDescent="0.3">
      <c r="A941" s="5">
        <v>18806662</v>
      </c>
      <c r="B941" s="6" t="s">
        <v>2582</v>
      </c>
      <c r="C941" s="6" t="s">
        <v>75</v>
      </c>
      <c r="D941" s="8" t="s">
        <v>76</v>
      </c>
      <c r="E941" s="6" t="s">
        <v>335</v>
      </c>
      <c r="F941" s="6" t="s">
        <v>51</v>
      </c>
      <c r="G941" s="11">
        <v>46126.333333333336</v>
      </c>
      <c r="H941" s="10" t="s">
        <v>2890</v>
      </c>
      <c r="I941" s="6" t="s">
        <v>2891</v>
      </c>
      <c r="J941" s="12">
        <v>46121.435914351852</v>
      </c>
      <c r="K941" s="6" t="e" cm="1">
        <f t="array" ref="K941">LOOKUP(2^15,SEARCH(Tabela2[Palavras-Chave],Boletim[[#This Row],[Objeto]],1),Tabela2[Palavras-Chave])</f>
        <v>#N/A</v>
      </c>
    </row>
    <row r="942" spans="1:11" ht="72" hidden="1" x14ac:dyDescent="0.3">
      <c r="A942" s="5">
        <v>18551795</v>
      </c>
      <c r="B942" s="6" t="s">
        <v>176</v>
      </c>
      <c r="C942" s="6" t="s">
        <v>75</v>
      </c>
      <c r="D942" s="8" t="s">
        <v>76</v>
      </c>
      <c r="E942" s="6" t="s">
        <v>2892</v>
      </c>
      <c r="F942" s="6" t="s">
        <v>51</v>
      </c>
      <c r="G942" s="11" t="s">
        <v>56</v>
      </c>
      <c r="H942" s="10" t="s">
        <v>2893</v>
      </c>
      <c r="I942" s="6" t="s">
        <v>2894</v>
      </c>
      <c r="J942" s="12">
        <v>46121.436840277776</v>
      </c>
      <c r="K942" s="6" t="e" cm="1">
        <f t="array" ref="K942">LOOKUP(2^15,SEARCH(Tabela2[Palavras-Chave],Boletim[[#This Row],[Objeto]],1),Tabela2[Palavras-Chave])</f>
        <v>#N/A</v>
      </c>
    </row>
    <row r="943" spans="1:11" ht="72" x14ac:dyDescent="0.3">
      <c r="A943" s="5">
        <v>18730553</v>
      </c>
      <c r="B943" s="6" t="s">
        <v>74</v>
      </c>
      <c r="C943" s="6" t="s">
        <v>75</v>
      </c>
      <c r="D943" s="8" t="s">
        <v>76</v>
      </c>
      <c r="E943" s="6" t="s">
        <v>1119</v>
      </c>
      <c r="F943" s="6" t="s">
        <v>51</v>
      </c>
      <c r="G943" s="11" t="s">
        <v>56</v>
      </c>
      <c r="H943" s="10" t="s">
        <v>1120</v>
      </c>
      <c r="I943" s="6" t="s">
        <v>1121</v>
      </c>
      <c r="J943" s="12">
        <v>46121.438240740739</v>
      </c>
      <c r="K943" s="6" t="str" cm="1">
        <f t="array" ref="K943">LOOKUP(2^15,SEARCH(Tabela2[Palavras-Chave],Boletim[[#This Row],[Objeto]],1),Tabela2[Palavras-Chave])</f>
        <v>TANQUE</v>
      </c>
    </row>
    <row r="944" spans="1:11" ht="72" hidden="1" x14ac:dyDescent="0.3">
      <c r="A944" s="5">
        <v>18755506</v>
      </c>
      <c r="B944" s="6" t="s">
        <v>74</v>
      </c>
      <c r="C944" s="6" t="s">
        <v>75</v>
      </c>
      <c r="D944" s="8" t="s">
        <v>76</v>
      </c>
      <c r="E944" s="6" t="s">
        <v>1122</v>
      </c>
      <c r="F944" s="6" t="s">
        <v>51</v>
      </c>
      <c r="G944" s="11" t="s">
        <v>56</v>
      </c>
      <c r="H944" s="10" t="s">
        <v>1123</v>
      </c>
      <c r="I944" s="6" t="s">
        <v>1124</v>
      </c>
      <c r="J944" s="12">
        <v>46121.437638888892</v>
      </c>
      <c r="K944" s="6" t="e" cm="1">
        <f t="array" ref="K944">LOOKUP(2^15,SEARCH(Tabela2[Palavras-Chave],Boletim[[#This Row],[Objeto]],1),Tabela2[Palavras-Chave])</f>
        <v>#N/A</v>
      </c>
    </row>
    <row r="945" spans="1:11" ht="72" hidden="1" x14ac:dyDescent="0.3">
      <c r="A945" s="5">
        <v>18769996</v>
      </c>
      <c r="B945" s="6" t="s">
        <v>74</v>
      </c>
      <c r="C945" s="6" t="s">
        <v>75</v>
      </c>
      <c r="D945" s="8" t="s">
        <v>76</v>
      </c>
      <c r="E945" s="6" t="s">
        <v>734</v>
      </c>
      <c r="F945" s="6" t="s">
        <v>51</v>
      </c>
      <c r="G945" s="11" t="s">
        <v>56</v>
      </c>
      <c r="H945" s="10" t="s">
        <v>735</v>
      </c>
      <c r="I945" s="6" t="s">
        <v>736</v>
      </c>
      <c r="J945" s="12">
        <v>46121.437743055554</v>
      </c>
      <c r="K945" s="6" t="e" cm="1">
        <f t="array" ref="K945">LOOKUP(2^15,SEARCH(Tabela2[Palavras-Chave],Boletim[[#This Row],[Objeto]],1),Tabela2[Palavras-Chave])</f>
        <v>#N/A</v>
      </c>
    </row>
    <row r="946" spans="1:11" ht="72" hidden="1" x14ac:dyDescent="0.3">
      <c r="A946" s="5">
        <v>18772095</v>
      </c>
      <c r="B946" s="6" t="s">
        <v>74</v>
      </c>
      <c r="C946" s="6" t="s">
        <v>75</v>
      </c>
      <c r="D946" s="8" t="s">
        <v>76</v>
      </c>
      <c r="E946" s="6" t="s">
        <v>960</v>
      </c>
      <c r="F946" s="6" t="s">
        <v>51</v>
      </c>
      <c r="G946" s="11" t="s">
        <v>56</v>
      </c>
      <c r="H946" s="10" t="s">
        <v>961</v>
      </c>
      <c r="I946" s="6" t="s">
        <v>962</v>
      </c>
      <c r="J946" s="12">
        <v>46121.438217592593</v>
      </c>
      <c r="K946" s="6" t="e" cm="1">
        <f t="array" ref="K946">LOOKUP(2^15,SEARCH(Tabela2[Palavras-Chave],Boletim[[#This Row],[Objeto]],1),Tabela2[Palavras-Chave])</f>
        <v>#N/A</v>
      </c>
    </row>
    <row r="947" spans="1:11" ht="72" hidden="1" x14ac:dyDescent="0.3">
      <c r="A947" s="5">
        <v>18775137</v>
      </c>
      <c r="B947" s="6" t="s">
        <v>74</v>
      </c>
      <c r="C947" s="6" t="s">
        <v>75</v>
      </c>
      <c r="D947" s="8" t="s">
        <v>76</v>
      </c>
      <c r="E947" s="6" t="s">
        <v>1125</v>
      </c>
      <c r="F947" s="6" t="s">
        <v>51</v>
      </c>
      <c r="G947" s="11" t="s">
        <v>56</v>
      </c>
      <c r="H947" s="10" t="s">
        <v>1126</v>
      </c>
      <c r="I947" s="6" t="s">
        <v>1127</v>
      </c>
      <c r="J947" s="12">
        <v>46121.43822916667</v>
      </c>
      <c r="K947" s="6" t="e" cm="1">
        <f t="array" ref="K947">LOOKUP(2^15,SEARCH(Tabela2[Palavras-Chave],Boletim[[#This Row],[Objeto]],1),Tabela2[Palavras-Chave])</f>
        <v>#N/A</v>
      </c>
    </row>
    <row r="948" spans="1:11" ht="43.2" hidden="1" x14ac:dyDescent="0.3">
      <c r="A948" s="5">
        <v>18780366</v>
      </c>
      <c r="B948" s="6" t="s">
        <v>74</v>
      </c>
      <c r="C948" s="6" t="s">
        <v>75</v>
      </c>
      <c r="D948" s="8" t="s">
        <v>76</v>
      </c>
      <c r="E948" s="6" t="s">
        <v>1128</v>
      </c>
      <c r="F948" s="6" t="s">
        <v>51</v>
      </c>
      <c r="G948" s="11" t="s">
        <v>56</v>
      </c>
      <c r="H948" s="10" t="s">
        <v>1129</v>
      </c>
      <c r="I948" s="6" t="s">
        <v>1114</v>
      </c>
      <c r="J948" s="12">
        <v>46121.441006944442</v>
      </c>
      <c r="K948" s="6" t="e" cm="1">
        <f t="array" ref="K948">LOOKUP(2^15,SEARCH(Tabela2[Palavras-Chave],Boletim[[#This Row],[Objeto]],1),Tabela2[Palavras-Chave])</f>
        <v>#N/A</v>
      </c>
    </row>
    <row r="949" spans="1:11" ht="72" hidden="1" x14ac:dyDescent="0.3">
      <c r="A949" s="5">
        <v>18780361</v>
      </c>
      <c r="B949" s="6" t="s">
        <v>74</v>
      </c>
      <c r="C949" s="6" t="s">
        <v>75</v>
      </c>
      <c r="D949" s="8" t="s">
        <v>76</v>
      </c>
      <c r="E949" s="6" t="s">
        <v>1130</v>
      </c>
      <c r="F949" s="6" t="s">
        <v>51</v>
      </c>
      <c r="G949" s="11" t="s">
        <v>56</v>
      </c>
      <c r="H949" s="10" t="s">
        <v>1131</v>
      </c>
      <c r="I949" s="6" t="s">
        <v>1132</v>
      </c>
      <c r="J949" s="12">
        <v>46121.438935185186</v>
      </c>
      <c r="K949" s="6" t="e" cm="1">
        <f t="array" ref="K949">LOOKUP(2^15,SEARCH(Tabela2[Palavras-Chave],Boletim[[#This Row],[Objeto]],1),Tabela2[Palavras-Chave])</f>
        <v>#N/A</v>
      </c>
    </row>
    <row r="950" spans="1:11" ht="43.2" hidden="1" x14ac:dyDescent="0.3">
      <c r="A950" s="5">
        <v>18784599</v>
      </c>
      <c r="B950" s="6" t="s">
        <v>74</v>
      </c>
      <c r="C950" s="6" t="s">
        <v>75</v>
      </c>
      <c r="D950" s="8" t="s">
        <v>76</v>
      </c>
      <c r="E950" s="6" t="s">
        <v>1133</v>
      </c>
      <c r="F950" s="6" t="s">
        <v>51</v>
      </c>
      <c r="G950" s="11" t="s">
        <v>56</v>
      </c>
      <c r="H950" s="10" t="s">
        <v>1134</v>
      </c>
      <c r="I950" s="6" t="s">
        <v>1135</v>
      </c>
      <c r="J950" s="12">
        <v>46121.438923611109</v>
      </c>
      <c r="K950" s="6" t="e" cm="1">
        <f t="array" ref="K950">LOOKUP(2^15,SEARCH(Tabela2[Palavras-Chave],Boletim[[#This Row],[Objeto]],1),Tabela2[Palavras-Chave])</f>
        <v>#N/A</v>
      </c>
    </row>
    <row r="951" spans="1:11" ht="72" hidden="1" x14ac:dyDescent="0.3">
      <c r="A951" s="5">
        <v>18751072</v>
      </c>
      <c r="B951" s="6" t="s">
        <v>74</v>
      </c>
      <c r="C951" s="6" t="s">
        <v>75</v>
      </c>
      <c r="D951" s="8" t="s">
        <v>76</v>
      </c>
      <c r="E951" s="6" t="s">
        <v>963</v>
      </c>
      <c r="F951" s="6" t="s">
        <v>51</v>
      </c>
      <c r="G951" s="11" t="s">
        <v>56</v>
      </c>
      <c r="H951" s="10" t="s">
        <v>964</v>
      </c>
      <c r="I951" s="6" t="s">
        <v>965</v>
      </c>
      <c r="J951" s="12">
        <v>46121.441018518519</v>
      </c>
      <c r="K951" s="6" t="e" cm="1">
        <f t="array" ref="K951">LOOKUP(2^15,SEARCH(Tabela2[Palavras-Chave],Boletim[[#This Row],[Objeto]],1),Tabela2[Palavras-Chave])</f>
        <v>#N/A</v>
      </c>
    </row>
    <row r="952" spans="1:11" ht="72" hidden="1" x14ac:dyDescent="0.3">
      <c r="A952" s="5">
        <v>18760222</v>
      </c>
      <c r="B952" s="6" t="s">
        <v>74</v>
      </c>
      <c r="C952" s="6" t="s">
        <v>75</v>
      </c>
      <c r="D952" s="8" t="s">
        <v>76</v>
      </c>
      <c r="E952" s="6" t="s">
        <v>1136</v>
      </c>
      <c r="F952" s="6" t="s">
        <v>51</v>
      </c>
      <c r="G952" s="11" t="s">
        <v>56</v>
      </c>
      <c r="H952" s="10" t="s">
        <v>1137</v>
      </c>
      <c r="I952" s="6" t="s">
        <v>1138</v>
      </c>
      <c r="J952" s="12">
        <v>46121.441030092596</v>
      </c>
      <c r="K952" s="6" t="e" cm="1">
        <f t="array" ref="K952">LOOKUP(2^15,SEARCH(Tabela2[Palavras-Chave],Boletim[[#This Row],[Objeto]],1),Tabela2[Palavras-Chave])</f>
        <v>#N/A</v>
      </c>
    </row>
    <row r="953" spans="1:11" ht="72" hidden="1" x14ac:dyDescent="0.3">
      <c r="A953" s="5">
        <v>18770042</v>
      </c>
      <c r="B953" s="6" t="s">
        <v>74</v>
      </c>
      <c r="C953" s="6" t="s">
        <v>75</v>
      </c>
      <c r="D953" s="8" t="s">
        <v>76</v>
      </c>
      <c r="E953" s="6" t="s">
        <v>737</v>
      </c>
      <c r="F953" s="6" t="s">
        <v>51</v>
      </c>
      <c r="G953" s="11" t="s">
        <v>56</v>
      </c>
      <c r="H953" s="10" t="s">
        <v>738</v>
      </c>
      <c r="I953" s="6" t="s">
        <v>739</v>
      </c>
      <c r="J953" s="12">
        <v>46121.441006944442</v>
      </c>
      <c r="K953" s="6" t="e" cm="1">
        <f t="array" ref="K953">LOOKUP(2^15,SEARCH(Tabela2[Palavras-Chave],Boletim[[#This Row],[Objeto]],1),Tabela2[Palavras-Chave])</f>
        <v>#N/A</v>
      </c>
    </row>
    <row r="954" spans="1:11" ht="100.8" hidden="1" x14ac:dyDescent="0.3">
      <c r="A954" s="5">
        <v>18806627</v>
      </c>
      <c r="B954" s="6" t="s">
        <v>1115</v>
      </c>
      <c r="C954" s="6" t="s">
        <v>190</v>
      </c>
      <c r="D954" s="8" t="s">
        <v>76</v>
      </c>
      <c r="E954" s="6" t="s">
        <v>1139</v>
      </c>
      <c r="F954" s="6" t="s">
        <v>51</v>
      </c>
      <c r="G954" s="11">
        <v>46125.333333333336</v>
      </c>
      <c r="H954" s="10" t="s">
        <v>1140</v>
      </c>
      <c r="I954" s="6" t="s">
        <v>1141</v>
      </c>
      <c r="J954" s="12">
        <v>46121.452627314815</v>
      </c>
      <c r="K954" s="6" t="e" cm="1">
        <f t="array" ref="K954">LOOKUP(2^15,SEARCH(Tabela2[Palavras-Chave],Boletim[[#This Row],[Objeto]],1),Tabela2[Palavras-Chave])</f>
        <v>#N/A</v>
      </c>
    </row>
    <row r="955" spans="1:11" ht="57.6" hidden="1" x14ac:dyDescent="0.3">
      <c r="A955" s="5">
        <v>18807242</v>
      </c>
      <c r="B955" s="6" t="s">
        <v>234</v>
      </c>
      <c r="C955" s="6" t="s">
        <v>75</v>
      </c>
      <c r="D955" s="8" t="s">
        <v>76</v>
      </c>
      <c r="E955" s="6" t="s">
        <v>55</v>
      </c>
      <c r="F955" s="6" t="s">
        <v>51</v>
      </c>
      <c r="G955" s="11" t="s">
        <v>56</v>
      </c>
      <c r="H955" s="10" t="s">
        <v>1142</v>
      </c>
      <c r="I955" s="6" t="s">
        <v>1143</v>
      </c>
      <c r="J955" s="12">
        <v>46121.475046296298</v>
      </c>
      <c r="K955" s="6" t="e" cm="1">
        <f t="array" ref="K955">LOOKUP(2^15,SEARCH(Tabela2[Palavras-Chave],Boletim[[#This Row],[Objeto]],1),Tabela2[Palavras-Chave])</f>
        <v>#N/A</v>
      </c>
    </row>
    <row r="956" spans="1:11" ht="28.8" hidden="1" x14ac:dyDescent="0.3">
      <c r="A956" s="5">
        <v>18537155</v>
      </c>
      <c r="B956" s="6" t="s">
        <v>1144</v>
      </c>
      <c r="C956" s="6" t="s">
        <v>75</v>
      </c>
      <c r="D956" s="8" t="s">
        <v>76</v>
      </c>
      <c r="E956" s="6" t="s">
        <v>119</v>
      </c>
      <c r="F956" s="6" t="s">
        <v>51</v>
      </c>
      <c r="G956" s="11">
        <v>46125.375</v>
      </c>
      <c r="H956" s="10" t="s">
        <v>1145</v>
      </c>
      <c r="I956" s="6" t="s">
        <v>1146</v>
      </c>
      <c r="J956" s="12">
        <v>46121.497546296298</v>
      </c>
      <c r="K956" s="6" t="e" cm="1">
        <f t="array" ref="K956">LOOKUP(2^15,SEARCH(Tabela2[Palavras-Chave],Boletim[[#This Row],[Objeto]],1),Tabela2[Palavras-Chave])</f>
        <v>#N/A</v>
      </c>
    </row>
    <row r="957" spans="1:11" ht="28.8" hidden="1" x14ac:dyDescent="0.3">
      <c r="A957" s="5">
        <v>18803657</v>
      </c>
      <c r="B957" s="6" t="s">
        <v>359</v>
      </c>
      <c r="C957" s="6" t="s">
        <v>75</v>
      </c>
      <c r="D957" s="8" t="s">
        <v>76</v>
      </c>
      <c r="E957" s="6" t="s">
        <v>110</v>
      </c>
      <c r="F957" s="6" t="s">
        <v>51</v>
      </c>
      <c r="G957" s="11">
        <v>46125.375</v>
      </c>
      <c r="H957" s="10" t="s">
        <v>1147</v>
      </c>
      <c r="I957" s="6" t="s">
        <v>1148</v>
      </c>
      <c r="J957" s="12">
        <v>46121.498738425929</v>
      </c>
      <c r="K957" s="6" t="e" cm="1">
        <f t="array" ref="K957">LOOKUP(2^15,SEARCH(Tabela2[Palavras-Chave],Boletim[[#This Row],[Objeto]],1),Tabela2[Palavras-Chave])</f>
        <v>#N/A</v>
      </c>
    </row>
    <row r="958" spans="1:11" ht="28.8" hidden="1" x14ac:dyDescent="0.3">
      <c r="A958" s="5">
        <v>18786761</v>
      </c>
      <c r="B958" s="6" t="s">
        <v>2895</v>
      </c>
      <c r="C958" s="6" t="s">
        <v>75</v>
      </c>
      <c r="D958" s="8" t="s">
        <v>76</v>
      </c>
      <c r="E958" s="6" t="s">
        <v>2896</v>
      </c>
      <c r="F958" s="6" t="s">
        <v>51</v>
      </c>
      <c r="G958" s="11" t="s">
        <v>56</v>
      </c>
      <c r="H958" s="10" t="s">
        <v>2897</v>
      </c>
      <c r="I958" s="6" t="s">
        <v>138</v>
      </c>
      <c r="J958" s="12">
        <v>46121.516388888886</v>
      </c>
      <c r="K958" s="6" t="e" cm="1">
        <f t="array" ref="K958">LOOKUP(2^15,SEARCH(Tabela2[Palavras-Chave],Boletim[[#This Row],[Objeto]],1),Tabela2[Palavras-Chave])</f>
        <v>#N/A</v>
      </c>
    </row>
    <row r="959" spans="1:11" ht="57.6" hidden="1" x14ac:dyDescent="0.3">
      <c r="A959" s="5">
        <v>18807247</v>
      </c>
      <c r="B959" s="6" t="s">
        <v>1149</v>
      </c>
      <c r="C959" s="6" t="s">
        <v>312</v>
      </c>
      <c r="D959" s="8" t="s">
        <v>76</v>
      </c>
      <c r="E959" s="6" t="s">
        <v>1150</v>
      </c>
      <c r="F959" s="6" t="s">
        <v>51</v>
      </c>
      <c r="G959" s="11" t="s">
        <v>56</v>
      </c>
      <c r="H959" s="10" t="s">
        <v>1151</v>
      </c>
      <c r="I959" s="6" t="s">
        <v>1152</v>
      </c>
      <c r="J959" s="12">
        <v>46121.536145833335</v>
      </c>
      <c r="K959" s="6" t="e" cm="1">
        <f t="array" ref="K959">LOOKUP(2^15,SEARCH(Tabela2[Palavras-Chave],Boletim[[#This Row],[Objeto]],1),Tabela2[Palavras-Chave])</f>
        <v>#N/A</v>
      </c>
    </row>
    <row r="960" spans="1:11" ht="100.8" hidden="1" x14ac:dyDescent="0.3">
      <c r="A960" s="5">
        <v>18806827</v>
      </c>
      <c r="B960" s="6" t="s">
        <v>2898</v>
      </c>
      <c r="C960" s="6" t="s">
        <v>75</v>
      </c>
      <c r="D960" s="8" t="s">
        <v>76</v>
      </c>
      <c r="E960" s="6" t="s">
        <v>2899</v>
      </c>
      <c r="F960" s="6" t="s">
        <v>51</v>
      </c>
      <c r="G960" s="11">
        <v>46126.333333333336</v>
      </c>
      <c r="H960" s="10" t="s">
        <v>2900</v>
      </c>
      <c r="I960" s="6" t="s">
        <v>2901</v>
      </c>
      <c r="J960" s="12">
        <v>46121.555358796293</v>
      </c>
      <c r="K960" s="6" t="e" cm="1">
        <f t="array" ref="K960">LOOKUP(2^15,SEARCH(Tabela2[Palavras-Chave],Boletim[[#This Row],[Objeto]],1),Tabela2[Palavras-Chave])</f>
        <v>#N/A</v>
      </c>
    </row>
    <row r="961" spans="1:11" ht="100.8" hidden="1" x14ac:dyDescent="0.3">
      <c r="A961" s="5">
        <v>18539292</v>
      </c>
      <c r="B961" s="6" t="s">
        <v>1153</v>
      </c>
      <c r="C961" s="6" t="s">
        <v>75</v>
      </c>
      <c r="D961" s="8" t="s">
        <v>76</v>
      </c>
      <c r="E961" s="6" t="s">
        <v>119</v>
      </c>
      <c r="F961" s="6" t="s">
        <v>51</v>
      </c>
      <c r="G961" s="11">
        <v>46125.374305555553</v>
      </c>
      <c r="H961" s="10" t="s">
        <v>1154</v>
      </c>
      <c r="I961" s="6" t="s">
        <v>1155</v>
      </c>
      <c r="J961" s="12">
        <v>46121.602268518516</v>
      </c>
      <c r="K961" s="6" t="e" cm="1">
        <f t="array" ref="K961">LOOKUP(2^15,SEARCH(Tabela2[Palavras-Chave],Boletim[[#This Row],[Objeto]],1),Tabela2[Palavras-Chave])</f>
        <v>#N/A</v>
      </c>
    </row>
    <row r="962" spans="1:11" ht="43.2" hidden="1" x14ac:dyDescent="0.3">
      <c r="A962" s="5">
        <v>18774692</v>
      </c>
      <c r="B962" s="6" t="s">
        <v>1156</v>
      </c>
      <c r="C962" s="6" t="s">
        <v>75</v>
      </c>
      <c r="D962" s="8" t="s">
        <v>76</v>
      </c>
      <c r="E962" s="6" t="s">
        <v>55</v>
      </c>
      <c r="F962" s="6" t="s">
        <v>51</v>
      </c>
      <c r="G962" s="11" t="s">
        <v>56</v>
      </c>
      <c r="H962" s="10" t="s">
        <v>1157</v>
      </c>
      <c r="I962" s="6" t="s">
        <v>138</v>
      </c>
      <c r="J962" s="12">
        <v>46121.604895833334</v>
      </c>
      <c r="K962" s="6" t="e" cm="1">
        <f t="array" ref="K962">LOOKUP(2^15,SEARCH(Tabela2[Palavras-Chave],Boletim[[#This Row],[Objeto]],1),Tabela2[Palavras-Chave])</f>
        <v>#N/A</v>
      </c>
    </row>
    <row r="963" spans="1:11" ht="100.8" hidden="1" x14ac:dyDescent="0.3">
      <c r="A963" s="5">
        <v>18806786</v>
      </c>
      <c r="B963" s="6" t="s">
        <v>1158</v>
      </c>
      <c r="C963" s="6" t="s">
        <v>75</v>
      </c>
      <c r="D963" s="8" t="s">
        <v>76</v>
      </c>
      <c r="E963" s="6" t="s">
        <v>1159</v>
      </c>
      <c r="F963" s="6" t="s">
        <v>51</v>
      </c>
      <c r="G963" s="11">
        <v>46125.333333333336</v>
      </c>
      <c r="H963" s="10" t="s">
        <v>1160</v>
      </c>
      <c r="I963" s="6" t="s">
        <v>1161</v>
      </c>
      <c r="J963" s="12">
        <v>46121.615324074075</v>
      </c>
      <c r="K963" s="6" t="e" cm="1">
        <f t="array" ref="K963">LOOKUP(2^15,SEARCH(Tabela2[Palavras-Chave],Boletim[[#This Row],[Objeto]],1),Tabela2[Palavras-Chave])</f>
        <v>#N/A</v>
      </c>
    </row>
    <row r="964" spans="1:11" ht="43.2" hidden="1" x14ac:dyDescent="0.3">
      <c r="A964" s="5">
        <v>18809092</v>
      </c>
      <c r="B964" s="6" t="s">
        <v>234</v>
      </c>
      <c r="C964" s="6" t="s">
        <v>75</v>
      </c>
      <c r="D964" s="8" t="s">
        <v>76</v>
      </c>
      <c r="E964" s="6" t="s">
        <v>1162</v>
      </c>
      <c r="F964" s="6" t="s">
        <v>51</v>
      </c>
      <c r="G964" s="11">
        <v>46122.666666666664</v>
      </c>
      <c r="H964" s="10" t="s">
        <v>1163</v>
      </c>
      <c r="I964" s="6" t="s">
        <v>169</v>
      </c>
      <c r="J964" s="12">
        <v>46121.650462962964</v>
      </c>
      <c r="K964" s="6" t="e" cm="1">
        <f t="array" ref="K964">LOOKUP(2^15,SEARCH(Tabela2[Palavras-Chave],Boletim[[#This Row],[Objeto]],1),Tabela2[Palavras-Chave])</f>
        <v>#N/A</v>
      </c>
    </row>
    <row r="965" spans="1:11" ht="72" hidden="1" x14ac:dyDescent="0.3">
      <c r="A965" s="5">
        <v>18712474</v>
      </c>
      <c r="B965" s="6" t="s">
        <v>74</v>
      </c>
      <c r="C965" s="6" t="s">
        <v>75</v>
      </c>
      <c r="D965" s="8" t="s">
        <v>76</v>
      </c>
      <c r="E965" s="6" t="s">
        <v>1164</v>
      </c>
      <c r="F965" s="6" t="s">
        <v>51</v>
      </c>
      <c r="G965" s="11" t="s">
        <v>56</v>
      </c>
      <c r="H965" s="10" t="s">
        <v>1165</v>
      </c>
      <c r="I965" s="6" t="s">
        <v>1166</v>
      </c>
      <c r="J965" s="12">
        <v>46121.681377314817</v>
      </c>
      <c r="K965" s="6" t="e" cm="1">
        <f t="array" ref="K965">LOOKUP(2^15,SEARCH(Tabela2[Palavras-Chave],Boletim[[#This Row],[Objeto]],1),Tabela2[Palavras-Chave])</f>
        <v>#N/A</v>
      </c>
    </row>
    <row r="966" spans="1:11" ht="72" hidden="1" x14ac:dyDescent="0.3">
      <c r="A966" s="5">
        <v>18722561</v>
      </c>
      <c r="B966" s="6" t="s">
        <v>74</v>
      </c>
      <c r="C966" s="6" t="s">
        <v>75</v>
      </c>
      <c r="D966" s="8" t="s">
        <v>76</v>
      </c>
      <c r="E966" s="6" t="s">
        <v>1167</v>
      </c>
      <c r="F966" s="6" t="s">
        <v>51</v>
      </c>
      <c r="G966" s="11" t="s">
        <v>56</v>
      </c>
      <c r="H966" s="10" t="s">
        <v>1168</v>
      </c>
      <c r="I966" s="6" t="s">
        <v>1169</v>
      </c>
      <c r="J966" s="12">
        <v>46121.684062499997</v>
      </c>
      <c r="K966" s="6" t="e" cm="1">
        <f t="array" ref="K966">LOOKUP(2^15,SEARCH(Tabela2[Palavras-Chave],Boletim[[#This Row],[Objeto]],1),Tabela2[Palavras-Chave])</f>
        <v>#N/A</v>
      </c>
    </row>
    <row r="967" spans="1:11" hidden="1" x14ac:dyDescent="0.3">
      <c r="A967" s="5">
        <v>18810061</v>
      </c>
      <c r="B967" s="6" t="s">
        <v>354</v>
      </c>
      <c r="C967" s="6" t="s">
        <v>75</v>
      </c>
      <c r="D967" s="8" t="s">
        <v>76</v>
      </c>
      <c r="E967" s="6" t="s">
        <v>1170</v>
      </c>
      <c r="F967" s="6" t="s">
        <v>51</v>
      </c>
      <c r="G967" s="11" t="s">
        <v>56</v>
      </c>
      <c r="H967" s="10" t="s">
        <v>1171</v>
      </c>
      <c r="I967" s="6" t="s">
        <v>186</v>
      </c>
      <c r="J967" s="12">
        <v>46121.704050925924</v>
      </c>
      <c r="K967" s="6" t="e" cm="1">
        <f t="array" ref="K967">LOOKUP(2^15,SEARCH(Tabela2[Palavras-Chave],Boletim[[#This Row],[Objeto]],1),Tabela2[Palavras-Chave])</f>
        <v>#N/A</v>
      </c>
    </row>
    <row r="968" spans="1:11" ht="28.8" hidden="1" x14ac:dyDescent="0.3">
      <c r="A968" s="5">
        <v>18810053</v>
      </c>
      <c r="B968" s="6" t="s">
        <v>354</v>
      </c>
      <c r="C968" s="6" t="s">
        <v>75</v>
      </c>
      <c r="D968" s="8" t="s">
        <v>76</v>
      </c>
      <c r="E968" s="6" t="s">
        <v>343</v>
      </c>
      <c r="F968" s="6" t="s">
        <v>51</v>
      </c>
      <c r="G968" s="11" t="s">
        <v>56</v>
      </c>
      <c r="H968" s="10" t="s">
        <v>2902</v>
      </c>
      <c r="I968" s="6" t="s">
        <v>186</v>
      </c>
      <c r="J968" s="12">
        <v>46121.704606481479</v>
      </c>
      <c r="K968" s="6" t="e" cm="1">
        <f t="array" ref="K968">LOOKUP(2^15,SEARCH(Tabela2[Palavras-Chave],Boletim[[#This Row],[Objeto]],1),Tabela2[Palavras-Chave])</f>
        <v>#N/A</v>
      </c>
    </row>
    <row r="969" spans="1:11" ht="57.6" hidden="1" x14ac:dyDescent="0.3">
      <c r="A969" s="5">
        <v>18807245</v>
      </c>
      <c r="B969" s="6" t="s">
        <v>2903</v>
      </c>
      <c r="C969" s="6" t="s">
        <v>403</v>
      </c>
      <c r="D969" s="8" t="s">
        <v>76</v>
      </c>
      <c r="E969" s="6" t="s">
        <v>2904</v>
      </c>
      <c r="F969" s="6" t="s">
        <v>51</v>
      </c>
      <c r="G969" s="11" t="s">
        <v>56</v>
      </c>
      <c r="H969" s="10" t="s">
        <v>2905</v>
      </c>
      <c r="I969" s="6" t="s">
        <v>2906</v>
      </c>
      <c r="J969" s="12">
        <v>46121.730729166666</v>
      </c>
      <c r="K969" s="6" t="e" cm="1">
        <f t="array" ref="K969">LOOKUP(2^15,SEARCH(Tabela2[Palavras-Chave],Boletim[[#This Row],[Objeto]],1),Tabela2[Palavras-Chave])</f>
        <v>#N/A</v>
      </c>
    </row>
    <row r="970" spans="1:11" ht="57.6" hidden="1" x14ac:dyDescent="0.3">
      <c r="A970" s="5">
        <v>18807246</v>
      </c>
      <c r="B970" s="6" t="s">
        <v>1149</v>
      </c>
      <c r="C970" s="6" t="s">
        <v>312</v>
      </c>
      <c r="D970" s="8" t="s">
        <v>76</v>
      </c>
      <c r="E970" s="6" t="s">
        <v>2907</v>
      </c>
      <c r="F970" s="6" t="s">
        <v>51</v>
      </c>
      <c r="G970" s="11" t="s">
        <v>56</v>
      </c>
      <c r="H970" s="10" t="s">
        <v>2908</v>
      </c>
      <c r="I970" s="6" t="s">
        <v>2909</v>
      </c>
      <c r="J970" s="12">
        <v>46121.756018518521</v>
      </c>
      <c r="K970" s="6" t="e" cm="1">
        <f t="array" ref="K970">LOOKUP(2^15,SEARCH(Tabela2[Palavras-Chave],Boletim[[#This Row],[Objeto]],1),Tabela2[Palavras-Chave])</f>
        <v>#N/A</v>
      </c>
    </row>
    <row r="971" spans="1:11" ht="100.8" hidden="1" x14ac:dyDescent="0.3">
      <c r="A971" s="5">
        <v>18810878</v>
      </c>
      <c r="B971" s="6" t="s">
        <v>1172</v>
      </c>
      <c r="C971" s="6" t="s">
        <v>1173</v>
      </c>
      <c r="D971" s="8" t="s">
        <v>76</v>
      </c>
      <c r="E971" s="6" t="s">
        <v>141</v>
      </c>
      <c r="F971" s="6" t="s">
        <v>51</v>
      </c>
      <c r="G971" s="11">
        <v>46127.333333333336</v>
      </c>
      <c r="H971" s="10" t="s">
        <v>1174</v>
      </c>
      <c r="I971" s="6" t="s">
        <v>1175</v>
      </c>
      <c r="J971" s="12">
        <v>46121.757928240739</v>
      </c>
      <c r="K971" s="6" t="e" cm="1">
        <f t="array" ref="K971">LOOKUP(2^15,SEARCH(Tabela2[Palavras-Chave],Boletim[[#This Row],[Objeto]],1),Tabela2[Palavras-Chave])</f>
        <v>#N/A</v>
      </c>
    </row>
    <row r="972" spans="1:11" ht="86.4" hidden="1" x14ac:dyDescent="0.3">
      <c r="A972" s="5">
        <v>18810827</v>
      </c>
      <c r="B972" s="6" t="s">
        <v>1176</v>
      </c>
      <c r="C972" s="6" t="s">
        <v>75</v>
      </c>
      <c r="D972" s="8" t="s">
        <v>76</v>
      </c>
      <c r="E972" s="6" t="s">
        <v>279</v>
      </c>
      <c r="F972" s="6" t="s">
        <v>51</v>
      </c>
      <c r="G972" s="11">
        <v>46126.333333333336</v>
      </c>
      <c r="H972" s="10" t="s">
        <v>1177</v>
      </c>
      <c r="I972" s="6" t="s">
        <v>1178</v>
      </c>
      <c r="J972" s="12">
        <v>46121.769525462965</v>
      </c>
      <c r="K972" s="6" t="e" cm="1">
        <f t="array" ref="K972">LOOKUP(2^15,SEARCH(Tabela2[Palavras-Chave],Boletim[[#This Row],[Objeto]],1),Tabela2[Palavras-Chave])</f>
        <v>#N/A</v>
      </c>
    </row>
    <row r="973" spans="1:11" ht="129.6" hidden="1" x14ac:dyDescent="0.3">
      <c r="A973" s="5">
        <v>18806733</v>
      </c>
      <c r="B973" s="6" t="s">
        <v>1179</v>
      </c>
      <c r="C973" s="6" t="s">
        <v>75</v>
      </c>
      <c r="D973" s="8" t="s">
        <v>76</v>
      </c>
      <c r="E973" s="6" t="s">
        <v>340</v>
      </c>
      <c r="F973" s="6" t="s">
        <v>51</v>
      </c>
      <c r="G973" s="11">
        <v>46125.333333333336</v>
      </c>
      <c r="H973" s="10" t="s">
        <v>1180</v>
      </c>
      <c r="I973" s="6" t="s">
        <v>1181</v>
      </c>
      <c r="J973" s="12">
        <v>46121.7891087963</v>
      </c>
      <c r="K973" s="6" t="e" cm="1">
        <f t="array" ref="K973">LOOKUP(2^15,SEARCH(Tabela2[Palavras-Chave],Boletim[[#This Row],[Objeto]],1),Tabela2[Palavras-Chave])</f>
        <v>#N/A</v>
      </c>
    </row>
    <row r="974" spans="1:11" ht="100.8" hidden="1" x14ac:dyDescent="0.3">
      <c r="A974" s="5">
        <v>18810865</v>
      </c>
      <c r="B974" s="6" t="s">
        <v>353</v>
      </c>
      <c r="C974" s="6" t="s">
        <v>75</v>
      </c>
      <c r="D974" s="8" t="s">
        <v>76</v>
      </c>
      <c r="E974" s="6" t="s">
        <v>1182</v>
      </c>
      <c r="F974" s="6" t="s">
        <v>51</v>
      </c>
      <c r="G974" s="11">
        <v>46126.333333333336</v>
      </c>
      <c r="H974" s="10" t="s">
        <v>1183</v>
      </c>
      <c r="I974" s="6" t="s">
        <v>1184</v>
      </c>
      <c r="J974" s="12">
        <v>46121.828449074077</v>
      </c>
      <c r="K974" s="6" t="e" cm="1">
        <f t="array" ref="K974">LOOKUP(2^15,SEARCH(Tabela2[Palavras-Chave],Boletim[[#This Row],[Objeto]],1),Tabela2[Palavras-Chave])</f>
        <v>#N/A</v>
      </c>
    </row>
    <row r="975" spans="1:11" ht="244.8" hidden="1" x14ac:dyDescent="0.3">
      <c r="A975" s="5">
        <v>18810844</v>
      </c>
      <c r="B975" s="6" t="s">
        <v>353</v>
      </c>
      <c r="C975" s="6" t="s">
        <v>75</v>
      </c>
      <c r="D975" s="8" t="s">
        <v>76</v>
      </c>
      <c r="E975" s="6" t="s">
        <v>274</v>
      </c>
      <c r="F975" s="6" t="s">
        <v>51</v>
      </c>
      <c r="G975" s="11">
        <v>46126.333333333336</v>
      </c>
      <c r="H975" s="10" t="s">
        <v>1185</v>
      </c>
      <c r="I975" s="6" t="s">
        <v>1186</v>
      </c>
      <c r="J975" s="12">
        <v>46121.829386574071</v>
      </c>
      <c r="K975" s="6" t="e" cm="1">
        <f t="array" ref="K975">LOOKUP(2^15,SEARCH(Tabela2[Palavras-Chave],Boletim[[#This Row],[Objeto]],1),Tabela2[Palavras-Chave])</f>
        <v>#N/A</v>
      </c>
    </row>
    <row r="976" spans="1:11" ht="86.4" hidden="1" x14ac:dyDescent="0.3">
      <c r="A976" s="5">
        <v>18809310</v>
      </c>
      <c r="B976" s="6" t="s">
        <v>353</v>
      </c>
      <c r="C976" s="6" t="s">
        <v>75</v>
      </c>
      <c r="D976" s="8" t="s">
        <v>76</v>
      </c>
      <c r="E976" s="6" t="s">
        <v>364</v>
      </c>
      <c r="F976" s="6" t="s">
        <v>51</v>
      </c>
      <c r="G976" s="11">
        <v>46127.333333333336</v>
      </c>
      <c r="H976" s="10" t="s">
        <v>2910</v>
      </c>
      <c r="I976" s="6" t="s">
        <v>2911</v>
      </c>
      <c r="J976" s="12">
        <v>46121.860543981478</v>
      </c>
      <c r="K976" s="6" t="e" cm="1">
        <f t="array" ref="K976">LOOKUP(2^15,SEARCH(Tabela2[Palavras-Chave],Boletim[[#This Row],[Objeto]],1),Tabela2[Palavras-Chave])</f>
        <v>#N/A</v>
      </c>
    </row>
    <row r="977" spans="1:11" ht="187.2" hidden="1" x14ac:dyDescent="0.3">
      <c r="A977" s="5">
        <v>18808826</v>
      </c>
      <c r="B977" s="6" t="s">
        <v>246</v>
      </c>
      <c r="C977" s="6" t="s">
        <v>102</v>
      </c>
      <c r="D977" s="8" t="s">
        <v>77</v>
      </c>
      <c r="E977" s="6" t="s">
        <v>1187</v>
      </c>
      <c r="F977" s="6" t="s">
        <v>51</v>
      </c>
      <c r="G977" s="11" t="s">
        <v>56</v>
      </c>
      <c r="H977" s="10" t="s">
        <v>1188</v>
      </c>
      <c r="I977" s="6" t="s">
        <v>1189</v>
      </c>
      <c r="J977" s="12">
        <v>46121.709039351852</v>
      </c>
      <c r="K977" s="6" t="e" cm="1">
        <f t="array" ref="K977">LOOKUP(2^15,SEARCH(Tabela2[Palavras-Chave],Boletim[[#This Row],[Objeto]],1),Tabela2[Palavras-Chave])</f>
        <v>#N/A</v>
      </c>
    </row>
    <row r="978" spans="1:11" ht="187.2" hidden="1" x14ac:dyDescent="0.3">
      <c r="A978" s="5">
        <v>18809018</v>
      </c>
      <c r="B978" s="6" t="s">
        <v>246</v>
      </c>
      <c r="C978" s="6" t="s">
        <v>102</v>
      </c>
      <c r="D978" s="8" t="s">
        <v>77</v>
      </c>
      <c r="E978" s="6" t="s">
        <v>2912</v>
      </c>
      <c r="F978" s="6" t="s">
        <v>51</v>
      </c>
      <c r="G978" s="11" t="s">
        <v>56</v>
      </c>
      <c r="H978" s="10" t="s">
        <v>2913</v>
      </c>
      <c r="I978" s="6" t="s">
        <v>2914</v>
      </c>
      <c r="J978" s="12">
        <v>46121.744247685187</v>
      </c>
      <c r="K978" s="6" t="e" cm="1">
        <f t="array" ref="K978">LOOKUP(2^15,SEARCH(Tabela2[Palavras-Chave],Boletim[[#This Row],[Objeto]],1),Tabela2[Palavras-Chave])</f>
        <v>#N/A</v>
      </c>
    </row>
    <row r="979" spans="1:11" ht="100.8" hidden="1" x14ac:dyDescent="0.3">
      <c r="A979" s="5">
        <v>18806635</v>
      </c>
      <c r="B979" s="6" t="s">
        <v>1190</v>
      </c>
      <c r="C979" s="6" t="s">
        <v>102</v>
      </c>
      <c r="D979" s="8" t="s">
        <v>77</v>
      </c>
      <c r="E979" s="6" t="s">
        <v>1191</v>
      </c>
      <c r="F979" s="6" t="s">
        <v>51</v>
      </c>
      <c r="G979" s="11">
        <v>46126.333333333336</v>
      </c>
      <c r="H979" s="10" t="s">
        <v>1192</v>
      </c>
      <c r="I979" s="6" t="s">
        <v>1193</v>
      </c>
      <c r="J979" s="12">
        <v>46121.74796296296</v>
      </c>
      <c r="K979" s="6" t="e" cm="1">
        <f t="array" ref="K979">LOOKUP(2^15,SEARCH(Tabela2[Palavras-Chave],Boletim[[#This Row],[Objeto]],1),Tabela2[Palavras-Chave])</f>
        <v>#N/A</v>
      </c>
    </row>
    <row r="980" spans="1:11" ht="86.4" hidden="1" x14ac:dyDescent="0.3">
      <c r="A980" s="5">
        <v>18810853</v>
      </c>
      <c r="B980" s="6" t="s">
        <v>1194</v>
      </c>
      <c r="C980" s="6" t="s">
        <v>102</v>
      </c>
      <c r="D980" s="8" t="s">
        <v>77</v>
      </c>
      <c r="E980" s="6" t="s">
        <v>288</v>
      </c>
      <c r="F980" s="6" t="s">
        <v>51</v>
      </c>
      <c r="G980" s="11">
        <v>46126.458333333336</v>
      </c>
      <c r="H980" s="10" t="s">
        <v>1195</v>
      </c>
      <c r="I980" s="6" t="s">
        <v>1196</v>
      </c>
      <c r="J980" s="12">
        <v>46121.772928240738</v>
      </c>
      <c r="K980" s="6" t="e" cm="1">
        <f t="array" ref="K980">LOOKUP(2^15,SEARCH(Tabela2[Palavras-Chave],Boletim[[#This Row],[Objeto]],1),Tabela2[Palavras-Chave])</f>
        <v>#N/A</v>
      </c>
    </row>
    <row r="981" spans="1:11" hidden="1" x14ac:dyDescent="0.3">
      <c r="A981" s="5">
        <v>18808749</v>
      </c>
      <c r="B981" s="6" t="s">
        <v>2915</v>
      </c>
      <c r="C981" s="6" t="s">
        <v>2916</v>
      </c>
      <c r="D981" s="8" t="s">
        <v>78</v>
      </c>
      <c r="E981" s="6" t="s">
        <v>2917</v>
      </c>
      <c r="F981" s="6" t="s">
        <v>51</v>
      </c>
      <c r="G981" s="11" t="s">
        <v>56</v>
      </c>
      <c r="H981" s="10" t="s">
        <v>2918</v>
      </c>
      <c r="I981" s="6" t="s">
        <v>2919</v>
      </c>
      <c r="J981" s="12">
        <v>46121.563935185186</v>
      </c>
      <c r="K981" s="6" t="e" cm="1">
        <f t="array" ref="K981">LOOKUP(2^15,SEARCH(Tabela2[Palavras-Chave],Boletim[[#This Row],[Objeto]],1),Tabela2[Palavras-Chave])</f>
        <v>#N/A</v>
      </c>
    </row>
    <row r="982" spans="1:11" ht="28.8" hidden="1" x14ac:dyDescent="0.3">
      <c r="A982" s="5">
        <v>18808741</v>
      </c>
      <c r="B982" s="6" t="s">
        <v>2920</v>
      </c>
      <c r="C982" s="6" t="s">
        <v>2921</v>
      </c>
      <c r="D982" s="8" t="s">
        <v>78</v>
      </c>
      <c r="E982" s="6" t="s">
        <v>2922</v>
      </c>
      <c r="F982" s="6" t="s">
        <v>51</v>
      </c>
      <c r="G982" s="11" t="s">
        <v>56</v>
      </c>
      <c r="H982" s="10" t="s">
        <v>2923</v>
      </c>
      <c r="I982" s="6" t="s">
        <v>2924</v>
      </c>
      <c r="J982" s="12">
        <v>46121.719212962962</v>
      </c>
      <c r="K982" s="6" t="e" cm="1">
        <f t="array" ref="K982">LOOKUP(2^15,SEARCH(Tabela2[Palavras-Chave],Boletim[[#This Row],[Objeto]],1),Tabela2[Palavras-Chave])</f>
        <v>#N/A</v>
      </c>
    </row>
    <row r="983" spans="1:11" ht="100.8" hidden="1" x14ac:dyDescent="0.3">
      <c r="A983" s="5">
        <v>18810822</v>
      </c>
      <c r="B983" s="6" t="s">
        <v>482</v>
      </c>
      <c r="C983" s="6" t="s">
        <v>313</v>
      </c>
      <c r="D983" s="8" t="s">
        <v>78</v>
      </c>
      <c r="E983" s="6" t="s">
        <v>364</v>
      </c>
      <c r="F983" s="6" t="s">
        <v>51</v>
      </c>
      <c r="G983" s="11">
        <v>46134.354166666664</v>
      </c>
      <c r="H983" s="10" t="s">
        <v>1197</v>
      </c>
      <c r="I983" s="6" t="s">
        <v>1198</v>
      </c>
      <c r="J983" s="12">
        <v>46121.773425925923</v>
      </c>
      <c r="K983" s="6" t="e" cm="1">
        <f t="array" ref="K983">LOOKUP(2^15,SEARCH(Tabela2[Palavras-Chave],Boletim[[#This Row],[Objeto]],1),Tabela2[Palavras-Chave])</f>
        <v>#N/A</v>
      </c>
    </row>
    <row r="984" spans="1:11" ht="100.8" hidden="1" x14ac:dyDescent="0.3">
      <c r="A984" s="5">
        <v>18806685</v>
      </c>
      <c r="B984" s="6" t="s">
        <v>2925</v>
      </c>
      <c r="C984" s="6" t="s">
        <v>360</v>
      </c>
      <c r="D984" s="8" t="s">
        <v>80</v>
      </c>
      <c r="E984" s="6" t="s">
        <v>2926</v>
      </c>
      <c r="F984" s="6" t="s">
        <v>51</v>
      </c>
      <c r="G984" s="11">
        <v>46125.416666666664</v>
      </c>
      <c r="H984" s="10" t="s">
        <v>2927</v>
      </c>
      <c r="I984" s="6" t="s">
        <v>2928</v>
      </c>
      <c r="J984" s="12">
        <v>46121.436550925922</v>
      </c>
      <c r="K984" s="6" t="e" cm="1">
        <f t="array" ref="K984">LOOKUP(2^15,SEARCH(Tabela2[Palavras-Chave],Boletim[[#This Row],[Objeto]],1),Tabela2[Palavras-Chave])</f>
        <v>#N/A</v>
      </c>
    </row>
    <row r="985" spans="1:11" ht="72" x14ac:dyDescent="0.3">
      <c r="A985" s="5">
        <v>18730561</v>
      </c>
      <c r="B985" s="6" t="s">
        <v>74</v>
      </c>
      <c r="C985" s="6" t="s">
        <v>79</v>
      </c>
      <c r="D985" s="8" t="s">
        <v>80</v>
      </c>
      <c r="E985" s="6" t="s">
        <v>1119</v>
      </c>
      <c r="F985" s="6" t="s">
        <v>51</v>
      </c>
      <c r="G985" s="11" t="s">
        <v>56</v>
      </c>
      <c r="H985" s="10" t="s">
        <v>1120</v>
      </c>
      <c r="I985" s="6" t="s">
        <v>1121</v>
      </c>
      <c r="J985" s="12">
        <v>46121.439722222225</v>
      </c>
      <c r="K985" s="6" t="str" cm="1">
        <f t="array" ref="K985">LOOKUP(2^15,SEARCH(Tabela2[Palavras-Chave],Boletim[[#This Row],[Objeto]],1),Tabela2[Palavras-Chave])</f>
        <v>TANQUE</v>
      </c>
    </row>
    <row r="986" spans="1:11" ht="72" hidden="1" x14ac:dyDescent="0.3">
      <c r="A986" s="5">
        <v>18780362</v>
      </c>
      <c r="B986" s="6" t="s">
        <v>74</v>
      </c>
      <c r="C986" s="6" t="s">
        <v>79</v>
      </c>
      <c r="D986" s="8" t="s">
        <v>80</v>
      </c>
      <c r="E986" s="6" t="s">
        <v>1130</v>
      </c>
      <c r="F986" s="6" t="s">
        <v>51</v>
      </c>
      <c r="G986" s="11" t="s">
        <v>56</v>
      </c>
      <c r="H986" s="10" t="s">
        <v>1131</v>
      </c>
      <c r="I986" s="6" t="s">
        <v>1132</v>
      </c>
      <c r="J986" s="12">
        <v>46121.441018518519</v>
      </c>
      <c r="K986" s="6" t="e" cm="1">
        <f t="array" ref="K986">LOOKUP(2^15,SEARCH(Tabela2[Palavras-Chave],Boletim[[#This Row],[Objeto]],1),Tabela2[Palavras-Chave])</f>
        <v>#N/A</v>
      </c>
    </row>
    <row r="987" spans="1:11" ht="57.6" hidden="1" x14ac:dyDescent="0.3">
      <c r="A987" s="5">
        <v>18807234</v>
      </c>
      <c r="B987" s="6" t="s">
        <v>261</v>
      </c>
      <c r="C987" s="6" t="s">
        <v>79</v>
      </c>
      <c r="D987" s="8" t="s">
        <v>80</v>
      </c>
      <c r="E987" s="6" t="s">
        <v>1199</v>
      </c>
      <c r="F987" s="6" t="s">
        <v>51</v>
      </c>
      <c r="G987" s="11" t="s">
        <v>56</v>
      </c>
      <c r="H987" s="10" t="s">
        <v>1200</v>
      </c>
      <c r="I987" s="6" t="s">
        <v>1201</v>
      </c>
      <c r="J987" s="12">
        <v>46121.449976851851</v>
      </c>
      <c r="K987" s="6" t="e" cm="1">
        <f t="array" ref="K987">LOOKUP(2^15,SEARCH(Tabela2[Palavras-Chave],Boletim[[#This Row],[Objeto]],1),Tabela2[Palavras-Chave])</f>
        <v>#N/A</v>
      </c>
    </row>
    <row r="988" spans="1:11" ht="100.8" hidden="1" x14ac:dyDescent="0.3">
      <c r="A988" s="5">
        <v>18809295</v>
      </c>
      <c r="B988" s="6" t="s">
        <v>1202</v>
      </c>
      <c r="C988" s="6" t="s">
        <v>1203</v>
      </c>
      <c r="D988" s="8" t="s">
        <v>80</v>
      </c>
      <c r="E988" s="6" t="s">
        <v>1204</v>
      </c>
      <c r="F988" s="6" t="s">
        <v>51</v>
      </c>
      <c r="G988" s="11">
        <v>46125.333333333336</v>
      </c>
      <c r="H988" s="10" t="s">
        <v>1205</v>
      </c>
      <c r="I988" s="6" t="s">
        <v>1206</v>
      </c>
      <c r="J988" s="12">
        <v>46121.706863425927</v>
      </c>
      <c r="K988" s="6" t="e" cm="1">
        <f t="array" ref="K988">LOOKUP(2^15,SEARCH(Tabela2[Palavras-Chave],Boletim[[#This Row],[Objeto]],1),Tabela2[Palavras-Chave])</f>
        <v>#N/A</v>
      </c>
    </row>
    <row r="989" spans="1:11" ht="57.6" hidden="1" x14ac:dyDescent="0.3">
      <c r="A989" s="5">
        <v>18798837</v>
      </c>
      <c r="B989" s="6" t="s">
        <v>248</v>
      </c>
      <c r="C989" s="6" t="s">
        <v>79</v>
      </c>
      <c r="D989" s="8" t="s">
        <v>80</v>
      </c>
      <c r="E989" s="6" t="s">
        <v>2929</v>
      </c>
      <c r="F989" s="6" t="s">
        <v>51</v>
      </c>
      <c r="G989" s="11">
        <v>46126.586805555555</v>
      </c>
      <c r="H989" s="10" t="s">
        <v>2930</v>
      </c>
      <c r="I989" s="6" t="s">
        <v>2931</v>
      </c>
      <c r="J989" s="12">
        <v>46121.75818287037</v>
      </c>
      <c r="K989" s="6" t="e" cm="1">
        <f t="array" ref="K989">LOOKUP(2^15,SEARCH(Tabela2[Palavras-Chave],Boletim[[#This Row],[Objeto]],1),Tabela2[Palavras-Chave])</f>
        <v>#N/A</v>
      </c>
    </row>
    <row r="990" spans="1:11" ht="86.4" hidden="1" x14ac:dyDescent="0.3">
      <c r="A990" s="5">
        <v>18810803</v>
      </c>
      <c r="B990" s="6" t="s">
        <v>1207</v>
      </c>
      <c r="C990" s="6" t="s">
        <v>79</v>
      </c>
      <c r="D990" s="8" t="s">
        <v>80</v>
      </c>
      <c r="E990" s="6" t="s">
        <v>1139</v>
      </c>
      <c r="F990" s="6" t="s">
        <v>51</v>
      </c>
      <c r="G990" s="11">
        <v>46127.333333333336</v>
      </c>
      <c r="H990" s="10" t="s">
        <v>1208</v>
      </c>
      <c r="I990" s="6" t="s">
        <v>1209</v>
      </c>
      <c r="J990" s="12">
        <v>46121.764305555553</v>
      </c>
      <c r="K990" s="6" t="e" cm="1">
        <f t="array" ref="K990">LOOKUP(2^15,SEARCH(Tabela2[Palavras-Chave],Boletim[[#This Row],[Objeto]],1),Tabela2[Palavras-Chave])</f>
        <v>#N/A</v>
      </c>
    </row>
    <row r="991" spans="1:11" ht="316.8" x14ac:dyDescent="0.3">
      <c r="A991" s="5">
        <v>18806709</v>
      </c>
      <c r="B991" s="6" t="s">
        <v>1210</v>
      </c>
      <c r="C991" s="6" t="s">
        <v>79</v>
      </c>
      <c r="D991" s="8" t="s">
        <v>80</v>
      </c>
      <c r="E991" s="6" t="s">
        <v>208</v>
      </c>
      <c r="F991" s="6" t="s">
        <v>51</v>
      </c>
      <c r="G991" s="11">
        <v>46125.333333333336</v>
      </c>
      <c r="H991" s="10" t="s">
        <v>1211</v>
      </c>
      <c r="I991" s="6" t="s">
        <v>1212</v>
      </c>
      <c r="J991" s="12">
        <v>46121.777905092589</v>
      </c>
      <c r="K991" s="6" t="str" cm="1">
        <f t="array" ref="K991">LOOKUP(2^15,SEARCH(Tabela2[Palavras-Chave],Boletim[[#This Row],[Objeto]],1),Tabela2[Palavras-Chave])</f>
        <v>RESERVAT</v>
      </c>
    </row>
    <row r="992" spans="1:11" ht="100.8" x14ac:dyDescent="0.3">
      <c r="A992" s="5">
        <v>18810864</v>
      </c>
      <c r="B992" s="6" t="s">
        <v>1213</v>
      </c>
      <c r="C992" s="6" t="s">
        <v>79</v>
      </c>
      <c r="D992" s="8" t="s">
        <v>80</v>
      </c>
      <c r="E992" s="6" t="s">
        <v>1214</v>
      </c>
      <c r="F992" s="6" t="s">
        <v>51</v>
      </c>
      <c r="G992" s="11">
        <v>46125.333333333336</v>
      </c>
      <c r="H992" s="10" t="s">
        <v>1215</v>
      </c>
      <c r="I992" s="6" t="s">
        <v>1216</v>
      </c>
      <c r="J992" s="12">
        <v>46121.782743055555</v>
      </c>
      <c r="K992" s="6" t="str" cm="1">
        <f t="array" ref="K992">LOOKUP(2^15,SEARCH(Tabela2[Palavras-Chave],Boletim[[#This Row],[Objeto]],1),Tabela2[Palavras-Chave])</f>
        <v>INOX</v>
      </c>
    </row>
    <row r="993" spans="1:11" ht="100.8" hidden="1" x14ac:dyDescent="0.3">
      <c r="A993" s="5">
        <v>18810813</v>
      </c>
      <c r="B993" s="6" t="s">
        <v>1217</v>
      </c>
      <c r="C993" s="6" t="s">
        <v>1218</v>
      </c>
      <c r="D993" s="8" t="s">
        <v>80</v>
      </c>
      <c r="E993" s="6" t="s">
        <v>1191</v>
      </c>
      <c r="F993" s="6" t="s">
        <v>51</v>
      </c>
      <c r="G993" s="11">
        <v>46127.5</v>
      </c>
      <c r="H993" s="10" t="s">
        <v>1219</v>
      </c>
      <c r="I993" s="6" t="s">
        <v>1220</v>
      </c>
      <c r="J993" s="12">
        <v>46121.783935185187</v>
      </c>
      <c r="K993" s="6" t="e" cm="1">
        <f t="array" ref="K993">LOOKUP(2^15,SEARCH(Tabela2[Palavras-Chave],Boletim[[#This Row],[Objeto]],1),Tabela2[Palavras-Chave])</f>
        <v>#N/A</v>
      </c>
    </row>
    <row r="994" spans="1:11" ht="57.6" hidden="1" x14ac:dyDescent="0.3">
      <c r="A994" s="5">
        <v>18811014</v>
      </c>
      <c r="B994" s="6" t="s">
        <v>688</v>
      </c>
      <c r="C994" s="6" t="s">
        <v>689</v>
      </c>
      <c r="D994" s="8" t="s">
        <v>80</v>
      </c>
      <c r="E994" s="6" t="s">
        <v>2932</v>
      </c>
      <c r="F994" s="6" t="s">
        <v>51</v>
      </c>
      <c r="G994" s="11" t="s">
        <v>56</v>
      </c>
      <c r="H994" s="10" t="s">
        <v>2933</v>
      </c>
      <c r="I994" s="6" t="s">
        <v>2934</v>
      </c>
      <c r="J994" s="12">
        <v>46121.823252314818</v>
      </c>
      <c r="K994" s="6" t="e" cm="1">
        <f t="array" ref="K994">LOOKUP(2^15,SEARCH(Tabela2[Palavras-Chave],Boletim[[#This Row],[Objeto]],1),Tabela2[Palavras-Chave])</f>
        <v>#N/A</v>
      </c>
    </row>
    <row r="995" spans="1:11" ht="86.4" hidden="1" x14ac:dyDescent="0.3">
      <c r="A995" s="5">
        <v>18806637</v>
      </c>
      <c r="B995" s="6" t="s">
        <v>1221</v>
      </c>
      <c r="C995" s="6" t="s">
        <v>104</v>
      </c>
      <c r="D995" s="8" t="s">
        <v>81</v>
      </c>
      <c r="E995" s="6" t="s">
        <v>191</v>
      </c>
      <c r="F995" s="6" t="s">
        <v>51</v>
      </c>
      <c r="G995" s="11">
        <v>46126.333333333336</v>
      </c>
      <c r="H995" s="10" t="s">
        <v>1222</v>
      </c>
      <c r="I995" s="6" t="s">
        <v>1223</v>
      </c>
      <c r="J995" s="12">
        <v>46121.435011574074</v>
      </c>
      <c r="K995" s="6" t="e" cm="1">
        <f t="array" ref="K995">LOOKUP(2^15,SEARCH(Tabela2[Palavras-Chave],Boletim[[#This Row],[Objeto]],1),Tabela2[Palavras-Chave])</f>
        <v>#N/A</v>
      </c>
    </row>
    <row r="996" spans="1:11" ht="86.4" hidden="1" x14ac:dyDescent="0.3">
      <c r="A996" s="5">
        <v>18806716</v>
      </c>
      <c r="B996" s="6" t="s">
        <v>1221</v>
      </c>
      <c r="C996" s="6" t="s">
        <v>104</v>
      </c>
      <c r="D996" s="8" t="s">
        <v>81</v>
      </c>
      <c r="E996" s="6" t="s">
        <v>370</v>
      </c>
      <c r="F996" s="6" t="s">
        <v>51</v>
      </c>
      <c r="G996" s="11">
        <v>46126.333333333336</v>
      </c>
      <c r="H996" s="10" t="s">
        <v>1224</v>
      </c>
      <c r="I996" s="6" t="s">
        <v>1225</v>
      </c>
      <c r="J996" s="12">
        <v>46121.451203703706</v>
      </c>
      <c r="K996" s="6" t="e" cm="1">
        <f t="array" ref="K996">LOOKUP(2^15,SEARCH(Tabela2[Palavras-Chave],Boletim[[#This Row],[Objeto]],1),Tabela2[Palavras-Chave])</f>
        <v>#N/A</v>
      </c>
    </row>
    <row r="997" spans="1:11" ht="259.2" hidden="1" x14ac:dyDescent="0.3">
      <c r="A997" s="5">
        <v>18800118</v>
      </c>
      <c r="B997" s="6" t="s">
        <v>1226</v>
      </c>
      <c r="C997" s="6" t="s">
        <v>1227</v>
      </c>
      <c r="D997" s="8" t="s">
        <v>81</v>
      </c>
      <c r="E997" s="6" t="s">
        <v>904</v>
      </c>
      <c r="F997" s="6" t="s">
        <v>51</v>
      </c>
      <c r="G997" s="11" t="s">
        <v>56</v>
      </c>
      <c r="H997" s="10" t="s">
        <v>1228</v>
      </c>
      <c r="I997" s="6" t="s">
        <v>1229</v>
      </c>
      <c r="J997" s="12">
        <v>46121.587569444448</v>
      </c>
      <c r="K997" s="6" t="e" cm="1">
        <f t="array" ref="K997">LOOKUP(2^15,SEARCH(Tabela2[Palavras-Chave],Boletim[[#This Row],[Objeto]],1),Tabela2[Palavras-Chave])</f>
        <v>#N/A</v>
      </c>
    </row>
    <row r="998" spans="1:11" ht="57.6" hidden="1" x14ac:dyDescent="0.3">
      <c r="A998" s="5">
        <v>18811019</v>
      </c>
      <c r="B998" s="6" t="s">
        <v>609</v>
      </c>
      <c r="C998" s="6" t="s">
        <v>610</v>
      </c>
      <c r="D998" s="8" t="s">
        <v>81</v>
      </c>
      <c r="E998" s="6" t="s">
        <v>265</v>
      </c>
      <c r="F998" s="6" t="s">
        <v>51</v>
      </c>
      <c r="G998" s="11" t="s">
        <v>56</v>
      </c>
      <c r="H998" s="10" t="s">
        <v>2935</v>
      </c>
      <c r="I998" s="6" t="s">
        <v>2936</v>
      </c>
      <c r="J998" s="12">
        <v>46121.783125000002</v>
      </c>
      <c r="K998" s="6" t="e" cm="1">
        <f t="array" ref="K998">LOOKUP(2^15,SEARCH(Tabela2[Palavras-Chave],Boletim[[#This Row],[Objeto]],1),Tabela2[Palavras-Chave])</f>
        <v>#N/A</v>
      </c>
    </row>
    <row r="999" spans="1:11" ht="57.6" hidden="1" x14ac:dyDescent="0.3">
      <c r="A999" s="5">
        <v>18811039</v>
      </c>
      <c r="B999" s="6" t="s">
        <v>1230</v>
      </c>
      <c r="C999" s="6" t="s">
        <v>1231</v>
      </c>
      <c r="D999" s="8" t="s">
        <v>81</v>
      </c>
      <c r="E999" s="6" t="s">
        <v>281</v>
      </c>
      <c r="F999" s="6" t="s">
        <v>51</v>
      </c>
      <c r="G999" s="11" t="s">
        <v>56</v>
      </c>
      <c r="H999" s="10" t="s">
        <v>1232</v>
      </c>
      <c r="I999" s="6" t="s">
        <v>1233</v>
      </c>
      <c r="J999" s="12">
        <v>46121.783495370371</v>
      </c>
      <c r="K999" s="6" t="e" cm="1">
        <f t="array" ref="K999">LOOKUP(2^15,SEARCH(Tabela2[Palavras-Chave],Boletim[[#This Row],[Objeto]],1),Tabela2[Palavras-Chave])</f>
        <v>#N/A</v>
      </c>
    </row>
    <row r="1000" spans="1:11" ht="57.6" hidden="1" x14ac:dyDescent="0.3">
      <c r="A1000" s="5">
        <v>18811025</v>
      </c>
      <c r="B1000" s="6" t="s">
        <v>254</v>
      </c>
      <c r="C1000" s="6" t="s">
        <v>255</v>
      </c>
      <c r="D1000" s="8" t="s">
        <v>81</v>
      </c>
      <c r="E1000" s="6" t="s">
        <v>105</v>
      </c>
      <c r="F1000" s="6" t="s">
        <v>51</v>
      </c>
      <c r="G1000" s="11" t="s">
        <v>56</v>
      </c>
      <c r="H1000" s="10" t="s">
        <v>1234</v>
      </c>
      <c r="I1000" s="6" t="s">
        <v>1235</v>
      </c>
      <c r="J1000" s="12">
        <v>46121.823067129626</v>
      </c>
      <c r="K1000" s="6" t="e" cm="1">
        <f t="array" ref="K1000">LOOKUP(2^15,SEARCH(Tabela2[Palavras-Chave],Boletim[[#This Row],[Objeto]],1),Tabela2[Palavras-Chave])</f>
        <v>#N/A</v>
      </c>
    </row>
    <row r="1001" spans="1:11" ht="57.6" hidden="1" x14ac:dyDescent="0.3">
      <c r="A1001" s="5">
        <v>18811021</v>
      </c>
      <c r="B1001" s="6" t="s">
        <v>609</v>
      </c>
      <c r="C1001" s="6" t="s">
        <v>610</v>
      </c>
      <c r="D1001" s="8" t="s">
        <v>81</v>
      </c>
      <c r="E1001" s="6" t="s">
        <v>2937</v>
      </c>
      <c r="F1001" s="6" t="s">
        <v>51</v>
      </c>
      <c r="G1001" s="11" t="s">
        <v>56</v>
      </c>
      <c r="H1001" s="10" t="s">
        <v>2938</v>
      </c>
      <c r="I1001" s="6" t="s">
        <v>2939</v>
      </c>
      <c r="J1001" s="12">
        <v>46121.823113425926</v>
      </c>
      <c r="K1001" s="6" t="e" cm="1">
        <f t="array" ref="K1001">LOOKUP(2^15,SEARCH(Tabela2[Palavras-Chave],Boletim[[#This Row],[Objeto]],1),Tabela2[Palavras-Chave])</f>
        <v>#N/A</v>
      </c>
    </row>
    <row r="1002" spans="1:11" ht="72" hidden="1" x14ac:dyDescent="0.3">
      <c r="A1002" s="5">
        <v>18811390</v>
      </c>
      <c r="B1002" s="6" t="s">
        <v>2940</v>
      </c>
      <c r="C1002" s="6" t="s">
        <v>2941</v>
      </c>
      <c r="D1002" s="8" t="s">
        <v>81</v>
      </c>
      <c r="E1002" s="6" t="s">
        <v>238</v>
      </c>
      <c r="F1002" s="6" t="s">
        <v>51</v>
      </c>
      <c r="G1002" s="11" t="s">
        <v>56</v>
      </c>
      <c r="H1002" s="10" t="s">
        <v>2942</v>
      </c>
      <c r="I1002" s="6" t="s">
        <v>2943</v>
      </c>
      <c r="J1002" s="12">
        <v>46121.847766203704</v>
      </c>
      <c r="K1002" s="6" t="e" cm="1">
        <f t="array" ref="K1002">LOOKUP(2^15,SEARCH(Tabela2[Palavras-Chave],Boletim[[#This Row],[Objeto]],1),Tabela2[Palavras-Chave])</f>
        <v>#N/A</v>
      </c>
    </row>
    <row r="1003" spans="1:11" ht="72" hidden="1" x14ac:dyDescent="0.3">
      <c r="A1003" s="5">
        <v>18769999</v>
      </c>
      <c r="B1003" s="6" t="s">
        <v>74</v>
      </c>
      <c r="C1003" s="6" t="s">
        <v>160</v>
      </c>
      <c r="D1003" s="8" t="s">
        <v>93</v>
      </c>
      <c r="E1003" s="6" t="s">
        <v>734</v>
      </c>
      <c r="F1003" s="6" t="s">
        <v>51</v>
      </c>
      <c r="G1003" s="11" t="s">
        <v>56</v>
      </c>
      <c r="H1003" s="10" t="s">
        <v>735</v>
      </c>
      <c r="I1003" s="6" t="s">
        <v>736</v>
      </c>
      <c r="J1003" s="12">
        <v>46121.440335648149</v>
      </c>
      <c r="K1003" s="6" t="e" cm="1">
        <f t="array" ref="K1003">LOOKUP(2^15,SEARCH(Tabela2[Palavras-Chave],Boletim[[#This Row],[Objeto]],1),Tabela2[Palavras-Chave])</f>
        <v>#N/A</v>
      </c>
    </row>
    <row r="1004" spans="1:11" ht="72" hidden="1" x14ac:dyDescent="0.3">
      <c r="A1004" s="5">
        <v>18551796</v>
      </c>
      <c r="B1004" s="6" t="s">
        <v>176</v>
      </c>
      <c r="C1004" s="6" t="s">
        <v>83</v>
      </c>
      <c r="D1004" s="8" t="s">
        <v>82</v>
      </c>
      <c r="E1004" s="6" t="s">
        <v>2892</v>
      </c>
      <c r="F1004" s="6" t="s">
        <v>51</v>
      </c>
      <c r="G1004" s="11" t="s">
        <v>56</v>
      </c>
      <c r="H1004" s="10" t="s">
        <v>2893</v>
      </c>
      <c r="I1004" s="6" t="s">
        <v>2894</v>
      </c>
      <c r="J1004" s="12">
        <v>46121.439606481479</v>
      </c>
      <c r="K1004" s="6" t="e" cm="1">
        <f t="array" ref="K1004">LOOKUP(2^15,SEARCH(Tabela2[Palavras-Chave],Boletim[[#This Row],[Objeto]],1),Tabela2[Palavras-Chave])</f>
        <v>#N/A</v>
      </c>
    </row>
    <row r="1005" spans="1:11" ht="72" x14ac:dyDescent="0.3">
      <c r="A1005" s="5">
        <v>18730562</v>
      </c>
      <c r="B1005" s="6" t="s">
        <v>74</v>
      </c>
      <c r="C1005" s="6" t="s">
        <v>83</v>
      </c>
      <c r="D1005" s="8" t="s">
        <v>82</v>
      </c>
      <c r="E1005" s="6" t="s">
        <v>1119</v>
      </c>
      <c r="F1005" s="6" t="s">
        <v>51</v>
      </c>
      <c r="G1005" s="11" t="s">
        <v>56</v>
      </c>
      <c r="H1005" s="10" t="s">
        <v>1120</v>
      </c>
      <c r="I1005" s="6" t="s">
        <v>1121</v>
      </c>
      <c r="J1005" s="12">
        <v>46121.439722222225</v>
      </c>
      <c r="K1005" s="6" t="str" cm="1">
        <f t="array" ref="K1005">LOOKUP(2^15,SEARCH(Tabela2[Palavras-Chave],Boletim[[#This Row],[Objeto]],1),Tabela2[Palavras-Chave])</f>
        <v>TANQUE</v>
      </c>
    </row>
    <row r="1006" spans="1:11" ht="72" hidden="1" x14ac:dyDescent="0.3">
      <c r="A1006" s="5">
        <v>18755507</v>
      </c>
      <c r="B1006" s="6" t="s">
        <v>74</v>
      </c>
      <c r="C1006" s="6" t="s">
        <v>83</v>
      </c>
      <c r="D1006" s="8" t="s">
        <v>82</v>
      </c>
      <c r="E1006" s="6" t="s">
        <v>1122</v>
      </c>
      <c r="F1006" s="6" t="s">
        <v>51</v>
      </c>
      <c r="G1006" s="11" t="s">
        <v>56</v>
      </c>
      <c r="H1006" s="10" t="s">
        <v>1123</v>
      </c>
      <c r="I1006" s="6" t="s">
        <v>1124</v>
      </c>
      <c r="J1006" s="12">
        <v>46121.440300925926</v>
      </c>
      <c r="K1006" s="6" t="e" cm="1">
        <f t="array" ref="K1006">LOOKUP(2^15,SEARCH(Tabela2[Palavras-Chave],Boletim[[#This Row],[Objeto]],1),Tabela2[Palavras-Chave])</f>
        <v>#N/A</v>
      </c>
    </row>
    <row r="1007" spans="1:11" ht="72" hidden="1" x14ac:dyDescent="0.3">
      <c r="A1007" s="5">
        <v>18772099</v>
      </c>
      <c r="B1007" s="6" t="s">
        <v>74</v>
      </c>
      <c r="C1007" s="6" t="s">
        <v>83</v>
      </c>
      <c r="D1007" s="8" t="s">
        <v>82</v>
      </c>
      <c r="E1007" s="6" t="s">
        <v>960</v>
      </c>
      <c r="F1007" s="6" t="s">
        <v>51</v>
      </c>
      <c r="G1007" s="11" t="s">
        <v>56</v>
      </c>
      <c r="H1007" s="10" t="s">
        <v>961</v>
      </c>
      <c r="I1007" s="6" t="s">
        <v>962</v>
      </c>
      <c r="J1007" s="12">
        <v>46121.440347222226</v>
      </c>
      <c r="K1007" s="6" t="e" cm="1">
        <f t="array" ref="K1007">LOOKUP(2^15,SEARCH(Tabela2[Palavras-Chave],Boletim[[#This Row],[Objeto]],1),Tabela2[Palavras-Chave])</f>
        <v>#N/A</v>
      </c>
    </row>
    <row r="1008" spans="1:11" ht="72" hidden="1" x14ac:dyDescent="0.3">
      <c r="A1008" s="5">
        <v>18775139</v>
      </c>
      <c r="B1008" s="6" t="s">
        <v>74</v>
      </c>
      <c r="C1008" s="6" t="s">
        <v>83</v>
      </c>
      <c r="D1008" s="8" t="s">
        <v>82</v>
      </c>
      <c r="E1008" s="6" t="s">
        <v>1125</v>
      </c>
      <c r="F1008" s="6" t="s">
        <v>51</v>
      </c>
      <c r="G1008" s="11" t="s">
        <v>56</v>
      </c>
      <c r="H1008" s="10" t="s">
        <v>1126</v>
      </c>
      <c r="I1008" s="6" t="s">
        <v>1127</v>
      </c>
      <c r="J1008" s="12">
        <v>46121.440347222226</v>
      </c>
      <c r="K1008" s="6" t="e" cm="1">
        <f t="array" ref="K1008">LOOKUP(2^15,SEARCH(Tabela2[Palavras-Chave],Boletim[[#This Row],[Objeto]],1),Tabela2[Palavras-Chave])</f>
        <v>#N/A</v>
      </c>
    </row>
    <row r="1009" spans="1:11" ht="72" hidden="1" x14ac:dyDescent="0.3">
      <c r="A1009" s="5">
        <v>18751075</v>
      </c>
      <c r="B1009" s="6" t="s">
        <v>74</v>
      </c>
      <c r="C1009" s="6" t="s">
        <v>83</v>
      </c>
      <c r="D1009" s="8" t="s">
        <v>82</v>
      </c>
      <c r="E1009" s="6" t="s">
        <v>963</v>
      </c>
      <c r="F1009" s="6" t="s">
        <v>51</v>
      </c>
      <c r="G1009" s="11" t="s">
        <v>56</v>
      </c>
      <c r="H1009" s="10" t="s">
        <v>964</v>
      </c>
      <c r="I1009" s="6" t="s">
        <v>965</v>
      </c>
      <c r="J1009" s="12">
        <v>46121.442395833335</v>
      </c>
      <c r="K1009" s="6" t="e" cm="1">
        <f t="array" ref="K1009">LOOKUP(2^15,SEARCH(Tabela2[Palavras-Chave],Boletim[[#This Row],[Objeto]],1),Tabela2[Palavras-Chave])</f>
        <v>#N/A</v>
      </c>
    </row>
    <row r="1010" spans="1:11" ht="72" hidden="1" x14ac:dyDescent="0.3">
      <c r="A1010" s="5">
        <v>18760223</v>
      </c>
      <c r="B1010" s="6" t="s">
        <v>74</v>
      </c>
      <c r="C1010" s="6" t="s">
        <v>83</v>
      </c>
      <c r="D1010" s="8" t="s">
        <v>82</v>
      </c>
      <c r="E1010" s="6" t="s">
        <v>1136</v>
      </c>
      <c r="F1010" s="6" t="s">
        <v>51</v>
      </c>
      <c r="G1010" s="11" t="s">
        <v>56</v>
      </c>
      <c r="H1010" s="10" t="s">
        <v>1137</v>
      </c>
      <c r="I1010" s="6" t="s">
        <v>1138</v>
      </c>
      <c r="J1010" s="12">
        <v>46121.442395833335</v>
      </c>
      <c r="K1010" s="6" t="e" cm="1">
        <f t="array" ref="K1010">LOOKUP(2^15,SEARCH(Tabela2[Palavras-Chave],Boletim[[#This Row],[Objeto]],1),Tabela2[Palavras-Chave])</f>
        <v>#N/A</v>
      </c>
    </row>
    <row r="1011" spans="1:11" ht="100.8" hidden="1" x14ac:dyDescent="0.3">
      <c r="A1011" s="5">
        <v>18806695</v>
      </c>
      <c r="B1011" s="6" t="s">
        <v>1236</v>
      </c>
      <c r="C1011" s="6" t="s">
        <v>1237</v>
      </c>
      <c r="D1011" s="8" t="s">
        <v>82</v>
      </c>
      <c r="E1011" s="6" t="s">
        <v>351</v>
      </c>
      <c r="F1011" s="6" t="s">
        <v>51</v>
      </c>
      <c r="G1011" s="11">
        <v>46128.375</v>
      </c>
      <c r="H1011" s="10" t="s">
        <v>1238</v>
      </c>
      <c r="I1011" s="6" t="s">
        <v>1239</v>
      </c>
      <c r="J1011" s="12">
        <v>46121.442800925928</v>
      </c>
      <c r="K1011" s="6" t="e" cm="1">
        <f t="array" ref="K1011">LOOKUP(2^15,SEARCH(Tabela2[Palavras-Chave],Boletim[[#This Row],[Objeto]],1),Tabela2[Palavras-Chave])</f>
        <v>#N/A</v>
      </c>
    </row>
    <row r="1012" spans="1:11" ht="100.8" hidden="1" x14ac:dyDescent="0.3">
      <c r="A1012" s="5">
        <v>18806585</v>
      </c>
      <c r="B1012" s="6" t="s">
        <v>1240</v>
      </c>
      <c r="C1012" s="6" t="s">
        <v>164</v>
      </c>
      <c r="D1012" s="8" t="s">
        <v>82</v>
      </c>
      <c r="E1012" s="6" t="s">
        <v>1241</v>
      </c>
      <c r="F1012" s="6" t="s">
        <v>51</v>
      </c>
      <c r="G1012" s="11">
        <v>46127.333333333336</v>
      </c>
      <c r="H1012" s="10" t="s">
        <v>1242</v>
      </c>
      <c r="I1012" s="6" t="s">
        <v>1243</v>
      </c>
      <c r="J1012" s="12">
        <v>46121.448206018518</v>
      </c>
      <c r="K1012" s="6" t="e" cm="1">
        <f t="array" ref="K1012">LOOKUP(2^15,SEARCH(Tabela2[Palavras-Chave],Boletim[[#This Row],[Objeto]],1),Tabela2[Palavras-Chave])</f>
        <v>#N/A</v>
      </c>
    </row>
    <row r="1013" spans="1:11" ht="100.8" hidden="1" x14ac:dyDescent="0.3">
      <c r="A1013" s="5">
        <v>18806633</v>
      </c>
      <c r="B1013" s="6" t="s">
        <v>1244</v>
      </c>
      <c r="C1013" s="6" t="s">
        <v>1245</v>
      </c>
      <c r="D1013" s="8" t="s">
        <v>82</v>
      </c>
      <c r="E1013" s="6" t="s">
        <v>1139</v>
      </c>
      <c r="F1013" s="6" t="s">
        <v>51</v>
      </c>
      <c r="G1013" s="11">
        <v>46126.333333333336</v>
      </c>
      <c r="H1013" s="10" t="s">
        <v>1246</v>
      </c>
      <c r="I1013" s="6" t="s">
        <v>1247</v>
      </c>
      <c r="J1013" s="12">
        <v>46121.45107638889</v>
      </c>
      <c r="K1013" s="6" t="e" cm="1">
        <f t="array" ref="K1013">LOOKUP(2^15,SEARCH(Tabela2[Palavras-Chave],Boletim[[#This Row],[Objeto]],1),Tabela2[Palavras-Chave])</f>
        <v>#N/A</v>
      </c>
    </row>
    <row r="1014" spans="1:11" ht="115.2" hidden="1" x14ac:dyDescent="0.3">
      <c r="A1014" s="5">
        <v>18806759</v>
      </c>
      <c r="B1014" s="6" t="s">
        <v>380</v>
      </c>
      <c r="C1014" s="6" t="s">
        <v>83</v>
      </c>
      <c r="D1014" s="8" t="s">
        <v>82</v>
      </c>
      <c r="E1014" s="6" t="s">
        <v>1248</v>
      </c>
      <c r="F1014" s="6" t="s">
        <v>51</v>
      </c>
      <c r="G1014" s="11">
        <v>46139.333333333336</v>
      </c>
      <c r="H1014" s="10" t="s">
        <v>1249</v>
      </c>
      <c r="I1014" s="6" t="s">
        <v>1250</v>
      </c>
      <c r="J1014" s="12">
        <v>46121.452766203707</v>
      </c>
      <c r="K1014" s="6" t="e" cm="1">
        <f t="array" ref="K1014">LOOKUP(2^15,SEARCH(Tabela2[Palavras-Chave],Boletim[[#This Row],[Objeto]],1),Tabela2[Palavras-Chave])</f>
        <v>#N/A</v>
      </c>
    </row>
    <row r="1015" spans="1:11" ht="72" hidden="1" x14ac:dyDescent="0.3">
      <c r="A1015" s="5">
        <v>18807919</v>
      </c>
      <c r="B1015" s="6" t="s">
        <v>180</v>
      </c>
      <c r="C1015" s="6" t="s">
        <v>181</v>
      </c>
      <c r="D1015" s="8" t="s">
        <v>82</v>
      </c>
      <c r="E1015" s="6" t="s">
        <v>1251</v>
      </c>
      <c r="F1015" s="6" t="s">
        <v>51</v>
      </c>
      <c r="G1015" s="11" t="s">
        <v>56</v>
      </c>
      <c r="H1015" s="10" t="s">
        <v>1252</v>
      </c>
      <c r="I1015" s="6" t="s">
        <v>1253</v>
      </c>
      <c r="J1015" s="12">
        <v>46121.496516203704</v>
      </c>
      <c r="K1015" s="6" t="e" cm="1">
        <f t="array" ref="K1015">LOOKUP(2^15,SEARCH(Tabela2[Palavras-Chave],Boletim[[#This Row],[Objeto]],1),Tabela2[Palavras-Chave])</f>
        <v>#N/A</v>
      </c>
    </row>
    <row r="1016" spans="1:11" ht="273.60000000000002" hidden="1" x14ac:dyDescent="0.3">
      <c r="A1016" s="5">
        <v>18807904</v>
      </c>
      <c r="B1016" s="6" t="s">
        <v>612</v>
      </c>
      <c r="C1016" s="6" t="s">
        <v>613</v>
      </c>
      <c r="D1016" s="8" t="s">
        <v>82</v>
      </c>
      <c r="E1016" s="6" t="s">
        <v>2944</v>
      </c>
      <c r="F1016" s="6" t="s">
        <v>51</v>
      </c>
      <c r="G1016" s="11" t="s">
        <v>56</v>
      </c>
      <c r="H1016" s="10" t="s">
        <v>2945</v>
      </c>
      <c r="I1016" s="6" t="s">
        <v>2946</v>
      </c>
      <c r="J1016" s="12">
        <v>46121.526689814818</v>
      </c>
      <c r="K1016" s="6" t="e" cm="1">
        <f t="array" ref="K1016">LOOKUP(2^15,SEARCH(Tabela2[Palavras-Chave],Boletim[[#This Row],[Objeto]],1),Tabela2[Palavras-Chave])</f>
        <v>#N/A</v>
      </c>
    </row>
    <row r="1017" spans="1:11" ht="28.8" hidden="1" x14ac:dyDescent="0.3">
      <c r="A1017" s="5">
        <v>18808454</v>
      </c>
      <c r="B1017" s="6" t="s">
        <v>206</v>
      </c>
      <c r="C1017" s="6" t="s">
        <v>154</v>
      </c>
      <c r="D1017" s="8" t="s">
        <v>82</v>
      </c>
      <c r="E1017" s="6" t="s">
        <v>2947</v>
      </c>
      <c r="F1017" s="6" t="s">
        <v>51</v>
      </c>
      <c r="G1017" s="11" t="s">
        <v>56</v>
      </c>
      <c r="H1017" s="10" t="s">
        <v>2948</v>
      </c>
      <c r="I1017" s="6" t="s">
        <v>207</v>
      </c>
      <c r="J1017" s="12">
        <v>46121.531076388892</v>
      </c>
      <c r="K1017" s="6" t="e" cm="1">
        <f t="array" ref="K1017">LOOKUP(2^15,SEARCH(Tabela2[Palavras-Chave],Boletim[[#This Row],[Objeto]],1),Tabela2[Palavras-Chave])</f>
        <v>#N/A</v>
      </c>
    </row>
    <row r="1018" spans="1:11" ht="28.8" hidden="1" x14ac:dyDescent="0.3">
      <c r="A1018" s="5">
        <v>18808447</v>
      </c>
      <c r="B1018" s="6" t="s">
        <v>206</v>
      </c>
      <c r="C1018" s="6" t="s">
        <v>154</v>
      </c>
      <c r="D1018" s="8" t="s">
        <v>82</v>
      </c>
      <c r="E1018" s="6" t="s">
        <v>2949</v>
      </c>
      <c r="F1018" s="6" t="s">
        <v>51</v>
      </c>
      <c r="G1018" s="11" t="s">
        <v>56</v>
      </c>
      <c r="H1018" s="10" t="s">
        <v>2950</v>
      </c>
      <c r="I1018" s="6" t="s">
        <v>207</v>
      </c>
      <c r="J1018" s="12">
        <v>46121.531284722223</v>
      </c>
      <c r="K1018" s="6" t="e" cm="1">
        <f t="array" ref="K1018">LOOKUP(2^15,SEARCH(Tabela2[Palavras-Chave],Boletim[[#This Row],[Objeto]],1),Tabela2[Palavras-Chave])</f>
        <v>#N/A</v>
      </c>
    </row>
    <row r="1019" spans="1:11" ht="244.8" x14ac:dyDescent="0.3">
      <c r="A1019" s="5">
        <v>18806740</v>
      </c>
      <c r="B1019" s="6" t="s">
        <v>2951</v>
      </c>
      <c r="C1019" s="6" t="s">
        <v>83</v>
      </c>
      <c r="D1019" s="8" t="s">
        <v>82</v>
      </c>
      <c r="E1019" s="6" t="s">
        <v>608</v>
      </c>
      <c r="F1019" s="6" t="s">
        <v>51</v>
      </c>
      <c r="G1019" s="11">
        <v>46125.374305555553</v>
      </c>
      <c r="H1019" s="10" t="s">
        <v>2952</v>
      </c>
      <c r="I1019" s="6" t="s">
        <v>2953</v>
      </c>
      <c r="J1019" s="12">
        <v>46121.581435185188</v>
      </c>
      <c r="K1019" s="6" t="str" cm="1">
        <f t="array" ref="K1019">LOOKUP(2^15,SEARCH(Tabela2[Palavras-Chave],Boletim[[#This Row],[Objeto]],1),Tabela2[Palavras-Chave])</f>
        <v>INOX</v>
      </c>
    </row>
    <row r="1020" spans="1:11" ht="100.8" hidden="1" x14ac:dyDescent="0.3">
      <c r="A1020" s="5">
        <v>18705632</v>
      </c>
      <c r="B1020" s="6" t="s">
        <v>180</v>
      </c>
      <c r="C1020" s="6" t="s">
        <v>181</v>
      </c>
      <c r="D1020" s="8" t="s">
        <v>82</v>
      </c>
      <c r="E1020" s="6" t="s">
        <v>1254</v>
      </c>
      <c r="F1020" s="6" t="s">
        <v>51</v>
      </c>
      <c r="G1020" s="11" t="s">
        <v>56</v>
      </c>
      <c r="H1020" s="10" t="s">
        <v>1255</v>
      </c>
      <c r="I1020" s="6" t="s">
        <v>1256</v>
      </c>
      <c r="J1020" s="12">
        <v>46121.582708333335</v>
      </c>
      <c r="K1020" s="6" t="e" cm="1">
        <f t="array" ref="K1020">LOOKUP(2^15,SEARCH(Tabela2[Palavras-Chave],Boletim[[#This Row],[Objeto]],1),Tabela2[Palavras-Chave])</f>
        <v>#N/A</v>
      </c>
    </row>
    <row r="1021" spans="1:11" ht="100.8" hidden="1" x14ac:dyDescent="0.3">
      <c r="A1021" s="5">
        <v>18784545</v>
      </c>
      <c r="B1021" s="6" t="s">
        <v>180</v>
      </c>
      <c r="C1021" s="6" t="s">
        <v>181</v>
      </c>
      <c r="D1021" s="8" t="s">
        <v>82</v>
      </c>
      <c r="E1021" s="6" t="s">
        <v>1257</v>
      </c>
      <c r="F1021" s="6" t="s">
        <v>51</v>
      </c>
      <c r="G1021" s="11" t="s">
        <v>56</v>
      </c>
      <c r="H1021" s="10" t="s">
        <v>1258</v>
      </c>
      <c r="I1021" s="6" t="s">
        <v>1259</v>
      </c>
      <c r="J1021" s="12">
        <v>46121.582928240743</v>
      </c>
      <c r="K1021" s="6" t="e" cm="1">
        <f t="array" ref="K1021">LOOKUP(2^15,SEARCH(Tabela2[Palavras-Chave],Boletim[[#This Row],[Objeto]],1),Tabela2[Palavras-Chave])</f>
        <v>#N/A</v>
      </c>
    </row>
    <row r="1022" spans="1:11" ht="28.8" hidden="1" x14ac:dyDescent="0.3">
      <c r="A1022" s="5">
        <v>18801521</v>
      </c>
      <c r="B1022" s="6" t="s">
        <v>365</v>
      </c>
      <c r="C1022" s="6" t="s">
        <v>366</v>
      </c>
      <c r="D1022" s="8" t="s">
        <v>82</v>
      </c>
      <c r="E1022" s="6" t="s">
        <v>314</v>
      </c>
      <c r="F1022" s="6" t="s">
        <v>51</v>
      </c>
      <c r="G1022" s="11">
        <v>46122.708333333336</v>
      </c>
      <c r="H1022" s="10" t="s">
        <v>367</v>
      </c>
      <c r="I1022" s="6" t="s">
        <v>368</v>
      </c>
      <c r="J1022" s="12">
        <v>46121.586921296293</v>
      </c>
      <c r="K1022" s="6" t="e" cm="1">
        <f t="array" ref="K1022">LOOKUP(2^15,SEARCH(Tabela2[Palavras-Chave],Boletim[[#This Row],[Objeto]],1),Tabela2[Palavras-Chave])</f>
        <v>#N/A</v>
      </c>
    </row>
    <row r="1023" spans="1:11" ht="57.6" x14ac:dyDescent="0.3">
      <c r="A1023" s="5">
        <v>18801515</v>
      </c>
      <c r="B1023" s="6" t="s">
        <v>365</v>
      </c>
      <c r="C1023" s="6" t="s">
        <v>366</v>
      </c>
      <c r="D1023" s="8" t="s">
        <v>82</v>
      </c>
      <c r="E1023" s="6" t="s">
        <v>371</v>
      </c>
      <c r="F1023" s="6" t="s">
        <v>51</v>
      </c>
      <c r="G1023" s="11">
        <v>46122.725694444445</v>
      </c>
      <c r="H1023" s="10" t="s">
        <v>372</v>
      </c>
      <c r="I1023" s="6" t="s">
        <v>373</v>
      </c>
      <c r="J1023" s="12">
        <v>46121.58693287037</v>
      </c>
      <c r="K1023" s="6" t="str" cm="1">
        <f t="array" ref="K1023">LOOKUP(2^15,SEARCH(Tabela2[Palavras-Chave],Boletim[[#This Row],[Objeto]],1),Tabela2[Palavras-Chave])</f>
        <v>RESERVAT</v>
      </c>
    </row>
    <row r="1024" spans="1:11" ht="115.2" hidden="1" x14ac:dyDescent="0.3">
      <c r="A1024" s="5">
        <v>18809559</v>
      </c>
      <c r="B1024" s="6" t="s">
        <v>217</v>
      </c>
      <c r="C1024" s="6" t="s">
        <v>216</v>
      </c>
      <c r="D1024" s="8" t="s">
        <v>82</v>
      </c>
      <c r="E1024" s="6" t="s">
        <v>1260</v>
      </c>
      <c r="F1024" s="6" t="s">
        <v>51</v>
      </c>
      <c r="G1024" s="11">
        <v>46126.332638888889</v>
      </c>
      <c r="H1024" s="10" t="s">
        <v>1261</v>
      </c>
      <c r="I1024" s="6" t="s">
        <v>1262</v>
      </c>
      <c r="J1024" s="12">
        <v>46121.619780092595</v>
      </c>
      <c r="K1024" s="6" t="e" cm="1">
        <f t="array" ref="K1024">LOOKUP(2^15,SEARCH(Tabela2[Palavras-Chave],Boletim[[#This Row],[Objeto]],1),Tabela2[Palavras-Chave])</f>
        <v>#N/A</v>
      </c>
    </row>
    <row r="1025" spans="1:11" ht="86.4" hidden="1" x14ac:dyDescent="0.3">
      <c r="A1025" s="5">
        <v>18806690</v>
      </c>
      <c r="B1025" s="6" t="s">
        <v>1263</v>
      </c>
      <c r="C1025" s="6" t="s">
        <v>280</v>
      </c>
      <c r="D1025" s="8" t="s">
        <v>82</v>
      </c>
      <c r="E1025" s="6" t="s">
        <v>228</v>
      </c>
      <c r="F1025" s="6" t="s">
        <v>51</v>
      </c>
      <c r="G1025" s="11">
        <v>46125.632638888892</v>
      </c>
      <c r="H1025" s="10" t="s">
        <v>1264</v>
      </c>
      <c r="I1025" s="6" t="s">
        <v>1265</v>
      </c>
      <c r="J1025" s="12">
        <v>46121.623888888891</v>
      </c>
      <c r="K1025" s="6" t="e" cm="1">
        <f t="array" ref="K1025">LOOKUP(2^15,SEARCH(Tabela2[Palavras-Chave],Boletim[[#This Row],[Objeto]],1),Tabela2[Palavras-Chave])</f>
        <v>#N/A</v>
      </c>
    </row>
    <row r="1026" spans="1:11" ht="201.6" hidden="1" x14ac:dyDescent="0.3">
      <c r="A1026" s="5">
        <v>18807266</v>
      </c>
      <c r="B1026" s="6" t="s">
        <v>1266</v>
      </c>
      <c r="C1026" s="6" t="s">
        <v>1267</v>
      </c>
      <c r="D1026" s="8" t="s">
        <v>82</v>
      </c>
      <c r="E1026" s="6" t="s">
        <v>185</v>
      </c>
      <c r="F1026" s="6" t="s">
        <v>51</v>
      </c>
      <c r="G1026" s="11">
        <v>46121.875</v>
      </c>
      <c r="H1026" s="10" t="s">
        <v>1268</v>
      </c>
      <c r="I1026" s="6" t="s">
        <v>1269</v>
      </c>
      <c r="J1026" s="12">
        <v>46121.645254629628</v>
      </c>
      <c r="K1026" s="6" t="e" cm="1">
        <f t="array" ref="K1026">LOOKUP(2^15,SEARCH(Tabela2[Palavras-Chave],Boletim[[#This Row],[Objeto]],1),Tabela2[Palavras-Chave])</f>
        <v>#N/A</v>
      </c>
    </row>
    <row r="1027" spans="1:11" ht="86.4" hidden="1" x14ac:dyDescent="0.3">
      <c r="A1027" s="5">
        <v>18809064</v>
      </c>
      <c r="B1027" s="6" t="s">
        <v>377</v>
      </c>
      <c r="C1027" s="6" t="s">
        <v>378</v>
      </c>
      <c r="D1027" s="8" t="s">
        <v>82</v>
      </c>
      <c r="E1027" s="6" t="s">
        <v>1270</v>
      </c>
      <c r="F1027" s="6" t="s">
        <v>51</v>
      </c>
      <c r="G1027" s="11">
        <v>46126.583333333336</v>
      </c>
      <c r="H1027" s="10" t="s">
        <v>1271</v>
      </c>
      <c r="I1027" s="6" t="s">
        <v>1272</v>
      </c>
      <c r="J1027" s="12">
        <v>46121.701215277775</v>
      </c>
      <c r="K1027" s="6" t="e" cm="1">
        <f t="array" ref="K1027">LOOKUP(2^15,SEARCH(Tabela2[Palavras-Chave],Boletim[[#This Row],[Objeto]],1),Tabela2[Palavras-Chave])</f>
        <v>#N/A</v>
      </c>
    </row>
    <row r="1028" spans="1:11" ht="100.8" hidden="1" x14ac:dyDescent="0.3">
      <c r="A1028" s="5">
        <v>18806785</v>
      </c>
      <c r="B1028" s="6" t="s">
        <v>1273</v>
      </c>
      <c r="C1028" s="6" t="s">
        <v>83</v>
      </c>
      <c r="D1028" s="8" t="s">
        <v>82</v>
      </c>
      <c r="E1028" s="6" t="s">
        <v>192</v>
      </c>
      <c r="F1028" s="6" t="s">
        <v>51</v>
      </c>
      <c r="G1028" s="11">
        <v>46127.333333333336</v>
      </c>
      <c r="H1028" s="10" t="s">
        <v>1274</v>
      </c>
      <c r="I1028" s="6" t="s">
        <v>1275</v>
      </c>
      <c r="J1028" s="12">
        <v>46121.701261574075</v>
      </c>
      <c r="K1028" s="6" t="e" cm="1">
        <f t="array" ref="K1028">LOOKUP(2^15,SEARCH(Tabela2[Palavras-Chave],Boletim[[#This Row],[Objeto]],1),Tabela2[Palavras-Chave])</f>
        <v>#N/A</v>
      </c>
    </row>
    <row r="1029" spans="1:11" ht="57.6" hidden="1" x14ac:dyDescent="0.3">
      <c r="A1029" s="5">
        <v>18807901</v>
      </c>
      <c r="B1029" s="6" t="s">
        <v>1276</v>
      </c>
      <c r="C1029" s="6" t="s">
        <v>1277</v>
      </c>
      <c r="D1029" s="8" t="s">
        <v>82</v>
      </c>
      <c r="E1029" s="6" t="s">
        <v>370</v>
      </c>
      <c r="F1029" s="6" t="s">
        <v>51</v>
      </c>
      <c r="G1029" s="11">
        <v>46125.333333333336</v>
      </c>
      <c r="H1029" s="10" t="s">
        <v>1278</v>
      </c>
      <c r="I1029" s="6" t="s">
        <v>1279</v>
      </c>
      <c r="J1029" s="12">
        <v>46121.706550925926</v>
      </c>
      <c r="K1029" s="6" t="e" cm="1">
        <f t="array" ref="K1029">LOOKUP(2^15,SEARCH(Tabela2[Palavras-Chave],Boletim[[#This Row],[Objeto]],1),Tabela2[Palavras-Chave])</f>
        <v>#N/A</v>
      </c>
    </row>
    <row r="1030" spans="1:11" ht="43.2" hidden="1" x14ac:dyDescent="0.3">
      <c r="A1030" s="5">
        <v>18809901</v>
      </c>
      <c r="B1030" s="6" t="s">
        <v>365</v>
      </c>
      <c r="C1030" s="6" t="s">
        <v>366</v>
      </c>
      <c r="D1030" s="8" t="s">
        <v>82</v>
      </c>
      <c r="E1030" s="6" t="s">
        <v>1280</v>
      </c>
      <c r="F1030" s="6" t="s">
        <v>51</v>
      </c>
      <c r="G1030" s="11">
        <v>46126.708333333336</v>
      </c>
      <c r="H1030" s="10" t="s">
        <v>1281</v>
      </c>
      <c r="I1030" s="6" t="s">
        <v>1282</v>
      </c>
      <c r="J1030" s="12">
        <v>46121.709236111114</v>
      </c>
      <c r="K1030" s="6" t="str" cm="1">
        <f t="array" ref="K1030">LOOKUP(2^15,SEARCH(Tabela2[Palavras-Chave],Boletim[[#This Row],[Objeto]],1),Tabela2[Palavras-Chave])</f>
        <v>ACOPLAMENTO</v>
      </c>
    </row>
    <row r="1031" spans="1:11" ht="100.8" hidden="1" x14ac:dyDescent="0.3">
      <c r="A1031" s="5">
        <v>18806663</v>
      </c>
      <c r="B1031" s="6" t="s">
        <v>1283</v>
      </c>
      <c r="C1031" s="6" t="s">
        <v>382</v>
      </c>
      <c r="D1031" s="8" t="s">
        <v>82</v>
      </c>
      <c r="E1031" s="6" t="s">
        <v>1284</v>
      </c>
      <c r="F1031" s="6" t="s">
        <v>51</v>
      </c>
      <c r="G1031" s="11">
        <v>46127.374305555553</v>
      </c>
      <c r="H1031" s="10" t="s">
        <v>1285</v>
      </c>
      <c r="I1031" s="6" t="s">
        <v>1286</v>
      </c>
      <c r="J1031" s="12">
        <v>46121.71534722222</v>
      </c>
      <c r="K1031" s="6" t="e" cm="1">
        <f t="array" ref="K1031">LOOKUP(2^15,SEARCH(Tabela2[Palavras-Chave],Boletim[[#This Row],[Objeto]],1),Tabela2[Palavras-Chave])</f>
        <v>#N/A</v>
      </c>
    </row>
    <row r="1032" spans="1:11" ht="100.8" hidden="1" x14ac:dyDescent="0.3">
      <c r="A1032" s="5">
        <v>18806711</v>
      </c>
      <c r="B1032" s="6" t="s">
        <v>2954</v>
      </c>
      <c r="C1032" s="6" t="s">
        <v>369</v>
      </c>
      <c r="D1032" s="8" t="s">
        <v>82</v>
      </c>
      <c r="E1032" s="6" t="s">
        <v>239</v>
      </c>
      <c r="F1032" s="6" t="s">
        <v>51</v>
      </c>
      <c r="G1032" s="11">
        <v>46126.333333333336</v>
      </c>
      <c r="H1032" s="10" t="s">
        <v>2955</v>
      </c>
      <c r="I1032" s="6" t="s">
        <v>2956</v>
      </c>
      <c r="J1032" s="12">
        <v>46121.721041666664</v>
      </c>
      <c r="K1032" s="6" t="e" cm="1">
        <f t="array" ref="K1032">LOOKUP(2^15,SEARCH(Tabela2[Palavras-Chave],Boletim[[#This Row],[Objeto]],1),Tabela2[Palavras-Chave])</f>
        <v>#N/A</v>
      </c>
    </row>
    <row r="1033" spans="1:11" ht="115.2" hidden="1" x14ac:dyDescent="0.3">
      <c r="A1033" s="5">
        <v>18793036</v>
      </c>
      <c r="B1033" s="6" t="s">
        <v>1287</v>
      </c>
      <c r="C1033" s="6" t="s">
        <v>375</v>
      </c>
      <c r="D1033" s="8" t="s">
        <v>82</v>
      </c>
      <c r="E1033" s="6" t="s">
        <v>208</v>
      </c>
      <c r="F1033" s="6" t="s">
        <v>51</v>
      </c>
      <c r="G1033" s="11">
        <v>46125.375</v>
      </c>
      <c r="H1033" s="10" t="s">
        <v>1288</v>
      </c>
      <c r="I1033" s="6" t="s">
        <v>1289</v>
      </c>
      <c r="J1033" s="12">
        <v>46121.741759259261</v>
      </c>
      <c r="K1033" s="6" t="e" cm="1">
        <f t="array" ref="K1033">LOOKUP(2^15,SEARCH(Tabela2[Palavras-Chave],Boletim[[#This Row],[Objeto]],1),Tabela2[Palavras-Chave])</f>
        <v>#N/A</v>
      </c>
    </row>
    <row r="1034" spans="1:11" ht="57.6" hidden="1" x14ac:dyDescent="0.3">
      <c r="A1034" s="5">
        <v>18810666</v>
      </c>
      <c r="B1034" s="6" t="s">
        <v>611</v>
      </c>
      <c r="C1034" s="6" t="s">
        <v>226</v>
      </c>
      <c r="D1034" s="8" t="s">
        <v>82</v>
      </c>
      <c r="E1034" s="6" t="s">
        <v>116</v>
      </c>
      <c r="F1034" s="6" t="s">
        <v>51</v>
      </c>
      <c r="G1034" s="11">
        <v>46121</v>
      </c>
      <c r="H1034" s="10" t="s">
        <v>2957</v>
      </c>
      <c r="I1034" s="6" t="s">
        <v>2958</v>
      </c>
      <c r="J1034" s="12">
        <v>46121.742731481485</v>
      </c>
      <c r="K1034" s="6" t="e" cm="1">
        <f t="array" ref="K1034">LOOKUP(2^15,SEARCH(Tabela2[Palavras-Chave],Boletim[[#This Row],[Objeto]],1),Tabela2[Palavras-Chave])</f>
        <v>#N/A</v>
      </c>
    </row>
    <row r="1035" spans="1:11" ht="273.60000000000002" hidden="1" x14ac:dyDescent="0.3">
      <c r="A1035" s="5">
        <v>18808010</v>
      </c>
      <c r="B1035" s="6" t="s">
        <v>1290</v>
      </c>
      <c r="C1035" s="6" t="s">
        <v>1291</v>
      </c>
      <c r="D1035" s="8" t="s">
        <v>82</v>
      </c>
      <c r="E1035" s="6" t="s">
        <v>1292</v>
      </c>
      <c r="F1035" s="6" t="s">
        <v>51</v>
      </c>
      <c r="G1035" s="11" t="s">
        <v>56</v>
      </c>
      <c r="H1035" s="10" t="s">
        <v>1293</v>
      </c>
      <c r="I1035" s="6" t="s">
        <v>1294</v>
      </c>
      <c r="J1035" s="12">
        <v>46121.755439814813</v>
      </c>
      <c r="K1035" s="6" t="e" cm="1">
        <f t="array" ref="K1035">LOOKUP(2^15,SEARCH(Tabela2[Palavras-Chave],Boletim[[#This Row],[Objeto]],1),Tabela2[Palavras-Chave])</f>
        <v>#N/A</v>
      </c>
    </row>
    <row r="1036" spans="1:11" ht="259.2" hidden="1" x14ac:dyDescent="0.3">
      <c r="A1036" s="5">
        <v>18807978</v>
      </c>
      <c r="B1036" s="6" t="s">
        <v>1290</v>
      </c>
      <c r="C1036" s="6" t="s">
        <v>1291</v>
      </c>
      <c r="D1036" s="8" t="s">
        <v>82</v>
      </c>
      <c r="E1036" s="6" t="s">
        <v>726</v>
      </c>
      <c r="F1036" s="6" t="s">
        <v>51</v>
      </c>
      <c r="G1036" s="11" t="s">
        <v>56</v>
      </c>
      <c r="H1036" s="10" t="s">
        <v>2959</v>
      </c>
      <c r="I1036" s="6" t="s">
        <v>2960</v>
      </c>
      <c r="J1036" s="12">
        <v>46121.777731481481</v>
      </c>
      <c r="K1036" s="6" t="e" cm="1">
        <f t="array" ref="K1036">LOOKUP(2^15,SEARCH(Tabela2[Palavras-Chave],Boletim[[#This Row],[Objeto]],1),Tabela2[Palavras-Chave])</f>
        <v>#N/A</v>
      </c>
    </row>
    <row r="1037" spans="1:11" ht="100.8" hidden="1" x14ac:dyDescent="0.3">
      <c r="A1037" s="5">
        <v>18810783</v>
      </c>
      <c r="B1037" s="6" t="s">
        <v>1295</v>
      </c>
      <c r="C1037" s="6" t="s">
        <v>83</v>
      </c>
      <c r="D1037" s="8" t="s">
        <v>82</v>
      </c>
      <c r="E1037" s="6" t="s">
        <v>381</v>
      </c>
      <c r="F1037" s="6" t="s">
        <v>51</v>
      </c>
      <c r="G1037" s="11">
        <v>46125.333333333336</v>
      </c>
      <c r="H1037" s="10" t="s">
        <v>1296</v>
      </c>
      <c r="I1037" s="6" t="s">
        <v>1297</v>
      </c>
      <c r="J1037" s="12">
        <v>46121.782951388886</v>
      </c>
      <c r="K1037" s="6" t="e" cm="1">
        <f t="array" ref="K1037">LOOKUP(2^15,SEARCH(Tabela2[Palavras-Chave],Boletim[[#This Row],[Objeto]],1),Tabela2[Palavras-Chave])</f>
        <v>#N/A</v>
      </c>
    </row>
    <row r="1038" spans="1:11" ht="144" hidden="1" x14ac:dyDescent="0.3">
      <c r="A1038" s="5">
        <v>18810846</v>
      </c>
      <c r="B1038" s="6" t="s">
        <v>1298</v>
      </c>
      <c r="C1038" s="6" t="s">
        <v>1299</v>
      </c>
      <c r="D1038" s="8" t="s">
        <v>82</v>
      </c>
      <c r="E1038" s="6" t="s">
        <v>1300</v>
      </c>
      <c r="F1038" s="6" t="s">
        <v>51</v>
      </c>
      <c r="G1038" s="11">
        <v>46126.333333333336</v>
      </c>
      <c r="H1038" s="10" t="s">
        <v>1301</v>
      </c>
      <c r="I1038" s="6" t="s">
        <v>1302</v>
      </c>
      <c r="J1038" s="12">
        <v>46121.783668981479</v>
      </c>
      <c r="K1038" s="6" t="e" cm="1">
        <f t="array" ref="K1038">LOOKUP(2^15,SEARCH(Tabela2[Palavras-Chave],Boletim[[#This Row],[Objeto]],1),Tabela2[Palavras-Chave])</f>
        <v>#N/A</v>
      </c>
    </row>
    <row r="1039" spans="1:11" ht="100.8" hidden="1" x14ac:dyDescent="0.3">
      <c r="A1039" s="5">
        <v>18809281</v>
      </c>
      <c r="B1039" s="6" t="s">
        <v>1303</v>
      </c>
      <c r="C1039" s="6" t="s">
        <v>83</v>
      </c>
      <c r="D1039" s="8" t="s">
        <v>82</v>
      </c>
      <c r="E1039" s="6" t="s">
        <v>1304</v>
      </c>
      <c r="F1039" s="6" t="s">
        <v>51</v>
      </c>
      <c r="G1039" s="11">
        <v>46127.354166666664</v>
      </c>
      <c r="H1039" s="10" t="s">
        <v>1305</v>
      </c>
      <c r="I1039" s="6" t="s">
        <v>1306</v>
      </c>
      <c r="J1039" s="12">
        <v>46121.784016203703</v>
      </c>
      <c r="K1039" s="6" t="e" cm="1">
        <f t="array" ref="K1039">LOOKUP(2^15,SEARCH(Tabela2[Palavras-Chave],Boletim[[#This Row],[Objeto]],1),Tabela2[Palavras-Chave])</f>
        <v>#N/A</v>
      </c>
    </row>
    <row r="1040" spans="1:11" ht="100.8" hidden="1" x14ac:dyDescent="0.3">
      <c r="A1040" s="5">
        <v>18809342</v>
      </c>
      <c r="B1040" s="6" t="s">
        <v>1307</v>
      </c>
      <c r="C1040" s="6" t="s">
        <v>1308</v>
      </c>
      <c r="D1040" s="8" t="s">
        <v>82</v>
      </c>
      <c r="E1040" s="6" t="s">
        <v>275</v>
      </c>
      <c r="F1040" s="6" t="s">
        <v>51</v>
      </c>
      <c r="G1040" s="11">
        <v>46127.333333333336</v>
      </c>
      <c r="H1040" s="10" t="s">
        <v>1309</v>
      </c>
      <c r="I1040" s="6" t="s">
        <v>1310</v>
      </c>
      <c r="J1040" s="12">
        <v>46121.790497685186</v>
      </c>
      <c r="K1040" s="6" t="e" cm="1">
        <f t="array" ref="K1040">LOOKUP(2^15,SEARCH(Tabela2[Palavras-Chave],Boletim[[#This Row],[Objeto]],1),Tabela2[Palavras-Chave])</f>
        <v>#N/A</v>
      </c>
    </row>
    <row r="1041" spans="1:11" ht="273.60000000000002" hidden="1" x14ac:dyDescent="0.3">
      <c r="A1041" s="5">
        <v>18811328</v>
      </c>
      <c r="B1041" s="6" t="s">
        <v>1290</v>
      </c>
      <c r="C1041" s="6" t="s">
        <v>1291</v>
      </c>
      <c r="D1041" s="8" t="s">
        <v>82</v>
      </c>
      <c r="E1041" s="6" t="s">
        <v>1311</v>
      </c>
      <c r="F1041" s="6" t="s">
        <v>51</v>
      </c>
      <c r="G1041" s="11" t="s">
        <v>56</v>
      </c>
      <c r="H1041" s="10" t="s">
        <v>1312</v>
      </c>
      <c r="I1041" s="6" t="s">
        <v>1313</v>
      </c>
      <c r="J1041" s="12">
        <v>46121.838912037034</v>
      </c>
      <c r="K1041" s="6" t="e" cm="1">
        <f t="array" ref="K1041">LOOKUP(2^15,SEARCH(Tabela2[Palavras-Chave],Boletim[[#This Row],[Objeto]],1),Tabela2[Palavras-Chave])</f>
        <v>#N/A</v>
      </c>
    </row>
    <row r="1042" spans="1:11" ht="273.60000000000002" hidden="1" x14ac:dyDescent="0.3">
      <c r="A1042" s="5">
        <v>18811340</v>
      </c>
      <c r="B1042" s="6" t="s">
        <v>1290</v>
      </c>
      <c r="C1042" s="6" t="s">
        <v>1291</v>
      </c>
      <c r="D1042" s="8" t="s">
        <v>82</v>
      </c>
      <c r="E1042" s="6" t="s">
        <v>281</v>
      </c>
      <c r="F1042" s="6" t="s">
        <v>51</v>
      </c>
      <c r="G1042" s="11" t="s">
        <v>56</v>
      </c>
      <c r="H1042" s="10" t="s">
        <v>1314</v>
      </c>
      <c r="I1042" s="6" t="s">
        <v>1315</v>
      </c>
      <c r="J1042" s="12">
        <v>46121.839629629627</v>
      </c>
      <c r="K1042" s="6" t="e" cm="1">
        <f t="array" ref="K1042">LOOKUP(2^15,SEARCH(Tabela2[Palavras-Chave],Boletim[[#This Row],[Objeto]],1),Tabela2[Palavras-Chave])</f>
        <v>#N/A</v>
      </c>
    </row>
    <row r="1043" spans="1:11" ht="28.8" hidden="1" x14ac:dyDescent="0.3">
      <c r="A1043" s="5">
        <v>18811406</v>
      </c>
      <c r="B1043" s="6" t="s">
        <v>376</v>
      </c>
      <c r="C1043" s="6" t="s">
        <v>250</v>
      </c>
      <c r="D1043" s="8" t="s">
        <v>82</v>
      </c>
      <c r="E1043" s="6" t="s">
        <v>116</v>
      </c>
      <c r="F1043" s="6" t="s">
        <v>51</v>
      </c>
      <c r="G1043" s="11" t="s">
        <v>56</v>
      </c>
      <c r="H1043" s="10" t="s">
        <v>2961</v>
      </c>
      <c r="I1043" s="6" t="s">
        <v>2962</v>
      </c>
      <c r="J1043" s="12">
        <v>46121.849618055552</v>
      </c>
      <c r="K1043" s="6" t="e" cm="1">
        <f t="array" ref="K1043">LOOKUP(2^15,SEARCH(Tabela2[Palavras-Chave],Boletim[[#This Row],[Objeto]],1),Tabela2[Palavras-Chave])</f>
        <v>#N/A</v>
      </c>
    </row>
    <row r="1044" spans="1:11" ht="115.2" hidden="1" x14ac:dyDescent="0.3">
      <c r="A1044" s="5">
        <v>18811499</v>
      </c>
      <c r="B1044" s="6" t="s">
        <v>2963</v>
      </c>
      <c r="C1044" s="6" t="s">
        <v>2964</v>
      </c>
      <c r="D1044" s="8" t="s">
        <v>82</v>
      </c>
      <c r="E1044" s="6" t="s">
        <v>2965</v>
      </c>
      <c r="F1044" s="6" t="s">
        <v>51</v>
      </c>
      <c r="G1044" s="11" t="s">
        <v>56</v>
      </c>
      <c r="H1044" s="10" t="s">
        <v>2966</v>
      </c>
      <c r="I1044" s="6" t="s">
        <v>2967</v>
      </c>
      <c r="J1044" s="12">
        <v>46121.87222222222</v>
      </c>
      <c r="K1044" s="6" t="e" cm="1">
        <f t="array" ref="K1044">LOOKUP(2^15,SEARCH(Tabela2[Palavras-Chave],Boletim[[#This Row],[Objeto]],1),Tabela2[Palavras-Chave])</f>
        <v>#N/A</v>
      </c>
    </row>
    <row r="1045" spans="1:11" ht="158.4" hidden="1" x14ac:dyDescent="0.3">
      <c r="A1045" s="5">
        <v>18797542</v>
      </c>
      <c r="B1045" s="6" t="s">
        <v>566</v>
      </c>
      <c r="C1045" s="6" t="s">
        <v>567</v>
      </c>
      <c r="D1045" s="8" t="s">
        <v>66</v>
      </c>
      <c r="E1045" s="6" t="s">
        <v>1316</v>
      </c>
      <c r="F1045" s="6" t="s">
        <v>85</v>
      </c>
      <c r="G1045" s="11" t="s">
        <v>56</v>
      </c>
      <c r="H1045" s="10" t="s">
        <v>1317</v>
      </c>
      <c r="I1045" s="6" t="s">
        <v>1318</v>
      </c>
      <c r="J1045" s="12">
        <v>46121.412858796299</v>
      </c>
      <c r="K1045" s="6" t="e" cm="1">
        <f t="array" ref="K1045">LOOKUP(2^15,SEARCH(Tabela2[Palavras-Chave],Boletim[[#This Row],[Objeto]],1),Tabela2[Palavras-Chave])</f>
        <v>#N/A</v>
      </c>
    </row>
    <row r="1046" spans="1:11" ht="72" hidden="1" x14ac:dyDescent="0.3">
      <c r="A1046" s="5">
        <v>18758652</v>
      </c>
      <c r="B1046" s="6" t="s">
        <v>2968</v>
      </c>
      <c r="C1046" s="6" t="s">
        <v>2969</v>
      </c>
      <c r="D1046" s="8" t="s">
        <v>72</v>
      </c>
      <c r="E1046" s="6" t="s">
        <v>2858</v>
      </c>
      <c r="F1046" s="6" t="s">
        <v>85</v>
      </c>
      <c r="G1046" s="11" t="s">
        <v>56</v>
      </c>
      <c r="H1046" s="10" t="s">
        <v>2970</v>
      </c>
      <c r="I1046" s="6" t="s">
        <v>2971</v>
      </c>
      <c r="J1046" s="12">
        <v>46121.584745370368</v>
      </c>
      <c r="K1046" s="6" t="e" cm="1">
        <f t="array" ref="K1046">LOOKUP(2^15,SEARCH(Tabela2[Palavras-Chave],Boletim[[#This Row],[Objeto]],1),Tabela2[Palavras-Chave])</f>
        <v>#N/A</v>
      </c>
    </row>
    <row r="1047" spans="1:11" ht="100.8" hidden="1" x14ac:dyDescent="0.3">
      <c r="A1047" s="5">
        <v>18807427</v>
      </c>
      <c r="B1047" s="6" t="s">
        <v>74</v>
      </c>
      <c r="C1047" s="6" t="s">
        <v>162</v>
      </c>
      <c r="D1047" s="8" t="s">
        <v>144</v>
      </c>
      <c r="E1047" s="6" t="s">
        <v>1319</v>
      </c>
      <c r="F1047" s="6" t="s">
        <v>85</v>
      </c>
      <c r="G1047" s="11" t="s">
        <v>56</v>
      </c>
      <c r="H1047" s="10" t="s">
        <v>1320</v>
      </c>
      <c r="I1047" s="6" t="s">
        <v>1321</v>
      </c>
      <c r="J1047" s="12">
        <v>46121.447256944448</v>
      </c>
      <c r="K1047" s="6" t="e" cm="1">
        <f t="array" ref="K1047">LOOKUP(2^15,SEARCH(Tabela2[Palavras-Chave],Boletim[[#This Row],[Objeto]],1),Tabela2[Palavras-Chave])</f>
        <v>#N/A</v>
      </c>
    </row>
    <row r="1048" spans="1:11" ht="100.8" hidden="1" x14ac:dyDescent="0.3">
      <c r="A1048" s="5">
        <v>18807564</v>
      </c>
      <c r="B1048" s="6" t="s">
        <v>74</v>
      </c>
      <c r="C1048" s="6" t="s">
        <v>162</v>
      </c>
      <c r="D1048" s="8" t="s">
        <v>144</v>
      </c>
      <c r="E1048" s="6" t="s">
        <v>2972</v>
      </c>
      <c r="F1048" s="6" t="s">
        <v>85</v>
      </c>
      <c r="G1048" s="11" t="s">
        <v>56</v>
      </c>
      <c r="H1048" s="10" t="s">
        <v>2973</v>
      </c>
      <c r="I1048" s="6" t="s">
        <v>1321</v>
      </c>
      <c r="J1048" s="12">
        <v>46121.450046296297</v>
      </c>
      <c r="K1048" s="6" t="e" cm="1">
        <f t="array" ref="K1048">LOOKUP(2^15,SEARCH(Tabela2[Palavras-Chave],Boletim[[#This Row],[Objeto]],1),Tabela2[Palavras-Chave])</f>
        <v>#N/A</v>
      </c>
    </row>
    <row r="1049" spans="1:11" ht="409.6" x14ac:dyDescent="0.3">
      <c r="A1049" s="5">
        <v>18807909</v>
      </c>
      <c r="B1049" s="6" t="s">
        <v>1322</v>
      </c>
      <c r="C1049" s="6" t="s">
        <v>162</v>
      </c>
      <c r="D1049" s="8" t="s">
        <v>144</v>
      </c>
      <c r="E1049" s="6" t="s">
        <v>110</v>
      </c>
      <c r="F1049" s="6" t="s">
        <v>85</v>
      </c>
      <c r="G1049" s="11" t="s">
        <v>56</v>
      </c>
      <c r="H1049" s="10" t="s">
        <v>1323</v>
      </c>
      <c r="I1049" s="6" t="s">
        <v>1324</v>
      </c>
      <c r="J1049" s="12">
        <v>46121.523125</v>
      </c>
      <c r="K1049" s="6" t="str" cm="1">
        <f t="array" ref="K1049">LOOKUP(2^15,SEARCH(Tabela2[Palavras-Chave],Boletim[[#This Row],[Objeto]],1),Tabela2[Palavras-Chave])</f>
        <v>INOX</v>
      </c>
    </row>
    <row r="1050" spans="1:11" ht="409.6" hidden="1" x14ac:dyDescent="0.3">
      <c r="A1050" s="5">
        <v>18807689</v>
      </c>
      <c r="B1050" s="6" t="s">
        <v>2974</v>
      </c>
      <c r="C1050" s="6" t="s">
        <v>162</v>
      </c>
      <c r="D1050" s="8" t="s">
        <v>144</v>
      </c>
      <c r="E1050" s="6" t="s">
        <v>172</v>
      </c>
      <c r="F1050" s="6" t="s">
        <v>85</v>
      </c>
      <c r="G1050" s="11" t="s">
        <v>56</v>
      </c>
      <c r="H1050" s="10" t="s">
        <v>2975</v>
      </c>
      <c r="I1050" s="6" t="s">
        <v>2976</v>
      </c>
      <c r="J1050" s="12">
        <v>46121.724212962959</v>
      </c>
      <c r="K1050" s="6" t="e" cm="1">
        <f t="array" ref="K1050">LOOKUP(2^15,SEARCH(Tabela2[Palavras-Chave],Boletim[[#This Row],[Objeto]],1),Tabela2[Palavras-Chave])</f>
        <v>#N/A</v>
      </c>
    </row>
    <row r="1051" spans="1:11" ht="115.2" hidden="1" x14ac:dyDescent="0.3">
      <c r="A1051" s="5">
        <v>18808262</v>
      </c>
      <c r="B1051" s="6" t="s">
        <v>1325</v>
      </c>
      <c r="C1051" s="6" t="s">
        <v>162</v>
      </c>
      <c r="D1051" s="8" t="s">
        <v>144</v>
      </c>
      <c r="E1051" s="6" t="s">
        <v>1326</v>
      </c>
      <c r="F1051" s="6" t="s">
        <v>85</v>
      </c>
      <c r="G1051" s="11" t="s">
        <v>56</v>
      </c>
      <c r="H1051" s="10" t="s">
        <v>1327</v>
      </c>
      <c r="I1051" s="6" t="s">
        <v>1328</v>
      </c>
      <c r="J1051" s="12">
        <v>46121.745509259257</v>
      </c>
      <c r="K1051" s="6" t="e" cm="1">
        <f t="array" ref="K1051">LOOKUP(2^15,SEARCH(Tabela2[Palavras-Chave],Boletim[[#This Row],[Objeto]],1),Tabela2[Palavras-Chave])</f>
        <v>#N/A</v>
      </c>
    </row>
    <row r="1052" spans="1:11" ht="72" hidden="1" x14ac:dyDescent="0.3">
      <c r="A1052" s="5">
        <v>18810333</v>
      </c>
      <c r="B1052" s="6" t="s">
        <v>2977</v>
      </c>
      <c r="C1052" s="6" t="s">
        <v>2978</v>
      </c>
      <c r="D1052" s="8" t="s">
        <v>144</v>
      </c>
      <c r="E1052" s="6" t="s">
        <v>173</v>
      </c>
      <c r="F1052" s="6" t="s">
        <v>85</v>
      </c>
      <c r="G1052" s="11">
        <v>46139.375</v>
      </c>
      <c r="H1052" s="10" t="s">
        <v>2979</v>
      </c>
      <c r="I1052" s="6" t="s">
        <v>2980</v>
      </c>
      <c r="J1052" s="12">
        <v>46121.853032407409</v>
      </c>
      <c r="K1052" s="6" t="e" cm="1">
        <f t="array" ref="K1052">LOOKUP(2^15,SEARCH(Tabela2[Palavras-Chave],Boletim[[#This Row],[Objeto]],1),Tabela2[Palavras-Chave])</f>
        <v>#N/A</v>
      </c>
    </row>
    <row r="1053" spans="1:11" ht="100.8" hidden="1" x14ac:dyDescent="0.3">
      <c r="A1053" s="5">
        <v>18807429</v>
      </c>
      <c r="B1053" s="6" t="s">
        <v>74</v>
      </c>
      <c r="C1053" s="6" t="s">
        <v>87</v>
      </c>
      <c r="D1053" s="8" t="s">
        <v>86</v>
      </c>
      <c r="E1053" s="6" t="s">
        <v>1319</v>
      </c>
      <c r="F1053" s="6" t="s">
        <v>85</v>
      </c>
      <c r="G1053" s="11" t="s">
        <v>56</v>
      </c>
      <c r="H1053" s="10" t="s">
        <v>1320</v>
      </c>
      <c r="I1053" s="6" t="s">
        <v>1321</v>
      </c>
      <c r="J1053" s="12">
        <v>46121.447268518517</v>
      </c>
      <c r="K1053" s="6" t="e" cm="1">
        <f t="array" ref="K1053">LOOKUP(2^15,SEARCH(Tabela2[Palavras-Chave],Boletim[[#This Row],[Objeto]],1),Tabela2[Palavras-Chave])</f>
        <v>#N/A</v>
      </c>
    </row>
    <row r="1054" spans="1:11" ht="100.8" hidden="1" x14ac:dyDescent="0.3">
      <c r="A1054" s="5">
        <v>18807565</v>
      </c>
      <c r="B1054" s="6" t="s">
        <v>74</v>
      </c>
      <c r="C1054" s="6" t="s">
        <v>87</v>
      </c>
      <c r="D1054" s="8" t="s">
        <v>86</v>
      </c>
      <c r="E1054" s="6" t="s">
        <v>2972</v>
      </c>
      <c r="F1054" s="6" t="s">
        <v>85</v>
      </c>
      <c r="G1054" s="11" t="s">
        <v>56</v>
      </c>
      <c r="H1054" s="10" t="s">
        <v>2973</v>
      </c>
      <c r="I1054" s="6" t="s">
        <v>1321</v>
      </c>
      <c r="J1054" s="12">
        <v>46121.450046296297</v>
      </c>
      <c r="K1054" s="6" t="e" cm="1">
        <f t="array" ref="K1054">LOOKUP(2^15,SEARCH(Tabela2[Palavras-Chave],Boletim[[#This Row],[Objeto]],1),Tabela2[Palavras-Chave])</f>
        <v>#N/A</v>
      </c>
    </row>
    <row r="1055" spans="1:11" ht="244.8" hidden="1" x14ac:dyDescent="0.3">
      <c r="A1055" s="5">
        <v>18807118</v>
      </c>
      <c r="B1055" s="6" t="s">
        <v>1329</v>
      </c>
      <c r="C1055" s="6" t="s">
        <v>1330</v>
      </c>
      <c r="D1055" s="8" t="s">
        <v>86</v>
      </c>
      <c r="E1055" s="6" t="s">
        <v>115</v>
      </c>
      <c r="F1055" s="6" t="s">
        <v>85</v>
      </c>
      <c r="G1055" s="11" t="s">
        <v>56</v>
      </c>
      <c r="H1055" s="10" t="s">
        <v>1331</v>
      </c>
      <c r="I1055" s="6" t="s">
        <v>1332</v>
      </c>
      <c r="J1055" s="12">
        <v>46121.503460648149</v>
      </c>
      <c r="K1055" s="6" t="e" cm="1">
        <f t="array" ref="K1055">LOOKUP(2^15,SEARCH(Tabela2[Palavras-Chave],Boletim[[#This Row],[Objeto]],1),Tabela2[Palavras-Chave])</f>
        <v>#N/A</v>
      </c>
    </row>
    <row r="1056" spans="1:11" ht="43.2" hidden="1" x14ac:dyDescent="0.3">
      <c r="A1056" s="5">
        <v>18808197</v>
      </c>
      <c r="B1056" s="6" t="s">
        <v>2981</v>
      </c>
      <c r="C1056" s="6" t="s">
        <v>87</v>
      </c>
      <c r="D1056" s="8" t="s">
        <v>86</v>
      </c>
      <c r="E1056" s="6" t="s">
        <v>2982</v>
      </c>
      <c r="F1056" s="6" t="s">
        <v>85</v>
      </c>
      <c r="G1056" s="11">
        <v>46141.375</v>
      </c>
      <c r="H1056" s="10" t="s">
        <v>2983</v>
      </c>
      <c r="I1056" s="6" t="s">
        <v>2984</v>
      </c>
      <c r="J1056" s="12">
        <v>46121.554027777776</v>
      </c>
      <c r="K1056" s="6" t="e" cm="1">
        <f t="array" ref="K1056">LOOKUP(2^15,SEARCH(Tabela2[Palavras-Chave],Boletim[[#This Row],[Objeto]],1),Tabela2[Palavras-Chave])</f>
        <v>#N/A</v>
      </c>
    </row>
    <row r="1057" spans="1:11" ht="115.2" hidden="1" x14ac:dyDescent="0.3">
      <c r="A1057" s="5">
        <v>18808234</v>
      </c>
      <c r="B1057" s="6" t="s">
        <v>1333</v>
      </c>
      <c r="C1057" s="6" t="s">
        <v>1334</v>
      </c>
      <c r="D1057" s="8" t="s">
        <v>86</v>
      </c>
      <c r="E1057" s="6" t="s">
        <v>152</v>
      </c>
      <c r="F1057" s="6" t="s">
        <v>85</v>
      </c>
      <c r="G1057" s="11" t="s">
        <v>56</v>
      </c>
      <c r="H1057" s="10" t="s">
        <v>1335</v>
      </c>
      <c r="I1057" s="6" t="s">
        <v>1336</v>
      </c>
      <c r="J1057" s="12">
        <v>46121.680150462962</v>
      </c>
      <c r="K1057" s="6" t="e" cm="1">
        <f t="array" ref="K1057">LOOKUP(2^15,SEARCH(Tabela2[Palavras-Chave],Boletim[[#This Row],[Objeto]],1),Tabela2[Palavras-Chave])</f>
        <v>#N/A</v>
      </c>
    </row>
    <row r="1058" spans="1:11" ht="72" hidden="1" x14ac:dyDescent="0.3">
      <c r="A1058" s="5">
        <v>18792816</v>
      </c>
      <c r="B1058" s="6" t="s">
        <v>1337</v>
      </c>
      <c r="C1058" s="6" t="s">
        <v>87</v>
      </c>
      <c r="D1058" s="8" t="s">
        <v>86</v>
      </c>
      <c r="E1058" s="6" t="s">
        <v>1338</v>
      </c>
      <c r="F1058" s="6" t="s">
        <v>85</v>
      </c>
      <c r="G1058" s="11">
        <v>46141</v>
      </c>
      <c r="H1058" s="10" t="s">
        <v>1339</v>
      </c>
      <c r="I1058" s="6" t="s">
        <v>1340</v>
      </c>
      <c r="J1058" s="12">
        <v>46121.698645833334</v>
      </c>
      <c r="K1058" s="6" t="e" cm="1">
        <f t="array" ref="K1058">LOOKUP(2^15,SEARCH(Tabela2[Palavras-Chave],Boletim[[#This Row],[Objeto]],1),Tabela2[Palavras-Chave])</f>
        <v>#N/A</v>
      </c>
    </row>
    <row r="1059" spans="1:11" ht="28.8" hidden="1" x14ac:dyDescent="0.3">
      <c r="A1059" s="5">
        <v>18808671</v>
      </c>
      <c r="B1059" s="6" t="s">
        <v>205</v>
      </c>
      <c r="C1059" s="6" t="s">
        <v>87</v>
      </c>
      <c r="D1059" s="8" t="s">
        <v>86</v>
      </c>
      <c r="E1059" s="6" t="s">
        <v>1341</v>
      </c>
      <c r="F1059" s="6" t="s">
        <v>85</v>
      </c>
      <c r="G1059" s="11">
        <v>46134.375</v>
      </c>
      <c r="H1059" s="10" t="s">
        <v>1342</v>
      </c>
      <c r="I1059" s="6" t="s">
        <v>1343</v>
      </c>
      <c r="J1059" s="12">
        <v>46121.721053240741</v>
      </c>
      <c r="K1059" s="6" t="e" cm="1">
        <f t="array" ref="K1059">LOOKUP(2^15,SEARCH(Tabela2[Palavras-Chave],Boletim[[#This Row],[Objeto]],1),Tabela2[Palavras-Chave])</f>
        <v>#N/A</v>
      </c>
    </row>
    <row r="1060" spans="1:11" ht="244.8" hidden="1" x14ac:dyDescent="0.3">
      <c r="A1060" s="5">
        <v>18809238</v>
      </c>
      <c r="B1060" s="6" t="s">
        <v>1344</v>
      </c>
      <c r="C1060" s="6" t="s">
        <v>1345</v>
      </c>
      <c r="D1060" s="8" t="s">
        <v>86</v>
      </c>
      <c r="E1060" s="6" t="s">
        <v>146</v>
      </c>
      <c r="F1060" s="6" t="s">
        <v>85</v>
      </c>
      <c r="G1060" s="11" t="s">
        <v>56</v>
      </c>
      <c r="H1060" s="10" t="s">
        <v>1346</v>
      </c>
      <c r="I1060" s="6" t="s">
        <v>1347</v>
      </c>
      <c r="J1060" s="12">
        <v>46121.728576388887</v>
      </c>
      <c r="K1060" s="6" t="e" cm="1">
        <f t="array" ref="K1060">LOOKUP(2^15,SEARCH(Tabela2[Palavras-Chave],Boletim[[#This Row],[Objeto]],1),Tabela2[Palavras-Chave])</f>
        <v>#N/A</v>
      </c>
    </row>
    <row r="1061" spans="1:11" ht="244.8" hidden="1" x14ac:dyDescent="0.3">
      <c r="A1061" s="5">
        <v>18811189</v>
      </c>
      <c r="B1061" s="6" t="s">
        <v>1348</v>
      </c>
      <c r="C1061" s="6" t="s">
        <v>1349</v>
      </c>
      <c r="D1061" s="8" t="s">
        <v>86</v>
      </c>
      <c r="E1061" s="6" t="s">
        <v>142</v>
      </c>
      <c r="F1061" s="6" t="s">
        <v>85</v>
      </c>
      <c r="G1061" s="11" t="s">
        <v>56</v>
      </c>
      <c r="H1061" s="10" t="s">
        <v>1350</v>
      </c>
      <c r="I1061" s="6" t="s">
        <v>1351</v>
      </c>
      <c r="J1061" s="12">
        <v>46121.81559027778</v>
      </c>
      <c r="K1061" s="6" t="e" cm="1">
        <f t="array" ref="K1061">LOOKUP(2^15,SEARCH(Tabela2[Palavras-Chave],Boletim[[#This Row],[Objeto]],1),Tabela2[Palavras-Chave])</f>
        <v>#N/A</v>
      </c>
    </row>
    <row r="1062" spans="1:11" ht="129.6" hidden="1" x14ac:dyDescent="0.3">
      <c r="A1062" s="5">
        <v>18807290</v>
      </c>
      <c r="B1062" s="6" t="s">
        <v>1352</v>
      </c>
      <c r="C1062" s="6" t="s">
        <v>87</v>
      </c>
      <c r="D1062" s="8" t="s">
        <v>86</v>
      </c>
      <c r="E1062" s="6" t="s">
        <v>1341</v>
      </c>
      <c r="F1062" s="6" t="s">
        <v>85</v>
      </c>
      <c r="G1062" s="11">
        <v>46134</v>
      </c>
      <c r="H1062" s="10" t="s">
        <v>1353</v>
      </c>
      <c r="I1062" s="6" t="s">
        <v>1354</v>
      </c>
      <c r="J1062" s="12">
        <v>46121.838159722225</v>
      </c>
      <c r="K1062" s="6" t="e" cm="1">
        <f t="array" ref="K1062">LOOKUP(2^15,SEARCH(Tabela2[Palavras-Chave],Boletim[[#This Row],[Objeto]],1),Tabela2[Palavras-Chave])</f>
        <v>#N/A</v>
      </c>
    </row>
    <row r="1063" spans="1:11" ht="100.8" hidden="1" x14ac:dyDescent="0.3">
      <c r="A1063" s="5">
        <v>18807431</v>
      </c>
      <c r="B1063" s="6" t="s">
        <v>74</v>
      </c>
      <c r="C1063" s="6" t="s">
        <v>52</v>
      </c>
      <c r="D1063" s="8" t="s">
        <v>50</v>
      </c>
      <c r="E1063" s="6" t="s">
        <v>1319</v>
      </c>
      <c r="F1063" s="6" t="s">
        <v>85</v>
      </c>
      <c r="G1063" s="11" t="s">
        <v>56</v>
      </c>
      <c r="H1063" s="10" t="s">
        <v>1320</v>
      </c>
      <c r="I1063" s="6" t="s">
        <v>1321</v>
      </c>
      <c r="J1063" s="12">
        <v>46121.447268518517</v>
      </c>
      <c r="K1063" s="6" t="e" cm="1">
        <f t="array" ref="K1063">LOOKUP(2^15,SEARCH(Tabela2[Palavras-Chave],Boletim[[#This Row],[Objeto]],1),Tabela2[Palavras-Chave])</f>
        <v>#N/A</v>
      </c>
    </row>
    <row r="1064" spans="1:11" ht="100.8" hidden="1" x14ac:dyDescent="0.3">
      <c r="A1064" s="5">
        <v>18807566</v>
      </c>
      <c r="B1064" s="6" t="s">
        <v>74</v>
      </c>
      <c r="C1064" s="6" t="s">
        <v>52</v>
      </c>
      <c r="D1064" s="8" t="s">
        <v>50</v>
      </c>
      <c r="E1064" s="6" t="s">
        <v>2972</v>
      </c>
      <c r="F1064" s="6" t="s">
        <v>85</v>
      </c>
      <c r="G1064" s="11" t="s">
        <v>56</v>
      </c>
      <c r="H1064" s="10" t="s">
        <v>2973</v>
      </c>
      <c r="I1064" s="6" t="s">
        <v>1321</v>
      </c>
      <c r="J1064" s="12">
        <v>46121.450046296297</v>
      </c>
      <c r="K1064" s="6" t="e" cm="1">
        <f t="array" ref="K1064">LOOKUP(2^15,SEARCH(Tabela2[Palavras-Chave],Boletim[[#This Row],[Objeto]],1),Tabela2[Palavras-Chave])</f>
        <v>#N/A</v>
      </c>
    </row>
    <row r="1065" spans="1:11" ht="72" hidden="1" x14ac:dyDescent="0.3">
      <c r="A1065" s="5">
        <v>18807455</v>
      </c>
      <c r="B1065" s="6" t="s">
        <v>74</v>
      </c>
      <c r="C1065" s="6" t="s">
        <v>52</v>
      </c>
      <c r="D1065" s="8" t="s">
        <v>50</v>
      </c>
      <c r="E1065" s="6" t="s">
        <v>1355</v>
      </c>
      <c r="F1065" s="6" t="s">
        <v>85</v>
      </c>
      <c r="G1065" s="11" t="s">
        <v>56</v>
      </c>
      <c r="H1065" s="10" t="s">
        <v>1356</v>
      </c>
      <c r="I1065" s="6" t="s">
        <v>1357</v>
      </c>
      <c r="J1065" s="12">
        <v>46121.458402777775</v>
      </c>
      <c r="K1065" s="6" t="e" cm="1">
        <f t="array" ref="K1065">LOOKUP(2^15,SEARCH(Tabela2[Palavras-Chave],Boletim[[#This Row],[Objeto]],1),Tabela2[Palavras-Chave])</f>
        <v>#N/A</v>
      </c>
    </row>
    <row r="1066" spans="1:11" ht="100.8" hidden="1" x14ac:dyDescent="0.3">
      <c r="A1066" s="5">
        <v>18807522</v>
      </c>
      <c r="B1066" s="6" t="s">
        <v>2985</v>
      </c>
      <c r="C1066" s="6" t="s">
        <v>2986</v>
      </c>
      <c r="D1066" s="8" t="s">
        <v>50</v>
      </c>
      <c r="E1066" s="6" t="s">
        <v>124</v>
      </c>
      <c r="F1066" s="6" t="s">
        <v>85</v>
      </c>
      <c r="G1066" s="11">
        <v>46132.395138888889</v>
      </c>
      <c r="H1066" s="10" t="s">
        <v>2987</v>
      </c>
      <c r="I1066" s="6" t="s">
        <v>2988</v>
      </c>
      <c r="J1066" s="12">
        <v>46121.702048611114</v>
      </c>
      <c r="K1066" s="6" t="e" cm="1">
        <f t="array" ref="K1066">LOOKUP(2^15,SEARCH(Tabela2[Palavras-Chave],Boletim[[#This Row],[Objeto]],1),Tabela2[Palavras-Chave])</f>
        <v>#N/A</v>
      </c>
    </row>
    <row r="1067" spans="1:11" ht="115.2" hidden="1" x14ac:dyDescent="0.3">
      <c r="A1067" s="5">
        <v>18808238</v>
      </c>
      <c r="B1067" s="6" t="s">
        <v>1358</v>
      </c>
      <c r="C1067" s="6" t="s">
        <v>1359</v>
      </c>
      <c r="D1067" s="8" t="s">
        <v>50</v>
      </c>
      <c r="E1067" s="6" t="s">
        <v>212</v>
      </c>
      <c r="F1067" s="6" t="s">
        <v>85</v>
      </c>
      <c r="G1067" s="11" t="s">
        <v>56</v>
      </c>
      <c r="H1067" s="10" t="s">
        <v>1360</v>
      </c>
      <c r="I1067" s="6" t="s">
        <v>1361</v>
      </c>
      <c r="J1067" s="12">
        <v>46121.720057870371</v>
      </c>
      <c r="K1067" s="6" t="e" cm="1">
        <f t="array" ref="K1067">LOOKUP(2^15,SEARCH(Tabela2[Palavras-Chave],Boletim[[#This Row],[Objeto]],1),Tabela2[Palavras-Chave])</f>
        <v>#N/A</v>
      </c>
    </row>
    <row r="1068" spans="1:11" ht="100.8" hidden="1" x14ac:dyDescent="0.3">
      <c r="A1068" s="5">
        <v>18807532</v>
      </c>
      <c r="B1068" s="6" t="s">
        <v>1362</v>
      </c>
      <c r="C1068" s="6" t="s">
        <v>1363</v>
      </c>
      <c r="D1068" s="8" t="s">
        <v>50</v>
      </c>
      <c r="E1068" s="6" t="s">
        <v>115</v>
      </c>
      <c r="F1068" s="6" t="s">
        <v>85</v>
      </c>
      <c r="G1068" s="11">
        <v>46132.582638888889</v>
      </c>
      <c r="H1068" s="10" t="s">
        <v>1364</v>
      </c>
      <c r="I1068" s="6" t="s">
        <v>1365</v>
      </c>
      <c r="J1068" s="12">
        <v>46121.729895833334</v>
      </c>
      <c r="K1068" s="6" t="e" cm="1">
        <f t="array" ref="K1068">LOOKUP(2^15,SEARCH(Tabela2[Palavras-Chave],Boletim[[#This Row],[Objeto]],1),Tabela2[Palavras-Chave])</f>
        <v>#N/A</v>
      </c>
    </row>
    <row r="1069" spans="1:11" ht="100.8" hidden="1" x14ac:dyDescent="0.3">
      <c r="A1069" s="5">
        <v>18809038</v>
      </c>
      <c r="B1069" s="6" t="s">
        <v>2989</v>
      </c>
      <c r="C1069" s="6" t="s">
        <v>2990</v>
      </c>
      <c r="D1069" s="8" t="s">
        <v>50</v>
      </c>
      <c r="E1069" s="6" t="s">
        <v>115</v>
      </c>
      <c r="F1069" s="6" t="s">
        <v>85</v>
      </c>
      <c r="G1069" s="11" t="s">
        <v>56</v>
      </c>
      <c r="H1069" s="10" t="s">
        <v>2991</v>
      </c>
      <c r="I1069" s="6" t="s">
        <v>2992</v>
      </c>
      <c r="J1069" s="12">
        <v>46121.829293981478</v>
      </c>
      <c r="K1069" s="6" t="e" cm="1">
        <f t="array" ref="K1069">LOOKUP(2^15,SEARCH(Tabela2[Palavras-Chave],Boletim[[#This Row],[Objeto]],1),Tabela2[Palavras-Chave])</f>
        <v>#N/A</v>
      </c>
    </row>
    <row r="1070" spans="1:11" ht="43.2" hidden="1" x14ac:dyDescent="0.3">
      <c r="A1070" s="5">
        <v>18811424</v>
      </c>
      <c r="B1070" s="6" t="s">
        <v>2993</v>
      </c>
      <c r="C1070" s="6" t="s">
        <v>2994</v>
      </c>
      <c r="D1070" s="8" t="s">
        <v>50</v>
      </c>
      <c r="E1070" s="6" t="s">
        <v>113</v>
      </c>
      <c r="F1070" s="6" t="s">
        <v>85</v>
      </c>
      <c r="G1070" s="11">
        <v>46141.4375</v>
      </c>
      <c r="H1070" s="10" t="s">
        <v>2995</v>
      </c>
      <c r="I1070" s="6" t="s">
        <v>2996</v>
      </c>
      <c r="J1070" s="12">
        <v>46121.860243055555</v>
      </c>
      <c r="K1070" s="6" t="e" cm="1">
        <f t="array" ref="K1070">LOOKUP(2^15,SEARCH(Tabela2[Palavras-Chave],Boletim[[#This Row],[Objeto]],1),Tabela2[Palavras-Chave])</f>
        <v>#N/A</v>
      </c>
    </row>
    <row r="1071" spans="1:11" ht="57.6" hidden="1" x14ac:dyDescent="0.3">
      <c r="A1071" s="5">
        <v>18811508</v>
      </c>
      <c r="B1071" s="6" t="s">
        <v>2997</v>
      </c>
      <c r="C1071" s="6" t="s">
        <v>2998</v>
      </c>
      <c r="D1071" s="8" t="s">
        <v>50</v>
      </c>
      <c r="E1071" s="6" t="s">
        <v>113</v>
      </c>
      <c r="F1071" s="6" t="s">
        <v>85</v>
      </c>
      <c r="G1071" s="11" t="s">
        <v>56</v>
      </c>
      <c r="H1071" s="10" t="s">
        <v>2999</v>
      </c>
      <c r="I1071" s="6" t="s">
        <v>3000</v>
      </c>
      <c r="J1071" s="12">
        <v>46121.880266203705</v>
      </c>
      <c r="K1071" s="6" t="e" cm="1">
        <f t="array" ref="K1071">LOOKUP(2^15,SEARCH(Tabela2[Palavras-Chave],Boletim[[#This Row],[Objeto]],1),Tabela2[Palavras-Chave])</f>
        <v>#N/A</v>
      </c>
    </row>
    <row r="1072" spans="1:11" ht="100.8" hidden="1" x14ac:dyDescent="0.3">
      <c r="A1072" s="5">
        <v>18807432</v>
      </c>
      <c r="B1072" s="6" t="s">
        <v>74</v>
      </c>
      <c r="C1072" s="6" t="s">
        <v>1366</v>
      </c>
      <c r="D1072" s="8" t="s">
        <v>1367</v>
      </c>
      <c r="E1072" s="6" t="s">
        <v>1319</v>
      </c>
      <c r="F1072" s="6" t="s">
        <v>85</v>
      </c>
      <c r="G1072" s="11" t="s">
        <v>56</v>
      </c>
      <c r="H1072" s="10" t="s">
        <v>1320</v>
      </c>
      <c r="I1072" s="6" t="s">
        <v>1321</v>
      </c>
      <c r="J1072" s="12">
        <v>46121.447280092594</v>
      </c>
      <c r="K1072" s="6" t="e" cm="1">
        <f t="array" ref="K1072">LOOKUP(2^15,SEARCH(Tabela2[Palavras-Chave],Boletim[[#This Row],[Objeto]],1),Tabela2[Palavras-Chave])</f>
        <v>#N/A</v>
      </c>
    </row>
    <row r="1073" spans="1:11" ht="100.8" hidden="1" x14ac:dyDescent="0.3">
      <c r="A1073" s="5">
        <v>18807567</v>
      </c>
      <c r="B1073" s="6" t="s">
        <v>74</v>
      </c>
      <c r="C1073" s="6" t="s">
        <v>1366</v>
      </c>
      <c r="D1073" s="8" t="s">
        <v>1367</v>
      </c>
      <c r="E1073" s="6" t="s">
        <v>2972</v>
      </c>
      <c r="F1073" s="6" t="s">
        <v>85</v>
      </c>
      <c r="G1073" s="11" t="s">
        <v>56</v>
      </c>
      <c r="H1073" s="10" t="s">
        <v>2973</v>
      </c>
      <c r="I1073" s="6" t="s">
        <v>1321</v>
      </c>
      <c r="J1073" s="12">
        <v>46121.450057870374</v>
      </c>
      <c r="K1073" s="6" t="e" cm="1">
        <f t="array" ref="K1073">LOOKUP(2^15,SEARCH(Tabela2[Palavras-Chave],Boletim[[#This Row],[Objeto]],1),Tabela2[Palavras-Chave])</f>
        <v>#N/A</v>
      </c>
    </row>
    <row r="1074" spans="1:11" ht="187.2" hidden="1" x14ac:dyDescent="0.3">
      <c r="A1074" s="5">
        <v>18802512</v>
      </c>
      <c r="B1074" s="6" t="s">
        <v>163</v>
      </c>
      <c r="C1074" s="6" t="s">
        <v>53</v>
      </c>
      <c r="D1074" s="8" t="s">
        <v>54</v>
      </c>
      <c r="E1074" s="6" t="s">
        <v>409</v>
      </c>
      <c r="F1074" s="6" t="s">
        <v>85</v>
      </c>
      <c r="G1074" s="11">
        <v>46146.583333333336</v>
      </c>
      <c r="H1074" s="10" t="s">
        <v>410</v>
      </c>
      <c r="I1074" s="6" t="s">
        <v>411</v>
      </c>
      <c r="J1074" s="12">
        <v>46121.389062499999</v>
      </c>
      <c r="K1074" s="6" t="e" cm="1">
        <f t="array" ref="K1074">LOOKUP(2^15,SEARCH(Tabela2[Palavras-Chave],Boletim[[#This Row],[Objeto]],1),Tabela2[Palavras-Chave])</f>
        <v>#N/A</v>
      </c>
    </row>
    <row r="1075" spans="1:11" ht="144" hidden="1" x14ac:dyDescent="0.3">
      <c r="A1075" s="5">
        <v>18802511</v>
      </c>
      <c r="B1075" s="6" t="s">
        <v>163</v>
      </c>
      <c r="C1075" s="6" t="s">
        <v>53</v>
      </c>
      <c r="D1075" s="8" t="s">
        <v>54</v>
      </c>
      <c r="E1075" s="6" t="s">
        <v>295</v>
      </c>
      <c r="F1075" s="6" t="s">
        <v>85</v>
      </c>
      <c r="G1075" s="11" t="s">
        <v>56</v>
      </c>
      <c r="H1075" s="10" t="s">
        <v>396</v>
      </c>
      <c r="I1075" s="6" t="s">
        <v>397</v>
      </c>
      <c r="J1075" s="12">
        <v>46121.496087962965</v>
      </c>
      <c r="K1075" s="6" t="e" cm="1">
        <f t="array" ref="K1075">LOOKUP(2^15,SEARCH(Tabela2[Palavras-Chave],Boletim[[#This Row],[Objeto]],1),Tabela2[Palavras-Chave])</f>
        <v>#N/A</v>
      </c>
    </row>
    <row r="1076" spans="1:11" ht="187.2" hidden="1" x14ac:dyDescent="0.3">
      <c r="A1076" s="5">
        <v>18802505</v>
      </c>
      <c r="B1076" s="6" t="s">
        <v>163</v>
      </c>
      <c r="C1076" s="6" t="s">
        <v>53</v>
      </c>
      <c r="D1076" s="8" t="s">
        <v>54</v>
      </c>
      <c r="E1076" s="6" t="s">
        <v>406</v>
      </c>
      <c r="F1076" s="6" t="s">
        <v>85</v>
      </c>
      <c r="G1076" s="11" t="s">
        <v>56</v>
      </c>
      <c r="H1076" s="10" t="s">
        <v>407</v>
      </c>
      <c r="I1076" s="6" t="s">
        <v>408</v>
      </c>
      <c r="J1076" s="12">
        <v>46121.389062499999</v>
      </c>
      <c r="K1076" s="6" t="e" cm="1">
        <f t="array" ref="K1076">LOOKUP(2^15,SEARCH(Tabela2[Palavras-Chave],Boletim[[#This Row],[Objeto]],1),Tabela2[Palavras-Chave])</f>
        <v>#N/A</v>
      </c>
    </row>
    <row r="1077" spans="1:11" ht="187.2" hidden="1" x14ac:dyDescent="0.3">
      <c r="A1077" s="5">
        <v>18802509</v>
      </c>
      <c r="B1077" s="6" t="s">
        <v>163</v>
      </c>
      <c r="C1077" s="6" t="s">
        <v>53</v>
      </c>
      <c r="D1077" s="8" t="s">
        <v>54</v>
      </c>
      <c r="E1077" s="6" t="s">
        <v>398</v>
      </c>
      <c r="F1077" s="6" t="s">
        <v>85</v>
      </c>
      <c r="G1077" s="11" t="s">
        <v>56</v>
      </c>
      <c r="H1077" s="10" t="s">
        <v>399</v>
      </c>
      <c r="I1077" s="6" t="s">
        <v>400</v>
      </c>
      <c r="J1077" s="12">
        <v>46121.389062499999</v>
      </c>
      <c r="K1077" s="6" t="e" cm="1">
        <f t="array" ref="K1077">LOOKUP(2^15,SEARCH(Tabela2[Palavras-Chave],Boletim[[#This Row],[Objeto]],1),Tabela2[Palavras-Chave])</f>
        <v>#N/A</v>
      </c>
    </row>
    <row r="1078" spans="1:11" ht="57.6" hidden="1" x14ac:dyDescent="0.3">
      <c r="A1078" s="5">
        <v>18805619</v>
      </c>
      <c r="B1078" s="6" t="s">
        <v>616</v>
      </c>
      <c r="C1078" s="6" t="s">
        <v>617</v>
      </c>
      <c r="D1078" s="8" t="s">
        <v>54</v>
      </c>
      <c r="E1078" s="6" t="s">
        <v>113</v>
      </c>
      <c r="F1078" s="6" t="s">
        <v>85</v>
      </c>
      <c r="G1078" s="11">
        <v>46135.416666666664</v>
      </c>
      <c r="H1078" s="10" t="s">
        <v>618</v>
      </c>
      <c r="I1078" s="6" t="s">
        <v>619</v>
      </c>
      <c r="J1078" s="12">
        <v>46121.409050925926</v>
      </c>
      <c r="K1078" s="6" t="e" cm="1">
        <f t="array" ref="K1078">LOOKUP(2^15,SEARCH(Tabela2[Palavras-Chave],Boletim[[#This Row],[Objeto]],1),Tabela2[Palavras-Chave])</f>
        <v>#N/A</v>
      </c>
    </row>
    <row r="1079" spans="1:11" ht="115.2" hidden="1" x14ac:dyDescent="0.3">
      <c r="A1079" s="5">
        <v>18802563</v>
      </c>
      <c r="B1079" s="6" t="s">
        <v>392</v>
      </c>
      <c r="C1079" s="6" t="s">
        <v>393</v>
      </c>
      <c r="D1079" s="8" t="s">
        <v>54</v>
      </c>
      <c r="E1079" s="6" t="s">
        <v>175</v>
      </c>
      <c r="F1079" s="6" t="s">
        <v>85</v>
      </c>
      <c r="G1079" s="11" t="s">
        <v>56</v>
      </c>
      <c r="H1079" s="10" t="s">
        <v>394</v>
      </c>
      <c r="I1079" s="6" t="s">
        <v>395</v>
      </c>
      <c r="J1079" s="12">
        <v>46121.409062500003</v>
      </c>
      <c r="K1079" s="6" t="e" cm="1">
        <f t="array" ref="K1079">LOOKUP(2^15,SEARCH(Tabela2[Palavras-Chave],Boletim[[#This Row],[Objeto]],1),Tabela2[Palavras-Chave])</f>
        <v>#N/A</v>
      </c>
    </row>
    <row r="1080" spans="1:11" ht="100.8" hidden="1" x14ac:dyDescent="0.3">
      <c r="A1080" s="5">
        <v>18807433</v>
      </c>
      <c r="B1080" s="6" t="s">
        <v>74</v>
      </c>
      <c r="C1080" s="6" t="s">
        <v>53</v>
      </c>
      <c r="D1080" s="8" t="s">
        <v>54</v>
      </c>
      <c r="E1080" s="6" t="s">
        <v>1319</v>
      </c>
      <c r="F1080" s="6" t="s">
        <v>85</v>
      </c>
      <c r="G1080" s="11" t="s">
        <v>56</v>
      </c>
      <c r="H1080" s="10" t="s">
        <v>1320</v>
      </c>
      <c r="I1080" s="6" t="s">
        <v>1321</v>
      </c>
      <c r="J1080" s="12">
        <v>46121.447280092594</v>
      </c>
      <c r="K1080" s="6" t="e" cm="1">
        <f t="array" ref="K1080">LOOKUP(2^15,SEARCH(Tabela2[Palavras-Chave],Boletim[[#This Row],[Objeto]],1),Tabela2[Palavras-Chave])</f>
        <v>#N/A</v>
      </c>
    </row>
    <row r="1081" spans="1:11" ht="244.8" hidden="1" x14ac:dyDescent="0.3">
      <c r="A1081" s="5">
        <v>18807133</v>
      </c>
      <c r="B1081" s="6" t="s">
        <v>1368</v>
      </c>
      <c r="C1081" s="6" t="s">
        <v>1369</v>
      </c>
      <c r="D1081" s="8" t="s">
        <v>54</v>
      </c>
      <c r="E1081" s="6" t="s">
        <v>114</v>
      </c>
      <c r="F1081" s="6" t="s">
        <v>85</v>
      </c>
      <c r="G1081" s="11" t="s">
        <v>56</v>
      </c>
      <c r="H1081" s="10" t="s">
        <v>1370</v>
      </c>
      <c r="I1081" s="6" t="s">
        <v>1371</v>
      </c>
      <c r="J1081" s="12">
        <v>46121.446631944447</v>
      </c>
      <c r="K1081" s="6" t="e" cm="1">
        <f t="array" ref="K1081">LOOKUP(2^15,SEARCH(Tabela2[Palavras-Chave],Boletim[[#This Row],[Objeto]],1),Tabela2[Palavras-Chave])</f>
        <v>#N/A</v>
      </c>
    </row>
    <row r="1082" spans="1:11" ht="100.8" hidden="1" x14ac:dyDescent="0.3">
      <c r="A1082" s="5">
        <v>18807568</v>
      </c>
      <c r="B1082" s="6" t="s">
        <v>74</v>
      </c>
      <c r="C1082" s="6" t="s">
        <v>53</v>
      </c>
      <c r="D1082" s="8" t="s">
        <v>54</v>
      </c>
      <c r="E1082" s="6" t="s">
        <v>2972</v>
      </c>
      <c r="F1082" s="6" t="s">
        <v>85</v>
      </c>
      <c r="G1082" s="11" t="s">
        <v>56</v>
      </c>
      <c r="H1082" s="10" t="s">
        <v>2973</v>
      </c>
      <c r="I1082" s="6" t="s">
        <v>1321</v>
      </c>
      <c r="J1082" s="12">
        <v>46121.450057870374</v>
      </c>
      <c r="K1082" s="6" t="e" cm="1">
        <f t="array" ref="K1082">LOOKUP(2^15,SEARCH(Tabela2[Palavras-Chave],Boletim[[#This Row],[Objeto]],1),Tabela2[Palavras-Chave])</f>
        <v>#N/A</v>
      </c>
    </row>
    <row r="1083" spans="1:11" ht="259.2" hidden="1" x14ac:dyDescent="0.3">
      <c r="A1083" s="5">
        <v>18807094</v>
      </c>
      <c r="B1083" s="6" t="s">
        <v>1372</v>
      </c>
      <c r="C1083" s="6" t="s">
        <v>1373</v>
      </c>
      <c r="D1083" s="8" t="s">
        <v>54</v>
      </c>
      <c r="E1083" s="6" t="s">
        <v>106</v>
      </c>
      <c r="F1083" s="6" t="s">
        <v>85</v>
      </c>
      <c r="G1083" s="11" t="s">
        <v>56</v>
      </c>
      <c r="H1083" s="10" t="s">
        <v>1374</v>
      </c>
      <c r="I1083" s="6" t="s">
        <v>1375</v>
      </c>
      <c r="J1083" s="12">
        <v>46121.481307870374</v>
      </c>
      <c r="K1083" s="6" t="e" cm="1">
        <f t="array" ref="K1083">LOOKUP(2^15,SEARCH(Tabela2[Palavras-Chave],Boletim[[#This Row],[Objeto]],1),Tabela2[Palavras-Chave])</f>
        <v>#N/A</v>
      </c>
    </row>
    <row r="1084" spans="1:11" ht="57.6" hidden="1" x14ac:dyDescent="0.3">
      <c r="A1084" s="5">
        <v>18807287</v>
      </c>
      <c r="B1084" s="6" t="s">
        <v>1376</v>
      </c>
      <c r="C1084" s="6" t="s">
        <v>1377</v>
      </c>
      <c r="D1084" s="8" t="s">
        <v>54</v>
      </c>
      <c r="E1084" s="6" t="s">
        <v>262</v>
      </c>
      <c r="F1084" s="6" t="s">
        <v>85</v>
      </c>
      <c r="G1084" s="11">
        <v>46142</v>
      </c>
      <c r="H1084" s="10" t="s">
        <v>1378</v>
      </c>
      <c r="I1084" s="6" t="s">
        <v>1379</v>
      </c>
      <c r="J1084" s="12">
        <v>46121.509328703702</v>
      </c>
      <c r="K1084" s="6" t="e" cm="1">
        <f t="array" ref="K1084">LOOKUP(2^15,SEARCH(Tabela2[Palavras-Chave],Boletim[[#This Row],[Objeto]],1),Tabela2[Palavras-Chave])</f>
        <v>#N/A</v>
      </c>
    </row>
    <row r="1085" spans="1:11" ht="244.8" hidden="1" x14ac:dyDescent="0.3">
      <c r="A1085" s="5">
        <v>18807876</v>
      </c>
      <c r="B1085" s="6" t="s">
        <v>1380</v>
      </c>
      <c r="C1085" s="6" t="s">
        <v>1381</v>
      </c>
      <c r="D1085" s="8" t="s">
        <v>54</v>
      </c>
      <c r="E1085" s="6" t="s">
        <v>124</v>
      </c>
      <c r="F1085" s="6" t="s">
        <v>85</v>
      </c>
      <c r="G1085" s="11" t="s">
        <v>56</v>
      </c>
      <c r="H1085" s="10" t="s">
        <v>1382</v>
      </c>
      <c r="I1085" s="6" t="s">
        <v>1383</v>
      </c>
      <c r="J1085" s="12">
        <v>46121.526273148149</v>
      </c>
      <c r="K1085" s="6" t="e" cm="1">
        <f t="array" ref="K1085">LOOKUP(2^15,SEARCH(Tabela2[Palavras-Chave],Boletim[[#This Row],[Objeto]],1),Tabela2[Palavras-Chave])</f>
        <v>#N/A</v>
      </c>
    </row>
    <row r="1086" spans="1:11" ht="244.8" hidden="1" x14ac:dyDescent="0.3">
      <c r="A1086" s="5">
        <v>18809456</v>
      </c>
      <c r="B1086" s="6" t="s">
        <v>404</v>
      </c>
      <c r="C1086" s="6" t="s">
        <v>405</v>
      </c>
      <c r="D1086" s="8" t="s">
        <v>54</v>
      </c>
      <c r="E1086" s="6" t="s">
        <v>108</v>
      </c>
      <c r="F1086" s="6" t="s">
        <v>85</v>
      </c>
      <c r="G1086" s="11" t="s">
        <v>56</v>
      </c>
      <c r="H1086" s="10" t="s">
        <v>1384</v>
      </c>
      <c r="I1086" s="6" t="s">
        <v>1385</v>
      </c>
      <c r="J1086" s="12">
        <v>46121.602129629631</v>
      </c>
      <c r="K1086" s="6" t="e" cm="1">
        <f t="array" ref="K1086">LOOKUP(2^15,SEARCH(Tabela2[Palavras-Chave],Boletim[[#This Row],[Objeto]],1),Tabela2[Palavras-Chave])</f>
        <v>#N/A</v>
      </c>
    </row>
    <row r="1087" spans="1:11" ht="100.8" hidden="1" x14ac:dyDescent="0.3">
      <c r="A1087" s="5">
        <v>18806852</v>
      </c>
      <c r="B1087" s="6" t="s">
        <v>412</v>
      </c>
      <c r="C1087" s="6" t="s">
        <v>413</v>
      </c>
      <c r="D1087" s="8" t="s">
        <v>54</v>
      </c>
      <c r="E1087" s="6" t="s">
        <v>122</v>
      </c>
      <c r="F1087" s="6" t="s">
        <v>85</v>
      </c>
      <c r="G1087" s="11" t="s">
        <v>56</v>
      </c>
      <c r="H1087" s="10" t="s">
        <v>1386</v>
      </c>
      <c r="I1087" s="6" t="s">
        <v>1387</v>
      </c>
      <c r="J1087" s="12">
        <v>46121.613159722219</v>
      </c>
      <c r="K1087" s="6" t="e" cm="1">
        <f t="array" ref="K1087">LOOKUP(2^15,SEARCH(Tabela2[Palavras-Chave],Boletim[[#This Row],[Objeto]],1),Tabela2[Palavras-Chave])</f>
        <v>#N/A</v>
      </c>
    </row>
    <row r="1088" spans="1:11" ht="172.8" hidden="1" x14ac:dyDescent="0.3">
      <c r="A1088" s="5">
        <v>18809768</v>
      </c>
      <c r="B1088" s="6" t="s">
        <v>1388</v>
      </c>
      <c r="C1088" s="6" t="s">
        <v>53</v>
      </c>
      <c r="D1088" s="8" t="s">
        <v>54</v>
      </c>
      <c r="E1088" s="6" t="s">
        <v>1389</v>
      </c>
      <c r="F1088" s="6" t="s">
        <v>85</v>
      </c>
      <c r="G1088" s="11" t="s">
        <v>56</v>
      </c>
      <c r="H1088" s="10" t="s">
        <v>1390</v>
      </c>
      <c r="I1088" s="6" t="s">
        <v>1391</v>
      </c>
      <c r="J1088" s="12">
        <v>46121.636828703704</v>
      </c>
      <c r="K1088" s="6" t="e" cm="1">
        <f t="array" ref="K1088">LOOKUP(2^15,SEARCH(Tabela2[Palavras-Chave],Boletim[[#This Row],[Objeto]],1),Tabela2[Palavras-Chave])</f>
        <v>#N/A</v>
      </c>
    </row>
    <row r="1089" spans="1:11" ht="259.2" hidden="1" x14ac:dyDescent="0.3">
      <c r="A1089" s="5">
        <v>18809732</v>
      </c>
      <c r="B1089" s="6" t="s">
        <v>1392</v>
      </c>
      <c r="C1089" s="6" t="s">
        <v>1393</v>
      </c>
      <c r="D1089" s="8" t="s">
        <v>54</v>
      </c>
      <c r="E1089" s="6" t="s">
        <v>1394</v>
      </c>
      <c r="F1089" s="6" t="s">
        <v>85</v>
      </c>
      <c r="G1089" s="11" t="s">
        <v>56</v>
      </c>
      <c r="H1089" s="10" t="s">
        <v>1395</v>
      </c>
      <c r="I1089" s="6" t="s">
        <v>1396</v>
      </c>
      <c r="J1089" s="12">
        <v>46121.665034722224</v>
      </c>
      <c r="K1089" s="6" t="e" cm="1">
        <f t="array" ref="K1089">LOOKUP(2^15,SEARCH(Tabela2[Palavras-Chave],Boletim[[#This Row],[Objeto]],1),Tabela2[Palavras-Chave])</f>
        <v>#N/A</v>
      </c>
    </row>
    <row r="1090" spans="1:11" ht="57.6" hidden="1" x14ac:dyDescent="0.3">
      <c r="A1090" s="5">
        <v>18809599</v>
      </c>
      <c r="B1090" s="6" t="s">
        <v>284</v>
      </c>
      <c r="C1090" s="6" t="s">
        <v>285</v>
      </c>
      <c r="D1090" s="8" t="s">
        <v>54</v>
      </c>
      <c r="E1090" s="6" t="s">
        <v>165</v>
      </c>
      <c r="F1090" s="6" t="s">
        <v>85</v>
      </c>
      <c r="G1090" s="11">
        <v>46135.354166666664</v>
      </c>
      <c r="H1090" s="10" t="s">
        <v>1397</v>
      </c>
      <c r="I1090" s="6" t="s">
        <v>1398</v>
      </c>
      <c r="J1090" s="12">
        <v>46121.675462962965</v>
      </c>
      <c r="K1090" s="6" t="e" cm="1">
        <f t="array" ref="K1090">LOOKUP(2^15,SEARCH(Tabela2[Palavras-Chave],Boletim[[#This Row],[Objeto]],1),Tabela2[Palavras-Chave])</f>
        <v>#N/A</v>
      </c>
    </row>
    <row r="1091" spans="1:11" ht="201.6" hidden="1" x14ac:dyDescent="0.3">
      <c r="A1091" s="5">
        <v>18807737</v>
      </c>
      <c r="B1091" s="6" t="s">
        <v>3001</v>
      </c>
      <c r="C1091" s="6" t="s">
        <v>53</v>
      </c>
      <c r="D1091" s="8" t="s">
        <v>54</v>
      </c>
      <c r="E1091" s="6" t="s">
        <v>122</v>
      </c>
      <c r="F1091" s="6" t="s">
        <v>85</v>
      </c>
      <c r="G1091" s="11">
        <v>46148.416666666664</v>
      </c>
      <c r="H1091" s="10" t="s">
        <v>3002</v>
      </c>
      <c r="I1091" s="6" t="s">
        <v>3003</v>
      </c>
      <c r="J1091" s="12">
        <v>46121.693530092591</v>
      </c>
      <c r="K1091" s="6" t="e" cm="1">
        <f t="array" ref="K1091">LOOKUP(2^15,SEARCH(Tabela2[Palavras-Chave],Boletim[[#This Row],[Objeto]],1),Tabela2[Palavras-Chave])</f>
        <v>#N/A</v>
      </c>
    </row>
    <row r="1092" spans="1:11" ht="57.6" hidden="1" x14ac:dyDescent="0.3">
      <c r="A1092" s="5">
        <v>18809626</v>
      </c>
      <c r="B1092" s="6" t="s">
        <v>1399</v>
      </c>
      <c r="C1092" s="6" t="s">
        <v>1400</v>
      </c>
      <c r="D1092" s="8" t="s">
        <v>54</v>
      </c>
      <c r="E1092" s="6" t="s">
        <v>450</v>
      </c>
      <c r="F1092" s="6" t="s">
        <v>85</v>
      </c>
      <c r="G1092" s="11" t="s">
        <v>56</v>
      </c>
      <c r="H1092" s="10" t="s">
        <v>1401</v>
      </c>
      <c r="I1092" s="6" t="s">
        <v>1402</v>
      </c>
      <c r="J1092" s="12">
        <v>46121.742395833331</v>
      </c>
      <c r="K1092" s="6" t="e" cm="1">
        <f t="array" ref="K1092">LOOKUP(2^15,SEARCH(Tabela2[Palavras-Chave],Boletim[[#This Row],[Objeto]],1),Tabela2[Palavras-Chave])</f>
        <v>#N/A</v>
      </c>
    </row>
    <row r="1093" spans="1:11" ht="115.2" hidden="1" x14ac:dyDescent="0.3">
      <c r="A1093" s="5">
        <v>18809968</v>
      </c>
      <c r="B1093" s="6" t="s">
        <v>3004</v>
      </c>
      <c r="C1093" s="6" t="s">
        <v>3005</v>
      </c>
      <c r="D1093" s="8" t="s">
        <v>54</v>
      </c>
      <c r="E1093" s="6" t="s">
        <v>126</v>
      </c>
      <c r="F1093" s="6" t="s">
        <v>85</v>
      </c>
      <c r="G1093" s="11">
        <v>46135.354166666664</v>
      </c>
      <c r="H1093" s="10" t="s">
        <v>3006</v>
      </c>
      <c r="I1093" s="6" t="s">
        <v>3007</v>
      </c>
      <c r="J1093" s="12">
        <v>46121.702916666669</v>
      </c>
      <c r="K1093" s="6" t="e" cm="1">
        <f t="array" ref="K1093">LOOKUP(2^15,SEARCH(Tabela2[Palavras-Chave],Boletim[[#This Row],[Objeto]],1),Tabela2[Palavras-Chave])</f>
        <v>#N/A</v>
      </c>
    </row>
    <row r="1094" spans="1:11" ht="86.4" hidden="1" x14ac:dyDescent="0.3">
      <c r="A1094" s="5">
        <v>18808994</v>
      </c>
      <c r="B1094" s="6" t="s">
        <v>1403</v>
      </c>
      <c r="C1094" s="6" t="s">
        <v>1404</v>
      </c>
      <c r="D1094" s="8" t="s">
        <v>54</v>
      </c>
      <c r="E1094" s="6" t="s">
        <v>441</v>
      </c>
      <c r="F1094" s="6" t="s">
        <v>85</v>
      </c>
      <c r="G1094" s="11" t="s">
        <v>56</v>
      </c>
      <c r="H1094" s="10" t="s">
        <v>1405</v>
      </c>
      <c r="I1094" s="6" t="s">
        <v>1406</v>
      </c>
      <c r="J1094" s="12">
        <v>46121.704305555555</v>
      </c>
      <c r="K1094" s="6" t="e" cm="1">
        <f t="array" ref="K1094">LOOKUP(2^15,SEARCH(Tabela2[Palavras-Chave],Boletim[[#This Row],[Objeto]],1),Tabela2[Palavras-Chave])</f>
        <v>#N/A</v>
      </c>
    </row>
    <row r="1095" spans="1:11" ht="115.2" hidden="1" x14ac:dyDescent="0.3">
      <c r="A1095" s="5">
        <v>18808268</v>
      </c>
      <c r="B1095" s="6" t="s">
        <v>614</v>
      </c>
      <c r="C1095" s="6" t="s">
        <v>615</v>
      </c>
      <c r="D1095" s="8" t="s">
        <v>54</v>
      </c>
      <c r="E1095" s="6" t="s">
        <v>1316</v>
      </c>
      <c r="F1095" s="6" t="s">
        <v>85</v>
      </c>
      <c r="G1095" s="11" t="s">
        <v>56</v>
      </c>
      <c r="H1095" s="10" t="s">
        <v>1407</v>
      </c>
      <c r="I1095" s="6" t="s">
        <v>1408</v>
      </c>
      <c r="J1095" s="12">
        <v>46121.719050925924</v>
      </c>
      <c r="K1095" s="6" t="e" cm="1">
        <f t="array" ref="K1095">LOOKUP(2^15,SEARCH(Tabela2[Palavras-Chave],Boletim[[#This Row],[Objeto]],1),Tabela2[Palavras-Chave])</f>
        <v>#N/A</v>
      </c>
    </row>
    <row r="1096" spans="1:11" ht="100.8" hidden="1" x14ac:dyDescent="0.3">
      <c r="A1096" s="5">
        <v>18806843</v>
      </c>
      <c r="B1096" s="6" t="s">
        <v>3008</v>
      </c>
      <c r="C1096" s="6" t="s">
        <v>3009</v>
      </c>
      <c r="D1096" s="8" t="s">
        <v>54</v>
      </c>
      <c r="E1096" s="6" t="s">
        <v>106</v>
      </c>
      <c r="F1096" s="6" t="s">
        <v>85</v>
      </c>
      <c r="G1096" s="11" t="s">
        <v>56</v>
      </c>
      <c r="H1096" s="10" t="s">
        <v>3010</v>
      </c>
      <c r="I1096" s="6" t="s">
        <v>3011</v>
      </c>
      <c r="J1096" s="12">
        <v>46121.756898148145</v>
      </c>
      <c r="K1096" s="6" t="e" cm="1">
        <f t="array" ref="K1096">LOOKUP(2^15,SEARCH(Tabela2[Palavras-Chave],Boletim[[#This Row],[Objeto]],1),Tabela2[Palavras-Chave])</f>
        <v>#N/A</v>
      </c>
    </row>
    <row r="1097" spans="1:11" ht="187.2" hidden="1" x14ac:dyDescent="0.3">
      <c r="A1097" s="5">
        <v>18811198</v>
      </c>
      <c r="B1097" s="6" t="s">
        <v>1409</v>
      </c>
      <c r="C1097" s="6" t="s">
        <v>1410</v>
      </c>
      <c r="D1097" s="8" t="s">
        <v>54</v>
      </c>
      <c r="E1097" s="6" t="s">
        <v>148</v>
      </c>
      <c r="F1097" s="6" t="s">
        <v>85</v>
      </c>
      <c r="G1097" s="11" t="s">
        <v>56</v>
      </c>
      <c r="H1097" s="10" t="s">
        <v>1411</v>
      </c>
      <c r="I1097" s="6" t="s">
        <v>1412</v>
      </c>
      <c r="J1097" s="12">
        <v>46121.813078703701</v>
      </c>
      <c r="K1097" s="6" t="e" cm="1">
        <f t="array" ref="K1097">LOOKUP(2^15,SEARCH(Tabela2[Palavras-Chave],Boletim[[#This Row],[Objeto]],1),Tabela2[Palavras-Chave])</f>
        <v>#N/A</v>
      </c>
    </row>
    <row r="1098" spans="1:11" ht="244.8" hidden="1" x14ac:dyDescent="0.3">
      <c r="A1098" s="5">
        <v>18810364</v>
      </c>
      <c r="B1098" s="6" t="s">
        <v>1413</v>
      </c>
      <c r="C1098" s="6" t="s">
        <v>1414</v>
      </c>
      <c r="D1098" s="8" t="s">
        <v>54</v>
      </c>
      <c r="E1098" s="6" t="s">
        <v>127</v>
      </c>
      <c r="F1098" s="6" t="s">
        <v>85</v>
      </c>
      <c r="G1098" s="11" t="s">
        <v>56</v>
      </c>
      <c r="H1098" s="10" t="s">
        <v>1415</v>
      </c>
      <c r="I1098" s="6" t="s">
        <v>1416</v>
      </c>
      <c r="J1098" s="12">
        <v>46121.871759259258</v>
      </c>
      <c r="K1098" s="6" t="e" cm="1">
        <f t="array" ref="K1098">LOOKUP(2^15,SEARCH(Tabela2[Palavras-Chave],Boletim[[#This Row],[Objeto]],1),Tabela2[Palavras-Chave])</f>
        <v>#N/A</v>
      </c>
    </row>
    <row r="1099" spans="1:11" ht="201.6" hidden="1" x14ac:dyDescent="0.3">
      <c r="A1099" s="5">
        <v>18804345</v>
      </c>
      <c r="B1099" s="6" t="s">
        <v>621</v>
      </c>
      <c r="C1099" s="6" t="s">
        <v>622</v>
      </c>
      <c r="D1099" s="8" t="s">
        <v>60</v>
      </c>
      <c r="E1099" s="6" t="s">
        <v>127</v>
      </c>
      <c r="F1099" s="6" t="s">
        <v>85</v>
      </c>
      <c r="G1099" s="11" t="s">
        <v>56</v>
      </c>
      <c r="H1099" s="10" t="s">
        <v>623</v>
      </c>
      <c r="I1099" s="6" t="s">
        <v>624</v>
      </c>
      <c r="J1099" s="12">
        <v>46121.450752314813</v>
      </c>
      <c r="K1099" s="6" t="e" cm="1">
        <f t="array" ref="K1099">LOOKUP(2^15,SEARCH(Tabela2[Palavras-Chave],Boletim[[#This Row],[Objeto]],1),Tabela2[Palavras-Chave])</f>
        <v>#N/A</v>
      </c>
    </row>
    <row r="1100" spans="1:11" ht="86.4" hidden="1" x14ac:dyDescent="0.3">
      <c r="A1100" s="5">
        <v>18807302</v>
      </c>
      <c r="B1100" s="6" t="s">
        <v>3012</v>
      </c>
      <c r="C1100" s="6" t="s">
        <v>3013</v>
      </c>
      <c r="D1100" s="8" t="s">
        <v>60</v>
      </c>
      <c r="E1100" s="6" t="s">
        <v>707</v>
      </c>
      <c r="F1100" s="6" t="s">
        <v>85</v>
      </c>
      <c r="G1100" s="11" t="s">
        <v>56</v>
      </c>
      <c r="H1100" s="10" t="s">
        <v>3014</v>
      </c>
      <c r="I1100" s="6" t="s">
        <v>3015</v>
      </c>
      <c r="J1100" s="12">
        <v>46121.44059027778</v>
      </c>
      <c r="K1100" s="6" t="e" cm="1">
        <f t="array" ref="K1100">LOOKUP(2^15,SEARCH(Tabela2[Palavras-Chave],Boletim[[#This Row],[Objeto]],1),Tabela2[Palavras-Chave])</f>
        <v>#N/A</v>
      </c>
    </row>
    <row r="1101" spans="1:11" ht="100.8" hidden="1" x14ac:dyDescent="0.3">
      <c r="A1101" s="5">
        <v>18807434</v>
      </c>
      <c r="B1101" s="6" t="s">
        <v>74</v>
      </c>
      <c r="C1101" s="6" t="s">
        <v>59</v>
      </c>
      <c r="D1101" s="8" t="s">
        <v>60</v>
      </c>
      <c r="E1101" s="6" t="s">
        <v>1319</v>
      </c>
      <c r="F1101" s="6" t="s">
        <v>85</v>
      </c>
      <c r="G1101" s="11" t="s">
        <v>56</v>
      </c>
      <c r="H1101" s="10" t="s">
        <v>1320</v>
      </c>
      <c r="I1101" s="6" t="s">
        <v>1321</v>
      </c>
      <c r="J1101" s="12">
        <v>46121.447280092594</v>
      </c>
      <c r="K1101" s="6" t="e" cm="1">
        <f t="array" ref="K1101">LOOKUP(2^15,SEARCH(Tabela2[Palavras-Chave],Boletim[[#This Row],[Objeto]],1),Tabela2[Palavras-Chave])</f>
        <v>#N/A</v>
      </c>
    </row>
    <row r="1102" spans="1:11" ht="100.8" hidden="1" x14ac:dyDescent="0.3">
      <c r="A1102" s="5">
        <v>18807569</v>
      </c>
      <c r="B1102" s="6" t="s">
        <v>74</v>
      </c>
      <c r="C1102" s="6" t="s">
        <v>59</v>
      </c>
      <c r="D1102" s="8" t="s">
        <v>60</v>
      </c>
      <c r="E1102" s="6" t="s">
        <v>2972</v>
      </c>
      <c r="F1102" s="6" t="s">
        <v>85</v>
      </c>
      <c r="G1102" s="11" t="s">
        <v>56</v>
      </c>
      <c r="H1102" s="10" t="s">
        <v>2973</v>
      </c>
      <c r="I1102" s="6" t="s">
        <v>1321</v>
      </c>
      <c r="J1102" s="12">
        <v>46121.450057870374</v>
      </c>
      <c r="K1102" s="6" t="e" cm="1">
        <f t="array" ref="K1102">LOOKUP(2^15,SEARCH(Tabela2[Palavras-Chave],Boletim[[#This Row],[Objeto]],1),Tabela2[Palavras-Chave])</f>
        <v>#N/A</v>
      </c>
    </row>
    <row r="1103" spans="1:11" ht="57.6" hidden="1" x14ac:dyDescent="0.3">
      <c r="A1103" s="5">
        <v>18802425</v>
      </c>
      <c r="B1103" s="6" t="s">
        <v>414</v>
      </c>
      <c r="C1103" s="6" t="s">
        <v>415</v>
      </c>
      <c r="D1103" s="8" t="s">
        <v>60</v>
      </c>
      <c r="E1103" s="6" t="s">
        <v>416</v>
      </c>
      <c r="F1103" s="6" t="s">
        <v>85</v>
      </c>
      <c r="G1103" s="11">
        <v>46135.375</v>
      </c>
      <c r="H1103" s="10" t="s">
        <v>417</v>
      </c>
      <c r="I1103" s="6" t="s">
        <v>418</v>
      </c>
      <c r="J1103" s="12">
        <v>46121.450729166667</v>
      </c>
      <c r="K1103" s="6" t="e" cm="1">
        <f t="array" ref="K1103">LOOKUP(2^15,SEARCH(Tabela2[Palavras-Chave],Boletim[[#This Row],[Objeto]],1),Tabela2[Palavras-Chave])</f>
        <v>#N/A</v>
      </c>
    </row>
    <row r="1104" spans="1:11" ht="86.4" hidden="1" x14ac:dyDescent="0.3">
      <c r="A1104" s="5">
        <v>18795757</v>
      </c>
      <c r="B1104" s="6" t="s">
        <v>3012</v>
      </c>
      <c r="C1104" s="6" t="s">
        <v>3013</v>
      </c>
      <c r="D1104" s="8" t="s">
        <v>60</v>
      </c>
      <c r="E1104" s="6" t="s">
        <v>201</v>
      </c>
      <c r="F1104" s="6" t="s">
        <v>85</v>
      </c>
      <c r="G1104" s="11" t="s">
        <v>56</v>
      </c>
      <c r="H1104" s="10" t="s">
        <v>3016</v>
      </c>
      <c r="I1104" s="6" t="s">
        <v>3017</v>
      </c>
      <c r="J1104" s="12">
        <v>46121.450740740744</v>
      </c>
      <c r="K1104" s="6" t="e" cm="1">
        <f t="array" ref="K1104">LOOKUP(2^15,SEARCH(Tabela2[Palavras-Chave],Boletim[[#This Row],[Objeto]],1),Tabela2[Palavras-Chave])</f>
        <v>#N/A</v>
      </c>
    </row>
    <row r="1105" spans="1:11" ht="259.2" hidden="1" x14ac:dyDescent="0.3">
      <c r="A1105" s="5">
        <v>18806079</v>
      </c>
      <c r="B1105" s="6" t="s">
        <v>419</v>
      </c>
      <c r="C1105" s="6" t="s">
        <v>271</v>
      </c>
      <c r="D1105" s="8" t="s">
        <v>60</v>
      </c>
      <c r="E1105" s="6" t="s">
        <v>420</v>
      </c>
      <c r="F1105" s="6" t="s">
        <v>85</v>
      </c>
      <c r="G1105" s="11" t="s">
        <v>56</v>
      </c>
      <c r="H1105" s="10" t="s">
        <v>421</v>
      </c>
      <c r="I1105" s="6" t="s">
        <v>422</v>
      </c>
      <c r="J1105" s="12">
        <v>46121.450740740744</v>
      </c>
      <c r="K1105" s="6" t="e" cm="1">
        <f t="array" ref="K1105">LOOKUP(2^15,SEARCH(Tabela2[Palavras-Chave],Boletim[[#This Row],[Objeto]],1),Tabela2[Palavras-Chave])</f>
        <v>#N/A</v>
      </c>
    </row>
    <row r="1106" spans="1:11" ht="57.6" hidden="1" x14ac:dyDescent="0.3">
      <c r="A1106" s="5">
        <v>18807989</v>
      </c>
      <c r="B1106" s="6" t="s">
        <v>1417</v>
      </c>
      <c r="C1106" s="6" t="s">
        <v>1418</v>
      </c>
      <c r="D1106" s="8" t="s">
        <v>60</v>
      </c>
      <c r="E1106" s="6" t="s">
        <v>1419</v>
      </c>
      <c r="F1106" s="6" t="s">
        <v>85</v>
      </c>
      <c r="G1106" s="11">
        <v>46135.375</v>
      </c>
      <c r="H1106" s="10" t="s">
        <v>1420</v>
      </c>
      <c r="I1106" s="6" t="s">
        <v>1421</v>
      </c>
      <c r="J1106" s="12">
        <v>46121.518854166665</v>
      </c>
      <c r="K1106" s="6" t="e" cm="1">
        <f t="array" ref="K1106">LOOKUP(2^15,SEARCH(Tabela2[Palavras-Chave],Boletim[[#This Row],[Objeto]],1),Tabela2[Palavras-Chave])</f>
        <v>#N/A</v>
      </c>
    </row>
    <row r="1107" spans="1:11" ht="129.6" hidden="1" x14ac:dyDescent="0.3">
      <c r="A1107" s="5">
        <v>18808250</v>
      </c>
      <c r="B1107" s="6" t="s">
        <v>151</v>
      </c>
      <c r="C1107" s="6" t="s">
        <v>59</v>
      </c>
      <c r="D1107" s="8" t="s">
        <v>60</v>
      </c>
      <c r="E1107" s="6" t="s">
        <v>1422</v>
      </c>
      <c r="F1107" s="6" t="s">
        <v>85</v>
      </c>
      <c r="G1107" s="11" t="s">
        <v>56</v>
      </c>
      <c r="H1107" s="10" t="s">
        <v>1423</v>
      </c>
      <c r="I1107" s="6" t="s">
        <v>1424</v>
      </c>
      <c r="J1107" s="12">
        <v>46121.694849537038</v>
      </c>
      <c r="K1107" s="6" t="e" cm="1">
        <f t="array" ref="K1107">LOOKUP(2^15,SEARCH(Tabela2[Palavras-Chave],Boletim[[#This Row],[Objeto]],1),Tabela2[Palavras-Chave])</f>
        <v>#N/A</v>
      </c>
    </row>
    <row r="1108" spans="1:11" ht="115.2" hidden="1" x14ac:dyDescent="0.3">
      <c r="A1108" s="5">
        <v>18808582</v>
      </c>
      <c r="B1108" s="6" t="s">
        <v>1425</v>
      </c>
      <c r="C1108" s="6" t="s">
        <v>1426</v>
      </c>
      <c r="D1108" s="8" t="s">
        <v>60</v>
      </c>
      <c r="E1108" s="6" t="s">
        <v>1427</v>
      </c>
      <c r="F1108" s="6" t="s">
        <v>85</v>
      </c>
      <c r="G1108" s="11">
        <v>46135.395833333336</v>
      </c>
      <c r="H1108" s="10" t="s">
        <v>1428</v>
      </c>
      <c r="I1108" s="6" t="s">
        <v>1429</v>
      </c>
      <c r="J1108" s="12">
        <v>46121.702106481483</v>
      </c>
      <c r="K1108" s="6" t="e" cm="1">
        <f t="array" ref="K1108">LOOKUP(2^15,SEARCH(Tabela2[Palavras-Chave],Boletim[[#This Row],[Objeto]],1),Tabela2[Palavras-Chave])</f>
        <v>#N/A</v>
      </c>
    </row>
    <row r="1109" spans="1:11" ht="72" hidden="1" x14ac:dyDescent="0.3">
      <c r="A1109" s="5">
        <v>18808008</v>
      </c>
      <c r="B1109" s="6" t="s">
        <v>1417</v>
      </c>
      <c r="C1109" s="6" t="s">
        <v>1418</v>
      </c>
      <c r="D1109" s="8" t="s">
        <v>60</v>
      </c>
      <c r="E1109" s="6" t="s">
        <v>117</v>
      </c>
      <c r="F1109" s="6" t="s">
        <v>85</v>
      </c>
      <c r="G1109" s="11">
        <v>46134.333333333336</v>
      </c>
      <c r="H1109" s="10" t="s">
        <v>1430</v>
      </c>
      <c r="I1109" s="6" t="s">
        <v>1431</v>
      </c>
      <c r="J1109" s="12">
        <v>46121.703865740739</v>
      </c>
      <c r="K1109" s="6" t="e" cm="1">
        <f t="array" ref="K1109">LOOKUP(2^15,SEARCH(Tabela2[Palavras-Chave],Boletim[[#This Row],[Objeto]],1),Tabela2[Palavras-Chave])</f>
        <v>#N/A</v>
      </c>
    </row>
    <row r="1110" spans="1:11" ht="43.2" hidden="1" x14ac:dyDescent="0.3">
      <c r="A1110" s="5">
        <v>18808002</v>
      </c>
      <c r="B1110" s="6" t="s">
        <v>3018</v>
      </c>
      <c r="C1110" s="6" t="s">
        <v>233</v>
      </c>
      <c r="D1110" s="8" t="s">
        <v>60</v>
      </c>
      <c r="E1110" s="6" t="s">
        <v>3019</v>
      </c>
      <c r="F1110" s="6" t="s">
        <v>85</v>
      </c>
      <c r="G1110" s="11">
        <v>46135.375</v>
      </c>
      <c r="H1110" s="10" t="s">
        <v>3020</v>
      </c>
      <c r="I1110" s="6" t="s">
        <v>3021</v>
      </c>
      <c r="J1110" s="12">
        <v>46121.73128472222</v>
      </c>
      <c r="K1110" s="6" t="e" cm="1">
        <f t="array" ref="K1110">LOOKUP(2^15,SEARCH(Tabela2[Palavras-Chave],Boletim[[#This Row],[Objeto]],1),Tabela2[Palavras-Chave])</f>
        <v>#N/A</v>
      </c>
    </row>
    <row r="1111" spans="1:11" ht="115.2" hidden="1" x14ac:dyDescent="0.3">
      <c r="A1111" s="5">
        <v>18810389</v>
      </c>
      <c r="B1111" s="6" t="s">
        <v>1432</v>
      </c>
      <c r="C1111" s="6" t="s">
        <v>59</v>
      </c>
      <c r="D1111" s="8" t="s">
        <v>60</v>
      </c>
      <c r="E1111" s="6" t="s">
        <v>175</v>
      </c>
      <c r="F1111" s="6" t="s">
        <v>85</v>
      </c>
      <c r="G1111" s="11" t="s">
        <v>56</v>
      </c>
      <c r="H1111" s="10" t="s">
        <v>1433</v>
      </c>
      <c r="I1111" s="6" t="s">
        <v>1434</v>
      </c>
      <c r="J1111" s="12">
        <v>46121.737384259257</v>
      </c>
      <c r="K1111" s="6" t="e" cm="1">
        <f t="array" ref="K1111">LOOKUP(2^15,SEARCH(Tabela2[Palavras-Chave],Boletim[[#This Row],[Objeto]],1),Tabela2[Palavras-Chave])</f>
        <v>#N/A</v>
      </c>
    </row>
    <row r="1112" spans="1:11" ht="244.8" hidden="1" x14ac:dyDescent="0.3">
      <c r="A1112" s="5">
        <v>18811178</v>
      </c>
      <c r="B1112" s="6" t="s">
        <v>719</v>
      </c>
      <c r="C1112" s="6" t="s">
        <v>720</v>
      </c>
      <c r="D1112" s="8" t="s">
        <v>60</v>
      </c>
      <c r="E1112" s="6" t="s">
        <v>3022</v>
      </c>
      <c r="F1112" s="6" t="s">
        <v>85</v>
      </c>
      <c r="G1112" s="11">
        <v>46136.354166666664</v>
      </c>
      <c r="H1112" s="10" t="s">
        <v>3023</v>
      </c>
      <c r="I1112" s="6" t="s">
        <v>3024</v>
      </c>
      <c r="J1112" s="12">
        <v>46121.81318287037</v>
      </c>
      <c r="K1112" s="6" t="e" cm="1">
        <f t="array" ref="K1112">LOOKUP(2^15,SEARCH(Tabela2[Palavras-Chave],Boletim[[#This Row],[Objeto]],1),Tabela2[Palavras-Chave])</f>
        <v>#N/A</v>
      </c>
    </row>
    <row r="1113" spans="1:11" ht="100.8" hidden="1" x14ac:dyDescent="0.3">
      <c r="A1113" s="5">
        <v>18807436</v>
      </c>
      <c r="B1113" s="6" t="s">
        <v>74</v>
      </c>
      <c r="C1113" s="6" t="s">
        <v>61</v>
      </c>
      <c r="D1113" s="8" t="s">
        <v>62</v>
      </c>
      <c r="E1113" s="6" t="s">
        <v>1319</v>
      </c>
      <c r="F1113" s="6" t="s">
        <v>85</v>
      </c>
      <c r="G1113" s="11" t="s">
        <v>56</v>
      </c>
      <c r="H1113" s="10" t="s">
        <v>1320</v>
      </c>
      <c r="I1113" s="6" t="s">
        <v>1321</v>
      </c>
      <c r="J1113" s="12">
        <v>46121.447280092594</v>
      </c>
      <c r="K1113" s="6" t="e" cm="1">
        <f t="array" ref="K1113">LOOKUP(2^15,SEARCH(Tabela2[Palavras-Chave],Boletim[[#This Row],[Objeto]],1),Tabela2[Palavras-Chave])</f>
        <v>#N/A</v>
      </c>
    </row>
    <row r="1114" spans="1:11" ht="100.8" hidden="1" x14ac:dyDescent="0.3">
      <c r="A1114" s="5">
        <v>18807570</v>
      </c>
      <c r="B1114" s="6" t="s">
        <v>74</v>
      </c>
      <c r="C1114" s="6" t="s">
        <v>61</v>
      </c>
      <c r="D1114" s="8" t="s">
        <v>62</v>
      </c>
      <c r="E1114" s="6" t="s">
        <v>2972</v>
      </c>
      <c r="F1114" s="6" t="s">
        <v>85</v>
      </c>
      <c r="G1114" s="11" t="s">
        <v>56</v>
      </c>
      <c r="H1114" s="10" t="s">
        <v>2973</v>
      </c>
      <c r="I1114" s="6" t="s">
        <v>1321</v>
      </c>
      <c r="J1114" s="12">
        <v>46121.450057870374</v>
      </c>
      <c r="K1114" s="6" t="e" cm="1">
        <f t="array" ref="K1114">LOOKUP(2^15,SEARCH(Tabela2[Palavras-Chave],Boletim[[#This Row],[Objeto]],1),Tabela2[Palavras-Chave])</f>
        <v>#N/A</v>
      </c>
    </row>
    <row r="1115" spans="1:11" ht="409.6" hidden="1" x14ac:dyDescent="0.3">
      <c r="A1115" s="5">
        <v>18781119</v>
      </c>
      <c r="B1115" s="6" t="s">
        <v>425</v>
      </c>
      <c r="C1115" s="6" t="s">
        <v>61</v>
      </c>
      <c r="D1115" s="8" t="s">
        <v>62</v>
      </c>
      <c r="E1115" s="6" t="s">
        <v>1435</v>
      </c>
      <c r="F1115" s="6" t="s">
        <v>85</v>
      </c>
      <c r="G1115" s="11" t="s">
        <v>56</v>
      </c>
      <c r="H1115" s="10" t="s">
        <v>1436</v>
      </c>
      <c r="I1115" s="6" t="s">
        <v>1437</v>
      </c>
      <c r="J1115" s="12">
        <v>46121.491423611114</v>
      </c>
      <c r="K1115" s="6" t="e" cm="1">
        <f t="array" ref="K1115">LOOKUP(2^15,SEARCH(Tabela2[Palavras-Chave],Boletim[[#This Row],[Objeto]],1),Tabela2[Palavras-Chave])</f>
        <v>#N/A</v>
      </c>
    </row>
    <row r="1116" spans="1:11" ht="115.2" hidden="1" x14ac:dyDescent="0.3">
      <c r="A1116" s="5">
        <v>18808277</v>
      </c>
      <c r="B1116" s="6" t="s">
        <v>339</v>
      </c>
      <c r="C1116" s="6" t="s">
        <v>61</v>
      </c>
      <c r="D1116" s="8" t="s">
        <v>62</v>
      </c>
      <c r="E1116" s="6" t="s">
        <v>157</v>
      </c>
      <c r="F1116" s="6" t="s">
        <v>85</v>
      </c>
      <c r="G1116" s="11" t="s">
        <v>56</v>
      </c>
      <c r="H1116" s="10" t="s">
        <v>1438</v>
      </c>
      <c r="I1116" s="6" t="s">
        <v>1439</v>
      </c>
      <c r="J1116" s="12">
        <v>46121.529953703706</v>
      </c>
      <c r="K1116" s="6" t="e" cm="1">
        <f t="array" ref="K1116">LOOKUP(2^15,SEARCH(Tabela2[Palavras-Chave],Boletim[[#This Row],[Objeto]],1),Tabela2[Palavras-Chave])</f>
        <v>#N/A</v>
      </c>
    </row>
    <row r="1117" spans="1:11" ht="115.2" hidden="1" x14ac:dyDescent="0.3">
      <c r="A1117" s="5">
        <v>18809905</v>
      </c>
      <c r="B1117" s="6" t="s">
        <v>425</v>
      </c>
      <c r="C1117" s="6" t="s">
        <v>61</v>
      </c>
      <c r="D1117" s="8" t="s">
        <v>62</v>
      </c>
      <c r="E1117" s="6" t="s">
        <v>1440</v>
      </c>
      <c r="F1117" s="6" t="s">
        <v>85</v>
      </c>
      <c r="G1117" s="11">
        <v>46140.374305555553</v>
      </c>
      <c r="H1117" s="10" t="s">
        <v>1441</v>
      </c>
      <c r="I1117" s="6" t="s">
        <v>1442</v>
      </c>
      <c r="J1117" s="12">
        <v>46121.659212962964</v>
      </c>
      <c r="K1117" s="6" t="e" cm="1">
        <f t="array" ref="K1117">LOOKUP(2^15,SEARCH(Tabela2[Palavras-Chave],Boletim[[#This Row],[Objeto]],1),Tabela2[Palavras-Chave])</f>
        <v>#N/A</v>
      </c>
    </row>
    <row r="1118" spans="1:11" ht="43.2" hidden="1" x14ac:dyDescent="0.3">
      <c r="A1118" s="5">
        <v>18808092</v>
      </c>
      <c r="B1118" s="6" t="s">
        <v>3025</v>
      </c>
      <c r="C1118" s="6" t="s">
        <v>61</v>
      </c>
      <c r="D1118" s="8" t="s">
        <v>62</v>
      </c>
      <c r="E1118" s="6" t="s">
        <v>3026</v>
      </c>
      <c r="F1118" s="6" t="s">
        <v>85</v>
      </c>
      <c r="G1118" s="11" t="s">
        <v>56</v>
      </c>
      <c r="H1118" s="10" t="s">
        <v>3027</v>
      </c>
      <c r="I1118" s="6" t="s">
        <v>3028</v>
      </c>
      <c r="J1118" s="12">
        <v>46121.690636574072</v>
      </c>
      <c r="K1118" s="6" t="e" cm="1">
        <f t="array" ref="K1118">LOOKUP(2^15,SEARCH(Tabela2[Palavras-Chave],Boletim[[#This Row],[Objeto]],1),Tabela2[Palavras-Chave])</f>
        <v>#N/A</v>
      </c>
    </row>
    <row r="1119" spans="1:11" ht="115.2" hidden="1" x14ac:dyDescent="0.3">
      <c r="A1119" s="5">
        <v>18810377</v>
      </c>
      <c r="B1119" s="6" t="s">
        <v>1443</v>
      </c>
      <c r="C1119" s="6" t="s">
        <v>61</v>
      </c>
      <c r="D1119" s="8" t="s">
        <v>62</v>
      </c>
      <c r="E1119" s="6" t="s">
        <v>424</v>
      </c>
      <c r="F1119" s="6" t="s">
        <v>85</v>
      </c>
      <c r="G1119" s="11" t="s">
        <v>56</v>
      </c>
      <c r="H1119" s="10" t="s">
        <v>1444</v>
      </c>
      <c r="I1119" s="6" t="s">
        <v>1445</v>
      </c>
      <c r="J1119" s="12">
        <v>46121.745335648149</v>
      </c>
      <c r="K1119" s="6" t="e" cm="1">
        <f t="array" ref="K1119">LOOKUP(2^15,SEARCH(Tabela2[Palavras-Chave],Boletim[[#This Row],[Objeto]],1),Tabela2[Palavras-Chave])</f>
        <v>#N/A</v>
      </c>
    </row>
    <row r="1120" spans="1:11" ht="115.2" hidden="1" x14ac:dyDescent="0.3">
      <c r="A1120" s="5">
        <v>18808348</v>
      </c>
      <c r="B1120" s="6" t="s">
        <v>1446</v>
      </c>
      <c r="C1120" s="6" t="s">
        <v>61</v>
      </c>
      <c r="D1120" s="8" t="s">
        <v>62</v>
      </c>
      <c r="E1120" s="6" t="s">
        <v>183</v>
      </c>
      <c r="F1120" s="6" t="s">
        <v>85</v>
      </c>
      <c r="G1120" s="11" t="s">
        <v>56</v>
      </c>
      <c r="H1120" s="10" t="s">
        <v>1447</v>
      </c>
      <c r="I1120" s="6" t="s">
        <v>1448</v>
      </c>
      <c r="J1120" s="12">
        <v>46121.758726851855</v>
      </c>
      <c r="K1120" s="6" t="e" cm="1">
        <f t="array" ref="K1120">LOOKUP(2^15,SEARCH(Tabela2[Palavras-Chave],Boletim[[#This Row],[Objeto]],1),Tabela2[Palavras-Chave])</f>
        <v>#N/A</v>
      </c>
    </row>
    <row r="1121" spans="1:11" ht="115.2" hidden="1" x14ac:dyDescent="0.3">
      <c r="A1121" s="5">
        <v>18809907</v>
      </c>
      <c r="B1121" s="6" t="s">
        <v>425</v>
      </c>
      <c r="C1121" s="6" t="s">
        <v>61</v>
      </c>
      <c r="D1121" s="8" t="s">
        <v>62</v>
      </c>
      <c r="E1121" s="6" t="s">
        <v>1449</v>
      </c>
      <c r="F1121" s="6" t="s">
        <v>85</v>
      </c>
      <c r="G1121" s="11">
        <v>46139.374305555553</v>
      </c>
      <c r="H1121" s="10" t="s">
        <v>1450</v>
      </c>
      <c r="I1121" s="6" t="s">
        <v>1451</v>
      </c>
      <c r="J1121" s="12">
        <v>46121.853506944448</v>
      </c>
      <c r="K1121" s="6" t="e" cm="1">
        <f t="array" ref="K1121">LOOKUP(2^15,SEARCH(Tabela2[Palavras-Chave],Boletim[[#This Row],[Objeto]],1),Tabela2[Palavras-Chave])</f>
        <v>#N/A</v>
      </c>
    </row>
    <row r="1122" spans="1:11" ht="259.2" hidden="1" x14ac:dyDescent="0.3">
      <c r="A1122" s="5">
        <v>18809729</v>
      </c>
      <c r="B1122" s="6" t="s">
        <v>1452</v>
      </c>
      <c r="C1122" s="6" t="s">
        <v>61</v>
      </c>
      <c r="D1122" s="8" t="s">
        <v>62</v>
      </c>
      <c r="E1122" s="6" t="s">
        <v>1453</v>
      </c>
      <c r="F1122" s="6" t="s">
        <v>85</v>
      </c>
      <c r="G1122" s="11" t="s">
        <v>56</v>
      </c>
      <c r="H1122" s="10" t="s">
        <v>1454</v>
      </c>
      <c r="I1122" s="6" t="s">
        <v>1455</v>
      </c>
      <c r="J1122" s="12">
        <v>46121.854930555557</v>
      </c>
      <c r="K1122" s="6" t="e" cm="1">
        <f t="array" ref="K1122">LOOKUP(2^15,SEARCH(Tabela2[Palavras-Chave],Boletim[[#This Row],[Objeto]],1),Tabela2[Palavras-Chave])</f>
        <v>#N/A</v>
      </c>
    </row>
    <row r="1123" spans="1:11" ht="100.8" hidden="1" x14ac:dyDescent="0.3">
      <c r="A1123" s="5">
        <v>18807437</v>
      </c>
      <c r="B1123" s="6" t="s">
        <v>74</v>
      </c>
      <c r="C1123" s="6" t="s">
        <v>88</v>
      </c>
      <c r="D1123" s="8" t="s">
        <v>63</v>
      </c>
      <c r="E1123" s="6" t="s">
        <v>1319</v>
      </c>
      <c r="F1123" s="6" t="s">
        <v>85</v>
      </c>
      <c r="G1123" s="11" t="s">
        <v>56</v>
      </c>
      <c r="H1123" s="10" t="s">
        <v>1320</v>
      </c>
      <c r="I1123" s="6" t="s">
        <v>1321</v>
      </c>
      <c r="J1123" s="12">
        <v>46121.447291666664</v>
      </c>
      <c r="K1123" s="6" t="e" cm="1">
        <f t="array" ref="K1123">LOOKUP(2^15,SEARCH(Tabela2[Palavras-Chave],Boletim[[#This Row],[Objeto]],1),Tabela2[Palavras-Chave])</f>
        <v>#N/A</v>
      </c>
    </row>
    <row r="1124" spans="1:11" ht="100.8" hidden="1" x14ac:dyDescent="0.3">
      <c r="A1124" s="5">
        <v>18807571</v>
      </c>
      <c r="B1124" s="6" t="s">
        <v>74</v>
      </c>
      <c r="C1124" s="6" t="s">
        <v>88</v>
      </c>
      <c r="D1124" s="8" t="s">
        <v>63</v>
      </c>
      <c r="E1124" s="6" t="s">
        <v>2972</v>
      </c>
      <c r="F1124" s="6" t="s">
        <v>85</v>
      </c>
      <c r="G1124" s="11" t="s">
        <v>56</v>
      </c>
      <c r="H1124" s="10" t="s">
        <v>2973</v>
      </c>
      <c r="I1124" s="6" t="s">
        <v>1321</v>
      </c>
      <c r="J1124" s="12">
        <v>46121.450069444443</v>
      </c>
      <c r="K1124" s="6" t="e" cm="1">
        <f t="array" ref="K1124">LOOKUP(2^15,SEARCH(Tabela2[Palavras-Chave],Boletim[[#This Row],[Objeto]],1),Tabela2[Palavras-Chave])</f>
        <v>#N/A</v>
      </c>
    </row>
    <row r="1125" spans="1:11" ht="100.8" hidden="1" x14ac:dyDescent="0.3">
      <c r="A1125" s="5">
        <v>18807406</v>
      </c>
      <c r="B1125" s="6" t="s">
        <v>1456</v>
      </c>
      <c r="C1125" s="6" t="s">
        <v>1457</v>
      </c>
      <c r="D1125" s="8" t="s">
        <v>63</v>
      </c>
      <c r="E1125" s="6" t="s">
        <v>108</v>
      </c>
      <c r="F1125" s="6" t="s">
        <v>85</v>
      </c>
      <c r="G1125" s="11">
        <v>46140.333333333336</v>
      </c>
      <c r="H1125" s="10" t="s">
        <v>1458</v>
      </c>
      <c r="I1125" s="6" t="s">
        <v>1459</v>
      </c>
      <c r="J1125" s="12">
        <v>46121.534050925926</v>
      </c>
      <c r="K1125" s="6" t="e" cm="1">
        <f t="array" ref="K1125">LOOKUP(2^15,SEARCH(Tabela2[Palavras-Chave],Boletim[[#This Row],[Objeto]],1),Tabela2[Palavras-Chave])</f>
        <v>#N/A</v>
      </c>
    </row>
    <row r="1126" spans="1:11" ht="172.8" hidden="1" x14ac:dyDescent="0.3">
      <c r="A1126" s="5">
        <v>18808388</v>
      </c>
      <c r="B1126" s="6" t="s">
        <v>1460</v>
      </c>
      <c r="C1126" s="6" t="s">
        <v>1461</v>
      </c>
      <c r="D1126" s="8" t="s">
        <v>63</v>
      </c>
      <c r="E1126" s="6" t="s">
        <v>209</v>
      </c>
      <c r="F1126" s="6" t="s">
        <v>85</v>
      </c>
      <c r="G1126" s="11" t="s">
        <v>56</v>
      </c>
      <c r="H1126" s="10" t="s">
        <v>1462</v>
      </c>
      <c r="I1126" s="6" t="s">
        <v>1463</v>
      </c>
      <c r="J1126" s="12">
        <v>46121.544849537036</v>
      </c>
      <c r="K1126" s="6" t="e" cm="1">
        <f t="array" ref="K1126">LOOKUP(2^15,SEARCH(Tabela2[Palavras-Chave],Boletim[[#This Row],[Objeto]],1),Tabela2[Palavras-Chave])</f>
        <v>#N/A</v>
      </c>
    </row>
    <row r="1127" spans="1:11" ht="28.8" hidden="1" x14ac:dyDescent="0.3">
      <c r="A1127" s="5">
        <v>18808120</v>
      </c>
      <c r="B1127" s="6" t="s">
        <v>1464</v>
      </c>
      <c r="C1127" s="6" t="s">
        <v>88</v>
      </c>
      <c r="D1127" s="8" t="s">
        <v>63</v>
      </c>
      <c r="E1127" s="6" t="s">
        <v>224</v>
      </c>
      <c r="F1127" s="6" t="s">
        <v>85</v>
      </c>
      <c r="G1127" s="11">
        <v>46140.416666666664</v>
      </c>
      <c r="H1127" s="10" t="s">
        <v>1465</v>
      </c>
      <c r="I1127" s="6" t="s">
        <v>1466</v>
      </c>
      <c r="J1127" s="12">
        <v>46121.548425925925</v>
      </c>
      <c r="K1127" s="6" t="e" cm="1">
        <f t="array" ref="K1127">LOOKUP(2^15,SEARCH(Tabela2[Palavras-Chave],Boletim[[#This Row],[Objeto]],1),Tabela2[Palavras-Chave])</f>
        <v>#N/A</v>
      </c>
    </row>
    <row r="1128" spans="1:11" ht="115.2" hidden="1" x14ac:dyDescent="0.3">
      <c r="A1128" s="5">
        <v>18807675</v>
      </c>
      <c r="B1128" s="6" t="s">
        <v>625</v>
      </c>
      <c r="C1128" s="6" t="s">
        <v>88</v>
      </c>
      <c r="D1128" s="8" t="s">
        <v>63</v>
      </c>
      <c r="E1128" s="6" t="s">
        <v>498</v>
      </c>
      <c r="F1128" s="6" t="s">
        <v>85</v>
      </c>
      <c r="G1128" s="11">
        <v>46128.583333333336</v>
      </c>
      <c r="H1128" s="10" t="s">
        <v>1467</v>
      </c>
      <c r="I1128" s="6" t="s">
        <v>1468</v>
      </c>
      <c r="J1128" s="12">
        <v>46121.566018518519</v>
      </c>
      <c r="K1128" s="6" t="e" cm="1">
        <f t="array" ref="K1128">LOOKUP(2^15,SEARCH(Tabela2[Palavras-Chave],Boletim[[#This Row],[Objeto]],1),Tabela2[Palavras-Chave])</f>
        <v>#N/A</v>
      </c>
    </row>
    <row r="1129" spans="1:11" ht="100.8" hidden="1" x14ac:dyDescent="0.3">
      <c r="A1129" s="5">
        <v>18809542</v>
      </c>
      <c r="B1129" s="6" t="s">
        <v>1469</v>
      </c>
      <c r="C1129" s="6" t="s">
        <v>1470</v>
      </c>
      <c r="D1129" s="8" t="s">
        <v>63</v>
      </c>
      <c r="E1129" s="6" t="s">
        <v>107</v>
      </c>
      <c r="F1129" s="6" t="s">
        <v>85</v>
      </c>
      <c r="G1129" s="11">
        <v>46136.332638888889</v>
      </c>
      <c r="H1129" s="10" t="s">
        <v>1471</v>
      </c>
      <c r="I1129" s="6" t="s">
        <v>1472</v>
      </c>
      <c r="J1129" s="12">
        <v>46121.611875000002</v>
      </c>
      <c r="K1129" s="6" t="e" cm="1">
        <f t="array" ref="K1129">LOOKUP(2^15,SEARCH(Tabela2[Palavras-Chave],Boletim[[#This Row],[Objeto]],1),Tabela2[Palavras-Chave])</f>
        <v>#N/A</v>
      </c>
    </row>
    <row r="1130" spans="1:11" ht="144" hidden="1" x14ac:dyDescent="0.3">
      <c r="A1130" s="5">
        <v>18806863</v>
      </c>
      <c r="B1130" s="6" t="s">
        <v>1473</v>
      </c>
      <c r="C1130" s="6" t="s">
        <v>1474</v>
      </c>
      <c r="D1130" s="8" t="s">
        <v>63</v>
      </c>
      <c r="E1130" s="6" t="s">
        <v>134</v>
      </c>
      <c r="F1130" s="6" t="s">
        <v>85</v>
      </c>
      <c r="G1130" s="11" t="s">
        <v>56</v>
      </c>
      <c r="H1130" s="10" t="s">
        <v>1475</v>
      </c>
      <c r="I1130" s="6" t="s">
        <v>1476</v>
      </c>
      <c r="J1130" s="12">
        <v>46121.6174537037</v>
      </c>
      <c r="K1130" s="6" t="e" cm="1">
        <f t="array" ref="K1130">LOOKUP(2^15,SEARCH(Tabela2[Palavras-Chave],Boletim[[#This Row],[Objeto]],1),Tabela2[Palavras-Chave])</f>
        <v>#N/A</v>
      </c>
    </row>
    <row r="1131" spans="1:11" ht="273.60000000000002" hidden="1" x14ac:dyDescent="0.3">
      <c r="A1131" s="5">
        <v>18808456</v>
      </c>
      <c r="B1131" s="6" t="s">
        <v>1477</v>
      </c>
      <c r="C1131" s="6" t="s">
        <v>629</v>
      </c>
      <c r="D1131" s="8" t="s">
        <v>63</v>
      </c>
      <c r="E1131" s="6" t="s">
        <v>108</v>
      </c>
      <c r="F1131" s="6" t="s">
        <v>85</v>
      </c>
      <c r="G1131" s="11" t="s">
        <v>56</v>
      </c>
      <c r="H1131" s="10" t="s">
        <v>1478</v>
      </c>
      <c r="I1131" s="6" t="s">
        <v>1479</v>
      </c>
      <c r="J1131" s="12">
        <v>46121.660810185182</v>
      </c>
      <c r="K1131" s="6" t="e" cm="1">
        <f t="array" ref="K1131">LOOKUP(2^15,SEARCH(Tabela2[Palavras-Chave],Boletim[[#This Row],[Objeto]],1),Tabela2[Palavras-Chave])</f>
        <v>#N/A</v>
      </c>
    </row>
    <row r="1132" spans="1:11" ht="115.2" hidden="1" x14ac:dyDescent="0.3">
      <c r="A1132" s="5">
        <v>18808274</v>
      </c>
      <c r="B1132" s="6" t="s">
        <v>1480</v>
      </c>
      <c r="C1132" s="6" t="s">
        <v>426</v>
      </c>
      <c r="D1132" s="8" t="s">
        <v>63</v>
      </c>
      <c r="E1132" s="6" t="s">
        <v>1481</v>
      </c>
      <c r="F1132" s="6" t="s">
        <v>85</v>
      </c>
      <c r="G1132" s="11" t="s">
        <v>56</v>
      </c>
      <c r="H1132" s="10" t="s">
        <v>1482</v>
      </c>
      <c r="I1132" s="6" t="s">
        <v>1483</v>
      </c>
      <c r="J1132" s="12">
        <v>46121.667523148149</v>
      </c>
      <c r="K1132" s="6" t="e" cm="1">
        <f t="array" ref="K1132">LOOKUP(2^15,SEARCH(Tabela2[Palavras-Chave],Boletim[[#This Row],[Objeto]],1),Tabela2[Palavras-Chave])</f>
        <v>#N/A</v>
      </c>
    </row>
    <row r="1133" spans="1:11" ht="244.8" hidden="1" x14ac:dyDescent="0.3">
      <c r="A1133" s="5">
        <v>18810342</v>
      </c>
      <c r="B1133" s="6" t="s">
        <v>428</v>
      </c>
      <c r="C1133" s="6" t="s">
        <v>427</v>
      </c>
      <c r="D1133" s="8" t="s">
        <v>63</v>
      </c>
      <c r="E1133" s="6" t="s">
        <v>464</v>
      </c>
      <c r="F1133" s="6" t="s">
        <v>85</v>
      </c>
      <c r="G1133" s="11" t="s">
        <v>56</v>
      </c>
      <c r="H1133" s="10" t="s">
        <v>1484</v>
      </c>
      <c r="I1133" s="6" t="s">
        <v>1485</v>
      </c>
      <c r="J1133" s="12">
        <v>46121.721956018519</v>
      </c>
      <c r="K1133" s="6" t="e" cm="1">
        <f t="array" ref="K1133">LOOKUP(2^15,SEARCH(Tabela2[Palavras-Chave],Boletim[[#This Row],[Objeto]],1),Tabela2[Palavras-Chave])</f>
        <v>#N/A</v>
      </c>
    </row>
    <row r="1134" spans="1:11" ht="244.8" hidden="1" x14ac:dyDescent="0.3">
      <c r="A1134" s="5">
        <v>18809396</v>
      </c>
      <c r="B1134" s="6" t="s">
        <v>628</v>
      </c>
      <c r="C1134" s="6" t="s">
        <v>629</v>
      </c>
      <c r="D1134" s="8" t="s">
        <v>63</v>
      </c>
      <c r="E1134" s="6" t="s">
        <v>108</v>
      </c>
      <c r="F1134" s="6" t="s">
        <v>85</v>
      </c>
      <c r="G1134" s="11" t="s">
        <v>56</v>
      </c>
      <c r="H1134" s="10" t="s">
        <v>3029</v>
      </c>
      <c r="I1134" s="6" t="s">
        <v>3030</v>
      </c>
      <c r="J1134" s="12">
        <v>46121.729780092595</v>
      </c>
      <c r="K1134" s="6" t="e" cm="1">
        <f t="array" ref="K1134">LOOKUP(2^15,SEARCH(Tabela2[Palavras-Chave],Boletim[[#This Row],[Objeto]],1),Tabela2[Palavras-Chave])</f>
        <v>#N/A</v>
      </c>
    </row>
    <row r="1135" spans="1:11" ht="144" hidden="1" x14ac:dyDescent="0.3">
      <c r="A1135" s="5">
        <v>18810399</v>
      </c>
      <c r="B1135" s="6" t="s">
        <v>428</v>
      </c>
      <c r="C1135" s="6" t="s">
        <v>427</v>
      </c>
      <c r="D1135" s="8" t="s">
        <v>63</v>
      </c>
      <c r="E1135" s="6" t="s">
        <v>464</v>
      </c>
      <c r="F1135" s="6" t="s">
        <v>85</v>
      </c>
      <c r="G1135" s="11" t="s">
        <v>56</v>
      </c>
      <c r="H1135" s="10" t="s">
        <v>1486</v>
      </c>
      <c r="I1135" s="6" t="s">
        <v>1487</v>
      </c>
      <c r="J1135" s="12">
        <v>46121.732673611114</v>
      </c>
      <c r="K1135" s="6" t="e" cm="1">
        <f t="array" ref="K1135">LOOKUP(2^15,SEARCH(Tabela2[Palavras-Chave],Boletim[[#This Row],[Objeto]],1),Tabela2[Palavras-Chave])</f>
        <v>#N/A</v>
      </c>
    </row>
    <row r="1136" spans="1:11" ht="28.8" hidden="1" x14ac:dyDescent="0.3">
      <c r="A1136" s="5">
        <v>18810601</v>
      </c>
      <c r="B1136" s="6" t="s">
        <v>1488</v>
      </c>
      <c r="C1136" s="6" t="s">
        <v>1489</v>
      </c>
      <c r="D1136" s="8" t="s">
        <v>63</v>
      </c>
      <c r="E1136" s="6" t="s">
        <v>120</v>
      </c>
      <c r="F1136" s="6" t="s">
        <v>85</v>
      </c>
      <c r="G1136" s="11">
        <v>46140.5</v>
      </c>
      <c r="H1136" s="10" t="s">
        <v>1490</v>
      </c>
      <c r="I1136" s="6" t="s">
        <v>1491</v>
      </c>
      <c r="J1136" s="12">
        <v>46121.743449074071</v>
      </c>
      <c r="K1136" s="6" t="e" cm="1">
        <f t="array" ref="K1136">LOOKUP(2^15,SEARCH(Tabela2[Palavras-Chave],Boletim[[#This Row],[Objeto]],1),Tabela2[Palavras-Chave])</f>
        <v>#N/A</v>
      </c>
    </row>
    <row r="1137" spans="1:11" ht="100.8" hidden="1" x14ac:dyDescent="0.3">
      <c r="A1137" s="5">
        <v>18809509</v>
      </c>
      <c r="B1137" s="6" t="s">
        <v>1492</v>
      </c>
      <c r="C1137" s="6" t="s">
        <v>1493</v>
      </c>
      <c r="D1137" s="8" t="s">
        <v>63</v>
      </c>
      <c r="E1137" s="6" t="s">
        <v>142</v>
      </c>
      <c r="F1137" s="6" t="s">
        <v>85</v>
      </c>
      <c r="G1137" s="11">
        <v>46140.354166666664</v>
      </c>
      <c r="H1137" s="10" t="s">
        <v>1494</v>
      </c>
      <c r="I1137" s="6" t="s">
        <v>1495</v>
      </c>
      <c r="J1137" s="12">
        <v>46121.763877314814</v>
      </c>
      <c r="K1137" s="6" t="e" cm="1">
        <f t="array" ref="K1137">LOOKUP(2^15,SEARCH(Tabela2[Palavras-Chave],Boletim[[#This Row],[Objeto]],1),Tabela2[Palavras-Chave])</f>
        <v>#N/A</v>
      </c>
    </row>
    <row r="1138" spans="1:11" ht="86.4" hidden="1" x14ac:dyDescent="0.3">
      <c r="A1138" s="5">
        <v>18811069</v>
      </c>
      <c r="B1138" s="6" t="s">
        <v>428</v>
      </c>
      <c r="C1138" s="6" t="s">
        <v>427</v>
      </c>
      <c r="D1138" s="8" t="s">
        <v>63</v>
      </c>
      <c r="E1138" s="6" t="s">
        <v>536</v>
      </c>
      <c r="F1138" s="6" t="s">
        <v>85</v>
      </c>
      <c r="G1138" s="11" t="s">
        <v>56</v>
      </c>
      <c r="H1138" s="10" t="s">
        <v>1496</v>
      </c>
      <c r="I1138" s="6" t="s">
        <v>1497</v>
      </c>
      <c r="J1138" s="12">
        <v>46121.788263888891</v>
      </c>
      <c r="K1138" s="6" t="e" cm="1">
        <f t="array" ref="K1138">LOOKUP(2^15,SEARCH(Tabela2[Palavras-Chave],Boletim[[#This Row],[Objeto]],1),Tabela2[Palavras-Chave])</f>
        <v>#N/A</v>
      </c>
    </row>
    <row r="1139" spans="1:11" ht="115.2" hidden="1" x14ac:dyDescent="0.3">
      <c r="A1139" s="5">
        <v>18810020</v>
      </c>
      <c r="B1139" s="6" t="s">
        <v>1498</v>
      </c>
      <c r="C1139" s="6" t="s">
        <v>88</v>
      </c>
      <c r="D1139" s="8" t="s">
        <v>63</v>
      </c>
      <c r="E1139" s="6" t="s">
        <v>450</v>
      </c>
      <c r="F1139" s="6" t="s">
        <v>85</v>
      </c>
      <c r="G1139" s="11">
        <v>46136.364583333336</v>
      </c>
      <c r="H1139" s="10" t="s">
        <v>1499</v>
      </c>
      <c r="I1139" s="6" t="s">
        <v>1500</v>
      </c>
      <c r="J1139" s="12">
        <v>46121.866087962961</v>
      </c>
      <c r="K1139" s="6" t="e" cm="1">
        <f t="array" ref="K1139">LOOKUP(2^15,SEARCH(Tabela2[Palavras-Chave],Boletim[[#This Row],[Objeto]],1),Tabela2[Palavras-Chave])</f>
        <v>#N/A</v>
      </c>
    </row>
    <row r="1140" spans="1:11" ht="100.8" hidden="1" x14ac:dyDescent="0.3">
      <c r="A1140" s="5">
        <v>18807439</v>
      </c>
      <c r="B1140" s="6" t="s">
        <v>74</v>
      </c>
      <c r="C1140" s="6" t="s">
        <v>101</v>
      </c>
      <c r="D1140" s="8" t="s">
        <v>64</v>
      </c>
      <c r="E1140" s="6" t="s">
        <v>1319</v>
      </c>
      <c r="F1140" s="6" t="s">
        <v>85</v>
      </c>
      <c r="G1140" s="11" t="s">
        <v>56</v>
      </c>
      <c r="H1140" s="10" t="s">
        <v>1320</v>
      </c>
      <c r="I1140" s="6" t="s">
        <v>1321</v>
      </c>
      <c r="J1140" s="12">
        <v>46121.447291666664</v>
      </c>
      <c r="K1140" s="6" t="e" cm="1">
        <f t="array" ref="K1140">LOOKUP(2^15,SEARCH(Tabela2[Palavras-Chave],Boletim[[#This Row],[Objeto]],1),Tabela2[Palavras-Chave])</f>
        <v>#N/A</v>
      </c>
    </row>
    <row r="1141" spans="1:11" ht="100.8" hidden="1" x14ac:dyDescent="0.3">
      <c r="A1141" s="5">
        <v>18807572</v>
      </c>
      <c r="B1141" s="6" t="s">
        <v>74</v>
      </c>
      <c r="C1141" s="6" t="s">
        <v>101</v>
      </c>
      <c r="D1141" s="8" t="s">
        <v>64</v>
      </c>
      <c r="E1141" s="6" t="s">
        <v>2972</v>
      </c>
      <c r="F1141" s="6" t="s">
        <v>85</v>
      </c>
      <c r="G1141" s="11" t="s">
        <v>56</v>
      </c>
      <c r="H1141" s="10" t="s">
        <v>2973</v>
      </c>
      <c r="I1141" s="6" t="s">
        <v>1321</v>
      </c>
      <c r="J1141" s="12">
        <v>46121.450069444443</v>
      </c>
      <c r="K1141" s="6" t="e" cm="1">
        <f t="array" ref="K1141">LOOKUP(2^15,SEARCH(Tabela2[Palavras-Chave],Boletim[[#This Row],[Objeto]],1),Tabela2[Palavras-Chave])</f>
        <v>#N/A</v>
      </c>
    </row>
    <row r="1142" spans="1:11" ht="172.8" hidden="1" x14ac:dyDescent="0.3">
      <c r="A1142" s="5">
        <v>18806870</v>
      </c>
      <c r="B1142" s="6" t="s">
        <v>438</v>
      </c>
      <c r="C1142" s="6" t="s">
        <v>439</v>
      </c>
      <c r="D1142" s="8" t="s">
        <v>64</v>
      </c>
      <c r="E1142" s="6" t="s">
        <v>143</v>
      </c>
      <c r="F1142" s="6" t="s">
        <v>85</v>
      </c>
      <c r="G1142" s="11" t="s">
        <v>56</v>
      </c>
      <c r="H1142" s="10" t="s">
        <v>1501</v>
      </c>
      <c r="I1142" s="6" t="s">
        <v>1502</v>
      </c>
      <c r="J1142" s="12">
        <v>46121.448599537034</v>
      </c>
      <c r="K1142" s="6" t="e" cm="1">
        <f t="array" ref="K1142">LOOKUP(2^15,SEARCH(Tabela2[Palavras-Chave],Boletim[[#This Row],[Objeto]],1),Tabela2[Palavras-Chave])</f>
        <v>#N/A</v>
      </c>
    </row>
    <row r="1143" spans="1:11" ht="57.6" hidden="1" x14ac:dyDescent="0.3">
      <c r="A1143" s="5">
        <v>18808734</v>
      </c>
      <c r="B1143" s="6" t="s">
        <v>1503</v>
      </c>
      <c r="C1143" s="6" t="s">
        <v>1504</v>
      </c>
      <c r="D1143" s="8" t="s">
        <v>64</v>
      </c>
      <c r="E1143" s="6" t="s">
        <v>291</v>
      </c>
      <c r="F1143" s="6" t="s">
        <v>85</v>
      </c>
      <c r="G1143" s="11">
        <v>46136.375</v>
      </c>
      <c r="H1143" s="10" t="s">
        <v>1505</v>
      </c>
      <c r="I1143" s="6" t="s">
        <v>1506</v>
      </c>
      <c r="J1143" s="12">
        <v>46121.60769675926</v>
      </c>
      <c r="K1143" s="6" t="e" cm="1">
        <f t="array" ref="K1143">LOOKUP(2^15,SEARCH(Tabela2[Palavras-Chave],Boletim[[#This Row],[Objeto]],1),Tabela2[Palavras-Chave])</f>
        <v>#N/A</v>
      </c>
    </row>
    <row r="1144" spans="1:11" ht="259.2" hidden="1" x14ac:dyDescent="0.3">
      <c r="A1144" s="5">
        <v>18801587</v>
      </c>
      <c r="B1144" s="6" t="s">
        <v>432</v>
      </c>
      <c r="C1144" s="6" t="s">
        <v>433</v>
      </c>
      <c r="D1144" s="8" t="s">
        <v>64</v>
      </c>
      <c r="E1144" s="6" t="s">
        <v>124</v>
      </c>
      <c r="F1144" s="6" t="s">
        <v>85</v>
      </c>
      <c r="G1144" s="11" t="s">
        <v>56</v>
      </c>
      <c r="H1144" s="10" t="s">
        <v>434</v>
      </c>
      <c r="I1144" s="6" t="s">
        <v>435</v>
      </c>
      <c r="J1144" s="12">
        <v>46121.607743055552</v>
      </c>
      <c r="K1144" s="6" t="e" cm="1">
        <f t="array" ref="K1144">LOOKUP(2^15,SEARCH(Tabela2[Palavras-Chave],Boletim[[#This Row],[Objeto]],1),Tabela2[Palavras-Chave])</f>
        <v>#N/A</v>
      </c>
    </row>
    <row r="1145" spans="1:11" ht="43.2" hidden="1" x14ac:dyDescent="0.3">
      <c r="A1145" s="5">
        <v>18806382</v>
      </c>
      <c r="B1145" s="6" t="s">
        <v>633</v>
      </c>
      <c r="C1145" s="6" t="s">
        <v>634</v>
      </c>
      <c r="D1145" s="8" t="s">
        <v>64</v>
      </c>
      <c r="E1145" s="6" t="s">
        <v>142</v>
      </c>
      <c r="F1145" s="6" t="s">
        <v>85</v>
      </c>
      <c r="G1145" s="11">
        <v>46134.416666666664</v>
      </c>
      <c r="H1145" s="10" t="s">
        <v>636</v>
      </c>
      <c r="I1145" s="6" t="s">
        <v>637</v>
      </c>
      <c r="J1145" s="12">
        <v>46121.607766203706</v>
      </c>
      <c r="K1145" s="6" t="e" cm="1">
        <f t="array" ref="K1145">LOOKUP(2^15,SEARCH(Tabela2[Palavras-Chave],Boletim[[#This Row],[Objeto]],1),Tabela2[Palavras-Chave])</f>
        <v>#N/A</v>
      </c>
    </row>
    <row r="1146" spans="1:11" ht="28.8" hidden="1" x14ac:dyDescent="0.3">
      <c r="A1146" s="5">
        <v>18809638</v>
      </c>
      <c r="B1146" s="6" t="s">
        <v>317</v>
      </c>
      <c r="C1146" s="6" t="s">
        <v>101</v>
      </c>
      <c r="D1146" s="8" t="s">
        <v>64</v>
      </c>
      <c r="E1146" s="6" t="s">
        <v>165</v>
      </c>
      <c r="F1146" s="6" t="s">
        <v>85</v>
      </c>
      <c r="G1146" s="11">
        <v>46129.395833333336</v>
      </c>
      <c r="H1146" s="10" t="s">
        <v>1507</v>
      </c>
      <c r="I1146" s="6" t="s">
        <v>90</v>
      </c>
      <c r="J1146" s="12">
        <v>46121.613923611112</v>
      </c>
      <c r="K1146" s="6" t="e" cm="1">
        <f t="array" ref="K1146">LOOKUP(2^15,SEARCH(Tabela2[Palavras-Chave],Boletim[[#This Row],[Objeto]],1),Tabela2[Palavras-Chave])</f>
        <v>#N/A</v>
      </c>
    </row>
    <row r="1147" spans="1:11" ht="28.8" hidden="1" x14ac:dyDescent="0.3">
      <c r="A1147" s="5">
        <v>18810008</v>
      </c>
      <c r="B1147" s="6" t="s">
        <v>1508</v>
      </c>
      <c r="C1147" s="6" t="s">
        <v>1509</v>
      </c>
      <c r="D1147" s="8" t="s">
        <v>64</v>
      </c>
      <c r="E1147" s="6" t="s">
        <v>106</v>
      </c>
      <c r="F1147" s="6" t="s">
        <v>85</v>
      </c>
      <c r="G1147" s="11">
        <v>46140.375</v>
      </c>
      <c r="H1147" s="10" t="s">
        <v>1510</v>
      </c>
      <c r="I1147" s="6" t="s">
        <v>1511</v>
      </c>
      <c r="J1147" s="12">
        <v>46121.711157407408</v>
      </c>
      <c r="K1147" s="6" t="e" cm="1">
        <f t="array" ref="K1147">LOOKUP(2^15,SEARCH(Tabela2[Palavras-Chave],Boletim[[#This Row],[Objeto]],1),Tabela2[Palavras-Chave])</f>
        <v>#N/A</v>
      </c>
    </row>
    <row r="1148" spans="1:11" ht="86.4" hidden="1" x14ac:dyDescent="0.3">
      <c r="A1148" s="5">
        <v>18807011</v>
      </c>
      <c r="B1148" s="6" t="s">
        <v>430</v>
      </c>
      <c r="C1148" s="6" t="s">
        <v>431</v>
      </c>
      <c r="D1148" s="8" t="s">
        <v>64</v>
      </c>
      <c r="E1148" s="6" t="s">
        <v>113</v>
      </c>
      <c r="F1148" s="6" t="s">
        <v>85</v>
      </c>
      <c r="G1148" s="11">
        <v>46140</v>
      </c>
      <c r="H1148" s="10" t="s">
        <v>3031</v>
      </c>
      <c r="I1148" s="6" t="s">
        <v>3032</v>
      </c>
      <c r="J1148" s="12">
        <v>46121.742569444446</v>
      </c>
      <c r="K1148" s="6" t="e" cm="1">
        <f t="array" ref="K1148">LOOKUP(2^15,SEARCH(Tabela2[Palavras-Chave],Boletim[[#This Row],[Objeto]],1),Tabela2[Palavras-Chave])</f>
        <v>#N/A</v>
      </c>
    </row>
    <row r="1149" spans="1:11" ht="115.2" hidden="1" x14ac:dyDescent="0.3">
      <c r="A1149" s="5">
        <v>18809496</v>
      </c>
      <c r="B1149" s="6" t="s">
        <v>1512</v>
      </c>
      <c r="C1149" s="6" t="s">
        <v>635</v>
      </c>
      <c r="D1149" s="8" t="s">
        <v>64</v>
      </c>
      <c r="E1149" s="6" t="s">
        <v>1513</v>
      </c>
      <c r="F1149" s="6" t="s">
        <v>85</v>
      </c>
      <c r="G1149" s="11">
        <v>46150.354166666664</v>
      </c>
      <c r="H1149" s="10" t="s">
        <v>1514</v>
      </c>
      <c r="I1149" s="6" t="s">
        <v>1515</v>
      </c>
      <c r="J1149" s="12">
        <v>46121.768414351849</v>
      </c>
      <c r="K1149" s="6" t="e" cm="1">
        <f t="array" ref="K1149">LOOKUP(2^15,SEARCH(Tabela2[Palavras-Chave],Boletim[[#This Row],[Objeto]],1),Tabela2[Palavras-Chave])</f>
        <v>#N/A</v>
      </c>
    </row>
    <row r="1150" spans="1:11" ht="57.6" hidden="1" x14ac:dyDescent="0.3">
      <c r="A1150" s="5">
        <v>18811498</v>
      </c>
      <c r="B1150" s="6" t="s">
        <v>3033</v>
      </c>
      <c r="C1150" s="6" t="s">
        <v>101</v>
      </c>
      <c r="D1150" s="8" t="s">
        <v>64</v>
      </c>
      <c r="E1150" s="6" t="s">
        <v>2917</v>
      </c>
      <c r="F1150" s="6" t="s">
        <v>85</v>
      </c>
      <c r="G1150" s="11">
        <v>46163.333333333336</v>
      </c>
      <c r="H1150" s="10" t="s">
        <v>3034</v>
      </c>
      <c r="I1150" s="6" t="s">
        <v>3035</v>
      </c>
      <c r="J1150" s="12">
        <v>46121.872384259259</v>
      </c>
      <c r="K1150" s="6" t="e" cm="1">
        <f t="array" ref="K1150">LOOKUP(2^15,SEARCH(Tabela2[Palavras-Chave],Boletim[[#This Row],[Objeto]],1),Tabela2[Palavras-Chave])</f>
        <v>#N/A</v>
      </c>
    </row>
    <row r="1151" spans="1:11" ht="187.2" hidden="1" x14ac:dyDescent="0.3">
      <c r="A1151" s="5">
        <v>18791164</v>
      </c>
      <c r="B1151" s="6" t="s">
        <v>583</v>
      </c>
      <c r="C1151" s="6" t="s">
        <v>159</v>
      </c>
      <c r="D1151" s="8" t="s">
        <v>89</v>
      </c>
      <c r="E1151" s="6" t="s">
        <v>3036</v>
      </c>
      <c r="F1151" s="6" t="s">
        <v>85</v>
      </c>
      <c r="G1151" s="11">
        <v>46213.395833333336</v>
      </c>
      <c r="H1151" s="10" t="s">
        <v>3037</v>
      </c>
      <c r="I1151" s="6" t="s">
        <v>3038</v>
      </c>
      <c r="J1151" s="12">
        <v>46121.389050925929</v>
      </c>
      <c r="K1151" s="6" t="e" cm="1">
        <f t="array" ref="K1151">LOOKUP(2^15,SEARCH(Tabela2[Palavras-Chave],Boletim[[#This Row],[Objeto]],1),Tabela2[Palavras-Chave])</f>
        <v>#N/A</v>
      </c>
    </row>
    <row r="1152" spans="1:11" ht="129.6" hidden="1" x14ac:dyDescent="0.3">
      <c r="A1152" s="5">
        <v>18791179</v>
      </c>
      <c r="B1152" s="6" t="s">
        <v>583</v>
      </c>
      <c r="C1152" s="6" t="s">
        <v>159</v>
      </c>
      <c r="D1152" s="8" t="s">
        <v>89</v>
      </c>
      <c r="E1152" s="6" t="s">
        <v>3039</v>
      </c>
      <c r="F1152" s="6" t="s">
        <v>85</v>
      </c>
      <c r="G1152" s="11">
        <v>46213.416666666664</v>
      </c>
      <c r="H1152" s="10" t="s">
        <v>3040</v>
      </c>
      <c r="I1152" s="6" t="s">
        <v>3041</v>
      </c>
      <c r="J1152" s="12">
        <v>46121.389050925929</v>
      </c>
      <c r="K1152" s="6" t="e" cm="1">
        <f t="array" ref="K1152">LOOKUP(2^15,SEARCH(Tabela2[Palavras-Chave],Boletim[[#This Row],[Objeto]],1),Tabela2[Palavras-Chave])</f>
        <v>#N/A</v>
      </c>
    </row>
    <row r="1153" spans="1:11" ht="158.4" hidden="1" x14ac:dyDescent="0.3">
      <c r="A1153" s="5">
        <v>18791181</v>
      </c>
      <c r="B1153" s="6" t="s">
        <v>583</v>
      </c>
      <c r="C1153" s="6" t="s">
        <v>159</v>
      </c>
      <c r="D1153" s="8" t="s">
        <v>89</v>
      </c>
      <c r="E1153" s="6" t="s">
        <v>3042</v>
      </c>
      <c r="F1153" s="6" t="s">
        <v>85</v>
      </c>
      <c r="G1153" s="11">
        <v>46213.4375</v>
      </c>
      <c r="H1153" s="10" t="s">
        <v>3043</v>
      </c>
      <c r="I1153" s="6" t="s">
        <v>3044</v>
      </c>
      <c r="J1153" s="12">
        <v>46121.389050925929</v>
      </c>
      <c r="K1153" s="6" t="e" cm="1">
        <f t="array" ref="K1153">LOOKUP(2^15,SEARCH(Tabela2[Palavras-Chave],Boletim[[#This Row],[Objeto]],1),Tabela2[Palavras-Chave])</f>
        <v>#N/A</v>
      </c>
    </row>
    <row r="1154" spans="1:11" ht="100.8" hidden="1" x14ac:dyDescent="0.3">
      <c r="A1154" s="5">
        <v>18807440</v>
      </c>
      <c r="B1154" s="6" t="s">
        <v>74</v>
      </c>
      <c r="C1154" s="6" t="s">
        <v>159</v>
      </c>
      <c r="D1154" s="8" t="s">
        <v>89</v>
      </c>
      <c r="E1154" s="6" t="s">
        <v>1319</v>
      </c>
      <c r="F1154" s="6" t="s">
        <v>85</v>
      </c>
      <c r="G1154" s="11" t="s">
        <v>56</v>
      </c>
      <c r="H1154" s="10" t="s">
        <v>1320</v>
      </c>
      <c r="I1154" s="6" t="s">
        <v>1321</v>
      </c>
      <c r="J1154" s="12">
        <v>46121.447291666664</v>
      </c>
      <c r="K1154" s="6" t="e" cm="1">
        <f t="array" ref="K1154">LOOKUP(2^15,SEARCH(Tabela2[Palavras-Chave],Boletim[[#This Row],[Objeto]],1),Tabela2[Palavras-Chave])</f>
        <v>#N/A</v>
      </c>
    </row>
    <row r="1155" spans="1:11" ht="100.8" hidden="1" x14ac:dyDescent="0.3">
      <c r="A1155" s="5">
        <v>18807573</v>
      </c>
      <c r="B1155" s="6" t="s">
        <v>74</v>
      </c>
      <c r="C1155" s="6" t="s">
        <v>159</v>
      </c>
      <c r="D1155" s="8" t="s">
        <v>89</v>
      </c>
      <c r="E1155" s="6" t="s">
        <v>2972</v>
      </c>
      <c r="F1155" s="6" t="s">
        <v>85</v>
      </c>
      <c r="G1155" s="11" t="s">
        <v>56</v>
      </c>
      <c r="H1155" s="10" t="s">
        <v>2973</v>
      </c>
      <c r="I1155" s="6" t="s">
        <v>1321</v>
      </c>
      <c r="J1155" s="12">
        <v>46121.450069444443</v>
      </c>
      <c r="K1155" s="6" t="e" cm="1">
        <f t="array" ref="K1155">LOOKUP(2^15,SEARCH(Tabela2[Palavras-Chave],Boletim[[#This Row],[Objeto]],1),Tabela2[Palavras-Chave])</f>
        <v>#N/A</v>
      </c>
    </row>
    <row r="1156" spans="1:11" ht="72" hidden="1" x14ac:dyDescent="0.3">
      <c r="A1156" s="5">
        <v>18795516</v>
      </c>
      <c r="B1156" s="6" t="s">
        <v>1516</v>
      </c>
      <c r="C1156" s="6" t="s">
        <v>1517</v>
      </c>
      <c r="D1156" s="8" t="s">
        <v>89</v>
      </c>
      <c r="E1156" s="6" t="s">
        <v>113</v>
      </c>
      <c r="F1156" s="6" t="s">
        <v>85</v>
      </c>
      <c r="G1156" s="11">
        <v>46141.416666666664</v>
      </c>
      <c r="H1156" s="10" t="s">
        <v>1518</v>
      </c>
      <c r="I1156" s="6" t="s">
        <v>1519</v>
      </c>
      <c r="J1156" s="12">
        <v>46121.57571759259</v>
      </c>
      <c r="K1156" s="6" t="e" cm="1">
        <f t="array" ref="K1156">LOOKUP(2^15,SEARCH(Tabela2[Palavras-Chave],Boletim[[#This Row],[Objeto]],1),Tabela2[Palavras-Chave])</f>
        <v>#N/A</v>
      </c>
    </row>
    <row r="1157" spans="1:11" ht="28.8" hidden="1" x14ac:dyDescent="0.3">
      <c r="A1157" s="5">
        <v>18809958</v>
      </c>
      <c r="B1157" s="6" t="s">
        <v>3045</v>
      </c>
      <c r="C1157" s="6" t="s">
        <v>3046</v>
      </c>
      <c r="D1157" s="8" t="s">
        <v>89</v>
      </c>
      <c r="E1157" s="6" t="s">
        <v>108</v>
      </c>
      <c r="F1157" s="6" t="s">
        <v>85</v>
      </c>
      <c r="G1157" s="11">
        <v>46141.333333333336</v>
      </c>
      <c r="H1157" s="10" t="s">
        <v>3047</v>
      </c>
      <c r="I1157" s="6" t="s">
        <v>3048</v>
      </c>
      <c r="J1157" s="12">
        <v>46121.729629629626</v>
      </c>
      <c r="K1157" s="6" t="e" cm="1">
        <f t="array" ref="K1157">LOOKUP(2^15,SEARCH(Tabela2[Palavras-Chave],Boletim[[#This Row],[Objeto]],1),Tabela2[Palavras-Chave])</f>
        <v>#N/A</v>
      </c>
    </row>
    <row r="1158" spans="1:11" ht="115.2" hidden="1" x14ac:dyDescent="0.3">
      <c r="A1158" s="5">
        <v>18810651</v>
      </c>
      <c r="B1158" s="6" t="s">
        <v>1520</v>
      </c>
      <c r="C1158" s="6" t="s">
        <v>1521</v>
      </c>
      <c r="D1158" s="8" t="s">
        <v>89</v>
      </c>
      <c r="E1158" s="6" t="s">
        <v>115</v>
      </c>
      <c r="F1158" s="6" t="s">
        <v>85</v>
      </c>
      <c r="G1158" s="11">
        <v>46139.375</v>
      </c>
      <c r="H1158" s="10" t="s">
        <v>1522</v>
      </c>
      <c r="I1158" s="6" t="s">
        <v>1523</v>
      </c>
      <c r="J1158" s="12">
        <v>46121.79451388889</v>
      </c>
      <c r="K1158" s="6" t="e" cm="1">
        <f t="array" ref="K1158">LOOKUP(2^15,SEARCH(Tabela2[Palavras-Chave],Boletim[[#This Row],[Objeto]],1),Tabela2[Palavras-Chave])</f>
        <v>#N/A</v>
      </c>
    </row>
    <row r="1159" spans="1:11" ht="100.8" hidden="1" x14ac:dyDescent="0.3">
      <c r="A1159" s="5">
        <v>18810561</v>
      </c>
      <c r="B1159" s="6" t="s">
        <v>3049</v>
      </c>
      <c r="C1159" s="6" t="s">
        <v>3050</v>
      </c>
      <c r="D1159" s="8" t="s">
        <v>89</v>
      </c>
      <c r="E1159" s="6" t="s">
        <v>474</v>
      </c>
      <c r="F1159" s="6" t="s">
        <v>85</v>
      </c>
      <c r="G1159" s="11" t="s">
        <v>56</v>
      </c>
      <c r="H1159" s="10" t="s">
        <v>3051</v>
      </c>
      <c r="I1159" s="6" t="s">
        <v>3052</v>
      </c>
      <c r="J1159" s="12">
        <v>46121.742812500001</v>
      </c>
      <c r="K1159" s="6" t="e" cm="1">
        <f t="array" ref="K1159">LOOKUP(2^15,SEARCH(Tabela2[Palavras-Chave],Boletim[[#This Row],[Objeto]],1),Tabela2[Palavras-Chave])</f>
        <v>#N/A</v>
      </c>
    </row>
    <row r="1160" spans="1:11" ht="86.4" hidden="1" x14ac:dyDescent="0.3">
      <c r="A1160" s="5">
        <v>18809632</v>
      </c>
      <c r="B1160" s="6" t="s">
        <v>1524</v>
      </c>
      <c r="C1160" s="6" t="s">
        <v>1525</v>
      </c>
      <c r="D1160" s="8" t="s">
        <v>89</v>
      </c>
      <c r="E1160" s="6" t="s">
        <v>126</v>
      </c>
      <c r="F1160" s="6" t="s">
        <v>85</v>
      </c>
      <c r="G1160" s="11" t="s">
        <v>56</v>
      </c>
      <c r="H1160" s="10" t="s">
        <v>1526</v>
      </c>
      <c r="I1160" s="6" t="s">
        <v>1527</v>
      </c>
      <c r="J1160" s="12">
        <v>46121.743807870371</v>
      </c>
      <c r="K1160" s="6" t="e" cm="1">
        <f t="array" ref="K1160">LOOKUP(2^15,SEARCH(Tabela2[Palavras-Chave],Boletim[[#This Row],[Objeto]],1),Tabela2[Palavras-Chave])</f>
        <v>#N/A</v>
      </c>
    </row>
    <row r="1161" spans="1:11" ht="72" hidden="1" x14ac:dyDescent="0.3">
      <c r="A1161" s="5">
        <v>18809053</v>
      </c>
      <c r="B1161" s="6" t="s">
        <v>3053</v>
      </c>
      <c r="C1161" s="6" t="s">
        <v>3054</v>
      </c>
      <c r="D1161" s="8" t="s">
        <v>89</v>
      </c>
      <c r="E1161" s="6" t="s">
        <v>155</v>
      </c>
      <c r="F1161" s="6" t="s">
        <v>85</v>
      </c>
      <c r="G1161" s="11" t="s">
        <v>56</v>
      </c>
      <c r="H1161" s="10" t="s">
        <v>3055</v>
      </c>
      <c r="I1161" s="6" t="s">
        <v>3056</v>
      </c>
      <c r="J1161" s="12">
        <v>46121.755925925929</v>
      </c>
      <c r="K1161" s="6" t="e" cm="1">
        <f t="array" ref="K1161">LOOKUP(2^15,SEARCH(Tabela2[Palavras-Chave],Boletim[[#This Row],[Objeto]],1),Tabela2[Palavras-Chave])</f>
        <v>#N/A</v>
      </c>
    </row>
    <row r="1162" spans="1:11" ht="86.4" hidden="1" x14ac:dyDescent="0.3">
      <c r="A1162" s="5">
        <v>18811068</v>
      </c>
      <c r="B1162" s="6" t="s">
        <v>646</v>
      </c>
      <c r="C1162" s="6" t="s">
        <v>647</v>
      </c>
      <c r="D1162" s="8" t="s">
        <v>89</v>
      </c>
      <c r="E1162" s="6" t="s">
        <v>128</v>
      </c>
      <c r="F1162" s="6" t="s">
        <v>85</v>
      </c>
      <c r="G1162" s="11" t="s">
        <v>56</v>
      </c>
      <c r="H1162" s="10" t="s">
        <v>1528</v>
      </c>
      <c r="I1162" s="6" t="s">
        <v>1529</v>
      </c>
      <c r="J1162" s="12">
        <v>46121.820949074077</v>
      </c>
      <c r="K1162" s="6" t="e" cm="1">
        <f t="array" ref="K1162">LOOKUP(2^15,SEARCH(Tabela2[Palavras-Chave],Boletim[[#This Row],[Objeto]],1),Tabela2[Palavras-Chave])</f>
        <v>#N/A</v>
      </c>
    </row>
    <row r="1163" spans="1:11" ht="144" hidden="1" x14ac:dyDescent="0.3">
      <c r="A1163" s="5">
        <v>18779276</v>
      </c>
      <c r="B1163" s="6" t="s">
        <v>1530</v>
      </c>
      <c r="C1163" s="6" t="s">
        <v>1531</v>
      </c>
      <c r="D1163" s="8" t="s">
        <v>66</v>
      </c>
      <c r="E1163" s="6" t="s">
        <v>114</v>
      </c>
      <c r="F1163" s="6" t="s">
        <v>85</v>
      </c>
      <c r="G1163" s="11">
        <v>46211</v>
      </c>
      <c r="H1163" s="10" t="s">
        <v>1532</v>
      </c>
      <c r="I1163" s="6" t="s">
        <v>1533</v>
      </c>
      <c r="J1163" s="12">
        <v>46121.388969907406</v>
      </c>
      <c r="K1163" s="6" t="e" cm="1">
        <f t="array" ref="K1163">LOOKUP(2^15,SEARCH(Tabela2[Palavras-Chave],Boletim[[#This Row],[Objeto]],1),Tabela2[Palavras-Chave])</f>
        <v>#N/A</v>
      </c>
    </row>
    <row r="1164" spans="1:11" ht="28.8" hidden="1" x14ac:dyDescent="0.3">
      <c r="A1164" s="5">
        <v>18806236</v>
      </c>
      <c r="B1164" s="6" t="s">
        <v>448</v>
      </c>
      <c r="C1164" s="6" t="s">
        <v>449</v>
      </c>
      <c r="D1164" s="8" t="s">
        <v>66</v>
      </c>
      <c r="E1164" s="6" t="s">
        <v>155</v>
      </c>
      <c r="F1164" s="6" t="s">
        <v>85</v>
      </c>
      <c r="G1164" s="11">
        <v>46136.333333333336</v>
      </c>
      <c r="H1164" s="10" t="s">
        <v>651</v>
      </c>
      <c r="I1164" s="6" t="s">
        <v>652</v>
      </c>
      <c r="J1164" s="12">
        <v>46121.419479166667</v>
      </c>
      <c r="K1164" s="6" t="e" cm="1">
        <f t="array" ref="K1164">LOOKUP(2^15,SEARCH(Tabela2[Palavras-Chave],Boletim[[#This Row],[Objeto]],1),Tabela2[Palavras-Chave])</f>
        <v>#N/A</v>
      </c>
    </row>
    <row r="1165" spans="1:11" ht="86.4" hidden="1" x14ac:dyDescent="0.3">
      <c r="A1165" s="5">
        <v>18800236</v>
      </c>
      <c r="B1165" s="6" t="s">
        <v>1534</v>
      </c>
      <c r="C1165" s="6" t="s">
        <v>1535</v>
      </c>
      <c r="D1165" s="8" t="s">
        <v>66</v>
      </c>
      <c r="E1165" s="6" t="s">
        <v>498</v>
      </c>
      <c r="F1165" s="6" t="s">
        <v>85</v>
      </c>
      <c r="G1165" s="11">
        <v>46136.354166666664</v>
      </c>
      <c r="H1165" s="10" t="s">
        <v>1536</v>
      </c>
      <c r="I1165" s="6" t="s">
        <v>1537</v>
      </c>
      <c r="J1165" s="12">
        <v>46121.419490740744</v>
      </c>
      <c r="K1165" s="6" t="e" cm="1">
        <f t="array" ref="K1165">LOOKUP(2^15,SEARCH(Tabela2[Palavras-Chave],Boletim[[#This Row],[Objeto]],1),Tabela2[Palavras-Chave])</f>
        <v>#N/A</v>
      </c>
    </row>
    <row r="1166" spans="1:11" ht="259.2" hidden="1" x14ac:dyDescent="0.3">
      <c r="A1166" s="5">
        <v>18807051</v>
      </c>
      <c r="B1166" s="6" t="s">
        <v>1538</v>
      </c>
      <c r="C1166" s="6" t="s">
        <v>1539</v>
      </c>
      <c r="D1166" s="8" t="s">
        <v>66</v>
      </c>
      <c r="E1166" s="6" t="s">
        <v>117</v>
      </c>
      <c r="F1166" s="6" t="s">
        <v>85</v>
      </c>
      <c r="G1166" s="11" t="s">
        <v>56</v>
      </c>
      <c r="H1166" s="10" t="s">
        <v>1540</v>
      </c>
      <c r="I1166" s="6" t="s">
        <v>1541</v>
      </c>
      <c r="J1166" s="12">
        <v>46121.443530092591</v>
      </c>
      <c r="K1166" s="6" t="e" cm="1">
        <f t="array" ref="K1166">LOOKUP(2^15,SEARCH(Tabela2[Palavras-Chave],Boletim[[#This Row],[Objeto]],1),Tabela2[Palavras-Chave])</f>
        <v>#N/A</v>
      </c>
    </row>
    <row r="1167" spans="1:11" ht="100.8" hidden="1" x14ac:dyDescent="0.3">
      <c r="A1167" s="5">
        <v>18807441</v>
      </c>
      <c r="B1167" s="6" t="s">
        <v>74</v>
      </c>
      <c r="C1167" s="6" t="s">
        <v>65</v>
      </c>
      <c r="D1167" s="8" t="s">
        <v>66</v>
      </c>
      <c r="E1167" s="6" t="s">
        <v>1319</v>
      </c>
      <c r="F1167" s="6" t="s">
        <v>85</v>
      </c>
      <c r="G1167" s="11" t="s">
        <v>56</v>
      </c>
      <c r="H1167" s="10" t="s">
        <v>1320</v>
      </c>
      <c r="I1167" s="6" t="s">
        <v>1321</v>
      </c>
      <c r="J1167" s="12">
        <v>46121.447291666664</v>
      </c>
      <c r="K1167" s="6" t="e" cm="1">
        <f t="array" ref="K1167">LOOKUP(2^15,SEARCH(Tabela2[Palavras-Chave],Boletim[[#This Row],[Objeto]],1),Tabela2[Palavras-Chave])</f>
        <v>#N/A</v>
      </c>
    </row>
    <row r="1168" spans="1:11" ht="100.8" hidden="1" x14ac:dyDescent="0.3">
      <c r="A1168" s="5">
        <v>18807574</v>
      </c>
      <c r="B1168" s="6" t="s">
        <v>74</v>
      </c>
      <c r="C1168" s="6" t="s">
        <v>65</v>
      </c>
      <c r="D1168" s="8" t="s">
        <v>66</v>
      </c>
      <c r="E1168" s="6" t="s">
        <v>2972</v>
      </c>
      <c r="F1168" s="6" t="s">
        <v>85</v>
      </c>
      <c r="G1168" s="11" t="s">
        <v>56</v>
      </c>
      <c r="H1168" s="10" t="s">
        <v>2973</v>
      </c>
      <c r="I1168" s="6" t="s">
        <v>1321</v>
      </c>
      <c r="J1168" s="12">
        <v>46121.450069444443</v>
      </c>
      <c r="K1168" s="6" t="e" cm="1">
        <f t="array" ref="K1168">LOOKUP(2^15,SEARCH(Tabela2[Palavras-Chave],Boletim[[#This Row],[Objeto]],1),Tabela2[Palavras-Chave])</f>
        <v>#N/A</v>
      </c>
    </row>
    <row r="1169" spans="1:11" ht="86.4" hidden="1" x14ac:dyDescent="0.3">
      <c r="A1169" s="5">
        <v>18806878</v>
      </c>
      <c r="B1169" s="6" t="s">
        <v>1542</v>
      </c>
      <c r="C1169" s="6" t="s">
        <v>221</v>
      </c>
      <c r="D1169" s="8" t="s">
        <v>66</v>
      </c>
      <c r="E1169" s="6" t="s">
        <v>127</v>
      </c>
      <c r="F1169" s="6" t="s">
        <v>85</v>
      </c>
      <c r="G1169" s="11" t="s">
        <v>56</v>
      </c>
      <c r="H1169" s="10" t="s">
        <v>1543</v>
      </c>
      <c r="I1169" s="6" t="s">
        <v>1544</v>
      </c>
      <c r="J1169" s="12">
        <v>46121.447951388887</v>
      </c>
      <c r="K1169" s="6" t="e" cm="1">
        <f t="array" ref="K1169">LOOKUP(2^15,SEARCH(Tabela2[Palavras-Chave],Boletim[[#This Row],[Objeto]],1),Tabela2[Palavras-Chave])</f>
        <v>#N/A</v>
      </c>
    </row>
    <row r="1170" spans="1:11" ht="288" hidden="1" x14ac:dyDescent="0.3">
      <c r="A1170" s="5">
        <v>18807145</v>
      </c>
      <c r="B1170" s="6" t="s">
        <v>1545</v>
      </c>
      <c r="C1170" s="6" t="s">
        <v>1546</v>
      </c>
      <c r="D1170" s="8" t="s">
        <v>66</v>
      </c>
      <c r="E1170" s="6" t="s">
        <v>135</v>
      </c>
      <c r="F1170" s="6" t="s">
        <v>85</v>
      </c>
      <c r="G1170" s="11" t="s">
        <v>56</v>
      </c>
      <c r="H1170" s="10" t="s">
        <v>1547</v>
      </c>
      <c r="I1170" s="6" t="s">
        <v>1548</v>
      </c>
      <c r="J1170" s="12">
        <v>46121.452476851853</v>
      </c>
      <c r="K1170" s="6" t="e" cm="1">
        <f t="array" ref="K1170">LOOKUP(2^15,SEARCH(Tabela2[Palavras-Chave],Boletim[[#This Row],[Objeto]],1),Tabela2[Palavras-Chave])</f>
        <v>#N/A</v>
      </c>
    </row>
    <row r="1171" spans="1:11" ht="244.8" hidden="1" x14ac:dyDescent="0.3">
      <c r="A1171" s="5">
        <v>18807692</v>
      </c>
      <c r="B1171" s="6" t="s">
        <v>1549</v>
      </c>
      <c r="C1171" s="6" t="s">
        <v>1550</v>
      </c>
      <c r="D1171" s="8" t="s">
        <v>66</v>
      </c>
      <c r="E1171" s="6" t="s">
        <v>134</v>
      </c>
      <c r="F1171" s="6" t="s">
        <v>85</v>
      </c>
      <c r="G1171" s="11" t="s">
        <v>56</v>
      </c>
      <c r="H1171" s="10" t="s">
        <v>1551</v>
      </c>
      <c r="I1171" s="6" t="s">
        <v>1552</v>
      </c>
      <c r="J1171" s="12">
        <v>46121.467395833337</v>
      </c>
      <c r="K1171" s="6" t="e" cm="1">
        <f t="array" ref="K1171">LOOKUP(2^15,SEARCH(Tabela2[Palavras-Chave],Boletim[[#This Row],[Objeto]],1),Tabela2[Palavras-Chave])</f>
        <v>#N/A</v>
      </c>
    </row>
    <row r="1172" spans="1:11" ht="43.2" hidden="1" x14ac:dyDescent="0.3">
      <c r="A1172" s="5">
        <v>18806982</v>
      </c>
      <c r="B1172" s="6" t="s">
        <v>1553</v>
      </c>
      <c r="C1172" s="6" t="s">
        <v>1554</v>
      </c>
      <c r="D1172" s="8" t="s">
        <v>66</v>
      </c>
      <c r="E1172" s="6" t="s">
        <v>146</v>
      </c>
      <c r="F1172" s="6" t="s">
        <v>85</v>
      </c>
      <c r="G1172" s="11">
        <v>46140.333333333336</v>
      </c>
      <c r="H1172" s="10" t="s">
        <v>1555</v>
      </c>
      <c r="I1172" s="6" t="s">
        <v>1556</v>
      </c>
      <c r="J1172" s="12">
        <v>46121.488009259258</v>
      </c>
      <c r="K1172" s="6" t="e" cm="1">
        <f t="array" ref="K1172">LOOKUP(2^15,SEARCH(Tabela2[Palavras-Chave],Boletim[[#This Row],[Objeto]],1),Tabela2[Palavras-Chave])</f>
        <v>#N/A</v>
      </c>
    </row>
    <row r="1173" spans="1:11" ht="28.8" hidden="1" x14ac:dyDescent="0.3">
      <c r="A1173" s="5">
        <v>18808174</v>
      </c>
      <c r="B1173" s="6" t="s">
        <v>653</v>
      </c>
      <c r="C1173" s="6" t="s">
        <v>65</v>
      </c>
      <c r="D1173" s="8" t="s">
        <v>66</v>
      </c>
      <c r="E1173" s="6" t="s">
        <v>1557</v>
      </c>
      <c r="F1173" s="6" t="s">
        <v>85</v>
      </c>
      <c r="G1173" s="11" t="s">
        <v>56</v>
      </c>
      <c r="H1173" s="10" t="s">
        <v>1558</v>
      </c>
      <c r="I1173" s="6" t="s">
        <v>1559</v>
      </c>
      <c r="J1173" s="12">
        <v>46121.523634259262</v>
      </c>
      <c r="K1173" s="6" t="e" cm="1">
        <f t="array" ref="K1173">LOOKUP(2^15,SEARCH(Tabela2[Palavras-Chave],Boletim[[#This Row],[Objeto]],1),Tabela2[Palavras-Chave])</f>
        <v>#N/A</v>
      </c>
    </row>
    <row r="1174" spans="1:11" ht="115.2" hidden="1" x14ac:dyDescent="0.3">
      <c r="A1174" s="5">
        <v>18808473</v>
      </c>
      <c r="B1174" s="6" t="s">
        <v>1560</v>
      </c>
      <c r="C1174" s="6" t="s">
        <v>1561</v>
      </c>
      <c r="D1174" s="8" t="s">
        <v>66</v>
      </c>
      <c r="E1174" s="6" t="s">
        <v>211</v>
      </c>
      <c r="F1174" s="6" t="s">
        <v>85</v>
      </c>
      <c r="G1174" s="11">
        <v>46134.368055555555</v>
      </c>
      <c r="H1174" s="10" t="s">
        <v>1562</v>
      </c>
      <c r="I1174" s="6" t="s">
        <v>1563</v>
      </c>
      <c r="J1174" s="12">
        <v>46121.533784722225</v>
      </c>
      <c r="K1174" s="6" t="e" cm="1">
        <f t="array" ref="K1174">LOOKUP(2^15,SEARCH(Tabela2[Palavras-Chave],Boletim[[#This Row],[Objeto]],1),Tabela2[Palavras-Chave])</f>
        <v>#N/A</v>
      </c>
    </row>
    <row r="1175" spans="1:11" ht="57.6" hidden="1" x14ac:dyDescent="0.3">
      <c r="A1175" s="5">
        <v>18808159</v>
      </c>
      <c r="B1175" s="6" t="s">
        <v>1564</v>
      </c>
      <c r="C1175" s="6" t="s">
        <v>1565</v>
      </c>
      <c r="D1175" s="8" t="s">
        <v>66</v>
      </c>
      <c r="E1175" s="6" t="s">
        <v>113</v>
      </c>
      <c r="F1175" s="6" t="s">
        <v>85</v>
      </c>
      <c r="G1175" s="11" t="s">
        <v>56</v>
      </c>
      <c r="H1175" s="10" t="s">
        <v>1566</v>
      </c>
      <c r="I1175" s="6" t="s">
        <v>1567</v>
      </c>
      <c r="J1175" s="12">
        <v>46121.545289351852</v>
      </c>
      <c r="K1175" s="6" t="e" cm="1">
        <f t="array" ref="K1175">LOOKUP(2^15,SEARCH(Tabela2[Palavras-Chave],Boletim[[#This Row],[Objeto]],1),Tabela2[Palavras-Chave])</f>
        <v>#N/A</v>
      </c>
    </row>
    <row r="1176" spans="1:11" ht="115.2" hidden="1" x14ac:dyDescent="0.3">
      <c r="A1176" s="5">
        <v>18808291</v>
      </c>
      <c r="B1176" s="6" t="s">
        <v>1568</v>
      </c>
      <c r="C1176" s="6" t="s">
        <v>1569</v>
      </c>
      <c r="D1176" s="8" t="s">
        <v>66</v>
      </c>
      <c r="E1176" s="6" t="s">
        <v>441</v>
      </c>
      <c r="F1176" s="6" t="s">
        <v>85</v>
      </c>
      <c r="G1176" s="11" t="s">
        <v>56</v>
      </c>
      <c r="H1176" s="10" t="s">
        <v>1570</v>
      </c>
      <c r="I1176" s="6" t="s">
        <v>1571</v>
      </c>
      <c r="J1176" s="12">
        <v>46121.596574074072</v>
      </c>
      <c r="K1176" s="6" t="e" cm="1">
        <f t="array" ref="K1176">LOOKUP(2^15,SEARCH(Tabela2[Palavras-Chave],Boletim[[#This Row],[Objeto]],1),Tabela2[Palavras-Chave])</f>
        <v>#N/A</v>
      </c>
    </row>
    <row r="1177" spans="1:11" ht="129.6" hidden="1" x14ac:dyDescent="0.3">
      <c r="A1177" s="5">
        <v>18804818</v>
      </c>
      <c r="B1177" s="6" t="s">
        <v>648</v>
      </c>
      <c r="C1177" s="6" t="s">
        <v>65</v>
      </c>
      <c r="D1177" s="8" t="s">
        <v>66</v>
      </c>
      <c r="E1177" s="6" t="s">
        <v>299</v>
      </c>
      <c r="F1177" s="6" t="s">
        <v>85</v>
      </c>
      <c r="G1177" s="11">
        <v>46147.375</v>
      </c>
      <c r="H1177" s="10" t="s">
        <v>649</v>
      </c>
      <c r="I1177" s="6" t="s">
        <v>650</v>
      </c>
      <c r="J1177" s="12">
        <v>46121.558368055557</v>
      </c>
      <c r="K1177" s="6" t="e" cm="1">
        <f t="array" ref="K1177">LOOKUP(2^15,SEARCH(Tabela2[Palavras-Chave],Boletim[[#This Row],[Objeto]],1),Tabela2[Palavras-Chave])</f>
        <v>#N/A</v>
      </c>
    </row>
    <row r="1178" spans="1:11" ht="43.2" hidden="1" x14ac:dyDescent="0.3">
      <c r="A1178" s="5">
        <v>18807839</v>
      </c>
      <c r="B1178" s="6" t="s">
        <v>1572</v>
      </c>
      <c r="C1178" s="6" t="s">
        <v>1573</v>
      </c>
      <c r="D1178" s="8" t="s">
        <v>66</v>
      </c>
      <c r="E1178" s="6" t="s">
        <v>446</v>
      </c>
      <c r="F1178" s="6" t="s">
        <v>85</v>
      </c>
      <c r="G1178" s="11">
        <v>46140.541666666664</v>
      </c>
      <c r="H1178" s="10" t="s">
        <v>1574</v>
      </c>
      <c r="I1178" s="6" t="s">
        <v>1575</v>
      </c>
      <c r="J1178" s="12">
        <v>46121.561921296299</v>
      </c>
      <c r="K1178" s="6" t="e" cm="1">
        <f t="array" ref="K1178">LOOKUP(2^15,SEARCH(Tabela2[Palavras-Chave],Boletim[[#This Row],[Objeto]],1),Tabela2[Palavras-Chave])</f>
        <v>#N/A</v>
      </c>
    </row>
    <row r="1179" spans="1:11" ht="43.2" hidden="1" x14ac:dyDescent="0.3">
      <c r="A1179" s="5">
        <v>18808791</v>
      </c>
      <c r="B1179" s="6" t="s">
        <v>3057</v>
      </c>
      <c r="C1179" s="6" t="s">
        <v>3058</v>
      </c>
      <c r="D1179" s="8" t="s">
        <v>66</v>
      </c>
      <c r="E1179" s="6" t="s">
        <v>113</v>
      </c>
      <c r="F1179" s="6" t="s">
        <v>85</v>
      </c>
      <c r="G1179" s="11">
        <v>46142.395833333336</v>
      </c>
      <c r="H1179" s="10" t="s">
        <v>3059</v>
      </c>
      <c r="I1179" s="6" t="s">
        <v>3060</v>
      </c>
      <c r="J1179" s="12">
        <v>46121.568449074075</v>
      </c>
      <c r="K1179" s="6" t="e" cm="1">
        <f t="array" ref="K1179">LOOKUP(2^15,SEARCH(Tabela2[Palavras-Chave],Boletim[[#This Row],[Objeto]],1),Tabela2[Palavras-Chave])</f>
        <v>#N/A</v>
      </c>
    </row>
    <row r="1180" spans="1:11" ht="115.2" hidden="1" x14ac:dyDescent="0.3">
      <c r="A1180" s="5">
        <v>18808311</v>
      </c>
      <c r="B1180" s="6" t="s">
        <v>289</v>
      </c>
      <c r="C1180" s="6" t="s">
        <v>290</v>
      </c>
      <c r="D1180" s="8" t="s">
        <v>66</v>
      </c>
      <c r="E1180" s="6" t="s">
        <v>249</v>
      </c>
      <c r="F1180" s="6" t="s">
        <v>85</v>
      </c>
      <c r="G1180" s="11" t="s">
        <v>56</v>
      </c>
      <c r="H1180" s="10" t="s">
        <v>1576</v>
      </c>
      <c r="I1180" s="6" t="s">
        <v>1577</v>
      </c>
      <c r="J1180" s="12">
        <v>46121.574594907404</v>
      </c>
      <c r="K1180" s="6" t="e" cm="1">
        <f t="array" ref="K1180">LOOKUP(2^15,SEARCH(Tabela2[Palavras-Chave],Boletim[[#This Row],[Objeto]],1),Tabela2[Palavras-Chave])</f>
        <v>#N/A</v>
      </c>
    </row>
    <row r="1181" spans="1:11" ht="259.2" hidden="1" x14ac:dyDescent="0.3">
      <c r="A1181" s="5">
        <v>18752729</v>
      </c>
      <c r="B1181" s="6" t="s">
        <v>1578</v>
      </c>
      <c r="C1181" s="6" t="s">
        <v>1579</v>
      </c>
      <c r="D1181" s="8" t="s">
        <v>66</v>
      </c>
      <c r="E1181" s="6" t="s">
        <v>113</v>
      </c>
      <c r="F1181" s="6" t="s">
        <v>85</v>
      </c>
      <c r="G1181" s="11" t="s">
        <v>56</v>
      </c>
      <c r="H1181" s="10" t="s">
        <v>1580</v>
      </c>
      <c r="I1181" s="6" t="s">
        <v>1581</v>
      </c>
      <c r="J1181" s="12">
        <v>46121.577175925922</v>
      </c>
      <c r="K1181" s="6" t="e" cm="1">
        <f t="array" ref="K1181">LOOKUP(2^15,SEARCH(Tabela2[Palavras-Chave],Boletim[[#This Row],[Objeto]],1),Tabela2[Palavras-Chave])</f>
        <v>#N/A</v>
      </c>
    </row>
    <row r="1182" spans="1:11" ht="57.6" hidden="1" x14ac:dyDescent="0.3">
      <c r="A1182" s="5">
        <v>18804220</v>
      </c>
      <c r="B1182" s="6" t="s">
        <v>657</v>
      </c>
      <c r="C1182" s="6" t="s">
        <v>658</v>
      </c>
      <c r="D1182" s="8" t="s">
        <v>66</v>
      </c>
      <c r="E1182" s="6" t="s">
        <v>126</v>
      </c>
      <c r="F1182" s="6" t="s">
        <v>85</v>
      </c>
      <c r="G1182" s="11">
        <v>46139.354166666664</v>
      </c>
      <c r="H1182" s="10" t="s">
        <v>659</v>
      </c>
      <c r="I1182" s="6" t="s">
        <v>660</v>
      </c>
      <c r="J1182" s="12">
        <v>46121.586921296293</v>
      </c>
      <c r="K1182" s="6" t="e" cm="1">
        <f t="array" ref="K1182">LOOKUP(2^15,SEARCH(Tabela2[Palavras-Chave],Boletim[[#This Row],[Objeto]],1),Tabela2[Palavras-Chave])</f>
        <v>#N/A</v>
      </c>
    </row>
    <row r="1183" spans="1:11" ht="115.2" hidden="1" x14ac:dyDescent="0.3">
      <c r="A1183" s="5">
        <v>18800561</v>
      </c>
      <c r="B1183" s="6" t="s">
        <v>1582</v>
      </c>
      <c r="C1183" s="6" t="s">
        <v>310</v>
      </c>
      <c r="D1183" s="8" t="s">
        <v>66</v>
      </c>
      <c r="E1183" s="6" t="s">
        <v>117</v>
      </c>
      <c r="F1183" s="6" t="s">
        <v>85</v>
      </c>
      <c r="G1183" s="11">
        <v>46134.375</v>
      </c>
      <c r="H1183" s="10" t="s">
        <v>1583</v>
      </c>
      <c r="I1183" s="6" t="s">
        <v>1584</v>
      </c>
      <c r="J1183" s="12">
        <v>46121.58699074074</v>
      </c>
      <c r="K1183" s="6" t="e" cm="1">
        <f t="array" ref="K1183">LOOKUP(2^15,SEARCH(Tabela2[Palavras-Chave],Boletim[[#This Row],[Objeto]],1),Tabela2[Palavras-Chave])</f>
        <v>#N/A</v>
      </c>
    </row>
    <row r="1184" spans="1:11" ht="57.6" hidden="1" x14ac:dyDescent="0.3">
      <c r="A1184" s="5">
        <v>18798866</v>
      </c>
      <c r="B1184" s="6" t="s">
        <v>657</v>
      </c>
      <c r="C1184" s="6" t="s">
        <v>658</v>
      </c>
      <c r="D1184" s="8" t="s">
        <v>66</v>
      </c>
      <c r="E1184" s="6" t="s">
        <v>128</v>
      </c>
      <c r="F1184" s="6" t="s">
        <v>85</v>
      </c>
      <c r="G1184" s="11">
        <v>46136.354166666664</v>
      </c>
      <c r="H1184" s="10" t="s">
        <v>1585</v>
      </c>
      <c r="I1184" s="6" t="s">
        <v>1586</v>
      </c>
      <c r="J1184" s="12">
        <v>46121.587592592594</v>
      </c>
      <c r="K1184" s="6" t="e" cm="1">
        <f t="array" ref="K1184">LOOKUP(2^15,SEARCH(Tabela2[Palavras-Chave],Boletim[[#This Row],[Objeto]],1),Tabela2[Palavras-Chave])</f>
        <v>#N/A</v>
      </c>
    </row>
    <row r="1185" spans="1:11" ht="57.6" hidden="1" x14ac:dyDescent="0.3">
      <c r="A1185" s="5">
        <v>18801222</v>
      </c>
      <c r="B1185" s="6" t="s">
        <v>1587</v>
      </c>
      <c r="C1185" s="6" t="s">
        <v>1588</v>
      </c>
      <c r="D1185" s="8" t="s">
        <v>66</v>
      </c>
      <c r="E1185" s="6" t="s">
        <v>107</v>
      </c>
      <c r="F1185" s="6" t="s">
        <v>85</v>
      </c>
      <c r="G1185" s="11">
        <v>46140.395833333336</v>
      </c>
      <c r="H1185" s="10" t="s">
        <v>1589</v>
      </c>
      <c r="I1185" s="6" t="s">
        <v>1590</v>
      </c>
      <c r="J1185" s="12">
        <v>46121.587604166663</v>
      </c>
      <c r="K1185" s="6" t="e" cm="1">
        <f t="array" ref="K1185">LOOKUP(2^15,SEARCH(Tabela2[Palavras-Chave],Boletim[[#This Row],[Objeto]],1),Tabela2[Palavras-Chave])</f>
        <v>#N/A</v>
      </c>
    </row>
    <row r="1186" spans="1:11" ht="43.2" hidden="1" x14ac:dyDescent="0.3">
      <c r="A1186" s="5">
        <v>18797428</v>
      </c>
      <c r="B1186" s="6" t="s">
        <v>309</v>
      </c>
      <c r="C1186" s="6" t="s">
        <v>310</v>
      </c>
      <c r="D1186" s="8" t="s">
        <v>66</v>
      </c>
      <c r="E1186" s="6" t="s">
        <v>240</v>
      </c>
      <c r="F1186" s="6" t="s">
        <v>85</v>
      </c>
      <c r="G1186" s="11">
        <v>46139.375</v>
      </c>
      <c r="H1186" s="10" t="s">
        <v>1591</v>
      </c>
      <c r="I1186" s="6" t="s">
        <v>1592</v>
      </c>
      <c r="J1186" s="12">
        <v>46121.587638888886</v>
      </c>
      <c r="K1186" s="6" t="e" cm="1">
        <f t="array" ref="K1186">LOOKUP(2^15,SEARCH(Tabela2[Palavras-Chave],Boletim[[#This Row],[Objeto]],1),Tabela2[Palavras-Chave])</f>
        <v>#N/A</v>
      </c>
    </row>
    <row r="1187" spans="1:11" ht="72" hidden="1" x14ac:dyDescent="0.3">
      <c r="A1187" s="5">
        <v>18808724</v>
      </c>
      <c r="B1187" s="6" t="s">
        <v>592</v>
      </c>
      <c r="C1187" s="6" t="s">
        <v>593</v>
      </c>
      <c r="D1187" s="8" t="s">
        <v>66</v>
      </c>
      <c r="E1187" s="6" t="s">
        <v>113</v>
      </c>
      <c r="F1187" s="6" t="s">
        <v>85</v>
      </c>
      <c r="G1187" s="11">
        <v>46142.333333333336</v>
      </c>
      <c r="H1187" s="10" t="s">
        <v>3061</v>
      </c>
      <c r="I1187" s="6" t="s">
        <v>3062</v>
      </c>
      <c r="J1187" s="12">
        <v>46121.589282407411</v>
      </c>
      <c r="K1187" s="6" t="e" cm="1">
        <f t="array" ref="K1187">LOOKUP(2^15,SEARCH(Tabela2[Palavras-Chave],Boletim[[#This Row],[Objeto]],1),Tabela2[Palavras-Chave])</f>
        <v>#N/A</v>
      </c>
    </row>
    <row r="1188" spans="1:11" ht="86.4" hidden="1" x14ac:dyDescent="0.3">
      <c r="A1188" s="5">
        <v>18809055</v>
      </c>
      <c r="B1188" s="6" t="s">
        <v>1593</v>
      </c>
      <c r="C1188" s="6" t="s">
        <v>1594</v>
      </c>
      <c r="D1188" s="8" t="s">
        <v>66</v>
      </c>
      <c r="E1188" s="6" t="s">
        <v>1595</v>
      </c>
      <c r="F1188" s="6" t="s">
        <v>85</v>
      </c>
      <c r="G1188" s="11" t="s">
        <v>56</v>
      </c>
      <c r="H1188" s="10" t="s">
        <v>1596</v>
      </c>
      <c r="I1188" s="6" t="s">
        <v>1597</v>
      </c>
      <c r="J1188" s="12">
        <v>46121.602858796294</v>
      </c>
      <c r="K1188" s="6" t="e" cm="1">
        <f t="array" ref="K1188">LOOKUP(2^15,SEARCH(Tabela2[Palavras-Chave],Boletim[[#This Row],[Objeto]],1),Tabela2[Palavras-Chave])</f>
        <v>#N/A</v>
      </c>
    </row>
    <row r="1189" spans="1:11" ht="43.2" hidden="1" x14ac:dyDescent="0.3">
      <c r="A1189" s="5">
        <v>18792658</v>
      </c>
      <c r="B1189" s="6" t="s">
        <v>1598</v>
      </c>
      <c r="C1189" s="6" t="s">
        <v>1599</v>
      </c>
      <c r="D1189" s="8" t="s">
        <v>66</v>
      </c>
      <c r="E1189" s="6" t="s">
        <v>450</v>
      </c>
      <c r="F1189" s="6" t="s">
        <v>85</v>
      </c>
      <c r="G1189" s="11">
        <v>46136.375</v>
      </c>
      <c r="H1189" s="10" t="s">
        <v>1600</v>
      </c>
      <c r="I1189" s="6" t="s">
        <v>1601</v>
      </c>
      <c r="J1189" s="12">
        <v>46121.607037037036</v>
      </c>
      <c r="K1189" s="6" t="e" cm="1">
        <f t="array" ref="K1189">LOOKUP(2^15,SEARCH(Tabela2[Palavras-Chave],Boletim[[#This Row],[Objeto]],1),Tabela2[Palavras-Chave])</f>
        <v>#N/A</v>
      </c>
    </row>
    <row r="1190" spans="1:11" ht="100.8" hidden="1" x14ac:dyDescent="0.3">
      <c r="A1190" s="5">
        <v>18809532</v>
      </c>
      <c r="B1190" s="6" t="s">
        <v>341</v>
      </c>
      <c r="C1190" s="6" t="s">
        <v>342</v>
      </c>
      <c r="D1190" s="8" t="s">
        <v>66</v>
      </c>
      <c r="E1190" s="6" t="s">
        <v>171</v>
      </c>
      <c r="F1190" s="6" t="s">
        <v>85</v>
      </c>
      <c r="G1190" s="11">
        <v>46139.375</v>
      </c>
      <c r="H1190" s="10" t="s">
        <v>1602</v>
      </c>
      <c r="I1190" s="6" t="s">
        <v>1603</v>
      </c>
      <c r="J1190" s="12">
        <v>46121.607789351852</v>
      </c>
      <c r="K1190" s="6" t="e" cm="1">
        <f t="array" ref="K1190">LOOKUP(2^15,SEARCH(Tabela2[Palavras-Chave],Boletim[[#This Row],[Objeto]],1),Tabela2[Palavras-Chave])</f>
        <v>#N/A</v>
      </c>
    </row>
    <row r="1191" spans="1:11" ht="57.6" hidden="1" x14ac:dyDescent="0.3">
      <c r="A1191" s="5">
        <v>18808593</v>
      </c>
      <c r="B1191" s="6" t="s">
        <v>3063</v>
      </c>
      <c r="C1191" s="6" t="s">
        <v>3064</v>
      </c>
      <c r="D1191" s="8" t="s">
        <v>66</v>
      </c>
      <c r="E1191" s="6" t="s">
        <v>142</v>
      </c>
      <c r="F1191" s="6" t="s">
        <v>85</v>
      </c>
      <c r="G1191" s="11">
        <v>46135.375</v>
      </c>
      <c r="H1191" s="10" t="s">
        <v>3065</v>
      </c>
      <c r="I1191" s="6" t="s">
        <v>3066</v>
      </c>
      <c r="J1191" s="12">
        <v>46121.615081018521</v>
      </c>
      <c r="K1191" s="6" t="e" cm="1">
        <f t="array" ref="K1191">LOOKUP(2^15,SEARCH(Tabela2[Palavras-Chave],Boletim[[#This Row],[Objeto]],1),Tabela2[Palavras-Chave])</f>
        <v>#N/A</v>
      </c>
    </row>
    <row r="1192" spans="1:11" ht="28.8" hidden="1" x14ac:dyDescent="0.3">
      <c r="A1192" s="5">
        <v>18808176</v>
      </c>
      <c r="B1192" s="6" t="s">
        <v>1604</v>
      </c>
      <c r="C1192" s="6" t="s">
        <v>194</v>
      </c>
      <c r="D1192" s="8" t="s">
        <v>66</v>
      </c>
      <c r="E1192" s="6" t="s">
        <v>498</v>
      </c>
      <c r="F1192" s="6" t="s">
        <v>85</v>
      </c>
      <c r="G1192" s="11">
        <v>46139.375</v>
      </c>
      <c r="H1192" s="10" t="s">
        <v>1605</v>
      </c>
      <c r="I1192" s="6" t="s">
        <v>1606</v>
      </c>
      <c r="J1192" s="12">
        <v>46121.62195601852</v>
      </c>
      <c r="K1192" s="6" t="e" cm="1">
        <f t="array" ref="K1192">LOOKUP(2^15,SEARCH(Tabela2[Palavras-Chave],Boletim[[#This Row],[Objeto]],1),Tabela2[Palavras-Chave])</f>
        <v>#N/A</v>
      </c>
    </row>
    <row r="1193" spans="1:11" ht="28.8" hidden="1" x14ac:dyDescent="0.3">
      <c r="A1193" s="5">
        <v>18809693</v>
      </c>
      <c r="B1193" s="6" t="s">
        <v>339</v>
      </c>
      <c r="C1193" s="6" t="s">
        <v>65</v>
      </c>
      <c r="D1193" s="8" t="s">
        <v>66</v>
      </c>
      <c r="E1193" s="6" t="s">
        <v>165</v>
      </c>
      <c r="F1193" s="6" t="s">
        <v>85</v>
      </c>
      <c r="G1193" s="11" t="s">
        <v>56</v>
      </c>
      <c r="H1193" s="10" t="s">
        <v>3067</v>
      </c>
      <c r="I1193" s="6" t="s">
        <v>3068</v>
      </c>
      <c r="J1193" s="12">
        <v>46121.647314814814</v>
      </c>
      <c r="K1193" s="6" t="e" cm="1">
        <f t="array" ref="K1193">LOOKUP(2^15,SEARCH(Tabela2[Palavras-Chave],Boletim[[#This Row],[Objeto]],1),Tabela2[Palavras-Chave])</f>
        <v>#N/A</v>
      </c>
    </row>
    <row r="1194" spans="1:11" ht="244.8" hidden="1" x14ac:dyDescent="0.3">
      <c r="A1194" s="5">
        <v>18809229</v>
      </c>
      <c r="B1194" s="6" t="s">
        <v>1607</v>
      </c>
      <c r="C1194" s="6" t="s">
        <v>1608</v>
      </c>
      <c r="D1194" s="8" t="s">
        <v>66</v>
      </c>
      <c r="E1194" s="6" t="s">
        <v>441</v>
      </c>
      <c r="F1194" s="6" t="s">
        <v>85</v>
      </c>
      <c r="G1194" s="11" t="s">
        <v>56</v>
      </c>
      <c r="H1194" s="10" t="s">
        <v>1609</v>
      </c>
      <c r="I1194" s="6" t="s">
        <v>1610</v>
      </c>
      <c r="J1194" s="12">
        <v>46121.659594907411</v>
      </c>
      <c r="K1194" s="6" t="e" cm="1">
        <f t="array" ref="K1194">LOOKUP(2^15,SEARCH(Tabela2[Palavras-Chave],Boletim[[#This Row],[Objeto]],1),Tabela2[Palavras-Chave])</f>
        <v>#N/A</v>
      </c>
    </row>
    <row r="1195" spans="1:11" ht="86.4" hidden="1" x14ac:dyDescent="0.3">
      <c r="A1195" s="5">
        <v>18806902</v>
      </c>
      <c r="B1195" s="6" t="s">
        <v>1611</v>
      </c>
      <c r="C1195" s="6" t="s">
        <v>1612</v>
      </c>
      <c r="D1195" s="8" t="s">
        <v>66</v>
      </c>
      <c r="E1195" s="6" t="s">
        <v>120</v>
      </c>
      <c r="F1195" s="6" t="s">
        <v>85</v>
      </c>
      <c r="G1195" s="11" t="s">
        <v>56</v>
      </c>
      <c r="H1195" s="10" t="s">
        <v>1613</v>
      </c>
      <c r="I1195" s="6" t="s">
        <v>1614</v>
      </c>
      <c r="J1195" s="12">
        <v>46121.664282407408</v>
      </c>
      <c r="K1195" s="6" t="e" cm="1">
        <f t="array" ref="K1195">LOOKUP(2^15,SEARCH(Tabela2[Palavras-Chave],Boletim[[#This Row],[Objeto]],1),Tabela2[Palavras-Chave])</f>
        <v>#N/A</v>
      </c>
    </row>
    <row r="1196" spans="1:11" ht="86.4" hidden="1" x14ac:dyDescent="0.3">
      <c r="A1196" s="5">
        <v>18806898</v>
      </c>
      <c r="B1196" s="6" t="s">
        <v>1615</v>
      </c>
      <c r="C1196" s="6" t="s">
        <v>1616</v>
      </c>
      <c r="D1196" s="8" t="s">
        <v>66</v>
      </c>
      <c r="E1196" s="6" t="s">
        <v>1617</v>
      </c>
      <c r="F1196" s="6" t="s">
        <v>85</v>
      </c>
      <c r="G1196" s="11" t="s">
        <v>56</v>
      </c>
      <c r="H1196" s="10" t="s">
        <v>1618</v>
      </c>
      <c r="I1196" s="6" t="s">
        <v>1619</v>
      </c>
      <c r="J1196" s="12">
        <v>46121.664618055554</v>
      </c>
      <c r="K1196" s="6" t="e" cm="1">
        <f t="array" ref="K1196">LOOKUP(2^15,SEARCH(Tabela2[Palavras-Chave],Boletim[[#This Row],[Objeto]],1),Tabela2[Palavras-Chave])</f>
        <v>#N/A</v>
      </c>
    </row>
    <row r="1197" spans="1:11" ht="43.2" hidden="1" x14ac:dyDescent="0.3">
      <c r="A1197" s="5">
        <v>18808175</v>
      </c>
      <c r="B1197" s="6" t="s">
        <v>1620</v>
      </c>
      <c r="C1197" s="6" t="s">
        <v>65</v>
      </c>
      <c r="D1197" s="8" t="s">
        <v>66</v>
      </c>
      <c r="E1197" s="6" t="s">
        <v>1621</v>
      </c>
      <c r="F1197" s="6" t="s">
        <v>85</v>
      </c>
      <c r="G1197" s="11" t="s">
        <v>56</v>
      </c>
      <c r="H1197" s="10" t="s">
        <v>1622</v>
      </c>
      <c r="I1197" s="6" t="s">
        <v>1623</v>
      </c>
      <c r="J1197" s="12">
        <v>46121.69253472222</v>
      </c>
      <c r="K1197" s="6" t="e" cm="1">
        <f t="array" ref="K1197">LOOKUP(2^15,SEARCH(Tabela2[Palavras-Chave],Boletim[[#This Row],[Objeto]],1),Tabela2[Palavras-Chave])</f>
        <v>#N/A</v>
      </c>
    </row>
    <row r="1198" spans="1:11" ht="144" hidden="1" x14ac:dyDescent="0.3">
      <c r="A1198" s="5">
        <v>18808293</v>
      </c>
      <c r="B1198" s="6" t="s">
        <v>1624</v>
      </c>
      <c r="C1198" s="6" t="s">
        <v>65</v>
      </c>
      <c r="D1198" s="8" t="s">
        <v>66</v>
      </c>
      <c r="E1198" s="6" t="s">
        <v>183</v>
      </c>
      <c r="F1198" s="6" t="s">
        <v>85</v>
      </c>
      <c r="G1198" s="11" t="s">
        <v>56</v>
      </c>
      <c r="H1198" s="10" t="s">
        <v>1625</v>
      </c>
      <c r="I1198" s="6" t="s">
        <v>1626</v>
      </c>
      <c r="J1198" s="12">
        <v>46121.697916666664</v>
      </c>
      <c r="K1198" s="6" t="e" cm="1">
        <f t="array" ref="K1198">LOOKUP(2^15,SEARCH(Tabela2[Palavras-Chave],Boletim[[#This Row],[Objeto]],1),Tabela2[Palavras-Chave])</f>
        <v>#N/A</v>
      </c>
    </row>
    <row r="1199" spans="1:11" ht="86.4" hidden="1" x14ac:dyDescent="0.3">
      <c r="A1199" s="5">
        <v>18809060</v>
      </c>
      <c r="B1199" s="6" t="s">
        <v>1627</v>
      </c>
      <c r="C1199" s="6" t="s">
        <v>65</v>
      </c>
      <c r="D1199" s="8" t="s">
        <v>66</v>
      </c>
      <c r="E1199" s="6" t="s">
        <v>1628</v>
      </c>
      <c r="F1199" s="6" t="s">
        <v>85</v>
      </c>
      <c r="G1199" s="11" t="s">
        <v>56</v>
      </c>
      <c r="H1199" s="10" t="s">
        <v>1629</v>
      </c>
      <c r="I1199" s="6" t="s">
        <v>1630</v>
      </c>
      <c r="J1199" s="12">
        <v>46121.702962962961</v>
      </c>
      <c r="K1199" s="6" t="e" cm="1">
        <f t="array" ref="K1199">LOOKUP(2^15,SEARCH(Tabela2[Palavras-Chave],Boletim[[#This Row],[Objeto]],1),Tabela2[Palavras-Chave])</f>
        <v>#N/A</v>
      </c>
    </row>
    <row r="1200" spans="1:11" ht="100.8" hidden="1" x14ac:dyDescent="0.3">
      <c r="A1200" s="5">
        <v>18807682</v>
      </c>
      <c r="B1200" s="6" t="s">
        <v>570</v>
      </c>
      <c r="C1200" s="6" t="s">
        <v>571</v>
      </c>
      <c r="D1200" s="8" t="s">
        <v>66</v>
      </c>
      <c r="E1200" s="6" t="s">
        <v>109</v>
      </c>
      <c r="F1200" s="6" t="s">
        <v>85</v>
      </c>
      <c r="G1200" s="11" t="s">
        <v>56</v>
      </c>
      <c r="H1200" s="10" t="s">
        <v>1631</v>
      </c>
      <c r="I1200" s="6" t="s">
        <v>1632</v>
      </c>
      <c r="J1200" s="12">
        <v>46121.706597222219</v>
      </c>
      <c r="K1200" s="6" t="e" cm="1">
        <f t="array" ref="K1200">LOOKUP(2^15,SEARCH(Tabela2[Palavras-Chave],Boletim[[#This Row],[Objeto]],1),Tabela2[Palavras-Chave])</f>
        <v>#N/A</v>
      </c>
    </row>
    <row r="1201" spans="1:11" ht="57.6" hidden="1" x14ac:dyDescent="0.3">
      <c r="A1201" s="5">
        <v>18809999</v>
      </c>
      <c r="B1201" s="6" t="s">
        <v>1633</v>
      </c>
      <c r="C1201" s="6" t="s">
        <v>1634</v>
      </c>
      <c r="D1201" s="8" t="s">
        <v>66</v>
      </c>
      <c r="E1201" s="6" t="s">
        <v>135</v>
      </c>
      <c r="F1201" s="6" t="s">
        <v>85</v>
      </c>
      <c r="G1201" s="11">
        <v>46136.333333333336</v>
      </c>
      <c r="H1201" s="10" t="s">
        <v>1635</v>
      </c>
      <c r="I1201" s="6" t="s">
        <v>1636</v>
      </c>
      <c r="J1201" s="12">
        <v>46121.714606481481</v>
      </c>
      <c r="K1201" s="6" t="e" cm="1">
        <f t="array" ref="K1201">LOOKUP(2^15,SEARCH(Tabela2[Palavras-Chave],Boletim[[#This Row],[Objeto]],1),Tabela2[Palavras-Chave])</f>
        <v>#N/A</v>
      </c>
    </row>
    <row r="1202" spans="1:11" ht="129.6" hidden="1" x14ac:dyDescent="0.3">
      <c r="A1202" s="5">
        <v>18809998</v>
      </c>
      <c r="B1202" s="6" t="s">
        <v>3069</v>
      </c>
      <c r="C1202" s="6" t="s">
        <v>3070</v>
      </c>
      <c r="D1202" s="8" t="s">
        <v>66</v>
      </c>
      <c r="E1202" s="6" t="s">
        <v>114</v>
      </c>
      <c r="F1202" s="6" t="s">
        <v>85</v>
      </c>
      <c r="G1202" s="11">
        <v>46149.375</v>
      </c>
      <c r="H1202" s="10" t="s">
        <v>3071</v>
      </c>
      <c r="I1202" s="6" t="s">
        <v>3072</v>
      </c>
      <c r="J1202" s="12">
        <v>46121.717557870368</v>
      </c>
      <c r="K1202" s="6" t="str" cm="1">
        <f t="array" ref="K1202">LOOKUP(2^15,SEARCH(Tabela2[Palavras-Chave],Boletim[[#This Row],[Objeto]],1),Tabela2[Palavras-Chave])</f>
        <v>UNIÃO</v>
      </c>
    </row>
    <row r="1203" spans="1:11" ht="129.6" hidden="1" x14ac:dyDescent="0.3">
      <c r="A1203" s="5">
        <v>18808465</v>
      </c>
      <c r="B1203" s="6" t="s">
        <v>1637</v>
      </c>
      <c r="C1203" s="6" t="s">
        <v>194</v>
      </c>
      <c r="D1203" s="8" t="s">
        <v>66</v>
      </c>
      <c r="E1203" s="6" t="s">
        <v>146</v>
      </c>
      <c r="F1203" s="6" t="s">
        <v>85</v>
      </c>
      <c r="G1203" s="11">
        <v>46134.371527777781</v>
      </c>
      <c r="H1203" s="10" t="s">
        <v>1638</v>
      </c>
      <c r="I1203" s="6" t="s">
        <v>1639</v>
      </c>
      <c r="J1203" s="12">
        <v>46121.719490740739</v>
      </c>
      <c r="K1203" s="6" t="e" cm="1">
        <f t="array" ref="K1203">LOOKUP(2^15,SEARCH(Tabela2[Palavras-Chave],Boletim[[#This Row],[Objeto]],1),Tabela2[Palavras-Chave])</f>
        <v>#N/A</v>
      </c>
    </row>
    <row r="1204" spans="1:11" ht="115.2" hidden="1" x14ac:dyDescent="0.3">
      <c r="A1204" s="5">
        <v>18806897</v>
      </c>
      <c r="B1204" s="6" t="s">
        <v>1640</v>
      </c>
      <c r="C1204" s="6" t="s">
        <v>1641</v>
      </c>
      <c r="D1204" s="8" t="s">
        <v>66</v>
      </c>
      <c r="E1204" s="6" t="s">
        <v>134</v>
      </c>
      <c r="F1204" s="6" t="s">
        <v>85</v>
      </c>
      <c r="G1204" s="11" t="s">
        <v>56</v>
      </c>
      <c r="H1204" s="10" t="s">
        <v>1642</v>
      </c>
      <c r="I1204" s="6" t="s">
        <v>1643</v>
      </c>
      <c r="J1204" s="12">
        <v>46121.720729166664</v>
      </c>
      <c r="K1204" s="6" t="e" cm="1">
        <f t="array" ref="K1204">LOOKUP(2^15,SEARCH(Tabela2[Palavras-Chave],Boletim[[#This Row],[Objeto]],1),Tabela2[Palavras-Chave])</f>
        <v>#N/A</v>
      </c>
    </row>
    <row r="1205" spans="1:11" ht="100.8" hidden="1" x14ac:dyDescent="0.3">
      <c r="A1205" s="5">
        <v>18809505</v>
      </c>
      <c r="B1205" s="6" t="s">
        <v>336</v>
      </c>
      <c r="C1205" s="6" t="s">
        <v>337</v>
      </c>
      <c r="D1205" s="8" t="s">
        <v>66</v>
      </c>
      <c r="E1205" s="6" t="s">
        <v>188</v>
      </c>
      <c r="F1205" s="6" t="s">
        <v>85</v>
      </c>
      <c r="G1205" s="11">
        <v>46140.354166666664</v>
      </c>
      <c r="H1205" s="10" t="s">
        <v>1644</v>
      </c>
      <c r="I1205" s="6" t="s">
        <v>1645</v>
      </c>
      <c r="J1205" s="12">
        <v>46121.723402777781</v>
      </c>
      <c r="K1205" s="6" t="e" cm="1">
        <f t="array" ref="K1205">LOOKUP(2^15,SEARCH(Tabela2[Palavras-Chave],Boletim[[#This Row],[Objeto]],1),Tabela2[Palavras-Chave])</f>
        <v>#N/A</v>
      </c>
    </row>
    <row r="1206" spans="1:11" ht="86.4" hidden="1" x14ac:dyDescent="0.3">
      <c r="A1206" s="5">
        <v>18807753</v>
      </c>
      <c r="B1206" s="6" t="s">
        <v>3073</v>
      </c>
      <c r="C1206" s="6" t="s">
        <v>3074</v>
      </c>
      <c r="D1206" s="8" t="s">
        <v>66</v>
      </c>
      <c r="E1206" s="6" t="s">
        <v>108</v>
      </c>
      <c r="F1206" s="6" t="s">
        <v>85</v>
      </c>
      <c r="G1206" s="11" t="s">
        <v>56</v>
      </c>
      <c r="H1206" s="10" t="s">
        <v>3075</v>
      </c>
      <c r="I1206" s="6" t="s">
        <v>3076</v>
      </c>
      <c r="J1206" s="12">
        <v>46121.723680555559</v>
      </c>
      <c r="K1206" s="6" t="e" cm="1">
        <f t="array" ref="K1206">LOOKUP(2^15,SEARCH(Tabela2[Palavras-Chave],Boletim[[#This Row],[Objeto]],1),Tabela2[Palavras-Chave])</f>
        <v>#N/A</v>
      </c>
    </row>
    <row r="1207" spans="1:11" ht="72" hidden="1" x14ac:dyDescent="0.3">
      <c r="A1207" s="5">
        <v>18809419</v>
      </c>
      <c r="B1207" s="6" t="s">
        <v>3077</v>
      </c>
      <c r="C1207" s="6" t="s">
        <v>442</v>
      </c>
      <c r="D1207" s="8" t="s">
        <v>66</v>
      </c>
      <c r="E1207" s="6" t="s">
        <v>474</v>
      </c>
      <c r="F1207" s="6" t="s">
        <v>85</v>
      </c>
      <c r="G1207" s="11">
        <v>46139.333333333336</v>
      </c>
      <c r="H1207" s="10" t="s">
        <v>3078</v>
      </c>
      <c r="I1207" s="6" t="s">
        <v>3079</v>
      </c>
      <c r="J1207" s="12">
        <v>46121.732407407406</v>
      </c>
      <c r="K1207" s="6" t="e" cm="1">
        <f t="array" ref="K1207">LOOKUP(2^15,SEARCH(Tabela2[Palavras-Chave],Boletim[[#This Row],[Objeto]],1),Tabela2[Palavras-Chave])</f>
        <v>#N/A</v>
      </c>
    </row>
    <row r="1208" spans="1:11" ht="115.2" hidden="1" x14ac:dyDescent="0.3">
      <c r="A1208" s="5">
        <v>18810409</v>
      </c>
      <c r="B1208" s="6" t="s">
        <v>445</v>
      </c>
      <c r="C1208" s="6" t="s">
        <v>221</v>
      </c>
      <c r="D1208" s="8" t="s">
        <v>66</v>
      </c>
      <c r="E1208" s="6" t="s">
        <v>183</v>
      </c>
      <c r="F1208" s="6" t="s">
        <v>85</v>
      </c>
      <c r="G1208" s="11" t="s">
        <v>56</v>
      </c>
      <c r="H1208" s="10" t="s">
        <v>1646</v>
      </c>
      <c r="I1208" s="6" t="s">
        <v>1647</v>
      </c>
      <c r="J1208" s="12">
        <v>46121.736145833333</v>
      </c>
      <c r="K1208" s="6" t="e" cm="1">
        <f t="array" ref="K1208">LOOKUP(2^15,SEARCH(Tabela2[Palavras-Chave],Boletim[[#This Row],[Objeto]],1),Tabela2[Palavras-Chave])</f>
        <v>#N/A</v>
      </c>
    </row>
    <row r="1209" spans="1:11" ht="57.6" hidden="1" x14ac:dyDescent="0.3">
      <c r="A1209" s="5">
        <v>18810655</v>
      </c>
      <c r="B1209" s="6" t="s">
        <v>1648</v>
      </c>
      <c r="C1209" s="6" t="s">
        <v>1649</v>
      </c>
      <c r="D1209" s="8" t="s">
        <v>66</v>
      </c>
      <c r="E1209" s="6" t="s">
        <v>202</v>
      </c>
      <c r="F1209" s="6" t="s">
        <v>85</v>
      </c>
      <c r="G1209" s="11">
        <v>46147.395833333336</v>
      </c>
      <c r="H1209" s="10" t="s">
        <v>1650</v>
      </c>
      <c r="I1209" s="6" t="s">
        <v>1651</v>
      </c>
      <c r="J1209" s="12">
        <v>46121.740914351853</v>
      </c>
      <c r="K1209" s="6" t="e" cm="1">
        <f t="array" ref="K1209">LOOKUP(2^15,SEARCH(Tabela2[Palavras-Chave],Boletim[[#This Row],[Objeto]],1),Tabela2[Palavras-Chave])</f>
        <v>#N/A</v>
      </c>
    </row>
    <row r="1210" spans="1:11" ht="100.8" x14ac:dyDescent="0.3">
      <c r="A1210" s="5">
        <v>18810639</v>
      </c>
      <c r="B1210" s="6" t="s">
        <v>1652</v>
      </c>
      <c r="C1210" s="6" t="s">
        <v>1653</v>
      </c>
      <c r="D1210" s="8" t="s">
        <v>66</v>
      </c>
      <c r="E1210" s="6" t="s">
        <v>139</v>
      </c>
      <c r="F1210" s="6" t="s">
        <v>85</v>
      </c>
      <c r="G1210" s="11" t="s">
        <v>56</v>
      </c>
      <c r="H1210" s="10" t="s">
        <v>1654</v>
      </c>
      <c r="I1210" s="6" t="s">
        <v>1655</v>
      </c>
      <c r="J1210" s="12">
        <v>46121.747986111113</v>
      </c>
      <c r="K1210" s="6" t="str" cm="1">
        <f t="array" ref="K1210">LOOKUP(2^15,SEARCH(Tabela2[Palavras-Chave],Boletim[[#This Row],[Objeto]],1),Tabela2[Palavras-Chave])</f>
        <v>EFICIÊNCIA</v>
      </c>
    </row>
    <row r="1211" spans="1:11" hidden="1" x14ac:dyDescent="0.3">
      <c r="A1211" s="5">
        <v>18804640</v>
      </c>
      <c r="B1211" s="6" t="s">
        <v>653</v>
      </c>
      <c r="C1211" s="6" t="s">
        <v>65</v>
      </c>
      <c r="D1211" s="8" t="s">
        <v>66</v>
      </c>
      <c r="E1211" s="6" t="s">
        <v>654</v>
      </c>
      <c r="F1211" s="6" t="s">
        <v>85</v>
      </c>
      <c r="G1211" s="11" t="s">
        <v>56</v>
      </c>
      <c r="H1211" s="10" t="s">
        <v>655</v>
      </c>
      <c r="I1211" s="6" t="s">
        <v>656</v>
      </c>
      <c r="J1211" s="12">
        <v>46121.749699074076</v>
      </c>
      <c r="K1211" s="6" t="e" cm="1">
        <f t="array" ref="K1211">LOOKUP(2^15,SEARCH(Tabela2[Palavras-Chave],Boletim[[#This Row],[Objeto]],1),Tabela2[Palavras-Chave])</f>
        <v>#N/A</v>
      </c>
    </row>
    <row r="1212" spans="1:11" ht="86.4" hidden="1" x14ac:dyDescent="0.3">
      <c r="A1212" s="5">
        <v>18810414</v>
      </c>
      <c r="B1212" s="6" t="s">
        <v>1656</v>
      </c>
      <c r="C1212" s="6" t="s">
        <v>1657</v>
      </c>
      <c r="D1212" s="8" t="s">
        <v>66</v>
      </c>
      <c r="E1212" s="6" t="s">
        <v>114</v>
      </c>
      <c r="F1212" s="6" t="s">
        <v>85</v>
      </c>
      <c r="G1212" s="11" t="s">
        <v>56</v>
      </c>
      <c r="H1212" s="10" t="s">
        <v>1658</v>
      </c>
      <c r="I1212" s="6" t="s">
        <v>1659</v>
      </c>
      <c r="J1212" s="12">
        <v>46121.753101851849</v>
      </c>
      <c r="K1212" s="6" t="e" cm="1">
        <f t="array" ref="K1212">LOOKUP(2^15,SEARCH(Tabela2[Palavras-Chave],Boletim[[#This Row],[Objeto]],1),Tabela2[Palavras-Chave])</f>
        <v>#N/A</v>
      </c>
    </row>
    <row r="1213" spans="1:11" ht="57.6" hidden="1" x14ac:dyDescent="0.3">
      <c r="A1213" s="5">
        <v>18810657</v>
      </c>
      <c r="B1213" s="6" t="s">
        <v>1660</v>
      </c>
      <c r="C1213" s="6" t="s">
        <v>1661</v>
      </c>
      <c r="D1213" s="8" t="s">
        <v>66</v>
      </c>
      <c r="E1213" s="6" t="s">
        <v>126</v>
      </c>
      <c r="F1213" s="6" t="s">
        <v>85</v>
      </c>
      <c r="G1213" s="11">
        <v>46139.354166666664</v>
      </c>
      <c r="H1213" s="10" t="s">
        <v>1662</v>
      </c>
      <c r="I1213" s="6" t="s">
        <v>1663</v>
      </c>
      <c r="J1213" s="12">
        <v>46121.754386574074</v>
      </c>
      <c r="K1213" s="6" t="e" cm="1">
        <f t="array" ref="K1213">LOOKUP(2^15,SEARCH(Tabela2[Palavras-Chave],Boletim[[#This Row],[Objeto]],1),Tabela2[Palavras-Chave])</f>
        <v>#N/A</v>
      </c>
    </row>
    <row r="1214" spans="1:11" ht="100.8" hidden="1" x14ac:dyDescent="0.3">
      <c r="A1214" s="5">
        <v>18809561</v>
      </c>
      <c r="B1214" s="6" t="s">
        <v>1036</v>
      </c>
      <c r="C1214" s="6" t="s">
        <v>440</v>
      </c>
      <c r="D1214" s="8" t="s">
        <v>66</v>
      </c>
      <c r="E1214" s="6" t="s">
        <v>141</v>
      </c>
      <c r="F1214" s="6" t="s">
        <v>85</v>
      </c>
      <c r="G1214" s="11">
        <v>46127.333333333336</v>
      </c>
      <c r="H1214" s="10" t="s">
        <v>1664</v>
      </c>
      <c r="I1214" s="6" t="s">
        <v>1665</v>
      </c>
      <c r="J1214" s="12">
        <v>46121.755335648151</v>
      </c>
      <c r="K1214" s="6" t="e" cm="1">
        <f t="array" ref="K1214">LOOKUP(2^15,SEARCH(Tabela2[Palavras-Chave],Boletim[[#This Row],[Objeto]],1),Tabela2[Palavras-Chave])</f>
        <v>#N/A</v>
      </c>
    </row>
    <row r="1215" spans="1:11" ht="57.6" hidden="1" x14ac:dyDescent="0.3">
      <c r="A1215" s="5">
        <v>18810624</v>
      </c>
      <c r="B1215" s="6" t="s">
        <v>1719</v>
      </c>
      <c r="C1215" s="6" t="s">
        <v>1720</v>
      </c>
      <c r="D1215" s="8" t="s">
        <v>66</v>
      </c>
      <c r="E1215" s="6" t="s">
        <v>119</v>
      </c>
      <c r="F1215" s="6" t="s">
        <v>85</v>
      </c>
      <c r="G1215" s="11" t="s">
        <v>56</v>
      </c>
      <c r="H1215" s="10" t="s">
        <v>3080</v>
      </c>
      <c r="I1215" s="6" t="s">
        <v>3081</v>
      </c>
      <c r="J1215" s="12">
        <v>46121.762650462966</v>
      </c>
      <c r="K1215" s="6" t="e" cm="1">
        <f t="array" ref="K1215">LOOKUP(2^15,SEARCH(Tabela2[Palavras-Chave],Boletim[[#This Row],[Objeto]],1),Tabela2[Palavras-Chave])</f>
        <v>#N/A</v>
      </c>
    </row>
    <row r="1216" spans="1:11" ht="86.4" hidden="1" x14ac:dyDescent="0.3">
      <c r="A1216" s="5">
        <v>18809091</v>
      </c>
      <c r="B1216" s="6" t="s">
        <v>1666</v>
      </c>
      <c r="C1216" s="6" t="s">
        <v>1667</v>
      </c>
      <c r="D1216" s="8" t="s">
        <v>66</v>
      </c>
      <c r="E1216" s="6" t="s">
        <v>202</v>
      </c>
      <c r="F1216" s="6" t="s">
        <v>85</v>
      </c>
      <c r="G1216" s="11" t="s">
        <v>56</v>
      </c>
      <c r="H1216" s="10" t="s">
        <v>1668</v>
      </c>
      <c r="I1216" s="6" t="s">
        <v>1669</v>
      </c>
      <c r="J1216" s="12">
        <v>46121.768472222226</v>
      </c>
      <c r="K1216" s="6" t="e" cm="1">
        <f t="array" ref="K1216">LOOKUP(2^15,SEARCH(Tabela2[Palavras-Chave],Boletim[[#This Row],[Objeto]],1),Tabela2[Palavras-Chave])</f>
        <v>#N/A</v>
      </c>
    </row>
    <row r="1217" spans="1:11" ht="28.8" hidden="1" x14ac:dyDescent="0.3">
      <c r="A1217" s="5">
        <v>18810983</v>
      </c>
      <c r="B1217" s="6" t="s">
        <v>1670</v>
      </c>
      <c r="C1217" s="6" t="s">
        <v>1671</v>
      </c>
      <c r="D1217" s="8" t="s">
        <v>66</v>
      </c>
      <c r="E1217" s="6" t="s">
        <v>441</v>
      </c>
      <c r="F1217" s="6" t="s">
        <v>85</v>
      </c>
      <c r="G1217" s="11">
        <v>46140.375</v>
      </c>
      <c r="H1217" s="10" t="s">
        <v>1672</v>
      </c>
      <c r="I1217" s="6" t="s">
        <v>90</v>
      </c>
      <c r="J1217" s="12">
        <v>46121.794502314813</v>
      </c>
      <c r="K1217" s="6" t="e" cm="1">
        <f t="array" ref="K1217">LOOKUP(2^15,SEARCH(Tabela2[Palavras-Chave],Boletim[[#This Row],[Objeto]],1),Tabela2[Palavras-Chave])</f>
        <v>#N/A</v>
      </c>
    </row>
    <row r="1218" spans="1:11" ht="100.8" hidden="1" x14ac:dyDescent="0.3">
      <c r="A1218" s="5">
        <v>18810932</v>
      </c>
      <c r="B1218" s="6" t="s">
        <v>3082</v>
      </c>
      <c r="C1218" s="6" t="s">
        <v>3083</v>
      </c>
      <c r="D1218" s="8" t="s">
        <v>66</v>
      </c>
      <c r="E1218" s="6" t="s">
        <v>108</v>
      </c>
      <c r="F1218" s="6" t="s">
        <v>85</v>
      </c>
      <c r="G1218" s="11">
        <v>46146.385416666664</v>
      </c>
      <c r="H1218" s="10" t="s">
        <v>3084</v>
      </c>
      <c r="I1218" s="6" t="s">
        <v>3085</v>
      </c>
      <c r="J1218" s="12">
        <v>46121.78025462963</v>
      </c>
      <c r="K1218" s="6" t="e" cm="1">
        <f t="array" ref="K1218">LOOKUP(2^15,SEARCH(Tabela2[Palavras-Chave],Boletim[[#This Row],[Objeto]],1),Tabela2[Palavras-Chave])</f>
        <v>#N/A</v>
      </c>
    </row>
    <row r="1219" spans="1:11" ht="129.6" hidden="1" x14ac:dyDescent="0.3">
      <c r="A1219" s="5">
        <v>18811020</v>
      </c>
      <c r="B1219" s="6" t="s">
        <v>3086</v>
      </c>
      <c r="C1219" s="6" t="s">
        <v>3087</v>
      </c>
      <c r="D1219" s="8" t="s">
        <v>66</v>
      </c>
      <c r="E1219" s="6" t="s">
        <v>277</v>
      </c>
      <c r="F1219" s="6" t="s">
        <v>85</v>
      </c>
      <c r="G1219" s="11" t="s">
        <v>56</v>
      </c>
      <c r="H1219" s="10" t="s">
        <v>3088</v>
      </c>
      <c r="I1219" s="6" t="s">
        <v>3089</v>
      </c>
      <c r="J1219" s="12">
        <v>46121.782546296294</v>
      </c>
      <c r="K1219" s="6" t="e" cm="1">
        <f t="array" ref="K1219">LOOKUP(2^15,SEARCH(Tabela2[Palavras-Chave],Boletim[[#This Row],[Objeto]],1),Tabela2[Palavras-Chave])</f>
        <v>#N/A</v>
      </c>
    </row>
    <row r="1220" spans="1:11" ht="43.2" hidden="1" x14ac:dyDescent="0.3">
      <c r="A1220" s="5">
        <v>18810944</v>
      </c>
      <c r="B1220" s="6" t="s">
        <v>3090</v>
      </c>
      <c r="C1220" s="6" t="s">
        <v>194</v>
      </c>
      <c r="D1220" s="8" t="s">
        <v>66</v>
      </c>
      <c r="E1220" s="6" t="s">
        <v>120</v>
      </c>
      <c r="F1220" s="6" t="s">
        <v>85</v>
      </c>
      <c r="G1220" s="11" t="s">
        <v>56</v>
      </c>
      <c r="H1220" s="10" t="s">
        <v>3091</v>
      </c>
      <c r="I1220" s="6" t="s">
        <v>3092</v>
      </c>
      <c r="J1220" s="12">
        <v>46121.783078703702</v>
      </c>
      <c r="K1220" s="6" t="e" cm="1">
        <f t="array" ref="K1220">LOOKUP(2^15,SEARCH(Tabela2[Palavras-Chave],Boletim[[#This Row],[Objeto]],1),Tabela2[Palavras-Chave])</f>
        <v>#N/A</v>
      </c>
    </row>
    <row r="1221" spans="1:11" ht="115.2" hidden="1" x14ac:dyDescent="0.3">
      <c r="A1221" s="5">
        <v>18810406</v>
      </c>
      <c r="B1221" s="6" t="s">
        <v>445</v>
      </c>
      <c r="C1221" s="6" t="s">
        <v>221</v>
      </c>
      <c r="D1221" s="8" t="s">
        <v>66</v>
      </c>
      <c r="E1221" s="6" t="s">
        <v>152</v>
      </c>
      <c r="F1221" s="6" t="s">
        <v>85</v>
      </c>
      <c r="G1221" s="11" t="s">
        <v>56</v>
      </c>
      <c r="H1221" s="10" t="s">
        <v>1673</v>
      </c>
      <c r="I1221" s="6" t="s">
        <v>1674</v>
      </c>
      <c r="J1221" s="12">
        <v>46121.78733796296</v>
      </c>
      <c r="K1221" s="6" t="e" cm="1">
        <f t="array" ref="K1221">LOOKUP(2^15,SEARCH(Tabela2[Palavras-Chave],Boletim[[#This Row],[Objeto]],1),Tabela2[Palavras-Chave])</f>
        <v>#N/A</v>
      </c>
    </row>
    <row r="1222" spans="1:11" ht="158.4" hidden="1" x14ac:dyDescent="0.3">
      <c r="A1222" s="5">
        <v>18811084</v>
      </c>
      <c r="B1222" s="6" t="s">
        <v>1675</v>
      </c>
      <c r="C1222" s="6" t="s">
        <v>1676</v>
      </c>
      <c r="D1222" s="8" t="s">
        <v>66</v>
      </c>
      <c r="E1222" s="6" t="s">
        <v>148</v>
      </c>
      <c r="F1222" s="6" t="s">
        <v>85</v>
      </c>
      <c r="G1222" s="11" t="s">
        <v>56</v>
      </c>
      <c r="H1222" s="10" t="s">
        <v>1677</v>
      </c>
      <c r="I1222" s="6" t="s">
        <v>1678</v>
      </c>
      <c r="J1222" s="12">
        <v>46121.790219907409</v>
      </c>
      <c r="K1222" s="6" t="e" cm="1">
        <f t="array" ref="K1222">LOOKUP(2^15,SEARCH(Tabela2[Palavras-Chave],Boletim[[#This Row],[Objeto]],1),Tabela2[Palavras-Chave])</f>
        <v>#N/A</v>
      </c>
    </row>
    <row r="1223" spans="1:11" ht="259.2" hidden="1" x14ac:dyDescent="0.3">
      <c r="A1223" s="5">
        <v>18810274</v>
      </c>
      <c r="B1223" s="6" t="s">
        <v>1679</v>
      </c>
      <c r="C1223" s="6" t="s">
        <v>1680</v>
      </c>
      <c r="D1223" s="8" t="s">
        <v>66</v>
      </c>
      <c r="E1223" s="6" t="s">
        <v>165</v>
      </c>
      <c r="F1223" s="6" t="s">
        <v>85</v>
      </c>
      <c r="G1223" s="11" t="s">
        <v>56</v>
      </c>
      <c r="H1223" s="10" t="s">
        <v>1681</v>
      </c>
      <c r="I1223" s="6" t="s">
        <v>1682</v>
      </c>
      <c r="J1223" s="12">
        <v>46121.791215277779</v>
      </c>
      <c r="K1223" s="6" t="e" cm="1">
        <f t="array" ref="K1223">LOOKUP(2^15,SEARCH(Tabela2[Palavras-Chave],Boletim[[#This Row],[Objeto]],1),Tabela2[Palavras-Chave])</f>
        <v>#N/A</v>
      </c>
    </row>
    <row r="1224" spans="1:11" ht="43.2" hidden="1" x14ac:dyDescent="0.3">
      <c r="A1224" s="5">
        <v>18811015</v>
      </c>
      <c r="B1224" s="6" t="s">
        <v>1683</v>
      </c>
      <c r="C1224" s="6" t="s">
        <v>1684</v>
      </c>
      <c r="D1224" s="8" t="s">
        <v>66</v>
      </c>
      <c r="E1224" s="6" t="s">
        <v>450</v>
      </c>
      <c r="F1224" s="6" t="s">
        <v>85</v>
      </c>
      <c r="G1224" s="11">
        <v>46136.374305555553</v>
      </c>
      <c r="H1224" s="10" t="s">
        <v>1685</v>
      </c>
      <c r="I1224" s="6" t="s">
        <v>1686</v>
      </c>
      <c r="J1224" s="12">
        <v>46121.791261574072</v>
      </c>
      <c r="K1224" s="6" t="e" cm="1">
        <f t="array" ref="K1224">LOOKUP(2^15,SEARCH(Tabela2[Palavras-Chave],Boletim[[#This Row],[Objeto]],1),Tabela2[Palavras-Chave])</f>
        <v>#N/A</v>
      </c>
    </row>
    <row r="1225" spans="1:11" ht="72" hidden="1" x14ac:dyDescent="0.3">
      <c r="A1225" s="5">
        <v>18811036</v>
      </c>
      <c r="B1225" s="6" t="s">
        <v>3077</v>
      </c>
      <c r="C1225" s="6" t="s">
        <v>442</v>
      </c>
      <c r="D1225" s="8" t="s">
        <v>66</v>
      </c>
      <c r="E1225" s="6" t="s">
        <v>293</v>
      </c>
      <c r="F1225" s="6" t="s">
        <v>85</v>
      </c>
      <c r="G1225" s="11" t="s">
        <v>56</v>
      </c>
      <c r="H1225" s="10" t="s">
        <v>3093</v>
      </c>
      <c r="I1225" s="6" t="s">
        <v>3094</v>
      </c>
      <c r="J1225" s="12">
        <v>46121.794374999998</v>
      </c>
      <c r="K1225" s="6" t="e" cm="1">
        <f t="array" ref="K1225">LOOKUP(2^15,SEARCH(Tabela2[Palavras-Chave],Boletim[[#This Row],[Objeto]],1),Tabela2[Palavras-Chave])</f>
        <v>#N/A</v>
      </c>
    </row>
    <row r="1226" spans="1:11" ht="72" hidden="1" x14ac:dyDescent="0.3">
      <c r="A1226" s="5">
        <v>18811040</v>
      </c>
      <c r="B1226" s="6" t="s">
        <v>1687</v>
      </c>
      <c r="C1226" s="6" t="s">
        <v>1688</v>
      </c>
      <c r="D1226" s="8" t="s">
        <v>66</v>
      </c>
      <c r="E1226" s="6" t="s">
        <v>318</v>
      </c>
      <c r="F1226" s="6" t="s">
        <v>85</v>
      </c>
      <c r="G1226" s="11" t="s">
        <v>56</v>
      </c>
      <c r="H1226" s="10" t="s">
        <v>1689</v>
      </c>
      <c r="I1226" s="6" t="s">
        <v>1690</v>
      </c>
      <c r="J1226" s="12">
        <v>46121.795312499999</v>
      </c>
      <c r="K1226" s="6" t="e" cm="1">
        <f t="array" ref="K1226">LOOKUP(2^15,SEARCH(Tabela2[Palavras-Chave],Boletim[[#This Row],[Objeto]],1),Tabela2[Palavras-Chave])</f>
        <v>#N/A</v>
      </c>
    </row>
    <row r="1227" spans="1:11" ht="43.2" hidden="1" x14ac:dyDescent="0.3">
      <c r="A1227" s="5">
        <v>18811250</v>
      </c>
      <c r="B1227" s="6" t="s">
        <v>1691</v>
      </c>
      <c r="C1227" s="6" t="s">
        <v>1692</v>
      </c>
      <c r="D1227" s="8" t="s">
        <v>66</v>
      </c>
      <c r="E1227" s="6" t="s">
        <v>429</v>
      </c>
      <c r="F1227" s="6" t="s">
        <v>85</v>
      </c>
      <c r="G1227" s="11">
        <v>46142.375</v>
      </c>
      <c r="H1227" s="10" t="s">
        <v>1693</v>
      </c>
      <c r="I1227" s="6" t="s">
        <v>1694</v>
      </c>
      <c r="J1227" s="12">
        <v>46121.820185185185</v>
      </c>
      <c r="K1227" s="6" t="e" cm="1">
        <f t="array" ref="K1227">LOOKUP(2^15,SEARCH(Tabela2[Palavras-Chave],Boletim[[#This Row],[Objeto]],1),Tabela2[Palavras-Chave])</f>
        <v>#N/A</v>
      </c>
    </row>
    <row r="1228" spans="1:11" ht="129.6" hidden="1" x14ac:dyDescent="0.3">
      <c r="A1228" s="5">
        <v>18811295</v>
      </c>
      <c r="B1228" s="6" t="s">
        <v>3095</v>
      </c>
      <c r="C1228" s="6" t="s">
        <v>1616</v>
      </c>
      <c r="D1228" s="8" t="s">
        <v>66</v>
      </c>
      <c r="E1228" s="6" t="s">
        <v>121</v>
      </c>
      <c r="F1228" s="6" t="s">
        <v>85</v>
      </c>
      <c r="G1228" s="11" t="s">
        <v>56</v>
      </c>
      <c r="H1228" s="10" t="s">
        <v>3096</v>
      </c>
      <c r="I1228" s="6" t="s">
        <v>3097</v>
      </c>
      <c r="J1228" s="12">
        <v>46121.829583333332</v>
      </c>
      <c r="K1228" s="6" t="e" cm="1">
        <f t="array" ref="K1228">LOOKUP(2^15,SEARCH(Tabela2[Palavras-Chave],Boletim[[#This Row],[Objeto]],1),Tabela2[Palavras-Chave])</f>
        <v>#N/A</v>
      </c>
    </row>
    <row r="1229" spans="1:11" hidden="1" x14ac:dyDescent="0.3">
      <c r="A1229" s="5">
        <v>18811301</v>
      </c>
      <c r="B1229" s="6" t="s">
        <v>3098</v>
      </c>
      <c r="C1229" s="6" t="s">
        <v>65</v>
      </c>
      <c r="D1229" s="8" t="s">
        <v>66</v>
      </c>
      <c r="E1229" s="6" t="s">
        <v>3099</v>
      </c>
      <c r="F1229" s="6" t="s">
        <v>85</v>
      </c>
      <c r="G1229" s="11" t="s">
        <v>56</v>
      </c>
      <c r="H1229" s="10" t="s">
        <v>3100</v>
      </c>
      <c r="I1229" s="6" t="s">
        <v>3101</v>
      </c>
      <c r="J1229" s="12">
        <v>46121.838726851849</v>
      </c>
      <c r="K1229" s="6" t="e" cm="1">
        <f t="array" ref="K1229">LOOKUP(2^15,SEARCH(Tabela2[Palavras-Chave],Boletim[[#This Row],[Objeto]],1),Tabela2[Palavras-Chave])</f>
        <v>#N/A</v>
      </c>
    </row>
    <row r="1230" spans="1:11" ht="259.2" hidden="1" x14ac:dyDescent="0.3">
      <c r="A1230" s="5">
        <v>18810276</v>
      </c>
      <c r="B1230" s="6" t="s">
        <v>1679</v>
      </c>
      <c r="C1230" s="6" t="s">
        <v>1680</v>
      </c>
      <c r="D1230" s="8" t="s">
        <v>66</v>
      </c>
      <c r="E1230" s="6" t="s">
        <v>155</v>
      </c>
      <c r="F1230" s="6" t="s">
        <v>85</v>
      </c>
      <c r="G1230" s="11" t="s">
        <v>56</v>
      </c>
      <c r="H1230" s="10" t="s">
        <v>1695</v>
      </c>
      <c r="I1230" s="6" t="s">
        <v>1696</v>
      </c>
      <c r="J1230" s="12">
        <v>46121.839918981481</v>
      </c>
      <c r="K1230" s="6" t="e" cm="1">
        <f t="array" ref="K1230">LOOKUP(2^15,SEARCH(Tabela2[Palavras-Chave],Boletim[[#This Row],[Objeto]],1),Tabela2[Palavras-Chave])</f>
        <v>#N/A</v>
      </c>
    </row>
    <row r="1231" spans="1:11" ht="115.2" hidden="1" x14ac:dyDescent="0.3">
      <c r="A1231" s="5">
        <v>18807483</v>
      </c>
      <c r="B1231" s="6" t="s">
        <v>1697</v>
      </c>
      <c r="C1231" s="6" t="s">
        <v>1698</v>
      </c>
      <c r="D1231" s="8" t="s">
        <v>66</v>
      </c>
      <c r="E1231" s="6" t="s">
        <v>121</v>
      </c>
      <c r="F1231" s="6" t="s">
        <v>85</v>
      </c>
      <c r="G1231" s="11">
        <v>46139.333333333336</v>
      </c>
      <c r="H1231" s="10" t="s">
        <v>1699</v>
      </c>
      <c r="I1231" s="6" t="s">
        <v>1700</v>
      </c>
      <c r="J1231" s="12">
        <v>46121.844050925924</v>
      </c>
      <c r="K1231" s="6" t="e" cm="1">
        <f t="array" ref="K1231">LOOKUP(2^15,SEARCH(Tabela2[Palavras-Chave],Boletim[[#This Row],[Objeto]],1),Tabela2[Palavras-Chave])</f>
        <v>#N/A</v>
      </c>
    </row>
    <row r="1232" spans="1:11" ht="86.4" hidden="1" x14ac:dyDescent="0.3">
      <c r="A1232" s="5">
        <v>18811219</v>
      </c>
      <c r="B1232" s="6" t="s">
        <v>576</v>
      </c>
      <c r="C1232" s="6" t="s">
        <v>577</v>
      </c>
      <c r="D1232" s="8" t="s">
        <v>66</v>
      </c>
      <c r="E1232" s="6" t="s">
        <v>240</v>
      </c>
      <c r="F1232" s="6" t="s">
        <v>85</v>
      </c>
      <c r="G1232" s="11" t="s">
        <v>56</v>
      </c>
      <c r="H1232" s="10" t="s">
        <v>1701</v>
      </c>
      <c r="I1232" s="6" t="s">
        <v>1702</v>
      </c>
      <c r="J1232" s="12">
        <v>46121.846851851849</v>
      </c>
      <c r="K1232" s="6" t="e" cm="1">
        <f t="array" ref="K1232">LOOKUP(2^15,SEARCH(Tabela2[Palavras-Chave],Boletim[[#This Row],[Objeto]],1),Tabela2[Palavras-Chave])</f>
        <v>#N/A</v>
      </c>
    </row>
    <row r="1233" spans="1:11" ht="100.8" hidden="1" x14ac:dyDescent="0.3">
      <c r="A1233" s="5">
        <v>18809546</v>
      </c>
      <c r="B1233" s="6" t="s">
        <v>443</v>
      </c>
      <c r="C1233" s="6" t="s">
        <v>444</v>
      </c>
      <c r="D1233" s="8" t="s">
        <v>66</v>
      </c>
      <c r="E1233" s="6" t="s">
        <v>166</v>
      </c>
      <c r="F1233" s="6" t="s">
        <v>85</v>
      </c>
      <c r="G1233" s="11">
        <v>46135.415972222225</v>
      </c>
      <c r="H1233" s="10" t="s">
        <v>1703</v>
      </c>
      <c r="I1233" s="6" t="s">
        <v>1704</v>
      </c>
      <c r="J1233" s="12">
        <v>46121.848715277774</v>
      </c>
      <c r="K1233" s="6" t="e" cm="1">
        <f t="array" ref="K1233">LOOKUP(2^15,SEARCH(Tabela2[Palavras-Chave],Boletim[[#This Row],[Objeto]],1),Tabela2[Palavras-Chave])</f>
        <v>#N/A</v>
      </c>
    </row>
    <row r="1234" spans="1:11" ht="72" hidden="1" x14ac:dyDescent="0.3">
      <c r="A1234" s="5">
        <v>18811396</v>
      </c>
      <c r="B1234" s="6" t="s">
        <v>99</v>
      </c>
      <c r="C1234" s="6" t="s">
        <v>65</v>
      </c>
      <c r="D1234" s="8" t="s">
        <v>66</v>
      </c>
      <c r="E1234" s="6" t="s">
        <v>3102</v>
      </c>
      <c r="F1234" s="6" t="s">
        <v>85</v>
      </c>
      <c r="G1234" s="11" t="s">
        <v>56</v>
      </c>
      <c r="H1234" s="10" t="s">
        <v>3103</v>
      </c>
      <c r="I1234" s="6" t="s">
        <v>3104</v>
      </c>
      <c r="J1234" s="12">
        <v>46121.848923611113</v>
      </c>
      <c r="K1234" s="6" t="e" cm="1">
        <f t="array" ref="K1234">LOOKUP(2^15,SEARCH(Tabela2[Palavras-Chave],Boletim[[#This Row],[Objeto]],1),Tabela2[Palavras-Chave])</f>
        <v>#N/A</v>
      </c>
    </row>
    <row r="1235" spans="1:11" ht="115.2" hidden="1" x14ac:dyDescent="0.3">
      <c r="A1235" s="5">
        <v>18811245</v>
      </c>
      <c r="B1235" s="6" t="s">
        <v>1705</v>
      </c>
      <c r="C1235" s="6" t="s">
        <v>311</v>
      </c>
      <c r="D1235" s="8" t="s">
        <v>66</v>
      </c>
      <c r="E1235" s="6" t="s">
        <v>107</v>
      </c>
      <c r="F1235" s="6" t="s">
        <v>85</v>
      </c>
      <c r="G1235" s="11">
        <v>46134.541666666664</v>
      </c>
      <c r="H1235" s="10" t="s">
        <v>1706</v>
      </c>
      <c r="I1235" s="6" t="s">
        <v>1707</v>
      </c>
      <c r="J1235" s="12">
        <v>46121.850983796299</v>
      </c>
      <c r="K1235" s="6" t="e" cm="1">
        <f t="array" ref="K1235">LOOKUP(2^15,SEARCH(Tabela2[Palavras-Chave],Boletim[[#This Row],[Objeto]],1),Tabela2[Palavras-Chave])</f>
        <v>#N/A</v>
      </c>
    </row>
    <row r="1236" spans="1:11" ht="259.2" hidden="1" x14ac:dyDescent="0.3">
      <c r="A1236" s="5">
        <v>18807034</v>
      </c>
      <c r="B1236" s="6" t="s">
        <v>3105</v>
      </c>
      <c r="C1236" s="6" t="s">
        <v>3106</v>
      </c>
      <c r="D1236" s="8" t="s">
        <v>67</v>
      </c>
      <c r="E1236" s="6" t="s">
        <v>148</v>
      </c>
      <c r="F1236" s="6" t="s">
        <v>85</v>
      </c>
      <c r="G1236" s="11" t="s">
        <v>56</v>
      </c>
      <c r="H1236" s="10" t="s">
        <v>3107</v>
      </c>
      <c r="I1236" s="6" t="s">
        <v>3108</v>
      </c>
      <c r="J1236" s="12">
        <v>46121.443402777775</v>
      </c>
      <c r="K1236" s="6" t="e" cm="1">
        <f t="array" ref="K1236">LOOKUP(2^15,SEARCH(Tabela2[Palavras-Chave],Boletim[[#This Row],[Objeto]],1),Tabela2[Palavras-Chave])</f>
        <v>#N/A</v>
      </c>
    </row>
    <row r="1237" spans="1:11" ht="100.8" hidden="1" x14ac:dyDescent="0.3">
      <c r="A1237" s="5">
        <v>18807443</v>
      </c>
      <c r="B1237" s="6" t="s">
        <v>74</v>
      </c>
      <c r="C1237" s="6" t="s">
        <v>123</v>
      </c>
      <c r="D1237" s="8" t="s">
        <v>67</v>
      </c>
      <c r="E1237" s="6" t="s">
        <v>1319</v>
      </c>
      <c r="F1237" s="6" t="s">
        <v>85</v>
      </c>
      <c r="G1237" s="11" t="s">
        <v>56</v>
      </c>
      <c r="H1237" s="10" t="s">
        <v>1320</v>
      </c>
      <c r="I1237" s="6" t="s">
        <v>1321</v>
      </c>
      <c r="J1237" s="12">
        <v>46121.447291666664</v>
      </c>
      <c r="K1237" s="6" t="e" cm="1">
        <f t="array" ref="K1237">LOOKUP(2^15,SEARCH(Tabela2[Palavras-Chave],Boletim[[#This Row],[Objeto]],1),Tabela2[Palavras-Chave])</f>
        <v>#N/A</v>
      </c>
    </row>
    <row r="1238" spans="1:11" ht="43.2" hidden="1" x14ac:dyDescent="0.3">
      <c r="A1238" s="5">
        <v>18807283</v>
      </c>
      <c r="B1238" s="6" t="s">
        <v>3109</v>
      </c>
      <c r="C1238" s="6" t="s">
        <v>123</v>
      </c>
      <c r="D1238" s="8" t="s">
        <v>67</v>
      </c>
      <c r="E1238" s="6" t="s">
        <v>113</v>
      </c>
      <c r="F1238" s="6" t="s">
        <v>85</v>
      </c>
      <c r="G1238" s="11">
        <v>46139.364583333336</v>
      </c>
      <c r="H1238" s="10" t="s">
        <v>3110</v>
      </c>
      <c r="I1238" s="6" t="s">
        <v>3111</v>
      </c>
      <c r="J1238" s="12">
        <v>46121.446979166663</v>
      </c>
      <c r="K1238" s="6" t="e" cm="1">
        <f t="array" ref="K1238">LOOKUP(2^15,SEARCH(Tabela2[Palavras-Chave],Boletim[[#This Row],[Objeto]],1),Tabela2[Palavras-Chave])</f>
        <v>#N/A</v>
      </c>
    </row>
    <row r="1239" spans="1:11" ht="100.8" hidden="1" x14ac:dyDescent="0.3">
      <c r="A1239" s="5">
        <v>18807575</v>
      </c>
      <c r="B1239" s="6" t="s">
        <v>74</v>
      </c>
      <c r="C1239" s="6" t="s">
        <v>123</v>
      </c>
      <c r="D1239" s="8" t="s">
        <v>67</v>
      </c>
      <c r="E1239" s="6" t="s">
        <v>2972</v>
      </c>
      <c r="F1239" s="6" t="s">
        <v>85</v>
      </c>
      <c r="G1239" s="11" t="s">
        <v>56</v>
      </c>
      <c r="H1239" s="10" t="s">
        <v>2973</v>
      </c>
      <c r="I1239" s="6" t="s">
        <v>1321</v>
      </c>
      <c r="J1239" s="12">
        <v>46121.450069444443</v>
      </c>
      <c r="K1239" s="6" t="e" cm="1">
        <f t="array" ref="K1239">LOOKUP(2^15,SEARCH(Tabela2[Palavras-Chave],Boletim[[#This Row],[Objeto]],1),Tabela2[Palavras-Chave])</f>
        <v>#N/A</v>
      </c>
    </row>
    <row r="1240" spans="1:11" ht="72" hidden="1" x14ac:dyDescent="0.3">
      <c r="A1240" s="5">
        <v>18810040</v>
      </c>
      <c r="B1240" s="6" t="s">
        <v>1708</v>
      </c>
      <c r="C1240" s="6" t="s">
        <v>1709</v>
      </c>
      <c r="D1240" s="8" t="s">
        <v>67</v>
      </c>
      <c r="E1240" s="6" t="s">
        <v>124</v>
      </c>
      <c r="F1240" s="6" t="s">
        <v>85</v>
      </c>
      <c r="G1240" s="11">
        <v>46141.375</v>
      </c>
      <c r="H1240" s="10" t="s">
        <v>1710</v>
      </c>
      <c r="I1240" s="6" t="s">
        <v>90</v>
      </c>
      <c r="J1240" s="12">
        <v>46121.704479166663</v>
      </c>
      <c r="K1240" s="6" t="e" cm="1">
        <f t="array" ref="K1240">LOOKUP(2^15,SEARCH(Tabela2[Palavras-Chave],Boletim[[#This Row],[Objeto]],1),Tabela2[Palavras-Chave])</f>
        <v>#N/A</v>
      </c>
    </row>
    <row r="1241" spans="1:11" ht="100.8" hidden="1" x14ac:dyDescent="0.3">
      <c r="A1241" s="5">
        <v>18809923</v>
      </c>
      <c r="B1241" s="6" t="s">
        <v>1708</v>
      </c>
      <c r="C1241" s="6" t="s">
        <v>1709</v>
      </c>
      <c r="D1241" s="8" t="s">
        <v>67</v>
      </c>
      <c r="E1241" s="6" t="s">
        <v>113</v>
      </c>
      <c r="F1241" s="6" t="s">
        <v>85</v>
      </c>
      <c r="G1241" s="11">
        <v>46140.375</v>
      </c>
      <c r="H1241" s="10" t="s">
        <v>1711</v>
      </c>
      <c r="I1241" s="6" t="s">
        <v>90</v>
      </c>
      <c r="J1241" s="12">
        <v>46121.717650462961</v>
      </c>
      <c r="K1241" s="6" t="e" cm="1">
        <f t="array" ref="K1241">LOOKUP(2^15,SEARCH(Tabela2[Palavras-Chave],Boletim[[#This Row],[Objeto]],1),Tabela2[Palavras-Chave])</f>
        <v>#N/A</v>
      </c>
    </row>
    <row r="1242" spans="1:11" ht="100.8" hidden="1" x14ac:dyDescent="0.3">
      <c r="A1242" s="5">
        <v>18810391</v>
      </c>
      <c r="B1242" s="6" t="s">
        <v>3112</v>
      </c>
      <c r="C1242" s="6" t="s">
        <v>123</v>
      </c>
      <c r="D1242" s="8" t="s">
        <v>67</v>
      </c>
      <c r="E1242" s="6" t="s">
        <v>721</v>
      </c>
      <c r="F1242" s="6" t="s">
        <v>85</v>
      </c>
      <c r="G1242" s="11" t="s">
        <v>56</v>
      </c>
      <c r="H1242" s="10" t="s">
        <v>3113</v>
      </c>
      <c r="I1242" s="6" t="s">
        <v>3114</v>
      </c>
      <c r="J1242" s="12">
        <v>46121.723680555559</v>
      </c>
      <c r="K1242" s="6" t="e" cm="1">
        <f t="array" ref="K1242">LOOKUP(2^15,SEARCH(Tabela2[Palavras-Chave],Boletim[[#This Row],[Objeto]],1),Tabela2[Palavras-Chave])</f>
        <v>#N/A</v>
      </c>
    </row>
    <row r="1243" spans="1:11" ht="100.8" hidden="1" x14ac:dyDescent="0.3">
      <c r="A1243" s="5">
        <v>18810400</v>
      </c>
      <c r="B1243" s="6" t="s">
        <v>3112</v>
      </c>
      <c r="C1243" s="6" t="s">
        <v>123</v>
      </c>
      <c r="D1243" s="8" t="s">
        <v>67</v>
      </c>
      <c r="E1243" s="6" t="s">
        <v>662</v>
      </c>
      <c r="F1243" s="6" t="s">
        <v>85</v>
      </c>
      <c r="G1243" s="11" t="s">
        <v>56</v>
      </c>
      <c r="H1243" s="10" t="s">
        <v>3115</v>
      </c>
      <c r="I1243" s="6" t="s">
        <v>3116</v>
      </c>
      <c r="J1243" s="12">
        <v>46121.742615740739</v>
      </c>
      <c r="K1243" s="6" t="e" cm="1">
        <f t="array" ref="K1243">LOOKUP(2^15,SEARCH(Tabela2[Palavras-Chave],Boletim[[#This Row],[Objeto]],1),Tabela2[Palavras-Chave])</f>
        <v>#N/A</v>
      </c>
    </row>
    <row r="1244" spans="1:11" ht="100.8" hidden="1" x14ac:dyDescent="0.3">
      <c r="A1244" s="5">
        <v>18810401</v>
      </c>
      <c r="B1244" s="6" t="s">
        <v>3112</v>
      </c>
      <c r="C1244" s="6" t="s">
        <v>123</v>
      </c>
      <c r="D1244" s="8" t="s">
        <v>67</v>
      </c>
      <c r="E1244" s="6" t="s">
        <v>3117</v>
      </c>
      <c r="F1244" s="6" t="s">
        <v>85</v>
      </c>
      <c r="G1244" s="11" t="s">
        <v>56</v>
      </c>
      <c r="H1244" s="10" t="s">
        <v>3118</v>
      </c>
      <c r="I1244" s="6" t="s">
        <v>3119</v>
      </c>
      <c r="J1244" s="12">
        <v>46121.742650462962</v>
      </c>
      <c r="K1244" s="6" t="e" cm="1">
        <f t="array" ref="K1244">LOOKUP(2^15,SEARCH(Tabela2[Palavras-Chave],Boletim[[#This Row],[Objeto]],1),Tabela2[Palavras-Chave])</f>
        <v>#N/A</v>
      </c>
    </row>
    <row r="1245" spans="1:11" ht="100.8" hidden="1" x14ac:dyDescent="0.3">
      <c r="A1245" s="5">
        <v>18810395</v>
      </c>
      <c r="B1245" s="6" t="s">
        <v>3112</v>
      </c>
      <c r="C1245" s="6" t="s">
        <v>123</v>
      </c>
      <c r="D1245" s="8" t="s">
        <v>67</v>
      </c>
      <c r="E1245" s="6" t="s">
        <v>3120</v>
      </c>
      <c r="F1245" s="6" t="s">
        <v>85</v>
      </c>
      <c r="G1245" s="11" t="s">
        <v>56</v>
      </c>
      <c r="H1245" s="10" t="s">
        <v>3121</v>
      </c>
      <c r="I1245" s="6" t="s">
        <v>3122</v>
      </c>
      <c r="J1245" s="12">
        <v>46121.838784722226</v>
      </c>
      <c r="K1245" s="6" t="e" cm="1">
        <f t="array" ref="K1245">LOOKUP(2^15,SEARCH(Tabela2[Palavras-Chave],Boletim[[#This Row],[Objeto]],1),Tabela2[Palavras-Chave])</f>
        <v>#N/A</v>
      </c>
    </row>
    <row r="1246" spans="1:11" ht="115.2" hidden="1" x14ac:dyDescent="0.3">
      <c r="A1246" s="5">
        <v>18810422</v>
      </c>
      <c r="B1246" s="6" t="s">
        <v>1712</v>
      </c>
      <c r="C1246" s="6" t="s">
        <v>123</v>
      </c>
      <c r="D1246" s="8" t="s">
        <v>67</v>
      </c>
      <c r="E1246" s="6" t="s">
        <v>112</v>
      </c>
      <c r="F1246" s="6" t="s">
        <v>85</v>
      </c>
      <c r="G1246" s="11" t="s">
        <v>56</v>
      </c>
      <c r="H1246" s="10" t="s">
        <v>1713</v>
      </c>
      <c r="I1246" s="6" t="s">
        <v>1714</v>
      </c>
      <c r="J1246" s="12">
        <v>46121.853784722225</v>
      </c>
      <c r="K1246" s="6" t="e" cm="1">
        <f t="array" ref="K1246">LOOKUP(2^15,SEARCH(Tabela2[Palavras-Chave],Boletim[[#This Row],[Objeto]],1),Tabela2[Palavras-Chave])</f>
        <v>#N/A</v>
      </c>
    </row>
    <row r="1247" spans="1:11" ht="100.8" hidden="1" x14ac:dyDescent="0.3">
      <c r="A1247" s="5">
        <v>18807445</v>
      </c>
      <c r="B1247" s="6" t="s">
        <v>74</v>
      </c>
      <c r="C1247" s="6" t="s">
        <v>111</v>
      </c>
      <c r="D1247" s="8" t="s">
        <v>91</v>
      </c>
      <c r="E1247" s="6" t="s">
        <v>1319</v>
      </c>
      <c r="F1247" s="6" t="s">
        <v>85</v>
      </c>
      <c r="G1247" s="11" t="s">
        <v>56</v>
      </c>
      <c r="H1247" s="10" t="s">
        <v>1320</v>
      </c>
      <c r="I1247" s="6" t="s">
        <v>1321</v>
      </c>
      <c r="J1247" s="12">
        <v>46121.447291666664</v>
      </c>
      <c r="K1247" s="6" t="e" cm="1">
        <f t="array" ref="K1247">LOOKUP(2^15,SEARCH(Tabela2[Palavras-Chave],Boletim[[#This Row],[Objeto]],1),Tabela2[Palavras-Chave])</f>
        <v>#N/A</v>
      </c>
    </row>
    <row r="1248" spans="1:11" ht="100.8" hidden="1" x14ac:dyDescent="0.3">
      <c r="A1248" s="5">
        <v>18807576</v>
      </c>
      <c r="B1248" s="6" t="s">
        <v>74</v>
      </c>
      <c r="C1248" s="6" t="s">
        <v>111</v>
      </c>
      <c r="D1248" s="8" t="s">
        <v>91</v>
      </c>
      <c r="E1248" s="6" t="s">
        <v>2972</v>
      </c>
      <c r="F1248" s="6" t="s">
        <v>85</v>
      </c>
      <c r="G1248" s="11" t="s">
        <v>56</v>
      </c>
      <c r="H1248" s="10" t="s">
        <v>2973</v>
      </c>
      <c r="I1248" s="6" t="s">
        <v>1321</v>
      </c>
      <c r="J1248" s="12">
        <v>46121.450069444443</v>
      </c>
      <c r="K1248" s="6" t="e" cm="1">
        <f t="array" ref="K1248">LOOKUP(2^15,SEARCH(Tabela2[Palavras-Chave],Boletim[[#This Row],[Objeto]],1),Tabela2[Palavras-Chave])</f>
        <v>#N/A</v>
      </c>
    </row>
    <row r="1249" spans="1:11" ht="259.2" hidden="1" x14ac:dyDescent="0.3">
      <c r="A1249" s="5">
        <v>18808479</v>
      </c>
      <c r="B1249" s="6" t="s">
        <v>1715</v>
      </c>
      <c r="C1249" s="6" t="s">
        <v>1716</v>
      </c>
      <c r="D1249" s="8" t="s">
        <v>91</v>
      </c>
      <c r="E1249" s="6" t="s">
        <v>124</v>
      </c>
      <c r="F1249" s="6" t="s">
        <v>85</v>
      </c>
      <c r="G1249" s="11" t="s">
        <v>56</v>
      </c>
      <c r="H1249" s="10" t="s">
        <v>1717</v>
      </c>
      <c r="I1249" s="6" t="s">
        <v>1718</v>
      </c>
      <c r="J1249" s="12">
        <v>46121.534050925926</v>
      </c>
      <c r="K1249" s="6" t="e" cm="1">
        <f t="array" ref="K1249">LOOKUP(2^15,SEARCH(Tabela2[Palavras-Chave],Boletim[[#This Row],[Objeto]],1),Tabela2[Palavras-Chave])</f>
        <v>#N/A</v>
      </c>
    </row>
    <row r="1250" spans="1:11" ht="172.8" hidden="1" x14ac:dyDescent="0.3">
      <c r="A1250" s="5">
        <v>18798053</v>
      </c>
      <c r="B1250" s="6" t="s">
        <v>661</v>
      </c>
      <c r="C1250" s="6" t="s">
        <v>111</v>
      </c>
      <c r="D1250" s="8" t="s">
        <v>91</v>
      </c>
      <c r="E1250" s="6" t="s">
        <v>722</v>
      </c>
      <c r="F1250" s="6" t="s">
        <v>85</v>
      </c>
      <c r="G1250" s="11">
        <v>46160.375</v>
      </c>
      <c r="H1250" s="10" t="s">
        <v>3123</v>
      </c>
      <c r="I1250" s="6" t="s">
        <v>3124</v>
      </c>
      <c r="J1250" s="12">
        <v>46121.587604166663</v>
      </c>
      <c r="K1250" s="6" t="e" cm="1">
        <f t="array" ref="K1250">LOOKUP(2^15,SEARCH(Tabela2[Palavras-Chave],Boletim[[#This Row],[Objeto]],1),Tabela2[Palavras-Chave])</f>
        <v>#N/A</v>
      </c>
    </row>
    <row r="1251" spans="1:11" ht="259.2" hidden="1" x14ac:dyDescent="0.3">
      <c r="A1251" s="5">
        <v>18809187</v>
      </c>
      <c r="B1251" s="6" t="s">
        <v>1719</v>
      </c>
      <c r="C1251" s="6" t="s">
        <v>1720</v>
      </c>
      <c r="D1251" s="8" t="s">
        <v>91</v>
      </c>
      <c r="E1251" s="6" t="s">
        <v>122</v>
      </c>
      <c r="F1251" s="6" t="s">
        <v>85</v>
      </c>
      <c r="G1251" s="11" t="s">
        <v>56</v>
      </c>
      <c r="H1251" s="10" t="s">
        <v>1721</v>
      </c>
      <c r="I1251" s="6" t="s">
        <v>1722</v>
      </c>
      <c r="J1251" s="12">
        <v>46121.612222222226</v>
      </c>
      <c r="K1251" s="6" t="e" cm="1">
        <f t="array" ref="K1251">LOOKUP(2^15,SEARCH(Tabela2[Palavras-Chave],Boletim[[#This Row],[Objeto]],1),Tabela2[Palavras-Chave])</f>
        <v>#N/A</v>
      </c>
    </row>
    <row r="1252" spans="1:11" ht="100.8" hidden="1" x14ac:dyDescent="0.3">
      <c r="A1252" s="5">
        <v>18810083</v>
      </c>
      <c r="B1252" s="6" t="s">
        <v>1723</v>
      </c>
      <c r="C1252" s="6" t="s">
        <v>1065</v>
      </c>
      <c r="D1252" s="8" t="s">
        <v>91</v>
      </c>
      <c r="E1252" s="6" t="s">
        <v>142</v>
      </c>
      <c r="F1252" s="6" t="s">
        <v>85</v>
      </c>
      <c r="G1252" s="11">
        <v>46139.375</v>
      </c>
      <c r="H1252" s="10" t="s">
        <v>1724</v>
      </c>
      <c r="I1252" s="6" t="s">
        <v>1725</v>
      </c>
      <c r="J1252" s="12">
        <v>46121.704965277779</v>
      </c>
      <c r="K1252" s="6" t="e" cm="1">
        <f t="array" ref="K1252">LOOKUP(2^15,SEARCH(Tabela2[Palavras-Chave],Boletim[[#This Row],[Objeto]],1),Tabela2[Palavras-Chave])</f>
        <v>#N/A</v>
      </c>
    </row>
    <row r="1253" spans="1:11" ht="259.2" hidden="1" x14ac:dyDescent="0.3">
      <c r="A1253" s="5">
        <v>18810291</v>
      </c>
      <c r="B1253" s="6" t="s">
        <v>1726</v>
      </c>
      <c r="C1253" s="6" t="s">
        <v>1727</v>
      </c>
      <c r="D1253" s="8" t="s">
        <v>91</v>
      </c>
      <c r="E1253" s="6" t="s">
        <v>135</v>
      </c>
      <c r="F1253" s="6" t="s">
        <v>85</v>
      </c>
      <c r="G1253" s="11" t="s">
        <v>56</v>
      </c>
      <c r="H1253" s="10" t="s">
        <v>1728</v>
      </c>
      <c r="I1253" s="6" t="s">
        <v>1729</v>
      </c>
      <c r="J1253" s="12">
        <v>46121.72552083333</v>
      </c>
      <c r="K1253" s="6" t="e" cm="1">
        <f t="array" ref="K1253">LOOKUP(2^15,SEARCH(Tabela2[Palavras-Chave],Boletim[[#This Row],[Objeto]],1),Tabela2[Palavras-Chave])</f>
        <v>#N/A</v>
      </c>
    </row>
    <row r="1254" spans="1:11" ht="115.2" hidden="1" x14ac:dyDescent="0.3">
      <c r="A1254" s="5">
        <v>18809959</v>
      </c>
      <c r="B1254" s="6" t="s">
        <v>1730</v>
      </c>
      <c r="C1254" s="6" t="s">
        <v>345</v>
      </c>
      <c r="D1254" s="8" t="s">
        <v>91</v>
      </c>
      <c r="E1254" s="6" t="s">
        <v>1731</v>
      </c>
      <c r="F1254" s="6" t="s">
        <v>85</v>
      </c>
      <c r="G1254" s="11" t="s">
        <v>56</v>
      </c>
      <c r="H1254" s="10" t="s">
        <v>1732</v>
      </c>
      <c r="I1254" s="6" t="s">
        <v>1733</v>
      </c>
      <c r="J1254" s="12">
        <v>46121.735717592594</v>
      </c>
      <c r="K1254" s="6" t="e" cm="1">
        <f t="array" ref="K1254">LOOKUP(2^15,SEARCH(Tabela2[Palavras-Chave],Boletim[[#This Row],[Objeto]],1),Tabela2[Palavras-Chave])</f>
        <v>#N/A</v>
      </c>
    </row>
    <row r="1255" spans="1:11" ht="259.2" hidden="1" x14ac:dyDescent="0.3">
      <c r="A1255" s="5">
        <v>18807063</v>
      </c>
      <c r="B1255" s="6" t="s">
        <v>452</v>
      </c>
      <c r="C1255" s="6" t="s">
        <v>453</v>
      </c>
      <c r="D1255" s="8" t="s">
        <v>91</v>
      </c>
      <c r="E1255" s="6" t="s">
        <v>106</v>
      </c>
      <c r="F1255" s="6" t="s">
        <v>85</v>
      </c>
      <c r="G1255" s="11" t="s">
        <v>56</v>
      </c>
      <c r="H1255" s="10" t="s">
        <v>1734</v>
      </c>
      <c r="I1255" s="6" t="s">
        <v>1735</v>
      </c>
      <c r="J1255" s="12">
        <v>46121.76358796296</v>
      </c>
      <c r="K1255" s="6" t="e" cm="1">
        <f t="array" ref="K1255">LOOKUP(2^15,SEARCH(Tabela2[Palavras-Chave],Boletim[[#This Row],[Objeto]],1),Tabela2[Palavras-Chave])</f>
        <v>#N/A</v>
      </c>
    </row>
    <row r="1256" spans="1:11" ht="115.2" hidden="1" x14ac:dyDescent="0.3">
      <c r="A1256" s="5">
        <v>18802016</v>
      </c>
      <c r="B1256" s="6" t="s">
        <v>459</v>
      </c>
      <c r="C1256" s="6" t="s">
        <v>458</v>
      </c>
      <c r="D1256" s="8" t="s">
        <v>68</v>
      </c>
      <c r="E1256" s="6" t="s">
        <v>117</v>
      </c>
      <c r="F1256" s="6" t="s">
        <v>85</v>
      </c>
      <c r="G1256" s="11">
        <v>46134.374305555553</v>
      </c>
      <c r="H1256" s="10" t="s">
        <v>460</v>
      </c>
      <c r="I1256" s="6" t="s">
        <v>461</v>
      </c>
      <c r="J1256" s="12">
        <v>46121.3987037037</v>
      </c>
      <c r="K1256" s="6" t="e" cm="1">
        <f t="array" ref="K1256">LOOKUP(2^15,SEARCH(Tabela2[Palavras-Chave],Boletim[[#This Row],[Objeto]],1),Tabela2[Palavras-Chave])</f>
        <v>#N/A</v>
      </c>
    </row>
    <row r="1257" spans="1:11" ht="100.8" hidden="1" x14ac:dyDescent="0.3">
      <c r="A1257" s="5">
        <v>18807446</v>
      </c>
      <c r="B1257" s="6" t="s">
        <v>74</v>
      </c>
      <c r="C1257" s="6" t="s">
        <v>130</v>
      </c>
      <c r="D1257" s="8" t="s">
        <v>68</v>
      </c>
      <c r="E1257" s="6" t="s">
        <v>1319</v>
      </c>
      <c r="F1257" s="6" t="s">
        <v>85</v>
      </c>
      <c r="G1257" s="11" t="s">
        <v>56</v>
      </c>
      <c r="H1257" s="10" t="s">
        <v>1320</v>
      </c>
      <c r="I1257" s="6" t="s">
        <v>1321</v>
      </c>
      <c r="J1257" s="12">
        <v>46121.447291666664</v>
      </c>
      <c r="K1257" s="6" t="e" cm="1">
        <f t="array" ref="K1257">LOOKUP(2^15,SEARCH(Tabela2[Palavras-Chave],Boletim[[#This Row],[Objeto]],1),Tabela2[Palavras-Chave])</f>
        <v>#N/A</v>
      </c>
    </row>
    <row r="1258" spans="1:11" ht="100.8" hidden="1" x14ac:dyDescent="0.3">
      <c r="A1258" s="5">
        <v>18807577</v>
      </c>
      <c r="B1258" s="6" t="s">
        <v>74</v>
      </c>
      <c r="C1258" s="6" t="s">
        <v>130</v>
      </c>
      <c r="D1258" s="8" t="s">
        <v>68</v>
      </c>
      <c r="E1258" s="6" t="s">
        <v>2972</v>
      </c>
      <c r="F1258" s="6" t="s">
        <v>85</v>
      </c>
      <c r="G1258" s="11" t="s">
        <v>56</v>
      </c>
      <c r="H1258" s="10" t="s">
        <v>2973</v>
      </c>
      <c r="I1258" s="6" t="s">
        <v>1321</v>
      </c>
      <c r="J1258" s="12">
        <v>46121.450069444443</v>
      </c>
      <c r="K1258" s="6" t="e" cm="1">
        <f t="array" ref="K1258">LOOKUP(2^15,SEARCH(Tabela2[Palavras-Chave],Boletim[[#This Row],[Objeto]],1),Tabela2[Palavras-Chave])</f>
        <v>#N/A</v>
      </c>
    </row>
    <row r="1259" spans="1:11" ht="57.6" hidden="1" x14ac:dyDescent="0.3">
      <c r="A1259" s="5">
        <v>18806394</v>
      </c>
      <c r="B1259" s="6" t="s">
        <v>663</v>
      </c>
      <c r="C1259" s="6" t="s">
        <v>664</v>
      </c>
      <c r="D1259" s="8" t="s">
        <v>68</v>
      </c>
      <c r="E1259" s="6" t="s">
        <v>135</v>
      </c>
      <c r="F1259" s="6" t="s">
        <v>85</v>
      </c>
      <c r="G1259" s="11">
        <v>46132.416666666664</v>
      </c>
      <c r="H1259" s="10" t="s">
        <v>665</v>
      </c>
      <c r="I1259" s="6" t="s">
        <v>666</v>
      </c>
      <c r="J1259" s="12">
        <v>46121.45076388889</v>
      </c>
      <c r="K1259" s="6" t="e" cm="1">
        <f t="array" ref="K1259">LOOKUP(2^15,SEARCH(Tabela2[Palavras-Chave],Boletim[[#This Row],[Objeto]],1),Tabela2[Palavras-Chave])</f>
        <v>#N/A</v>
      </c>
    </row>
    <row r="1260" spans="1:11" ht="144" x14ac:dyDescent="0.3">
      <c r="A1260" s="5">
        <v>18808523</v>
      </c>
      <c r="B1260" s="6" t="s">
        <v>1736</v>
      </c>
      <c r="C1260" s="6" t="s">
        <v>130</v>
      </c>
      <c r="D1260" s="8" t="s">
        <v>68</v>
      </c>
      <c r="E1260" s="6" t="s">
        <v>183</v>
      </c>
      <c r="F1260" s="6" t="s">
        <v>85</v>
      </c>
      <c r="G1260" s="11" t="s">
        <v>56</v>
      </c>
      <c r="H1260" s="10" t="s">
        <v>1737</v>
      </c>
      <c r="I1260" s="6" t="s">
        <v>1738</v>
      </c>
      <c r="J1260" s="12">
        <v>46121.753125000003</v>
      </c>
      <c r="K1260" s="6" t="str" cm="1">
        <f t="array" ref="K1260">LOOKUP(2^15,SEARCH(Tabela2[Palavras-Chave],Boletim[[#This Row],[Objeto]],1),Tabela2[Palavras-Chave])</f>
        <v>TANQUE</v>
      </c>
    </row>
    <row r="1261" spans="1:11" ht="57.6" hidden="1" x14ac:dyDescent="0.3">
      <c r="A1261" s="5">
        <v>18810223</v>
      </c>
      <c r="B1261" s="6" t="s">
        <v>1739</v>
      </c>
      <c r="C1261" s="6" t="s">
        <v>1740</v>
      </c>
      <c r="D1261" s="8" t="s">
        <v>68</v>
      </c>
      <c r="E1261" s="6" t="s">
        <v>1741</v>
      </c>
      <c r="F1261" s="6" t="s">
        <v>85</v>
      </c>
      <c r="G1261" s="11">
        <v>46132.375</v>
      </c>
      <c r="H1261" s="10" t="s">
        <v>1742</v>
      </c>
      <c r="I1261" s="6" t="s">
        <v>1743</v>
      </c>
      <c r="J1261" s="12">
        <v>46121.757361111115</v>
      </c>
      <c r="K1261" s="6" t="e" cm="1">
        <f t="array" ref="K1261">LOOKUP(2^15,SEARCH(Tabela2[Palavras-Chave],Boletim[[#This Row],[Objeto]],1),Tabela2[Palavras-Chave])</f>
        <v>#N/A</v>
      </c>
    </row>
    <row r="1262" spans="1:11" ht="100.8" hidden="1" x14ac:dyDescent="0.3">
      <c r="A1262" s="5">
        <v>18810506</v>
      </c>
      <c r="B1262" s="6" t="s">
        <v>462</v>
      </c>
      <c r="C1262" s="6" t="s">
        <v>463</v>
      </c>
      <c r="D1262" s="8" t="s">
        <v>68</v>
      </c>
      <c r="E1262" s="6" t="s">
        <v>390</v>
      </c>
      <c r="F1262" s="6" t="s">
        <v>85</v>
      </c>
      <c r="G1262" s="11">
        <v>46134.333333333336</v>
      </c>
      <c r="H1262" s="10" t="s">
        <v>1744</v>
      </c>
      <c r="I1262" s="6" t="s">
        <v>1745</v>
      </c>
      <c r="J1262" s="12">
        <v>46121.765393518515</v>
      </c>
      <c r="K1262" s="6" t="e" cm="1">
        <f t="array" ref="K1262">LOOKUP(2^15,SEARCH(Tabela2[Palavras-Chave],Boletim[[#This Row],[Objeto]],1),Tabela2[Palavras-Chave])</f>
        <v>#N/A</v>
      </c>
    </row>
    <row r="1263" spans="1:11" ht="100.8" hidden="1" x14ac:dyDescent="0.3">
      <c r="A1263" s="5">
        <v>18807418</v>
      </c>
      <c r="B1263" s="6" t="s">
        <v>1746</v>
      </c>
      <c r="C1263" s="6" t="s">
        <v>1747</v>
      </c>
      <c r="D1263" s="8" t="s">
        <v>92</v>
      </c>
      <c r="E1263" s="6" t="s">
        <v>149</v>
      </c>
      <c r="F1263" s="6" t="s">
        <v>85</v>
      </c>
      <c r="G1263" s="11">
        <v>46135.583333333336</v>
      </c>
      <c r="H1263" s="10" t="s">
        <v>1748</v>
      </c>
      <c r="I1263" s="6" t="s">
        <v>1749</v>
      </c>
      <c r="J1263" s="12">
        <v>46121.444490740738</v>
      </c>
      <c r="K1263" s="6" t="e" cm="1">
        <f t="array" ref="K1263">LOOKUP(2^15,SEARCH(Tabela2[Palavras-Chave],Boletim[[#This Row],[Objeto]],1),Tabela2[Palavras-Chave])</f>
        <v>#N/A</v>
      </c>
    </row>
    <row r="1264" spans="1:11" ht="100.8" hidden="1" x14ac:dyDescent="0.3">
      <c r="A1264" s="5">
        <v>18807448</v>
      </c>
      <c r="B1264" s="6" t="s">
        <v>74</v>
      </c>
      <c r="C1264" s="6" t="s">
        <v>100</v>
      </c>
      <c r="D1264" s="8" t="s">
        <v>92</v>
      </c>
      <c r="E1264" s="6" t="s">
        <v>1319</v>
      </c>
      <c r="F1264" s="6" t="s">
        <v>85</v>
      </c>
      <c r="G1264" s="11" t="s">
        <v>56</v>
      </c>
      <c r="H1264" s="10" t="s">
        <v>1320</v>
      </c>
      <c r="I1264" s="6" t="s">
        <v>1321</v>
      </c>
      <c r="J1264" s="12">
        <v>46121.44730324074</v>
      </c>
      <c r="K1264" s="6" t="e" cm="1">
        <f t="array" ref="K1264">LOOKUP(2^15,SEARCH(Tabela2[Palavras-Chave],Boletim[[#This Row],[Objeto]],1),Tabela2[Palavras-Chave])</f>
        <v>#N/A</v>
      </c>
    </row>
    <row r="1265" spans="1:11" ht="100.8" hidden="1" x14ac:dyDescent="0.3">
      <c r="A1265" s="5">
        <v>18807389</v>
      </c>
      <c r="B1265" s="6" t="s">
        <v>1750</v>
      </c>
      <c r="C1265" s="6" t="s">
        <v>1751</v>
      </c>
      <c r="D1265" s="8" t="s">
        <v>92</v>
      </c>
      <c r="E1265" s="6" t="s">
        <v>127</v>
      </c>
      <c r="F1265" s="6" t="s">
        <v>85</v>
      </c>
      <c r="G1265" s="11">
        <v>46141.332638888889</v>
      </c>
      <c r="H1265" s="10" t="s">
        <v>1752</v>
      </c>
      <c r="I1265" s="6" t="s">
        <v>1753</v>
      </c>
      <c r="J1265" s="12">
        <v>46121.444664351853</v>
      </c>
      <c r="K1265" s="6" t="e" cm="1">
        <f t="array" ref="K1265">LOOKUP(2^15,SEARCH(Tabela2[Palavras-Chave],Boletim[[#This Row],[Objeto]],1),Tabela2[Palavras-Chave])</f>
        <v>#N/A</v>
      </c>
    </row>
    <row r="1266" spans="1:11" ht="100.8" hidden="1" x14ac:dyDescent="0.3">
      <c r="A1266" s="5">
        <v>18807578</v>
      </c>
      <c r="B1266" s="6" t="s">
        <v>74</v>
      </c>
      <c r="C1266" s="6" t="s">
        <v>100</v>
      </c>
      <c r="D1266" s="8" t="s">
        <v>92</v>
      </c>
      <c r="E1266" s="6" t="s">
        <v>2972</v>
      </c>
      <c r="F1266" s="6" t="s">
        <v>85</v>
      </c>
      <c r="G1266" s="11" t="s">
        <v>56</v>
      </c>
      <c r="H1266" s="10" t="s">
        <v>2973</v>
      </c>
      <c r="I1266" s="6" t="s">
        <v>1321</v>
      </c>
      <c r="J1266" s="12">
        <v>46121.45008101852</v>
      </c>
      <c r="K1266" s="6" t="e" cm="1">
        <f t="array" ref="K1266">LOOKUP(2^15,SEARCH(Tabela2[Palavras-Chave],Boletim[[#This Row],[Objeto]],1),Tabela2[Palavras-Chave])</f>
        <v>#N/A</v>
      </c>
    </row>
    <row r="1267" spans="1:11" ht="86.4" hidden="1" x14ac:dyDescent="0.3">
      <c r="A1267" s="5">
        <v>18804276</v>
      </c>
      <c r="B1267" s="6" t="s">
        <v>667</v>
      </c>
      <c r="C1267" s="6" t="s">
        <v>668</v>
      </c>
      <c r="D1267" s="8" t="s">
        <v>92</v>
      </c>
      <c r="E1267" s="6" t="s">
        <v>120</v>
      </c>
      <c r="F1267" s="6" t="s">
        <v>85</v>
      </c>
      <c r="G1267" s="11" t="s">
        <v>56</v>
      </c>
      <c r="H1267" s="10" t="s">
        <v>669</v>
      </c>
      <c r="I1267" s="6" t="s">
        <v>670</v>
      </c>
      <c r="J1267" s="12">
        <v>46121.450775462959</v>
      </c>
      <c r="K1267" s="6" t="e" cm="1">
        <f t="array" ref="K1267">LOOKUP(2^15,SEARCH(Tabela2[Palavras-Chave],Boletim[[#This Row],[Objeto]],1),Tabela2[Palavras-Chave])</f>
        <v>#N/A</v>
      </c>
    </row>
    <row r="1268" spans="1:11" ht="86.4" hidden="1" x14ac:dyDescent="0.3">
      <c r="A1268" s="5">
        <v>18806911</v>
      </c>
      <c r="B1268" s="6" t="s">
        <v>1754</v>
      </c>
      <c r="C1268" s="6" t="s">
        <v>1755</v>
      </c>
      <c r="D1268" s="8" t="s">
        <v>92</v>
      </c>
      <c r="E1268" s="6" t="s">
        <v>142</v>
      </c>
      <c r="F1268" s="6" t="s">
        <v>85</v>
      </c>
      <c r="G1268" s="11" t="s">
        <v>56</v>
      </c>
      <c r="H1268" s="10" t="s">
        <v>1756</v>
      </c>
      <c r="I1268" s="6" t="s">
        <v>1757</v>
      </c>
      <c r="J1268" s="12">
        <v>46121.48065972222</v>
      </c>
      <c r="K1268" s="6" t="e" cm="1">
        <f t="array" ref="K1268">LOOKUP(2^15,SEARCH(Tabela2[Palavras-Chave],Boletim[[#This Row],[Objeto]],1),Tabela2[Palavras-Chave])</f>
        <v>#N/A</v>
      </c>
    </row>
    <row r="1269" spans="1:11" ht="100.8" hidden="1" x14ac:dyDescent="0.3">
      <c r="A1269" s="5">
        <v>18807509</v>
      </c>
      <c r="B1269" s="6" t="s">
        <v>1758</v>
      </c>
      <c r="C1269" s="6" t="s">
        <v>1759</v>
      </c>
      <c r="D1269" s="8" t="s">
        <v>92</v>
      </c>
      <c r="E1269" s="6" t="s">
        <v>126</v>
      </c>
      <c r="F1269" s="6" t="s">
        <v>85</v>
      </c>
      <c r="G1269" s="11">
        <v>46134.4375</v>
      </c>
      <c r="H1269" s="10" t="s">
        <v>1760</v>
      </c>
      <c r="I1269" s="6" t="s">
        <v>1761</v>
      </c>
      <c r="J1269" s="12">
        <v>46121.486932870372</v>
      </c>
      <c r="K1269" s="6" t="e" cm="1">
        <f t="array" ref="K1269">LOOKUP(2^15,SEARCH(Tabela2[Palavras-Chave],Boletim[[#This Row],[Objeto]],1),Tabela2[Palavras-Chave])</f>
        <v>#N/A</v>
      </c>
    </row>
    <row r="1270" spans="1:11" ht="100.8" hidden="1" x14ac:dyDescent="0.3">
      <c r="A1270" s="5">
        <v>18809535</v>
      </c>
      <c r="B1270" s="6" t="s">
        <v>1762</v>
      </c>
      <c r="C1270" s="6" t="s">
        <v>1763</v>
      </c>
      <c r="D1270" s="8" t="s">
        <v>92</v>
      </c>
      <c r="E1270" s="6" t="s">
        <v>707</v>
      </c>
      <c r="F1270" s="6" t="s">
        <v>85</v>
      </c>
      <c r="G1270" s="11">
        <v>46139.375</v>
      </c>
      <c r="H1270" s="10" t="s">
        <v>1764</v>
      </c>
      <c r="I1270" s="6" t="s">
        <v>1765</v>
      </c>
      <c r="J1270" s="12">
        <v>46121.607789351852</v>
      </c>
      <c r="K1270" s="6" t="e" cm="1">
        <f t="array" ref="K1270">LOOKUP(2^15,SEARCH(Tabela2[Palavras-Chave],Boletim[[#This Row],[Objeto]],1),Tabela2[Palavras-Chave])</f>
        <v>#N/A</v>
      </c>
    </row>
    <row r="1271" spans="1:11" ht="129.6" hidden="1" x14ac:dyDescent="0.3">
      <c r="A1271" s="5">
        <v>18808833</v>
      </c>
      <c r="B1271" s="6" t="s">
        <v>1766</v>
      </c>
      <c r="C1271" s="6" t="s">
        <v>1767</v>
      </c>
      <c r="D1271" s="8" t="s">
        <v>92</v>
      </c>
      <c r="E1271" s="6" t="s">
        <v>140</v>
      </c>
      <c r="F1271" s="6" t="s">
        <v>85</v>
      </c>
      <c r="G1271" s="11" t="s">
        <v>56</v>
      </c>
      <c r="H1271" s="10" t="s">
        <v>1768</v>
      </c>
      <c r="I1271" s="6" t="s">
        <v>1769</v>
      </c>
      <c r="J1271" s="12">
        <v>46121.640219907407</v>
      </c>
      <c r="K1271" s="6" t="e" cm="1">
        <f t="array" ref="K1271">LOOKUP(2^15,SEARCH(Tabela2[Palavras-Chave],Boletim[[#This Row],[Objeto]],1),Tabela2[Palavras-Chave])</f>
        <v>#N/A</v>
      </c>
    </row>
    <row r="1272" spans="1:11" ht="100.8" hidden="1" x14ac:dyDescent="0.3">
      <c r="A1272" s="5">
        <v>18810087</v>
      </c>
      <c r="B1272" s="6" t="s">
        <v>1770</v>
      </c>
      <c r="C1272" s="6" t="s">
        <v>1771</v>
      </c>
      <c r="D1272" s="8" t="s">
        <v>92</v>
      </c>
      <c r="E1272" s="6" t="s">
        <v>142</v>
      </c>
      <c r="F1272" s="6" t="s">
        <v>85</v>
      </c>
      <c r="G1272" s="11">
        <v>46135.374305555553</v>
      </c>
      <c r="H1272" s="10" t="s">
        <v>1772</v>
      </c>
      <c r="I1272" s="6" t="s">
        <v>1773</v>
      </c>
      <c r="J1272" s="12">
        <v>46121.707245370373</v>
      </c>
      <c r="K1272" s="6" t="e" cm="1">
        <f t="array" ref="K1272">LOOKUP(2^15,SEARCH(Tabela2[Palavras-Chave],Boletim[[#This Row],[Objeto]],1),Tabela2[Palavras-Chave])</f>
        <v>#N/A</v>
      </c>
    </row>
    <row r="1273" spans="1:11" ht="129.6" hidden="1" x14ac:dyDescent="0.3">
      <c r="A1273" s="5">
        <v>18810024</v>
      </c>
      <c r="B1273" s="6" t="s">
        <v>232</v>
      </c>
      <c r="C1273" s="6" t="s">
        <v>100</v>
      </c>
      <c r="D1273" s="8" t="s">
        <v>92</v>
      </c>
      <c r="E1273" s="6" t="s">
        <v>2659</v>
      </c>
      <c r="F1273" s="6" t="s">
        <v>85</v>
      </c>
      <c r="G1273" s="11">
        <v>46148.333333333336</v>
      </c>
      <c r="H1273" s="10" t="s">
        <v>3125</v>
      </c>
      <c r="I1273" s="6" t="s">
        <v>3126</v>
      </c>
      <c r="J1273" s="12">
        <v>46121.717453703706</v>
      </c>
      <c r="K1273" s="6" t="e" cm="1">
        <f t="array" ref="K1273">LOOKUP(2^15,SEARCH(Tabela2[Palavras-Chave],Boletim[[#This Row],[Objeto]],1),Tabela2[Palavras-Chave])</f>
        <v>#N/A</v>
      </c>
    </row>
    <row r="1274" spans="1:11" ht="115.2" hidden="1" x14ac:dyDescent="0.3">
      <c r="A1274" s="5">
        <v>18809969</v>
      </c>
      <c r="B1274" s="6" t="s">
        <v>232</v>
      </c>
      <c r="C1274" s="6" t="s">
        <v>100</v>
      </c>
      <c r="D1274" s="8" t="s">
        <v>92</v>
      </c>
      <c r="E1274" s="6" t="s">
        <v>640</v>
      </c>
      <c r="F1274" s="6" t="s">
        <v>85</v>
      </c>
      <c r="G1274" s="11">
        <v>46154.333333333336</v>
      </c>
      <c r="H1274" s="10" t="s">
        <v>3127</v>
      </c>
      <c r="I1274" s="6" t="s">
        <v>3128</v>
      </c>
      <c r="J1274" s="12">
        <v>46121.717592592591</v>
      </c>
      <c r="K1274" s="6" t="e" cm="1">
        <f t="array" ref="K1274">LOOKUP(2^15,SEARCH(Tabela2[Palavras-Chave],Boletim[[#This Row],[Objeto]],1),Tabela2[Palavras-Chave])</f>
        <v>#N/A</v>
      </c>
    </row>
    <row r="1275" spans="1:11" ht="115.2" hidden="1" x14ac:dyDescent="0.3">
      <c r="A1275" s="5">
        <v>18809972</v>
      </c>
      <c r="B1275" s="6" t="s">
        <v>232</v>
      </c>
      <c r="C1275" s="6" t="s">
        <v>100</v>
      </c>
      <c r="D1275" s="8" t="s">
        <v>92</v>
      </c>
      <c r="E1275" s="6" t="s">
        <v>2240</v>
      </c>
      <c r="F1275" s="6" t="s">
        <v>85</v>
      </c>
      <c r="G1275" s="11">
        <v>46149.333333333336</v>
      </c>
      <c r="H1275" s="10" t="s">
        <v>3129</v>
      </c>
      <c r="I1275" s="6" t="s">
        <v>3130</v>
      </c>
      <c r="J1275" s="12">
        <v>46121.722858796296</v>
      </c>
      <c r="K1275" s="6" t="e" cm="1">
        <f t="array" ref="K1275">LOOKUP(2^15,SEARCH(Tabela2[Palavras-Chave],Boletim[[#This Row],[Objeto]],1),Tabela2[Palavras-Chave])</f>
        <v>#N/A</v>
      </c>
    </row>
    <row r="1276" spans="1:11" ht="115.2" x14ac:dyDescent="0.3">
      <c r="A1276" s="5">
        <v>18810025</v>
      </c>
      <c r="B1276" s="6" t="s">
        <v>232</v>
      </c>
      <c r="C1276" s="6" t="s">
        <v>100</v>
      </c>
      <c r="D1276" s="8" t="s">
        <v>92</v>
      </c>
      <c r="E1276" s="6" t="s">
        <v>1774</v>
      </c>
      <c r="F1276" s="6" t="s">
        <v>85</v>
      </c>
      <c r="G1276" s="11">
        <v>46149.333333333336</v>
      </c>
      <c r="H1276" s="10" t="s">
        <v>1775</v>
      </c>
      <c r="I1276" s="6" t="s">
        <v>1776</v>
      </c>
      <c r="J1276" s="12">
        <v>46121.732314814813</v>
      </c>
      <c r="K1276" s="6" t="str" cm="1">
        <f t="array" ref="K1276">LOOKUP(2^15,SEARCH(Tabela2[Palavras-Chave],Boletim[[#This Row],[Objeto]],1),Tabela2[Palavras-Chave])</f>
        <v>RESERVAT</v>
      </c>
    </row>
    <row r="1277" spans="1:11" ht="100.8" hidden="1" x14ac:dyDescent="0.3">
      <c r="A1277" s="5">
        <v>18810097</v>
      </c>
      <c r="B1277" s="6" t="s">
        <v>1777</v>
      </c>
      <c r="C1277" s="6" t="s">
        <v>1778</v>
      </c>
      <c r="D1277" s="8" t="s">
        <v>92</v>
      </c>
      <c r="E1277" s="6" t="s">
        <v>122</v>
      </c>
      <c r="F1277" s="6" t="s">
        <v>85</v>
      </c>
      <c r="G1277" s="11">
        <v>46134.333333333336</v>
      </c>
      <c r="H1277" s="10" t="s">
        <v>1779</v>
      </c>
      <c r="I1277" s="6" t="s">
        <v>1780</v>
      </c>
      <c r="J1277" s="12">
        <v>46121.754745370374</v>
      </c>
      <c r="K1277" s="6" t="e" cm="1">
        <f t="array" ref="K1277">LOOKUP(2^15,SEARCH(Tabela2[Palavras-Chave],Boletim[[#This Row],[Objeto]],1),Tabela2[Palavras-Chave])</f>
        <v>#N/A</v>
      </c>
    </row>
    <row r="1278" spans="1:11" ht="115.2" hidden="1" x14ac:dyDescent="0.3">
      <c r="A1278" s="5">
        <v>18804111</v>
      </c>
      <c r="B1278" s="6" t="s">
        <v>3131</v>
      </c>
      <c r="C1278" s="6" t="s">
        <v>3132</v>
      </c>
      <c r="D1278" s="8" t="s">
        <v>92</v>
      </c>
      <c r="E1278" s="6" t="s">
        <v>1731</v>
      </c>
      <c r="F1278" s="6" t="s">
        <v>85</v>
      </c>
      <c r="G1278" s="11">
        <v>46136.354166666664</v>
      </c>
      <c r="H1278" s="10" t="s">
        <v>3133</v>
      </c>
      <c r="I1278" s="6" t="s">
        <v>3134</v>
      </c>
      <c r="J1278" s="12">
        <v>46121.869074074071</v>
      </c>
      <c r="K1278" s="6" t="e" cm="1">
        <f t="array" ref="K1278">LOOKUP(2^15,SEARCH(Tabela2[Palavras-Chave],Boletim[[#This Row],[Objeto]],1),Tabela2[Palavras-Chave])</f>
        <v>#N/A</v>
      </c>
    </row>
    <row r="1279" spans="1:11" ht="158.4" hidden="1" x14ac:dyDescent="0.3">
      <c r="A1279" s="5">
        <v>18803438</v>
      </c>
      <c r="B1279" s="6" t="s">
        <v>276</v>
      </c>
      <c r="C1279" s="6" t="s">
        <v>69</v>
      </c>
      <c r="D1279" s="8" t="s">
        <v>70</v>
      </c>
      <c r="E1279" s="6" t="s">
        <v>262</v>
      </c>
      <c r="F1279" s="6" t="s">
        <v>85</v>
      </c>
      <c r="G1279" s="11">
        <v>46162.458333333336</v>
      </c>
      <c r="H1279" s="10" t="s">
        <v>673</v>
      </c>
      <c r="I1279" s="6" t="s">
        <v>674</v>
      </c>
      <c r="J1279" s="12">
        <v>46121.420868055553</v>
      </c>
      <c r="K1279" s="6" t="e" cm="1">
        <f t="array" ref="K1279">LOOKUP(2^15,SEARCH(Tabela2[Palavras-Chave],Boletim[[#This Row],[Objeto]],1),Tabela2[Palavras-Chave])</f>
        <v>#N/A</v>
      </c>
    </row>
    <row r="1280" spans="1:11" ht="100.8" hidden="1" x14ac:dyDescent="0.3">
      <c r="A1280" s="5">
        <v>18807449</v>
      </c>
      <c r="B1280" s="6" t="s">
        <v>74</v>
      </c>
      <c r="C1280" s="6" t="s">
        <v>69</v>
      </c>
      <c r="D1280" s="8" t="s">
        <v>70</v>
      </c>
      <c r="E1280" s="6" t="s">
        <v>1319</v>
      </c>
      <c r="F1280" s="6" t="s">
        <v>85</v>
      </c>
      <c r="G1280" s="11" t="s">
        <v>56</v>
      </c>
      <c r="H1280" s="10" t="s">
        <v>1320</v>
      </c>
      <c r="I1280" s="6" t="s">
        <v>1321</v>
      </c>
      <c r="J1280" s="12">
        <v>46121.44730324074</v>
      </c>
      <c r="K1280" s="6" t="e" cm="1">
        <f t="array" ref="K1280">LOOKUP(2^15,SEARCH(Tabela2[Palavras-Chave],Boletim[[#This Row],[Objeto]],1),Tabela2[Palavras-Chave])</f>
        <v>#N/A</v>
      </c>
    </row>
    <row r="1281" spans="1:11" ht="100.8" hidden="1" x14ac:dyDescent="0.3">
      <c r="A1281" s="5">
        <v>18807579</v>
      </c>
      <c r="B1281" s="6" t="s">
        <v>74</v>
      </c>
      <c r="C1281" s="6" t="s">
        <v>69</v>
      </c>
      <c r="D1281" s="8" t="s">
        <v>70</v>
      </c>
      <c r="E1281" s="6" t="s">
        <v>2972</v>
      </c>
      <c r="F1281" s="6" t="s">
        <v>85</v>
      </c>
      <c r="G1281" s="11" t="s">
        <v>56</v>
      </c>
      <c r="H1281" s="10" t="s">
        <v>2973</v>
      </c>
      <c r="I1281" s="6" t="s">
        <v>1321</v>
      </c>
      <c r="J1281" s="12">
        <v>46121.45008101852</v>
      </c>
      <c r="K1281" s="6" t="e" cm="1">
        <f t="array" ref="K1281">LOOKUP(2^15,SEARCH(Tabela2[Palavras-Chave],Boletim[[#This Row],[Objeto]],1),Tabela2[Palavras-Chave])</f>
        <v>#N/A</v>
      </c>
    </row>
    <row r="1282" spans="1:11" ht="259.2" hidden="1" x14ac:dyDescent="0.3">
      <c r="A1282" s="5">
        <v>18807132</v>
      </c>
      <c r="B1282" s="6" t="s">
        <v>1781</v>
      </c>
      <c r="C1282" s="6" t="s">
        <v>1782</v>
      </c>
      <c r="D1282" s="8" t="s">
        <v>70</v>
      </c>
      <c r="E1282" s="6" t="s">
        <v>148</v>
      </c>
      <c r="F1282" s="6" t="s">
        <v>85</v>
      </c>
      <c r="G1282" s="11" t="s">
        <v>56</v>
      </c>
      <c r="H1282" s="10" t="s">
        <v>1783</v>
      </c>
      <c r="I1282" s="6" t="s">
        <v>1784</v>
      </c>
      <c r="J1282" s="12">
        <v>46121.47320601852</v>
      </c>
      <c r="K1282" s="6" t="e" cm="1">
        <f t="array" ref="K1282">LOOKUP(2^15,SEARCH(Tabela2[Palavras-Chave],Boletim[[#This Row],[Objeto]],1),Tabela2[Palavras-Chave])</f>
        <v>#N/A</v>
      </c>
    </row>
    <row r="1283" spans="1:11" ht="144" x14ac:dyDescent="0.3">
      <c r="A1283" s="5">
        <v>18802437</v>
      </c>
      <c r="B1283" s="6" t="s">
        <v>465</v>
      </c>
      <c r="C1283" s="6" t="s">
        <v>69</v>
      </c>
      <c r="D1283" s="8" t="s">
        <v>70</v>
      </c>
      <c r="E1283" s="6" t="s">
        <v>466</v>
      </c>
      <c r="F1283" s="6" t="s">
        <v>85</v>
      </c>
      <c r="G1283" s="11">
        <v>46128.375</v>
      </c>
      <c r="H1283" s="10" t="s">
        <v>467</v>
      </c>
      <c r="I1283" s="6" t="s">
        <v>468</v>
      </c>
      <c r="J1283" s="12">
        <v>46121.552812499998</v>
      </c>
      <c r="K1283" s="6" t="str" cm="1">
        <f t="array" ref="K1283">LOOKUP(2^15,SEARCH(Tabela2[Palavras-Chave],Boletim[[#This Row],[Objeto]],1),Tabela2[Palavras-Chave])</f>
        <v>BOOSTER</v>
      </c>
    </row>
    <row r="1284" spans="1:11" ht="244.8" hidden="1" x14ac:dyDescent="0.3">
      <c r="A1284" s="5">
        <v>18809687</v>
      </c>
      <c r="B1284" s="6" t="s">
        <v>1785</v>
      </c>
      <c r="C1284" s="6" t="s">
        <v>1786</v>
      </c>
      <c r="D1284" s="8" t="s">
        <v>70</v>
      </c>
      <c r="E1284" s="6" t="s">
        <v>115</v>
      </c>
      <c r="F1284" s="6" t="s">
        <v>85</v>
      </c>
      <c r="G1284" s="11" t="s">
        <v>56</v>
      </c>
      <c r="H1284" s="10" t="s">
        <v>1787</v>
      </c>
      <c r="I1284" s="6" t="s">
        <v>1788</v>
      </c>
      <c r="J1284" s="12">
        <v>46121.623425925929</v>
      </c>
      <c r="K1284" s="6" t="e" cm="1">
        <f t="array" ref="K1284">LOOKUP(2^15,SEARCH(Tabela2[Palavras-Chave],Boletim[[#This Row],[Objeto]],1),Tabela2[Palavras-Chave])</f>
        <v>#N/A</v>
      </c>
    </row>
    <row r="1285" spans="1:11" ht="244.8" hidden="1" x14ac:dyDescent="0.3">
      <c r="A1285" s="5">
        <v>18807707</v>
      </c>
      <c r="B1285" s="6" t="s">
        <v>1789</v>
      </c>
      <c r="C1285" s="6" t="s">
        <v>1790</v>
      </c>
      <c r="D1285" s="8" t="s">
        <v>70</v>
      </c>
      <c r="E1285" s="6" t="s">
        <v>114</v>
      </c>
      <c r="F1285" s="6" t="s">
        <v>85</v>
      </c>
      <c r="G1285" s="11" t="s">
        <v>56</v>
      </c>
      <c r="H1285" s="10" t="s">
        <v>1791</v>
      </c>
      <c r="I1285" s="6" t="s">
        <v>1792</v>
      </c>
      <c r="J1285" s="12">
        <v>46121.695856481485</v>
      </c>
      <c r="K1285" s="6" t="e" cm="1">
        <f t="array" ref="K1285">LOOKUP(2^15,SEARCH(Tabela2[Palavras-Chave],Boletim[[#This Row],[Objeto]],1),Tabela2[Palavras-Chave])</f>
        <v>#N/A</v>
      </c>
    </row>
    <row r="1286" spans="1:11" ht="158.4" hidden="1" x14ac:dyDescent="0.3">
      <c r="A1286" s="5">
        <v>18808551</v>
      </c>
      <c r="B1286" s="6" t="s">
        <v>1793</v>
      </c>
      <c r="C1286" s="6" t="s">
        <v>1794</v>
      </c>
      <c r="D1286" s="8" t="s">
        <v>70</v>
      </c>
      <c r="E1286" s="6" t="s">
        <v>140</v>
      </c>
      <c r="F1286" s="6" t="s">
        <v>85</v>
      </c>
      <c r="G1286" s="11" t="s">
        <v>56</v>
      </c>
      <c r="H1286" s="10" t="s">
        <v>1795</v>
      </c>
      <c r="I1286" s="6" t="s">
        <v>1796</v>
      </c>
      <c r="J1286" s="12">
        <v>46121.699444444443</v>
      </c>
      <c r="K1286" s="6" t="e" cm="1">
        <f t="array" ref="K1286">LOOKUP(2^15,SEARCH(Tabela2[Palavras-Chave],Boletim[[#This Row],[Objeto]],1),Tabela2[Palavras-Chave])</f>
        <v>#N/A</v>
      </c>
    </row>
    <row r="1287" spans="1:11" ht="244.8" hidden="1" x14ac:dyDescent="0.3">
      <c r="A1287" s="5">
        <v>18809223</v>
      </c>
      <c r="B1287" s="6" t="s">
        <v>1797</v>
      </c>
      <c r="C1287" s="6" t="s">
        <v>1798</v>
      </c>
      <c r="D1287" s="8" t="s">
        <v>70</v>
      </c>
      <c r="E1287" s="6" t="s">
        <v>115</v>
      </c>
      <c r="F1287" s="6" t="s">
        <v>85</v>
      </c>
      <c r="G1287" s="11" t="s">
        <v>56</v>
      </c>
      <c r="H1287" s="10" t="s">
        <v>1799</v>
      </c>
      <c r="I1287" s="6" t="s">
        <v>1800</v>
      </c>
      <c r="J1287" s="12">
        <v>46121.703159722223</v>
      </c>
      <c r="K1287" s="6" t="e" cm="1">
        <f t="array" ref="K1287">LOOKUP(2^15,SEARCH(Tabela2[Palavras-Chave],Boletim[[#This Row],[Objeto]],1),Tabela2[Palavras-Chave])</f>
        <v>#N/A</v>
      </c>
    </row>
    <row r="1288" spans="1:11" ht="187.2" hidden="1" x14ac:dyDescent="0.3">
      <c r="A1288" s="5">
        <v>18803431</v>
      </c>
      <c r="B1288" s="6" t="s">
        <v>276</v>
      </c>
      <c r="C1288" s="6" t="s">
        <v>69</v>
      </c>
      <c r="D1288" s="8" t="s">
        <v>70</v>
      </c>
      <c r="E1288" s="6" t="s">
        <v>170</v>
      </c>
      <c r="F1288" s="6" t="s">
        <v>85</v>
      </c>
      <c r="G1288" s="11">
        <v>46156.458333333336</v>
      </c>
      <c r="H1288" s="10" t="s">
        <v>671</v>
      </c>
      <c r="I1288" s="6" t="s">
        <v>672</v>
      </c>
      <c r="J1288" s="12">
        <v>46121.720173611109</v>
      </c>
      <c r="K1288" s="6" t="e" cm="1">
        <f t="array" ref="K1288">LOOKUP(2^15,SEARCH(Tabela2[Palavras-Chave],Boletim[[#This Row],[Objeto]],1),Tabela2[Palavras-Chave])</f>
        <v>#N/A</v>
      </c>
    </row>
    <row r="1289" spans="1:11" ht="115.2" hidden="1" x14ac:dyDescent="0.3">
      <c r="A1289" s="5">
        <v>18807520</v>
      </c>
      <c r="B1289" s="6" t="s">
        <v>3135</v>
      </c>
      <c r="C1289" s="6" t="s">
        <v>3136</v>
      </c>
      <c r="D1289" s="8" t="s">
        <v>70</v>
      </c>
      <c r="E1289" s="6" t="s">
        <v>165</v>
      </c>
      <c r="F1289" s="6" t="s">
        <v>85</v>
      </c>
      <c r="G1289" s="11">
        <v>46134.3125</v>
      </c>
      <c r="H1289" s="10" t="s">
        <v>3137</v>
      </c>
      <c r="I1289" s="6" t="s">
        <v>3138</v>
      </c>
      <c r="J1289" s="12">
        <v>46121.720138888886</v>
      </c>
      <c r="K1289" s="6" t="e" cm="1">
        <f t="array" ref="K1289">LOOKUP(2^15,SEARCH(Tabela2[Palavras-Chave],Boletim[[#This Row],[Objeto]],1),Tabela2[Palavras-Chave])</f>
        <v>#N/A</v>
      </c>
    </row>
    <row r="1290" spans="1:11" ht="100.8" hidden="1" x14ac:dyDescent="0.3">
      <c r="A1290" s="5">
        <v>18807508</v>
      </c>
      <c r="B1290" s="6" t="s">
        <v>3139</v>
      </c>
      <c r="C1290" s="6" t="s">
        <v>3140</v>
      </c>
      <c r="D1290" s="8" t="s">
        <v>70</v>
      </c>
      <c r="E1290" s="6" t="s">
        <v>121</v>
      </c>
      <c r="F1290" s="6" t="s">
        <v>85</v>
      </c>
      <c r="G1290" s="11">
        <v>46134.416666666664</v>
      </c>
      <c r="H1290" s="10" t="s">
        <v>3141</v>
      </c>
      <c r="I1290" s="6" t="s">
        <v>3142</v>
      </c>
      <c r="J1290" s="12">
        <v>46121.720254629632</v>
      </c>
      <c r="K1290" s="6" t="e" cm="1">
        <f t="array" ref="K1290">LOOKUP(2^15,SEARCH(Tabela2[Palavras-Chave],Boletim[[#This Row],[Objeto]],1),Tabela2[Palavras-Chave])</f>
        <v>#N/A</v>
      </c>
    </row>
    <row r="1291" spans="1:11" ht="115.2" hidden="1" x14ac:dyDescent="0.3">
      <c r="A1291" s="5">
        <v>18809967</v>
      </c>
      <c r="B1291" s="6" t="s">
        <v>465</v>
      </c>
      <c r="C1291" s="6" t="s">
        <v>69</v>
      </c>
      <c r="D1291" s="8" t="s">
        <v>70</v>
      </c>
      <c r="E1291" s="6" t="s">
        <v>3143</v>
      </c>
      <c r="F1291" s="6" t="s">
        <v>85</v>
      </c>
      <c r="G1291" s="11">
        <v>46129.375</v>
      </c>
      <c r="H1291" s="10" t="s">
        <v>3144</v>
      </c>
      <c r="I1291" s="6" t="s">
        <v>3145</v>
      </c>
      <c r="J1291" s="12">
        <v>46121.785173611112</v>
      </c>
      <c r="K1291" s="6" t="e" cm="1">
        <f t="array" ref="K1291">LOOKUP(2^15,SEARCH(Tabela2[Palavras-Chave],Boletim[[#This Row],[Objeto]],1),Tabela2[Palavras-Chave])</f>
        <v>#N/A</v>
      </c>
    </row>
    <row r="1292" spans="1:11" ht="244.8" hidden="1" x14ac:dyDescent="0.3">
      <c r="A1292" s="5">
        <v>18811176</v>
      </c>
      <c r="B1292" s="6" t="s">
        <v>1801</v>
      </c>
      <c r="C1292" s="6" t="s">
        <v>1802</v>
      </c>
      <c r="D1292" s="8" t="s">
        <v>70</v>
      </c>
      <c r="E1292" s="6" t="s">
        <v>115</v>
      </c>
      <c r="F1292" s="6" t="s">
        <v>85</v>
      </c>
      <c r="G1292" s="11" t="s">
        <v>56</v>
      </c>
      <c r="H1292" s="10" t="s">
        <v>1803</v>
      </c>
      <c r="I1292" s="6" t="s">
        <v>1804</v>
      </c>
      <c r="J1292" s="12">
        <v>46121.79241898148</v>
      </c>
      <c r="K1292" s="6" t="e" cm="1">
        <f t="array" ref="K1292">LOOKUP(2^15,SEARCH(Tabela2[Palavras-Chave],Boletim[[#This Row],[Objeto]],1),Tabela2[Palavras-Chave])</f>
        <v>#N/A</v>
      </c>
    </row>
    <row r="1293" spans="1:11" ht="72" hidden="1" x14ac:dyDescent="0.3">
      <c r="A1293" s="5">
        <v>18811443</v>
      </c>
      <c r="B1293" s="6" t="s">
        <v>3146</v>
      </c>
      <c r="C1293" s="6" t="s">
        <v>3147</v>
      </c>
      <c r="D1293" s="8" t="s">
        <v>70</v>
      </c>
      <c r="E1293" s="6" t="s">
        <v>172</v>
      </c>
      <c r="F1293" s="6" t="s">
        <v>85</v>
      </c>
      <c r="G1293" s="11" t="s">
        <v>56</v>
      </c>
      <c r="H1293" s="10" t="s">
        <v>3148</v>
      </c>
      <c r="I1293" s="6" t="s">
        <v>3149</v>
      </c>
      <c r="J1293" s="12">
        <v>46121.872187499997</v>
      </c>
      <c r="K1293" s="6" t="e" cm="1">
        <f t="array" ref="K1293">LOOKUP(2^15,SEARCH(Tabela2[Palavras-Chave],Boletim[[#This Row],[Objeto]],1),Tabela2[Palavras-Chave])</f>
        <v>#N/A</v>
      </c>
    </row>
    <row r="1294" spans="1:11" ht="72" hidden="1" x14ac:dyDescent="0.3">
      <c r="A1294" s="5">
        <v>18790707</v>
      </c>
      <c r="B1294" s="6" t="s">
        <v>3150</v>
      </c>
      <c r="C1294" s="6" t="s">
        <v>3151</v>
      </c>
      <c r="D1294" s="8" t="s">
        <v>71</v>
      </c>
      <c r="E1294" s="6" t="s">
        <v>128</v>
      </c>
      <c r="F1294" s="6" t="s">
        <v>85</v>
      </c>
      <c r="G1294" s="11">
        <v>46132.333333333336</v>
      </c>
      <c r="H1294" s="10" t="s">
        <v>3152</v>
      </c>
      <c r="I1294" s="6" t="s">
        <v>3153</v>
      </c>
      <c r="J1294" s="12">
        <v>46121.389050925929</v>
      </c>
      <c r="K1294" s="6" t="e" cm="1">
        <f t="array" ref="K1294">LOOKUP(2^15,SEARCH(Tabela2[Palavras-Chave],Boletim[[#This Row],[Objeto]],1),Tabela2[Palavras-Chave])</f>
        <v>#N/A</v>
      </c>
    </row>
    <row r="1295" spans="1:11" ht="100.8" hidden="1" x14ac:dyDescent="0.3">
      <c r="A1295" s="5">
        <v>18807451</v>
      </c>
      <c r="B1295" s="6" t="s">
        <v>74</v>
      </c>
      <c r="C1295" s="6" t="s">
        <v>133</v>
      </c>
      <c r="D1295" s="8" t="s">
        <v>71</v>
      </c>
      <c r="E1295" s="6" t="s">
        <v>1319</v>
      </c>
      <c r="F1295" s="6" t="s">
        <v>85</v>
      </c>
      <c r="G1295" s="11" t="s">
        <v>56</v>
      </c>
      <c r="H1295" s="10" t="s">
        <v>1320</v>
      </c>
      <c r="I1295" s="6" t="s">
        <v>1321</v>
      </c>
      <c r="J1295" s="12">
        <v>46121.44730324074</v>
      </c>
      <c r="K1295" s="6" t="e" cm="1">
        <f t="array" ref="K1295">LOOKUP(2^15,SEARCH(Tabela2[Palavras-Chave],Boletim[[#This Row],[Objeto]],1),Tabela2[Palavras-Chave])</f>
        <v>#N/A</v>
      </c>
    </row>
    <row r="1296" spans="1:11" ht="100.8" hidden="1" x14ac:dyDescent="0.3">
      <c r="A1296" s="5">
        <v>18807580</v>
      </c>
      <c r="B1296" s="6" t="s">
        <v>74</v>
      </c>
      <c r="C1296" s="6" t="s">
        <v>133</v>
      </c>
      <c r="D1296" s="8" t="s">
        <v>71</v>
      </c>
      <c r="E1296" s="6" t="s">
        <v>2972</v>
      </c>
      <c r="F1296" s="6" t="s">
        <v>85</v>
      </c>
      <c r="G1296" s="11" t="s">
        <v>56</v>
      </c>
      <c r="H1296" s="10" t="s">
        <v>2973</v>
      </c>
      <c r="I1296" s="6" t="s">
        <v>1321</v>
      </c>
      <c r="J1296" s="12">
        <v>46121.45008101852</v>
      </c>
      <c r="K1296" s="6" t="e" cm="1">
        <f t="array" ref="K1296">LOOKUP(2^15,SEARCH(Tabela2[Palavras-Chave],Boletim[[#This Row],[Objeto]],1),Tabela2[Palavras-Chave])</f>
        <v>#N/A</v>
      </c>
    </row>
    <row r="1297" spans="1:11" ht="86.4" hidden="1" x14ac:dyDescent="0.3">
      <c r="A1297" s="5">
        <v>18806920</v>
      </c>
      <c r="B1297" s="6" t="s">
        <v>1805</v>
      </c>
      <c r="C1297" s="6" t="s">
        <v>1806</v>
      </c>
      <c r="D1297" s="8" t="s">
        <v>71</v>
      </c>
      <c r="E1297" s="6" t="s">
        <v>135</v>
      </c>
      <c r="F1297" s="6" t="s">
        <v>85</v>
      </c>
      <c r="G1297" s="11" t="s">
        <v>56</v>
      </c>
      <c r="H1297" s="10" t="s">
        <v>1807</v>
      </c>
      <c r="I1297" s="6" t="s">
        <v>1808</v>
      </c>
      <c r="J1297" s="12">
        <v>46121.455509259256</v>
      </c>
      <c r="K1297" s="6" t="e" cm="1">
        <f t="array" ref="K1297">LOOKUP(2^15,SEARCH(Tabela2[Palavras-Chave],Boletim[[#This Row],[Objeto]],1),Tabela2[Palavras-Chave])</f>
        <v>#N/A</v>
      </c>
    </row>
    <row r="1298" spans="1:11" ht="172.8" hidden="1" x14ac:dyDescent="0.3">
      <c r="A1298" s="5">
        <v>18803426</v>
      </c>
      <c r="B1298" s="6" t="s">
        <v>675</v>
      </c>
      <c r="C1298" s="6" t="s">
        <v>676</v>
      </c>
      <c r="D1298" s="8" t="s">
        <v>71</v>
      </c>
      <c r="E1298" s="6" t="s">
        <v>201</v>
      </c>
      <c r="F1298" s="6" t="s">
        <v>85</v>
      </c>
      <c r="G1298" s="11">
        <v>46136.416666666664</v>
      </c>
      <c r="H1298" s="10" t="s">
        <v>677</v>
      </c>
      <c r="I1298" s="6" t="s">
        <v>678</v>
      </c>
      <c r="J1298" s="12">
        <v>46121.461168981485</v>
      </c>
      <c r="K1298" s="6" t="e" cm="1">
        <f t="array" ref="K1298">LOOKUP(2^15,SEARCH(Tabela2[Palavras-Chave],Boletim[[#This Row],[Objeto]],1),Tabela2[Palavras-Chave])</f>
        <v>#N/A</v>
      </c>
    </row>
    <row r="1299" spans="1:11" ht="57.6" hidden="1" x14ac:dyDescent="0.3">
      <c r="A1299" s="5">
        <v>18807161</v>
      </c>
      <c r="B1299" s="6" t="s">
        <v>1809</v>
      </c>
      <c r="C1299" s="6" t="s">
        <v>1810</v>
      </c>
      <c r="D1299" s="8" t="s">
        <v>71</v>
      </c>
      <c r="E1299" s="6" t="s">
        <v>122</v>
      </c>
      <c r="F1299" s="6" t="s">
        <v>85</v>
      </c>
      <c r="G1299" s="11">
        <v>46134.375</v>
      </c>
      <c r="H1299" s="10" t="s">
        <v>1811</v>
      </c>
      <c r="I1299" s="6" t="s">
        <v>1812</v>
      </c>
      <c r="J1299" s="12">
        <v>46121.482546296298</v>
      </c>
      <c r="K1299" s="6" t="e" cm="1">
        <f t="array" ref="K1299">LOOKUP(2^15,SEARCH(Tabela2[Palavras-Chave],Boletim[[#This Row],[Objeto]],1),Tabela2[Palavras-Chave])</f>
        <v>#N/A</v>
      </c>
    </row>
    <row r="1300" spans="1:11" ht="115.2" hidden="1" x14ac:dyDescent="0.3">
      <c r="A1300" s="5">
        <v>18808409</v>
      </c>
      <c r="B1300" s="6" t="s">
        <v>1813</v>
      </c>
      <c r="C1300" s="6" t="s">
        <v>133</v>
      </c>
      <c r="D1300" s="8" t="s">
        <v>71</v>
      </c>
      <c r="E1300" s="6" t="s">
        <v>140</v>
      </c>
      <c r="F1300" s="6" t="s">
        <v>85</v>
      </c>
      <c r="G1300" s="11" t="s">
        <v>56</v>
      </c>
      <c r="H1300" s="10" t="s">
        <v>1814</v>
      </c>
      <c r="I1300" s="6" t="s">
        <v>1815</v>
      </c>
      <c r="J1300" s="12">
        <v>46121.538946759261</v>
      </c>
      <c r="K1300" s="6" t="e" cm="1">
        <f t="array" ref="K1300">LOOKUP(2^15,SEARCH(Tabela2[Palavras-Chave],Boletim[[#This Row],[Objeto]],1),Tabela2[Palavras-Chave])</f>
        <v>#N/A</v>
      </c>
    </row>
    <row r="1301" spans="1:11" ht="288" hidden="1" x14ac:dyDescent="0.3">
      <c r="A1301" s="5">
        <v>18809450</v>
      </c>
      <c r="B1301" s="6" t="s">
        <v>3154</v>
      </c>
      <c r="C1301" s="6" t="s">
        <v>133</v>
      </c>
      <c r="D1301" s="8" t="s">
        <v>71</v>
      </c>
      <c r="E1301" s="6" t="s">
        <v>679</v>
      </c>
      <c r="F1301" s="6" t="s">
        <v>85</v>
      </c>
      <c r="G1301" s="11">
        <v>46140.4375</v>
      </c>
      <c r="H1301" s="10" t="s">
        <v>3155</v>
      </c>
      <c r="I1301" s="6" t="s">
        <v>3156</v>
      </c>
      <c r="J1301" s="12">
        <v>46121.600972222222</v>
      </c>
      <c r="K1301" s="6" t="e" cm="1">
        <f t="array" ref="K1301">LOOKUP(2^15,SEARCH(Tabela2[Palavras-Chave],Boletim[[#This Row],[Objeto]],1),Tabela2[Palavras-Chave])</f>
        <v>#N/A</v>
      </c>
    </row>
    <row r="1302" spans="1:11" ht="100.8" hidden="1" x14ac:dyDescent="0.3">
      <c r="A1302" s="5">
        <v>18809385</v>
      </c>
      <c r="B1302" s="6" t="s">
        <v>1816</v>
      </c>
      <c r="C1302" s="6" t="s">
        <v>1817</v>
      </c>
      <c r="D1302" s="8" t="s">
        <v>71</v>
      </c>
      <c r="E1302" s="6" t="s">
        <v>109</v>
      </c>
      <c r="F1302" s="6" t="s">
        <v>85</v>
      </c>
      <c r="G1302" s="11">
        <v>46134.333333333336</v>
      </c>
      <c r="H1302" s="10" t="s">
        <v>1818</v>
      </c>
      <c r="I1302" s="6" t="s">
        <v>1819</v>
      </c>
      <c r="J1302" s="12">
        <v>46121.61645833333</v>
      </c>
      <c r="K1302" s="6" t="e" cm="1">
        <f t="array" ref="K1302">LOOKUP(2^15,SEARCH(Tabela2[Palavras-Chave],Boletim[[#This Row],[Objeto]],1),Tabela2[Palavras-Chave])</f>
        <v>#N/A</v>
      </c>
    </row>
    <row r="1303" spans="1:11" ht="345.6" hidden="1" x14ac:dyDescent="0.3">
      <c r="A1303" s="5">
        <v>18809651</v>
      </c>
      <c r="B1303" s="6" t="s">
        <v>1820</v>
      </c>
      <c r="C1303" s="6" t="s">
        <v>133</v>
      </c>
      <c r="D1303" s="8" t="s">
        <v>71</v>
      </c>
      <c r="E1303" s="6" t="s">
        <v>723</v>
      </c>
      <c r="F1303" s="6" t="s">
        <v>85</v>
      </c>
      <c r="G1303" s="11" t="s">
        <v>56</v>
      </c>
      <c r="H1303" s="10" t="s">
        <v>1821</v>
      </c>
      <c r="I1303" s="6" t="s">
        <v>1822</v>
      </c>
      <c r="J1303" s="12">
        <v>46121.617743055554</v>
      </c>
      <c r="K1303" s="6" t="e" cm="1">
        <f t="array" ref="K1303">LOOKUP(2^15,SEARCH(Tabela2[Palavras-Chave],Boletim[[#This Row],[Objeto]],1),Tabela2[Palavras-Chave])</f>
        <v>#N/A</v>
      </c>
    </row>
    <row r="1304" spans="1:11" ht="100.8" hidden="1" x14ac:dyDescent="0.3">
      <c r="A1304" s="5">
        <v>18809553</v>
      </c>
      <c r="B1304" s="6" t="s">
        <v>1823</v>
      </c>
      <c r="C1304" s="6" t="s">
        <v>1824</v>
      </c>
      <c r="D1304" s="8" t="s">
        <v>71</v>
      </c>
      <c r="E1304" s="6" t="s">
        <v>106</v>
      </c>
      <c r="F1304" s="6" t="s">
        <v>85</v>
      </c>
      <c r="G1304" s="11">
        <v>46134.375</v>
      </c>
      <c r="H1304" s="10" t="s">
        <v>1825</v>
      </c>
      <c r="I1304" s="6" t="s">
        <v>1826</v>
      </c>
      <c r="J1304" s="12">
        <v>46121.704155092593</v>
      </c>
      <c r="K1304" s="6" t="e" cm="1">
        <f t="array" ref="K1304">LOOKUP(2^15,SEARCH(Tabela2[Palavras-Chave],Boletim[[#This Row],[Objeto]],1),Tabela2[Palavras-Chave])</f>
        <v>#N/A</v>
      </c>
    </row>
    <row r="1305" spans="1:11" ht="57.6" hidden="1" x14ac:dyDescent="0.3">
      <c r="A1305" s="5">
        <v>18807622</v>
      </c>
      <c r="B1305" s="6" t="s">
        <v>2555</v>
      </c>
      <c r="C1305" s="6" t="s">
        <v>2556</v>
      </c>
      <c r="D1305" s="8" t="s">
        <v>71</v>
      </c>
      <c r="E1305" s="6" t="s">
        <v>199</v>
      </c>
      <c r="F1305" s="6" t="s">
        <v>85</v>
      </c>
      <c r="G1305" s="11">
        <v>46135.417361111111</v>
      </c>
      <c r="H1305" s="10" t="s">
        <v>3157</v>
      </c>
      <c r="I1305" s="6" t="s">
        <v>90</v>
      </c>
      <c r="J1305" s="12">
        <v>46121.722893518519</v>
      </c>
      <c r="K1305" s="6" t="e" cm="1">
        <f t="array" ref="K1305">LOOKUP(2^15,SEARCH(Tabela2[Palavras-Chave],Boletim[[#This Row],[Objeto]],1),Tabela2[Palavras-Chave])</f>
        <v>#N/A</v>
      </c>
    </row>
    <row r="1306" spans="1:11" ht="86.4" hidden="1" x14ac:dyDescent="0.3">
      <c r="A1306" s="5">
        <v>18809049</v>
      </c>
      <c r="B1306" s="6" t="s">
        <v>1827</v>
      </c>
      <c r="C1306" s="6" t="s">
        <v>1828</v>
      </c>
      <c r="D1306" s="8" t="s">
        <v>71</v>
      </c>
      <c r="E1306" s="6" t="s">
        <v>106</v>
      </c>
      <c r="F1306" s="6" t="s">
        <v>85</v>
      </c>
      <c r="G1306" s="11" t="s">
        <v>56</v>
      </c>
      <c r="H1306" s="10" t="s">
        <v>1829</v>
      </c>
      <c r="I1306" s="6" t="s">
        <v>1830</v>
      </c>
      <c r="J1306" s="12">
        <v>46121.725057870368</v>
      </c>
      <c r="K1306" s="6" t="e" cm="1">
        <f t="array" ref="K1306">LOOKUP(2^15,SEARCH(Tabela2[Palavras-Chave],Boletim[[#This Row],[Objeto]],1),Tabela2[Palavras-Chave])</f>
        <v>#N/A</v>
      </c>
    </row>
    <row r="1307" spans="1:11" ht="86.4" hidden="1" x14ac:dyDescent="0.3">
      <c r="A1307" s="5">
        <v>18809157</v>
      </c>
      <c r="B1307" s="6" t="s">
        <v>3158</v>
      </c>
      <c r="C1307" s="6" t="s">
        <v>3159</v>
      </c>
      <c r="D1307" s="8" t="s">
        <v>71</v>
      </c>
      <c r="E1307" s="6" t="s">
        <v>143</v>
      </c>
      <c r="F1307" s="6" t="s">
        <v>85</v>
      </c>
      <c r="G1307" s="11" t="s">
        <v>56</v>
      </c>
      <c r="H1307" s="10" t="s">
        <v>3160</v>
      </c>
      <c r="I1307" s="6" t="s">
        <v>3161</v>
      </c>
      <c r="J1307" s="12">
        <v>46121.724363425928</v>
      </c>
      <c r="K1307" s="6" t="e" cm="1">
        <f t="array" ref="K1307">LOOKUP(2^15,SEARCH(Tabela2[Palavras-Chave],Boletim[[#This Row],[Objeto]],1),Tabela2[Palavras-Chave])</f>
        <v>#N/A</v>
      </c>
    </row>
    <row r="1308" spans="1:11" ht="100.8" hidden="1" x14ac:dyDescent="0.3">
      <c r="A1308" s="5">
        <v>18809502</v>
      </c>
      <c r="B1308" s="6" t="s">
        <v>3162</v>
      </c>
      <c r="C1308" s="6" t="s">
        <v>3163</v>
      </c>
      <c r="D1308" s="8" t="s">
        <v>71</v>
      </c>
      <c r="E1308" s="6" t="s">
        <v>108</v>
      </c>
      <c r="F1308" s="6" t="s">
        <v>85</v>
      </c>
      <c r="G1308" s="11">
        <v>46136.333333333336</v>
      </c>
      <c r="H1308" s="10" t="s">
        <v>3164</v>
      </c>
      <c r="I1308" s="6" t="s">
        <v>3165</v>
      </c>
      <c r="J1308" s="12">
        <v>46121.741319444445</v>
      </c>
      <c r="K1308" s="6" t="e" cm="1">
        <f t="array" ref="K1308">LOOKUP(2^15,SEARCH(Tabela2[Palavras-Chave],Boletim[[#This Row],[Objeto]],1),Tabela2[Palavras-Chave])</f>
        <v>#N/A</v>
      </c>
    </row>
    <row r="1309" spans="1:11" ht="43.2" hidden="1" x14ac:dyDescent="0.3">
      <c r="A1309" s="5">
        <v>18807154</v>
      </c>
      <c r="B1309" s="6" t="s">
        <v>1809</v>
      </c>
      <c r="C1309" s="6" t="s">
        <v>1810</v>
      </c>
      <c r="D1309" s="8" t="s">
        <v>71</v>
      </c>
      <c r="E1309" s="6" t="s">
        <v>148</v>
      </c>
      <c r="F1309" s="6" t="s">
        <v>85</v>
      </c>
      <c r="G1309" s="11">
        <v>46136.333333333336</v>
      </c>
      <c r="H1309" s="10" t="s">
        <v>1831</v>
      </c>
      <c r="I1309" s="6" t="s">
        <v>1832</v>
      </c>
      <c r="J1309" s="12">
        <v>46121.742361111108</v>
      </c>
      <c r="K1309" s="6" t="e" cm="1">
        <f t="array" ref="K1309">LOOKUP(2^15,SEARCH(Tabela2[Palavras-Chave],Boletim[[#This Row],[Objeto]],1),Tabela2[Palavras-Chave])</f>
        <v>#N/A</v>
      </c>
    </row>
    <row r="1310" spans="1:11" ht="187.2" hidden="1" x14ac:dyDescent="0.3">
      <c r="A1310" s="5">
        <v>18810129</v>
      </c>
      <c r="B1310" s="6" t="s">
        <v>3166</v>
      </c>
      <c r="C1310" s="6" t="s">
        <v>3167</v>
      </c>
      <c r="D1310" s="8" t="s">
        <v>71</v>
      </c>
      <c r="E1310" s="6" t="s">
        <v>149</v>
      </c>
      <c r="F1310" s="6" t="s">
        <v>85</v>
      </c>
      <c r="G1310" s="11">
        <v>46146.4375</v>
      </c>
      <c r="H1310" s="10" t="s">
        <v>3168</v>
      </c>
      <c r="I1310" s="6" t="s">
        <v>3169</v>
      </c>
      <c r="J1310" s="12">
        <v>46121.781261574077</v>
      </c>
      <c r="K1310" s="6" t="e" cm="1">
        <f t="array" ref="K1310">LOOKUP(2^15,SEARCH(Tabela2[Palavras-Chave],Boletim[[#This Row],[Objeto]],1),Tabela2[Palavras-Chave])</f>
        <v>#N/A</v>
      </c>
    </row>
    <row r="1311" spans="1:11" ht="43.2" hidden="1" x14ac:dyDescent="0.3">
      <c r="A1311" s="5">
        <v>18811439</v>
      </c>
      <c r="B1311" s="6" t="s">
        <v>3170</v>
      </c>
      <c r="C1311" s="6" t="s">
        <v>3171</v>
      </c>
      <c r="D1311" s="8" t="s">
        <v>71</v>
      </c>
      <c r="E1311" s="6" t="s">
        <v>122</v>
      </c>
      <c r="F1311" s="6" t="s">
        <v>85</v>
      </c>
      <c r="G1311" s="11">
        <v>46134.333333333336</v>
      </c>
      <c r="H1311" s="10" t="s">
        <v>3172</v>
      </c>
      <c r="I1311" s="6" t="s">
        <v>90</v>
      </c>
      <c r="J1311" s="12">
        <v>46121.859583333331</v>
      </c>
      <c r="K1311" s="6" t="e" cm="1">
        <f t="array" ref="K1311">LOOKUP(2^15,SEARCH(Tabela2[Palavras-Chave],Boletim[[#This Row],[Objeto]],1),Tabela2[Palavras-Chave])</f>
        <v>#N/A</v>
      </c>
    </row>
    <row r="1312" spans="1:11" ht="57.6" hidden="1" x14ac:dyDescent="0.3">
      <c r="A1312" s="5">
        <v>18803991</v>
      </c>
      <c r="B1312" s="6" t="s">
        <v>680</v>
      </c>
      <c r="C1312" s="6" t="s">
        <v>681</v>
      </c>
      <c r="D1312" s="8" t="s">
        <v>72</v>
      </c>
      <c r="E1312" s="6" t="s">
        <v>128</v>
      </c>
      <c r="F1312" s="6" t="s">
        <v>85</v>
      </c>
      <c r="G1312" s="11">
        <v>46135.375</v>
      </c>
      <c r="H1312" s="10" t="s">
        <v>682</v>
      </c>
      <c r="I1312" s="6" t="s">
        <v>683</v>
      </c>
      <c r="J1312" s="12">
        <v>46121.388321759259</v>
      </c>
      <c r="K1312" s="6" t="e" cm="1">
        <f t="array" ref="K1312">LOOKUP(2^15,SEARCH(Tabela2[Palavras-Chave],Boletim[[#This Row],[Objeto]],1),Tabela2[Palavras-Chave])</f>
        <v>#N/A</v>
      </c>
    </row>
    <row r="1313" spans="1:11" ht="100.8" hidden="1" x14ac:dyDescent="0.3">
      <c r="A1313" s="5">
        <v>18805219</v>
      </c>
      <c r="B1313" s="6" t="s">
        <v>243</v>
      </c>
      <c r="C1313" s="6" t="s">
        <v>244</v>
      </c>
      <c r="D1313" s="8" t="s">
        <v>72</v>
      </c>
      <c r="E1313" s="6" t="s">
        <v>474</v>
      </c>
      <c r="F1313" s="6" t="s">
        <v>85</v>
      </c>
      <c r="G1313" s="11" t="s">
        <v>56</v>
      </c>
      <c r="H1313" s="10" t="s">
        <v>475</v>
      </c>
      <c r="I1313" s="6" t="s">
        <v>476</v>
      </c>
      <c r="J1313" s="12">
        <v>46121.388344907406</v>
      </c>
      <c r="K1313" s="6" t="e" cm="1">
        <f t="array" ref="K1313">LOOKUP(2^15,SEARCH(Tabela2[Palavras-Chave],Boletim[[#This Row],[Objeto]],1),Tabela2[Palavras-Chave])</f>
        <v>#N/A</v>
      </c>
    </row>
    <row r="1314" spans="1:11" ht="57.6" hidden="1" x14ac:dyDescent="0.3">
      <c r="A1314" s="5">
        <v>18804689</v>
      </c>
      <c r="B1314" s="6" t="s">
        <v>684</v>
      </c>
      <c r="C1314" s="6" t="s">
        <v>685</v>
      </c>
      <c r="D1314" s="8" t="s">
        <v>72</v>
      </c>
      <c r="E1314" s="6" t="s">
        <v>113</v>
      </c>
      <c r="F1314" s="6" t="s">
        <v>85</v>
      </c>
      <c r="G1314" s="11">
        <v>46141.375694444447</v>
      </c>
      <c r="H1314" s="10" t="s">
        <v>686</v>
      </c>
      <c r="I1314" s="6" t="s">
        <v>90</v>
      </c>
      <c r="J1314" s="12">
        <v>46121.389050925929</v>
      </c>
      <c r="K1314" s="6" t="e" cm="1">
        <f t="array" ref="K1314">LOOKUP(2^15,SEARCH(Tabela2[Palavras-Chave],Boletim[[#This Row],[Objeto]],1),Tabela2[Palavras-Chave])</f>
        <v>#N/A</v>
      </c>
    </row>
    <row r="1315" spans="1:11" ht="144" hidden="1" x14ac:dyDescent="0.3">
      <c r="A1315" s="5">
        <v>18807358</v>
      </c>
      <c r="B1315" s="6" t="s">
        <v>156</v>
      </c>
      <c r="C1315" s="6" t="s">
        <v>73</v>
      </c>
      <c r="D1315" s="8" t="s">
        <v>72</v>
      </c>
      <c r="E1315" s="6" t="s">
        <v>3173</v>
      </c>
      <c r="F1315" s="6" t="s">
        <v>85</v>
      </c>
      <c r="G1315" s="11">
        <v>46153.416666666664</v>
      </c>
      <c r="H1315" s="10" t="s">
        <v>3174</v>
      </c>
      <c r="I1315" s="6" t="s">
        <v>3175</v>
      </c>
      <c r="J1315" s="12">
        <v>46121.437372685185</v>
      </c>
      <c r="K1315" s="6" t="e" cm="1">
        <f t="array" ref="K1315">LOOKUP(2^15,SEARCH(Tabela2[Palavras-Chave],Boletim[[#This Row],[Objeto]],1),Tabela2[Palavras-Chave])</f>
        <v>#N/A</v>
      </c>
    </row>
    <row r="1316" spans="1:11" ht="144" hidden="1" x14ac:dyDescent="0.3">
      <c r="A1316" s="5">
        <v>18807350</v>
      </c>
      <c r="B1316" s="6" t="s">
        <v>156</v>
      </c>
      <c r="C1316" s="6" t="s">
        <v>73</v>
      </c>
      <c r="D1316" s="8" t="s">
        <v>72</v>
      </c>
      <c r="E1316" s="6" t="s">
        <v>3176</v>
      </c>
      <c r="F1316" s="6" t="s">
        <v>85</v>
      </c>
      <c r="G1316" s="11">
        <v>46149.416666666664</v>
      </c>
      <c r="H1316" s="10" t="s">
        <v>3177</v>
      </c>
      <c r="I1316" s="6" t="s">
        <v>3178</v>
      </c>
      <c r="J1316" s="12">
        <v>46121.4377662037</v>
      </c>
      <c r="K1316" s="6" t="e" cm="1">
        <f t="array" ref="K1316">LOOKUP(2^15,SEARCH(Tabela2[Palavras-Chave],Boletim[[#This Row],[Objeto]],1),Tabela2[Palavras-Chave])</f>
        <v>#N/A</v>
      </c>
    </row>
    <row r="1317" spans="1:11" ht="86.4" hidden="1" x14ac:dyDescent="0.3">
      <c r="A1317" s="5">
        <v>18807348</v>
      </c>
      <c r="B1317" s="6" t="s">
        <v>156</v>
      </c>
      <c r="C1317" s="6" t="s">
        <v>73</v>
      </c>
      <c r="D1317" s="8" t="s">
        <v>72</v>
      </c>
      <c r="E1317" s="6" t="s">
        <v>1833</v>
      </c>
      <c r="F1317" s="6" t="s">
        <v>85</v>
      </c>
      <c r="G1317" s="11">
        <v>46139.375</v>
      </c>
      <c r="H1317" s="10" t="s">
        <v>1834</v>
      </c>
      <c r="I1317" s="6" t="s">
        <v>1835</v>
      </c>
      <c r="J1317" s="12">
        <v>46121.4378125</v>
      </c>
      <c r="K1317" s="6" t="e" cm="1">
        <f t="array" ref="K1317">LOOKUP(2^15,SEARCH(Tabela2[Palavras-Chave],Boletim[[#This Row],[Objeto]],1),Tabela2[Palavras-Chave])</f>
        <v>#N/A</v>
      </c>
    </row>
    <row r="1318" spans="1:11" ht="100.8" hidden="1" x14ac:dyDescent="0.3">
      <c r="A1318" s="5">
        <v>18807452</v>
      </c>
      <c r="B1318" s="6" t="s">
        <v>74</v>
      </c>
      <c r="C1318" s="6" t="s">
        <v>73</v>
      </c>
      <c r="D1318" s="8" t="s">
        <v>72</v>
      </c>
      <c r="E1318" s="6" t="s">
        <v>1319</v>
      </c>
      <c r="F1318" s="6" t="s">
        <v>85</v>
      </c>
      <c r="G1318" s="11" t="s">
        <v>56</v>
      </c>
      <c r="H1318" s="10" t="s">
        <v>1320</v>
      </c>
      <c r="I1318" s="6" t="s">
        <v>1321</v>
      </c>
      <c r="J1318" s="12">
        <v>46121.44730324074</v>
      </c>
      <c r="K1318" s="6" t="e" cm="1">
        <f t="array" ref="K1318">LOOKUP(2^15,SEARCH(Tabela2[Palavras-Chave],Boletim[[#This Row],[Objeto]],1),Tabela2[Palavras-Chave])</f>
        <v>#N/A</v>
      </c>
    </row>
    <row r="1319" spans="1:11" ht="100.8" hidden="1" x14ac:dyDescent="0.3">
      <c r="A1319" s="5">
        <v>18807581</v>
      </c>
      <c r="B1319" s="6" t="s">
        <v>74</v>
      </c>
      <c r="C1319" s="6" t="s">
        <v>73</v>
      </c>
      <c r="D1319" s="8" t="s">
        <v>72</v>
      </c>
      <c r="E1319" s="6" t="s">
        <v>2972</v>
      </c>
      <c r="F1319" s="6" t="s">
        <v>85</v>
      </c>
      <c r="G1319" s="11" t="s">
        <v>56</v>
      </c>
      <c r="H1319" s="10" t="s">
        <v>2973</v>
      </c>
      <c r="I1319" s="6" t="s">
        <v>1321</v>
      </c>
      <c r="J1319" s="12">
        <v>46121.45008101852</v>
      </c>
      <c r="K1319" s="6" t="e" cm="1">
        <f t="array" ref="K1319">LOOKUP(2^15,SEARCH(Tabela2[Palavras-Chave],Boletim[[#This Row],[Objeto]],1),Tabela2[Palavras-Chave])</f>
        <v>#N/A</v>
      </c>
    </row>
    <row r="1320" spans="1:11" ht="86.4" hidden="1" x14ac:dyDescent="0.3">
      <c r="A1320" s="5">
        <v>18807349</v>
      </c>
      <c r="B1320" s="6" t="s">
        <v>156</v>
      </c>
      <c r="C1320" s="6" t="s">
        <v>73</v>
      </c>
      <c r="D1320" s="8" t="s">
        <v>72</v>
      </c>
      <c r="E1320" s="6" t="s">
        <v>3179</v>
      </c>
      <c r="F1320" s="6" t="s">
        <v>85</v>
      </c>
      <c r="G1320" s="11">
        <v>46139.375</v>
      </c>
      <c r="H1320" s="10" t="s">
        <v>3180</v>
      </c>
      <c r="I1320" s="6" t="s">
        <v>1835</v>
      </c>
      <c r="J1320" s="12">
        <v>46121.453703703701</v>
      </c>
      <c r="K1320" s="6" t="e" cm="1">
        <f t="array" ref="K1320">LOOKUP(2^15,SEARCH(Tabela2[Palavras-Chave],Boletim[[#This Row],[Objeto]],1),Tabela2[Palavras-Chave])</f>
        <v>#N/A</v>
      </c>
    </row>
    <row r="1321" spans="1:11" ht="86.4" hidden="1" x14ac:dyDescent="0.3">
      <c r="A1321" s="5">
        <v>18806914</v>
      </c>
      <c r="B1321" s="6" t="s">
        <v>1836</v>
      </c>
      <c r="C1321" s="6" t="s">
        <v>73</v>
      </c>
      <c r="D1321" s="8" t="s">
        <v>72</v>
      </c>
      <c r="E1321" s="6" t="s">
        <v>148</v>
      </c>
      <c r="F1321" s="6" t="s">
        <v>85</v>
      </c>
      <c r="G1321" s="11" t="s">
        <v>56</v>
      </c>
      <c r="H1321" s="10" t="s">
        <v>1837</v>
      </c>
      <c r="I1321" s="6" t="s">
        <v>1838</v>
      </c>
      <c r="J1321" s="12">
        <v>46121.454305555555</v>
      </c>
      <c r="K1321" s="6" t="e" cm="1">
        <f t="array" ref="K1321">LOOKUP(2^15,SEARCH(Tabela2[Palavras-Chave],Boletim[[#This Row],[Objeto]],1),Tabela2[Palavras-Chave])</f>
        <v>#N/A</v>
      </c>
    </row>
    <row r="1322" spans="1:11" ht="72" hidden="1" x14ac:dyDescent="0.3">
      <c r="A1322" s="5">
        <v>18807377</v>
      </c>
      <c r="B1322" s="6" t="s">
        <v>74</v>
      </c>
      <c r="C1322" s="6" t="s">
        <v>73</v>
      </c>
      <c r="D1322" s="8" t="s">
        <v>72</v>
      </c>
      <c r="E1322" s="6" t="s">
        <v>1839</v>
      </c>
      <c r="F1322" s="6" t="s">
        <v>85</v>
      </c>
      <c r="G1322" s="11" t="s">
        <v>56</v>
      </c>
      <c r="H1322" s="10" t="s">
        <v>1840</v>
      </c>
      <c r="I1322" s="6" t="s">
        <v>1841</v>
      </c>
      <c r="J1322" s="12">
        <v>46121.472303240742</v>
      </c>
      <c r="K1322" s="6" t="e" cm="1">
        <f t="array" ref="K1322">LOOKUP(2^15,SEARCH(Tabela2[Palavras-Chave],Boletim[[#This Row],[Objeto]],1),Tabela2[Palavras-Chave])</f>
        <v>#N/A</v>
      </c>
    </row>
    <row r="1323" spans="1:11" ht="72" hidden="1" x14ac:dyDescent="0.3">
      <c r="A1323" s="5">
        <v>18808113</v>
      </c>
      <c r="B1323" s="6" t="s">
        <v>3181</v>
      </c>
      <c r="C1323" s="6" t="s">
        <v>3182</v>
      </c>
      <c r="D1323" s="8" t="s">
        <v>72</v>
      </c>
      <c r="E1323" s="6" t="s">
        <v>116</v>
      </c>
      <c r="F1323" s="6" t="s">
        <v>85</v>
      </c>
      <c r="G1323" s="11">
        <v>46125.999305555553</v>
      </c>
      <c r="H1323" s="10" t="s">
        <v>3183</v>
      </c>
      <c r="I1323" s="6" t="s">
        <v>3184</v>
      </c>
      <c r="J1323" s="12">
        <v>46121.532025462962</v>
      </c>
      <c r="K1323" s="6" t="e" cm="1">
        <f t="array" ref="K1323">LOOKUP(2^15,SEARCH(Tabela2[Palavras-Chave],Boletim[[#This Row],[Objeto]],1),Tabela2[Palavras-Chave])</f>
        <v>#N/A</v>
      </c>
    </row>
    <row r="1324" spans="1:11" ht="129.6" hidden="1" x14ac:dyDescent="0.3">
      <c r="A1324" s="5">
        <v>18808548</v>
      </c>
      <c r="B1324" s="6" t="s">
        <v>1842</v>
      </c>
      <c r="C1324" s="6" t="s">
        <v>1843</v>
      </c>
      <c r="D1324" s="8" t="s">
        <v>72</v>
      </c>
      <c r="E1324" s="6" t="s">
        <v>209</v>
      </c>
      <c r="F1324" s="6" t="s">
        <v>85</v>
      </c>
      <c r="G1324" s="11" t="s">
        <v>56</v>
      </c>
      <c r="H1324" s="10" t="s">
        <v>1844</v>
      </c>
      <c r="I1324" s="6" t="s">
        <v>1845</v>
      </c>
      <c r="J1324" s="12">
        <v>46121.54415509259</v>
      </c>
      <c r="K1324" s="6" t="e" cm="1">
        <f t="array" ref="K1324">LOOKUP(2^15,SEARCH(Tabela2[Palavras-Chave],Boletim[[#This Row],[Objeto]],1),Tabela2[Palavras-Chave])</f>
        <v>#N/A</v>
      </c>
    </row>
    <row r="1325" spans="1:11" ht="115.2" hidden="1" x14ac:dyDescent="0.3">
      <c r="A1325" s="5">
        <v>18790976</v>
      </c>
      <c r="B1325" s="6" t="s">
        <v>386</v>
      </c>
      <c r="C1325" s="6" t="s">
        <v>387</v>
      </c>
      <c r="D1325" s="8" t="s">
        <v>72</v>
      </c>
      <c r="E1325" s="6" t="s">
        <v>126</v>
      </c>
      <c r="F1325" s="6" t="s">
        <v>85</v>
      </c>
      <c r="G1325" s="11">
        <v>46129.375</v>
      </c>
      <c r="H1325" s="10" t="s">
        <v>388</v>
      </c>
      <c r="I1325" s="6" t="s">
        <v>389</v>
      </c>
      <c r="J1325" s="12">
        <v>46121.566435185188</v>
      </c>
      <c r="K1325" s="6" t="e" cm="1">
        <f t="array" ref="K1325">LOOKUP(2^15,SEARCH(Tabela2[Palavras-Chave],Boletim[[#This Row],[Objeto]],1),Tabela2[Palavras-Chave])</f>
        <v>#N/A</v>
      </c>
    </row>
    <row r="1326" spans="1:11" ht="100.8" hidden="1" x14ac:dyDescent="0.3">
      <c r="A1326" s="5">
        <v>18809068</v>
      </c>
      <c r="B1326" s="6" t="s">
        <v>1846</v>
      </c>
      <c r="C1326" s="6" t="s">
        <v>1847</v>
      </c>
      <c r="D1326" s="8" t="s">
        <v>72</v>
      </c>
      <c r="E1326" s="6" t="s">
        <v>142</v>
      </c>
      <c r="F1326" s="6" t="s">
        <v>85</v>
      </c>
      <c r="G1326" s="11" t="s">
        <v>56</v>
      </c>
      <c r="H1326" s="10" t="s">
        <v>1848</v>
      </c>
      <c r="I1326" s="6" t="s">
        <v>1849</v>
      </c>
      <c r="J1326" s="12">
        <v>46121.585995370369</v>
      </c>
      <c r="K1326" s="6" t="e" cm="1">
        <f t="array" ref="K1326">LOOKUP(2^15,SEARCH(Tabela2[Palavras-Chave],Boletim[[#This Row],[Objeto]],1),Tabela2[Palavras-Chave])</f>
        <v>#N/A</v>
      </c>
    </row>
    <row r="1327" spans="1:11" ht="259.2" hidden="1" x14ac:dyDescent="0.3">
      <c r="A1327" s="5">
        <v>18809256</v>
      </c>
      <c r="B1327" s="6" t="s">
        <v>1850</v>
      </c>
      <c r="C1327" s="6" t="s">
        <v>1851</v>
      </c>
      <c r="D1327" s="8" t="s">
        <v>72</v>
      </c>
      <c r="E1327" s="6" t="s">
        <v>142</v>
      </c>
      <c r="F1327" s="6" t="s">
        <v>85</v>
      </c>
      <c r="G1327" s="11" t="s">
        <v>56</v>
      </c>
      <c r="H1327" s="10" t="s">
        <v>1852</v>
      </c>
      <c r="I1327" s="6" t="s">
        <v>1853</v>
      </c>
      <c r="J1327" s="12">
        <v>46121.595879629633</v>
      </c>
      <c r="K1327" s="6" t="e" cm="1">
        <f t="array" ref="K1327">LOOKUP(2^15,SEARCH(Tabela2[Palavras-Chave],Boletim[[#This Row],[Objeto]],1),Tabela2[Palavras-Chave])</f>
        <v>#N/A</v>
      </c>
    </row>
    <row r="1328" spans="1:11" ht="244.8" x14ac:dyDescent="0.3">
      <c r="A1328" s="5">
        <v>18809240</v>
      </c>
      <c r="B1328" s="6" t="s">
        <v>1854</v>
      </c>
      <c r="C1328" s="6" t="s">
        <v>1855</v>
      </c>
      <c r="D1328" s="8" t="s">
        <v>72</v>
      </c>
      <c r="E1328" s="6" t="s">
        <v>126</v>
      </c>
      <c r="F1328" s="6" t="s">
        <v>85</v>
      </c>
      <c r="G1328" s="11" t="s">
        <v>56</v>
      </c>
      <c r="H1328" s="10" t="s">
        <v>1856</v>
      </c>
      <c r="I1328" s="6" t="s">
        <v>1857</v>
      </c>
      <c r="J1328" s="12">
        <v>46121.599768518521</v>
      </c>
      <c r="K1328" s="6" t="str" cm="1">
        <f t="array" ref="K1328">LOOKUP(2^15,SEARCH(Tabela2[Palavras-Chave],Boletim[[#This Row],[Objeto]],1),Tabela2[Palavras-Chave])</f>
        <v>BOMBEAMENTO</v>
      </c>
    </row>
    <row r="1329" spans="1:11" ht="115.2" hidden="1" x14ac:dyDescent="0.3">
      <c r="A1329" s="5">
        <v>18808352</v>
      </c>
      <c r="B1329" s="6" t="s">
        <v>1858</v>
      </c>
      <c r="C1329" s="6" t="s">
        <v>223</v>
      </c>
      <c r="D1329" s="8" t="s">
        <v>72</v>
      </c>
      <c r="E1329" s="6" t="s">
        <v>1859</v>
      </c>
      <c r="F1329" s="6" t="s">
        <v>85</v>
      </c>
      <c r="G1329" s="11" t="s">
        <v>56</v>
      </c>
      <c r="H1329" s="10" t="s">
        <v>1860</v>
      </c>
      <c r="I1329" s="6" t="s">
        <v>1861</v>
      </c>
      <c r="J1329" s="12">
        <v>46121.61482638889</v>
      </c>
      <c r="K1329" s="6" t="e" cm="1">
        <f t="array" ref="K1329">LOOKUP(2^15,SEARCH(Tabela2[Palavras-Chave],Boletim[[#This Row],[Objeto]],1),Tabela2[Palavras-Chave])</f>
        <v>#N/A</v>
      </c>
    </row>
    <row r="1330" spans="1:11" ht="57.6" x14ac:dyDescent="0.3">
      <c r="A1330" s="5">
        <v>18809097</v>
      </c>
      <c r="B1330" s="6" t="s">
        <v>1862</v>
      </c>
      <c r="C1330" s="6" t="s">
        <v>387</v>
      </c>
      <c r="D1330" s="8" t="s">
        <v>72</v>
      </c>
      <c r="E1330" s="6" t="s">
        <v>122</v>
      </c>
      <c r="F1330" s="6" t="s">
        <v>85</v>
      </c>
      <c r="G1330" s="11">
        <v>46136.375</v>
      </c>
      <c r="H1330" s="10" t="s">
        <v>1863</v>
      </c>
      <c r="I1330" s="6" t="s">
        <v>1864</v>
      </c>
      <c r="J1330" s="12">
        <v>46121.616064814814</v>
      </c>
      <c r="K1330" s="6" t="str" cm="1">
        <f t="array" ref="K1330">LOOKUP(2^15,SEARCH(Tabela2[Palavras-Chave],Boletim[[#This Row],[Objeto]],1),Tabela2[Palavras-Chave])</f>
        <v>ELEVATÓRIA</v>
      </c>
    </row>
    <row r="1331" spans="1:11" ht="86.4" hidden="1" x14ac:dyDescent="0.3">
      <c r="A1331" s="5">
        <v>18809683</v>
      </c>
      <c r="B1331" s="6" t="s">
        <v>471</v>
      </c>
      <c r="C1331" s="6" t="s">
        <v>472</v>
      </c>
      <c r="D1331" s="8" t="s">
        <v>72</v>
      </c>
      <c r="E1331" s="6" t="s">
        <v>106</v>
      </c>
      <c r="F1331" s="6" t="s">
        <v>85</v>
      </c>
      <c r="G1331" s="11">
        <v>46139.354166666664</v>
      </c>
      <c r="H1331" s="10" t="s">
        <v>3185</v>
      </c>
      <c r="I1331" s="6" t="s">
        <v>3186</v>
      </c>
      <c r="J1331" s="12">
        <v>46121.623645833337</v>
      </c>
      <c r="K1331" s="6" t="e" cm="1">
        <f t="array" ref="K1331">LOOKUP(2^15,SEARCH(Tabela2[Palavras-Chave],Boletim[[#This Row],[Objeto]],1),Tabela2[Palavras-Chave])</f>
        <v>#N/A</v>
      </c>
    </row>
    <row r="1332" spans="1:11" ht="144" hidden="1" x14ac:dyDescent="0.3">
      <c r="A1332" s="5">
        <v>18809787</v>
      </c>
      <c r="B1332" s="6" t="s">
        <v>156</v>
      </c>
      <c r="C1332" s="6" t="s">
        <v>73</v>
      </c>
      <c r="D1332" s="8" t="s">
        <v>72</v>
      </c>
      <c r="E1332" s="6" t="s">
        <v>3187</v>
      </c>
      <c r="F1332" s="6" t="s">
        <v>85</v>
      </c>
      <c r="G1332" s="11">
        <v>46197.416666666664</v>
      </c>
      <c r="H1332" s="10" t="s">
        <v>3188</v>
      </c>
      <c r="I1332" s="6" t="s">
        <v>3189</v>
      </c>
      <c r="J1332" s="12">
        <v>46121.638124999998</v>
      </c>
      <c r="K1332" s="6" t="e" cm="1">
        <f t="array" ref="K1332">LOOKUP(2^15,SEARCH(Tabela2[Palavras-Chave],Boletim[[#This Row],[Objeto]],1),Tabela2[Palavras-Chave])</f>
        <v>#N/A</v>
      </c>
    </row>
    <row r="1333" spans="1:11" ht="316.8" hidden="1" x14ac:dyDescent="0.3">
      <c r="A1333" s="5">
        <v>18809234</v>
      </c>
      <c r="B1333" s="6" t="s">
        <v>1865</v>
      </c>
      <c r="C1333" s="6" t="s">
        <v>1866</v>
      </c>
      <c r="D1333" s="8" t="s">
        <v>72</v>
      </c>
      <c r="E1333" s="6" t="s">
        <v>498</v>
      </c>
      <c r="F1333" s="6" t="s">
        <v>85</v>
      </c>
      <c r="G1333" s="11" t="s">
        <v>56</v>
      </c>
      <c r="H1333" s="10" t="s">
        <v>1867</v>
      </c>
      <c r="I1333" s="6" t="s">
        <v>1868</v>
      </c>
      <c r="J1333" s="12">
        <v>46121.639965277776</v>
      </c>
      <c r="K1333" s="6" t="e" cm="1">
        <f t="array" ref="K1333">LOOKUP(2^15,SEARCH(Tabela2[Palavras-Chave],Boletim[[#This Row],[Objeto]],1),Tabela2[Palavras-Chave])</f>
        <v>#N/A</v>
      </c>
    </row>
    <row r="1334" spans="1:11" ht="158.4" hidden="1" x14ac:dyDescent="0.3">
      <c r="A1334" s="5">
        <v>18808366</v>
      </c>
      <c r="B1334" s="6" t="s">
        <v>1869</v>
      </c>
      <c r="C1334" s="6" t="s">
        <v>1870</v>
      </c>
      <c r="D1334" s="8" t="s">
        <v>72</v>
      </c>
      <c r="E1334" s="6" t="s">
        <v>242</v>
      </c>
      <c r="F1334" s="6" t="s">
        <v>85</v>
      </c>
      <c r="G1334" s="11" t="s">
        <v>56</v>
      </c>
      <c r="H1334" s="10" t="s">
        <v>1871</v>
      </c>
      <c r="I1334" s="6" t="s">
        <v>1872</v>
      </c>
      <c r="J1334" s="12">
        <v>46121.657997685186</v>
      </c>
      <c r="K1334" s="6" t="e" cm="1">
        <f t="array" ref="K1334">LOOKUP(2^15,SEARCH(Tabela2[Palavras-Chave],Boletim[[#This Row],[Objeto]],1),Tabela2[Palavras-Chave])</f>
        <v>#N/A</v>
      </c>
    </row>
    <row r="1335" spans="1:11" ht="273.60000000000002" hidden="1" x14ac:dyDescent="0.3">
      <c r="A1335" s="5">
        <v>18808310</v>
      </c>
      <c r="B1335" s="6" t="s">
        <v>1873</v>
      </c>
      <c r="C1335" s="6" t="s">
        <v>1874</v>
      </c>
      <c r="D1335" s="8" t="s">
        <v>72</v>
      </c>
      <c r="E1335" s="6" t="s">
        <v>108</v>
      </c>
      <c r="F1335" s="6" t="s">
        <v>85</v>
      </c>
      <c r="G1335" s="11" t="s">
        <v>56</v>
      </c>
      <c r="H1335" s="10" t="s">
        <v>1875</v>
      </c>
      <c r="I1335" s="6" t="s">
        <v>1876</v>
      </c>
      <c r="J1335" s="12">
        <v>46121.661203703705</v>
      </c>
      <c r="K1335" s="6" t="e" cm="1">
        <f t="array" ref="K1335">LOOKUP(2^15,SEARCH(Tabela2[Palavras-Chave],Boletim[[#This Row],[Objeto]],1),Tabela2[Palavras-Chave])</f>
        <v>#N/A</v>
      </c>
    </row>
    <row r="1336" spans="1:11" ht="28.8" hidden="1" x14ac:dyDescent="0.3">
      <c r="A1336" s="5">
        <v>18808763</v>
      </c>
      <c r="B1336" s="6" t="s">
        <v>3190</v>
      </c>
      <c r="C1336" s="6" t="s">
        <v>3191</v>
      </c>
      <c r="D1336" s="8" t="s">
        <v>72</v>
      </c>
      <c r="E1336" s="6" t="s">
        <v>105</v>
      </c>
      <c r="F1336" s="6" t="s">
        <v>85</v>
      </c>
      <c r="G1336" s="11">
        <v>46127.333333333336</v>
      </c>
      <c r="H1336" s="10" t="s">
        <v>3192</v>
      </c>
      <c r="I1336" s="6" t="s">
        <v>3193</v>
      </c>
      <c r="J1336" s="12">
        <v>46121.679525462961</v>
      </c>
      <c r="K1336" s="6" t="e" cm="1">
        <f t="array" ref="K1336">LOOKUP(2^15,SEARCH(Tabela2[Palavras-Chave],Boletim[[#This Row],[Objeto]],1),Tabela2[Palavras-Chave])</f>
        <v>#N/A</v>
      </c>
    </row>
    <row r="1337" spans="1:11" ht="244.8" hidden="1" x14ac:dyDescent="0.3">
      <c r="A1337" s="5">
        <v>18810352</v>
      </c>
      <c r="B1337" s="6" t="s">
        <v>469</v>
      </c>
      <c r="C1337" s="6" t="s">
        <v>470</v>
      </c>
      <c r="D1337" s="8" t="s">
        <v>72</v>
      </c>
      <c r="E1337" s="6" t="s">
        <v>148</v>
      </c>
      <c r="F1337" s="6" t="s">
        <v>85</v>
      </c>
      <c r="G1337" s="11" t="s">
        <v>56</v>
      </c>
      <c r="H1337" s="10" t="s">
        <v>1877</v>
      </c>
      <c r="I1337" s="6" t="s">
        <v>1878</v>
      </c>
      <c r="J1337" s="12">
        <v>46121.79451388889</v>
      </c>
      <c r="K1337" s="6" t="e" cm="1">
        <f t="array" ref="K1337">LOOKUP(2^15,SEARCH(Tabela2[Palavras-Chave],Boletim[[#This Row],[Objeto]],1),Tabela2[Palavras-Chave])</f>
        <v>#N/A</v>
      </c>
    </row>
    <row r="1338" spans="1:11" ht="86.4" hidden="1" x14ac:dyDescent="0.3">
      <c r="A1338" s="5">
        <v>18809703</v>
      </c>
      <c r="B1338" s="6" t="s">
        <v>471</v>
      </c>
      <c r="C1338" s="6" t="s">
        <v>472</v>
      </c>
      <c r="D1338" s="8" t="s">
        <v>72</v>
      </c>
      <c r="E1338" s="6" t="s">
        <v>107</v>
      </c>
      <c r="F1338" s="6" t="s">
        <v>85</v>
      </c>
      <c r="G1338" s="11">
        <v>46146.354861111111</v>
      </c>
      <c r="H1338" s="10" t="s">
        <v>3194</v>
      </c>
      <c r="I1338" s="6" t="s">
        <v>3195</v>
      </c>
      <c r="J1338" s="12">
        <v>46121.732187499998</v>
      </c>
      <c r="K1338" s="6" t="e" cm="1">
        <f t="array" ref="K1338">LOOKUP(2^15,SEARCH(Tabela2[Palavras-Chave],Boletim[[#This Row],[Objeto]],1),Tabela2[Palavras-Chave])</f>
        <v>#N/A</v>
      </c>
    </row>
    <row r="1339" spans="1:11" ht="72" hidden="1" x14ac:dyDescent="0.3">
      <c r="A1339" s="5">
        <v>18809634</v>
      </c>
      <c r="B1339" s="6" t="s">
        <v>306</v>
      </c>
      <c r="C1339" s="6" t="s">
        <v>223</v>
      </c>
      <c r="D1339" s="8" t="s">
        <v>72</v>
      </c>
      <c r="E1339" s="6" t="s">
        <v>1879</v>
      </c>
      <c r="F1339" s="6" t="s">
        <v>85</v>
      </c>
      <c r="G1339" s="11" t="s">
        <v>56</v>
      </c>
      <c r="H1339" s="10" t="s">
        <v>1880</v>
      </c>
      <c r="I1339" s="6" t="s">
        <v>1881</v>
      </c>
      <c r="J1339" s="12">
        <v>46121.734837962962</v>
      </c>
      <c r="K1339" s="6" t="e" cm="1">
        <f t="array" ref="K1339">LOOKUP(2^15,SEARCH(Tabela2[Palavras-Chave],Boletim[[#This Row],[Objeto]],1),Tabela2[Palavras-Chave])</f>
        <v>#N/A</v>
      </c>
    </row>
    <row r="1340" spans="1:11" ht="259.2" hidden="1" x14ac:dyDescent="0.3">
      <c r="A1340" s="5">
        <v>18810327</v>
      </c>
      <c r="B1340" s="6" t="s">
        <v>1882</v>
      </c>
      <c r="C1340" s="6" t="s">
        <v>1883</v>
      </c>
      <c r="D1340" s="8" t="s">
        <v>72</v>
      </c>
      <c r="E1340" s="6" t="s">
        <v>135</v>
      </c>
      <c r="F1340" s="6" t="s">
        <v>85</v>
      </c>
      <c r="G1340" s="11" t="s">
        <v>56</v>
      </c>
      <c r="H1340" s="10" t="s">
        <v>1884</v>
      </c>
      <c r="I1340" s="6" t="s">
        <v>1885</v>
      </c>
      <c r="J1340" s="12">
        <v>46121.74496527778</v>
      </c>
      <c r="K1340" s="6" t="e" cm="1">
        <f t="array" ref="K1340">LOOKUP(2^15,SEARCH(Tabela2[Palavras-Chave],Boletim[[#This Row],[Objeto]],1),Tabela2[Palavras-Chave])</f>
        <v>#N/A</v>
      </c>
    </row>
    <row r="1341" spans="1:11" ht="144" hidden="1" x14ac:dyDescent="0.3">
      <c r="A1341" s="5">
        <v>18809784</v>
      </c>
      <c r="B1341" s="6" t="s">
        <v>156</v>
      </c>
      <c r="C1341" s="6" t="s">
        <v>73</v>
      </c>
      <c r="D1341" s="8" t="s">
        <v>72</v>
      </c>
      <c r="E1341" s="6" t="s">
        <v>3196</v>
      </c>
      <c r="F1341" s="6" t="s">
        <v>85</v>
      </c>
      <c r="G1341" s="11">
        <v>46196.458333333336</v>
      </c>
      <c r="H1341" s="10" t="s">
        <v>3197</v>
      </c>
      <c r="I1341" s="6" t="s">
        <v>3198</v>
      </c>
      <c r="J1341" s="12">
        <v>46121.745567129627</v>
      </c>
      <c r="K1341" s="6" t="e" cm="1">
        <f t="array" ref="K1341">LOOKUP(2^15,SEARCH(Tabela2[Palavras-Chave],Boletim[[#This Row],[Objeto]],1),Tabela2[Palavras-Chave])</f>
        <v>#N/A</v>
      </c>
    </row>
    <row r="1342" spans="1:11" ht="144" hidden="1" x14ac:dyDescent="0.3">
      <c r="A1342" s="5">
        <v>18807347</v>
      </c>
      <c r="B1342" s="6" t="s">
        <v>156</v>
      </c>
      <c r="C1342" s="6" t="s">
        <v>73</v>
      </c>
      <c r="D1342" s="8" t="s">
        <v>72</v>
      </c>
      <c r="E1342" s="6" t="s">
        <v>3199</v>
      </c>
      <c r="F1342" s="6" t="s">
        <v>85</v>
      </c>
      <c r="G1342" s="11">
        <v>46155.458333333336</v>
      </c>
      <c r="H1342" s="10" t="s">
        <v>3200</v>
      </c>
      <c r="I1342" s="6" t="s">
        <v>3201</v>
      </c>
      <c r="J1342" s="12">
        <v>46121.745636574073</v>
      </c>
      <c r="K1342" s="6" t="e" cm="1">
        <f t="array" ref="K1342">LOOKUP(2^15,SEARCH(Tabela2[Palavras-Chave],Boletim[[#This Row],[Objeto]],1),Tabela2[Palavras-Chave])</f>
        <v>#N/A</v>
      </c>
    </row>
    <row r="1343" spans="1:11" ht="115.2" hidden="1" x14ac:dyDescent="0.3">
      <c r="A1343" s="5">
        <v>18808302</v>
      </c>
      <c r="B1343" s="6" t="s">
        <v>1886</v>
      </c>
      <c r="C1343" s="6" t="s">
        <v>1887</v>
      </c>
      <c r="D1343" s="8" t="s">
        <v>72</v>
      </c>
      <c r="E1343" s="6" t="s">
        <v>483</v>
      </c>
      <c r="F1343" s="6" t="s">
        <v>85</v>
      </c>
      <c r="G1343" s="11" t="s">
        <v>56</v>
      </c>
      <c r="H1343" s="10" t="s">
        <v>1888</v>
      </c>
      <c r="I1343" s="6" t="s">
        <v>1889</v>
      </c>
      <c r="J1343" s="12">
        <v>46121.746666666666</v>
      </c>
      <c r="K1343" s="6" t="e" cm="1">
        <f t="array" ref="K1343">LOOKUP(2^15,SEARCH(Tabela2[Palavras-Chave],Boletim[[#This Row],[Objeto]],1),Tabela2[Palavras-Chave])</f>
        <v>#N/A</v>
      </c>
    </row>
    <row r="1344" spans="1:11" ht="86.4" hidden="1" x14ac:dyDescent="0.3">
      <c r="A1344" s="5">
        <v>18807351</v>
      </c>
      <c r="B1344" s="6" t="s">
        <v>156</v>
      </c>
      <c r="C1344" s="6" t="s">
        <v>73</v>
      </c>
      <c r="D1344" s="8" t="s">
        <v>72</v>
      </c>
      <c r="E1344" s="6" t="s">
        <v>1890</v>
      </c>
      <c r="F1344" s="6" t="s">
        <v>85</v>
      </c>
      <c r="G1344" s="11">
        <v>46146.375</v>
      </c>
      <c r="H1344" s="10" t="s">
        <v>1891</v>
      </c>
      <c r="I1344" s="6" t="s">
        <v>1892</v>
      </c>
      <c r="J1344" s="12">
        <v>46121.748078703706</v>
      </c>
      <c r="K1344" s="6" t="e" cm="1">
        <f t="array" ref="K1344">LOOKUP(2^15,SEARCH(Tabela2[Palavras-Chave],Boletim[[#This Row],[Objeto]],1),Tabela2[Palavras-Chave])</f>
        <v>#N/A</v>
      </c>
    </row>
    <row r="1345" spans="1:11" ht="144" hidden="1" x14ac:dyDescent="0.3">
      <c r="A1345" s="5">
        <v>18807359</v>
      </c>
      <c r="B1345" s="6" t="s">
        <v>156</v>
      </c>
      <c r="C1345" s="6" t="s">
        <v>73</v>
      </c>
      <c r="D1345" s="8" t="s">
        <v>72</v>
      </c>
      <c r="E1345" s="6" t="s">
        <v>3202</v>
      </c>
      <c r="F1345" s="6" t="s">
        <v>85</v>
      </c>
      <c r="G1345" s="11">
        <v>46154.416666666664</v>
      </c>
      <c r="H1345" s="10" t="s">
        <v>3203</v>
      </c>
      <c r="I1345" s="6" t="s">
        <v>3204</v>
      </c>
      <c r="J1345" s="12">
        <v>46121.752210648148</v>
      </c>
      <c r="K1345" s="6" t="e" cm="1">
        <f t="array" ref="K1345">LOOKUP(2^15,SEARCH(Tabela2[Palavras-Chave],Boletim[[#This Row],[Objeto]],1),Tabela2[Palavras-Chave])</f>
        <v>#N/A</v>
      </c>
    </row>
    <row r="1346" spans="1:11" ht="259.2" hidden="1" x14ac:dyDescent="0.3">
      <c r="A1346" s="5">
        <v>18810472</v>
      </c>
      <c r="B1346" s="6" t="s">
        <v>1893</v>
      </c>
      <c r="C1346" s="6" t="s">
        <v>1894</v>
      </c>
      <c r="D1346" s="8" t="s">
        <v>72</v>
      </c>
      <c r="E1346" s="6" t="s">
        <v>135</v>
      </c>
      <c r="F1346" s="6" t="s">
        <v>85</v>
      </c>
      <c r="G1346" s="11" t="s">
        <v>56</v>
      </c>
      <c r="H1346" s="10" t="s">
        <v>1895</v>
      </c>
      <c r="I1346" s="6" t="s">
        <v>1896</v>
      </c>
      <c r="J1346" s="12">
        <v>46121.756365740737</v>
      </c>
      <c r="K1346" s="6" t="e" cm="1">
        <f t="array" ref="K1346">LOOKUP(2^15,SEARCH(Tabela2[Palavras-Chave],Boletim[[#This Row],[Objeto]],1),Tabela2[Palavras-Chave])</f>
        <v>#N/A</v>
      </c>
    </row>
    <row r="1347" spans="1:11" ht="259.2" hidden="1" x14ac:dyDescent="0.3">
      <c r="A1347" s="5">
        <v>18810308</v>
      </c>
      <c r="B1347" s="6" t="s">
        <v>1897</v>
      </c>
      <c r="C1347" s="6" t="s">
        <v>1101</v>
      </c>
      <c r="D1347" s="8" t="s">
        <v>72</v>
      </c>
      <c r="E1347" s="6" t="s">
        <v>134</v>
      </c>
      <c r="F1347" s="6" t="s">
        <v>85</v>
      </c>
      <c r="G1347" s="11" t="s">
        <v>56</v>
      </c>
      <c r="H1347" s="10" t="s">
        <v>1898</v>
      </c>
      <c r="I1347" s="6" t="s">
        <v>1899</v>
      </c>
      <c r="J1347" s="12">
        <v>46121.76121527778</v>
      </c>
      <c r="K1347" s="6" t="e" cm="1">
        <f t="array" ref="K1347">LOOKUP(2^15,SEARCH(Tabela2[Palavras-Chave],Boletim[[#This Row],[Objeto]],1),Tabela2[Palavras-Chave])</f>
        <v>#N/A</v>
      </c>
    </row>
    <row r="1348" spans="1:11" ht="72" hidden="1" x14ac:dyDescent="0.3">
      <c r="A1348" s="5">
        <v>18810739</v>
      </c>
      <c r="B1348" s="6" t="s">
        <v>3205</v>
      </c>
      <c r="C1348" s="6" t="s">
        <v>3206</v>
      </c>
      <c r="D1348" s="8" t="s">
        <v>72</v>
      </c>
      <c r="E1348" s="6" t="s">
        <v>166</v>
      </c>
      <c r="F1348" s="6" t="s">
        <v>85</v>
      </c>
      <c r="G1348" s="11">
        <v>46140.333333333336</v>
      </c>
      <c r="H1348" s="10" t="s">
        <v>3207</v>
      </c>
      <c r="I1348" s="6" t="s">
        <v>3208</v>
      </c>
      <c r="J1348" s="12">
        <v>46121.764756944445</v>
      </c>
      <c r="K1348" s="6" t="e" cm="1">
        <f t="array" ref="K1348">LOOKUP(2^15,SEARCH(Tabela2[Palavras-Chave],Boletim[[#This Row],[Objeto]],1),Tabela2[Palavras-Chave])</f>
        <v>#N/A</v>
      </c>
    </row>
    <row r="1349" spans="1:11" ht="43.2" hidden="1" x14ac:dyDescent="0.3">
      <c r="A1349" s="5">
        <v>18810984</v>
      </c>
      <c r="B1349" s="6" t="s">
        <v>1862</v>
      </c>
      <c r="C1349" s="6" t="s">
        <v>387</v>
      </c>
      <c r="D1349" s="8" t="s">
        <v>72</v>
      </c>
      <c r="E1349" s="6" t="s">
        <v>135</v>
      </c>
      <c r="F1349" s="6" t="s">
        <v>85</v>
      </c>
      <c r="G1349" s="11">
        <v>46135</v>
      </c>
      <c r="H1349" s="10" t="s">
        <v>1900</v>
      </c>
      <c r="I1349" s="6" t="s">
        <v>1901</v>
      </c>
      <c r="J1349" s="12">
        <v>46121.783784722225</v>
      </c>
      <c r="K1349" s="6" t="e" cm="1">
        <f t="array" ref="K1349">LOOKUP(2^15,SEARCH(Tabela2[Palavras-Chave],Boletim[[#This Row],[Objeto]],1),Tabela2[Palavras-Chave])</f>
        <v>#N/A</v>
      </c>
    </row>
    <row r="1350" spans="1:11" ht="86.4" hidden="1" x14ac:dyDescent="0.3">
      <c r="A1350" s="5">
        <v>18811097</v>
      </c>
      <c r="B1350" s="6" t="s">
        <v>1902</v>
      </c>
      <c r="C1350" s="6" t="s">
        <v>1903</v>
      </c>
      <c r="D1350" s="8" t="s">
        <v>72</v>
      </c>
      <c r="E1350" s="6" t="s">
        <v>165</v>
      </c>
      <c r="F1350" s="6" t="s">
        <v>85</v>
      </c>
      <c r="G1350" s="11" t="s">
        <v>56</v>
      </c>
      <c r="H1350" s="10" t="s">
        <v>1904</v>
      </c>
      <c r="I1350" s="6" t="s">
        <v>1905</v>
      </c>
      <c r="J1350" s="12">
        <v>46121.791030092594</v>
      </c>
      <c r="K1350" s="6" t="e" cm="1">
        <f t="array" ref="K1350">LOOKUP(2^15,SEARCH(Tabela2[Palavras-Chave],Boletim[[#This Row],[Objeto]],1),Tabela2[Palavras-Chave])</f>
        <v>#N/A</v>
      </c>
    </row>
    <row r="1351" spans="1:11" ht="86.4" hidden="1" x14ac:dyDescent="0.3">
      <c r="A1351" s="5">
        <v>18811092</v>
      </c>
      <c r="B1351" s="6" t="s">
        <v>1906</v>
      </c>
      <c r="C1351" s="6" t="s">
        <v>1907</v>
      </c>
      <c r="D1351" s="8" t="s">
        <v>72</v>
      </c>
      <c r="E1351" s="6" t="s">
        <v>474</v>
      </c>
      <c r="F1351" s="6" t="s">
        <v>85</v>
      </c>
      <c r="G1351" s="11" t="s">
        <v>56</v>
      </c>
      <c r="H1351" s="10" t="s">
        <v>1908</v>
      </c>
      <c r="I1351" s="6" t="s">
        <v>1909</v>
      </c>
      <c r="J1351" s="12">
        <v>46121.794664351852</v>
      </c>
      <c r="K1351" s="6" t="e" cm="1">
        <f t="array" ref="K1351">LOOKUP(2^15,SEARCH(Tabela2[Palavras-Chave],Boletim[[#This Row],[Objeto]],1),Tabela2[Palavras-Chave])</f>
        <v>#N/A</v>
      </c>
    </row>
    <row r="1352" spans="1:11" ht="86.4" hidden="1" x14ac:dyDescent="0.3">
      <c r="A1352" s="5">
        <v>18811091</v>
      </c>
      <c r="B1352" s="6" t="s">
        <v>1910</v>
      </c>
      <c r="C1352" s="6" t="s">
        <v>1911</v>
      </c>
      <c r="D1352" s="8" t="s">
        <v>72</v>
      </c>
      <c r="E1352" s="6" t="s">
        <v>450</v>
      </c>
      <c r="F1352" s="6" t="s">
        <v>85</v>
      </c>
      <c r="G1352" s="11" t="s">
        <v>56</v>
      </c>
      <c r="H1352" s="10" t="s">
        <v>1912</v>
      </c>
      <c r="I1352" s="6" t="s">
        <v>1913</v>
      </c>
      <c r="J1352" s="12">
        <v>46121.79614583333</v>
      </c>
      <c r="K1352" s="6" t="e" cm="1">
        <f t="array" ref="K1352">LOOKUP(2^15,SEARCH(Tabela2[Palavras-Chave],Boletim[[#This Row],[Objeto]],1),Tabela2[Palavras-Chave])</f>
        <v>#N/A</v>
      </c>
    </row>
    <row r="1353" spans="1:11" ht="86.4" hidden="1" x14ac:dyDescent="0.3">
      <c r="A1353" s="5">
        <v>18811093</v>
      </c>
      <c r="B1353" s="6" t="s">
        <v>1914</v>
      </c>
      <c r="C1353" s="6" t="s">
        <v>472</v>
      </c>
      <c r="D1353" s="8" t="s">
        <v>72</v>
      </c>
      <c r="E1353" s="6" t="s">
        <v>117</v>
      </c>
      <c r="F1353" s="6" t="s">
        <v>85</v>
      </c>
      <c r="G1353" s="11" t="s">
        <v>56</v>
      </c>
      <c r="H1353" s="10" t="s">
        <v>1915</v>
      </c>
      <c r="I1353" s="6" t="s">
        <v>1916</v>
      </c>
      <c r="J1353" s="12">
        <v>46121.801018518519</v>
      </c>
      <c r="K1353" s="6" t="e" cm="1">
        <f t="array" ref="K1353">LOOKUP(2^15,SEARCH(Tabela2[Palavras-Chave],Boletim[[#This Row],[Objeto]],1),Tabela2[Palavras-Chave])</f>
        <v>#N/A</v>
      </c>
    </row>
    <row r="1354" spans="1:11" ht="86.4" hidden="1" x14ac:dyDescent="0.3">
      <c r="A1354" s="5">
        <v>18811098</v>
      </c>
      <c r="B1354" s="6" t="s">
        <v>1917</v>
      </c>
      <c r="C1354" s="6" t="s">
        <v>1918</v>
      </c>
      <c r="D1354" s="8" t="s">
        <v>72</v>
      </c>
      <c r="E1354" s="6" t="s">
        <v>146</v>
      </c>
      <c r="F1354" s="6" t="s">
        <v>85</v>
      </c>
      <c r="G1354" s="11" t="s">
        <v>56</v>
      </c>
      <c r="H1354" s="10" t="s">
        <v>1919</v>
      </c>
      <c r="I1354" s="6" t="s">
        <v>1920</v>
      </c>
      <c r="J1354" s="12">
        <v>46121.811574074076</v>
      </c>
      <c r="K1354" s="6" t="e" cm="1">
        <f t="array" ref="K1354">LOOKUP(2^15,SEARCH(Tabela2[Palavras-Chave],Boletim[[#This Row],[Objeto]],1),Tabela2[Palavras-Chave])</f>
        <v>#N/A</v>
      </c>
    </row>
    <row r="1355" spans="1:11" ht="144" hidden="1" x14ac:dyDescent="0.3">
      <c r="A1355" s="5">
        <v>18808357</v>
      </c>
      <c r="B1355" s="6" t="s">
        <v>478</v>
      </c>
      <c r="C1355" s="6" t="s">
        <v>479</v>
      </c>
      <c r="D1355" s="8" t="s">
        <v>72</v>
      </c>
      <c r="E1355" s="6" t="s">
        <v>1316</v>
      </c>
      <c r="F1355" s="6" t="s">
        <v>85</v>
      </c>
      <c r="G1355" s="11" t="s">
        <v>56</v>
      </c>
      <c r="H1355" s="10" t="s">
        <v>1921</v>
      </c>
      <c r="I1355" s="6" t="s">
        <v>1922</v>
      </c>
      <c r="J1355" s="12">
        <v>46121.833761574075</v>
      </c>
      <c r="K1355" s="6" t="e" cm="1">
        <f t="array" ref="K1355">LOOKUP(2^15,SEARCH(Tabela2[Palavras-Chave],Boletim[[#This Row],[Objeto]],1),Tabela2[Palavras-Chave])</f>
        <v>#N/A</v>
      </c>
    </row>
    <row r="1356" spans="1:11" ht="259.2" hidden="1" x14ac:dyDescent="0.3">
      <c r="A1356" s="5">
        <v>18807081</v>
      </c>
      <c r="B1356" s="6" t="s">
        <v>1923</v>
      </c>
      <c r="C1356" s="6" t="s">
        <v>1924</v>
      </c>
      <c r="D1356" s="8" t="s">
        <v>72</v>
      </c>
      <c r="E1356" s="6" t="s">
        <v>202</v>
      </c>
      <c r="F1356" s="6" t="s">
        <v>85</v>
      </c>
      <c r="G1356" s="11" t="s">
        <v>56</v>
      </c>
      <c r="H1356" s="10" t="s">
        <v>1925</v>
      </c>
      <c r="I1356" s="6" t="s">
        <v>1926</v>
      </c>
      <c r="J1356" s="12">
        <v>46121.835104166668</v>
      </c>
      <c r="K1356" s="6" t="e" cm="1">
        <f t="array" ref="K1356">LOOKUP(2^15,SEARCH(Tabela2[Palavras-Chave],Boletim[[#This Row],[Objeto]],1),Tabela2[Palavras-Chave])</f>
        <v>#N/A</v>
      </c>
    </row>
    <row r="1357" spans="1:11" ht="43.2" hidden="1" x14ac:dyDescent="0.3">
      <c r="A1357" s="5">
        <v>18811224</v>
      </c>
      <c r="B1357" s="6" t="s">
        <v>1927</v>
      </c>
      <c r="C1357" s="6" t="s">
        <v>1928</v>
      </c>
      <c r="D1357" s="8" t="s">
        <v>72</v>
      </c>
      <c r="E1357" s="6" t="s">
        <v>1929</v>
      </c>
      <c r="F1357" s="6" t="s">
        <v>85</v>
      </c>
      <c r="G1357" s="11">
        <v>46134.354166666664</v>
      </c>
      <c r="H1357" s="10" t="s">
        <v>1930</v>
      </c>
      <c r="I1357" s="6" t="s">
        <v>1931</v>
      </c>
      <c r="J1357" s="12">
        <v>46121.846574074072</v>
      </c>
      <c r="K1357" s="6" t="e" cm="1">
        <f t="array" ref="K1357">LOOKUP(2^15,SEARCH(Tabela2[Palavras-Chave],Boletim[[#This Row],[Objeto]],1),Tabela2[Palavras-Chave])</f>
        <v>#N/A</v>
      </c>
    </row>
    <row r="1358" spans="1:11" ht="57.6" hidden="1" x14ac:dyDescent="0.3">
      <c r="A1358" s="5">
        <v>18811521</v>
      </c>
      <c r="B1358" s="6" t="s">
        <v>3209</v>
      </c>
      <c r="C1358" s="6" t="s">
        <v>3210</v>
      </c>
      <c r="D1358" s="8" t="s">
        <v>72</v>
      </c>
      <c r="E1358" s="6" t="s">
        <v>114</v>
      </c>
      <c r="F1358" s="6" t="s">
        <v>85</v>
      </c>
      <c r="G1358" s="11">
        <v>46147.354166666664</v>
      </c>
      <c r="H1358" s="10" t="s">
        <v>3211</v>
      </c>
      <c r="I1358" s="6" t="s">
        <v>3212</v>
      </c>
      <c r="J1358" s="12">
        <v>46121.879293981481</v>
      </c>
      <c r="K1358" s="6" t="e" cm="1">
        <f t="array" ref="K1358">LOOKUP(2^15,SEARCH(Tabela2[Palavras-Chave],Boletim[[#This Row],[Objeto]],1),Tabela2[Palavras-Chave])</f>
        <v>#N/A</v>
      </c>
    </row>
    <row r="1359" spans="1:11" ht="100.8" hidden="1" x14ac:dyDescent="0.3">
      <c r="A1359" s="5">
        <v>18807422</v>
      </c>
      <c r="B1359" s="6" t="s">
        <v>74</v>
      </c>
      <c r="C1359" s="6" t="s">
        <v>75</v>
      </c>
      <c r="D1359" s="8" t="s">
        <v>76</v>
      </c>
      <c r="E1359" s="6" t="s">
        <v>1319</v>
      </c>
      <c r="F1359" s="6" t="s">
        <v>85</v>
      </c>
      <c r="G1359" s="11" t="s">
        <v>56</v>
      </c>
      <c r="H1359" s="10" t="s">
        <v>1320</v>
      </c>
      <c r="I1359" s="6" t="s">
        <v>1321</v>
      </c>
      <c r="J1359" s="12">
        <v>46121.444525462961</v>
      </c>
      <c r="K1359" s="6" t="e" cm="1">
        <f t="array" ref="K1359">LOOKUP(2^15,SEARCH(Tabela2[Palavras-Chave],Boletim[[#This Row],[Objeto]],1),Tabela2[Palavras-Chave])</f>
        <v>#N/A</v>
      </c>
    </row>
    <row r="1360" spans="1:11" ht="72" hidden="1" x14ac:dyDescent="0.3">
      <c r="A1360" s="5">
        <v>18807394</v>
      </c>
      <c r="B1360" s="6" t="s">
        <v>74</v>
      </c>
      <c r="C1360" s="6" t="s">
        <v>75</v>
      </c>
      <c r="D1360" s="8" t="s">
        <v>76</v>
      </c>
      <c r="E1360" s="6" t="s">
        <v>3213</v>
      </c>
      <c r="F1360" s="6" t="s">
        <v>85</v>
      </c>
      <c r="G1360" s="11" t="s">
        <v>56</v>
      </c>
      <c r="H1360" s="10" t="s">
        <v>3214</v>
      </c>
      <c r="I1360" s="6" t="s">
        <v>3215</v>
      </c>
      <c r="J1360" s="12">
        <v>46121.444837962961</v>
      </c>
      <c r="K1360" s="6" t="e" cm="1">
        <f t="array" ref="K1360">LOOKUP(2^15,SEARCH(Tabela2[Palavras-Chave],Boletim[[#This Row],[Objeto]],1),Tabela2[Palavras-Chave])</f>
        <v>#N/A</v>
      </c>
    </row>
    <row r="1361" spans="1:11" ht="72" hidden="1" x14ac:dyDescent="0.3">
      <c r="A1361" s="5">
        <v>18807378</v>
      </c>
      <c r="B1361" s="6" t="s">
        <v>74</v>
      </c>
      <c r="C1361" s="6" t="s">
        <v>75</v>
      </c>
      <c r="D1361" s="8" t="s">
        <v>76</v>
      </c>
      <c r="E1361" s="6" t="s">
        <v>3216</v>
      </c>
      <c r="F1361" s="6" t="s">
        <v>85</v>
      </c>
      <c r="G1361" s="11" t="s">
        <v>56</v>
      </c>
      <c r="H1361" s="10" t="s">
        <v>3217</v>
      </c>
      <c r="I1361" s="6" t="s">
        <v>3218</v>
      </c>
      <c r="J1361" s="12">
        <v>46121.445960648147</v>
      </c>
      <c r="K1361" s="6" t="e" cm="1">
        <f t="array" ref="K1361">LOOKUP(2^15,SEARCH(Tabela2[Palavras-Chave],Boletim[[#This Row],[Objeto]],1),Tabela2[Palavras-Chave])</f>
        <v>#N/A</v>
      </c>
    </row>
    <row r="1362" spans="1:11" ht="100.8" hidden="1" x14ac:dyDescent="0.3">
      <c r="A1362" s="5">
        <v>18807563</v>
      </c>
      <c r="B1362" s="6" t="s">
        <v>74</v>
      </c>
      <c r="C1362" s="6" t="s">
        <v>75</v>
      </c>
      <c r="D1362" s="8" t="s">
        <v>76</v>
      </c>
      <c r="E1362" s="6" t="s">
        <v>2972</v>
      </c>
      <c r="F1362" s="6" t="s">
        <v>85</v>
      </c>
      <c r="G1362" s="11" t="s">
        <v>56</v>
      </c>
      <c r="H1362" s="10" t="s">
        <v>2973</v>
      </c>
      <c r="I1362" s="6" t="s">
        <v>1321</v>
      </c>
      <c r="J1362" s="12">
        <v>46121.447314814817</v>
      </c>
      <c r="K1362" s="6" t="e" cm="1">
        <f t="array" ref="K1362">LOOKUP(2^15,SEARCH(Tabela2[Palavras-Chave],Boletim[[#This Row],[Objeto]],1),Tabela2[Palavras-Chave])</f>
        <v>#N/A</v>
      </c>
    </row>
    <row r="1363" spans="1:11" ht="28.8" hidden="1" x14ac:dyDescent="0.3">
      <c r="A1363" s="5">
        <v>18807383</v>
      </c>
      <c r="B1363" s="6" t="s">
        <v>74</v>
      </c>
      <c r="C1363" s="6" t="s">
        <v>75</v>
      </c>
      <c r="D1363" s="8" t="s">
        <v>76</v>
      </c>
      <c r="E1363" s="6" t="s">
        <v>1932</v>
      </c>
      <c r="F1363" s="6" t="s">
        <v>85</v>
      </c>
      <c r="G1363" s="11" t="s">
        <v>56</v>
      </c>
      <c r="H1363" s="10" t="s">
        <v>1933</v>
      </c>
      <c r="I1363" s="6" t="s">
        <v>1934</v>
      </c>
      <c r="J1363" s="12">
        <v>46121.452557870369</v>
      </c>
      <c r="K1363" s="6" t="e" cm="1">
        <f t="array" ref="K1363">LOOKUP(2^15,SEARCH(Tabela2[Palavras-Chave],Boletim[[#This Row],[Objeto]],1),Tabela2[Palavras-Chave])</f>
        <v>#N/A</v>
      </c>
    </row>
    <row r="1364" spans="1:11" ht="72" hidden="1" x14ac:dyDescent="0.3">
      <c r="A1364" s="5">
        <v>18807442</v>
      </c>
      <c r="B1364" s="6" t="s">
        <v>74</v>
      </c>
      <c r="C1364" s="6" t="s">
        <v>75</v>
      </c>
      <c r="D1364" s="8" t="s">
        <v>76</v>
      </c>
      <c r="E1364" s="6" t="s">
        <v>1355</v>
      </c>
      <c r="F1364" s="6" t="s">
        <v>85</v>
      </c>
      <c r="G1364" s="11" t="s">
        <v>56</v>
      </c>
      <c r="H1364" s="10" t="s">
        <v>1356</v>
      </c>
      <c r="I1364" s="6" t="s">
        <v>1357</v>
      </c>
      <c r="J1364" s="12">
        <v>46121.456122685187</v>
      </c>
      <c r="K1364" s="6" t="e" cm="1">
        <f t="array" ref="K1364">LOOKUP(2^15,SEARCH(Tabela2[Palavras-Chave],Boletim[[#This Row],[Objeto]],1),Tabela2[Palavras-Chave])</f>
        <v>#N/A</v>
      </c>
    </row>
    <row r="1365" spans="1:11" ht="72" hidden="1" x14ac:dyDescent="0.3">
      <c r="A1365" s="5">
        <v>18807376</v>
      </c>
      <c r="B1365" s="6" t="s">
        <v>74</v>
      </c>
      <c r="C1365" s="6" t="s">
        <v>75</v>
      </c>
      <c r="D1365" s="8" t="s">
        <v>76</v>
      </c>
      <c r="E1365" s="6" t="s">
        <v>1839</v>
      </c>
      <c r="F1365" s="6" t="s">
        <v>85</v>
      </c>
      <c r="G1365" s="11" t="s">
        <v>56</v>
      </c>
      <c r="H1365" s="10" t="s">
        <v>1840</v>
      </c>
      <c r="I1365" s="6" t="s">
        <v>1841</v>
      </c>
      <c r="J1365" s="12">
        <v>46121.470092592594</v>
      </c>
      <c r="K1365" s="6" t="e" cm="1">
        <f t="array" ref="K1365">LOOKUP(2^15,SEARCH(Tabela2[Palavras-Chave],Boletim[[#This Row],[Objeto]],1),Tabela2[Palavras-Chave])</f>
        <v>#N/A</v>
      </c>
    </row>
    <row r="1366" spans="1:11" ht="43.2" hidden="1" x14ac:dyDescent="0.3">
      <c r="A1366" s="5">
        <v>18807528</v>
      </c>
      <c r="B1366" s="6" t="s">
        <v>74</v>
      </c>
      <c r="C1366" s="6" t="s">
        <v>75</v>
      </c>
      <c r="D1366" s="8" t="s">
        <v>76</v>
      </c>
      <c r="E1366" s="6" t="s">
        <v>3219</v>
      </c>
      <c r="F1366" s="6" t="s">
        <v>85</v>
      </c>
      <c r="G1366" s="11" t="s">
        <v>56</v>
      </c>
      <c r="H1366" s="10" t="s">
        <v>3220</v>
      </c>
      <c r="I1366" s="6" t="s">
        <v>3221</v>
      </c>
      <c r="J1366" s="12">
        <v>46121.495520833334</v>
      </c>
      <c r="K1366" s="6" t="e" cm="1">
        <f t="array" ref="K1366">LOOKUP(2^15,SEARCH(Tabela2[Palavras-Chave],Boletim[[#This Row],[Objeto]],1),Tabela2[Palavras-Chave])</f>
        <v>#N/A</v>
      </c>
    </row>
    <row r="1367" spans="1:11" ht="43.2" hidden="1" x14ac:dyDescent="0.3">
      <c r="A1367" s="5">
        <v>18807559</v>
      </c>
      <c r="B1367" s="6" t="s">
        <v>74</v>
      </c>
      <c r="C1367" s="6" t="s">
        <v>75</v>
      </c>
      <c r="D1367" s="8" t="s">
        <v>76</v>
      </c>
      <c r="E1367" s="6" t="s">
        <v>1935</v>
      </c>
      <c r="F1367" s="6" t="s">
        <v>85</v>
      </c>
      <c r="G1367" s="11" t="s">
        <v>56</v>
      </c>
      <c r="H1367" s="10" t="s">
        <v>1936</v>
      </c>
      <c r="I1367" s="6" t="s">
        <v>1937</v>
      </c>
      <c r="J1367" s="12">
        <v>46121.502291666664</v>
      </c>
      <c r="K1367" s="6" t="e" cm="1">
        <f t="array" ref="K1367">LOOKUP(2^15,SEARCH(Tabela2[Palavras-Chave],Boletim[[#This Row],[Objeto]],1),Tabela2[Palavras-Chave])</f>
        <v>#N/A</v>
      </c>
    </row>
    <row r="1368" spans="1:11" ht="28.8" hidden="1" x14ac:dyDescent="0.3">
      <c r="A1368" s="5">
        <v>18807557</v>
      </c>
      <c r="B1368" s="6" t="s">
        <v>74</v>
      </c>
      <c r="C1368" s="6" t="s">
        <v>75</v>
      </c>
      <c r="D1368" s="8" t="s">
        <v>76</v>
      </c>
      <c r="E1368" s="6" t="s">
        <v>3222</v>
      </c>
      <c r="F1368" s="6" t="s">
        <v>85</v>
      </c>
      <c r="G1368" s="11" t="s">
        <v>56</v>
      </c>
      <c r="H1368" s="10" t="s">
        <v>3223</v>
      </c>
      <c r="I1368" s="6" t="s">
        <v>3224</v>
      </c>
      <c r="J1368" s="12">
        <v>46121.502453703702</v>
      </c>
      <c r="K1368" s="6" t="e" cm="1">
        <f t="array" ref="K1368">LOOKUP(2^15,SEARCH(Tabela2[Palavras-Chave],Boletim[[#This Row],[Objeto]],1),Tabela2[Palavras-Chave])</f>
        <v>#N/A</v>
      </c>
    </row>
    <row r="1369" spans="1:11" ht="72" hidden="1" x14ac:dyDescent="0.3">
      <c r="A1369" s="5">
        <v>18807473</v>
      </c>
      <c r="B1369" s="6" t="s">
        <v>74</v>
      </c>
      <c r="C1369" s="6" t="s">
        <v>75</v>
      </c>
      <c r="D1369" s="8" t="s">
        <v>76</v>
      </c>
      <c r="E1369" s="6" t="s">
        <v>1938</v>
      </c>
      <c r="F1369" s="6" t="s">
        <v>85</v>
      </c>
      <c r="G1369" s="11" t="s">
        <v>56</v>
      </c>
      <c r="H1369" s="10" t="s">
        <v>1939</v>
      </c>
      <c r="I1369" s="6" t="s">
        <v>1940</v>
      </c>
      <c r="J1369" s="12">
        <v>46121.504513888889</v>
      </c>
      <c r="K1369" s="6" t="e" cm="1">
        <f t="array" ref="K1369">LOOKUP(2^15,SEARCH(Tabela2[Palavras-Chave],Boletim[[#This Row],[Objeto]],1),Tabela2[Palavras-Chave])</f>
        <v>#N/A</v>
      </c>
    </row>
    <row r="1370" spans="1:11" ht="273.60000000000002" hidden="1" x14ac:dyDescent="0.3">
      <c r="A1370" s="5">
        <v>18807782</v>
      </c>
      <c r="B1370" s="6" t="s">
        <v>1941</v>
      </c>
      <c r="C1370" s="6" t="s">
        <v>75</v>
      </c>
      <c r="D1370" s="8" t="s">
        <v>76</v>
      </c>
      <c r="E1370" s="6" t="s">
        <v>126</v>
      </c>
      <c r="F1370" s="6" t="s">
        <v>85</v>
      </c>
      <c r="G1370" s="11" t="s">
        <v>56</v>
      </c>
      <c r="H1370" s="10" t="s">
        <v>1942</v>
      </c>
      <c r="I1370" s="6" t="s">
        <v>1943</v>
      </c>
      <c r="J1370" s="12">
        <v>46121.560277777775</v>
      </c>
      <c r="K1370" s="6" t="e" cm="1">
        <f t="array" ref="K1370">LOOKUP(2^15,SEARCH(Tabela2[Palavras-Chave],Boletim[[#This Row],[Objeto]],1),Tabela2[Palavras-Chave])</f>
        <v>#N/A</v>
      </c>
    </row>
    <row r="1371" spans="1:11" ht="115.2" hidden="1" x14ac:dyDescent="0.3">
      <c r="A1371" s="5">
        <v>18808959</v>
      </c>
      <c r="B1371" s="6" t="s">
        <v>1944</v>
      </c>
      <c r="C1371" s="6" t="s">
        <v>75</v>
      </c>
      <c r="D1371" s="8" t="s">
        <v>76</v>
      </c>
      <c r="E1371" s="6" t="s">
        <v>1945</v>
      </c>
      <c r="F1371" s="6" t="s">
        <v>85</v>
      </c>
      <c r="G1371" s="11" t="s">
        <v>56</v>
      </c>
      <c r="H1371" s="10" t="s">
        <v>1946</v>
      </c>
      <c r="I1371" s="6" t="s">
        <v>1947</v>
      </c>
      <c r="J1371" s="12">
        <v>46121.576516203706</v>
      </c>
      <c r="K1371" s="6" t="e" cm="1">
        <f t="array" ref="K1371">LOOKUP(2^15,SEARCH(Tabela2[Palavras-Chave],Boletim[[#This Row],[Objeto]],1),Tabela2[Palavras-Chave])</f>
        <v>#N/A</v>
      </c>
    </row>
    <row r="1372" spans="1:11" ht="115.2" hidden="1" x14ac:dyDescent="0.3">
      <c r="A1372" s="5">
        <v>18808988</v>
      </c>
      <c r="B1372" s="6" t="s">
        <v>1948</v>
      </c>
      <c r="C1372" s="6" t="s">
        <v>578</v>
      </c>
      <c r="D1372" s="8" t="s">
        <v>76</v>
      </c>
      <c r="E1372" s="6" t="s">
        <v>183</v>
      </c>
      <c r="F1372" s="6" t="s">
        <v>85</v>
      </c>
      <c r="G1372" s="11" t="s">
        <v>56</v>
      </c>
      <c r="H1372" s="10" t="s">
        <v>1949</v>
      </c>
      <c r="I1372" s="6" t="s">
        <v>1950</v>
      </c>
      <c r="J1372" s="12">
        <v>46121.576979166668</v>
      </c>
      <c r="K1372" s="6" t="e" cm="1">
        <f t="array" ref="K1372">LOOKUP(2^15,SEARCH(Tabela2[Palavras-Chave],Boletim[[#This Row],[Objeto]],1),Tabela2[Palavras-Chave])</f>
        <v>#N/A</v>
      </c>
    </row>
    <row r="1373" spans="1:11" ht="115.2" hidden="1" x14ac:dyDescent="0.3">
      <c r="A1373" s="5">
        <v>18808974</v>
      </c>
      <c r="B1373" s="6" t="s">
        <v>225</v>
      </c>
      <c r="C1373" s="6" t="s">
        <v>75</v>
      </c>
      <c r="D1373" s="8" t="s">
        <v>76</v>
      </c>
      <c r="E1373" s="6" t="s">
        <v>1951</v>
      </c>
      <c r="F1373" s="6" t="s">
        <v>85</v>
      </c>
      <c r="G1373" s="11" t="s">
        <v>56</v>
      </c>
      <c r="H1373" s="10" t="s">
        <v>1952</v>
      </c>
      <c r="I1373" s="6" t="s">
        <v>1953</v>
      </c>
      <c r="J1373" s="12">
        <v>46121.580243055556</v>
      </c>
      <c r="K1373" s="6" t="e" cm="1">
        <f t="array" ref="K1373">LOOKUP(2^15,SEARCH(Tabela2[Palavras-Chave],Boletim[[#This Row],[Objeto]],1),Tabela2[Palavras-Chave])</f>
        <v>#N/A</v>
      </c>
    </row>
    <row r="1374" spans="1:11" ht="115.2" hidden="1" x14ac:dyDescent="0.3">
      <c r="A1374" s="5">
        <v>18808976</v>
      </c>
      <c r="B1374" s="6" t="s">
        <v>225</v>
      </c>
      <c r="C1374" s="6" t="s">
        <v>75</v>
      </c>
      <c r="D1374" s="8" t="s">
        <v>76</v>
      </c>
      <c r="E1374" s="6" t="s">
        <v>1954</v>
      </c>
      <c r="F1374" s="6" t="s">
        <v>85</v>
      </c>
      <c r="G1374" s="11" t="s">
        <v>56</v>
      </c>
      <c r="H1374" s="10" t="s">
        <v>1955</v>
      </c>
      <c r="I1374" s="6" t="s">
        <v>1956</v>
      </c>
      <c r="J1374" s="12">
        <v>46121.612002314818</v>
      </c>
      <c r="K1374" s="6" t="e" cm="1">
        <f t="array" ref="K1374">LOOKUP(2^15,SEARCH(Tabela2[Palavras-Chave],Boletim[[#This Row],[Objeto]],1),Tabela2[Palavras-Chave])</f>
        <v>#N/A</v>
      </c>
    </row>
    <row r="1375" spans="1:11" ht="172.8" hidden="1" x14ac:dyDescent="0.3">
      <c r="A1375" s="5">
        <v>18808989</v>
      </c>
      <c r="B1375" s="6" t="s">
        <v>1388</v>
      </c>
      <c r="C1375" s="6" t="s">
        <v>213</v>
      </c>
      <c r="D1375" s="8" t="s">
        <v>76</v>
      </c>
      <c r="E1375" s="6" t="s">
        <v>1389</v>
      </c>
      <c r="F1375" s="6" t="s">
        <v>85</v>
      </c>
      <c r="G1375" s="11" t="s">
        <v>56</v>
      </c>
      <c r="H1375" s="10" t="s">
        <v>1390</v>
      </c>
      <c r="I1375" s="6" t="s">
        <v>1391</v>
      </c>
      <c r="J1375" s="12">
        <v>46121.634710648148</v>
      </c>
      <c r="K1375" s="6" t="e" cm="1">
        <f t="array" ref="K1375">LOOKUP(2^15,SEARCH(Tabela2[Palavras-Chave],Boletim[[#This Row],[Objeto]],1),Tabela2[Palavras-Chave])</f>
        <v>#N/A</v>
      </c>
    </row>
    <row r="1376" spans="1:11" ht="115.2" hidden="1" x14ac:dyDescent="0.3">
      <c r="A1376" s="5">
        <v>18808991</v>
      </c>
      <c r="B1376" s="6" t="s">
        <v>1957</v>
      </c>
      <c r="C1376" s="6" t="s">
        <v>75</v>
      </c>
      <c r="D1376" s="8" t="s">
        <v>76</v>
      </c>
      <c r="E1376" s="6" t="s">
        <v>157</v>
      </c>
      <c r="F1376" s="6" t="s">
        <v>85</v>
      </c>
      <c r="G1376" s="11" t="s">
        <v>56</v>
      </c>
      <c r="H1376" s="10" t="s">
        <v>1958</v>
      </c>
      <c r="I1376" s="6" t="s">
        <v>1959</v>
      </c>
      <c r="J1376" s="12">
        <v>46121.652974537035</v>
      </c>
      <c r="K1376" s="6" t="e" cm="1">
        <f t="array" ref="K1376">LOOKUP(2^15,SEARCH(Tabela2[Palavras-Chave],Boletim[[#This Row],[Objeto]],1),Tabela2[Palavras-Chave])</f>
        <v>#N/A</v>
      </c>
    </row>
    <row r="1377" spans="1:11" ht="115.2" hidden="1" x14ac:dyDescent="0.3">
      <c r="A1377" s="5">
        <v>18808960</v>
      </c>
      <c r="B1377" s="6" t="s">
        <v>1960</v>
      </c>
      <c r="C1377" s="6" t="s">
        <v>1961</v>
      </c>
      <c r="D1377" s="8" t="s">
        <v>76</v>
      </c>
      <c r="E1377" s="6" t="s">
        <v>1962</v>
      </c>
      <c r="F1377" s="6" t="s">
        <v>85</v>
      </c>
      <c r="G1377" s="11" t="s">
        <v>56</v>
      </c>
      <c r="H1377" s="10" t="s">
        <v>1963</v>
      </c>
      <c r="I1377" s="6" t="s">
        <v>1964</v>
      </c>
      <c r="J1377" s="12">
        <v>46121.663483796299</v>
      </c>
      <c r="K1377" s="6" t="e" cm="1">
        <f t="array" ref="K1377">LOOKUP(2^15,SEARCH(Tabela2[Palavras-Chave],Boletim[[#This Row],[Objeto]],1),Tabela2[Palavras-Chave])</f>
        <v>#N/A</v>
      </c>
    </row>
    <row r="1378" spans="1:11" ht="172.8" hidden="1" x14ac:dyDescent="0.3">
      <c r="A1378" s="5">
        <v>18793543</v>
      </c>
      <c r="B1378" s="6" t="s">
        <v>1965</v>
      </c>
      <c r="C1378" s="6" t="s">
        <v>1961</v>
      </c>
      <c r="D1378" s="8" t="s">
        <v>76</v>
      </c>
      <c r="E1378" s="6" t="s">
        <v>1966</v>
      </c>
      <c r="F1378" s="6" t="s">
        <v>85</v>
      </c>
      <c r="G1378" s="11">
        <v>46134.375</v>
      </c>
      <c r="H1378" s="10" t="s">
        <v>1967</v>
      </c>
      <c r="I1378" s="6" t="s">
        <v>1968</v>
      </c>
      <c r="J1378" s="12">
        <v>46121.69122685185</v>
      </c>
      <c r="K1378" s="6" t="e" cm="1">
        <f t="array" ref="K1378">LOOKUP(2^15,SEARCH(Tabela2[Palavras-Chave],Boletim[[#This Row],[Objeto]],1),Tabela2[Palavras-Chave])</f>
        <v>#N/A</v>
      </c>
    </row>
    <row r="1379" spans="1:11" ht="72" x14ac:dyDescent="0.3">
      <c r="A1379" s="5">
        <v>18810011</v>
      </c>
      <c r="B1379" s="6" t="s">
        <v>74</v>
      </c>
      <c r="C1379" s="6" t="s">
        <v>75</v>
      </c>
      <c r="D1379" s="8" t="s">
        <v>76</v>
      </c>
      <c r="E1379" s="6" t="s">
        <v>1969</v>
      </c>
      <c r="F1379" s="6" t="s">
        <v>85</v>
      </c>
      <c r="G1379" s="11" t="s">
        <v>56</v>
      </c>
      <c r="H1379" s="10" t="s">
        <v>1970</v>
      </c>
      <c r="I1379" s="6" t="s">
        <v>1971</v>
      </c>
      <c r="J1379" s="12">
        <v>46121.705497685187</v>
      </c>
      <c r="K1379" s="6" t="str" cm="1">
        <f t="array" ref="K1379">LOOKUP(2^15,SEARCH(Tabela2[Palavras-Chave],Boletim[[#This Row],[Objeto]],1),Tabela2[Palavras-Chave])</f>
        <v>ELEVADO</v>
      </c>
    </row>
    <row r="1380" spans="1:11" ht="72" hidden="1" x14ac:dyDescent="0.3">
      <c r="A1380" s="5">
        <v>18810009</v>
      </c>
      <c r="B1380" s="6" t="s">
        <v>74</v>
      </c>
      <c r="C1380" s="6" t="s">
        <v>75</v>
      </c>
      <c r="D1380" s="8" t="s">
        <v>76</v>
      </c>
      <c r="E1380" s="6" t="s">
        <v>1972</v>
      </c>
      <c r="F1380" s="6" t="s">
        <v>85</v>
      </c>
      <c r="G1380" s="11" t="s">
        <v>56</v>
      </c>
      <c r="H1380" s="10" t="s">
        <v>1973</v>
      </c>
      <c r="I1380" s="6" t="s">
        <v>1974</v>
      </c>
      <c r="J1380" s="12">
        <v>46121.705694444441</v>
      </c>
      <c r="K1380" s="6" t="e" cm="1">
        <f t="array" ref="K1380">LOOKUP(2^15,SEARCH(Tabela2[Palavras-Chave],Boletim[[#This Row],[Objeto]],1),Tabela2[Palavras-Chave])</f>
        <v>#N/A</v>
      </c>
    </row>
    <row r="1381" spans="1:11" ht="28.8" hidden="1" x14ac:dyDescent="0.3">
      <c r="A1381" s="5">
        <v>18810007</v>
      </c>
      <c r="B1381" s="6" t="s">
        <v>74</v>
      </c>
      <c r="C1381" s="6" t="s">
        <v>75</v>
      </c>
      <c r="D1381" s="8" t="s">
        <v>76</v>
      </c>
      <c r="E1381" s="6" t="s">
        <v>1975</v>
      </c>
      <c r="F1381" s="6" t="s">
        <v>85</v>
      </c>
      <c r="G1381" s="11" t="s">
        <v>56</v>
      </c>
      <c r="H1381" s="10" t="s">
        <v>1976</v>
      </c>
      <c r="I1381" s="6" t="s">
        <v>1977</v>
      </c>
      <c r="J1381" s="12">
        <v>46121.705775462964</v>
      </c>
      <c r="K1381" s="6" t="e" cm="1">
        <f t="array" ref="K1381">LOOKUP(2^15,SEARCH(Tabela2[Palavras-Chave],Boletim[[#This Row],[Objeto]],1),Tabela2[Palavras-Chave])</f>
        <v>#N/A</v>
      </c>
    </row>
    <row r="1382" spans="1:11" ht="72" hidden="1" x14ac:dyDescent="0.3">
      <c r="A1382" s="5">
        <v>18810004</v>
      </c>
      <c r="B1382" s="6" t="s">
        <v>74</v>
      </c>
      <c r="C1382" s="6" t="s">
        <v>75</v>
      </c>
      <c r="D1382" s="8" t="s">
        <v>76</v>
      </c>
      <c r="E1382" s="6" t="s">
        <v>1978</v>
      </c>
      <c r="F1382" s="6" t="s">
        <v>85</v>
      </c>
      <c r="G1382" s="11" t="s">
        <v>56</v>
      </c>
      <c r="H1382" s="10" t="s">
        <v>1979</v>
      </c>
      <c r="I1382" s="6" t="s">
        <v>1971</v>
      </c>
      <c r="J1382" s="12">
        <v>46121.70590277778</v>
      </c>
      <c r="K1382" s="6" t="e" cm="1">
        <f t="array" ref="K1382">LOOKUP(2^15,SEARCH(Tabela2[Palavras-Chave],Boletim[[#This Row],[Objeto]],1),Tabela2[Palavras-Chave])</f>
        <v>#N/A</v>
      </c>
    </row>
    <row r="1383" spans="1:11" ht="86.4" hidden="1" x14ac:dyDescent="0.3">
      <c r="A1383" s="5">
        <v>18809994</v>
      </c>
      <c r="B1383" s="6" t="s">
        <v>74</v>
      </c>
      <c r="C1383" s="6" t="s">
        <v>75</v>
      </c>
      <c r="D1383" s="8" t="s">
        <v>76</v>
      </c>
      <c r="E1383" s="6" t="s">
        <v>1980</v>
      </c>
      <c r="F1383" s="6" t="s">
        <v>85</v>
      </c>
      <c r="G1383" s="11" t="s">
        <v>56</v>
      </c>
      <c r="H1383" s="10" t="s">
        <v>1981</v>
      </c>
      <c r="I1383" s="6" t="s">
        <v>1982</v>
      </c>
      <c r="J1383" s="12">
        <v>46121.707048611112</v>
      </c>
      <c r="K1383" s="6" t="e" cm="1">
        <f t="array" ref="K1383">LOOKUP(2^15,SEARCH(Tabela2[Palavras-Chave],Boletim[[#This Row],[Objeto]],1),Tabela2[Palavras-Chave])</f>
        <v>#N/A</v>
      </c>
    </row>
    <row r="1384" spans="1:11" ht="129.6" hidden="1" x14ac:dyDescent="0.3">
      <c r="A1384" s="5">
        <v>18807344</v>
      </c>
      <c r="B1384" s="6" t="s">
        <v>1983</v>
      </c>
      <c r="C1384" s="6" t="s">
        <v>1984</v>
      </c>
      <c r="D1384" s="8" t="s">
        <v>76</v>
      </c>
      <c r="E1384" s="6" t="s">
        <v>240</v>
      </c>
      <c r="F1384" s="6" t="s">
        <v>85</v>
      </c>
      <c r="G1384" s="11">
        <v>46139.375</v>
      </c>
      <c r="H1384" s="10" t="s">
        <v>1985</v>
      </c>
      <c r="I1384" s="6" t="s">
        <v>1986</v>
      </c>
      <c r="J1384" s="12">
        <v>46121.709548611114</v>
      </c>
      <c r="K1384" s="6" t="e" cm="1">
        <f t="array" ref="K1384">LOOKUP(2^15,SEARCH(Tabela2[Palavras-Chave],Boletim[[#This Row],[Objeto]],1),Tabela2[Palavras-Chave])</f>
        <v>#N/A</v>
      </c>
    </row>
    <row r="1385" spans="1:11" ht="57.6" hidden="1" x14ac:dyDescent="0.3">
      <c r="A1385" s="5">
        <v>18810006</v>
      </c>
      <c r="B1385" s="6" t="s">
        <v>74</v>
      </c>
      <c r="C1385" s="6" t="s">
        <v>75</v>
      </c>
      <c r="D1385" s="8" t="s">
        <v>76</v>
      </c>
      <c r="E1385" s="6" t="s">
        <v>1987</v>
      </c>
      <c r="F1385" s="6" t="s">
        <v>85</v>
      </c>
      <c r="G1385" s="11" t="s">
        <v>56</v>
      </c>
      <c r="H1385" s="10" t="s">
        <v>1988</v>
      </c>
      <c r="I1385" s="6" t="s">
        <v>1989</v>
      </c>
      <c r="J1385" s="12">
        <v>46121.712638888886</v>
      </c>
      <c r="K1385" s="6" t="e" cm="1">
        <f t="array" ref="K1385">LOOKUP(2^15,SEARCH(Tabela2[Palavras-Chave],Boletim[[#This Row],[Objeto]],1),Tabela2[Palavras-Chave])</f>
        <v>#N/A</v>
      </c>
    </row>
    <row r="1386" spans="1:11" ht="259.2" hidden="1" x14ac:dyDescent="0.3">
      <c r="A1386" s="5">
        <v>18810282</v>
      </c>
      <c r="B1386" s="6" t="s">
        <v>1990</v>
      </c>
      <c r="C1386" s="6" t="s">
        <v>1991</v>
      </c>
      <c r="D1386" s="8" t="s">
        <v>76</v>
      </c>
      <c r="E1386" s="6" t="s">
        <v>115</v>
      </c>
      <c r="F1386" s="6" t="s">
        <v>85</v>
      </c>
      <c r="G1386" s="11" t="s">
        <v>56</v>
      </c>
      <c r="H1386" s="10" t="s">
        <v>1992</v>
      </c>
      <c r="I1386" s="6" t="s">
        <v>1993</v>
      </c>
      <c r="J1386" s="12">
        <v>46121.721388888887</v>
      </c>
      <c r="K1386" s="6" t="e" cm="1">
        <f t="array" ref="K1386">LOOKUP(2^15,SEARCH(Tabela2[Palavras-Chave],Boletim[[#This Row],[Objeto]],1),Tabela2[Palavras-Chave])</f>
        <v>#N/A</v>
      </c>
    </row>
    <row r="1387" spans="1:11" ht="115.2" hidden="1" x14ac:dyDescent="0.3">
      <c r="A1387" s="5">
        <v>18810432</v>
      </c>
      <c r="B1387" s="6" t="s">
        <v>480</v>
      </c>
      <c r="C1387" s="6" t="s">
        <v>75</v>
      </c>
      <c r="D1387" s="8" t="s">
        <v>76</v>
      </c>
      <c r="E1387" s="6" t="s">
        <v>1994</v>
      </c>
      <c r="F1387" s="6" t="s">
        <v>85</v>
      </c>
      <c r="G1387" s="11" t="s">
        <v>56</v>
      </c>
      <c r="H1387" s="10" t="s">
        <v>1995</v>
      </c>
      <c r="I1387" s="6" t="s">
        <v>1996</v>
      </c>
      <c r="J1387" s="12">
        <v>46121.735868055555</v>
      </c>
      <c r="K1387" s="6" t="e" cm="1">
        <f t="array" ref="K1387">LOOKUP(2^15,SEARCH(Tabela2[Palavras-Chave],Boletim[[#This Row],[Objeto]],1),Tabela2[Palavras-Chave])</f>
        <v>#N/A</v>
      </c>
    </row>
    <row r="1388" spans="1:11" ht="115.2" hidden="1" x14ac:dyDescent="0.3">
      <c r="A1388" s="5">
        <v>18808966</v>
      </c>
      <c r="B1388" s="6" t="s">
        <v>1997</v>
      </c>
      <c r="C1388" s="6" t="s">
        <v>1998</v>
      </c>
      <c r="D1388" s="8" t="s">
        <v>76</v>
      </c>
      <c r="E1388" s="6" t="s">
        <v>241</v>
      </c>
      <c r="F1388" s="6" t="s">
        <v>85</v>
      </c>
      <c r="G1388" s="11" t="s">
        <v>56</v>
      </c>
      <c r="H1388" s="10" t="s">
        <v>1999</v>
      </c>
      <c r="I1388" s="6" t="s">
        <v>2000</v>
      </c>
      <c r="J1388" s="12">
        <v>46121.749722222223</v>
      </c>
      <c r="K1388" s="6" t="e" cm="1">
        <f t="array" ref="K1388">LOOKUP(2^15,SEARCH(Tabela2[Palavras-Chave],Boletim[[#This Row],[Objeto]],1),Tabela2[Palavras-Chave])</f>
        <v>#N/A</v>
      </c>
    </row>
    <row r="1389" spans="1:11" ht="43.2" hidden="1" x14ac:dyDescent="0.3">
      <c r="A1389" s="5">
        <v>18809993</v>
      </c>
      <c r="B1389" s="6" t="s">
        <v>74</v>
      </c>
      <c r="C1389" s="6" t="s">
        <v>75</v>
      </c>
      <c r="D1389" s="8" t="s">
        <v>76</v>
      </c>
      <c r="E1389" s="6" t="s">
        <v>2001</v>
      </c>
      <c r="F1389" s="6" t="s">
        <v>85</v>
      </c>
      <c r="G1389" s="11" t="s">
        <v>56</v>
      </c>
      <c r="H1389" s="10" t="s">
        <v>2002</v>
      </c>
      <c r="I1389" s="6" t="s">
        <v>2003</v>
      </c>
      <c r="J1389" s="12">
        <v>46121.756666666668</v>
      </c>
      <c r="K1389" s="6" t="e" cm="1">
        <f t="array" ref="K1389">LOOKUP(2^15,SEARCH(Tabela2[Palavras-Chave],Boletim[[#This Row],[Objeto]],1),Tabela2[Palavras-Chave])</f>
        <v>#N/A</v>
      </c>
    </row>
    <row r="1390" spans="1:11" ht="115.2" hidden="1" x14ac:dyDescent="0.3">
      <c r="A1390" s="5">
        <v>18808983</v>
      </c>
      <c r="B1390" s="6" t="s">
        <v>2004</v>
      </c>
      <c r="C1390" s="6" t="s">
        <v>75</v>
      </c>
      <c r="D1390" s="8" t="s">
        <v>76</v>
      </c>
      <c r="E1390" s="6" t="s">
        <v>2005</v>
      </c>
      <c r="F1390" s="6" t="s">
        <v>85</v>
      </c>
      <c r="G1390" s="11" t="s">
        <v>56</v>
      </c>
      <c r="H1390" s="10" t="s">
        <v>2006</v>
      </c>
      <c r="I1390" s="6" t="s">
        <v>2007</v>
      </c>
      <c r="J1390" s="12">
        <v>46121.807083333333</v>
      </c>
      <c r="K1390" s="6" t="e" cm="1">
        <f t="array" ref="K1390">LOOKUP(2^15,SEARCH(Tabela2[Palavras-Chave],Boletim[[#This Row],[Objeto]],1),Tabela2[Palavras-Chave])</f>
        <v>#N/A</v>
      </c>
    </row>
    <row r="1391" spans="1:11" ht="115.2" hidden="1" x14ac:dyDescent="0.3">
      <c r="A1391" s="5">
        <v>18810913</v>
      </c>
      <c r="B1391" s="6" t="s">
        <v>2008</v>
      </c>
      <c r="C1391" s="6" t="s">
        <v>75</v>
      </c>
      <c r="D1391" s="8" t="s">
        <v>76</v>
      </c>
      <c r="E1391" s="6" t="s">
        <v>370</v>
      </c>
      <c r="F1391" s="6" t="s">
        <v>85</v>
      </c>
      <c r="G1391" s="11">
        <v>46129.416666666664</v>
      </c>
      <c r="H1391" s="10" t="s">
        <v>2009</v>
      </c>
      <c r="I1391" s="6" t="s">
        <v>2010</v>
      </c>
      <c r="J1391" s="12">
        <v>46121.827037037037</v>
      </c>
      <c r="K1391" s="6" t="e" cm="1">
        <f t="array" ref="K1391">LOOKUP(2^15,SEARCH(Tabela2[Palavras-Chave],Boletim[[#This Row],[Objeto]],1),Tabela2[Palavras-Chave])</f>
        <v>#N/A</v>
      </c>
    </row>
    <row r="1392" spans="1:11" ht="115.2" hidden="1" x14ac:dyDescent="0.3">
      <c r="A1392" s="5">
        <v>18808985</v>
      </c>
      <c r="B1392" s="6" t="s">
        <v>357</v>
      </c>
      <c r="C1392" s="6" t="s">
        <v>358</v>
      </c>
      <c r="D1392" s="8" t="s">
        <v>76</v>
      </c>
      <c r="E1392" s="6" t="s">
        <v>210</v>
      </c>
      <c r="F1392" s="6" t="s">
        <v>85</v>
      </c>
      <c r="G1392" s="11" t="s">
        <v>56</v>
      </c>
      <c r="H1392" s="10" t="s">
        <v>2011</v>
      </c>
      <c r="I1392" s="6" t="s">
        <v>2012</v>
      </c>
      <c r="J1392" s="12">
        <v>46121.827569444446</v>
      </c>
      <c r="K1392" s="6" t="e" cm="1">
        <f t="array" ref="K1392">LOOKUP(2^15,SEARCH(Tabela2[Palavras-Chave],Boletim[[#This Row],[Objeto]],1),Tabela2[Palavras-Chave])</f>
        <v>#N/A</v>
      </c>
    </row>
    <row r="1393" spans="1:11" ht="43.2" hidden="1" x14ac:dyDescent="0.3">
      <c r="A1393" s="5">
        <v>18810939</v>
      </c>
      <c r="B1393" s="6" t="s">
        <v>355</v>
      </c>
      <c r="C1393" s="6" t="s">
        <v>356</v>
      </c>
      <c r="D1393" s="8" t="s">
        <v>76</v>
      </c>
      <c r="E1393" s="6" t="s">
        <v>119</v>
      </c>
      <c r="F1393" s="6" t="s">
        <v>85</v>
      </c>
      <c r="G1393" s="11" t="s">
        <v>56</v>
      </c>
      <c r="H1393" s="10" t="s">
        <v>2013</v>
      </c>
      <c r="I1393" s="6" t="s">
        <v>2014</v>
      </c>
      <c r="J1393" s="12">
        <v>46121.831307870372</v>
      </c>
      <c r="K1393" s="6" t="e" cm="1">
        <f t="array" ref="K1393">LOOKUP(2^15,SEARCH(Tabela2[Palavras-Chave],Boletim[[#This Row],[Objeto]],1),Tabela2[Palavras-Chave])</f>
        <v>#N/A</v>
      </c>
    </row>
    <row r="1394" spans="1:11" ht="100.8" hidden="1" x14ac:dyDescent="0.3">
      <c r="A1394" s="5">
        <v>18809518</v>
      </c>
      <c r="B1394" s="6" t="s">
        <v>2015</v>
      </c>
      <c r="C1394" s="6" t="s">
        <v>2016</v>
      </c>
      <c r="D1394" s="8" t="s">
        <v>76</v>
      </c>
      <c r="E1394" s="6" t="s">
        <v>146</v>
      </c>
      <c r="F1394" s="6" t="s">
        <v>85</v>
      </c>
      <c r="G1394" s="11">
        <v>46139.374305555553</v>
      </c>
      <c r="H1394" s="10" t="s">
        <v>2017</v>
      </c>
      <c r="I1394" s="6" t="s">
        <v>2018</v>
      </c>
      <c r="J1394" s="12">
        <v>46121.863159722219</v>
      </c>
      <c r="K1394" s="6" t="e" cm="1">
        <f t="array" ref="K1394">LOOKUP(2^15,SEARCH(Tabela2[Palavras-Chave],Boletim[[#This Row],[Objeto]],1),Tabela2[Palavras-Chave])</f>
        <v>#N/A</v>
      </c>
    </row>
    <row r="1395" spans="1:11" ht="100.8" hidden="1" x14ac:dyDescent="0.3">
      <c r="A1395" s="5">
        <v>18807454</v>
      </c>
      <c r="B1395" s="6" t="s">
        <v>74</v>
      </c>
      <c r="C1395" s="6" t="s">
        <v>102</v>
      </c>
      <c r="D1395" s="8" t="s">
        <v>77</v>
      </c>
      <c r="E1395" s="6" t="s">
        <v>1319</v>
      </c>
      <c r="F1395" s="6" t="s">
        <v>85</v>
      </c>
      <c r="G1395" s="11" t="s">
        <v>56</v>
      </c>
      <c r="H1395" s="10" t="s">
        <v>1320</v>
      </c>
      <c r="I1395" s="6" t="s">
        <v>1321</v>
      </c>
      <c r="J1395" s="12">
        <v>46121.44730324074</v>
      </c>
      <c r="K1395" s="6" t="e" cm="1">
        <f t="array" ref="K1395">LOOKUP(2^15,SEARCH(Tabela2[Palavras-Chave],Boletim[[#This Row],[Objeto]],1),Tabela2[Palavras-Chave])</f>
        <v>#N/A</v>
      </c>
    </row>
    <row r="1396" spans="1:11" ht="100.8" hidden="1" x14ac:dyDescent="0.3">
      <c r="A1396" s="5">
        <v>18807582</v>
      </c>
      <c r="B1396" s="6" t="s">
        <v>74</v>
      </c>
      <c r="C1396" s="6" t="s">
        <v>102</v>
      </c>
      <c r="D1396" s="8" t="s">
        <v>77</v>
      </c>
      <c r="E1396" s="6" t="s">
        <v>2972</v>
      </c>
      <c r="F1396" s="6" t="s">
        <v>85</v>
      </c>
      <c r="G1396" s="11" t="s">
        <v>56</v>
      </c>
      <c r="H1396" s="10" t="s">
        <v>2973</v>
      </c>
      <c r="I1396" s="6" t="s">
        <v>1321</v>
      </c>
      <c r="J1396" s="12">
        <v>46121.45008101852</v>
      </c>
      <c r="K1396" s="6" t="e" cm="1">
        <f t="array" ref="K1396">LOOKUP(2^15,SEARCH(Tabela2[Palavras-Chave],Boletim[[#This Row],[Objeto]],1),Tabela2[Palavras-Chave])</f>
        <v>#N/A</v>
      </c>
    </row>
    <row r="1397" spans="1:11" ht="86.4" hidden="1" x14ac:dyDescent="0.3">
      <c r="A1397" s="5">
        <v>18810441</v>
      </c>
      <c r="B1397" s="6" t="s">
        <v>2019</v>
      </c>
      <c r="C1397" s="6" t="s">
        <v>2020</v>
      </c>
      <c r="D1397" s="8" t="s">
        <v>77</v>
      </c>
      <c r="E1397" s="6" t="s">
        <v>117</v>
      </c>
      <c r="F1397" s="6" t="s">
        <v>85</v>
      </c>
      <c r="G1397" s="11" t="s">
        <v>56</v>
      </c>
      <c r="H1397" s="10" t="s">
        <v>2021</v>
      </c>
      <c r="I1397" s="6" t="s">
        <v>2022</v>
      </c>
      <c r="J1397" s="12">
        <v>46121.736018518517</v>
      </c>
      <c r="K1397" s="6" t="e" cm="1">
        <f t="array" ref="K1397">LOOKUP(2^15,SEARCH(Tabela2[Palavras-Chave],Boletim[[#This Row],[Objeto]],1),Tabela2[Palavras-Chave])</f>
        <v>#N/A</v>
      </c>
    </row>
    <row r="1398" spans="1:11" ht="244.8" hidden="1" x14ac:dyDescent="0.3">
      <c r="A1398" s="5">
        <v>18810368</v>
      </c>
      <c r="B1398" s="6" t="s">
        <v>2023</v>
      </c>
      <c r="C1398" s="6" t="s">
        <v>2024</v>
      </c>
      <c r="D1398" s="8" t="s">
        <v>77</v>
      </c>
      <c r="E1398" s="6" t="s">
        <v>135</v>
      </c>
      <c r="F1398" s="6" t="s">
        <v>85</v>
      </c>
      <c r="G1398" s="11" t="s">
        <v>56</v>
      </c>
      <c r="H1398" s="10" t="s">
        <v>2025</v>
      </c>
      <c r="I1398" s="6" t="s">
        <v>2026</v>
      </c>
      <c r="J1398" s="12">
        <v>46121.763113425928</v>
      </c>
      <c r="K1398" s="6" t="e" cm="1">
        <f t="array" ref="K1398">LOOKUP(2^15,SEARCH(Tabela2[Palavras-Chave],Boletim[[#This Row],[Objeto]],1),Tabela2[Palavras-Chave])</f>
        <v>#N/A</v>
      </c>
    </row>
    <row r="1399" spans="1:11" ht="129.6" hidden="1" x14ac:dyDescent="0.3">
      <c r="A1399" s="5">
        <v>18808533</v>
      </c>
      <c r="B1399" s="6" t="s">
        <v>2027</v>
      </c>
      <c r="C1399" s="6" t="s">
        <v>102</v>
      </c>
      <c r="D1399" s="8" t="s">
        <v>77</v>
      </c>
      <c r="E1399" s="6" t="s">
        <v>481</v>
      </c>
      <c r="F1399" s="6" t="s">
        <v>85</v>
      </c>
      <c r="G1399" s="11" t="s">
        <v>56</v>
      </c>
      <c r="H1399" s="10" t="s">
        <v>2028</v>
      </c>
      <c r="I1399" s="6" t="s">
        <v>2029</v>
      </c>
      <c r="J1399" s="12">
        <v>46121.793541666666</v>
      </c>
      <c r="K1399" s="6" t="e" cm="1">
        <f t="array" ref="K1399">LOOKUP(2^15,SEARCH(Tabela2[Palavras-Chave],Boletim[[#This Row],[Objeto]],1),Tabela2[Palavras-Chave])</f>
        <v>#N/A</v>
      </c>
    </row>
    <row r="1400" spans="1:11" ht="28.8" hidden="1" x14ac:dyDescent="0.3">
      <c r="A1400" s="5">
        <v>18794513</v>
      </c>
      <c r="B1400" s="6" t="s">
        <v>3225</v>
      </c>
      <c r="C1400" s="6" t="s">
        <v>3226</v>
      </c>
      <c r="D1400" s="8" t="s">
        <v>78</v>
      </c>
      <c r="E1400" s="6" t="s">
        <v>199</v>
      </c>
      <c r="F1400" s="6" t="s">
        <v>85</v>
      </c>
      <c r="G1400" s="11">
        <v>46139.375</v>
      </c>
      <c r="H1400" s="10" t="s">
        <v>3227</v>
      </c>
      <c r="I1400" s="6" t="s">
        <v>3228</v>
      </c>
      <c r="J1400" s="12">
        <v>46121.389050925929</v>
      </c>
      <c r="K1400" s="6" t="e" cm="1">
        <f t="array" ref="K1400">LOOKUP(2^15,SEARCH(Tabela2[Palavras-Chave],Boletim[[#This Row],[Objeto]],1),Tabela2[Palavras-Chave])</f>
        <v>#N/A</v>
      </c>
    </row>
    <row r="1401" spans="1:11" ht="158.4" hidden="1" x14ac:dyDescent="0.3">
      <c r="A1401" s="5">
        <v>18802892</v>
      </c>
      <c r="B1401" s="6" t="s">
        <v>484</v>
      </c>
      <c r="C1401" s="6" t="s">
        <v>136</v>
      </c>
      <c r="D1401" s="8" t="s">
        <v>78</v>
      </c>
      <c r="E1401" s="6" t="s">
        <v>485</v>
      </c>
      <c r="F1401" s="6" t="s">
        <v>85</v>
      </c>
      <c r="G1401" s="11" t="s">
        <v>56</v>
      </c>
      <c r="H1401" s="10" t="s">
        <v>486</v>
      </c>
      <c r="I1401" s="6" t="s">
        <v>487</v>
      </c>
      <c r="J1401" s="12">
        <v>46121.429895833331</v>
      </c>
      <c r="K1401" s="6" t="e" cm="1">
        <f t="array" ref="K1401">LOOKUP(2^15,SEARCH(Tabela2[Palavras-Chave],Boletim[[#This Row],[Objeto]],1),Tabela2[Palavras-Chave])</f>
        <v>#N/A</v>
      </c>
    </row>
    <row r="1402" spans="1:11" ht="100.8" hidden="1" x14ac:dyDescent="0.3">
      <c r="A1402" s="5">
        <v>18807456</v>
      </c>
      <c r="B1402" s="6" t="s">
        <v>74</v>
      </c>
      <c r="C1402" s="6" t="s">
        <v>136</v>
      </c>
      <c r="D1402" s="8" t="s">
        <v>78</v>
      </c>
      <c r="E1402" s="6" t="s">
        <v>1319</v>
      </c>
      <c r="F1402" s="6" t="s">
        <v>85</v>
      </c>
      <c r="G1402" s="11" t="s">
        <v>56</v>
      </c>
      <c r="H1402" s="10" t="s">
        <v>1320</v>
      </c>
      <c r="I1402" s="6" t="s">
        <v>1321</v>
      </c>
      <c r="J1402" s="12">
        <v>46121.44730324074</v>
      </c>
      <c r="K1402" s="6" t="e" cm="1">
        <f t="array" ref="K1402">LOOKUP(2^15,SEARCH(Tabela2[Palavras-Chave],Boletim[[#This Row],[Objeto]],1),Tabela2[Palavras-Chave])</f>
        <v>#N/A</v>
      </c>
    </row>
    <row r="1403" spans="1:11" ht="100.8" hidden="1" x14ac:dyDescent="0.3">
      <c r="A1403" s="5">
        <v>18807583</v>
      </c>
      <c r="B1403" s="6" t="s">
        <v>74</v>
      </c>
      <c r="C1403" s="6" t="s">
        <v>136</v>
      </c>
      <c r="D1403" s="8" t="s">
        <v>78</v>
      </c>
      <c r="E1403" s="6" t="s">
        <v>2972</v>
      </c>
      <c r="F1403" s="6" t="s">
        <v>85</v>
      </c>
      <c r="G1403" s="11" t="s">
        <v>56</v>
      </c>
      <c r="H1403" s="10" t="s">
        <v>2973</v>
      </c>
      <c r="I1403" s="6" t="s">
        <v>1321</v>
      </c>
      <c r="J1403" s="12">
        <v>46121.45008101852</v>
      </c>
      <c r="K1403" s="6" t="e" cm="1">
        <f t="array" ref="K1403">LOOKUP(2^15,SEARCH(Tabela2[Palavras-Chave],Boletim[[#This Row],[Objeto]],1),Tabela2[Palavras-Chave])</f>
        <v>#N/A</v>
      </c>
    </row>
    <row r="1404" spans="1:11" ht="72" hidden="1" x14ac:dyDescent="0.3">
      <c r="A1404" s="5">
        <v>18807155</v>
      </c>
      <c r="B1404" s="6" t="s">
        <v>2030</v>
      </c>
      <c r="C1404" s="6" t="s">
        <v>2031</v>
      </c>
      <c r="D1404" s="8" t="s">
        <v>78</v>
      </c>
      <c r="E1404" s="6" t="s">
        <v>155</v>
      </c>
      <c r="F1404" s="6" t="s">
        <v>85</v>
      </c>
      <c r="G1404" s="11">
        <v>46135.465277777781</v>
      </c>
      <c r="H1404" s="10" t="s">
        <v>2032</v>
      </c>
      <c r="I1404" s="6" t="s">
        <v>2033</v>
      </c>
      <c r="J1404" s="12">
        <v>46121.487523148149</v>
      </c>
      <c r="K1404" s="6" t="e" cm="1">
        <f t="array" ref="K1404">LOOKUP(2^15,SEARCH(Tabela2[Palavras-Chave],Boletim[[#This Row],[Objeto]],1),Tabela2[Palavras-Chave])</f>
        <v>#N/A</v>
      </c>
    </row>
    <row r="1405" spans="1:11" hidden="1" x14ac:dyDescent="0.3">
      <c r="A1405" s="5">
        <v>18808752</v>
      </c>
      <c r="B1405" s="6" t="s">
        <v>2915</v>
      </c>
      <c r="C1405" s="6" t="s">
        <v>2916</v>
      </c>
      <c r="D1405" s="8" t="s">
        <v>78</v>
      </c>
      <c r="E1405" s="6" t="s">
        <v>3229</v>
      </c>
      <c r="F1405" s="6" t="s">
        <v>85</v>
      </c>
      <c r="G1405" s="11" t="s">
        <v>56</v>
      </c>
      <c r="H1405" s="10" t="s">
        <v>3230</v>
      </c>
      <c r="I1405" s="6" t="s">
        <v>2919</v>
      </c>
      <c r="J1405" s="12">
        <v>46121.563622685186</v>
      </c>
      <c r="K1405" s="6" t="e" cm="1">
        <f t="array" ref="K1405">LOOKUP(2^15,SEARCH(Tabela2[Palavras-Chave],Boletim[[#This Row],[Objeto]],1),Tabela2[Palavras-Chave])</f>
        <v>#N/A</v>
      </c>
    </row>
    <row r="1406" spans="1:11" ht="86.4" hidden="1" x14ac:dyDescent="0.3">
      <c r="A1406" s="5">
        <v>18809399</v>
      </c>
      <c r="B1406" s="6" t="s">
        <v>2034</v>
      </c>
      <c r="C1406" s="6" t="s">
        <v>2035</v>
      </c>
      <c r="D1406" s="8" t="s">
        <v>78</v>
      </c>
      <c r="E1406" s="6" t="s">
        <v>2036</v>
      </c>
      <c r="F1406" s="6" t="s">
        <v>85</v>
      </c>
      <c r="G1406" s="11" t="s">
        <v>56</v>
      </c>
      <c r="H1406" s="10" t="s">
        <v>2037</v>
      </c>
      <c r="I1406" s="6" t="s">
        <v>2038</v>
      </c>
      <c r="J1406" s="12">
        <v>46121.627476851849</v>
      </c>
      <c r="K1406" s="6" t="e" cm="1">
        <f t="array" ref="K1406">LOOKUP(2^15,SEARCH(Tabela2[Palavras-Chave],Boletim[[#This Row],[Objeto]],1),Tabela2[Palavras-Chave])</f>
        <v>#N/A</v>
      </c>
    </row>
    <row r="1407" spans="1:11" ht="158.4" hidden="1" x14ac:dyDescent="0.3">
      <c r="A1407" s="5">
        <v>18808414</v>
      </c>
      <c r="B1407" s="6" t="s">
        <v>484</v>
      </c>
      <c r="C1407" s="6" t="s">
        <v>136</v>
      </c>
      <c r="D1407" s="8" t="s">
        <v>78</v>
      </c>
      <c r="E1407" s="6" t="s">
        <v>2039</v>
      </c>
      <c r="F1407" s="6" t="s">
        <v>85</v>
      </c>
      <c r="G1407" s="11" t="s">
        <v>56</v>
      </c>
      <c r="H1407" s="10" t="s">
        <v>2040</v>
      </c>
      <c r="I1407" s="6" t="s">
        <v>2041</v>
      </c>
      <c r="J1407" s="12">
        <v>46121.712939814817</v>
      </c>
      <c r="K1407" s="6" t="e" cm="1">
        <f t="array" ref="K1407">LOOKUP(2^15,SEARCH(Tabela2[Palavras-Chave],Boletim[[#This Row],[Objeto]],1),Tabela2[Palavras-Chave])</f>
        <v>#N/A</v>
      </c>
    </row>
    <row r="1408" spans="1:11" ht="57.6" hidden="1" x14ac:dyDescent="0.3">
      <c r="A1408" s="5">
        <v>18810585</v>
      </c>
      <c r="B1408" s="6" t="s">
        <v>2042</v>
      </c>
      <c r="C1408" s="6" t="s">
        <v>2043</v>
      </c>
      <c r="D1408" s="8" t="s">
        <v>78</v>
      </c>
      <c r="E1408" s="6" t="s">
        <v>390</v>
      </c>
      <c r="F1408" s="6" t="s">
        <v>85</v>
      </c>
      <c r="G1408" s="11">
        <v>46136.375</v>
      </c>
      <c r="H1408" s="10" t="s">
        <v>2044</v>
      </c>
      <c r="I1408" s="6" t="s">
        <v>2045</v>
      </c>
      <c r="J1408" s="12">
        <v>46121.794490740744</v>
      </c>
      <c r="K1408" s="6" t="e" cm="1">
        <f t="array" ref="K1408">LOOKUP(2^15,SEARCH(Tabela2[Palavras-Chave],Boletim[[#This Row],[Objeto]],1),Tabela2[Palavras-Chave])</f>
        <v>#N/A</v>
      </c>
    </row>
    <row r="1409" spans="1:11" ht="100.8" hidden="1" x14ac:dyDescent="0.3">
      <c r="A1409" s="5">
        <v>18807457</v>
      </c>
      <c r="B1409" s="6" t="s">
        <v>74</v>
      </c>
      <c r="C1409" s="6" t="s">
        <v>2046</v>
      </c>
      <c r="D1409" s="8" t="s">
        <v>256</v>
      </c>
      <c r="E1409" s="6" t="s">
        <v>1319</v>
      </c>
      <c r="F1409" s="6" t="s">
        <v>85</v>
      </c>
      <c r="G1409" s="11" t="s">
        <v>56</v>
      </c>
      <c r="H1409" s="10" t="s">
        <v>1320</v>
      </c>
      <c r="I1409" s="6" t="s">
        <v>1321</v>
      </c>
      <c r="J1409" s="12">
        <v>46121.44730324074</v>
      </c>
      <c r="K1409" s="6" t="e" cm="1">
        <f t="array" ref="K1409">LOOKUP(2^15,SEARCH(Tabela2[Palavras-Chave],Boletim[[#This Row],[Objeto]],1),Tabela2[Palavras-Chave])</f>
        <v>#N/A</v>
      </c>
    </row>
    <row r="1410" spans="1:11" ht="100.8" hidden="1" x14ac:dyDescent="0.3">
      <c r="A1410" s="5">
        <v>18807584</v>
      </c>
      <c r="B1410" s="6" t="s">
        <v>74</v>
      </c>
      <c r="C1410" s="6" t="s">
        <v>2046</v>
      </c>
      <c r="D1410" s="8" t="s">
        <v>256</v>
      </c>
      <c r="E1410" s="6" t="s">
        <v>2972</v>
      </c>
      <c r="F1410" s="6" t="s">
        <v>85</v>
      </c>
      <c r="G1410" s="11" t="s">
        <v>56</v>
      </c>
      <c r="H1410" s="10" t="s">
        <v>2973</v>
      </c>
      <c r="I1410" s="6" t="s">
        <v>1321</v>
      </c>
      <c r="J1410" s="12">
        <v>46121.45008101852</v>
      </c>
      <c r="K1410" s="6" t="e" cm="1">
        <f t="array" ref="K1410">LOOKUP(2^15,SEARCH(Tabela2[Palavras-Chave],Boletim[[#This Row],[Objeto]],1),Tabela2[Palavras-Chave])</f>
        <v>#N/A</v>
      </c>
    </row>
    <row r="1411" spans="1:11" ht="86.4" hidden="1" x14ac:dyDescent="0.3">
      <c r="A1411" s="5">
        <v>18800747</v>
      </c>
      <c r="B1411" s="6" t="s">
        <v>2047</v>
      </c>
      <c r="C1411" s="6" t="s">
        <v>79</v>
      </c>
      <c r="D1411" s="8" t="s">
        <v>80</v>
      </c>
      <c r="E1411" s="6" t="s">
        <v>113</v>
      </c>
      <c r="F1411" s="6" t="s">
        <v>85</v>
      </c>
      <c r="G1411" s="11" t="s">
        <v>56</v>
      </c>
      <c r="H1411" s="10" t="s">
        <v>2048</v>
      </c>
      <c r="I1411" s="6" t="s">
        <v>2049</v>
      </c>
      <c r="J1411" s="12">
        <v>46121.389039351852</v>
      </c>
      <c r="K1411" s="6" t="e" cm="1">
        <f t="array" ref="K1411">LOOKUP(2^15,SEARCH(Tabela2[Palavras-Chave],Boletim[[#This Row],[Objeto]],1),Tabela2[Palavras-Chave])</f>
        <v>#N/A</v>
      </c>
    </row>
    <row r="1412" spans="1:11" ht="259.2" hidden="1" x14ac:dyDescent="0.3">
      <c r="A1412" s="5">
        <v>18807075</v>
      </c>
      <c r="B1412" s="6" t="s">
        <v>2050</v>
      </c>
      <c r="C1412" s="6" t="s">
        <v>2051</v>
      </c>
      <c r="D1412" s="8" t="s">
        <v>80</v>
      </c>
      <c r="E1412" s="6" t="s">
        <v>113</v>
      </c>
      <c r="F1412" s="6" t="s">
        <v>85</v>
      </c>
      <c r="G1412" s="11" t="s">
        <v>56</v>
      </c>
      <c r="H1412" s="10" t="s">
        <v>2052</v>
      </c>
      <c r="I1412" s="6" t="s">
        <v>2053</v>
      </c>
      <c r="J1412" s="12">
        <v>46121.442488425928</v>
      </c>
      <c r="K1412" s="6" t="e" cm="1">
        <f t="array" ref="K1412">LOOKUP(2^15,SEARCH(Tabela2[Palavras-Chave],Boletim[[#This Row],[Objeto]],1),Tabela2[Palavras-Chave])</f>
        <v>#N/A</v>
      </c>
    </row>
    <row r="1413" spans="1:11" ht="43.2" hidden="1" x14ac:dyDescent="0.3">
      <c r="A1413" s="5">
        <v>18807027</v>
      </c>
      <c r="B1413" s="6" t="s">
        <v>2054</v>
      </c>
      <c r="C1413" s="6" t="s">
        <v>2055</v>
      </c>
      <c r="D1413" s="8" t="s">
        <v>80</v>
      </c>
      <c r="E1413" s="6" t="s">
        <v>474</v>
      </c>
      <c r="F1413" s="6" t="s">
        <v>85</v>
      </c>
      <c r="G1413" s="11">
        <v>46135.375694444447</v>
      </c>
      <c r="H1413" s="10" t="s">
        <v>2056</v>
      </c>
      <c r="I1413" s="6" t="s">
        <v>2057</v>
      </c>
      <c r="J1413" s="12">
        <v>46121.443553240744</v>
      </c>
      <c r="K1413" s="6" t="e" cm="1">
        <f t="array" ref="K1413">LOOKUP(2^15,SEARCH(Tabela2[Palavras-Chave],Boletim[[#This Row],[Objeto]],1),Tabela2[Palavras-Chave])</f>
        <v>#N/A</v>
      </c>
    </row>
    <row r="1414" spans="1:11" ht="100.8" hidden="1" x14ac:dyDescent="0.3">
      <c r="A1414" s="5">
        <v>18807459</v>
      </c>
      <c r="B1414" s="6" t="s">
        <v>74</v>
      </c>
      <c r="C1414" s="6" t="s">
        <v>79</v>
      </c>
      <c r="D1414" s="8" t="s">
        <v>80</v>
      </c>
      <c r="E1414" s="6" t="s">
        <v>1319</v>
      </c>
      <c r="F1414" s="6" t="s">
        <v>85</v>
      </c>
      <c r="G1414" s="11" t="s">
        <v>56</v>
      </c>
      <c r="H1414" s="10" t="s">
        <v>1320</v>
      </c>
      <c r="I1414" s="6" t="s">
        <v>1321</v>
      </c>
      <c r="J1414" s="12">
        <v>46121.447314814817</v>
      </c>
      <c r="K1414" s="6" t="e" cm="1">
        <f t="array" ref="K1414">LOOKUP(2^15,SEARCH(Tabela2[Palavras-Chave],Boletim[[#This Row],[Objeto]],1),Tabela2[Palavras-Chave])</f>
        <v>#N/A</v>
      </c>
    </row>
    <row r="1415" spans="1:11" ht="115.2" hidden="1" x14ac:dyDescent="0.3">
      <c r="A1415" s="5">
        <v>18807384</v>
      </c>
      <c r="B1415" s="6" t="s">
        <v>2058</v>
      </c>
      <c r="C1415" s="6" t="s">
        <v>2059</v>
      </c>
      <c r="D1415" s="8" t="s">
        <v>80</v>
      </c>
      <c r="E1415" s="6" t="s">
        <v>155</v>
      </c>
      <c r="F1415" s="6" t="s">
        <v>85</v>
      </c>
      <c r="G1415" s="11">
        <v>46146.395138888889</v>
      </c>
      <c r="H1415" s="10" t="s">
        <v>2060</v>
      </c>
      <c r="I1415" s="6" t="s">
        <v>2061</v>
      </c>
      <c r="J1415" s="12">
        <v>46121.44703703704</v>
      </c>
      <c r="K1415" s="6" t="e" cm="1">
        <f t="array" ref="K1415">LOOKUP(2^15,SEARCH(Tabela2[Palavras-Chave],Boletim[[#This Row],[Objeto]],1),Tabela2[Palavras-Chave])</f>
        <v>#N/A</v>
      </c>
    </row>
    <row r="1416" spans="1:11" ht="100.8" hidden="1" x14ac:dyDescent="0.3">
      <c r="A1416" s="5">
        <v>18807585</v>
      </c>
      <c r="B1416" s="6" t="s">
        <v>74</v>
      </c>
      <c r="C1416" s="6" t="s">
        <v>79</v>
      </c>
      <c r="D1416" s="8" t="s">
        <v>80</v>
      </c>
      <c r="E1416" s="6" t="s">
        <v>2972</v>
      </c>
      <c r="F1416" s="6" t="s">
        <v>85</v>
      </c>
      <c r="G1416" s="11" t="s">
        <v>56</v>
      </c>
      <c r="H1416" s="10" t="s">
        <v>2973</v>
      </c>
      <c r="I1416" s="6" t="s">
        <v>1321</v>
      </c>
      <c r="J1416" s="12">
        <v>46121.45008101852</v>
      </c>
      <c r="K1416" s="6" t="e" cm="1">
        <f t="array" ref="K1416">LOOKUP(2^15,SEARCH(Tabela2[Palavras-Chave],Boletim[[#This Row],[Objeto]],1),Tabela2[Palavras-Chave])</f>
        <v>#N/A</v>
      </c>
    </row>
    <row r="1417" spans="1:11" ht="86.4" hidden="1" x14ac:dyDescent="0.3">
      <c r="A1417" s="5">
        <v>18806056</v>
      </c>
      <c r="B1417" s="6" t="s">
        <v>501</v>
      </c>
      <c r="C1417" s="6" t="s">
        <v>502</v>
      </c>
      <c r="D1417" s="8" t="s">
        <v>80</v>
      </c>
      <c r="E1417" s="6" t="s">
        <v>117</v>
      </c>
      <c r="F1417" s="6" t="s">
        <v>85</v>
      </c>
      <c r="G1417" s="11" t="s">
        <v>56</v>
      </c>
      <c r="H1417" s="10" t="s">
        <v>503</v>
      </c>
      <c r="I1417" s="6" t="s">
        <v>504</v>
      </c>
      <c r="J1417" s="12">
        <v>46121.451493055552</v>
      </c>
      <c r="K1417" s="6" t="e" cm="1">
        <f t="array" ref="K1417">LOOKUP(2^15,SEARCH(Tabela2[Palavras-Chave],Boletim[[#This Row],[Objeto]],1),Tabela2[Palavras-Chave])</f>
        <v>#N/A</v>
      </c>
    </row>
    <row r="1418" spans="1:11" ht="100.8" hidden="1" x14ac:dyDescent="0.3">
      <c r="A1418" s="5">
        <v>18807495</v>
      </c>
      <c r="B1418" s="6" t="s">
        <v>2062</v>
      </c>
      <c r="C1418" s="6" t="s">
        <v>2063</v>
      </c>
      <c r="D1418" s="8" t="s">
        <v>80</v>
      </c>
      <c r="E1418" s="6" t="s">
        <v>115</v>
      </c>
      <c r="F1418" s="6" t="s">
        <v>85</v>
      </c>
      <c r="G1418" s="11">
        <v>46135.409722222219</v>
      </c>
      <c r="H1418" s="10" t="s">
        <v>2064</v>
      </c>
      <c r="I1418" s="6" t="s">
        <v>2065</v>
      </c>
      <c r="J1418" s="12">
        <v>46121.452118055553</v>
      </c>
      <c r="K1418" s="6" t="e" cm="1">
        <f t="array" ref="K1418">LOOKUP(2^15,SEARCH(Tabela2[Palavras-Chave],Boletim[[#This Row],[Objeto]],1),Tabela2[Palavras-Chave])</f>
        <v>#N/A</v>
      </c>
    </row>
    <row r="1419" spans="1:11" ht="201.6" x14ac:dyDescent="0.3">
      <c r="A1419" s="5">
        <v>18806925</v>
      </c>
      <c r="B1419" s="6" t="s">
        <v>2066</v>
      </c>
      <c r="C1419" s="6" t="s">
        <v>2067</v>
      </c>
      <c r="D1419" s="8" t="s">
        <v>80</v>
      </c>
      <c r="E1419" s="6" t="s">
        <v>115</v>
      </c>
      <c r="F1419" s="6" t="s">
        <v>85</v>
      </c>
      <c r="G1419" s="11" t="s">
        <v>56</v>
      </c>
      <c r="H1419" s="10" t="s">
        <v>2068</v>
      </c>
      <c r="I1419" s="6" t="s">
        <v>2069</v>
      </c>
      <c r="J1419" s="12">
        <v>46121.455983796295</v>
      </c>
      <c r="K1419" s="6" t="str" cm="1">
        <f t="array" ref="K1419">LOOKUP(2^15,SEARCH(Tabela2[Palavras-Chave],Boletim[[#This Row],[Objeto]],1),Tabela2[Palavras-Chave])</f>
        <v>RESERVAT</v>
      </c>
    </row>
    <row r="1420" spans="1:11" ht="86.4" hidden="1" x14ac:dyDescent="0.3">
      <c r="A1420" s="5">
        <v>18806919</v>
      </c>
      <c r="B1420" s="6" t="s">
        <v>2070</v>
      </c>
      <c r="C1420" s="6" t="s">
        <v>2071</v>
      </c>
      <c r="D1420" s="8" t="s">
        <v>80</v>
      </c>
      <c r="E1420" s="6" t="s">
        <v>122</v>
      </c>
      <c r="F1420" s="6" t="s">
        <v>85</v>
      </c>
      <c r="G1420" s="11" t="s">
        <v>56</v>
      </c>
      <c r="H1420" s="10" t="s">
        <v>2072</v>
      </c>
      <c r="I1420" s="6" t="s">
        <v>2073</v>
      </c>
      <c r="J1420" s="12">
        <v>46121.48847222222</v>
      </c>
      <c r="K1420" s="6" t="e" cm="1">
        <f t="array" ref="K1420">LOOKUP(2^15,SEARCH(Tabela2[Palavras-Chave],Boletim[[#This Row],[Objeto]],1),Tabela2[Palavras-Chave])</f>
        <v>#N/A</v>
      </c>
    </row>
    <row r="1421" spans="1:11" ht="72" hidden="1" x14ac:dyDescent="0.3">
      <c r="A1421" s="5">
        <v>18807487</v>
      </c>
      <c r="B1421" s="6" t="s">
        <v>74</v>
      </c>
      <c r="C1421" s="6" t="s">
        <v>79</v>
      </c>
      <c r="D1421" s="8" t="s">
        <v>80</v>
      </c>
      <c r="E1421" s="6" t="s">
        <v>1938</v>
      </c>
      <c r="F1421" s="6" t="s">
        <v>85</v>
      </c>
      <c r="G1421" s="11" t="s">
        <v>56</v>
      </c>
      <c r="H1421" s="10" t="s">
        <v>1939</v>
      </c>
      <c r="I1421" s="6" t="s">
        <v>1940</v>
      </c>
      <c r="J1421" s="12">
        <v>46121.507002314815</v>
      </c>
      <c r="K1421" s="6" t="e" cm="1">
        <f t="array" ref="K1421">LOOKUP(2^15,SEARCH(Tabela2[Palavras-Chave],Boletim[[#This Row],[Objeto]],1),Tabela2[Palavras-Chave])</f>
        <v>#N/A</v>
      </c>
    </row>
    <row r="1422" spans="1:11" ht="115.2" hidden="1" x14ac:dyDescent="0.3">
      <c r="A1422" s="5">
        <v>18807503</v>
      </c>
      <c r="B1422" s="6" t="s">
        <v>2074</v>
      </c>
      <c r="C1422" s="6" t="s">
        <v>2075</v>
      </c>
      <c r="D1422" s="8" t="s">
        <v>80</v>
      </c>
      <c r="E1422" s="6" t="s">
        <v>2076</v>
      </c>
      <c r="F1422" s="6" t="s">
        <v>85</v>
      </c>
      <c r="G1422" s="11">
        <v>46134.375</v>
      </c>
      <c r="H1422" s="10" t="s">
        <v>2077</v>
      </c>
      <c r="I1422" s="6" t="s">
        <v>2078</v>
      </c>
      <c r="J1422" s="12">
        <v>46121.505729166667</v>
      </c>
      <c r="K1422" s="6" t="e" cm="1">
        <f t="array" ref="K1422">LOOKUP(2^15,SEARCH(Tabela2[Palavras-Chave],Boletim[[#This Row],[Objeto]],1),Tabela2[Palavras-Chave])</f>
        <v>#N/A</v>
      </c>
    </row>
    <row r="1423" spans="1:11" ht="100.8" hidden="1" x14ac:dyDescent="0.3">
      <c r="A1423" s="5">
        <v>18797112</v>
      </c>
      <c r="B1423" s="6" t="s">
        <v>2079</v>
      </c>
      <c r="C1423" s="6" t="s">
        <v>2080</v>
      </c>
      <c r="D1423" s="8" t="s">
        <v>80</v>
      </c>
      <c r="E1423" s="6" t="s">
        <v>113</v>
      </c>
      <c r="F1423" s="6" t="s">
        <v>85</v>
      </c>
      <c r="G1423" s="11">
        <v>46134.333333333336</v>
      </c>
      <c r="H1423" s="10" t="s">
        <v>2081</v>
      </c>
      <c r="I1423" s="6" t="s">
        <v>2082</v>
      </c>
      <c r="J1423" s="12">
        <v>46121.587581018517</v>
      </c>
      <c r="K1423" s="6" t="e" cm="1">
        <f t="array" ref="K1423">LOOKUP(2^15,SEARCH(Tabela2[Palavras-Chave],Boletim[[#This Row],[Objeto]],1),Tabela2[Palavras-Chave])</f>
        <v>#N/A</v>
      </c>
    </row>
    <row r="1424" spans="1:11" ht="43.2" hidden="1" x14ac:dyDescent="0.3">
      <c r="A1424" s="5">
        <v>18801533</v>
      </c>
      <c r="B1424" s="6" t="s">
        <v>247</v>
      </c>
      <c r="C1424" s="6" t="s">
        <v>79</v>
      </c>
      <c r="D1424" s="8" t="s">
        <v>80</v>
      </c>
      <c r="E1424" s="6" t="s">
        <v>490</v>
      </c>
      <c r="F1424" s="6" t="s">
        <v>85</v>
      </c>
      <c r="G1424" s="11">
        <v>46126.417361111111</v>
      </c>
      <c r="H1424" s="10" t="s">
        <v>278</v>
      </c>
      <c r="I1424" s="6" t="s">
        <v>491</v>
      </c>
      <c r="J1424" s="12">
        <v>46121.58693287037</v>
      </c>
      <c r="K1424" s="6" t="e" cm="1">
        <f t="array" ref="K1424">LOOKUP(2^15,SEARCH(Tabela2[Palavras-Chave],Boletim[[#This Row],[Objeto]],1),Tabela2[Palavras-Chave])</f>
        <v>#N/A</v>
      </c>
    </row>
    <row r="1425" spans="1:11" ht="43.2" hidden="1" x14ac:dyDescent="0.3">
      <c r="A1425" s="5">
        <v>18800331</v>
      </c>
      <c r="B1425" s="6" t="s">
        <v>247</v>
      </c>
      <c r="C1425" s="6" t="s">
        <v>79</v>
      </c>
      <c r="D1425" s="8" t="s">
        <v>80</v>
      </c>
      <c r="E1425" s="6" t="s">
        <v>2083</v>
      </c>
      <c r="F1425" s="6" t="s">
        <v>85</v>
      </c>
      <c r="G1425" s="11">
        <v>46125.354861111111</v>
      </c>
      <c r="H1425" s="10" t="s">
        <v>2084</v>
      </c>
      <c r="I1425" s="6" t="s">
        <v>2085</v>
      </c>
      <c r="J1425" s="12">
        <v>46121.587557870371</v>
      </c>
      <c r="K1425" s="6" t="e" cm="1">
        <f t="array" ref="K1425">LOOKUP(2^15,SEARCH(Tabela2[Palavras-Chave],Boletim[[#This Row],[Objeto]],1),Tabela2[Palavras-Chave])</f>
        <v>#N/A</v>
      </c>
    </row>
    <row r="1426" spans="1:11" ht="43.2" hidden="1" x14ac:dyDescent="0.3">
      <c r="A1426" s="5">
        <v>18798654</v>
      </c>
      <c r="B1426" s="6" t="s">
        <v>2086</v>
      </c>
      <c r="C1426" s="6" t="s">
        <v>495</v>
      </c>
      <c r="D1426" s="8" t="s">
        <v>80</v>
      </c>
      <c r="E1426" s="6" t="s">
        <v>292</v>
      </c>
      <c r="F1426" s="6" t="s">
        <v>85</v>
      </c>
      <c r="G1426" s="11">
        <v>46139.395833333336</v>
      </c>
      <c r="H1426" s="10" t="s">
        <v>2087</v>
      </c>
      <c r="I1426" s="6" t="s">
        <v>2088</v>
      </c>
      <c r="J1426" s="12">
        <v>46121.587627314817</v>
      </c>
      <c r="K1426" s="6" t="e" cm="1">
        <f t="array" ref="K1426">LOOKUP(2^15,SEARCH(Tabela2[Palavras-Chave],Boletim[[#This Row],[Objeto]],1),Tabela2[Palavras-Chave])</f>
        <v>#N/A</v>
      </c>
    </row>
    <row r="1427" spans="1:11" ht="72" hidden="1" x14ac:dyDescent="0.3">
      <c r="A1427" s="5">
        <v>18803189</v>
      </c>
      <c r="B1427" s="6" t="s">
        <v>2089</v>
      </c>
      <c r="C1427" s="6" t="s">
        <v>2090</v>
      </c>
      <c r="D1427" s="8" t="s">
        <v>80</v>
      </c>
      <c r="E1427" s="6" t="s">
        <v>473</v>
      </c>
      <c r="F1427" s="6" t="s">
        <v>85</v>
      </c>
      <c r="G1427" s="11">
        <v>46135.354166666664</v>
      </c>
      <c r="H1427" s="10" t="s">
        <v>2091</v>
      </c>
      <c r="I1427" s="6" t="s">
        <v>2092</v>
      </c>
      <c r="J1427" s="12">
        <v>46121.605567129627</v>
      </c>
      <c r="K1427" s="6" t="e" cm="1">
        <f t="array" ref="K1427">LOOKUP(2^15,SEARCH(Tabela2[Palavras-Chave],Boletim[[#This Row],[Objeto]],1),Tabela2[Palavras-Chave])</f>
        <v>#N/A</v>
      </c>
    </row>
    <row r="1428" spans="1:11" ht="43.2" hidden="1" x14ac:dyDescent="0.3">
      <c r="A1428" s="5">
        <v>18807282</v>
      </c>
      <c r="B1428" s="6" t="s">
        <v>2093</v>
      </c>
      <c r="C1428" s="6" t="s">
        <v>2094</v>
      </c>
      <c r="D1428" s="8" t="s">
        <v>80</v>
      </c>
      <c r="E1428" s="6" t="s">
        <v>128</v>
      </c>
      <c r="F1428" s="6" t="s">
        <v>85</v>
      </c>
      <c r="G1428" s="11">
        <v>46134.5625</v>
      </c>
      <c r="H1428" s="10" t="s">
        <v>2095</v>
      </c>
      <c r="I1428" s="6" t="s">
        <v>2096</v>
      </c>
      <c r="J1428" s="12">
        <v>46121.61515046296</v>
      </c>
      <c r="K1428" s="6" t="e" cm="1">
        <f t="array" ref="K1428">LOOKUP(2^15,SEARCH(Tabela2[Palavras-Chave],Boletim[[#This Row],[Objeto]],1),Tabela2[Palavras-Chave])</f>
        <v>#N/A</v>
      </c>
    </row>
    <row r="1429" spans="1:11" ht="100.8" hidden="1" x14ac:dyDescent="0.3">
      <c r="A1429" s="5">
        <v>18809529</v>
      </c>
      <c r="B1429" s="6" t="s">
        <v>496</v>
      </c>
      <c r="C1429" s="6" t="s">
        <v>497</v>
      </c>
      <c r="D1429" s="8" t="s">
        <v>80</v>
      </c>
      <c r="E1429" s="6" t="s">
        <v>536</v>
      </c>
      <c r="F1429" s="6" t="s">
        <v>85</v>
      </c>
      <c r="G1429" s="11">
        <v>46136.374305555553</v>
      </c>
      <c r="H1429" s="10" t="s">
        <v>2097</v>
      </c>
      <c r="I1429" s="6" t="s">
        <v>2098</v>
      </c>
      <c r="J1429" s="12">
        <v>46121.615983796299</v>
      </c>
      <c r="K1429" s="6" t="e" cm="1">
        <f t="array" ref="K1429">LOOKUP(2^15,SEARCH(Tabela2[Palavras-Chave],Boletim[[#This Row],[Objeto]],1),Tabela2[Palavras-Chave])</f>
        <v>#N/A</v>
      </c>
    </row>
    <row r="1430" spans="1:11" ht="72" hidden="1" x14ac:dyDescent="0.3">
      <c r="A1430" s="5">
        <v>18808125</v>
      </c>
      <c r="B1430" s="6" t="s">
        <v>2099</v>
      </c>
      <c r="C1430" s="6" t="s">
        <v>79</v>
      </c>
      <c r="D1430" s="8" t="s">
        <v>80</v>
      </c>
      <c r="E1430" s="6" t="s">
        <v>2100</v>
      </c>
      <c r="F1430" s="6" t="s">
        <v>85</v>
      </c>
      <c r="G1430" s="11">
        <v>46156.395833333336</v>
      </c>
      <c r="H1430" s="10" t="s">
        <v>2101</v>
      </c>
      <c r="I1430" s="6" t="s">
        <v>2102</v>
      </c>
      <c r="J1430" s="12">
        <v>46121.722280092596</v>
      </c>
      <c r="K1430" s="6" t="e" cm="1">
        <f t="array" ref="K1430">LOOKUP(2^15,SEARCH(Tabela2[Palavras-Chave],Boletim[[#This Row],[Objeto]],1),Tabela2[Palavras-Chave])</f>
        <v>#N/A</v>
      </c>
    </row>
    <row r="1431" spans="1:11" ht="100.8" hidden="1" x14ac:dyDescent="0.3">
      <c r="A1431" s="5">
        <v>18809550</v>
      </c>
      <c r="B1431" s="6" t="s">
        <v>2103</v>
      </c>
      <c r="C1431" s="6" t="s">
        <v>2104</v>
      </c>
      <c r="D1431" s="8" t="s">
        <v>80</v>
      </c>
      <c r="E1431" s="6" t="s">
        <v>293</v>
      </c>
      <c r="F1431" s="6" t="s">
        <v>85</v>
      </c>
      <c r="G1431" s="11">
        <v>46135.329861111109</v>
      </c>
      <c r="H1431" s="10" t="s">
        <v>2105</v>
      </c>
      <c r="I1431" s="6" t="s">
        <v>2106</v>
      </c>
      <c r="J1431" s="12">
        <v>46121.70275462963</v>
      </c>
      <c r="K1431" s="6" t="e" cm="1">
        <f t="array" ref="K1431">LOOKUP(2^15,SEARCH(Tabela2[Palavras-Chave],Boletim[[#This Row],[Objeto]],1),Tabela2[Palavras-Chave])</f>
        <v>#N/A</v>
      </c>
    </row>
    <row r="1432" spans="1:11" ht="86.4" hidden="1" x14ac:dyDescent="0.3">
      <c r="A1432" s="5">
        <v>18806930</v>
      </c>
      <c r="B1432" s="6" t="s">
        <v>2107</v>
      </c>
      <c r="C1432" s="6" t="s">
        <v>2108</v>
      </c>
      <c r="D1432" s="8" t="s">
        <v>80</v>
      </c>
      <c r="E1432" s="6" t="s">
        <v>2109</v>
      </c>
      <c r="F1432" s="6" t="s">
        <v>85</v>
      </c>
      <c r="G1432" s="11" t="s">
        <v>56</v>
      </c>
      <c r="H1432" s="10" t="s">
        <v>2110</v>
      </c>
      <c r="I1432" s="6" t="s">
        <v>2111</v>
      </c>
      <c r="J1432" s="12">
        <v>46121.718738425923</v>
      </c>
      <c r="K1432" s="6" t="e" cm="1">
        <f t="array" ref="K1432">LOOKUP(2^15,SEARCH(Tabela2[Palavras-Chave],Boletim[[#This Row],[Objeto]],1),Tabela2[Palavras-Chave])</f>
        <v>#N/A</v>
      </c>
    </row>
    <row r="1433" spans="1:11" ht="100.8" hidden="1" x14ac:dyDescent="0.3">
      <c r="A1433" s="5">
        <v>18807444</v>
      </c>
      <c r="B1433" s="6" t="s">
        <v>493</v>
      </c>
      <c r="C1433" s="6" t="s">
        <v>494</v>
      </c>
      <c r="D1433" s="8" t="s">
        <v>80</v>
      </c>
      <c r="E1433" s="6" t="s">
        <v>2109</v>
      </c>
      <c r="F1433" s="6" t="s">
        <v>85</v>
      </c>
      <c r="G1433" s="11">
        <v>46135.374305555553</v>
      </c>
      <c r="H1433" s="10" t="s">
        <v>2112</v>
      </c>
      <c r="I1433" s="6" t="s">
        <v>2113</v>
      </c>
      <c r="J1433" s="12">
        <v>46121.720335648148</v>
      </c>
      <c r="K1433" s="6" t="e" cm="1">
        <f t="array" ref="K1433">LOOKUP(2^15,SEARCH(Tabela2[Palavras-Chave],Boletim[[#This Row],[Objeto]],1),Tabela2[Palavras-Chave])</f>
        <v>#N/A</v>
      </c>
    </row>
    <row r="1434" spans="1:11" ht="100.8" hidden="1" x14ac:dyDescent="0.3">
      <c r="A1434" s="5">
        <v>18809548</v>
      </c>
      <c r="B1434" s="6" t="s">
        <v>2114</v>
      </c>
      <c r="C1434" s="6" t="s">
        <v>2115</v>
      </c>
      <c r="D1434" s="8" t="s">
        <v>80</v>
      </c>
      <c r="E1434" s="6" t="s">
        <v>117</v>
      </c>
      <c r="F1434" s="6" t="s">
        <v>85</v>
      </c>
      <c r="G1434" s="11">
        <v>46134.375</v>
      </c>
      <c r="H1434" s="10" t="s">
        <v>2116</v>
      </c>
      <c r="I1434" s="6" t="s">
        <v>2117</v>
      </c>
      <c r="J1434" s="12">
        <v>46121.725069444445</v>
      </c>
      <c r="K1434" s="6" t="e" cm="1">
        <f t="array" ref="K1434">LOOKUP(2^15,SEARCH(Tabela2[Palavras-Chave],Boletim[[#This Row],[Objeto]],1),Tabela2[Palavras-Chave])</f>
        <v>#N/A</v>
      </c>
    </row>
    <row r="1435" spans="1:11" ht="86.4" hidden="1" x14ac:dyDescent="0.3">
      <c r="A1435" s="5">
        <v>18810446</v>
      </c>
      <c r="B1435" s="6" t="s">
        <v>2118</v>
      </c>
      <c r="C1435" s="6" t="s">
        <v>2119</v>
      </c>
      <c r="D1435" s="8" t="s">
        <v>80</v>
      </c>
      <c r="E1435" s="6" t="s">
        <v>165</v>
      </c>
      <c r="F1435" s="6" t="s">
        <v>85</v>
      </c>
      <c r="G1435" s="11" t="s">
        <v>56</v>
      </c>
      <c r="H1435" s="10" t="s">
        <v>2120</v>
      </c>
      <c r="I1435" s="6" t="s">
        <v>2121</v>
      </c>
      <c r="J1435" s="12">
        <v>46121.733159722222</v>
      </c>
      <c r="K1435" s="6" t="e" cm="1">
        <f t="array" ref="K1435">LOOKUP(2^15,SEARCH(Tabela2[Palavras-Chave],Boletim[[#This Row],[Objeto]],1),Tabela2[Palavras-Chave])</f>
        <v>#N/A</v>
      </c>
    </row>
    <row r="1436" spans="1:11" ht="259.2" hidden="1" x14ac:dyDescent="0.3">
      <c r="A1436" s="5">
        <v>18810313</v>
      </c>
      <c r="B1436" s="6" t="s">
        <v>2122</v>
      </c>
      <c r="C1436" s="6" t="s">
        <v>2123</v>
      </c>
      <c r="D1436" s="8" t="s">
        <v>80</v>
      </c>
      <c r="E1436" s="6" t="s">
        <v>2124</v>
      </c>
      <c r="F1436" s="6" t="s">
        <v>85</v>
      </c>
      <c r="G1436" s="11" t="s">
        <v>56</v>
      </c>
      <c r="H1436" s="10" t="s">
        <v>2125</v>
      </c>
      <c r="I1436" s="6" t="s">
        <v>2126</v>
      </c>
      <c r="J1436" s="12">
        <v>46121.734953703701</v>
      </c>
      <c r="K1436" s="6" t="e" cm="1">
        <f t="array" ref="K1436">LOOKUP(2^15,SEARCH(Tabela2[Palavras-Chave],Boletim[[#This Row],[Objeto]],1),Tabela2[Palavras-Chave])</f>
        <v>#N/A</v>
      </c>
    </row>
    <row r="1437" spans="1:11" ht="259.2" hidden="1" x14ac:dyDescent="0.3">
      <c r="A1437" s="5">
        <v>18810309</v>
      </c>
      <c r="B1437" s="6" t="s">
        <v>2127</v>
      </c>
      <c r="C1437" s="6" t="s">
        <v>2128</v>
      </c>
      <c r="D1437" s="8" t="s">
        <v>80</v>
      </c>
      <c r="E1437" s="6" t="s">
        <v>199</v>
      </c>
      <c r="F1437" s="6" t="s">
        <v>85</v>
      </c>
      <c r="G1437" s="11" t="s">
        <v>56</v>
      </c>
      <c r="H1437" s="10" t="s">
        <v>2129</v>
      </c>
      <c r="I1437" s="6" t="s">
        <v>2130</v>
      </c>
      <c r="J1437" s="12">
        <v>46121.743923611109</v>
      </c>
      <c r="K1437" s="6" t="e" cm="1">
        <f t="array" ref="K1437">LOOKUP(2^15,SEARCH(Tabela2[Palavras-Chave],Boletim[[#This Row],[Objeto]],1),Tabela2[Palavras-Chave])</f>
        <v>#N/A</v>
      </c>
    </row>
    <row r="1438" spans="1:11" ht="100.8" hidden="1" x14ac:dyDescent="0.3">
      <c r="A1438" s="5">
        <v>18807479</v>
      </c>
      <c r="B1438" s="6" t="s">
        <v>3231</v>
      </c>
      <c r="C1438" s="6" t="s">
        <v>3232</v>
      </c>
      <c r="D1438" s="8" t="s">
        <v>80</v>
      </c>
      <c r="E1438" s="6" t="s">
        <v>450</v>
      </c>
      <c r="F1438" s="6" t="s">
        <v>85</v>
      </c>
      <c r="G1438" s="11">
        <v>46134.583333333336</v>
      </c>
      <c r="H1438" s="10" t="s">
        <v>3233</v>
      </c>
      <c r="I1438" s="6" t="s">
        <v>3234</v>
      </c>
      <c r="J1438" s="12">
        <v>46121.746840277781</v>
      </c>
      <c r="K1438" s="6" t="e" cm="1">
        <f t="array" ref="K1438">LOOKUP(2^15,SEARCH(Tabela2[Palavras-Chave],Boletim[[#This Row],[Objeto]],1),Tabela2[Palavras-Chave])</f>
        <v>#N/A</v>
      </c>
    </row>
    <row r="1439" spans="1:11" ht="86.4" hidden="1" x14ac:dyDescent="0.3">
      <c r="A1439" s="5">
        <v>18810452</v>
      </c>
      <c r="B1439" s="6" t="s">
        <v>2131</v>
      </c>
      <c r="C1439" s="6" t="s">
        <v>2132</v>
      </c>
      <c r="D1439" s="8" t="s">
        <v>80</v>
      </c>
      <c r="E1439" s="6" t="s">
        <v>134</v>
      </c>
      <c r="F1439" s="6" t="s">
        <v>85</v>
      </c>
      <c r="G1439" s="11" t="s">
        <v>56</v>
      </c>
      <c r="H1439" s="10" t="s">
        <v>2133</v>
      </c>
      <c r="I1439" s="6" t="s">
        <v>2134</v>
      </c>
      <c r="J1439" s="12">
        <v>46121.751284722224</v>
      </c>
      <c r="K1439" s="6" t="e" cm="1">
        <f t="array" ref="K1439">LOOKUP(2^15,SEARCH(Tabela2[Palavras-Chave],Boletim[[#This Row],[Objeto]],1),Tabela2[Palavras-Chave])</f>
        <v>#N/A</v>
      </c>
    </row>
    <row r="1440" spans="1:11" ht="86.4" hidden="1" x14ac:dyDescent="0.3">
      <c r="A1440" s="5">
        <v>18809417</v>
      </c>
      <c r="B1440" s="6" t="s">
        <v>2135</v>
      </c>
      <c r="C1440" s="6" t="s">
        <v>2136</v>
      </c>
      <c r="D1440" s="8" t="s">
        <v>80</v>
      </c>
      <c r="E1440" s="6" t="s">
        <v>165</v>
      </c>
      <c r="F1440" s="6" t="s">
        <v>85</v>
      </c>
      <c r="G1440" s="11" t="s">
        <v>56</v>
      </c>
      <c r="H1440" s="10" t="s">
        <v>2137</v>
      </c>
      <c r="I1440" s="6" t="s">
        <v>2138</v>
      </c>
      <c r="J1440" s="12">
        <v>46121.751793981479</v>
      </c>
      <c r="K1440" s="6" t="e" cm="1">
        <f t="array" ref="K1440">LOOKUP(2^15,SEARCH(Tabela2[Palavras-Chave],Boletim[[#This Row],[Objeto]],1),Tabela2[Palavras-Chave])</f>
        <v>#N/A</v>
      </c>
    </row>
    <row r="1441" spans="1:11" ht="115.2" hidden="1" x14ac:dyDescent="0.3">
      <c r="A1441" s="5">
        <v>18810451</v>
      </c>
      <c r="B1441" s="6" t="s">
        <v>2139</v>
      </c>
      <c r="C1441" s="6" t="s">
        <v>2140</v>
      </c>
      <c r="D1441" s="8" t="s">
        <v>80</v>
      </c>
      <c r="E1441" s="6" t="s">
        <v>112</v>
      </c>
      <c r="F1441" s="6" t="s">
        <v>85</v>
      </c>
      <c r="G1441" s="11" t="s">
        <v>56</v>
      </c>
      <c r="H1441" s="10" t="s">
        <v>2141</v>
      </c>
      <c r="I1441" s="6" t="s">
        <v>2142</v>
      </c>
      <c r="J1441" s="12">
        <v>46121.756203703706</v>
      </c>
      <c r="K1441" s="6" t="e" cm="1">
        <f t="array" ref="K1441">LOOKUP(2^15,SEARCH(Tabela2[Palavras-Chave],Boletim[[#This Row],[Objeto]],1),Tabela2[Palavras-Chave])</f>
        <v>#N/A</v>
      </c>
    </row>
    <row r="1442" spans="1:11" ht="43.2" hidden="1" x14ac:dyDescent="0.3">
      <c r="A1442" s="5">
        <v>18810669</v>
      </c>
      <c r="B1442" s="6" t="s">
        <v>3235</v>
      </c>
      <c r="C1442" s="6" t="s">
        <v>79</v>
      </c>
      <c r="D1442" s="8" t="s">
        <v>80</v>
      </c>
      <c r="E1442" s="6" t="s">
        <v>3236</v>
      </c>
      <c r="F1442" s="6" t="s">
        <v>85</v>
      </c>
      <c r="G1442" s="11">
        <v>46127.583333333336</v>
      </c>
      <c r="H1442" s="10" t="s">
        <v>3237</v>
      </c>
      <c r="I1442" s="6" t="s">
        <v>3238</v>
      </c>
      <c r="J1442" s="12">
        <v>46121.757673611108</v>
      </c>
      <c r="K1442" s="6" t="e" cm="1">
        <f t="array" ref="K1442">LOOKUP(2^15,SEARCH(Tabela2[Palavras-Chave],Boletim[[#This Row],[Objeto]],1),Tabela2[Palavras-Chave])</f>
        <v>#N/A</v>
      </c>
    </row>
    <row r="1443" spans="1:11" ht="86.4" hidden="1" x14ac:dyDescent="0.3">
      <c r="A1443" s="5">
        <v>18810556</v>
      </c>
      <c r="B1443" s="6" t="s">
        <v>492</v>
      </c>
      <c r="C1443" s="6" t="s">
        <v>79</v>
      </c>
      <c r="D1443" s="8" t="s">
        <v>80</v>
      </c>
      <c r="E1443" s="6" t="s">
        <v>170</v>
      </c>
      <c r="F1443" s="6" t="s">
        <v>85</v>
      </c>
      <c r="G1443" s="11" t="s">
        <v>56</v>
      </c>
      <c r="H1443" s="10" t="s">
        <v>3239</v>
      </c>
      <c r="I1443" s="6" t="s">
        <v>3240</v>
      </c>
      <c r="J1443" s="12">
        <v>46121.760462962964</v>
      </c>
      <c r="K1443" s="6" t="e" cm="1">
        <f t="array" ref="K1443">LOOKUP(2^15,SEARCH(Tabela2[Palavras-Chave],Boletim[[#This Row],[Objeto]],1),Tabela2[Palavras-Chave])</f>
        <v>#N/A</v>
      </c>
    </row>
    <row r="1444" spans="1:11" ht="115.2" hidden="1" x14ac:dyDescent="0.3">
      <c r="A1444" s="5">
        <v>18808570</v>
      </c>
      <c r="B1444" s="6" t="s">
        <v>1202</v>
      </c>
      <c r="C1444" s="6" t="s">
        <v>1203</v>
      </c>
      <c r="D1444" s="8" t="s">
        <v>80</v>
      </c>
      <c r="E1444" s="6" t="s">
        <v>242</v>
      </c>
      <c r="F1444" s="6" t="s">
        <v>85</v>
      </c>
      <c r="G1444" s="11" t="s">
        <v>56</v>
      </c>
      <c r="H1444" s="10" t="s">
        <v>2143</v>
      </c>
      <c r="I1444" s="6" t="s">
        <v>2144</v>
      </c>
      <c r="J1444" s="12">
        <v>46121.764560185184</v>
      </c>
      <c r="K1444" s="6" t="e" cm="1">
        <f t="array" ref="K1444">LOOKUP(2^15,SEARCH(Tabela2[Palavras-Chave],Boletim[[#This Row],[Objeto]],1),Tabela2[Palavras-Chave])</f>
        <v>#N/A</v>
      </c>
    </row>
    <row r="1445" spans="1:11" ht="86.4" hidden="1" x14ac:dyDescent="0.3">
      <c r="A1445" s="5">
        <v>18809841</v>
      </c>
      <c r="B1445" s="6" t="s">
        <v>3241</v>
      </c>
      <c r="C1445" s="6" t="s">
        <v>2140</v>
      </c>
      <c r="D1445" s="8" t="s">
        <v>80</v>
      </c>
      <c r="E1445" s="6" t="s">
        <v>245</v>
      </c>
      <c r="F1445" s="6" t="s">
        <v>85</v>
      </c>
      <c r="G1445" s="11" t="s">
        <v>56</v>
      </c>
      <c r="H1445" s="10" t="s">
        <v>3242</v>
      </c>
      <c r="I1445" s="6" t="s">
        <v>3243</v>
      </c>
      <c r="J1445" s="12">
        <v>46121.768634259257</v>
      </c>
      <c r="K1445" s="6" t="e" cm="1">
        <f t="array" ref="K1445">LOOKUP(2^15,SEARCH(Tabela2[Palavras-Chave],Boletim[[#This Row],[Objeto]],1),Tabela2[Palavras-Chave])</f>
        <v>#N/A</v>
      </c>
    </row>
    <row r="1446" spans="1:11" ht="259.2" hidden="1" x14ac:dyDescent="0.3">
      <c r="A1446" s="5">
        <v>18810286</v>
      </c>
      <c r="B1446" s="6" t="s">
        <v>2127</v>
      </c>
      <c r="C1446" s="6" t="s">
        <v>2128</v>
      </c>
      <c r="D1446" s="8" t="s">
        <v>80</v>
      </c>
      <c r="E1446" s="6" t="s">
        <v>165</v>
      </c>
      <c r="F1446" s="6" t="s">
        <v>85</v>
      </c>
      <c r="G1446" s="11" t="s">
        <v>56</v>
      </c>
      <c r="H1446" s="10" t="s">
        <v>2145</v>
      </c>
      <c r="I1446" s="6" t="s">
        <v>2146</v>
      </c>
      <c r="J1446" s="12">
        <v>46121.838090277779</v>
      </c>
      <c r="K1446" s="6" t="e" cm="1">
        <f t="array" ref="K1446">LOOKUP(2^15,SEARCH(Tabela2[Palavras-Chave],Boletim[[#This Row],[Objeto]],1),Tabela2[Palavras-Chave])</f>
        <v>#N/A</v>
      </c>
    </row>
    <row r="1447" spans="1:11" ht="86.4" hidden="1" x14ac:dyDescent="0.3">
      <c r="A1447" s="5">
        <v>18811088</v>
      </c>
      <c r="B1447" s="6" t="s">
        <v>488</v>
      </c>
      <c r="C1447" s="6" t="s">
        <v>489</v>
      </c>
      <c r="D1447" s="8" t="s">
        <v>80</v>
      </c>
      <c r="E1447" s="6" t="s">
        <v>450</v>
      </c>
      <c r="F1447" s="6" t="s">
        <v>85</v>
      </c>
      <c r="G1447" s="11" t="s">
        <v>56</v>
      </c>
      <c r="H1447" s="10" t="s">
        <v>2147</v>
      </c>
      <c r="I1447" s="6" t="s">
        <v>2148</v>
      </c>
      <c r="J1447" s="12">
        <v>46121.849652777775</v>
      </c>
      <c r="K1447" s="6" t="e" cm="1">
        <f t="array" ref="K1447">LOOKUP(2^15,SEARCH(Tabela2[Palavras-Chave],Boletim[[#This Row],[Objeto]],1),Tabela2[Palavras-Chave])</f>
        <v>#N/A</v>
      </c>
    </row>
    <row r="1448" spans="1:11" ht="100.8" hidden="1" x14ac:dyDescent="0.3">
      <c r="A1448" s="5">
        <v>18807395</v>
      </c>
      <c r="B1448" s="6" t="s">
        <v>2149</v>
      </c>
      <c r="C1448" s="6" t="s">
        <v>2150</v>
      </c>
      <c r="D1448" s="8" t="s">
        <v>81</v>
      </c>
      <c r="E1448" s="6" t="s">
        <v>722</v>
      </c>
      <c r="F1448" s="6" t="s">
        <v>85</v>
      </c>
      <c r="G1448" s="11">
        <v>46139.540972222225</v>
      </c>
      <c r="H1448" s="10" t="s">
        <v>2151</v>
      </c>
      <c r="I1448" s="6" t="s">
        <v>2152</v>
      </c>
      <c r="J1448" s="12">
        <v>46121.444571759261</v>
      </c>
      <c r="K1448" s="6" t="str" cm="1">
        <f t="array" ref="K1448">LOOKUP(2^15,SEARCH(Tabela2[Palavras-Chave],Boletim[[#This Row],[Objeto]],1),Tabela2[Palavras-Chave])</f>
        <v>UNIÃO</v>
      </c>
    </row>
    <row r="1449" spans="1:11" ht="100.8" hidden="1" x14ac:dyDescent="0.3">
      <c r="A1449" s="5">
        <v>18807460</v>
      </c>
      <c r="B1449" s="6" t="s">
        <v>74</v>
      </c>
      <c r="C1449" s="6" t="s">
        <v>104</v>
      </c>
      <c r="D1449" s="8" t="s">
        <v>81</v>
      </c>
      <c r="E1449" s="6" t="s">
        <v>1319</v>
      </c>
      <c r="F1449" s="6" t="s">
        <v>85</v>
      </c>
      <c r="G1449" s="11" t="s">
        <v>56</v>
      </c>
      <c r="H1449" s="10" t="s">
        <v>1320</v>
      </c>
      <c r="I1449" s="6" t="s">
        <v>1321</v>
      </c>
      <c r="J1449" s="12">
        <v>46121.447314814817</v>
      </c>
      <c r="K1449" s="6" t="e" cm="1">
        <f t="array" ref="K1449">LOOKUP(2^15,SEARCH(Tabela2[Palavras-Chave],Boletim[[#This Row],[Objeto]],1),Tabela2[Palavras-Chave])</f>
        <v>#N/A</v>
      </c>
    </row>
    <row r="1450" spans="1:11" ht="86.4" hidden="1" x14ac:dyDescent="0.3">
      <c r="A1450" s="5">
        <v>18807312</v>
      </c>
      <c r="B1450" s="6" t="s">
        <v>3244</v>
      </c>
      <c r="C1450" s="6" t="s">
        <v>104</v>
      </c>
      <c r="D1450" s="8" t="s">
        <v>81</v>
      </c>
      <c r="E1450" s="6" t="s">
        <v>3245</v>
      </c>
      <c r="F1450" s="6" t="s">
        <v>85</v>
      </c>
      <c r="G1450" s="11" t="s">
        <v>56</v>
      </c>
      <c r="H1450" s="10" t="s">
        <v>3246</v>
      </c>
      <c r="I1450" s="6" t="s">
        <v>3247</v>
      </c>
      <c r="J1450" s="12">
        <v>46121.461180555554</v>
      </c>
      <c r="K1450" s="6" t="e" cm="1">
        <f t="array" ref="K1450">LOOKUP(2^15,SEARCH(Tabela2[Palavras-Chave],Boletim[[#This Row],[Objeto]],1),Tabela2[Palavras-Chave])</f>
        <v>#N/A</v>
      </c>
    </row>
    <row r="1451" spans="1:11" ht="86.4" hidden="1" x14ac:dyDescent="0.3">
      <c r="A1451" s="5">
        <v>18806968</v>
      </c>
      <c r="B1451" s="6" t="s">
        <v>2153</v>
      </c>
      <c r="C1451" s="6" t="s">
        <v>2154</v>
      </c>
      <c r="D1451" s="8" t="s">
        <v>81</v>
      </c>
      <c r="E1451" s="6" t="s">
        <v>300</v>
      </c>
      <c r="F1451" s="6" t="s">
        <v>85</v>
      </c>
      <c r="G1451" s="11" t="s">
        <v>56</v>
      </c>
      <c r="H1451" s="10" t="s">
        <v>2155</v>
      </c>
      <c r="I1451" s="6" t="s">
        <v>2156</v>
      </c>
      <c r="J1451" s="12">
        <v>46121.446493055555</v>
      </c>
      <c r="K1451" s="6" t="e" cm="1">
        <f t="array" ref="K1451">LOOKUP(2^15,SEARCH(Tabela2[Palavras-Chave],Boletim[[#This Row],[Objeto]],1),Tabela2[Palavras-Chave])</f>
        <v>#N/A</v>
      </c>
    </row>
    <row r="1452" spans="1:11" ht="86.4" hidden="1" x14ac:dyDescent="0.3">
      <c r="A1452" s="5">
        <v>18806970</v>
      </c>
      <c r="B1452" s="6" t="s">
        <v>2157</v>
      </c>
      <c r="C1452" s="6" t="s">
        <v>2158</v>
      </c>
      <c r="D1452" s="8" t="s">
        <v>81</v>
      </c>
      <c r="E1452" s="6" t="s">
        <v>2159</v>
      </c>
      <c r="F1452" s="6" t="s">
        <v>85</v>
      </c>
      <c r="G1452" s="11" t="s">
        <v>56</v>
      </c>
      <c r="H1452" s="10" t="s">
        <v>2160</v>
      </c>
      <c r="I1452" s="6" t="s">
        <v>2161</v>
      </c>
      <c r="J1452" s="12">
        <v>46121.451516203706</v>
      </c>
      <c r="K1452" s="6" t="e" cm="1">
        <f t="array" ref="K1452">LOOKUP(2^15,SEARCH(Tabela2[Palavras-Chave],Boletim[[#This Row],[Objeto]],1),Tabela2[Palavras-Chave])</f>
        <v>#N/A</v>
      </c>
    </row>
    <row r="1453" spans="1:11" ht="100.8" hidden="1" x14ac:dyDescent="0.3">
      <c r="A1453" s="5">
        <v>18807586</v>
      </c>
      <c r="B1453" s="6" t="s">
        <v>74</v>
      </c>
      <c r="C1453" s="6" t="s">
        <v>104</v>
      </c>
      <c r="D1453" s="8" t="s">
        <v>81</v>
      </c>
      <c r="E1453" s="6" t="s">
        <v>2972</v>
      </c>
      <c r="F1453" s="6" t="s">
        <v>85</v>
      </c>
      <c r="G1453" s="11" t="s">
        <v>56</v>
      </c>
      <c r="H1453" s="10" t="s">
        <v>2973</v>
      </c>
      <c r="I1453" s="6" t="s">
        <v>1321</v>
      </c>
      <c r="J1453" s="12">
        <v>46121.450092592589</v>
      </c>
      <c r="K1453" s="6" t="e" cm="1">
        <f t="array" ref="K1453">LOOKUP(2^15,SEARCH(Tabela2[Palavras-Chave],Boletim[[#This Row],[Objeto]],1),Tabela2[Palavras-Chave])</f>
        <v>#N/A</v>
      </c>
    </row>
    <row r="1454" spans="1:11" ht="86.4" hidden="1" x14ac:dyDescent="0.3">
      <c r="A1454" s="5">
        <v>18803576</v>
      </c>
      <c r="B1454" s="6" t="s">
        <v>514</v>
      </c>
      <c r="C1454" s="6" t="s">
        <v>515</v>
      </c>
      <c r="D1454" s="8" t="s">
        <v>81</v>
      </c>
      <c r="E1454" s="6" t="s">
        <v>516</v>
      </c>
      <c r="F1454" s="6" t="s">
        <v>85</v>
      </c>
      <c r="G1454" s="11" t="s">
        <v>56</v>
      </c>
      <c r="H1454" s="10" t="s">
        <v>517</v>
      </c>
      <c r="I1454" s="6" t="s">
        <v>518</v>
      </c>
      <c r="J1454" s="12">
        <v>46121.451493055552</v>
      </c>
      <c r="K1454" s="6" t="e" cm="1">
        <f t="array" ref="K1454">LOOKUP(2^15,SEARCH(Tabela2[Palavras-Chave],Boletim[[#This Row],[Objeto]],1),Tabela2[Palavras-Chave])</f>
        <v>#N/A</v>
      </c>
    </row>
    <row r="1455" spans="1:11" ht="86.4" hidden="1" x14ac:dyDescent="0.3">
      <c r="A1455" s="5">
        <v>18806924</v>
      </c>
      <c r="B1455" s="6" t="s">
        <v>2162</v>
      </c>
      <c r="C1455" s="6" t="s">
        <v>2163</v>
      </c>
      <c r="D1455" s="8" t="s">
        <v>81</v>
      </c>
      <c r="E1455" s="6" t="s">
        <v>165</v>
      </c>
      <c r="F1455" s="6" t="s">
        <v>85</v>
      </c>
      <c r="G1455" s="11" t="s">
        <v>56</v>
      </c>
      <c r="H1455" s="10" t="s">
        <v>2164</v>
      </c>
      <c r="I1455" s="6" t="s">
        <v>2165</v>
      </c>
      <c r="J1455" s="12">
        <v>46121.451666666668</v>
      </c>
      <c r="K1455" s="6" t="e" cm="1">
        <f t="array" ref="K1455">LOOKUP(2^15,SEARCH(Tabela2[Palavras-Chave],Boletim[[#This Row],[Objeto]],1),Tabela2[Palavras-Chave])</f>
        <v>#N/A</v>
      </c>
    </row>
    <row r="1456" spans="1:11" ht="100.8" hidden="1" x14ac:dyDescent="0.3">
      <c r="A1456" s="5">
        <v>18806939</v>
      </c>
      <c r="B1456" s="6" t="s">
        <v>2166</v>
      </c>
      <c r="C1456" s="6" t="s">
        <v>2167</v>
      </c>
      <c r="D1456" s="8" t="s">
        <v>81</v>
      </c>
      <c r="E1456" s="6" t="s">
        <v>2168</v>
      </c>
      <c r="F1456" s="6" t="s">
        <v>85</v>
      </c>
      <c r="G1456" s="11" t="s">
        <v>56</v>
      </c>
      <c r="H1456" s="10" t="s">
        <v>2169</v>
      </c>
      <c r="I1456" s="6" t="s">
        <v>2170</v>
      </c>
      <c r="J1456" s="12">
        <v>46121.453368055554</v>
      </c>
      <c r="K1456" s="6" t="e" cm="1">
        <f t="array" ref="K1456">LOOKUP(2^15,SEARCH(Tabela2[Palavras-Chave],Boletim[[#This Row],[Objeto]],1),Tabela2[Palavras-Chave])</f>
        <v>#N/A</v>
      </c>
    </row>
    <row r="1457" spans="1:11" ht="244.8" x14ac:dyDescent="0.3">
      <c r="A1457" s="5">
        <v>18807129</v>
      </c>
      <c r="B1457" s="6" t="s">
        <v>3248</v>
      </c>
      <c r="C1457" s="6" t="s">
        <v>3249</v>
      </c>
      <c r="D1457" s="8" t="s">
        <v>81</v>
      </c>
      <c r="E1457" s="6" t="s">
        <v>3120</v>
      </c>
      <c r="F1457" s="6" t="s">
        <v>85</v>
      </c>
      <c r="G1457" s="11" t="s">
        <v>56</v>
      </c>
      <c r="H1457" s="10" t="s">
        <v>3250</v>
      </c>
      <c r="I1457" s="6" t="s">
        <v>3251</v>
      </c>
      <c r="J1457" s="12">
        <v>46121.472986111112</v>
      </c>
      <c r="K1457" s="6" t="str" cm="1">
        <f t="array" ref="K1457">LOOKUP(2^15,SEARCH(Tabela2[Palavras-Chave],Boletim[[#This Row],[Objeto]],1),Tabela2[Palavras-Chave])</f>
        <v>JUNTA</v>
      </c>
    </row>
    <row r="1458" spans="1:11" ht="259.2" hidden="1" x14ac:dyDescent="0.3">
      <c r="A1458" s="5">
        <v>18807758</v>
      </c>
      <c r="B1458" s="6" t="s">
        <v>512</v>
      </c>
      <c r="C1458" s="6" t="s">
        <v>513</v>
      </c>
      <c r="D1458" s="8" t="s">
        <v>81</v>
      </c>
      <c r="E1458" s="6" t="s">
        <v>135</v>
      </c>
      <c r="F1458" s="6" t="s">
        <v>85</v>
      </c>
      <c r="G1458" s="11" t="s">
        <v>56</v>
      </c>
      <c r="H1458" s="10" t="s">
        <v>2171</v>
      </c>
      <c r="I1458" s="6" t="s">
        <v>2172</v>
      </c>
      <c r="J1458" s="12">
        <v>46121.476435185185</v>
      </c>
      <c r="K1458" s="6" t="e" cm="1">
        <f t="array" ref="K1458">LOOKUP(2^15,SEARCH(Tabela2[Palavras-Chave],Boletim[[#This Row],[Objeto]],1),Tabela2[Palavras-Chave])</f>
        <v>#N/A</v>
      </c>
    </row>
    <row r="1459" spans="1:11" hidden="1" x14ac:dyDescent="0.3">
      <c r="A1459" s="5">
        <v>18807337</v>
      </c>
      <c r="B1459" s="6" t="s">
        <v>2173</v>
      </c>
      <c r="C1459" s="6" t="s">
        <v>104</v>
      </c>
      <c r="D1459" s="8" t="s">
        <v>81</v>
      </c>
      <c r="E1459" s="6" t="s">
        <v>2174</v>
      </c>
      <c r="F1459" s="6" t="s">
        <v>85</v>
      </c>
      <c r="G1459" s="11" t="s">
        <v>56</v>
      </c>
      <c r="H1459" s="10" t="s">
        <v>2175</v>
      </c>
      <c r="I1459" s="6" t="s">
        <v>90</v>
      </c>
      <c r="J1459" s="12">
        <v>46121.499363425923</v>
      </c>
      <c r="K1459" s="6" t="e" cm="1">
        <f t="array" ref="K1459">LOOKUP(2^15,SEARCH(Tabela2[Palavras-Chave],Boletim[[#This Row],[Objeto]],1),Tabela2[Palavras-Chave])</f>
        <v>#N/A</v>
      </c>
    </row>
    <row r="1460" spans="1:11" ht="86.4" hidden="1" x14ac:dyDescent="0.3">
      <c r="A1460" s="5">
        <v>18794644</v>
      </c>
      <c r="B1460" s="6" t="s">
        <v>195</v>
      </c>
      <c r="C1460" s="6" t="s">
        <v>196</v>
      </c>
      <c r="D1460" s="8" t="s">
        <v>81</v>
      </c>
      <c r="E1460" s="6" t="s">
        <v>505</v>
      </c>
      <c r="F1460" s="6" t="s">
        <v>85</v>
      </c>
      <c r="G1460" s="11" t="s">
        <v>56</v>
      </c>
      <c r="H1460" s="10" t="s">
        <v>506</v>
      </c>
      <c r="I1460" s="6" t="s">
        <v>507</v>
      </c>
      <c r="J1460" s="12">
        <v>46121.513229166667</v>
      </c>
      <c r="K1460" s="6" t="e" cm="1">
        <f t="array" ref="K1460">LOOKUP(2^15,SEARCH(Tabela2[Palavras-Chave],Boletim[[#This Row],[Objeto]],1),Tabela2[Palavras-Chave])</f>
        <v>#N/A</v>
      </c>
    </row>
    <row r="1461" spans="1:11" ht="43.2" hidden="1" x14ac:dyDescent="0.3">
      <c r="A1461" s="5">
        <v>18805909</v>
      </c>
      <c r="B1461" s="6" t="s">
        <v>527</v>
      </c>
      <c r="C1461" s="6" t="s">
        <v>528</v>
      </c>
      <c r="D1461" s="8" t="s">
        <v>81</v>
      </c>
      <c r="E1461" s="6" t="s">
        <v>529</v>
      </c>
      <c r="F1461" s="6" t="s">
        <v>85</v>
      </c>
      <c r="G1461" s="11" t="s">
        <v>56</v>
      </c>
      <c r="H1461" s="10" t="s">
        <v>530</v>
      </c>
      <c r="I1461" s="6" t="s">
        <v>531</v>
      </c>
      <c r="J1461" s="12">
        <v>46121.58697916667</v>
      </c>
      <c r="K1461" s="6" t="e" cm="1">
        <f t="array" ref="K1461">LOOKUP(2^15,SEARCH(Tabela2[Palavras-Chave],Boletim[[#This Row],[Objeto]],1),Tabela2[Palavras-Chave])</f>
        <v>#N/A</v>
      </c>
    </row>
    <row r="1462" spans="1:11" ht="86.4" hidden="1" x14ac:dyDescent="0.3">
      <c r="A1462" s="5">
        <v>18805312</v>
      </c>
      <c r="B1462" s="6" t="s">
        <v>523</v>
      </c>
      <c r="C1462" s="6" t="s">
        <v>524</v>
      </c>
      <c r="D1462" s="8" t="s">
        <v>81</v>
      </c>
      <c r="E1462" s="6" t="s">
        <v>211</v>
      </c>
      <c r="F1462" s="6" t="s">
        <v>85</v>
      </c>
      <c r="G1462" s="11" t="s">
        <v>56</v>
      </c>
      <c r="H1462" s="10" t="s">
        <v>525</v>
      </c>
      <c r="I1462" s="6" t="s">
        <v>526</v>
      </c>
      <c r="J1462" s="12">
        <v>46121.607002314813</v>
      </c>
      <c r="K1462" s="6" t="e" cm="1">
        <f t="array" ref="K1462">LOOKUP(2^15,SEARCH(Tabela2[Palavras-Chave],Boletim[[#This Row],[Objeto]],1),Tabela2[Palavras-Chave])</f>
        <v>#N/A</v>
      </c>
    </row>
    <row r="1463" spans="1:11" ht="115.2" hidden="1" x14ac:dyDescent="0.3">
      <c r="A1463" s="5">
        <v>18802024</v>
      </c>
      <c r="B1463" s="6" t="s">
        <v>509</v>
      </c>
      <c r="C1463" s="6" t="s">
        <v>263</v>
      </c>
      <c r="D1463" s="8" t="s">
        <v>81</v>
      </c>
      <c r="E1463" s="6" t="s">
        <v>109</v>
      </c>
      <c r="F1463" s="6" t="s">
        <v>85</v>
      </c>
      <c r="G1463" s="11">
        <v>46132.329861111109</v>
      </c>
      <c r="H1463" s="10" t="s">
        <v>510</v>
      </c>
      <c r="I1463" s="6" t="s">
        <v>511</v>
      </c>
      <c r="J1463" s="12">
        <v>46121.607708333337</v>
      </c>
      <c r="K1463" s="6" t="e" cm="1">
        <f t="array" ref="K1463">LOOKUP(2^15,SEARCH(Tabela2[Palavras-Chave],Boletim[[#This Row],[Objeto]],1),Tabela2[Palavras-Chave])</f>
        <v>#N/A</v>
      </c>
    </row>
    <row r="1464" spans="1:11" ht="100.8" hidden="1" x14ac:dyDescent="0.3">
      <c r="A1464" s="5">
        <v>18804764</v>
      </c>
      <c r="B1464" s="6" t="s">
        <v>519</v>
      </c>
      <c r="C1464" s="6" t="s">
        <v>520</v>
      </c>
      <c r="D1464" s="8" t="s">
        <v>81</v>
      </c>
      <c r="E1464" s="6" t="s">
        <v>117</v>
      </c>
      <c r="F1464" s="6" t="s">
        <v>85</v>
      </c>
      <c r="G1464" s="11">
        <v>46132.374305555553</v>
      </c>
      <c r="H1464" s="10" t="s">
        <v>532</v>
      </c>
      <c r="I1464" s="6" t="s">
        <v>533</v>
      </c>
      <c r="J1464" s="12">
        <v>46121.607743055552</v>
      </c>
      <c r="K1464" s="6" t="e" cm="1">
        <f t="array" ref="K1464">LOOKUP(2^15,SEARCH(Tabela2[Palavras-Chave],Boletim[[#This Row],[Objeto]],1),Tabela2[Palavras-Chave])</f>
        <v>#N/A</v>
      </c>
    </row>
    <row r="1465" spans="1:11" ht="100.8" x14ac:dyDescent="0.3">
      <c r="A1465" s="5">
        <v>18809528</v>
      </c>
      <c r="B1465" s="6" t="s">
        <v>2229</v>
      </c>
      <c r="C1465" s="6" t="s">
        <v>2230</v>
      </c>
      <c r="D1465" s="8" t="s">
        <v>81</v>
      </c>
      <c r="E1465" s="6" t="s">
        <v>108</v>
      </c>
      <c r="F1465" s="6" t="s">
        <v>85</v>
      </c>
      <c r="G1465" s="11">
        <v>46139.34375</v>
      </c>
      <c r="H1465" s="10" t="s">
        <v>3252</v>
      </c>
      <c r="I1465" s="6" t="s">
        <v>3253</v>
      </c>
      <c r="J1465" s="12">
        <v>46121.609652777777</v>
      </c>
      <c r="K1465" s="6" t="str" cm="1">
        <f t="array" ref="K1465">LOOKUP(2^15,SEARCH(Tabela2[Palavras-Chave],Boletim[[#This Row],[Objeto]],1),Tabela2[Palavras-Chave])</f>
        <v>JUNTA</v>
      </c>
    </row>
    <row r="1466" spans="1:11" ht="115.2" hidden="1" x14ac:dyDescent="0.3">
      <c r="A1466" s="5">
        <v>18808534</v>
      </c>
      <c r="B1466" s="6" t="s">
        <v>302</v>
      </c>
      <c r="C1466" s="6" t="s">
        <v>193</v>
      </c>
      <c r="D1466" s="8" t="s">
        <v>81</v>
      </c>
      <c r="E1466" s="6" t="s">
        <v>2176</v>
      </c>
      <c r="F1466" s="6" t="s">
        <v>85</v>
      </c>
      <c r="G1466" s="11" t="s">
        <v>56</v>
      </c>
      <c r="H1466" s="10" t="s">
        <v>508</v>
      </c>
      <c r="I1466" s="6" t="s">
        <v>2177</v>
      </c>
      <c r="J1466" s="12">
        <v>46121.612638888888</v>
      </c>
      <c r="K1466" s="6" t="e" cm="1">
        <f t="array" ref="K1466">LOOKUP(2^15,SEARCH(Tabela2[Palavras-Chave],Boletim[[#This Row],[Objeto]],1),Tabela2[Palavras-Chave])</f>
        <v>#N/A</v>
      </c>
    </row>
    <row r="1467" spans="1:11" ht="259.2" hidden="1" x14ac:dyDescent="0.3">
      <c r="A1467" s="5">
        <v>18809571</v>
      </c>
      <c r="B1467" s="6" t="s">
        <v>2178</v>
      </c>
      <c r="C1467" s="6" t="s">
        <v>2179</v>
      </c>
      <c r="D1467" s="8" t="s">
        <v>81</v>
      </c>
      <c r="E1467" s="6" t="s">
        <v>107</v>
      </c>
      <c r="F1467" s="6" t="s">
        <v>85</v>
      </c>
      <c r="G1467" s="11" t="s">
        <v>56</v>
      </c>
      <c r="H1467" s="10" t="s">
        <v>2180</v>
      </c>
      <c r="I1467" s="6" t="s">
        <v>2181</v>
      </c>
      <c r="J1467" s="12">
        <v>46121.614791666667</v>
      </c>
      <c r="K1467" s="6" t="e" cm="1">
        <f t="array" ref="K1467">LOOKUP(2^15,SEARCH(Tabela2[Palavras-Chave],Boletim[[#This Row],[Objeto]],1),Tabela2[Palavras-Chave])</f>
        <v>#N/A</v>
      </c>
    </row>
    <row r="1468" spans="1:11" ht="259.2" hidden="1" x14ac:dyDescent="0.3">
      <c r="A1468" s="5">
        <v>18809209</v>
      </c>
      <c r="B1468" s="6" t="s">
        <v>2182</v>
      </c>
      <c r="C1468" s="6" t="s">
        <v>2183</v>
      </c>
      <c r="D1468" s="8" t="s">
        <v>81</v>
      </c>
      <c r="E1468" s="6" t="s">
        <v>126</v>
      </c>
      <c r="F1468" s="6" t="s">
        <v>85</v>
      </c>
      <c r="G1468" s="11" t="s">
        <v>56</v>
      </c>
      <c r="H1468" s="10" t="s">
        <v>2184</v>
      </c>
      <c r="I1468" s="6" t="s">
        <v>2185</v>
      </c>
      <c r="J1468" s="12">
        <v>46121.625879629632</v>
      </c>
      <c r="K1468" s="6" t="e" cm="1">
        <f t="array" ref="K1468">LOOKUP(2^15,SEARCH(Tabela2[Palavras-Chave],Boletim[[#This Row],[Objeto]],1),Tabela2[Palavras-Chave])</f>
        <v>#N/A</v>
      </c>
    </row>
    <row r="1469" spans="1:11" ht="115.2" hidden="1" x14ac:dyDescent="0.3">
      <c r="A1469" s="5">
        <v>18807523</v>
      </c>
      <c r="B1469" s="6" t="s">
        <v>2186</v>
      </c>
      <c r="C1469" s="6" t="s">
        <v>2187</v>
      </c>
      <c r="D1469" s="8" t="s">
        <v>81</v>
      </c>
      <c r="E1469" s="6" t="s">
        <v>474</v>
      </c>
      <c r="F1469" s="6" t="s">
        <v>85</v>
      </c>
      <c r="G1469" s="11">
        <v>46134.353472222225</v>
      </c>
      <c r="H1469" s="10" t="s">
        <v>2188</v>
      </c>
      <c r="I1469" s="6" t="s">
        <v>2189</v>
      </c>
      <c r="J1469" s="12">
        <v>46121.665625000001</v>
      </c>
      <c r="K1469" s="6" t="e" cm="1">
        <f t="array" ref="K1469">LOOKUP(2^15,SEARCH(Tabela2[Palavras-Chave],Boletim[[#This Row],[Objeto]],1),Tabela2[Palavras-Chave])</f>
        <v>#N/A</v>
      </c>
    </row>
    <row r="1470" spans="1:11" ht="244.8" hidden="1" x14ac:dyDescent="0.3">
      <c r="A1470" s="5">
        <v>18809470</v>
      </c>
      <c r="B1470" s="6" t="s">
        <v>2190</v>
      </c>
      <c r="C1470" s="6" t="s">
        <v>2191</v>
      </c>
      <c r="D1470" s="8" t="s">
        <v>81</v>
      </c>
      <c r="E1470" s="6" t="s">
        <v>474</v>
      </c>
      <c r="F1470" s="6" t="s">
        <v>85</v>
      </c>
      <c r="G1470" s="11" t="s">
        <v>56</v>
      </c>
      <c r="H1470" s="10" t="s">
        <v>2192</v>
      </c>
      <c r="I1470" s="6" t="s">
        <v>2193</v>
      </c>
      <c r="J1470" s="12">
        <v>46121.666354166664</v>
      </c>
      <c r="K1470" s="6" t="e" cm="1">
        <f t="array" ref="K1470">LOOKUP(2^15,SEARCH(Tabela2[Palavras-Chave],Boletim[[#This Row],[Objeto]],1),Tabela2[Palavras-Chave])</f>
        <v>#N/A</v>
      </c>
    </row>
    <row r="1471" spans="1:11" ht="129.6" hidden="1" x14ac:dyDescent="0.3">
      <c r="A1471" s="5">
        <v>18808528</v>
      </c>
      <c r="B1471" s="6" t="s">
        <v>254</v>
      </c>
      <c r="C1471" s="6" t="s">
        <v>255</v>
      </c>
      <c r="D1471" s="8" t="s">
        <v>81</v>
      </c>
      <c r="E1471" s="6" t="s">
        <v>3254</v>
      </c>
      <c r="F1471" s="6" t="s">
        <v>85</v>
      </c>
      <c r="G1471" s="11" t="s">
        <v>56</v>
      </c>
      <c r="H1471" s="10" t="s">
        <v>3255</v>
      </c>
      <c r="I1471" s="6" t="s">
        <v>3256</v>
      </c>
      <c r="J1471" s="12">
        <v>46121.693148148152</v>
      </c>
      <c r="K1471" s="6" t="e" cm="1">
        <f t="array" ref="K1471">LOOKUP(2^15,SEARCH(Tabela2[Palavras-Chave],Boletim[[#This Row],[Objeto]],1),Tabela2[Palavras-Chave])</f>
        <v>#N/A</v>
      </c>
    </row>
    <row r="1472" spans="1:11" ht="129.6" hidden="1" x14ac:dyDescent="0.3">
      <c r="A1472" s="5">
        <v>18808536</v>
      </c>
      <c r="B1472" s="6" t="s">
        <v>254</v>
      </c>
      <c r="C1472" s="6" t="s">
        <v>255</v>
      </c>
      <c r="D1472" s="8" t="s">
        <v>81</v>
      </c>
      <c r="E1472" s="6" t="s">
        <v>3257</v>
      </c>
      <c r="F1472" s="6" t="s">
        <v>85</v>
      </c>
      <c r="G1472" s="11" t="s">
        <v>56</v>
      </c>
      <c r="H1472" s="10" t="s">
        <v>3258</v>
      </c>
      <c r="I1472" s="6" t="s">
        <v>3259</v>
      </c>
      <c r="J1472" s="12">
        <v>46121.693252314813</v>
      </c>
      <c r="K1472" s="6" t="e" cm="1">
        <f t="array" ref="K1472">LOOKUP(2^15,SEARCH(Tabela2[Palavras-Chave],Boletim[[#This Row],[Objeto]],1),Tabela2[Palavras-Chave])</f>
        <v>#N/A</v>
      </c>
    </row>
    <row r="1473" spans="1:11" ht="115.2" hidden="1" x14ac:dyDescent="0.3">
      <c r="A1473" s="5">
        <v>18809915</v>
      </c>
      <c r="B1473" s="6" t="s">
        <v>2194</v>
      </c>
      <c r="C1473" s="6" t="s">
        <v>2195</v>
      </c>
      <c r="D1473" s="8" t="s">
        <v>81</v>
      </c>
      <c r="E1473" s="6" t="s">
        <v>170</v>
      </c>
      <c r="F1473" s="6" t="s">
        <v>85</v>
      </c>
      <c r="G1473" s="11">
        <v>46486.395833333336</v>
      </c>
      <c r="H1473" s="10" t="s">
        <v>2196</v>
      </c>
      <c r="I1473" s="6" t="s">
        <v>2197</v>
      </c>
      <c r="J1473" s="12">
        <v>46121.694247685184</v>
      </c>
      <c r="K1473" s="6" t="e" cm="1">
        <f t="array" ref="K1473">LOOKUP(2^15,SEARCH(Tabela2[Palavras-Chave],Boletim[[#This Row],[Objeto]],1),Tabela2[Palavras-Chave])</f>
        <v>#N/A</v>
      </c>
    </row>
    <row r="1474" spans="1:11" ht="57.6" hidden="1" x14ac:dyDescent="0.3">
      <c r="A1474" s="5">
        <v>18807618</v>
      </c>
      <c r="B1474" s="6" t="s">
        <v>2198</v>
      </c>
      <c r="C1474" s="6" t="s">
        <v>2199</v>
      </c>
      <c r="D1474" s="8" t="s">
        <v>81</v>
      </c>
      <c r="E1474" s="6" t="s">
        <v>113</v>
      </c>
      <c r="F1474" s="6" t="s">
        <v>85</v>
      </c>
      <c r="G1474" s="11">
        <v>46136.375</v>
      </c>
      <c r="H1474" s="10" t="s">
        <v>2200</v>
      </c>
      <c r="I1474" s="6" t="s">
        <v>90</v>
      </c>
      <c r="J1474" s="12">
        <v>46121.696504629632</v>
      </c>
      <c r="K1474" s="6" t="e" cm="1">
        <f t="array" ref="K1474">LOOKUP(2^15,SEARCH(Tabela2[Palavras-Chave],Boletim[[#This Row],[Objeto]],1),Tabela2[Palavras-Chave])</f>
        <v>#N/A</v>
      </c>
    </row>
    <row r="1475" spans="1:11" ht="115.2" hidden="1" x14ac:dyDescent="0.3">
      <c r="A1475" s="5">
        <v>18810050</v>
      </c>
      <c r="B1475" s="6" t="s">
        <v>3260</v>
      </c>
      <c r="C1475" s="6" t="s">
        <v>3261</v>
      </c>
      <c r="D1475" s="8" t="s">
        <v>81</v>
      </c>
      <c r="E1475" s="6" t="s">
        <v>3262</v>
      </c>
      <c r="F1475" s="6" t="s">
        <v>85</v>
      </c>
      <c r="G1475" s="11">
        <v>46136.385416666664</v>
      </c>
      <c r="H1475" s="10" t="s">
        <v>3263</v>
      </c>
      <c r="I1475" s="6" t="s">
        <v>90</v>
      </c>
      <c r="J1475" s="12">
        <v>46121.696562500001</v>
      </c>
      <c r="K1475" s="6" t="e" cm="1">
        <f t="array" ref="K1475">LOOKUP(2^15,SEARCH(Tabela2[Palavras-Chave],Boletim[[#This Row],[Objeto]],1),Tabela2[Palavras-Chave])</f>
        <v>#N/A</v>
      </c>
    </row>
    <row r="1476" spans="1:11" ht="100.8" hidden="1" x14ac:dyDescent="0.3">
      <c r="A1476" s="5">
        <v>18809501</v>
      </c>
      <c r="B1476" s="6" t="s">
        <v>3264</v>
      </c>
      <c r="C1476" s="6" t="s">
        <v>3265</v>
      </c>
      <c r="D1476" s="8" t="s">
        <v>81</v>
      </c>
      <c r="E1476" s="6" t="s">
        <v>149</v>
      </c>
      <c r="F1476" s="6" t="s">
        <v>85</v>
      </c>
      <c r="G1476" s="11">
        <v>46141.34375</v>
      </c>
      <c r="H1476" s="10" t="s">
        <v>3266</v>
      </c>
      <c r="I1476" s="6" t="s">
        <v>3267</v>
      </c>
      <c r="J1476" s="12">
        <v>46121.696747685186</v>
      </c>
      <c r="K1476" s="6" t="e" cm="1">
        <f t="array" ref="K1476">LOOKUP(2^15,SEARCH(Tabela2[Palavras-Chave],Boletim[[#This Row],[Objeto]],1),Tabela2[Palavras-Chave])</f>
        <v>#N/A</v>
      </c>
    </row>
    <row r="1477" spans="1:11" ht="100.8" hidden="1" x14ac:dyDescent="0.3">
      <c r="A1477" s="5">
        <v>18809563</v>
      </c>
      <c r="B1477" s="6" t="s">
        <v>3264</v>
      </c>
      <c r="C1477" s="6" t="s">
        <v>3265</v>
      </c>
      <c r="D1477" s="8" t="s">
        <v>81</v>
      </c>
      <c r="E1477" s="6" t="s">
        <v>148</v>
      </c>
      <c r="F1477" s="6" t="s">
        <v>85</v>
      </c>
      <c r="G1477" s="11">
        <v>46162.34375</v>
      </c>
      <c r="H1477" s="10" t="s">
        <v>3268</v>
      </c>
      <c r="I1477" s="6" t="s">
        <v>3269</v>
      </c>
      <c r="J1477" s="12">
        <v>46121.69699074074</v>
      </c>
      <c r="K1477" s="6" t="e" cm="1">
        <f t="array" ref="K1477">LOOKUP(2^15,SEARCH(Tabela2[Palavras-Chave],Boletim[[#This Row],[Objeto]],1),Tabela2[Palavras-Chave])</f>
        <v>#N/A</v>
      </c>
    </row>
    <row r="1478" spans="1:11" ht="100.8" hidden="1" x14ac:dyDescent="0.3">
      <c r="A1478" s="5">
        <v>18810075</v>
      </c>
      <c r="B1478" s="6" t="s">
        <v>2201</v>
      </c>
      <c r="C1478" s="6" t="s">
        <v>2202</v>
      </c>
      <c r="D1478" s="8" t="s">
        <v>81</v>
      </c>
      <c r="E1478" s="6" t="s">
        <v>124</v>
      </c>
      <c r="F1478" s="6" t="s">
        <v>85</v>
      </c>
      <c r="G1478" s="11">
        <v>46139.333333333336</v>
      </c>
      <c r="H1478" s="10" t="s">
        <v>2203</v>
      </c>
      <c r="I1478" s="6" t="s">
        <v>2204</v>
      </c>
      <c r="J1478" s="12">
        <v>46121.701435185183</v>
      </c>
      <c r="K1478" s="6" t="e" cm="1">
        <f t="array" ref="K1478">LOOKUP(2^15,SEARCH(Tabela2[Palavras-Chave],Boletim[[#This Row],[Objeto]],1),Tabela2[Palavras-Chave])</f>
        <v>#N/A</v>
      </c>
    </row>
    <row r="1479" spans="1:11" ht="57.6" hidden="1" x14ac:dyDescent="0.3">
      <c r="A1479" s="5">
        <v>18807594</v>
      </c>
      <c r="B1479" s="6" t="s">
        <v>521</v>
      </c>
      <c r="C1479" s="6" t="s">
        <v>522</v>
      </c>
      <c r="D1479" s="8" t="s">
        <v>81</v>
      </c>
      <c r="E1479" s="6" t="s">
        <v>473</v>
      </c>
      <c r="F1479" s="6" t="s">
        <v>85</v>
      </c>
      <c r="G1479" s="11">
        <v>46134.354166666664</v>
      </c>
      <c r="H1479" s="10" t="s">
        <v>3270</v>
      </c>
      <c r="I1479" s="6" t="s">
        <v>3271</v>
      </c>
      <c r="J1479" s="12">
        <v>46121.701597222222</v>
      </c>
      <c r="K1479" s="6" t="e" cm="1">
        <f t="array" ref="K1479">LOOKUP(2^15,SEARCH(Tabela2[Palavras-Chave],Boletim[[#This Row],[Objeto]],1),Tabela2[Palavras-Chave])</f>
        <v>#N/A</v>
      </c>
    </row>
    <row r="1480" spans="1:11" ht="86.4" hidden="1" x14ac:dyDescent="0.3">
      <c r="A1480" s="5">
        <v>18808529</v>
      </c>
      <c r="B1480" s="6" t="s">
        <v>2205</v>
      </c>
      <c r="C1480" s="6" t="s">
        <v>2206</v>
      </c>
      <c r="D1480" s="8" t="s">
        <v>81</v>
      </c>
      <c r="E1480" s="6" t="s">
        <v>143</v>
      </c>
      <c r="F1480" s="6" t="s">
        <v>85</v>
      </c>
      <c r="G1480" s="11" t="s">
        <v>56</v>
      </c>
      <c r="H1480" s="10" t="s">
        <v>2207</v>
      </c>
      <c r="I1480" s="6" t="s">
        <v>2208</v>
      </c>
      <c r="J1480" s="12">
        <v>46121.704560185186</v>
      </c>
      <c r="K1480" s="6" t="e" cm="1">
        <f t="array" ref="K1480">LOOKUP(2^15,SEARCH(Tabela2[Palavras-Chave],Boletim[[#This Row],[Objeto]],1),Tabela2[Palavras-Chave])</f>
        <v>#N/A</v>
      </c>
    </row>
    <row r="1481" spans="1:11" ht="115.2" hidden="1" x14ac:dyDescent="0.3">
      <c r="A1481" s="5">
        <v>18810019</v>
      </c>
      <c r="B1481" s="6" t="s">
        <v>2223</v>
      </c>
      <c r="C1481" s="6" t="s">
        <v>104</v>
      </c>
      <c r="D1481" s="8" t="s">
        <v>81</v>
      </c>
      <c r="E1481" s="6" t="s">
        <v>142</v>
      </c>
      <c r="F1481" s="6" t="s">
        <v>85</v>
      </c>
      <c r="G1481" s="11">
        <v>46148.375</v>
      </c>
      <c r="H1481" s="10" t="s">
        <v>3272</v>
      </c>
      <c r="I1481" s="6" t="s">
        <v>3273</v>
      </c>
      <c r="J1481" s="12">
        <v>46121.705046296294</v>
      </c>
      <c r="K1481" s="6" t="e" cm="1">
        <f t="array" ref="K1481">LOOKUP(2^15,SEARCH(Tabela2[Palavras-Chave],Boletim[[#This Row],[Objeto]],1),Tabela2[Palavras-Chave])</f>
        <v>#N/A</v>
      </c>
    </row>
    <row r="1482" spans="1:11" ht="57.6" hidden="1" x14ac:dyDescent="0.3">
      <c r="A1482" s="5">
        <v>18809391</v>
      </c>
      <c r="B1482" s="6" t="s">
        <v>523</v>
      </c>
      <c r="C1482" s="6" t="s">
        <v>524</v>
      </c>
      <c r="D1482" s="8" t="s">
        <v>81</v>
      </c>
      <c r="E1482" s="6" t="s">
        <v>188</v>
      </c>
      <c r="F1482" s="6" t="s">
        <v>85</v>
      </c>
      <c r="G1482" s="11">
        <v>46136.458333333336</v>
      </c>
      <c r="H1482" s="10" t="s">
        <v>2209</v>
      </c>
      <c r="I1482" s="6" t="s">
        <v>2210</v>
      </c>
      <c r="J1482" s="12">
        <v>46121.734444444446</v>
      </c>
      <c r="K1482" s="6" t="e" cm="1">
        <f t="array" ref="K1482">LOOKUP(2^15,SEARCH(Tabela2[Palavras-Chave],Boletim[[#This Row],[Objeto]],1),Tabela2[Palavras-Chave])</f>
        <v>#N/A</v>
      </c>
    </row>
    <row r="1483" spans="1:11" ht="86.4" hidden="1" x14ac:dyDescent="0.3">
      <c r="A1483" s="5">
        <v>18809411</v>
      </c>
      <c r="B1483" s="6" t="s">
        <v>2211</v>
      </c>
      <c r="C1483" s="6" t="s">
        <v>298</v>
      </c>
      <c r="D1483" s="8" t="s">
        <v>81</v>
      </c>
      <c r="E1483" s="6" t="s">
        <v>122</v>
      </c>
      <c r="F1483" s="6" t="s">
        <v>85</v>
      </c>
      <c r="G1483" s="11" t="s">
        <v>56</v>
      </c>
      <c r="H1483" s="10" t="s">
        <v>2212</v>
      </c>
      <c r="I1483" s="6" t="s">
        <v>2213</v>
      </c>
      <c r="J1483" s="12">
        <v>46121.744733796295</v>
      </c>
      <c r="K1483" s="6" t="e" cm="1">
        <f t="array" ref="K1483">LOOKUP(2^15,SEARCH(Tabela2[Palavras-Chave],Boletim[[#This Row],[Objeto]],1),Tabela2[Palavras-Chave])</f>
        <v>#N/A</v>
      </c>
    </row>
    <row r="1484" spans="1:11" ht="100.8" hidden="1" x14ac:dyDescent="0.3">
      <c r="A1484" s="5">
        <v>18807478</v>
      </c>
      <c r="B1484" s="6" t="s">
        <v>2214</v>
      </c>
      <c r="C1484" s="6" t="s">
        <v>2187</v>
      </c>
      <c r="D1484" s="8" t="s">
        <v>81</v>
      </c>
      <c r="E1484" s="6" t="s">
        <v>146</v>
      </c>
      <c r="F1484" s="6" t="s">
        <v>85</v>
      </c>
      <c r="G1484" s="11">
        <v>46135.353472222225</v>
      </c>
      <c r="H1484" s="10" t="s">
        <v>2215</v>
      </c>
      <c r="I1484" s="6" t="s">
        <v>2216</v>
      </c>
      <c r="J1484" s="12">
        <v>46121.744884259257</v>
      </c>
      <c r="K1484" s="6" t="e" cm="1">
        <f t="array" ref="K1484">LOOKUP(2^15,SEARCH(Tabela2[Palavras-Chave],Boletim[[#This Row],[Objeto]],1),Tabela2[Palavras-Chave])</f>
        <v>#N/A</v>
      </c>
    </row>
    <row r="1485" spans="1:11" ht="115.2" x14ac:dyDescent="0.3">
      <c r="A1485" s="5">
        <v>18808530</v>
      </c>
      <c r="B1485" s="6" t="s">
        <v>254</v>
      </c>
      <c r="C1485" s="6" t="s">
        <v>255</v>
      </c>
      <c r="D1485" s="8" t="s">
        <v>81</v>
      </c>
      <c r="E1485" s="6" t="s">
        <v>483</v>
      </c>
      <c r="F1485" s="6" t="s">
        <v>85</v>
      </c>
      <c r="G1485" s="11" t="s">
        <v>56</v>
      </c>
      <c r="H1485" s="10" t="s">
        <v>2217</v>
      </c>
      <c r="I1485" s="6" t="s">
        <v>2218</v>
      </c>
      <c r="J1485" s="12">
        <v>46121.767164351855</v>
      </c>
      <c r="K1485" s="6" t="str" cm="1">
        <f t="array" ref="K1485">LOOKUP(2^15,SEARCH(Tabela2[Palavras-Chave],Boletim[[#This Row],[Objeto]],1),Tabela2[Palavras-Chave])</f>
        <v>RESERVAT</v>
      </c>
    </row>
    <row r="1486" spans="1:11" ht="86.4" hidden="1" x14ac:dyDescent="0.3">
      <c r="A1486" s="5">
        <v>18806936</v>
      </c>
      <c r="B1486" s="6" t="s">
        <v>2219</v>
      </c>
      <c r="C1486" s="6" t="s">
        <v>2220</v>
      </c>
      <c r="D1486" s="8" t="s">
        <v>81</v>
      </c>
      <c r="E1486" s="6" t="s">
        <v>155</v>
      </c>
      <c r="F1486" s="6" t="s">
        <v>85</v>
      </c>
      <c r="G1486" s="11" t="s">
        <v>56</v>
      </c>
      <c r="H1486" s="10" t="s">
        <v>2221</v>
      </c>
      <c r="I1486" s="6" t="s">
        <v>2222</v>
      </c>
      <c r="J1486" s="12">
        <v>46121.769270833334</v>
      </c>
      <c r="K1486" s="6" t="e" cm="1">
        <f t="array" ref="K1486">LOOKUP(2^15,SEARCH(Tabela2[Palavras-Chave],Boletim[[#This Row],[Objeto]],1),Tabela2[Palavras-Chave])</f>
        <v>#N/A</v>
      </c>
    </row>
    <row r="1487" spans="1:11" ht="28.8" hidden="1" x14ac:dyDescent="0.3">
      <c r="A1487" s="5">
        <v>18810796</v>
      </c>
      <c r="B1487" s="6" t="s">
        <v>2223</v>
      </c>
      <c r="C1487" s="6" t="s">
        <v>104</v>
      </c>
      <c r="D1487" s="8" t="s">
        <v>81</v>
      </c>
      <c r="E1487" s="6" t="s">
        <v>155</v>
      </c>
      <c r="F1487" s="6" t="s">
        <v>85</v>
      </c>
      <c r="G1487" s="11">
        <v>46148</v>
      </c>
      <c r="H1487" s="10" t="s">
        <v>2224</v>
      </c>
      <c r="I1487" s="6" t="s">
        <v>169</v>
      </c>
      <c r="J1487" s="12">
        <v>46121.774745370371</v>
      </c>
      <c r="K1487" s="6" t="e" cm="1">
        <f t="array" ref="K1487">LOOKUP(2^15,SEARCH(Tabela2[Palavras-Chave],Boletim[[#This Row],[Objeto]],1),Tabela2[Palavras-Chave])</f>
        <v>#N/A</v>
      </c>
    </row>
    <row r="1488" spans="1:11" ht="144" hidden="1" x14ac:dyDescent="0.3">
      <c r="A1488" s="5">
        <v>18810938</v>
      </c>
      <c r="B1488" s="6" t="s">
        <v>2225</v>
      </c>
      <c r="C1488" s="6" t="s">
        <v>104</v>
      </c>
      <c r="D1488" s="8" t="s">
        <v>81</v>
      </c>
      <c r="E1488" s="6" t="s">
        <v>2226</v>
      </c>
      <c r="F1488" s="6" t="s">
        <v>85</v>
      </c>
      <c r="G1488" s="11" t="s">
        <v>56</v>
      </c>
      <c r="H1488" s="10" t="s">
        <v>2227</v>
      </c>
      <c r="I1488" s="6" t="s">
        <v>2228</v>
      </c>
      <c r="J1488" s="12">
        <v>46121.794490740744</v>
      </c>
      <c r="K1488" s="6" t="e" cm="1">
        <f t="array" ref="K1488">LOOKUP(2^15,SEARCH(Tabela2[Palavras-Chave],Boletim[[#This Row],[Objeto]],1),Tabela2[Palavras-Chave])</f>
        <v>#N/A</v>
      </c>
    </row>
    <row r="1489" spans="1:11" ht="43.2" hidden="1" x14ac:dyDescent="0.3">
      <c r="A1489" s="5">
        <v>18811001</v>
      </c>
      <c r="B1489" s="6" t="s">
        <v>3274</v>
      </c>
      <c r="C1489" s="6" t="s">
        <v>3275</v>
      </c>
      <c r="D1489" s="8" t="s">
        <v>81</v>
      </c>
      <c r="E1489" s="6" t="s">
        <v>201</v>
      </c>
      <c r="F1489" s="6" t="s">
        <v>85</v>
      </c>
      <c r="G1489" s="11">
        <v>46139.375</v>
      </c>
      <c r="H1489" s="10" t="s">
        <v>3276</v>
      </c>
      <c r="I1489" s="6" t="s">
        <v>3277</v>
      </c>
      <c r="J1489" s="12">
        <v>46121.780706018515</v>
      </c>
      <c r="K1489" s="6" t="e" cm="1">
        <f t="array" ref="K1489">LOOKUP(2^15,SEARCH(Tabela2[Palavras-Chave],Boletim[[#This Row],[Objeto]],1),Tabela2[Palavras-Chave])</f>
        <v>#N/A</v>
      </c>
    </row>
    <row r="1490" spans="1:11" ht="57.6" hidden="1" x14ac:dyDescent="0.3">
      <c r="A1490" s="5">
        <v>18810989</v>
      </c>
      <c r="B1490" s="6" t="s">
        <v>3278</v>
      </c>
      <c r="C1490" s="6" t="s">
        <v>3279</v>
      </c>
      <c r="D1490" s="8" t="s">
        <v>81</v>
      </c>
      <c r="E1490" s="6" t="s">
        <v>204</v>
      </c>
      <c r="F1490" s="6" t="s">
        <v>85</v>
      </c>
      <c r="G1490" s="11">
        <v>46126.582638888889</v>
      </c>
      <c r="H1490" s="10" t="s">
        <v>3280</v>
      </c>
      <c r="I1490" s="6" t="s">
        <v>3281</v>
      </c>
      <c r="J1490" s="12">
        <v>46121.781990740739</v>
      </c>
      <c r="K1490" s="6" t="e" cm="1">
        <f t="array" ref="K1490">LOOKUP(2^15,SEARCH(Tabela2[Palavras-Chave],Boletim[[#This Row],[Objeto]],1),Tabela2[Palavras-Chave])</f>
        <v>#N/A</v>
      </c>
    </row>
    <row r="1491" spans="1:11" ht="86.4" hidden="1" x14ac:dyDescent="0.3">
      <c r="A1491" s="5">
        <v>18809406</v>
      </c>
      <c r="B1491" s="6" t="s">
        <v>2229</v>
      </c>
      <c r="C1491" s="6" t="s">
        <v>2230</v>
      </c>
      <c r="D1491" s="8" t="s">
        <v>81</v>
      </c>
      <c r="E1491" s="6" t="s">
        <v>301</v>
      </c>
      <c r="F1491" s="6" t="s">
        <v>85</v>
      </c>
      <c r="G1491" s="11" t="s">
        <v>56</v>
      </c>
      <c r="H1491" s="10" t="s">
        <v>2231</v>
      </c>
      <c r="I1491" s="6" t="s">
        <v>2232</v>
      </c>
      <c r="J1491" s="12">
        <v>46121.788541666669</v>
      </c>
      <c r="K1491" s="6" t="e" cm="1">
        <f t="array" ref="K1491">LOOKUP(2^15,SEARCH(Tabela2[Palavras-Chave],Boletim[[#This Row],[Objeto]],1),Tabela2[Palavras-Chave])</f>
        <v>#N/A</v>
      </c>
    </row>
    <row r="1492" spans="1:11" ht="100.8" hidden="1" x14ac:dyDescent="0.3">
      <c r="A1492" s="5">
        <v>18811116</v>
      </c>
      <c r="B1492" s="6" t="s">
        <v>2233</v>
      </c>
      <c r="C1492" s="6" t="s">
        <v>2234</v>
      </c>
      <c r="D1492" s="8" t="s">
        <v>81</v>
      </c>
      <c r="E1492" s="6" t="s">
        <v>115</v>
      </c>
      <c r="F1492" s="6" t="s">
        <v>85</v>
      </c>
      <c r="G1492" s="11" t="s">
        <v>56</v>
      </c>
      <c r="H1492" s="10" t="s">
        <v>2235</v>
      </c>
      <c r="I1492" s="6" t="s">
        <v>2236</v>
      </c>
      <c r="J1492" s="12">
        <v>46121.796759259261</v>
      </c>
      <c r="K1492" s="6" t="e" cm="1">
        <f t="array" ref="K1492">LOOKUP(2^15,SEARCH(Tabela2[Palavras-Chave],Boletim[[#This Row],[Objeto]],1),Tabela2[Palavras-Chave])</f>
        <v>#N/A</v>
      </c>
    </row>
    <row r="1493" spans="1:11" ht="273.60000000000002" hidden="1" x14ac:dyDescent="0.3">
      <c r="A1493" s="5">
        <v>18811163</v>
      </c>
      <c r="B1493" s="6" t="s">
        <v>2237</v>
      </c>
      <c r="C1493" s="6" t="s">
        <v>2234</v>
      </c>
      <c r="D1493" s="8" t="s">
        <v>81</v>
      </c>
      <c r="E1493" s="6" t="s">
        <v>115</v>
      </c>
      <c r="F1493" s="6" t="s">
        <v>85</v>
      </c>
      <c r="G1493" s="11" t="s">
        <v>56</v>
      </c>
      <c r="H1493" s="10" t="s">
        <v>2238</v>
      </c>
      <c r="I1493" s="6" t="s">
        <v>2239</v>
      </c>
      <c r="J1493" s="12">
        <v>46121.796886574077</v>
      </c>
      <c r="K1493" s="6" t="e" cm="1">
        <f t="array" ref="K1493">LOOKUP(2^15,SEARCH(Tabela2[Palavras-Chave],Boletim[[#This Row],[Objeto]],1),Tabela2[Palavras-Chave])</f>
        <v>#N/A</v>
      </c>
    </row>
    <row r="1494" spans="1:11" ht="43.2" hidden="1" x14ac:dyDescent="0.3">
      <c r="A1494" s="5">
        <v>18811023</v>
      </c>
      <c r="B1494" s="6" t="s">
        <v>3282</v>
      </c>
      <c r="C1494" s="6" t="s">
        <v>3283</v>
      </c>
      <c r="D1494" s="8" t="s">
        <v>81</v>
      </c>
      <c r="E1494" s="6" t="s">
        <v>3284</v>
      </c>
      <c r="F1494" s="6" t="s">
        <v>85</v>
      </c>
      <c r="G1494" s="11">
        <v>46134.770833333336</v>
      </c>
      <c r="H1494" s="10" t="s">
        <v>3285</v>
      </c>
      <c r="I1494" s="6" t="s">
        <v>3286</v>
      </c>
      <c r="J1494" s="12">
        <v>46121.79760416667</v>
      </c>
      <c r="K1494" s="6" t="e" cm="1">
        <f t="array" ref="K1494">LOOKUP(2^15,SEARCH(Tabela2[Palavras-Chave],Boletim[[#This Row],[Objeto]],1),Tabela2[Palavras-Chave])</f>
        <v>#N/A</v>
      </c>
    </row>
    <row r="1495" spans="1:11" ht="57.6" hidden="1" x14ac:dyDescent="0.3">
      <c r="A1495" s="5">
        <v>18811283</v>
      </c>
      <c r="B1495" s="6" t="s">
        <v>3287</v>
      </c>
      <c r="C1495" s="6" t="s">
        <v>3288</v>
      </c>
      <c r="D1495" s="8" t="s">
        <v>81</v>
      </c>
      <c r="E1495" s="6" t="s">
        <v>116</v>
      </c>
      <c r="F1495" s="6" t="s">
        <v>85</v>
      </c>
      <c r="G1495" s="11">
        <v>46125</v>
      </c>
      <c r="H1495" s="10" t="s">
        <v>3289</v>
      </c>
      <c r="I1495" s="6" t="s">
        <v>3290</v>
      </c>
      <c r="J1495" s="12">
        <v>46121.839803240742</v>
      </c>
      <c r="K1495" s="6" t="e" cm="1">
        <f t="array" ref="K1495">LOOKUP(2^15,SEARCH(Tabela2[Palavras-Chave],Boletim[[#This Row],[Objeto]],1),Tabela2[Palavras-Chave])</f>
        <v>#N/A</v>
      </c>
    </row>
    <row r="1496" spans="1:11" ht="57.6" hidden="1" x14ac:dyDescent="0.3">
      <c r="A1496" s="5">
        <v>18811418</v>
      </c>
      <c r="B1496" s="6" t="s">
        <v>2194</v>
      </c>
      <c r="C1496" s="6" t="s">
        <v>2195</v>
      </c>
      <c r="D1496" s="8" t="s">
        <v>81</v>
      </c>
      <c r="E1496" s="6" t="s">
        <v>170</v>
      </c>
      <c r="F1496" s="6" t="s">
        <v>85</v>
      </c>
      <c r="G1496" s="11" t="s">
        <v>56</v>
      </c>
      <c r="H1496" s="10" t="s">
        <v>3291</v>
      </c>
      <c r="I1496" s="6" t="s">
        <v>3292</v>
      </c>
      <c r="J1496" s="12">
        <v>46121.852048611108</v>
      </c>
      <c r="K1496" s="6" t="e" cm="1">
        <f t="array" ref="K1496">LOOKUP(2^15,SEARCH(Tabela2[Palavras-Chave],Boletim[[#This Row],[Objeto]],1),Tabela2[Palavras-Chave])</f>
        <v>#N/A</v>
      </c>
    </row>
    <row r="1497" spans="1:11" ht="115.2" hidden="1" x14ac:dyDescent="0.3">
      <c r="A1497" s="5">
        <v>18804678</v>
      </c>
      <c r="B1497" s="6" t="s">
        <v>2223</v>
      </c>
      <c r="C1497" s="6" t="s">
        <v>104</v>
      </c>
      <c r="D1497" s="8" t="s">
        <v>81</v>
      </c>
      <c r="E1497" s="6" t="s">
        <v>2240</v>
      </c>
      <c r="F1497" s="6" t="s">
        <v>85</v>
      </c>
      <c r="G1497" s="11">
        <v>46148.375</v>
      </c>
      <c r="H1497" s="10" t="s">
        <v>2241</v>
      </c>
      <c r="I1497" s="6" t="s">
        <v>2242</v>
      </c>
      <c r="J1497" s="12">
        <v>46121.87222222222</v>
      </c>
      <c r="K1497" s="6" t="e" cm="1">
        <f t="array" ref="K1497">LOOKUP(2^15,SEARCH(Tabela2[Palavras-Chave],Boletim[[#This Row],[Objeto]],1),Tabela2[Palavras-Chave])</f>
        <v>#N/A</v>
      </c>
    </row>
    <row r="1498" spans="1:11" ht="86.4" hidden="1" x14ac:dyDescent="0.3">
      <c r="A1498" s="5">
        <v>18806969</v>
      </c>
      <c r="B1498" s="6" t="s">
        <v>2243</v>
      </c>
      <c r="C1498" s="6" t="s">
        <v>2244</v>
      </c>
      <c r="D1498" s="8" t="s">
        <v>93</v>
      </c>
      <c r="E1498" s="6" t="s">
        <v>108</v>
      </c>
      <c r="F1498" s="6" t="s">
        <v>85</v>
      </c>
      <c r="G1498" s="11" t="s">
        <v>56</v>
      </c>
      <c r="H1498" s="10" t="s">
        <v>2245</v>
      </c>
      <c r="I1498" s="6" t="s">
        <v>2246</v>
      </c>
      <c r="J1498" s="12">
        <v>46121.44326388889</v>
      </c>
      <c r="K1498" s="6" t="e" cm="1">
        <f t="array" ref="K1498">LOOKUP(2^15,SEARCH(Tabela2[Palavras-Chave],Boletim[[#This Row],[Objeto]],1),Tabela2[Palavras-Chave])</f>
        <v>#N/A</v>
      </c>
    </row>
    <row r="1499" spans="1:11" ht="100.8" hidden="1" x14ac:dyDescent="0.3">
      <c r="A1499" s="5">
        <v>18807462</v>
      </c>
      <c r="B1499" s="6" t="s">
        <v>74</v>
      </c>
      <c r="C1499" s="6" t="s">
        <v>160</v>
      </c>
      <c r="D1499" s="8" t="s">
        <v>93</v>
      </c>
      <c r="E1499" s="6" t="s">
        <v>1319</v>
      </c>
      <c r="F1499" s="6" t="s">
        <v>85</v>
      </c>
      <c r="G1499" s="11" t="s">
        <v>56</v>
      </c>
      <c r="H1499" s="10" t="s">
        <v>1320</v>
      </c>
      <c r="I1499" s="6" t="s">
        <v>1321</v>
      </c>
      <c r="J1499" s="12">
        <v>46121.447314814817</v>
      </c>
      <c r="K1499" s="6" t="e" cm="1">
        <f t="array" ref="K1499">LOOKUP(2^15,SEARCH(Tabela2[Palavras-Chave],Boletim[[#This Row],[Objeto]],1),Tabela2[Palavras-Chave])</f>
        <v>#N/A</v>
      </c>
    </row>
    <row r="1500" spans="1:11" ht="100.8" hidden="1" x14ac:dyDescent="0.3">
      <c r="A1500" s="5">
        <v>18807587</v>
      </c>
      <c r="B1500" s="6" t="s">
        <v>74</v>
      </c>
      <c r="C1500" s="6" t="s">
        <v>160</v>
      </c>
      <c r="D1500" s="8" t="s">
        <v>93</v>
      </c>
      <c r="E1500" s="6" t="s">
        <v>2972</v>
      </c>
      <c r="F1500" s="6" t="s">
        <v>85</v>
      </c>
      <c r="G1500" s="11" t="s">
        <v>56</v>
      </c>
      <c r="H1500" s="10" t="s">
        <v>2973</v>
      </c>
      <c r="I1500" s="6" t="s">
        <v>1321</v>
      </c>
      <c r="J1500" s="12">
        <v>46121.450092592589</v>
      </c>
      <c r="K1500" s="6" t="e" cm="1">
        <f t="array" ref="K1500">LOOKUP(2^15,SEARCH(Tabela2[Palavras-Chave],Boletim[[#This Row],[Objeto]],1),Tabela2[Palavras-Chave])</f>
        <v>#N/A</v>
      </c>
    </row>
    <row r="1501" spans="1:11" ht="86.4" hidden="1" x14ac:dyDescent="0.3">
      <c r="A1501" s="5">
        <v>18806947</v>
      </c>
      <c r="B1501" s="6" t="s">
        <v>2247</v>
      </c>
      <c r="C1501" s="6" t="s">
        <v>2248</v>
      </c>
      <c r="D1501" s="8" t="s">
        <v>93</v>
      </c>
      <c r="E1501" s="6" t="s">
        <v>117</v>
      </c>
      <c r="F1501" s="6" t="s">
        <v>85</v>
      </c>
      <c r="G1501" s="11" t="s">
        <v>56</v>
      </c>
      <c r="H1501" s="10" t="s">
        <v>2249</v>
      </c>
      <c r="I1501" s="6" t="s">
        <v>2250</v>
      </c>
      <c r="J1501" s="12">
        <v>46121.537662037037</v>
      </c>
      <c r="K1501" s="6" t="e" cm="1">
        <f t="array" ref="K1501">LOOKUP(2^15,SEARCH(Tabela2[Palavras-Chave],Boletim[[#This Row],[Objeto]],1),Tabela2[Palavras-Chave])</f>
        <v>#N/A</v>
      </c>
    </row>
    <row r="1502" spans="1:11" ht="158.4" hidden="1" x14ac:dyDescent="0.3">
      <c r="A1502" s="5">
        <v>18810150</v>
      </c>
      <c r="B1502" s="6" t="s">
        <v>2251</v>
      </c>
      <c r="C1502" s="6" t="s">
        <v>160</v>
      </c>
      <c r="D1502" s="8" t="s">
        <v>93</v>
      </c>
      <c r="E1502" s="6" t="s">
        <v>158</v>
      </c>
      <c r="F1502" s="6" t="s">
        <v>85</v>
      </c>
      <c r="G1502" s="11">
        <v>46134.375</v>
      </c>
      <c r="H1502" s="10" t="s">
        <v>2252</v>
      </c>
      <c r="I1502" s="6" t="s">
        <v>2253</v>
      </c>
      <c r="J1502" s="12">
        <v>46121.726354166669</v>
      </c>
      <c r="K1502" s="6" t="e" cm="1">
        <f t="array" ref="K1502">LOOKUP(2^15,SEARCH(Tabela2[Palavras-Chave],Boletim[[#This Row],[Objeto]],1),Tabela2[Palavras-Chave])</f>
        <v>#N/A</v>
      </c>
    </row>
    <row r="1503" spans="1:11" ht="43.2" hidden="1" x14ac:dyDescent="0.3">
      <c r="A1503" s="5">
        <v>18809590</v>
      </c>
      <c r="B1503" s="6" t="s">
        <v>2254</v>
      </c>
      <c r="C1503" s="6" t="s">
        <v>1763</v>
      </c>
      <c r="D1503" s="8" t="s">
        <v>93</v>
      </c>
      <c r="E1503" s="6" t="s">
        <v>121</v>
      </c>
      <c r="F1503" s="6" t="s">
        <v>85</v>
      </c>
      <c r="G1503" s="11">
        <v>46139.375</v>
      </c>
      <c r="H1503" s="10" t="s">
        <v>2255</v>
      </c>
      <c r="I1503" s="6" t="s">
        <v>2256</v>
      </c>
      <c r="J1503" s="12">
        <v>46121.732002314813</v>
      </c>
      <c r="K1503" s="6" t="e" cm="1">
        <f t="array" ref="K1503">LOOKUP(2^15,SEARCH(Tabela2[Palavras-Chave],Boletim[[#This Row],[Objeto]],1),Tabela2[Palavras-Chave])</f>
        <v>#N/A</v>
      </c>
    </row>
    <row r="1504" spans="1:11" ht="43.2" hidden="1" x14ac:dyDescent="0.3">
      <c r="A1504" s="5">
        <v>18810594</v>
      </c>
      <c r="B1504" s="6" t="s">
        <v>579</v>
      </c>
      <c r="C1504" s="6" t="s">
        <v>580</v>
      </c>
      <c r="D1504" s="8" t="s">
        <v>93</v>
      </c>
      <c r="E1504" s="6" t="s">
        <v>108</v>
      </c>
      <c r="F1504" s="6" t="s">
        <v>85</v>
      </c>
      <c r="G1504" s="11">
        <v>46139.375</v>
      </c>
      <c r="H1504" s="10" t="s">
        <v>2257</v>
      </c>
      <c r="I1504" s="6" t="s">
        <v>2258</v>
      </c>
      <c r="J1504" s="12">
        <v>46121.755694444444</v>
      </c>
      <c r="K1504" s="6" t="e" cm="1">
        <f t="array" ref="K1504">LOOKUP(2^15,SEARCH(Tabela2[Palavras-Chave],Boletim[[#This Row],[Objeto]],1),Tabela2[Palavras-Chave])</f>
        <v>#N/A</v>
      </c>
    </row>
    <row r="1505" spans="1:11" ht="158.4" hidden="1" x14ac:dyDescent="0.3">
      <c r="A1505" s="5">
        <v>18805488</v>
      </c>
      <c r="B1505" s="6" t="s">
        <v>552</v>
      </c>
      <c r="C1505" s="6" t="s">
        <v>83</v>
      </c>
      <c r="D1505" s="8" t="s">
        <v>82</v>
      </c>
      <c r="E1505" s="6" t="s">
        <v>553</v>
      </c>
      <c r="F1505" s="6" t="s">
        <v>85</v>
      </c>
      <c r="G1505" s="11">
        <v>46134.395833333336</v>
      </c>
      <c r="H1505" s="10" t="s">
        <v>554</v>
      </c>
      <c r="I1505" s="6" t="s">
        <v>555</v>
      </c>
      <c r="J1505" s="12">
        <v>46121.389050925929</v>
      </c>
      <c r="K1505" s="6" t="e" cm="1">
        <f t="array" ref="K1505">LOOKUP(2^15,SEARCH(Tabela2[Palavras-Chave],Boletim[[#This Row],[Objeto]],1),Tabela2[Palavras-Chave])</f>
        <v>#N/A</v>
      </c>
    </row>
    <row r="1506" spans="1:11" ht="115.2" hidden="1" x14ac:dyDescent="0.3">
      <c r="A1506" s="5">
        <v>18792175</v>
      </c>
      <c r="B1506" s="6" t="s">
        <v>2259</v>
      </c>
      <c r="C1506" s="6" t="s">
        <v>2260</v>
      </c>
      <c r="D1506" s="8" t="s">
        <v>82</v>
      </c>
      <c r="E1506" s="6" t="s">
        <v>293</v>
      </c>
      <c r="F1506" s="6" t="s">
        <v>85</v>
      </c>
      <c r="G1506" s="11" t="s">
        <v>56</v>
      </c>
      <c r="H1506" s="10" t="s">
        <v>2261</v>
      </c>
      <c r="I1506" s="6" t="s">
        <v>2262</v>
      </c>
      <c r="J1506" s="12">
        <v>46121.389050925929</v>
      </c>
      <c r="K1506" s="6" t="e" cm="1">
        <f t="array" ref="K1506">LOOKUP(2^15,SEARCH(Tabela2[Palavras-Chave],Boletim[[#This Row],[Objeto]],1),Tabela2[Palavras-Chave])</f>
        <v>#N/A</v>
      </c>
    </row>
    <row r="1507" spans="1:11" ht="86.4" hidden="1" x14ac:dyDescent="0.3">
      <c r="A1507" s="5">
        <v>18798007</v>
      </c>
      <c r="B1507" s="6" t="s">
        <v>2263</v>
      </c>
      <c r="C1507" s="6" t="s">
        <v>2264</v>
      </c>
      <c r="D1507" s="8" t="s">
        <v>82</v>
      </c>
      <c r="E1507" s="6" t="s">
        <v>134</v>
      </c>
      <c r="F1507" s="6" t="s">
        <v>85</v>
      </c>
      <c r="G1507" s="11" t="s">
        <v>56</v>
      </c>
      <c r="H1507" s="10" t="s">
        <v>2265</v>
      </c>
      <c r="I1507" s="6" t="s">
        <v>2266</v>
      </c>
      <c r="J1507" s="12">
        <v>46121.389050925929</v>
      </c>
      <c r="K1507" s="6" t="e" cm="1">
        <f t="array" ref="K1507">LOOKUP(2^15,SEARCH(Tabela2[Palavras-Chave],Boletim[[#This Row],[Objeto]],1),Tabela2[Palavras-Chave])</f>
        <v>#N/A</v>
      </c>
    </row>
    <row r="1508" spans="1:11" ht="100.8" hidden="1" x14ac:dyDescent="0.3">
      <c r="A1508" s="5">
        <v>18807463</v>
      </c>
      <c r="B1508" s="6" t="s">
        <v>74</v>
      </c>
      <c r="C1508" s="6" t="s">
        <v>83</v>
      </c>
      <c r="D1508" s="8" t="s">
        <v>82</v>
      </c>
      <c r="E1508" s="6" t="s">
        <v>1319</v>
      </c>
      <c r="F1508" s="6" t="s">
        <v>85</v>
      </c>
      <c r="G1508" s="11" t="s">
        <v>56</v>
      </c>
      <c r="H1508" s="10" t="s">
        <v>1320</v>
      </c>
      <c r="I1508" s="6" t="s">
        <v>1321</v>
      </c>
      <c r="J1508" s="12">
        <v>46121.447314814817</v>
      </c>
      <c r="K1508" s="6" t="e" cm="1">
        <f t="array" ref="K1508">LOOKUP(2^15,SEARCH(Tabela2[Palavras-Chave],Boletim[[#This Row],[Objeto]],1),Tabela2[Palavras-Chave])</f>
        <v>#N/A</v>
      </c>
    </row>
    <row r="1509" spans="1:11" ht="72" hidden="1" x14ac:dyDescent="0.3">
      <c r="A1509" s="5">
        <v>18807403</v>
      </c>
      <c r="B1509" s="6" t="s">
        <v>74</v>
      </c>
      <c r="C1509" s="6" t="s">
        <v>83</v>
      </c>
      <c r="D1509" s="8" t="s">
        <v>82</v>
      </c>
      <c r="E1509" s="6" t="s">
        <v>3213</v>
      </c>
      <c r="F1509" s="6" t="s">
        <v>85</v>
      </c>
      <c r="G1509" s="11" t="s">
        <v>56</v>
      </c>
      <c r="H1509" s="10" t="s">
        <v>3214</v>
      </c>
      <c r="I1509" s="6" t="s">
        <v>3215</v>
      </c>
      <c r="J1509" s="12">
        <v>46121.447314814817</v>
      </c>
      <c r="K1509" s="6" t="e" cm="1">
        <f t="array" ref="K1509">LOOKUP(2^15,SEARCH(Tabela2[Palavras-Chave],Boletim[[#This Row],[Objeto]],1),Tabela2[Palavras-Chave])</f>
        <v>#N/A</v>
      </c>
    </row>
    <row r="1510" spans="1:11" ht="72" hidden="1" x14ac:dyDescent="0.3">
      <c r="A1510" s="5">
        <v>18807381</v>
      </c>
      <c r="B1510" s="6" t="s">
        <v>74</v>
      </c>
      <c r="C1510" s="6" t="s">
        <v>83</v>
      </c>
      <c r="D1510" s="8" t="s">
        <v>82</v>
      </c>
      <c r="E1510" s="6" t="s">
        <v>3216</v>
      </c>
      <c r="F1510" s="6" t="s">
        <v>85</v>
      </c>
      <c r="G1510" s="11" t="s">
        <v>56</v>
      </c>
      <c r="H1510" s="10" t="s">
        <v>3217</v>
      </c>
      <c r="I1510" s="6" t="s">
        <v>3218</v>
      </c>
      <c r="J1510" s="12">
        <v>46121.448634259257</v>
      </c>
      <c r="K1510" s="6" t="e" cm="1">
        <f t="array" ref="K1510">LOOKUP(2^15,SEARCH(Tabela2[Palavras-Chave],Boletim[[#This Row],[Objeto]],1),Tabela2[Palavras-Chave])</f>
        <v>#N/A</v>
      </c>
    </row>
    <row r="1511" spans="1:11" ht="259.2" hidden="1" x14ac:dyDescent="0.3">
      <c r="A1511" s="5">
        <v>18807088</v>
      </c>
      <c r="B1511" s="6" t="s">
        <v>2267</v>
      </c>
      <c r="C1511" s="6" t="s">
        <v>2268</v>
      </c>
      <c r="D1511" s="8" t="s">
        <v>82</v>
      </c>
      <c r="E1511" s="6" t="s">
        <v>127</v>
      </c>
      <c r="F1511" s="6" t="s">
        <v>85</v>
      </c>
      <c r="G1511" s="11" t="s">
        <v>56</v>
      </c>
      <c r="H1511" s="10" t="s">
        <v>2269</v>
      </c>
      <c r="I1511" s="6" t="s">
        <v>2270</v>
      </c>
      <c r="J1511" s="12">
        <v>46121.447071759256</v>
      </c>
      <c r="K1511" s="6" t="e" cm="1">
        <f t="array" ref="K1511">LOOKUP(2^15,SEARCH(Tabela2[Palavras-Chave],Boletim[[#This Row],[Objeto]],1),Tabela2[Palavras-Chave])</f>
        <v>#N/A</v>
      </c>
    </row>
    <row r="1512" spans="1:11" ht="100.8" hidden="1" x14ac:dyDescent="0.3">
      <c r="A1512" s="5">
        <v>18807588</v>
      </c>
      <c r="B1512" s="6" t="s">
        <v>74</v>
      </c>
      <c r="C1512" s="6" t="s">
        <v>83</v>
      </c>
      <c r="D1512" s="8" t="s">
        <v>82</v>
      </c>
      <c r="E1512" s="6" t="s">
        <v>2972</v>
      </c>
      <c r="F1512" s="6" t="s">
        <v>85</v>
      </c>
      <c r="G1512" s="11" t="s">
        <v>56</v>
      </c>
      <c r="H1512" s="10" t="s">
        <v>2973</v>
      </c>
      <c r="I1512" s="6" t="s">
        <v>1321</v>
      </c>
      <c r="J1512" s="12">
        <v>46121.450092592589</v>
      </c>
      <c r="K1512" s="6" t="e" cm="1">
        <f t="array" ref="K1512">LOOKUP(2^15,SEARCH(Tabela2[Palavras-Chave],Boletim[[#This Row],[Objeto]],1),Tabela2[Palavras-Chave])</f>
        <v>#N/A</v>
      </c>
    </row>
    <row r="1513" spans="1:11" ht="43.2" hidden="1" x14ac:dyDescent="0.3">
      <c r="A1513" s="5">
        <v>18804870</v>
      </c>
      <c r="B1513" s="6" t="s">
        <v>697</v>
      </c>
      <c r="C1513" s="6" t="s">
        <v>698</v>
      </c>
      <c r="D1513" s="8" t="s">
        <v>82</v>
      </c>
      <c r="E1513" s="6" t="s">
        <v>108</v>
      </c>
      <c r="F1513" s="6" t="s">
        <v>85</v>
      </c>
      <c r="G1513" s="11">
        <v>46136.375</v>
      </c>
      <c r="H1513" s="10" t="s">
        <v>699</v>
      </c>
      <c r="I1513" s="6" t="s">
        <v>700</v>
      </c>
      <c r="J1513" s="12">
        <v>46121.450740740744</v>
      </c>
      <c r="K1513" s="6" t="e" cm="1">
        <f t="array" ref="K1513">LOOKUP(2^15,SEARCH(Tabela2[Palavras-Chave],Boletim[[#This Row],[Objeto]],1),Tabela2[Palavras-Chave])</f>
        <v>#N/A</v>
      </c>
    </row>
    <row r="1514" spans="1:11" ht="100.8" hidden="1" x14ac:dyDescent="0.3">
      <c r="A1514" s="5">
        <v>18804729</v>
      </c>
      <c r="B1514" s="6" t="s">
        <v>303</v>
      </c>
      <c r="C1514" s="6" t="s">
        <v>304</v>
      </c>
      <c r="D1514" s="8" t="s">
        <v>82</v>
      </c>
      <c r="E1514" s="6" t="s">
        <v>548</v>
      </c>
      <c r="F1514" s="6" t="s">
        <v>85</v>
      </c>
      <c r="G1514" s="11">
        <v>46148.604166666664</v>
      </c>
      <c r="H1514" s="10" t="s">
        <v>549</v>
      </c>
      <c r="I1514" s="6" t="s">
        <v>550</v>
      </c>
      <c r="J1514" s="12">
        <v>46121.451516203706</v>
      </c>
      <c r="K1514" s="6" t="e" cm="1">
        <f t="array" ref="K1514">LOOKUP(2^15,SEARCH(Tabela2[Palavras-Chave],Boletim[[#This Row],[Objeto]],1),Tabela2[Palavras-Chave])</f>
        <v>#N/A</v>
      </c>
    </row>
    <row r="1515" spans="1:11" ht="86.4" hidden="1" x14ac:dyDescent="0.3">
      <c r="A1515" s="5">
        <v>18806958</v>
      </c>
      <c r="B1515" s="6" t="s">
        <v>2271</v>
      </c>
      <c r="C1515" s="6" t="s">
        <v>2272</v>
      </c>
      <c r="D1515" s="8" t="s">
        <v>82</v>
      </c>
      <c r="E1515" s="6" t="s">
        <v>450</v>
      </c>
      <c r="F1515" s="6" t="s">
        <v>85</v>
      </c>
      <c r="G1515" s="11" t="s">
        <v>56</v>
      </c>
      <c r="H1515" s="10" t="s">
        <v>2273</v>
      </c>
      <c r="I1515" s="6" t="s">
        <v>2274</v>
      </c>
      <c r="J1515" s="12">
        <v>46121.450428240743</v>
      </c>
      <c r="K1515" s="6" t="e" cm="1">
        <f t="array" ref="K1515">LOOKUP(2^15,SEARCH(Tabela2[Palavras-Chave],Boletim[[#This Row],[Objeto]],1),Tabela2[Palavras-Chave])</f>
        <v>#N/A</v>
      </c>
    </row>
    <row r="1516" spans="1:11" ht="28.8" hidden="1" x14ac:dyDescent="0.3">
      <c r="A1516" s="5">
        <v>18807031</v>
      </c>
      <c r="B1516" s="6" t="s">
        <v>2275</v>
      </c>
      <c r="C1516" s="6" t="s">
        <v>2276</v>
      </c>
      <c r="D1516" s="8" t="s">
        <v>82</v>
      </c>
      <c r="E1516" s="6" t="s">
        <v>121</v>
      </c>
      <c r="F1516" s="6" t="s">
        <v>85</v>
      </c>
      <c r="G1516" s="11">
        <v>46139.326388888891</v>
      </c>
      <c r="H1516" s="10" t="s">
        <v>2277</v>
      </c>
      <c r="I1516" s="6" t="s">
        <v>90</v>
      </c>
      <c r="J1516" s="12">
        <v>46121.451932870368</v>
      </c>
      <c r="K1516" s="6" t="e" cm="1">
        <f t="array" ref="K1516">LOOKUP(2^15,SEARCH(Tabela2[Palavras-Chave],Boletim[[#This Row],[Objeto]],1),Tabela2[Palavras-Chave])</f>
        <v>#N/A</v>
      </c>
    </row>
    <row r="1517" spans="1:11" ht="259.2" hidden="1" x14ac:dyDescent="0.3">
      <c r="A1517" s="5">
        <v>18807066</v>
      </c>
      <c r="B1517" s="6" t="s">
        <v>2278</v>
      </c>
      <c r="C1517" s="6" t="s">
        <v>2279</v>
      </c>
      <c r="D1517" s="8" t="s">
        <v>82</v>
      </c>
      <c r="E1517" s="6" t="s">
        <v>128</v>
      </c>
      <c r="F1517" s="6" t="s">
        <v>85</v>
      </c>
      <c r="G1517" s="11" t="s">
        <v>56</v>
      </c>
      <c r="H1517" s="10" t="s">
        <v>2280</v>
      </c>
      <c r="I1517" s="6" t="s">
        <v>2281</v>
      </c>
      <c r="J1517" s="12">
        <v>46121.452303240738</v>
      </c>
      <c r="K1517" s="6" t="e" cm="1">
        <f t="array" ref="K1517">LOOKUP(2^15,SEARCH(Tabela2[Palavras-Chave],Boletim[[#This Row],[Objeto]],1),Tabela2[Palavras-Chave])</f>
        <v>#N/A</v>
      </c>
    </row>
    <row r="1518" spans="1:11" ht="86.4" hidden="1" x14ac:dyDescent="0.3">
      <c r="A1518" s="5">
        <v>18806963</v>
      </c>
      <c r="B1518" s="6" t="s">
        <v>2282</v>
      </c>
      <c r="C1518" s="6" t="s">
        <v>2283</v>
      </c>
      <c r="D1518" s="8" t="s">
        <v>82</v>
      </c>
      <c r="E1518" s="6" t="s">
        <v>424</v>
      </c>
      <c r="F1518" s="6" t="s">
        <v>85</v>
      </c>
      <c r="G1518" s="11" t="s">
        <v>56</v>
      </c>
      <c r="H1518" s="10" t="s">
        <v>2284</v>
      </c>
      <c r="I1518" s="6" t="s">
        <v>2285</v>
      </c>
      <c r="J1518" s="12">
        <v>46121.458009259259</v>
      </c>
      <c r="K1518" s="6" t="e" cm="1">
        <f t="array" ref="K1518">LOOKUP(2^15,SEARCH(Tabela2[Palavras-Chave],Boletim[[#This Row],[Objeto]],1),Tabela2[Palavras-Chave])</f>
        <v>#N/A</v>
      </c>
    </row>
    <row r="1519" spans="1:11" ht="86.4" hidden="1" x14ac:dyDescent="0.3">
      <c r="A1519" s="5">
        <v>18806198</v>
      </c>
      <c r="B1519" s="6" t="s">
        <v>556</v>
      </c>
      <c r="C1519" s="6" t="s">
        <v>557</v>
      </c>
      <c r="D1519" s="8" t="s">
        <v>82</v>
      </c>
      <c r="E1519" s="6" t="s">
        <v>229</v>
      </c>
      <c r="F1519" s="6" t="s">
        <v>85</v>
      </c>
      <c r="G1519" s="11" t="s">
        <v>56</v>
      </c>
      <c r="H1519" s="10" t="s">
        <v>558</v>
      </c>
      <c r="I1519" s="6" t="s">
        <v>559</v>
      </c>
      <c r="J1519" s="12">
        <v>46121.461180555554</v>
      </c>
      <c r="K1519" s="6" t="e" cm="1">
        <f t="array" ref="K1519">LOOKUP(2^15,SEARCH(Tabela2[Palavras-Chave],Boletim[[#This Row],[Objeto]],1),Tabela2[Palavras-Chave])</f>
        <v>#N/A</v>
      </c>
    </row>
    <row r="1520" spans="1:11" ht="86.4" hidden="1" x14ac:dyDescent="0.3">
      <c r="A1520" s="5">
        <v>18806957</v>
      </c>
      <c r="B1520" s="6" t="s">
        <v>2286</v>
      </c>
      <c r="C1520" s="6" t="s">
        <v>2287</v>
      </c>
      <c r="D1520" s="8" t="s">
        <v>82</v>
      </c>
      <c r="E1520" s="6" t="s">
        <v>122</v>
      </c>
      <c r="F1520" s="6" t="s">
        <v>85</v>
      </c>
      <c r="G1520" s="11" t="s">
        <v>56</v>
      </c>
      <c r="H1520" s="10" t="s">
        <v>2288</v>
      </c>
      <c r="I1520" s="6" t="s">
        <v>2289</v>
      </c>
      <c r="J1520" s="12">
        <v>46121.458958333336</v>
      </c>
      <c r="K1520" s="6" t="e" cm="1">
        <f t="array" ref="K1520">LOOKUP(2^15,SEARCH(Tabela2[Palavras-Chave],Boletim[[#This Row],[Objeto]],1),Tabela2[Palavras-Chave])</f>
        <v>#N/A</v>
      </c>
    </row>
    <row r="1521" spans="1:11" ht="100.8" hidden="1" x14ac:dyDescent="0.3">
      <c r="A1521" s="5">
        <v>18783825</v>
      </c>
      <c r="B1521" s="6" t="s">
        <v>537</v>
      </c>
      <c r="C1521" s="6" t="s">
        <v>282</v>
      </c>
      <c r="D1521" s="8" t="s">
        <v>82</v>
      </c>
      <c r="E1521" s="6" t="s">
        <v>146</v>
      </c>
      <c r="F1521" s="6" t="s">
        <v>85</v>
      </c>
      <c r="G1521" s="11" t="s">
        <v>56</v>
      </c>
      <c r="H1521" s="10" t="s">
        <v>538</v>
      </c>
      <c r="I1521" s="6" t="s">
        <v>539</v>
      </c>
      <c r="J1521" s="12">
        <v>46121.48196759259</v>
      </c>
      <c r="K1521" s="6" t="e" cm="1">
        <f t="array" ref="K1521">LOOKUP(2^15,SEARCH(Tabela2[Palavras-Chave],Boletim[[#This Row],[Objeto]],1),Tabela2[Palavras-Chave])</f>
        <v>#N/A</v>
      </c>
    </row>
    <row r="1522" spans="1:11" ht="259.2" x14ac:dyDescent="0.3">
      <c r="A1522" s="5">
        <v>18807086</v>
      </c>
      <c r="B1522" s="6" t="s">
        <v>2290</v>
      </c>
      <c r="C1522" s="6" t="s">
        <v>2291</v>
      </c>
      <c r="D1522" s="8" t="s">
        <v>82</v>
      </c>
      <c r="E1522" s="6" t="s">
        <v>108</v>
      </c>
      <c r="F1522" s="6" t="s">
        <v>85</v>
      </c>
      <c r="G1522" s="11" t="s">
        <v>56</v>
      </c>
      <c r="H1522" s="10" t="s">
        <v>2292</v>
      </c>
      <c r="I1522" s="6" t="s">
        <v>2293</v>
      </c>
      <c r="J1522" s="12">
        <v>46121.471493055556</v>
      </c>
      <c r="K1522" s="6" t="str" cm="1">
        <f t="array" ref="K1522">LOOKUP(2^15,SEARCH(Tabela2[Palavras-Chave],Boletim[[#This Row],[Objeto]],1),Tabela2[Palavras-Chave])</f>
        <v>MEDIÇÃO</v>
      </c>
    </row>
    <row r="1523" spans="1:11" ht="230.4" hidden="1" x14ac:dyDescent="0.3">
      <c r="A1523" s="5">
        <v>18806962</v>
      </c>
      <c r="B1523" s="6" t="s">
        <v>2294</v>
      </c>
      <c r="C1523" s="6" t="s">
        <v>2295</v>
      </c>
      <c r="D1523" s="8" t="s">
        <v>82</v>
      </c>
      <c r="E1523" s="6" t="s">
        <v>115</v>
      </c>
      <c r="F1523" s="6" t="s">
        <v>85</v>
      </c>
      <c r="G1523" s="11" t="s">
        <v>56</v>
      </c>
      <c r="H1523" s="10" t="s">
        <v>2296</v>
      </c>
      <c r="I1523" s="6" t="s">
        <v>2297</v>
      </c>
      <c r="J1523" s="12">
        <v>46121.499305555553</v>
      </c>
      <c r="K1523" s="6" t="e" cm="1">
        <f t="array" ref="K1523">LOOKUP(2^15,SEARCH(Tabela2[Palavras-Chave],Boletim[[#This Row],[Objeto]],1),Tabela2[Palavras-Chave])</f>
        <v>#N/A</v>
      </c>
    </row>
    <row r="1524" spans="1:11" ht="43.2" hidden="1" x14ac:dyDescent="0.3">
      <c r="A1524" s="5">
        <v>18807453</v>
      </c>
      <c r="B1524" s="6" t="s">
        <v>3293</v>
      </c>
      <c r="C1524" s="6" t="s">
        <v>83</v>
      </c>
      <c r="D1524" s="8" t="s">
        <v>82</v>
      </c>
      <c r="E1524" s="6" t="s">
        <v>3294</v>
      </c>
      <c r="F1524" s="6" t="s">
        <v>85</v>
      </c>
      <c r="G1524" s="11" t="s">
        <v>56</v>
      </c>
      <c r="H1524" s="10" t="s">
        <v>3295</v>
      </c>
      <c r="I1524" s="6" t="s">
        <v>3296</v>
      </c>
      <c r="J1524" s="12">
        <v>46121.501655092594</v>
      </c>
      <c r="K1524" s="6" t="e" cm="1">
        <f t="array" ref="K1524">LOOKUP(2^15,SEARCH(Tabela2[Palavras-Chave],Boletim[[#This Row],[Objeto]],1),Tabela2[Palavras-Chave])</f>
        <v>#N/A</v>
      </c>
    </row>
    <row r="1525" spans="1:11" ht="57.6" hidden="1" x14ac:dyDescent="0.3">
      <c r="A1525" s="5">
        <v>18801219</v>
      </c>
      <c r="B1525" s="6" t="s">
        <v>2298</v>
      </c>
      <c r="C1525" s="6" t="s">
        <v>1267</v>
      </c>
      <c r="D1525" s="8" t="s">
        <v>82</v>
      </c>
      <c r="E1525" s="6" t="s">
        <v>2299</v>
      </c>
      <c r="F1525" s="6" t="s">
        <v>85</v>
      </c>
      <c r="G1525" s="11" t="s">
        <v>56</v>
      </c>
      <c r="H1525" s="10" t="s">
        <v>2300</v>
      </c>
      <c r="I1525" s="6" t="s">
        <v>2301</v>
      </c>
      <c r="J1525" s="12">
        <v>46121.502476851849</v>
      </c>
      <c r="K1525" s="6" t="e" cm="1">
        <f t="array" ref="K1525">LOOKUP(2^15,SEARCH(Tabela2[Palavras-Chave],Boletim[[#This Row],[Objeto]],1),Tabela2[Palavras-Chave])</f>
        <v>#N/A</v>
      </c>
    </row>
    <row r="1526" spans="1:11" ht="72" hidden="1" x14ac:dyDescent="0.3">
      <c r="A1526" s="5">
        <v>18807488</v>
      </c>
      <c r="B1526" s="6" t="s">
        <v>74</v>
      </c>
      <c r="C1526" s="6" t="s">
        <v>83</v>
      </c>
      <c r="D1526" s="8" t="s">
        <v>82</v>
      </c>
      <c r="E1526" s="6" t="s">
        <v>1938</v>
      </c>
      <c r="F1526" s="6" t="s">
        <v>85</v>
      </c>
      <c r="G1526" s="11" t="s">
        <v>56</v>
      </c>
      <c r="H1526" s="10" t="s">
        <v>1939</v>
      </c>
      <c r="I1526" s="6" t="s">
        <v>1940</v>
      </c>
      <c r="J1526" s="12">
        <v>46121.507002314815</v>
      </c>
      <c r="K1526" s="6" t="e" cm="1">
        <f t="array" ref="K1526">LOOKUP(2^15,SEARCH(Tabela2[Palavras-Chave],Boletim[[#This Row],[Objeto]],1),Tabela2[Palavras-Chave])</f>
        <v>#N/A</v>
      </c>
    </row>
    <row r="1527" spans="1:11" ht="43.2" hidden="1" x14ac:dyDescent="0.3">
      <c r="A1527" s="5">
        <v>18807711</v>
      </c>
      <c r="B1527" s="6" t="s">
        <v>2278</v>
      </c>
      <c r="C1527" s="6" t="s">
        <v>2279</v>
      </c>
      <c r="D1527" s="8" t="s">
        <v>82</v>
      </c>
      <c r="E1527" s="6" t="s">
        <v>126</v>
      </c>
      <c r="F1527" s="6" t="s">
        <v>85</v>
      </c>
      <c r="G1527" s="11">
        <v>46136.375</v>
      </c>
      <c r="H1527" s="10" t="s">
        <v>2302</v>
      </c>
      <c r="I1527" s="6" t="s">
        <v>2303</v>
      </c>
      <c r="J1527" s="12">
        <v>46121.526261574072</v>
      </c>
      <c r="K1527" s="6" t="e" cm="1">
        <f t="array" ref="K1527">LOOKUP(2^15,SEARCH(Tabela2[Palavras-Chave],Boletim[[#This Row],[Objeto]],1),Tabela2[Palavras-Chave])</f>
        <v>#N/A</v>
      </c>
    </row>
    <row r="1528" spans="1:11" ht="86.4" hidden="1" x14ac:dyDescent="0.3">
      <c r="A1528" s="5">
        <v>18806954</v>
      </c>
      <c r="B1528" s="6" t="s">
        <v>2278</v>
      </c>
      <c r="C1528" s="6" t="s">
        <v>2279</v>
      </c>
      <c r="D1528" s="8" t="s">
        <v>82</v>
      </c>
      <c r="E1528" s="6" t="s">
        <v>165</v>
      </c>
      <c r="F1528" s="6" t="s">
        <v>85</v>
      </c>
      <c r="G1528" s="11" t="s">
        <v>56</v>
      </c>
      <c r="H1528" s="10" t="s">
        <v>2304</v>
      </c>
      <c r="I1528" s="6" t="s">
        <v>2305</v>
      </c>
      <c r="J1528" s="12">
        <v>46121.52648148148</v>
      </c>
      <c r="K1528" s="6" t="e" cm="1">
        <f t="array" ref="K1528">LOOKUP(2^15,SEARCH(Tabela2[Palavras-Chave],Boletim[[#This Row],[Objeto]],1),Tabela2[Palavras-Chave])</f>
        <v>#N/A</v>
      </c>
    </row>
    <row r="1529" spans="1:11" ht="86.4" hidden="1" x14ac:dyDescent="0.3">
      <c r="A1529" s="5">
        <v>18789911</v>
      </c>
      <c r="B1529" s="6" t="s">
        <v>253</v>
      </c>
      <c r="C1529" s="6" t="s">
        <v>164</v>
      </c>
      <c r="D1529" s="8" t="s">
        <v>82</v>
      </c>
      <c r="E1529" s="6" t="s">
        <v>170</v>
      </c>
      <c r="F1529" s="6" t="s">
        <v>85</v>
      </c>
      <c r="G1529" s="11" t="s">
        <v>56</v>
      </c>
      <c r="H1529" s="10" t="s">
        <v>2306</v>
      </c>
      <c r="I1529" s="6" t="s">
        <v>2307</v>
      </c>
      <c r="J1529" s="12">
        <v>46121.542407407411</v>
      </c>
      <c r="K1529" s="6" t="e" cm="1">
        <f t="array" ref="K1529">LOOKUP(2^15,SEARCH(Tabela2[Palavras-Chave],Boletim[[#This Row],[Objeto]],1),Tabela2[Palavras-Chave])</f>
        <v>#N/A</v>
      </c>
    </row>
    <row r="1530" spans="1:11" ht="43.2" hidden="1" x14ac:dyDescent="0.3">
      <c r="A1530" s="5">
        <v>18808081</v>
      </c>
      <c r="B1530" s="6" t="s">
        <v>3297</v>
      </c>
      <c r="C1530" s="6" t="s">
        <v>3298</v>
      </c>
      <c r="D1530" s="8" t="s">
        <v>82</v>
      </c>
      <c r="E1530" s="6" t="s">
        <v>114</v>
      </c>
      <c r="F1530" s="6" t="s">
        <v>85</v>
      </c>
      <c r="G1530" s="11" t="s">
        <v>56</v>
      </c>
      <c r="H1530" s="10" t="s">
        <v>3299</v>
      </c>
      <c r="I1530" s="6" t="s">
        <v>3300</v>
      </c>
      <c r="J1530" s="12">
        <v>46121.545115740744</v>
      </c>
      <c r="K1530" s="6" t="e" cm="1">
        <f t="array" ref="K1530">LOOKUP(2^15,SEARCH(Tabela2[Palavras-Chave],Boletim[[#This Row],[Objeto]],1),Tabela2[Palavras-Chave])</f>
        <v>#N/A</v>
      </c>
    </row>
    <row r="1531" spans="1:11" ht="86.4" hidden="1" x14ac:dyDescent="0.3">
      <c r="A1531" s="5">
        <v>18800025</v>
      </c>
      <c r="B1531" s="6" t="s">
        <v>365</v>
      </c>
      <c r="C1531" s="6" t="s">
        <v>366</v>
      </c>
      <c r="D1531" s="8" t="s">
        <v>82</v>
      </c>
      <c r="E1531" s="6" t="s">
        <v>134</v>
      </c>
      <c r="F1531" s="6" t="s">
        <v>85</v>
      </c>
      <c r="G1531" s="11" t="s">
        <v>56</v>
      </c>
      <c r="H1531" s="10" t="s">
        <v>534</v>
      </c>
      <c r="I1531" s="6" t="s">
        <v>535</v>
      </c>
      <c r="J1531" s="12">
        <v>46121.586863425924</v>
      </c>
      <c r="K1531" s="6" t="e" cm="1">
        <f t="array" ref="K1531">LOOKUP(2^15,SEARCH(Tabela2[Palavras-Chave],Boletim[[#This Row],[Objeto]],1),Tabela2[Palavras-Chave])</f>
        <v>#N/A</v>
      </c>
    </row>
    <row r="1532" spans="1:11" ht="28.8" hidden="1" x14ac:dyDescent="0.3">
      <c r="A1532" s="5">
        <v>18806249</v>
      </c>
      <c r="B1532" s="6" t="s">
        <v>560</v>
      </c>
      <c r="C1532" s="6" t="s">
        <v>561</v>
      </c>
      <c r="D1532" s="8" t="s">
        <v>82</v>
      </c>
      <c r="E1532" s="6" t="s">
        <v>120</v>
      </c>
      <c r="F1532" s="6" t="s">
        <v>85</v>
      </c>
      <c r="G1532" s="11">
        <v>46135.375</v>
      </c>
      <c r="H1532" s="10" t="s">
        <v>562</v>
      </c>
      <c r="I1532" s="6" t="s">
        <v>563</v>
      </c>
      <c r="J1532" s="12">
        <v>46121.586875000001</v>
      </c>
      <c r="K1532" s="6" t="e" cm="1">
        <f t="array" ref="K1532">LOOKUP(2^15,SEARCH(Tabela2[Palavras-Chave],Boletim[[#This Row],[Objeto]],1),Tabela2[Palavras-Chave])</f>
        <v>#N/A</v>
      </c>
    </row>
    <row r="1533" spans="1:11" ht="259.2" hidden="1" x14ac:dyDescent="0.3">
      <c r="A1533" s="5">
        <v>18809446</v>
      </c>
      <c r="B1533" s="6" t="s">
        <v>3301</v>
      </c>
      <c r="C1533" s="6" t="s">
        <v>1237</v>
      </c>
      <c r="D1533" s="8" t="s">
        <v>82</v>
      </c>
      <c r="E1533" s="6" t="s">
        <v>3302</v>
      </c>
      <c r="F1533" s="6" t="s">
        <v>85</v>
      </c>
      <c r="G1533" s="11" t="s">
        <v>56</v>
      </c>
      <c r="H1533" s="10" t="s">
        <v>3303</v>
      </c>
      <c r="I1533" s="6" t="s">
        <v>3304</v>
      </c>
      <c r="J1533" s="12">
        <v>46121.60119212963</v>
      </c>
      <c r="K1533" s="6" t="e" cm="1">
        <f t="array" ref="K1533">LOOKUP(2^15,SEARCH(Tabela2[Palavras-Chave],Boletim[[#This Row],[Objeto]],1),Tabela2[Palavras-Chave])</f>
        <v>#N/A</v>
      </c>
    </row>
    <row r="1534" spans="1:11" ht="144" x14ac:dyDescent="0.3">
      <c r="A1534" s="5">
        <v>18809489</v>
      </c>
      <c r="B1534" s="6" t="s">
        <v>2308</v>
      </c>
      <c r="C1534" s="6" t="s">
        <v>164</v>
      </c>
      <c r="D1534" s="8" t="s">
        <v>82</v>
      </c>
      <c r="E1534" s="6" t="s">
        <v>1994</v>
      </c>
      <c r="F1534" s="6" t="s">
        <v>85</v>
      </c>
      <c r="G1534" s="11" t="s">
        <v>56</v>
      </c>
      <c r="H1534" s="10" t="s">
        <v>2309</v>
      </c>
      <c r="I1534" s="6" t="s">
        <v>2310</v>
      </c>
      <c r="J1534" s="12">
        <v>46121.60423611111</v>
      </c>
      <c r="K1534" s="6" t="str" cm="1">
        <f t="array" ref="K1534">LOOKUP(2^15,SEARCH(Tabela2[Palavras-Chave],Boletim[[#This Row],[Objeto]],1),Tabela2[Palavras-Chave])</f>
        <v>DIAGNÓSTICO</v>
      </c>
    </row>
    <row r="1535" spans="1:11" ht="129.6" hidden="1" x14ac:dyDescent="0.3">
      <c r="A1535" s="5">
        <v>18802488</v>
      </c>
      <c r="B1535" s="6" t="s">
        <v>217</v>
      </c>
      <c r="C1535" s="6" t="s">
        <v>216</v>
      </c>
      <c r="D1535" s="8" t="s">
        <v>82</v>
      </c>
      <c r="E1535" s="6" t="s">
        <v>245</v>
      </c>
      <c r="F1535" s="6" t="s">
        <v>85</v>
      </c>
      <c r="G1535" s="11">
        <v>46136.375694444447</v>
      </c>
      <c r="H1535" s="10" t="s">
        <v>543</v>
      </c>
      <c r="I1535" s="6" t="s">
        <v>544</v>
      </c>
      <c r="J1535" s="12">
        <v>46121.607754629629</v>
      </c>
      <c r="K1535" s="6" t="e" cm="1">
        <f t="array" ref="K1535">LOOKUP(2^15,SEARCH(Tabela2[Palavras-Chave],Boletim[[#This Row],[Objeto]],1),Tabela2[Palavras-Chave])</f>
        <v>#N/A</v>
      </c>
    </row>
    <row r="1536" spans="1:11" ht="158.4" hidden="1" x14ac:dyDescent="0.3">
      <c r="A1536" s="5">
        <v>18808886</v>
      </c>
      <c r="B1536" s="6" t="s">
        <v>540</v>
      </c>
      <c r="C1536" s="6" t="s">
        <v>280</v>
      </c>
      <c r="D1536" s="8" t="s">
        <v>82</v>
      </c>
      <c r="E1536" s="6" t="s">
        <v>241</v>
      </c>
      <c r="F1536" s="6" t="s">
        <v>85</v>
      </c>
      <c r="G1536" s="11" t="s">
        <v>56</v>
      </c>
      <c r="H1536" s="10" t="s">
        <v>2311</v>
      </c>
      <c r="I1536" s="6" t="s">
        <v>2312</v>
      </c>
      <c r="J1536" s="12">
        <v>46121.612442129626</v>
      </c>
      <c r="K1536" s="6" t="e" cm="1">
        <f t="array" ref="K1536">LOOKUP(2^15,SEARCH(Tabela2[Palavras-Chave],Boletim[[#This Row],[Objeto]],1),Tabela2[Palavras-Chave])</f>
        <v>#N/A</v>
      </c>
    </row>
    <row r="1537" spans="1:11" ht="28.8" hidden="1" x14ac:dyDescent="0.3">
      <c r="A1537" s="5">
        <v>18808801</v>
      </c>
      <c r="B1537" s="6" t="s">
        <v>2313</v>
      </c>
      <c r="C1537" s="6" t="s">
        <v>2314</v>
      </c>
      <c r="D1537" s="8" t="s">
        <v>82</v>
      </c>
      <c r="E1537" s="6" t="s">
        <v>2315</v>
      </c>
      <c r="F1537" s="6" t="s">
        <v>85</v>
      </c>
      <c r="G1537" s="11">
        <v>46135.375</v>
      </c>
      <c r="H1537" s="10" t="s">
        <v>2316</v>
      </c>
      <c r="I1537" s="6" t="s">
        <v>368</v>
      </c>
      <c r="J1537" s="12">
        <v>46121.615011574075</v>
      </c>
      <c r="K1537" s="6" t="e" cm="1">
        <f t="array" ref="K1537">LOOKUP(2^15,SEARCH(Tabela2[Palavras-Chave],Boletim[[#This Row],[Objeto]],1),Tabela2[Palavras-Chave])</f>
        <v>#N/A</v>
      </c>
    </row>
    <row r="1538" spans="1:11" ht="259.2" hidden="1" x14ac:dyDescent="0.3">
      <c r="A1538" s="5">
        <v>18809193</v>
      </c>
      <c r="B1538" s="6" t="s">
        <v>694</v>
      </c>
      <c r="C1538" s="6" t="s">
        <v>695</v>
      </c>
      <c r="D1538" s="8" t="s">
        <v>82</v>
      </c>
      <c r="E1538" s="6" t="s">
        <v>114</v>
      </c>
      <c r="F1538" s="6" t="s">
        <v>85</v>
      </c>
      <c r="G1538" s="11" t="s">
        <v>56</v>
      </c>
      <c r="H1538" s="10" t="s">
        <v>3305</v>
      </c>
      <c r="I1538" s="6" t="s">
        <v>3306</v>
      </c>
      <c r="J1538" s="12">
        <v>46121.631493055553</v>
      </c>
      <c r="K1538" s="6" t="e" cm="1">
        <f t="array" ref="K1538">LOOKUP(2^15,SEARCH(Tabela2[Palavras-Chave],Boletim[[#This Row],[Objeto]],1),Tabela2[Palavras-Chave])</f>
        <v>#N/A</v>
      </c>
    </row>
    <row r="1539" spans="1:11" ht="172.8" hidden="1" x14ac:dyDescent="0.3">
      <c r="A1539" s="5">
        <v>18808875</v>
      </c>
      <c r="B1539" s="6" t="s">
        <v>2317</v>
      </c>
      <c r="C1539" s="6" t="s">
        <v>83</v>
      </c>
      <c r="D1539" s="8" t="s">
        <v>82</v>
      </c>
      <c r="E1539" s="6" t="s">
        <v>152</v>
      </c>
      <c r="F1539" s="6" t="s">
        <v>85</v>
      </c>
      <c r="G1539" s="11" t="s">
        <v>56</v>
      </c>
      <c r="H1539" s="10" t="s">
        <v>2318</v>
      </c>
      <c r="I1539" s="6" t="s">
        <v>2319</v>
      </c>
      <c r="J1539" s="12">
        <v>46121.632662037038</v>
      </c>
      <c r="K1539" s="6" t="e" cm="1">
        <f t="array" ref="K1539">LOOKUP(2^15,SEARCH(Tabela2[Palavras-Chave],Boletim[[#This Row],[Objeto]],1),Tabela2[Palavras-Chave])</f>
        <v>#N/A</v>
      </c>
    </row>
    <row r="1540" spans="1:11" ht="129.6" hidden="1" x14ac:dyDescent="0.3">
      <c r="A1540" s="5">
        <v>18808573</v>
      </c>
      <c r="B1540" s="6" t="s">
        <v>2320</v>
      </c>
      <c r="C1540" s="6" t="s">
        <v>237</v>
      </c>
      <c r="D1540" s="8" t="s">
        <v>82</v>
      </c>
      <c r="E1540" s="6" t="s">
        <v>2321</v>
      </c>
      <c r="F1540" s="6" t="s">
        <v>85</v>
      </c>
      <c r="G1540" s="11" t="s">
        <v>56</v>
      </c>
      <c r="H1540" s="10" t="s">
        <v>2322</v>
      </c>
      <c r="I1540" s="6" t="s">
        <v>2323</v>
      </c>
      <c r="J1540" s="12">
        <v>46121.632835648146</v>
      </c>
      <c r="K1540" s="6" t="e" cm="1">
        <f t="array" ref="K1540">LOOKUP(2^15,SEARCH(Tabela2[Palavras-Chave],Boletim[[#This Row],[Objeto]],1),Tabela2[Palavras-Chave])</f>
        <v>#N/A</v>
      </c>
    </row>
    <row r="1541" spans="1:11" ht="302.39999999999998" hidden="1" x14ac:dyDescent="0.3">
      <c r="A1541" s="5">
        <v>18809605</v>
      </c>
      <c r="B1541" s="6" t="s">
        <v>3307</v>
      </c>
      <c r="C1541" s="6" t="s">
        <v>3308</v>
      </c>
      <c r="D1541" s="8" t="s">
        <v>82</v>
      </c>
      <c r="E1541" s="6" t="s">
        <v>188</v>
      </c>
      <c r="F1541" s="6" t="s">
        <v>85</v>
      </c>
      <c r="G1541" s="11" t="s">
        <v>56</v>
      </c>
      <c r="H1541" s="10" t="s">
        <v>3309</v>
      </c>
      <c r="I1541" s="6" t="s">
        <v>3310</v>
      </c>
      <c r="J1541" s="12">
        <v>46121.642314814817</v>
      </c>
      <c r="K1541" s="6" t="e" cm="1">
        <f t="array" ref="K1541">LOOKUP(2^15,SEARCH(Tabela2[Palavras-Chave],Boletim[[#This Row],[Objeto]],1),Tabela2[Palavras-Chave])</f>
        <v>#N/A</v>
      </c>
    </row>
    <row r="1542" spans="1:11" ht="115.2" x14ac:dyDescent="0.3">
      <c r="A1542" s="5">
        <v>18808834</v>
      </c>
      <c r="B1542" s="6" t="s">
        <v>2324</v>
      </c>
      <c r="C1542" s="6" t="s">
        <v>83</v>
      </c>
      <c r="D1542" s="8" t="s">
        <v>82</v>
      </c>
      <c r="E1542" s="6" t="s">
        <v>391</v>
      </c>
      <c r="F1542" s="6" t="s">
        <v>85</v>
      </c>
      <c r="G1542" s="11" t="s">
        <v>56</v>
      </c>
      <c r="H1542" s="10" t="s">
        <v>2325</v>
      </c>
      <c r="I1542" s="6" t="s">
        <v>2326</v>
      </c>
      <c r="J1542" s="12">
        <v>46121.645844907405</v>
      </c>
      <c r="K1542" s="6" t="str" cm="1">
        <f t="array" ref="K1542">LOOKUP(2^15,SEARCH(Tabela2[Palavras-Chave],Boletim[[#This Row],[Objeto]],1),Tabela2[Palavras-Chave])</f>
        <v>TANQUE</v>
      </c>
    </row>
    <row r="1543" spans="1:11" ht="172.8" hidden="1" x14ac:dyDescent="0.3">
      <c r="A1543" s="5">
        <v>18808945</v>
      </c>
      <c r="B1543" s="6" t="s">
        <v>2317</v>
      </c>
      <c r="C1543" s="6" t="s">
        <v>83</v>
      </c>
      <c r="D1543" s="8" t="s">
        <v>82</v>
      </c>
      <c r="E1543" s="6" t="s">
        <v>140</v>
      </c>
      <c r="F1543" s="6" t="s">
        <v>85</v>
      </c>
      <c r="G1543" s="11" t="s">
        <v>56</v>
      </c>
      <c r="H1543" s="10" t="s">
        <v>2327</v>
      </c>
      <c r="I1543" s="6" t="s">
        <v>2328</v>
      </c>
      <c r="J1543" s="12">
        <v>46121.673900462964</v>
      </c>
      <c r="K1543" s="6" t="e" cm="1">
        <f t="array" ref="K1543">LOOKUP(2^15,SEARCH(Tabela2[Palavras-Chave],Boletim[[#This Row],[Objeto]],1),Tabela2[Palavras-Chave])</f>
        <v>#N/A</v>
      </c>
    </row>
    <row r="1544" spans="1:11" ht="86.4" hidden="1" x14ac:dyDescent="0.3">
      <c r="A1544" s="5">
        <v>18806943</v>
      </c>
      <c r="B1544" s="6" t="s">
        <v>3311</v>
      </c>
      <c r="C1544" s="6" t="s">
        <v>3312</v>
      </c>
      <c r="D1544" s="8" t="s">
        <v>82</v>
      </c>
      <c r="E1544" s="6" t="s">
        <v>114</v>
      </c>
      <c r="F1544" s="6" t="s">
        <v>85</v>
      </c>
      <c r="G1544" s="11" t="s">
        <v>56</v>
      </c>
      <c r="H1544" s="10" t="s">
        <v>3313</v>
      </c>
      <c r="I1544" s="6" t="s">
        <v>3314</v>
      </c>
      <c r="J1544" s="12">
        <v>46121.694097222222</v>
      </c>
      <c r="K1544" s="6" t="e" cm="1">
        <f t="array" ref="K1544">LOOKUP(2^15,SEARCH(Tabela2[Palavras-Chave],Boletim[[#This Row],[Objeto]],1),Tabela2[Palavras-Chave])</f>
        <v>#N/A</v>
      </c>
    </row>
    <row r="1545" spans="1:11" ht="43.2" hidden="1" x14ac:dyDescent="0.3">
      <c r="A1545" s="5">
        <v>18809719</v>
      </c>
      <c r="B1545" s="6" t="s">
        <v>3315</v>
      </c>
      <c r="C1545" s="6" t="s">
        <v>3316</v>
      </c>
      <c r="D1545" s="8" t="s">
        <v>82</v>
      </c>
      <c r="E1545" s="6" t="s">
        <v>113</v>
      </c>
      <c r="F1545" s="6" t="s">
        <v>85</v>
      </c>
      <c r="G1545" s="11">
        <v>46140.5625</v>
      </c>
      <c r="H1545" s="10" t="s">
        <v>3317</v>
      </c>
      <c r="I1545" s="6" t="s">
        <v>3318</v>
      </c>
      <c r="J1545" s="12">
        <v>46121.697222222225</v>
      </c>
      <c r="K1545" s="6" t="e" cm="1">
        <f t="array" ref="K1545">LOOKUP(2^15,SEARCH(Tabela2[Palavras-Chave],Boletim[[#This Row],[Objeto]],1),Tabela2[Palavras-Chave])</f>
        <v>#N/A</v>
      </c>
    </row>
    <row r="1546" spans="1:11" ht="115.2" hidden="1" x14ac:dyDescent="0.3">
      <c r="A1546" s="5">
        <v>18808943</v>
      </c>
      <c r="B1546" s="6" t="s">
        <v>2329</v>
      </c>
      <c r="C1546" s="6" t="s">
        <v>305</v>
      </c>
      <c r="D1546" s="8" t="s">
        <v>82</v>
      </c>
      <c r="E1546" s="6" t="s">
        <v>220</v>
      </c>
      <c r="F1546" s="6" t="s">
        <v>85</v>
      </c>
      <c r="G1546" s="11" t="s">
        <v>56</v>
      </c>
      <c r="H1546" s="10" t="s">
        <v>2330</v>
      </c>
      <c r="I1546" s="6" t="s">
        <v>2331</v>
      </c>
      <c r="J1546" s="12">
        <v>46121.700150462966</v>
      </c>
      <c r="K1546" s="6" t="e" cm="1">
        <f t="array" ref="K1546">LOOKUP(2^15,SEARCH(Tabela2[Palavras-Chave],Boletim[[#This Row],[Objeto]],1),Tabela2[Palavras-Chave])</f>
        <v>#N/A</v>
      </c>
    </row>
    <row r="1547" spans="1:11" ht="259.2" hidden="1" x14ac:dyDescent="0.3">
      <c r="A1547" s="5">
        <v>18809410</v>
      </c>
      <c r="B1547" s="6" t="s">
        <v>2332</v>
      </c>
      <c r="C1547" s="6" t="s">
        <v>2333</v>
      </c>
      <c r="D1547" s="8" t="s">
        <v>82</v>
      </c>
      <c r="E1547" s="6" t="s">
        <v>155</v>
      </c>
      <c r="F1547" s="6" t="s">
        <v>85</v>
      </c>
      <c r="G1547" s="11" t="s">
        <v>56</v>
      </c>
      <c r="H1547" s="10" t="s">
        <v>2334</v>
      </c>
      <c r="I1547" s="6" t="s">
        <v>2335</v>
      </c>
      <c r="J1547" s="12">
        <v>46121.700798611113</v>
      </c>
      <c r="K1547" s="6" t="e" cm="1">
        <f t="array" ref="K1547">LOOKUP(2^15,SEARCH(Tabela2[Palavras-Chave],Boletim[[#This Row],[Objeto]],1),Tabela2[Palavras-Chave])</f>
        <v>#N/A</v>
      </c>
    </row>
    <row r="1548" spans="1:11" ht="115.2" hidden="1" x14ac:dyDescent="0.3">
      <c r="A1548" s="5">
        <v>18809499</v>
      </c>
      <c r="B1548" s="6" t="s">
        <v>2336</v>
      </c>
      <c r="C1548" s="6" t="s">
        <v>2337</v>
      </c>
      <c r="D1548" s="8" t="s">
        <v>82</v>
      </c>
      <c r="E1548" s="6" t="s">
        <v>121</v>
      </c>
      <c r="F1548" s="6" t="s">
        <v>85</v>
      </c>
      <c r="G1548" s="11">
        <v>46142.333333333336</v>
      </c>
      <c r="H1548" s="10" t="s">
        <v>2338</v>
      </c>
      <c r="I1548" s="6" t="s">
        <v>2339</v>
      </c>
      <c r="J1548" s="12">
        <v>46121.702175925922</v>
      </c>
      <c r="K1548" s="6" t="e" cm="1">
        <f t="array" ref="K1548">LOOKUP(2^15,SEARCH(Tabela2[Palavras-Chave],Boletim[[#This Row],[Objeto]],1),Tabela2[Palavras-Chave])</f>
        <v>#N/A</v>
      </c>
    </row>
    <row r="1549" spans="1:11" ht="115.2" hidden="1" x14ac:dyDescent="0.3">
      <c r="A1549" s="5">
        <v>18808952</v>
      </c>
      <c r="B1549" s="6" t="s">
        <v>2340</v>
      </c>
      <c r="C1549" s="6" t="s">
        <v>2341</v>
      </c>
      <c r="D1549" s="8" t="s">
        <v>82</v>
      </c>
      <c r="E1549" s="6" t="s">
        <v>2342</v>
      </c>
      <c r="F1549" s="6" t="s">
        <v>85</v>
      </c>
      <c r="G1549" s="11" t="s">
        <v>56</v>
      </c>
      <c r="H1549" s="10" t="s">
        <v>2343</v>
      </c>
      <c r="I1549" s="6" t="s">
        <v>2344</v>
      </c>
      <c r="J1549" s="12">
        <v>46121.704606481479</v>
      </c>
      <c r="K1549" s="6" t="e" cm="1">
        <f t="array" ref="K1549">LOOKUP(2^15,SEARCH(Tabela2[Palavras-Chave],Boletim[[#This Row],[Objeto]],1),Tabela2[Palavras-Chave])</f>
        <v>#N/A</v>
      </c>
    </row>
    <row r="1550" spans="1:11" ht="28.8" hidden="1" x14ac:dyDescent="0.3">
      <c r="A1550" s="5">
        <v>18808804</v>
      </c>
      <c r="B1550" s="6" t="s">
        <v>2345</v>
      </c>
      <c r="C1550" s="6" t="s">
        <v>2346</v>
      </c>
      <c r="D1550" s="8" t="s">
        <v>82</v>
      </c>
      <c r="E1550" s="6" t="s">
        <v>134</v>
      </c>
      <c r="F1550" s="6" t="s">
        <v>85</v>
      </c>
      <c r="G1550" s="11">
        <v>46139.375</v>
      </c>
      <c r="H1550" s="10" t="s">
        <v>2347</v>
      </c>
      <c r="I1550" s="6" t="s">
        <v>368</v>
      </c>
      <c r="J1550" s="12">
        <v>46121.706342592595</v>
      </c>
      <c r="K1550" s="6" t="e" cm="1">
        <f t="array" ref="K1550">LOOKUP(2^15,SEARCH(Tabela2[Palavras-Chave],Boletim[[#This Row],[Objeto]],1),Tabela2[Palavras-Chave])</f>
        <v>#N/A</v>
      </c>
    </row>
    <row r="1551" spans="1:11" ht="115.2" hidden="1" x14ac:dyDescent="0.3">
      <c r="A1551" s="5">
        <v>18808859</v>
      </c>
      <c r="B1551" s="6" t="s">
        <v>2348</v>
      </c>
      <c r="C1551" s="6" t="s">
        <v>83</v>
      </c>
      <c r="D1551" s="8" t="s">
        <v>82</v>
      </c>
      <c r="E1551" s="6" t="s">
        <v>157</v>
      </c>
      <c r="F1551" s="6" t="s">
        <v>85</v>
      </c>
      <c r="G1551" s="11" t="s">
        <v>56</v>
      </c>
      <c r="H1551" s="10" t="s">
        <v>2349</v>
      </c>
      <c r="I1551" s="6" t="s">
        <v>2350</v>
      </c>
      <c r="J1551" s="12">
        <v>46121.709166666667</v>
      </c>
      <c r="K1551" s="6" t="e" cm="1">
        <f t="array" ref="K1551">LOOKUP(2^15,SEARCH(Tabela2[Palavras-Chave],Boletim[[#This Row],[Objeto]],1),Tabela2[Palavras-Chave])</f>
        <v>#N/A</v>
      </c>
    </row>
    <row r="1552" spans="1:11" ht="144" hidden="1" x14ac:dyDescent="0.3">
      <c r="A1552" s="5">
        <v>18808547</v>
      </c>
      <c r="B1552" s="6" t="s">
        <v>2351</v>
      </c>
      <c r="C1552" s="6" t="s">
        <v>83</v>
      </c>
      <c r="D1552" s="8" t="s">
        <v>82</v>
      </c>
      <c r="E1552" s="6" t="s">
        <v>2321</v>
      </c>
      <c r="F1552" s="6" t="s">
        <v>85</v>
      </c>
      <c r="G1552" s="11" t="s">
        <v>56</v>
      </c>
      <c r="H1552" s="10" t="s">
        <v>2352</v>
      </c>
      <c r="I1552" s="6" t="s">
        <v>2353</v>
      </c>
      <c r="J1552" s="12">
        <v>46121.723807870374</v>
      </c>
      <c r="K1552" s="6" t="e" cm="1">
        <f t="array" ref="K1552">LOOKUP(2^15,SEARCH(Tabela2[Palavras-Chave],Boletim[[#This Row],[Objeto]],1),Tabela2[Palavras-Chave])</f>
        <v>#N/A</v>
      </c>
    </row>
    <row r="1553" spans="1:11" ht="129.6" hidden="1" x14ac:dyDescent="0.3">
      <c r="A1553" s="5">
        <v>18808903</v>
      </c>
      <c r="B1553" s="6" t="s">
        <v>2354</v>
      </c>
      <c r="C1553" s="6" t="s">
        <v>2355</v>
      </c>
      <c r="D1553" s="8" t="s">
        <v>82</v>
      </c>
      <c r="E1553" s="6" t="s">
        <v>183</v>
      </c>
      <c r="F1553" s="6" t="s">
        <v>85</v>
      </c>
      <c r="G1553" s="11" t="s">
        <v>56</v>
      </c>
      <c r="H1553" s="10" t="s">
        <v>2356</v>
      </c>
      <c r="I1553" s="6" t="s">
        <v>2357</v>
      </c>
      <c r="J1553" s="12">
        <v>46121.725474537037</v>
      </c>
      <c r="K1553" s="6" t="e" cm="1">
        <f t="array" ref="K1553">LOOKUP(2^15,SEARCH(Tabela2[Palavras-Chave],Boletim[[#This Row],[Objeto]],1),Tabela2[Palavras-Chave])</f>
        <v>#N/A</v>
      </c>
    </row>
    <row r="1554" spans="1:11" ht="43.2" hidden="1" x14ac:dyDescent="0.3">
      <c r="A1554" s="5">
        <v>18807492</v>
      </c>
      <c r="B1554" s="6" t="s">
        <v>3293</v>
      </c>
      <c r="C1554" s="6" t="s">
        <v>83</v>
      </c>
      <c r="D1554" s="8" t="s">
        <v>82</v>
      </c>
      <c r="E1554" s="6" t="s">
        <v>3319</v>
      </c>
      <c r="F1554" s="6" t="s">
        <v>85</v>
      </c>
      <c r="G1554" s="11" t="s">
        <v>56</v>
      </c>
      <c r="H1554" s="10" t="s">
        <v>3320</v>
      </c>
      <c r="I1554" s="6" t="s">
        <v>3296</v>
      </c>
      <c r="J1554" s="12">
        <v>46121.726481481484</v>
      </c>
      <c r="K1554" s="6" t="e" cm="1">
        <f t="array" ref="K1554">LOOKUP(2^15,SEARCH(Tabela2[Palavras-Chave],Boletim[[#This Row],[Objeto]],1),Tabela2[Palavras-Chave])</f>
        <v>#N/A</v>
      </c>
    </row>
    <row r="1555" spans="1:11" ht="43.2" hidden="1" x14ac:dyDescent="0.3">
      <c r="A1555" s="5">
        <v>18805969</v>
      </c>
      <c r="B1555" s="6" t="s">
        <v>701</v>
      </c>
      <c r="C1555" s="6" t="s">
        <v>702</v>
      </c>
      <c r="D1555" s="8" t="s">
        <v>82</v>
      </c>
      <c r="E1555" s="6" t="s">
        <v>536</v>
      </c>
      <c r="F1555" s="6" t="s">
        <v>85</v>
      </c>
      <c r="G1555" s="11">
        <v>46141.604166666664</v>
      </c>
      <c r="H1555" s="10" t="s">
        <v>705</v>
      </c>
      <c r="I1555" s="6" t="s">
        <v>706</v>
      </c>
      <c r="J1555" s="12">
        <v>46121.731990740744</v>
      </c>
      <c r="K1555" s="6" t="e" cm="1">
        <f t="array" ref="K1555">LOOKUP(2^15,SEARCH(Tabela2[Palavras-Chave],Boletim[[#This Row],[Objeto]],1),Tabela2[Palavras-Chave])</f>
        <v>#N/A</v>
      </c>
    </row>
    <row r="1556" spans="1:11" ht="115.2" hidden="1" x14ac:dyDescent="0.3">
      <c r="A1556" s="5">
        <v>18808948</v>
      </c>
      <c r="B1556" s="6" t="s">
        <v>2358</v>
      </c>
      <c r="C1556" s="6" t="s">
        <v>382</v>
      </c>
      <c r="D1556" s="8" t="s">
        <v>82</v>
      </c>
      <c r="E1556" s="6" t="s">
        <v>177</v>
      </c>
      <c r="F1556" s="6" t="s">
        <v>85</v>
      </c>
      <c r="G1556" s="11" t="s">
        <v>56</v>
      </c>
      <c r="H1556" s="10" t="s">
        <v>2359</v>
      </c>
      <c r="I1556" s="6" t="s">
        <v>2360</v>
      </c>
      <c r="J1556" s="12">
        <v>46121.732546296298</v>
      </c>
      <c r="K1556" s="6" t="e" cm="1">
        <f t="array" ref="K1556">LOOKUP(2^15,SEARCH(Tabela2[Palavras-Chave],Boletim[[#This Row],[Objeto]],1),Tabela2[Palavras-Chave])</f>
        <v>#N/A</v>
      </c>
    </row>
    <row r="1557" spans="1:11" ht="115.2" hidden="1" x14ac:dyDescent="0.3">
      <c r="A1557" s="5">
        <v>18808944</v>
      </c>
      <c r="B1557" s="6" t="s">
        <v>2361</v>
      </c>
      <c r="C1557" s="6" t="s">
        <v>164</v>
      </c>
      <c r="D1557" s="8" t="s">
        <v>82</v>
      </c>
      <c r="E1557" s="6" t="s">
        <v>140</v>
      </c>
      <c r="F1557" s="6" t="s">
        <v>85</v>
      </c>
      <c r="G1557" s="11" t="s">
        <v>56</v>
      </c>
      <c r="H1557" s="10" t="s">
        <v>2362</v>
      </c>
      <c r="I1557" s="6" t="s">
        <v>2363</v>
      </c>
      <c r="J1557" s="12">
        <v>46121.733530092592</v>
      </c>
      <c r="K1557" s="6" t="e" cm="1">
        <f t="array" ref="K1557">LOOKUP(2^15,SEARCH(Tabela2[Palavras-Chave],Boletim[[#This Row],[Objeto]],1),Tabela2[Palavras-Chave])</f>
        <v>#N/A</v>
      </c>
    </row>
    <row r="1558" spans="1:11" ht="100.8" hidden="1" x14ac:dyDescent="0.3">
      <c r="A1558" s="5">
        <v>18809647</v>
      </c>
      <c r="B1558" s="6" t="s">
        <v>2364</v>
      </c>
      <c r="C1558" s="6" t="s">
        <v>2365</v>
      </c>
      <c r="D1558" s="8" t="s">
        <v>82</v>
      </c>
      <c r="E1558" s="6" t="s">
        <v>2366</v>
      </c>
      <c r="F1558" s="6" t="s">
        <v>85</v>
      </c>
      <c r="G1558" s="11" t="s">
        <v>56</v>
      </c>
      <c r="H1558" s="10" t="s">
        <v>2367</v>
      </c>
      <c r="I1558" s="6" t="s">
        <v>2368</v>
      </c>
      <c r="J1558" s="12">
        <v>46121.733668981484</v>
      </c>
      <c r="K1558" s="6" t="e" cm="1">
        <f t="array" ref="K1558">LOOKUP(2^15,SEARCH(Tabela2[Palavras-Chave],Boletim[[#This Row],[Objeto]],1),Tabela2[Palavras-Chave])</f>
        <v>#N/A</v>
      </c>
    </row>
    <row r="1559" spans="1:11" ht="100.8" hidden="1" x14ac:dyDescent="0.3">
      <c r="A1559" s="5">
        <v>18809727</v>
      </c>
      <c r="B1559" s="6" t="s">
        <v>3321</v>
      </c>
      <c r="C1559" s="6" t="s">
        <v>3322</v>
      </c>
      <c r="D1559" s="8" t="s">
        <v>82</v>
      </c>
      <c r="E1559" s="6" t="s">
        <v>155</v>
      </c>
      <c r="F1559" s="6" t="s">
        <v>85</v>
      </c>
      <c r="G1559" s="11">
        <v>46136.375</v>
      </c>
      <c r="H1559" s="10" t="s">
        <v>3323</v>
      </c>
      <c r="I1559" s="6" t="s">
        <v>3324</v>
      </c>
      <c r="J1559" s="12">
        <v>46121.734375</v>
      </c>
      <c r="K1559" s="6" t="e" cm="1">
        <f t="array" ref="K1559">LOOKUP(2^15,SEARCH(Tabela2[Palavras-Chave],Boletim[[#This Row],[Objeto]],1),Tabela2[Palavras-Chave])</f>
        <v>#N/A</v>
      </c>
    </row>
    <row r="1560" spans="1:11" ht="100.8" hidden="1" x14ac:dyDescent="0.3">
      <c r="A1560" s="5">
        <v>18809649</v>
      </c>
      <c r="B1560" s="6" t="s">
        <v>2364</v>
      </c>
      <c r="C1560" s="6" t="s">
        <v>2365</v>
      </c>
      <c r="D1560" s="8" t="s">
        <v>82</v>
      </c>
      <c r="E1560" s="6" t="s">
        <v>2369</v>
      </c>
      <c r="F1560" s="6" t="s">
        <v>85</v>
      </c>
      <c r="G1560" s="11" t="s">
        <v>56</v>
      </c>
      <c r="H1560" s="10" t="s">
        <v>2370</v>
      </c>
      <c r="I1560" s="6" t="s">
        <v>2371</v>
      </c>
      <c r="J1560" s="12">
        <v>46121.734583333331</v>
      </c>
      <c r="K1560" s="6" t="e" cm="1">
        <f t="array" ref="K1560">LOOKUP(2^15,SEARCH(Tabela2[Palavras-Chave],Boletim[[#This Row],[Objeto]],1),Tabela2[Palavras-Chave])</f>
        <v>#N/A</v>
      </c>
    </row>
    <row r="1561" spans="1:11" ht="115.2" hidden="1" x14ac:dyDescent="0.3">
      <c r="A1561" s="5">
        <v>18808911</v>
      </c>
      <c r="B1561" s="6" t="s">
        <v>236</v>
      </c>
      <c r="C1561" s="6" t="s">
        <v>83</v>
      </c>
      <c r="D1561" s="8" t="s">
        <v>82</v>
      </c>
      <c r="E1561" s="6" t="s">
        <v>2372</v>
      </c>
      <c r="F1561" s="6" t="s">
        <v>85</v>
      </c>
      <c r="G1561" s="11" t="s">
        <v>56</v>
      </c>
      <c r="H1561" s="10" t="s">
        <v>2373</v>
      </c>
      <c r="I1561" s="6" t="s">
        <v>2374</v>
      </c>
      <c r="J1561" s="12">
        <v>46121.737245370372</v>
      </c>
      <c r="K1561" s="6" t="e" cm="1">
        <f t="array" ref="K1561">LOOKUP(2^15,SEARCH(Tabela2[Palavras-Chave],Boletim[[#This Row],[Objeto]],1),Tabela2[Palavras-Chave])</f>
        <v>#N/A</v>
      </c>
    </row>
    <row r="1562" spans="1:11" ht="43.2" hidden="1" x14ac:dyDescent="0.3">
      <c r="A1562" s="5">
        <v>18810534</v>
      </c>
      <c r="B1562" s="6" t="s">
        <v>2375</v>
      </c>
      <c r="C1562" s="6" t="s">
        <v>1291</v>
      </c>
      <c r="D1562" s="8" t="s">
        <v>82</v>
      </c>
      <c r="E1562" s="6" t="s">
        <v>2376</v>
      </c>
      <c r="F1562" s="6" t="s">
        <v>85</v>
      </c>
      <c r="G1562" s="11">
        <v>46127.375</v>
      </c>
      <c r="H1562" s="10" t="s">
        <v>2377</v>
      </c>
      <c r="I1562" s="6" t="s">
        <v>2378</v>
      </c>
      <c r="J1562" s="12">
        <v>46121.740706018521</v>
      </c>
      <c r="K1562" s="6" t="e" cm="1">
        <f t="array" ref="K1562">LOOKUP(2^15,SEARCH(Tabela2[Palavras-Chave],Boletim[[#This Row],[Objeto]],1),Tabela2[Palavras-Chave])</f>
        <v>#N/A</v>
      </c>
    </row>
    <row r="1563" spans="1:11" ht="43.2" hidden="1" x14ac:dyDescent="0.3">
      <c r="A1563" s="5">
        <v>18809948</v>
      </c>
      <c r="B1563" s="6" t="s">
        <v>537</v>
      </c>
      <c r="C1563" s="6" t="s">
        <v>282</v>
      </c>
      <c r="D1563" s="8" t="s">
        <v>82</v>
      </c>
      <c r="E1563" s="6" t="s">
        <v>2858</v>
      </c>
      <c r="F1563" s="6" t="s">
        <v>85</v>
      </c>
      <c r="G1563" s="11">
        <v>46150.583333333336</v>
      </c>
      <c r="H1563" s="10" t="s">
        <v>3325</v>
      </c>
      <c r="I1563" s="6" t="s">
        <v>3326</v>
      </c>
      <c r="J1563" s="12">
        <v>46121.742488425924</v>
      </c>
      <c r="K1563" s="6" t="e" cm="1">
        <f t="array" ref="K1563">LOOKUP(2^15,SEARCH(Tabela2[Palavras-Chave],Boletim[[#This Row],[Objeto]],1),Tabela2[Palavras-Chave])</f>
        <v>#N/A</v>
      </c>
    </row>
    <row r="1564" spans="1:11" ht="115.2" hidden="1" x14ac:dyDescent="0.3">
      <c r="A1564" s="5">
        <v>18808955</v>
      </c>
      <c r="B1564" s="6" t="s">
        <v>2379</v>
      </c>
      <c r="C1564" s="6" t="s">
        <v>2287</v>
      </c>
      <c r="D1564" s="8" t="s">
        <v>82</v>
      </c>
      <c r="E1564" s="6" t="s">
        <v>220</v>
      </c>
      <c r="F1564" s="6" t="s">
        <v>85</v>
      </c>
      <c r="G1564" s="11" t="s">
        <v>56</v>
      </c>
      <c r="H1564" s="10" t="s">
        <v>2380</v>
      </c>
      <c r="I1564" s="6" t="s">
        <v>2381</v>
      </c>
      <c r="J1564" s="12">
        <v>46121.745081018518</v>
      </c>
      <c r="K1564" s="6" t="e" cm="1">
        <f t="array" ref="K1564">LOOKUP(2^15,SEARCH(Tabela2[Palavras-Chave],Boletim[[#This Row],[Objeto]],1),Tabela2[Palavras-Chave])</f>
        <v>#N/A</v>
      </c>
    </row>
    <row r="1565" spans="1:11" ht="115.2" hidden="1" x14ac:dyDescent="0.3">
      <c r="A1565" s="5">
        <v>18808872</v>
      </c>
      <c r="B1565" s="6" t="s">
        <v>2382</v>
      </c>
      <c r="C1565" s="6" t="s">
        <v>2383</v>
      </c>
      <c r="D1565" s="8" t="s">
        <v>82</v>
      </c>
      <c r="E1565" s="6" t="s">
        <v>157</v>
      </c>
      <c r="F1565" s="6" t="s">
        <v>85</v>
      </c>
      <c r="G1565" s="11" t="s">
        <v>56</v>
      </c>
      <c r="H1565" s="10" t="s">
        <v>2384</v>
      </c>
      <c r="I1565" s="6" t="s">
        <v>2385</v>
      </c>
      <c r="J1565" s="12">
        <v>46121.755601851852</v>
      </c>
      <c r="K1565" s="6" t="e" cm="1">
        <f t="array" ref="K1565">LOOKUP(2^15,SEARCH(Tabela2[Palavras-Chave],Boletim[[#This Row],[Objeto]],1),Tabela2[Palavras-Chave])</f>
        <v>#N/A</v>
      </c>
    </row>
    <row r="1566" spans="1:11" ht="86.4" hidden="1" x14ac:dyDescent="0.3">
      <c r="A1566" s="5">
        <v>18806836</v>
      </c>
      <c r="B1566" s="6" t="s">
        <v>2386</v>
      </c>
      <c r="C1566" s="6" t="s">
        <v>2355</v>
      </c>
      <c r="D1566" s="8" t="s">
        <v>82</v>
      </c>
      <c r="E1566" s="6" t="s">
        <v>166</v>
      </c>
      <c r="F1566" s="6" t="s">
        <v>85</v>
      </c>
      <c r="G1566" s="11" t="s">
        <v>56</v>
      </c>
      <c r="H1566" s="10" t="s">
        <v>2387</v>
      </c>
      <c r="I1566" s="6" t="s">
        <v>2388</v>
      </c>
      <c r="J1566" s="12">
        <v>46121.757071759261</v>
      </c>
      <c r="K1566" s="6" t="e" cm="1">
        <f t="array" ref="K1566">LOOKUP(2^15,SEARCH(Tabela2[Palavras-Chave],Boletim[[#This Row],[Objeto]],1),Tabela2[Palavras-Chave])</f>
        <v>#N/A</v>
      </c>
    </row>
    <row r="1567" spans="1:11" ht="115.2" hidden="1" x14ac:dyDescent="0.3">
      <c r="A1567" s="5">
        <v>18808874</v>
      </c>
      <c r="B1567" s="6" t="s">
        <v>2389</v>
      </c>
      <c r="C1567" s="6" t="s">
        <v>83</v>
      </c>
      <c r="D1567" s="8" t="s">
        <v>82</v>
      </c>
      <c r="E1567" s="6" t="s">
        <v>220</v>
      </c>
      <c r="F1567" s="6" t="s">
        <v>85</v>
      </c>
      <c r="G1567" s="11" t="s">
        <v>56</v>
      </c>
      <c r="H1567" s="10" t="s">
        <v>2390</v>
      </c>
      <c r="I1567" s="6" t="s">
        <v>2391</v>
      </c>
      <c r="J1567" s="12">
        <v>46121.762002314812</v>
      </c>
      <c r="K1567" s="6" t="e" cm="1">
        <f t="array" ref="K1567">LOOKUP(2^15,SEARCH(Tabela2[Palavras-Chave],Boletim[[#This Row],[Objeto]],1),Tabela2[Palavras-Chave])</f>
        <v>#N/A</v>
      </c>
    </row>
    <row r="1568" spans="1:11" ht="72" hidden="1" x14ac:dyDescent="0.3">
      <c r="A1568" s="5">
        <v>18810143</v>
      </c>
      <c r="B1568" s="6" t="s">
        <v>2392</v>
      </c>
      <c r="C1568" s="6" t="s">
        <v>2393</v>
      </c>
      <c r="D1568" s="8" t="s">
        <v>82</v>
      </c>
      <c r="E1568" s="6" t="s">
        <v>277</v>
      </c>
      <c r="F1568" s="6" t="s">
        <v>85</v>
      </c>
      <c r="G1568" s="11" t="s">
        <v>56</v>
      </c>
      <c r="H1568" s="10" t="s">
        <v>2394</v>
      </c>
      <c r="I1568" s="6" t="s">
        <v>2395</v>
      </c>
      <c r="J1568" s="12">
        <v>46121.762835648151</v>
      </c>
      <c r="K1568" s="6" t="e" cm="1">
        <f t="array" ref="K1568">LOOKUP(2^15,SEARCH(Tabela2[Palavras-Chave],Boletim[[#This Row],[Objeto]],1),Tabela2[Palavras-Chave])</f>
        <v>#N/A</v>
      </c>
    </row>
    <row r="1569" spans="1:11" ht="158.4" hidden="1" x14ac:dyDescent="0.3">
      <c r="A1569" s="5">
        <v>18810514</v>
      </c>
      <c r="B1569" s="6" t="s">
        <v>552</v>
      </c>
      <c r="C1569" s="6" t="s">
        <v>83</v>
      </c>
      <c r="D1569" s="8" t="s">
        <v>82</v>
      </c>
      <c r="E1569" s="6" t="s">
        <v>2396</v>
      </c>
      <c r="F1569" s="6" t="s">
        <v>85</v>
      </c>
      <c r="G1569" s="11">
        <v>46135.395833333336</v>
      </c>
      <c r="H1569" s="10" t="s">
        <v>2397</v>
      </c>
      <c r="I1569" s="6" t="s">
        <v>2398</v>
      </c>
      <c r="J1569" s="12">
        <v>46121.764074074075</v>
      </c>
      <c r="K1569" s="6" t="e" cm="1">
        <f t="array" ref="K1569">LOOKUP(2^15,SEARCH(Tabela2[Palavras-Chave],Boletim[[#This Row],[Objeto]],1),Tabela2[Palavras-Chave])</f>
        <v>#N/A</v>
      </c>
    </row>
    <row r="1570" spans="1:11" ht="100.8" hidden="1" x14ac:dyDescent="0.3">
      <c r="A1570" s="5">
        <v>18810895</v>
      </c>
      <c r="B1570" s="6" t="s">
        <v>3327</v>
      </c>
      <c r="C1570" s="6" t="s">
        <v>3328</v>
      </c>
      <c r="D1570" s="8" t="s">
        <v>82</v>
      </c>
      <c r="E1570" s="6" t="s">
        <v>3329</v>
      </c>
      <c r="F1570" s="6" t="s">
        <v>85</v>
      </c>
      <c r="G1570" s="11">
        <v>46126.333333333336</v>
      </c>
      <c r="H1570" s="10" t="s">
        <v>3330</v>
      </c>
      <c r="I1570" s="6" t="s">
        <v>3331</v>
      </c>
      <c r="J1570" s="12">
        <v>46121.767094907409</v>
      </c>
      <c r="K1570" s="6" t="e" cm="1">
        <f t="array" ref="K1570">LOOKUP(2^15,SEARCH(Tabela2[Palavras-Chave],Boletim[[#This Row],[Objeto]],1),Tabela2[Palavras-Chave])</f>
        <v>#N/A</v>
      </c>
    </row>
    <row r="1571" spans="1:11" ht="57.6" hidden="1" x14ac:dyDescent="0.3">
      <c r="A1571" s="5">
        <v>18800956</v>
      </c>
      <c r="B1571" s="6" t="s">
        <v>2399</v>
      </c>
      <c r="C1571" s="6" t="s">
        <v>2400</v>
      </c>
      <c r="D1571" s="8" t="s">
        <v>82</v>
      </c>
      <c r="E1571" s="6" t="s">
        <v>2401</v>
      </c>
      <c r="F1571" s="6" t="s">
        <v>85</v>
      </c>
      <c r="G1571" s="11">
        <v>46136.354166666664</v>
      </c>
      <c r="H1571" s="10" t="s">
        <v>2402</v>
      </c>
      <c r="I1571" s="6" t="s">
        <v>2403</v>
      </c>
      <c r="J1571" s="12">
        <v>46121.768449074072</v>
      </c>
      <c r="K1571" s="6" t="e" cm="1">
        <f t="array" ref="K1571">LOOKUP(2^15,SEARCH(Tabela2[Palavras-Chave],Boletim[[#This Row],[Objeto]],1),Tabela2[Palavras-Chave])</f>
        <v>#N/A</v>
      </c>
    </row>
    <row r="1572" spans="1:11" ht="259.2" hidden="1" x14ac:dyDescent="0.3">
      <c r="A1572" s="5">
        <v>18810280</v>
      </c>
      <c r="B1572" s="6" t="s">
        <v>2404</v>
      </c>
      <c r="C1572" s="6" t="s">
        <v>2405</v>
      </c>
      <c r="D1572" s="8" t="s">
        <v>82</v>
      </c>
      <c r="E1572" s="6" t="s">
        <v>121</v>
      </c>
      <c r="F1572" s="6" t="s">
        <v>85</v>
      </c>
      <c r="G1572" s="11" t="s">
        <v>56</v>
      </c>
      <c r="H1572" s="10" t="s">
        <v>2406</v>
      </c>
      <c r="I1572" s="6" t="s">
        <v>2407</v>
      </c>
      <c r="J1572" s="12">
        <v>46121.768564814818</v>
      </c>
      <c r="K1572" s="6" t="e" cm="1">
        <f t="array" ref="K1572">LOOKUP(2^15,SEARCH(Tabela2[Palavras-Chave],Boletim[[#This Row],[Objeto]],1),Tabela2[Palavras-Chave])</f>
        <v>#N/A</v>
      </c>
    </row>
    <row r="1573" spans="1:11" ht="57.6" hidden="1" x14ac:dyDescent="0.3">
      <c r="A1573" s="5">
        <v>18810998</v>
      </c>
      <c r="B1573" s="6" t="s">
        <v>2408</v>
      </c>
      <c r="C1573" s="6" t="s">
        <v>2409</v>
      </c>
      <c r="D1573" s="8" t="s">
        <v>82</v>
      </c>
      <c r="E1573" s="6" t="s">
        <v>120</v>
      </c>
      <c r="F1573" s="6" t="s">
        <v>85</v>
      </c>
      <c r="G1573" s="11">
        <v>46141.354166666664</v>
      </c>
      <c r="H1573" s="10" t="s">
        <v>2410</v>
      </c>
      <c r="I1573" s="6" t="s">
        <v>383</v>
      </c>
      <c r="J1573" s="12">
        <v>46121.772962962961</v>
      </c>
      <c r="K1573" s="6" t="e" cm="1">
        <f t="array" ref="K1573">LOOKUP(2^15,SEARCH(Tabela2[Palavras-Chave],Boletim[[#This Row],[Objeto]],1),Tabela2[Palavras-Chave])</f>
        <v>#N/A</v>
      </c>
    </row>
    <row r="1574" spans="1:11" ht="129.6" hidden="1" x14ac:dyDescent="0.3">
      <c r="A1574" s="5">
        <v>18808897</v>
      </c>
      <c r="B1574" s="6" t="s">
        <v>374</v>
      </c>
      <c r="C1574" s="6" t="s">
        <v>375</v>
      </c>
      <c r="D1574" s="8" t="s">
        <v>82</v>
      </c>
      <c r="E1574" s="6" t="s">
        <v>296</v>
      </c>
      <c r="F1574" s="6" t="s">
        <v>85</v>
      </c>
      <c r="G1574" s="11" t="s">
        <v>56</v>
      </c>
      <c r="H1574" s="10" t="s">
        <v>2411</v>
      </c>
      <c r="I1574" s="6" t="s">
        <v>2412</v>
      </c>
      <c r="J1574" s="12">
        <v>46121.773587962962</v>
      </c>
      <c r="K1574" s="6" t="e" cm="1">
        <f t="array" ref="K1574">LOOKUP(2^15,SEARCH(Tabela2[Palavras-Chave],Boletim[[#This Row],[Objeto]],1),Tabela2[Palavras-Chave])</f>
        <v>#N/A</v>
      </c>
    </row>
    <row r="1575" spans="1:11" ht="144" x14ac:dyDescent="0.3">
      <c r="A1575" s="5">
        <v>18808884</v>
      </c>
      <c r="B1575" s="6" t="s">
        <v>2413</v>
      </c>
      <c r="C1575" s="6" t="s">
        <v>557</v>
      </c>
      <c r="D1575" s="8" t="s">
        <v>82</v>
      </c>
      <c r="E1575" s="6" t="s">
        <v>1962</v>
      </c>
      <c r="F1575" s="6" t="s">
        <v>85</v>
      </c>
      <c r="G1575" s="11" t="s">
        <v>56</v>
      </c>
      <c r="H1575" s="10" t="s">
        <v>2414</v>
      </c>
      <c r="I1575" s="6" t="s">
        <v>2415</v>
      </c>
      <c r="J1575" s="12">
        <v>46121.777638888889</v>
      </c>
      <c r="K1575" s="6" t="str" cm="1">
        <f t="array" ref="K1575">LOOKUP(2^15,SEARCH(Tabela2[Palavras-Chave],Boletim[[#This Row],[Objeto]],1),Tabela2[Palavras-Chave])</f>
        <v>RESERVAT</v>
      </c>
    </row>
    <row r="1576" spans="1:11" ht="86.4" x14ac:dyDescent="0.3">
      <c r="A1576" s="5">
        <v>18809075</v>
      </c>
      <c r="B1576" s="6" t="s">
        <v>2416</v>
      </c>
      <c r="C1576" s="6" t="s">
        <v>2417</v>
      </c>
      <c r="D1576" s="8" t="s">
        <v>82</v>
      </c>
      <c r="E1576" s="6" t="s">
        <v>2418</v>
      </c>
      <c r="F1576" s="6" t="s">
        <v>85</v>
      </c>
      <c r="G1576" s="11" t="s">
        <v>56</v>
      </c>
      <c r="H1576" s="10" t="s">
        <v>2419</v>
      </c>
      <c r="I1576" s="6" t="s">
        <v>2420</v>
      </c>
      <c r="J1576" s="12">
        <v>46121.780960648146</v>
      </c>
      <c r="K1576" s="6" t="str" cm="1">
        <f t="array" ref="K1576">LOOKUP(2^15,SEARCH(Tabela2[Palavras-Chave],Boletim[[#This Row],[Objeto]],1),Tabela2[Palavras-Chave])</f>
        <v>ELEVATÓRIA</v>
      </c>
    </row>
    <row r="1577" spans="1:11" ht="43.2" hidden="1" x14ac:dyDescent="0.3">
      <c r="A1577" s="5">
        <v>18797406</v>
      </c>
      <c r="B1577" s="6" t="s">
        <v>2421</v>
      </c>
      <c r="C1577" s="6" t="s">
        <v>2422</v>
      </c>
      <c r="D1577" s="8" t="s">
        <v>82</v>
      </c>
      <c r="E1577" s="6" t="s">
        <v>127</v>
      </c>
      <c r="F1577" s="6" t="s">
        <v>85</v>
      </c>
      <c r="G1577" s="11">
        <v>46140.375</v>
      </c>
      <c r="H1577" s="10" t="s">
        <v>2423</v>
      </c>
      <c r="I1577" s="6" t="s">
        <v>2424</v>
      </c>
      <c r="J1577" s="12">
        <v>46121.78974537037</v>
      </c>
      <c r="K1577" s="6" t="e" cm="1">
        <f t="array" ref="K1577">LOOKUP(2^15,SEARCH(Tabela2[Palavras-Chave],Boletim[[#This Row],[Objeto]],1),Tabela2[Palavras-Chave])</f>
        <v>#N/A</v>
      </c>
    </row>
    <row r="1578" spans="1:11" ht="28.8" hidden="1" x14ac:dyDescent="0.3">
      <c r="A1578" s="5">
        <v>18811048</v>
      </c>
      <c r="B1578" s="6" t="s">
        <v>556</v>
      </c>
      <c r="C1578" s="6" t="s">
        <v>557</v>
      </c>
      <c r="D1578" s="8" t="s">
        <v>82</v>
      </c>
      <c r="E1578" s="6" t="s">
        <v>3332</v>
      </c>
      <c r="F1578" s="6" t="s">
        <v>85</v>
      </c>
      <c r="G1578" s="11" t="s">
        <v>56</v>
      </c>
      <c r="H1578" s="10" t="s">
        <v>3333</v>
      </c>
      <c r="I1578" s="6" t="s">
        <v>3334</v>
      </c>
      <c r="J1578" s="12">
        <v>46121.794421296298</v>
      </c>
      <c r="K1578" s="6" t="e" cm="1">
        <f t="array" ref="K1578">LOOKUP(2^15,SEARCH(Tabela2[Palavras-Chave],Boletim[[#This Row],[Objeto]],1),Tabela2[Palavras-Chave])</f>
        <v>#N/A</v>
      </c>
    </row>
    <row r="1579" spans="1:11" ht="100.8" hidden="1" x14ac:dyDescent="0.3">
      <c r="A1579" s="5">
        <v>18804010</v>
      </c>
      <c r="B1579" s="6" t="s">
        <v>564</v>
      </c>
      <c r="C1579" s="6" t="s">
        <v>565</v>
      </c>
      <c r="D1579" s="8" t="s">
        <v>82</v>
      </c>
      <c r="E1579" s="6" t="s">
        <v>122</v>
      </c>
      <c r="F1579" s="6" t="s">
        <v>85</v>
      </c>
      <c r="G1579" s="11">
        <v>46136.375</v>
      </c>
      <c r="H1579" s="10" t="s">
        <v>2425</v>
      </c>
      <c r="I1579" s="6" t="s">
        <v>2426</v>
      </c>
      <c r="J1579" s="12">
        <v>46121.819826388892</v>
      </c>
      <c r="K1579" s="6" t="e" cm="1">
        <f t="array" ref="K1579">LOOKUP(2^15,SEARCH(Tabela2[Palavras-Chave],Boletim[[#This Row],[Objeto]],1),Tabela2[Palavras-Chave])</f>
        <v>#N/A</v>
      </c>
    </row>
    <row r="1580" spans="1:11" ht="28.8" hidden="1" x14ac:dyDescent="0.3">
      <c r="A1580" s="5">
        <v>18808802</v>
      </c>
      <c r="B1580" s="6" t="s">
        <v>2313</v>
      </c>
      <c r="C1580" s="6" t="s">
        <v>2314</v>
      </c>
      <c r="D1580" s="8" t="s">
        <v>82</v>
      </c>
      <c r="E1580" s="6" t="s">
        <v>201</v>
      </c>
      <c r="F1580" s="6" t="s">
        <v>85</v>
      </c>
      <c r="G1580" s="11">
        <v>46142.375</v>
      </c>
      <c r="H1580" s="10" t="s">
        <v>3335</v>
      </c>
      <c r="I1580" s="6" t="s">
        <v>3336</v>
      </c>
      <c r="J1580" s="12">
        <v>46121.822523148148</v>
      </c>
      <c r="K1580" s="6" t="e" cm="1">
        <f t="array" ref="K1580">LOOKUP(2^15,SEARCH(Tabela2[Palavras-Chave],Boletim[[#This Row],[Objeto]],1),Tabela2[Palavras-Chave])</f>
        <v>#N/A</v>
      </c>
    </row>
    <row r="1581" spans="1:11" ht="43.2" x14ac:dyDescent="0.3">
      <c r="A1581" s="5">
        <v>18811336</v>
      </c>
      <c r="B1581" s="6" t="s">
        <v>696</v>
      </c>
      <c r="C1581" s="6" t="s">
        <v>83</v>
      </c>
      <c r="D1581" s="8" t="s">
        <v>82</v>
      </c>
      <c r="E1581" s="6" t="s">
        <v>231</v>
      </c>
      <c r="F1581" s="6" t="s">
        <v>85</v>
      </c>
      <c r="G1581" s="11" t="s">
        <v>56</v>
      </c>
      <c r="H1581" s="10" t="s">
        <v>2427</v>
      </c>
      <c r="I1581" s="6" t="s">
        <v>2428</v>
      </c>
      <c r="J1581" s="12">
        <v>46121.837280092594</v>
      </c>
      <c r="K1581" s="6" t="str" cm="1">
        <f t="array" ref="K1581">LOOKUP(2^15,SEARCH(Tabela2[Palavras-Chave],Boletim[[#This Row],[Objeto]],1),Tabela2[Palavras-Chave])</f>
        <v>RESERVAT</v>
      </c>
    </row>
    <row r="1582" spans="1:11" ht="244.8" hidden="1" x14ac:dyDescent="0.3">
      <c r="A1582" s="5">
        <v>18810665</v>
      </c>
      <c r="B1582" s="6" t="s">
        <v>541</v>
      </c>
      <c r="C1582" s="6" t="s">
        <v>542</v>
      </c>
      <c r="D1582" s="8" t="s">
        <v>82</v>
      </c>
      <c r="E1582" s="6" t="s">
        <v>608</v>
      </c>
      <c r="F1582" s="6" t="s">
        <v>85</v>
      </c>
      <c r="G1582" s="11" t="s">
        <v>56</v>
      </c>
      <c r="H1582" s="10" t="s">
        <v>3337</v>
      </c>
      <c r="I1582" s="6" t="s">
        <v>3338</v>
      </c>
      <c r="J1582" s="12">
        <v>46121.841192129628</v>
      </c>
      <c r="K1582" s="6" t="e" cm="1">
        <f t="array" ref="K1582">LOOKUP(2^15,SEARCH(Tabela2[Palavras-Chave],Boletim[[#This Row],[Objeto]],1),Tabela2[Palavras-Chave])</f>
        <v>#N/A</v>
      </c>
    </row>
    <row r="1583" spans="1:11" ht="115.2" x14ac:dyDescent="0.3">
      <c r="A1583" s="5">
        <v>18809970</v>
      </c>
      <c r="B1583" s="6" t="s">
        <v>253</v>
      </c>
      <c r="C1583" s="6" t="s">
        <v>164</v>
      </c>
      <c r="D1583" s="8" t="s">
        <v>82</v>
      </c>
      <c r="E1583" s="6" t="s">
        <v>687</v>
      </c>
      <c r="F1583" s="6" t="s">
        <v>85</v>
      </c>
      <c r="G1583" s="11">
        <v>46136.333333333336</v>
      </c>
      <c r="H1583" s="10" t="s">
        <v>3339</v>
      </c>
      <c r="I1583" s="6" t="s">
        <v>3340</v>
      </c>
      <c r="J1583" s="12">
        <v>46121.845752314817</v>
      </c>
      <c r="K1583" s="6" t="str" cm="1">
        <f t="array" ref="K1583">LOOKUP(2^15,SEARCH(Tabela2[Palavras-Chave],Boletim[[#This Row],[Objeto]],1),Tabela2[Palavras-Chave])</f>
        <v>INOX</v>
      </c>
    </row>
    <row r="1584" spans="1:11" ht="100.8" hidden="1" x14ac:dyDescent="0.3">
      <c r="A1584" s="5">
        <v>18807152</v>
      </c>
      <c r="B1584" s="6" t="s">
        <v>3341</v>
      </c>
      <c r="C1584" s="6" t="s">
        <v>3342</v>
      </c>
      <c r="D1584" s="8" t="s">
        <v>84</v>
      </c>
      <c r="E1584" s="6" t="s">
        <v>108</v>
      </c>
      <c r="F1584" s="6" t="s">
        <v>85</v>
      </c>
      <c r="G1584" s="11">
        <v>46135.375</v>
      </c>
      <c r="H1584" s="10" t="s">
        <v>3343</v>
      </c>
      <c r="I1584" s="6" t="s">
        <v>3344</v>
      </c>
      <c r="J1584" s="12">
        <v>46121.461157407408</v>
      </c>
      <c r="K1584" s="6" t="e" cm="1">
        <f t="array" ref="K1584">LOOKUP(2^15,SEARCH(Tabela2[Palavras-Chave],Boletim[[#This Row],[Objeto]],1),Tabela2[Palavras-Chave])</f>
        <v>#N/A</v>
      </c>
    </row>
    <row r="1585" spans="1:11" ht="100.8" hidden="1" x14ac:dyDescent="0.3">
      <c r="A1585" s="5">
        <v>18807464</v>
      </c>
      <c r="B1585" s="6" t="s">
        <v>74</v>
      </c>
      <c r="C1585" s="6" t="s">
        <v>2429</v>
      </c>
      <c r="D1585" s="8" t="s">
        <v>84</v>
      </c>
      <c r="E1585" s="6" t="s">
        <v>1319</v>
      </c>
      <c r="F1585" s="6" t="s">
        <v>85</v>
      </c>
      <c r="G1585" s="11" t="s">
        <v>56</v>
      </c>
      <c r="H1585" s="10" t="s">
        <v>1320</v>
      </c>
      <c r="I1585" s="6" t="s">
        <v>1321</v>
      </c>
      <c r="J1585" s="12">
        <v>46121.447314814817</v>
      </c>
      <c r="K1585" s="6" t="e" cm="1">
        <f t="array" ref="K1585">LOOKUP(2^15,SEARCH(Tabela2[Palavras-Chave],Boletim[[#This Row],[Objeto]],1),Tabela2[Palavras-Chave])</f>
        <v>#N/A</v>
      </c>
    </row>
    <row r="1586" spans="1:11" ht="100.8" hidden="1" x14ac:dyDescent="0.3">
      <c r="A1586" s="5">
        <v>18807589</v>
      </c>
      <c r="B1586" s="6" t="s">
        <v>74</v>
      </c>
      <c r="C1586" s="6" t="s">
        <v>2429</v>
      </c>
      <c r="D1586" s="8" t="s">
        <v>84</v>
      </c>
      <c r="E1586" s="6" t="s">
        <v>2972</v>
      </c>
      <c r="F1586" s="6" t="s">
        <v>85</v>
      </c>
      <c r="G1586" s="11" t="s">
        <v>56</v>
      </c>
      <c r="H1586" s="10" t="s">
        <v>2973</v>
      </c>
      <c r="I1586" s="6" t="s">
        <v>1321</v>
      </c>
      <c r="J1586" s="12">
        <v>46121.450092592589</v>
      </c>
      <c r="K1586" s="6" t="e" cm="1">
        <f t="array" ref="K1586">LOOKUP(2^15,SEARCH(Tabela2[Palavras-Chave],Boletim[[#This Row],[Objeto]],1),Tabela2[Palavras-Chave])</f>
        <v>#N/A</v>
      </c>
    </row>
    <row r="1587" spans="1:11" ht="158.4" hidden="1" x14ac:dyDescent="0.3">
      <c r="A1587" s="5">
        <v>18808571</v>
      </c>
      <c r="B1587" s="6" t="s">
        <v>2430</v>
      </c>
      <c r="C1587" s="6" t="s">
        <v>2429</v>
      </c>
      <c r="D1587" s="8" t="s">
        <v>84</v>
      </c>
      <c r="E1587" s="6" t="s">
        <v>2431</v>
      </c>
      <c r="F1587" s="6" t="s">
        <v>85</v>
      </c>
      <c r="G1587" s="11" t="s">
        <v>56</v>
      </c>
      <c r="H1587" s="10" t="s">
        <v>2432</v>
      </c>
      <c r="I1587" s="6" t="s">
        <v>2433</v>
      </c>
      <c r="J1587" s="12">
        <v>46121.562083333331</v>
      </c>
      <c r="K1587" s="6" t="e" cm="1">
        <f t="array" ref="K1587">LOOKUP(2^15,SEARCH(Tabela2[Palavras-Chave],Boletim[[#This Row],[Objeto]],1),Tabela2[Palavras-Chave])</f>
        <v>#N/A</v>
      </c>
    </row>
    <row r="1588" spans="1:11" ht="57.6" hidden="1" x14ac:dyDescent="0.3">
      <c r="A1588" s="5">
        <v>18799062</v>
      </c>
      <c r="B1588" s="6" t="s">
        <v>3345</v>
      </c>
      <c r="C1588" s="6" t="s">
        <v>3346</v>
      </c>
      <c r="D1588" s="8" t="s">
        <v>84</v>
      </c>
      <c r="E1588" s="6" t="s">
        <v>3347</v>
      </c>
      <c r="F1588" s="6" t="s">
        <v>85</v>
      </c>
      <c r="G1588" s="11">
        <v>46134.375</v>
      </c>
      <c r="H1588" s="10" t="s">
        <v>3348</v>
      </c>
      <c r="I1588" s="6" t="s">
        <v>3349</v>
      </c>
      <c r="J1588" s="12">
        <v>46121.586157407408</v>
      </c>
      <c r="K1588" s="6" t="e" cm="1">
        <f t="array" ref="K1588">LOOKUP(2^15,SEARCH(Tabela2[Palavras-Chave],Boletim[[#This Row],[Objeto]],1),Tabela2[Palavras-Chave])</f>
        <v>#N/A</v>
      </c>
    </row>
    <row r="1589" spans="1:11" ht="129.6" hidden="1" x14ac:dyDescent="0.3">
      <c r="A1589" s="5">
        <v>18808808</v>
      </c>
      <c r="B1589" s="6" t="s">
        <v>2434</v>
      </c>
      <c r="C1589" s="6" t="s">
        <v>2435</v>
      </c>
      <c r="D1589" s="8" t="s">
        <v>84</v>
      </c>
      <c r="E1589" s="6" t="s">
        <v>112</v>
      </c>
      <c r="F1589" s="6" t="s">
        <v>85</v>
      </c>
      <c r="G1589" s="11" t="s">
        <v>56</v>
      </c>
      <c r="H1589" s="10" t="s">
        <v>2436</v>
      </c>
      <c r="I1589" s="6" t="s">
        <v>2437</v>
      </c>
      <c r="J1589" s="12">
        <v>46121.629479166666</v>
      </c>
      <c r="K1589" s="6" t="e" cm="1">
        <f t="array" ref="K1589">LOOKUP(2^15,SEARCH(Tabela2[Palavras-Chave],Boletim[[#This Row],[Objeto]],1),Tabela2[Palavras-Chave])</f>
        <v>#N/A</v>
      </c>
    </row>
    <row r="1590" spans="1:11" ht="244.8" hidden="1" x14ac:dyDescent="0.3">
      <c r="A1590" s="5">
        <v>18807136</v>
      </c>
      <c r="B1590" s="6" t="s">
        <v>2438</v>
      </c>
      <c r="C1590" s="6" t="s">
        <v>2439</v>
      </c>
      <c r="D1590" s="8" t="s">
        <v>84</v>
      </c>
      <c r="E1590" s="6" t="s">
        <v>125</v>
      </c>
      <c r="F1590" s="6" t="s">
        <v>85</v>
      </c>
      <c r="G1590" s="11" t="s">
        <v>56</v>
      </c>
      <c r="H1590" s="10" t="s">
        <v>2440</v>
      </c>
      <c r="I1590" s="6" t="s">
        <v>2441</v>
      </c>
      <c r="J1590" s="12">
        <v>46121.646412037036</v>
      </c>
      <c r="K1590" s="6" t="e" cm="1">
        <f t="array" ref="K1590">LOOKUP(2^15,SEARCH(Tabela2[Palavras-Chave],Boletim[[#This Row],[Objeto]],1),Tabela2[Palavras-Chave])</f>
        <v>#N/A</v>
      </c>
    </row>
    <row r="1591" spans="1:11" ht="115.2" hidden="1" x14ac:dyDescent="0.3">
      <c r="A1591" s="5">
        <v>18808814</v>
      </c>
      <c r="B1591" s="6" t="s">
        <v>2442</v>
      </c>
      <c r="C1591" s="6" t="s">
        <v>2443</v>
      </c>
      <c r="D1591" s="8" t="s">
        <v>84</v>
      </c>
      <c r="E1591" s="6" t="s">
        <v>152</v>
      </c>
      <c r="F1591" s="6" t="s">
        <v>85</v>
      </c>
      <c r="G1591" s="11" t="s">
        <v>56</v>
      </c>
      <c r="H1591" s="10" t="s">
        <v>2444</v>
      </c>
      <c r="I1591" s="6" t="s">
        <v>2445</v>
      </c>
      <c r="J1591" s="12">
        <v>46121.719525462962</v>
      </c>
      <c r="K1591" s="6" t="e" cm="1">
        <f t="array" ref="K1591">LOOKUP(2^15,SEARCH(Tabela2[Palavras-Chave],Boletim[[#This Row],[Objeto]],1),Tabela2[Palavras-Chave])</f>
        <v>#N/A</v>
      </c>
    </row>
    <row r="1592" spans="1:11" ht="244.8" hidden="1" x14ac:dyDescent="0.3">
      <c r="A1592" s="5">
        <v>18809648</v>
      </c>
      <c r="B1592" s="6" t="s">
        <v>2446</v>
      </c>
      <c r="C1592" s="6" t="s">
        <v>2447</v>
      </c>
      <c r="D1592" s="8" t="s">
        <v>84</v>
      </c>
      <c r="E1592" s="6" t="s">
        <v>107</v>
      </c>
      <c r="F1592" s="6" t="s">
        <v>85</v>
      </c>
      <c r="G1592" s="11" t="s">
        <v>56</v>
      </c>
      <c r="H1592" s="10" t="s">
        <v>2448</v>
      </c>
      <c r="I1592" s="6" t="s">
        <v>2449</v>
      </c>
      <c r="J1592" s="12">
        <v>46121.721643518518</v>
      </c>
      <c r="K1592" s="6" t="e" cm="1">
        <f t="array" ref="K1592">LOOKUP(2^15,SEARCH(Tabela2[Palavras-Chave],Boletim[[#This Row],[Objeto]],1),Tabela2[Palavras-Chave])</f>
        <v>#N/A</v>
      </c>
    </row>
    <row r="1593" spans="1:11" ht="172.8" hidden="1" x14ac:dyDescent="0.3">
      <c r="A1593" s="5">
        <v>18805211</v>
      </c>
      <c r="B1593" s="6" t="s">
        <v>286</v>
      </c>
      <c r="C1593" s="6" t="s">
        <v>287</v>
      </c>
      <c r="D1593" s="8" t="s">
        <v>63</v>
      </c>
      <c r="E1593" s="6" t="s">
        <v>2450</v>
      </c>
      <c r="F1593" s="6" t="s">
        <v>94</v>
      </c>
      <c r="G1593" s="11" t="s">
        <v>56</v>
      </c>
      <c r="H1593" s="10" t="s">
        <v>2451</v>
      </c>
      <c r="I1593" s="6" t="s">
        <v>2452</v>
      </c>
      <c r="J1593" s="12">
        <v>46121.546273148146</v>
      </c>
      <c r="K1593" s="6" t="e" cm="1">
        <f t="array" ref="K1593">LOOKUP(2^15,SEARCH(Tabela2[Palavras-Chave],Boletim[[#This Row],[Objeto]],1),Tabela2[Palavras-Chave])</f>
        <v>#N/A</v>
      </c>
    </row>
    <row r="1594" spans="1:11" ht="144" hidden="1" x14ac:dyDescent="0.3">
      <c r="A1594" s="5">
        <v>18747447</v>
      </c>
      <c r="B1594" s="6" t="s">
        <v>2453</v>
      </c>
      <c r="C1594" s="6" t="s">
        <v>2454</v>
      </c>
      <c r="D1594" s="8" t="s">
        <v>66</v>
      </c>
      <c r="E1594" s="6" t="s">
        <v>2455</v>
      </c>
      <c r="F1594" s="6" t="s">
        <v>94</v>
      </c>
      <c r="G1594" s="11">
        <v>46141.375</v>
      </c>
      <c r="H1594" s="10" t="s">
        <v>2456</v>
      </c>
      <c r="I1594" s="6" t="s">
        <v>2457</v>
      </c>
      <c r="J1594" s="12">
        <v>46121.4844212963</v>
      </c>
      <c r="K1594" s="6" t="e" cm="1">
        <f t="array" ref="K1594">LOOKUP(2^15,SEARCH(Tabela2[Palavras-Chave],Boletim[[#This Row],[Objeto]],1),Tabela2[Palavras-Chave])</f>
        <v>#N/A</v>
      </c>
    </row>
    <row r="1595" spans="1:11" ht="115.2" hidden="1" x14ac:dyDescent="0.3">
      <c r="A1595" s="5">
        <v>18768246</v>
      </c>
      <c r="B1595" s="6" t="s">
        <v>339</v>
      </c>
      <c r="C1595" s="6" t="s">
        <v>65</v>
      </c>
      <c r="D1595" s="8" t="s">
        <v>66</v>
      </c>
      <c r="E1595" s="6" t="s">
        <v>245</v>
      </c>
      <c r="F1595" s="6" t="s">
        <v>94</v>
      </c>
      <c r="G1595" s="11" t="s">
        <v>56</v>
      </c>
      <c r="H1595" s="10" t="s">
        <v>2458</v>
      </c>
      <c r="I1595" s="6" t="s">
        <v>2459</v>
      </c>
      <c r="J1595" s="12">
        <v>46121.587638888886</v>
      </c>
      <c r="K1595" s="6" t="e" cm="1">
        <f t="array" ref="K1595">LOOKUP(2^15,SEARCH(Tabela2[Palavras-Chave],Boletim[[#This Row],[Objeto]],1),Tabela2[Palavras-Chave])</f>
        <v>#N/A</v>
      </c>
    </row>
    <row r="1596" spans="1:11" ht="409.6" hidden="1" x14ac:dyDescent="0.3">
      <c r="A1596" s="5">
        <v>18792768</v>
      </c>
      <c r="B1596" s="6" t="s">
        <v>2460</v>
      </c>
      <c r="C1596" s="6" t="s">
        <v>2461</v>
      </c>
      <c r="D1596" s="8" t="s">
        <v>91</v>
      </c>
      <c r="E1596" s="6" t="s">
        <v>113</v>
      </c>
      <c r="F1596" s="6" t="s">
        <v>94</v>
      </c>
      <c r="G1596" s="11" t="s">
        <v>56</v>
      </c>
      <c r="H1596" s="10" t="s">
        <v>2462</v>
      </c>
      <c r="I1596" s="6" t="s">
        <v>2463</v>
      </c>
      <c r="J1596" s="12">
        <v>46121.692719907405</v>
      </c>
      <c r="K1596" s="6" t="e" cm="1">
        <f t="array" ref="K1596">LOOKUP(2^15,SEARCH(Tabela2[Palavras-Chave],Boletim[[#This Row],[Objeto]],1),Tabela2[Palavras-Chave])</f>
        <v>#N/A</v>
      </c>
    </row>
    <row r="1597" spans="1:11" ht="187.2" hidden="1" x14ac:dyDescent="0.3">
      <c r="A1597" s="5">
        <v>18791197</v>
      </c>
      <c r="B1597" s="6" t="s">
        <v>386</v>
      </c>
      <c r="C1597" s="6" t="s">
        <v>387</v>
      </c>
      <c r="D1597" s="8" t="s">
        <v>72</v>
      </c>
      <c r="E1597" s="6" t="s">
        <v>126</v>
      </c>
      <c r="F1597" s="6" t="s">
        <v>94</v>
      </c>
      <c r="G1597" s="11" t="s">
        <v>56</v>
      </c>
      <c r="H1597" s="10" t="s">
        <v>568</v>
      </c>
      <c r="I1597" s="6" t="s">
        <v>569</v>
      </c>
      <c r="J1597" s="12">
        <v>46121.388321759259</v>
      </c>
      <c r="K1597" s="6" t="e" cm="1">
        <f t="array" ref="K1597">LOOKUP(2^15,SEARCH(Tabela2[Palavras-Chave],Boletim[[#This Row],[Objeto]],1),Tabela2[Palavras-Chave])</f>
        <v>#N/A</v>
      </c>
    </row>
    <row r="1598" spans="1:11" ht="331.2" hidden="1" x14ac:dyDescent="0.3">
      <c r="A1598" s="5">
        <v>18794983</v>
      </c>
      <c r="B1598" s="6" t="s">
        <v>3350</v>
      </c>
      <c r="C1598" s="6" t="s">
        <v>3351</v>
      </c>
      <c r="D1598" s="8" t="s">
        <v>256</v>
      </c>
      <c r="E1598" s="6" t="s">
        <v>291</v>
      </c>
      <c r="F1598" s="6" t="s">
        <v>94</v>
      </c>
      <c r="G1598" s="11">
        <v>46141.375</v>
      </c>
      <c r="H1598" s="10" t="s">
        <v>3352</v>
      </c>
      <c r="I1598" s="6" t="s">
        <v>3353</v>
      </c>
      <c r="J1598" s="12">
        <v>46121.513564814813</v>
      </c>
      <c r="K1598" s="6" t="e" cm="1">
        <f t="array" ref="K1598">LOOKUP(2^15,SEARCH(Tabela2[Palavras-Chave],Boletim[[#This Row],[Objeto]],1),Tabela2[Palavras-Chave])</f>
        <v>#N/A</v>
      </c>
    </row>
    <row r="1599" spans="1:11" ht="187.2" hidden="1" x14ac:dyDescent="0.3">
      <c r="A1599" s="5">
        <v>18786389</v>
      </c>
      <c r="B1599" s="6" t="s">
        <v>3354</v>
      </c>
      <c r="C1599" s="6" t="s">
        <v>3355</v>
      </c>
      <c r="D1599" s="8" t="s">
        <v>256</v>
      </c>
      <c r="E1599" s="6" t="s">
        <v>108</v>
      </c>
      <c r="F1599" s="6" t="s">
        <v>94</v>
      </c>
      <c r="G1599" s="11">
        <v>46129.354166666664</v>
      </c>
      <c r="H1599" s="10" t="s">
        <v>3356</v>
      </c>
      <c r="I1599" s="6" t="s">
        <v>3357</v>
      </c>
      <c r="J1599" s="12">
        <v>46121.73777777778</v>
      </c>
      <c r="K1599" s="6" t="e" cm="1">
        <f t="array" ref="K1599">LOOKUP(2^15,SEARCH(Tabela2[Palavras-Chave],Boletim[[#This Row],[Objeto]],1),Tabela2[Palavras-Chave])</f>
        <v>#N/A</v>
      </c>
    </row>
    <row r="1600" spans="1:11" ht="302.39999999999998" hidden="1" x14ac:dyDescent="0.3">
      <c r="A1600" s="5">
        <v>18791870</v>
      </c>
      <c r="B1600" s="6" t="s">
        <v>499</v>
      </c>
      <c r="C1600" s="6" t="s">
        <v>500</v>
      </c>
      <c r="D1600" s="8" t="s">
        <v>80</v>
      </c>
      <c r="E1600" s="6" t="s">
        <v>148</v>
      </c>
      <c r="F1600" s="6" t="s">
        <v>94</v>
      </c>
      <c r="G1600" s="11">
        <v>46140.583333333336</v>
      </c>
      <c r="H1600" s="10" t="s">
        <v>2464</v>
      </c>
      <c r="I1600" s="6" t="s">
        <v>2465</v>
      </c>
      <c r="J1600" s="12">
        <v>46121.774131944447</v>
      </c>
      <c r="K1600" s="6" t="e" cm="1">
        <f t="array" ref="K1600">LOOKUP(2^15,SEARCH(Tabela2[Palavras-Chave],Boletim[[#This Row],[Objeto]],1),Tabela2[Palavras-Chave])</f>
        <v>#N/A</v>
      </c>
    </row>
    <row r="1601" spans="1:11" ht="72" hidden="1" x14ac:dyDescent="0.3">
      <c r="A1601" s="5">
        <v>18804692</v>
      </c>
      <c r="B1601" s="6" t="s">
        <v>692</v>
      </c>
      <c r="C1601" s="6" t="s">
        <v>693</v>
      </c>
      <c r="D1601" s="8" t="s">
        <v>81</v>
      </c>
      <c r="E1601" s="6" t="s">
        <v>113</v>
      </c>
      <c r="F1601" s="6" t="s">
        <v>94</v>
      </c>
      <c r="G1601" s="11">
        <v>46139.354166666664</v>
      </c>
      <c r="H1601" s="10" t="s">
        <v>3358</v>
      </c>
      <c r="I1601" s="6" t="s">
        <v>3359</v>
      </c>
      <c r="J1601" s="12">
        <v>46121.624745370369</v>
      </c>
      <c r="K1601" s="6" t="e" cm="1">
        <f t="array" ref="K1601">LOOKUP(2^15,SEARCH(Tabela2[Palavras-Chave],Boletim[[#This Row],[Objeto]],1),Tabela2[Palavras-Chave])</f>
        <v>#N/A</v>
      </c>
    </row>
    <row r="1602" spans="1:11" ht="302.39999999999998" hidden="1" x14ac:dyDescent="0.3">
      <c r="A1602" s="5">
        <v>18794311</v>
      </c>
      <c r="B1602" s="6" t="s">
        <v>2392</v>
      </c>
      <c r="C1602" s="6" t="s">
        <v>2393</v>
      </c>
      <c r="D1602" s="8" t="s">
        <v>82</v>
      </c>
      <c r="E1602" s="6" t="s">
        <v>2858</v>
      </c>
      <c r="F1602" s="6" t="s">
        <v>94</v>
      </c>
      <c r="G1602" s="11" t="s">
        <v>56</v>
      </c>
      <c r="H1602" s="10" t="s">
        <v>3360</v>
      </c>
      <c r="I1602" s="6" t="s">
        <v>3361</v>
      </c>
      <c r="J1602" s="12">
        <v>46121.696203703701</v>
      </c>
      <c r="K1602" s="6" t="e" cm="1">
        <f t="array" ref="K1602">LOOKUP(2^15,SEARCH(Tabela2[Palavras-Chave],Boletim[[#This Row],[Objeto]],1),Tabela2[Palavras-Chave])</f>
        <v>#N/A</v>
      </c>
    </row>
    <row r="1603" spans="1:11" ht="172.8" hidden="1" x14ac:dyDescent="0.3">
      <c r="A1603" s="5">
        <v>18806952</v>
      </c>
      <c r="B1603" s="6" t="s">
        <v>3362</v>
      </c>
      <c r="C1603" s="6" t="s">
        <v>3363</v>
      </c>
      <c r="D1603" s="8" t="s">
        <v>82</v>
      </c>
      <c r="E1603" s="6" t="s">
        <v>166</v>
      </c>
      <c r="F1603" s="6" t="s">
        <v>94</v>
      </c>
      <c r="G1603" s="11" t="s">
        <v>56</v>
      </c>
      <c r="H1603" s="10" t="s">
        <v>3364</v>
      </c>
      <c r="I1603" s="6" t="s">
        <v>3365</v>
      </c>
      <c r="J1603" s="12">
        <v>46121.701018518521</v>
      </c>
      <c r="K1603" s="6" t="e" cm="1">
        <f t="array" ref="K1603">LOOKUP(2^15,SEARCH(Tabela2[Palavras-Chave],Boletim[[#This Row],[Objeto]],1),Tabela2[Palavras-Chave])</f>
        <v>#N/A</v>
      </c>
    </row>
    <row r="1604" spans="1:11" ht="187.2" hidden="1" x14ac:dyDescent="0.3">
      <c r="A1604" s="5">
        <v>18805467</v>
      </c>
      <c r="B1604" s="6" t="s">
        <v>701</v>
      </c>
      <c r="C1604" s="6" t="s">
        <v>702</v>
      </c>
      <c r="D1604" s="8" t="s">
        <v>82</v>
      </c>
      <c r="E1604" s="6" t="s">
        <v>108</v>
      </c>
      <c r="F1604" s="6" t="s">
        <v>94</v>
      </c>
      <c r="G1604" s="11" t="s">
        <v>56</v>
      </c>
      <c r="H1604" s="10" t="s">
        <v>3366</v>
      </c>
      <c r="I1604" s="6" t="s">
        <v>3367</v>
      </c>
      <c r="J1604" s="12">
        <v>46121.721574074072</v>
      </c>
      <c r="K1604" s="6" t="e" cm="1">
        <f t="array" ref="K1604">LOOKUP(2^15,SEARCH(Tabela2[Palavras-Chave],Boletim[[#This Row],[Objeto]],1),Tabela2[Palavras-Chave])</f>
        <v>#N/A</v>
      </c>
    </row>
    <row r="1605" spans="1:11" ht="259.2" hidden="1" x14ac:dyDescent="0.3">
      <c r="A1605" s="5">
        <v>18777914</v>
      </c>
      <c r="B1605" s="6" t="s">
        <v>708</v>
      </c>
      <c r="C1605" s="6" t="s">
        <v>709</v>
      </c>
      <c r="D1605" s="8" t="s">
        <v>54</v>
      </c>
      <c r="E1605" s="6" t="s">
        <v>142</v>
      </c>
      <c r="F1605" s="6" t="s">
        <v>167</v>
      </c>
      <c r="G1605" s="11">
        <v>46134.378472222219</v>
      </c>
      <c r="H1605" s="10" t="s">
        <v>710</v>
      </c>
      <c r="I1605" s="6" t="s">
        <v>711</v>
      </c>
      <c r="J1605" s="12">
        <v>46121.451458333337</v>
      </c>
      <c r="K1605" s="6" t="e" cm="1">
        <f t="array" ref="K1605">LOOKUP(2^15,SEARCH(Tabela2[Palavras-Chave],Boletim[[#This Row],[Objeto]],1),Tabela2[Palavras-Chave])</f>
        <v>#N/A</v>
      </c>
    </row>
    <row r="1606" spans="1:11" ht="230.4" hidden="1" x14ac:dyDescent="0.3">
      <c r="A1606" s="5">
        <v>18759757</v>
      </c>
      <c r="B1606" s="6" t="s">
        <v>2030</v>
      </c>
      <c r="C1606" s="6" t="s">
        <v>2031</v>
      </c>
      <c r="D1606" s="8" t="s">
        <v>78</v>
      </c>
      <c r="E1606" s="6" t="s">
        <v>128</v>
      </c>
      <c r="F1606" s="6" t="s">
        <v>167</v>
      </c>
      <c r="G1606" s="11">
        <v>46139.381944444445</v>
      </c>
      <c r="H1606" s="10" t="s">
        <v>2466</v>
      </c>
      <c r="I1606" s="6" t="s">
        <v>2467</v>
      </c>
      <c r="J1606" s="12">
        <v>46121.604247685187</v>
      </c>
      <c r="K1606" s="6" t="e" cm="1">
        <f t="array" ref="K1606">LOOKUP(2^15,SEARCH(Tabela2[Palavras-Chave],Boletim[[#This Row],[Objeto]],1),Tabela2[Palavras-Chave])</f>
        <v>#N/A</v>
      </c>
    </row>
    <row r="1607" spans="1:11" ht="158.4" hidden="1" x14ac:dyDescent="0.3">
      <c r="A1607" s="5">
        <v>18756015</v>
      </c>
      <c r="B1607" s="6" t="s">
        <v>2468</v>
      </c>
      <c r="C1607" s="6" t="s">
        <v>2429</v>
      </c>
      <c r="D1607" s="8" t="s">
        <v>84</v>
      </c>
      <c r="E1607" s="6" t="s">
        <v>2469</v>
      </c>
      <c r="F1607" s="6" t="s">
        <v>167</v>
      </c>
      <c r="G1607" s="11">
        <v>46136.625</v>
      </c>
      <c r="H1607" s="10" t="s">
        <v>2470</v>
      </c>
      <c r="I1607" s="6" t="s">
        <v>2471</v>
      </c>
      <c r="J1607" s="12">
        <v>46121.51835648148</v>
      </c>
      <c r="K1607" s="6" t="e" cm="1">
        <f t="array" ref="K1607">LOOKUP(2^15,SEARCH(Tabela2[Palavras-Chave],Boletim[[#This Row],[Objeto]],1),Tabela2[Palavras-Chave])</f>
        <v>#N/A</v>
      </c>
    </row>
    <row r="1608" spans="1:11" ht="100.8" hidden="1" x14ac:dyDescent="0.3">
      <c r="A1608" s="5">
        <v>18709902</v>
      </c>
      <c r="B1608" s="6" t="s">
        <v>74</v>
      </c>
      <c r="C1608" s="6" t="s">
        <v>162</v>
      </c>
      <c r="D1608" s="8" t="s">
        <v>144</v>
      </c>
      <c r="E1608" s="6" t="s">
        <v>2472</v>
      </c>
      <c r="F1608" s="6" t="s">
        <v>95</v>
      </c>
      <c r="G1608" s="11" t="s">
        <v>56</v>
      </c>
      <c r="H1608" s="10" t="s">
        <v>2473</v>
      </c>
      <c r="I1608" s="6" t="s">
        <v>2474</v>
      </c>
      <c r="J1608" s="12">
        <v>46121.439618055556</v>
      </c>
      <c r="K1608" s="6" t="e" cm="1">
        <f t="array" ref="K1608">LOOKUP(2^15,SEARCH(Tabela2[Palavras-Chave],Boletim[[#This Row],[Objeto]],1),Tabela2[Palavras-Chave])</f>
        <v>#N/A</v>
      </c>
    </row>
    <row r="1609" spans="1:11" ht="100.8" hidden="1" x14ac:dyDescent="0.3">
      <c r="A1609" s="5">
        <v>18715343</v>
      </c>
      <c r="B1609" s="6" t="s">
        <v>74</v>
      </c>
      <c r="C1609" s="6" t="s">
        <v>162</v>
      </c>
      <c r="D1609" s="8" t="s">
        <v>144</v>
      </c>
      <c r="E1609" s="6" t="s">
        <v>2475</v>
      </c>
      <c r="F1609" s="6" t="s">
        <v>95</v>
      </c>
      <c r="G1609" s="11" t="s">
        <v>56</v>
      </c>
      <c r="H1609" s="10" t="s">
        <v>2476</v>
      </c>
      <c r="I1609" s="6" t="s">
        <v>2477</v>
      </c>
      <c r="J1609" s="12">
        <v>46121.439675925925</v>
      </c>
      <c r="K1609" s="6" t="e" cm="1">
        <f t="array" ref="K1609">LOOKUP(2^15,SEARCH(Tabela2[Palavras-Chave],Boletim[[#This Row],[Objeto]],1),Tabela2[Palavras-Chave])</f>
        <v>#N/A</v>
      </c>
    </row>
    <row r="1610" spans="1:11" ht="129.6" hidden="1" x14ac:dyDescent="0.3">
      <c r="A1610" s="5">
        <v>18545847</v>
      </c>
      <c r="B1610" s="6" t="s">
        <v>3368</v>
      </c>
      <c r="C1610" s="6" t="s">
        <v>162</v>
      </c>
      <c r="D1610" s="8" t="s">
        <v>144</v>
      </c>
      <c r="E1610" s="6" t="s">
        <v>3369</v>
      </c>
      <c r="F1610" s="6" t="s">
        <v>95</v>
      </c>
      <c r="G1610" s="11">
        <v>46128.416666666664</v>
      </c>
      <c r="H1610" s="10" t="s">
        <v>3370</v>
      </c>
      <c r="I1610" s="6" t="s">
        <v>3371</v>
      </c>
      <c r="J1610" s="12">
        <v>46121.466331018521</v>
      </c>
      <c r="K1610" s="6" t="e" cm="1">
        <f t="array" ref="K1610">LOOKUP(2^15,SEARCH(Tabela2[Palavras-Chave],Boletim[[#This Row],[Objeto]],1),Tabela2[Palavras-Chave])</f>
        <v>#N/A</v>
      </c>
    </row>
    <row r="1611" spans="1:11" ht="100.8" hidden="1" x14ac:dyDescent="0.3">
      <c r="A1611" s="5">
        <v>18709903</v>
      </c>
      <c r="B1611" s="6" t="s">
        <v>74</v>
      </c>
      <c r="C1611" s="6" t="s">
        <v>87</v>
      </c>
      <c r="D1611" s="8" t="s">
        <v>86</v>
      </c>
      <c r="E1611" s="6" t="s">
        <v>2472</v>
      </c>
      <c r="F1611" s="6" t="s">
        <v>95</v>
      </c>
      <c r="G1611" s="11" t="s">
        <v>56</v>
      </c>
      <c r="H1611" s="10" t="s">
        <v>2473</v>
      </c>
      <c r="I1611" s="6" t="s">
        <v>2474</v>
      </c>
      <c r="J1611" s="12">
        <v>46121.439618055556</v>
      </c>
      <c r="K1611" s="6" t="e" cm="1">
        <f t="array" ref="K1611">LOOKUP(2^15,SEARCH(Tabela2[Palavras-Chave],Boletim[[#This Row],[Objeto]],1),Tabela2[Palavras-Chave])</f>
        <v>#N/A</v>
      </c>
    </row>
    <row r="1612" spans="1:11" ht="100.8" hidden="1" x14ac:dyDescent="0.3">
      <c r="A1612" s="5">
        <v>18715344</v>
      </c>
      <c r="B1612" s="6" t="s">
        <v>74</v>
      </c>
      <c r="C1612" s="6" t="s">
        <v>87</v>
      </c>
      <c r="D1612" s="8" t="s">
        <v>86</v>
      </c>
      <c r="E1612" s="6" t="s">
        <v>2475</v>
      </c>
      <c r="F1612" s="6" t="s">
        <v>95</v>
      </c>
      <c r="G1612" s="11" t="s">
        <v>56</v>
      </c>
      <c r="H1612" s="10" t="s">
        <v>2476</v>
      </c>
      <c r="I1612" s="6" t="s">
        <v>2477</v>
      </c>
      <c r="J1612" s="12">
        <v>46121.439675925925</v>
      </c>
      <c r="K1612" s="6" t="e" cm="1">
        <f t="array" ref="K1612">LOOKUP(2^15,SEARCH(Tabela2[Palavras-Chave],Boletim[[#This Row],[Objeto]],1),Tabela2[Palavras-Chave])</f>
        <v>#N/A</v>
      </c>
    </row>
    <row r="1613" spans="1:11" ht="100.8" hidden="1" x14ac:dyDescent="0.3">
      <c r="A1613" s="5">
        <v>18709904</v>
      </c>
      <c r="B1613" s="6" t="s">
        <v>74</v>
      </c>
      <c r="C1613" s="6" t="s">
        <v>52</v>
      </c>
      <c r="D1613" s="8" t="s">
        <v>50</v>
      </c>
      <c r="E1613" s="6" t="s">
        <v>2472</v>
      </c>
      <c r="F1613" s="6" t="s">
        <v>95</v>
      </c>
      <c r="G1613" s="11" t="s">
        <v>56</v>
      </c>
      <c r="H1613" s="10" t="s">
        <v>2473</v>
      </c>
      <c r="I1613" s="6" t="s">
        <v>2474</v>
      </c>
      <c r="J1613" s="12">
        <v>46121.439629629633</v>
      </c>
      <c r="K1613" s="6" t="e" cm="1">
        <f t="array" ref="K1613">LOOKUP(2^15,SEARCH(Tabela2[Palavras-Chave],Boletim[[#This Row],[Objeto]],1),Tabela2[Palavras-Chave])</f>
        <v>#N/A</v>
      </c>
    </row>
    <row r="1614" spans="1:11" ht="100.8" hidden="1" x14ac:dyDescent="0.3">
      <c r="A1614" s="5">
        <v>18715345</v>
      </c>
      <c r="B1614" s="6" t="s">
        <v>74</v>
      </c>
      <c r="C1614" s="6" t="s">
        <v>52</v>
      </c>
      <c r="D1614" s="8" t="s">
        <v>50</v>
      </c>
      <c r="E1614" s="6" t="s">
        <v>2475</v>
      </c>
      <c r="F1614" s="6" t="s">
        <v>95</v>
      </c>
      <c r="G1614" s="11" t="s">
        <v>56</v>
      </c>
      <c r="H1614" s="10" t="s">
        <v>2476</v>
      </c>
      <c r="I1614" s="6" t="s">
        <v>2477</v>
      </c>
      <c r="J1614" s="12">
        <v>46121.439675925925</v>
      </c>
      <c r="K1614" s="6" t="e" cm="1">
        <f t="array" ref="K1614">LOOKUP(2^15,SEARCH(Tabela2[Palavras-Chave],Boletim[[#This Row],[Objeto]],1),Tabela2[Palavras-Chave])</f>
        <v>#N/A</v>
      </c>
    </row>
    <row r="1615" spans="1:11" ht="100.8" hidden="1" x14ac:dyDescent="0.3">
      <c r="A1615" s="5">
        <v>18709905</v>
      </c>
      <c r="B1615" s="6" t="s">
        <v>74</v>
      </c>
      <c r="C1615" s="6" t="s">
        <v>1366</v>
      </c>
      <c r="D1615" s="8" t="s">
        <v>1367</v>
      </c>
      <c r="E1615" s="6" t="s">
        <v>2472</v>
      </c>
      <c r="F1615" s="6" t="s">
        <v>95</v>
      </c>
      <c r="G1615" s="11" t="s">
        <v>56</v>
      </c>
      <c r="H1615" s="10" t="s">
        <v>2473</v>
      </c>
      <c r="I1615" s="6" t="s">
        <v>2474</v>
      </c>
      <c r="J1615" s="12">
        <v>46121.439629629633</v>
      </c>
      <c r="K1615" s="6" t="e" cm="1">
        <f t="array" ref="K1615">LOOKUP(2^15,SEARCH(Tabela2[Palavras-Chave],Boletim[[#This Row],[Objeto]],1),Tabela2[Palavras-Chave])</f>
        <v>#N/A</v>
      </c>
    </row>
    <row r="1616" spans="1:11" ht="100.8" hidden="1" x14ac:dyDescent="0.3">
      <c r="A1616" s="5">
        <v>18715346</v>
      </c>
      <c r="B1616" s="6" t="s">
        <v>74</v>
      </c>
      <c r="C1616" s="6" t="s">
        <v>1366</v>
      </c>
      <c r="D1616" s="8" t="s">
        <v>1367</v>
      </c>
      <c r="E1616" s="6" t="s">
        <v>2475</v>
      </c>
      <c r="F1616" s="6" t="s">
        <v>95</v>
      </c>
      <c r="G1616" s="11" t="s">
        <v>56</v>
      </c>
      <c r="H1616" s="10" t="s">
        <v>2476</v>
      </c>
      <c r="I1616" s="6" t="s">
        <v>2477</v>
      </c>
      <c r="J1616" s="12">
        <v>46121.439675925925</v>
      </c>
      <c r="K1616" s="6" t="e" cm="1">
        <f t="array" ref="K1616">LOOKUP(2^15,SEARCH(Tabela2[Palavras-Chave],Boletim[[#This Row],[Objeto]],1),Tabela2[Palavras-Chave])</f>
        <v>#N/A</v>
      </c>
    </row>
    <row r="1617" spans="1:11" ht="100.8" hidden="1" x14ac:dyDescent="0.3">
      <c r="A1617" s="5">
        <v>18709906</v>
      </c>
      <c r="B1617" s="6" t="s">
        <v>74</v>
      </c>
      <c r="C1617" s="6" t="s">
        <v>53</v>
      </c>
      <c r="D1617" s="8" t="s">
        <v>54</v>
      </c>
      <c r="E1617" s="6" t="s">
        <v>2472</v>
      </c>
      <c r="F1617" s="6" t="s">
        <v>95</v>
      </c>
      <c r="G1617" s="11" t="s">
        <v>56</v>
      </c>
      <c r="H1617" s="10" t="s">
        <v>2473</v>
      </c>
      <c r="I1617" s="6" t="s">
        <v>2474</v>
      </c>
      <c r="J1617" s="12">
        <v>46121.439629629633</v>
      </c>
      <c r="K1617" s="6" t="e" cm="1">
        <f t="array" ref="K1617">LOOKUP(2^15,SEARCH(Tabela2[Palavras-Chave],Boletim[[#This Row],[Objeto]],1),Tabela2[Palavras-Chave])</f>
        <v>#N/A</v>
      </c>
    </row>
    <row r="1618" spans="1:11" ht="100.8" hidden="1" x14ac:dyDescent="0.3">
      <c r="A1618" s="5">
        <v>18715347</v>
      </c>
      <c r="B1618" s="6" t="s">
        <v>74</v>
      </c>
      <c r="C1618" s="6" t="s">
        <v>53</v>
      </c>
      <c r="D1618" s="8" t="s">
        <v>54</v>
      </c>
      <c r="E1618" s="6" t="s">
        <v>2475</v>
      </c>
      <c r="F1618" s="6" t="s">
        <v>95</v>
      </c>
      <c r="G1618" s="11" t="s">
        <v>56</v>
      </c>
      <c r="H1618" s="10" t="s">
        <v>2476</v>
      </c>
      <c r="I1618" s="6" t="s">
        <v>2477</v>
      </c>
      <c r="J1618" s="12">
        <v>46121.439687500002</v>
      </c>
      <c r="K1618" s="6" t="e" cm="1">
        <f t="array" ref="K1618">LOOKUP(2^15,SEARCH(Tabela2[Palavras-Chave],Boletim[[#This Row],[Objeto]],1),Tabela2[Palavras-Chave])</f>
        <v>#N/A</v>
      </c>
    </row>
    <row r="1619" spans="1:11" ht="129.6" hidden="1" x14ac:dyDescent="0.3">
      <c r="A1619" s="5">
        <v>18806851</v>
      </c>
      <c r="B1619" s="6" t="s">
        <v>392</v>
      </c>
      <c r="C1619" s="6" t="s">
        <v>393</v>
      </c>
      <c r="D1619" s="8" t="s">
        <v>54</v>
      </c>
      <c r="E1619" s="6" t="s">
        <v>1859</v>
      </c>
      <c r="F1619" s="6" t="s">
        <v>95</v>
      </c>
      <c r="G1619" s="11" t="s">
        <v>56</v>
      </c>
      <c r="H1619" s="10" t="s">
        <v>2478</v>
      </c>
      <c r="I1619" s="6" t="s">
        <v>2479</v>
      </c>
      <c r="J1619" s="12">
        <v>46121.727789351855</v>
      </c>
      <c r="K1619" s="6" t="e" cm="1">
        <f t="array" ref="K1619">LOOKUP(2^15,SEARCH(Tabela2[Palavras-Chave],Boletim[[#This Row],[Objeto]],1),Tabela2[Palavras-Chave])</f>
        <v>#N/A</v>
      </c>
    </row>
    <row r="1620" spans="1:11" ht="100.8" hidden="1" x14ac:dyDescent="0.3">
      <c r="A1620" s="5">
        <v>18709907</v>
      </c>
      <c r="B1620" s="6" t="s">
        <v>74</v>
      </c>
      <c r="C1620" s="6" t="s">
        <v>59</v>
      </c>
      <c r="D1620" s="8" t="s">
        <v>60</v>
      </c>
      <c r="E1620" s="6" t="s">
        <v>2472</v>
      </c>
      <c r="F1620" s="6" t="s">
        <v>95</v>
      </c>
      <c r="G1620" s="11" t="s">
        <v>56</v>
      </c>
      <c r="H1620" s="10" t="s">
        <v>2473</v>
      </c>
      <c r="I1620" s="6" t="s">
        <v>2474</v>
      </c>
      <c r="J1620" s="12">
        <v>46121.439629629633</v>
      </c>
      <c r="K1620" s="6" t="e" cm="1">
        <f t="array" ref="K1620">LOOKUP(2^15,SEARCH(Tabela2[Palavras-Chave],Boletim[[#This Row],[Objeto]],1),Tabela2[Palavras-Chave])</f>
        <v>#N/A</v>
      </c>
    </row>
    <row r="1621" spans="1:11" ht="100.8" hidden="1" x14ac:dyDescent="0.3">
      <c r="A1621" s="5">
        <v>18715348</v>
      </c>
      <c r="B1621" s="6" t="s">
        <v>74</v>
      </c>
      <c r="C1621" s="6" t="s">
        <v>59</v>
      </c>
      <c r="D1621" s="8" t="s">
        <v>60</v>
      </c>
      <c r="E1621" s="6" t="s">
        <v>2475</v>
      </c>
      <c r="F1621" s="6" t="s">
        <v>95</v>
      </c>
      <c r="G1621" s="11" t="s">
        <v>56</v>
      </c>
      <c r="H1621" s="10" t="s">
        <v>2476</v>
      </c>
      <c r="I1621" s="6" t="s">
        <v>2477</v>
      </c>
      <c r="J1621" s="12">
        <v>46121.439687500002</v>
      </c>
      <c r="K1621" s="6" t="e" cm="1">
        <f t="array" ref="K1621">LOOKUP(2^15,SEARCH(Tabela2[Palavras-Chave],Boletim[[#This Row],[Objeto]],1),Tabela2[Palavras-Chave])</f>
        <v>#N/A</v>
      </c>
    </row>
    <row r="1622" spans="1:11" ht="288" hidden="1" x14ac:dyDescent="0.3">
      <c r="A1622" s="5">
        <v>18789677</v>
      </c>
      <c r="B1622" s="6" t="s">
        <v>3372</v>
      </c>
      <c r="C1622" s="6" t="s">
        <v>3373</v>
      </c>
      <c r="D1622" s="8" t="s">
        <v>60</v>
      </c>
      <c r="E1622" s="6" t="s">
        <v>158</v>
      </c>
      <c r="F1622" s="6" t="s">
        <v>95</v>
      </c>
      <c r="G1622" s="11" t="s">
        <v>56</v>
      </c>
      <c r="H1622" s="10" t="s">
        <v>3374</v>
      </c>
      <c r="I1622" s="6" t="s">
        <v>3375</v>
      </c>
      <c r="J1622" s="12">
        <v>46121.811782407407</v>
      </c>
      <c r="K1622" s="6" t="e" cm="1">
        <f t="array" ref="K1622">LOOKUP(2^15,SEARCH(Tabela2[Palavras-Chave],Boletim[[#This Row],[Objeto]],1),Tabela2[Palavras-Chave])</f>
        <v>#N/A</v>
      </c>
    </row>
    <row r="1623" spans="1:11" ht="100.8" hidden="1" x14ac:dyDescent="0.3">
      <c r="A1623" s="5">
        <v>18709908</v>
      </c>
      <c r="B1623" s="6" t="s">
        <v>74</v>
      </c>
      <c r="C1623" s="6" t="s">
        <v>61</v>
      </c>
      <c r="D1623" s="8" t="s">
        <v>62</v>
      </c>
      <c r="E1623" s="6" t="s">
        <v>2472</v>
      </c>
      <c r="F1623" s="6" t="s">
        <v>95</v>
      </c>
      <c r="G1623" s="11" t="s">
        <v>56</v>
      </c>
      <c r="H1623" s="10" t="s">
        <v>2473</v>
      </c>
      <c r="I1623" s="6" t="s">
        <v>2474</v>
      </c>
      <c r="J1623" s="12">
        <v>46121.439641203702</v>
      </c>
      <c r="K1623" s="6" t="e" cm="1">
        <f t="array" ref="K1623">LOOKUP(2^15,SEARCH(Tabela2[Palavras-Chave],Boletim[[#This Row],[Objeto]],1),Tabela2[Palavras-Chave])</f>
        <v>#N/A</v>
      </c>
    </row>
    <row r="1624" spans="1:11" ht="100.8" hidden="1" x14ac:dyDescent="0.3">
      <c r="A1624" s="5">
        <v>18715349</v>
      </c>
      <c r="B1624" s="6" t="s">
        <v>74</v>
      </c>
      <c r="C1624" s="6" t="s">
        <v>61</v>
      </c>
      <c r="D1624" s="8" t="s">
        <v>62</v>
      </c>
      <c r="E1624" s="6" t="s">
        <v>2475</v>
      </c>
      <c r="F1624" s="6" t="s">
        <v>95</v>
      </c>
      <c r="G1624" s="11" t="s">
        <v>56</v>
      </c>
      <c r="H1624" s="10" t="s">
        <v>2476</v>
      </c>
      <c r="I1624" s="6" t="s">
        <v>2477</v>
      </c>
      <c r="J1624" s="12">
        <v>46121.439687500002</v>
      </c>
      <c r="K1624" s="6" t="e" cm="1">
        <f t="array" ref="K1624">LOOKUP(2^15,SEARCH(Tabela2[Palavras-Chave],Boletim[[#This Row],[Objeto]],1),Tabela2[Palavras-Chave])</f>
        <v>#N/A</v>
      </c>
    </row>
    <row r="1625" spans="1:11" ht="158.4" hidden="1" x14ac:dyDescent="0.3">
      <c r="A1625" s="5">
        <v>18606531</v>
      </c>
      <c r="B1625" s="6" t="s">
        <v>2480</v>
      </c>
      <c r="C1625" s="6" t="s">
        <v>61</v>
      </c>
      <c r="D1625" s="8" t="s">
        <v>62</v>
      </c>
      <c r="E1625" s="6" t="s">
        <v>2481</v>
      </c>
      <c r="F1625" s="6" t="s">
        <v>95</v>
      </c>
      <c r="G1625" s="11" t="s">
        <v>56</v>
      </c>
      <c r="H1625" s="10" t="s">
        <v>2482</v>
      </c>
      <c r="I1625" s="6" t="s">
        <v>2483</v>
      </c>
      <c r="J1625" s="12">
        <v>46121.543113425927</v>
      </c>
      <c r="K1625" s="6" t="e" cm="1">
        <f t="array" ref="K1625">LOOKUP(2^15,SEARCH(Tabela2[Palavras-Chave],Boletim[[#This Row],[Objeto]],1),Tabela2[Palavras-Chave])</f>
        <v>#N/A</v>
      </c>
    </row>
    <row r="1626" spans="1:11" ht="259.2" hidden="1" x14ac:dyDescent="0.3">
      <c r="A1626" s="5">
        <v>18701156</v>
      </c>
      <c r="B1626" s="6" t="s">
        <v>3376</v>
      </c>
      <c r="C1626" s="6" t="s">
        <v>61</v>
      </c>
      <c r="D1626" s="8" t="s">
        <v>62</v>
      </c>
      <c r="E1626" s="6" t="s">
        <v>3377</v>
      </c>
      <c r="F1626" s="6" t="s">
        <v>95</v>
      </c>
      <c r="G1626" s="11" t="s">
        <v>56</v>
      </c>
      <c r="H1626" s="10" t="s">
        <v>3378</v>
      </c>
      <c r="I1626" s="6" t="s">
        <v>3379</v>
      </c>
      <c r="J1626" s="12">
        <v>46121.569872685184</v>
      </c>
      <c r="K1626" s="6" t="e" cm="1">
        <f t="array" ref="K1626">LOOKUP(2^15,SEARCH(Tabela2[Palavras-Chave],Boletim[[#This Row],[Objeto]],1),Tabela2[Palavras-Chave])</f>
        <v>#N/A</v>
      </c>
    </row>
    <row r="1627" spans="1:11" ht="100.8" hidden="1" x14ac:dyDescent="0.3">
      <c r="A1627" s="5">
        <v>18709909</v>
      </c>
      <c r="B1627" s="6" t="s">
        <v>74</v>
      </c>
      <c r="C1627" s="6" t="s">
        <v>88</v>
      </c>
      <c r="D1627" s="8" t="s">
        <v>63</v>
      </c>
      <c r="E1627" s="6" t="s">
        <v>2472</v>
      </c>
      <c r="F1627" s="6" t="s">
        <v>95</v>
      </c>
      <c r="G1627" s="11" t="s">
        <v>56</v>
      </c>
      <c r="H1627" s="10" t="s">
        <v>2473</v>
      </c>
      <c r="I1627" s="6" t="s">
        <v>2474</v>
      </c>
      <c r="J1627" s="12">
        <v>46121.439641203702</v>
      </c>
      <c r="K1627" s="6" t="e" cm="1">
        <f t="array" ref="K1627">LOOKUP(2^15,SEARCH(Tabela2[Palavras-Chave],Boletim[[#This Row],[Objeto]],1),Tabela2[Palavras-Chave])</f>
        <v>#N/A</v>
      </c>
    </row>
    <row r="1628" spans="1:11" ht="100.8" hidden="1" x14ac:dyDescent="0.3">
      <c r="A1628" s="5">
        <v>18715350</v>
      </c>
      <c r="B1628" s="6" t="s">
        <v>74</v>
      </c>
      <c r="C1628" s="6" t="s">
        <v>88</v>
      </c>
      <c r="D1628" s="8" t="s">
        <v>63</v>
      </c>
      <c r="E1628" s="6" t="s">
        <v>2475</v>
      </c>
      <c r="F1628" s="6" t="s">
        <v>95</v>
      </c>
      <c r="G1628" s="11" t="s">
        <v>56</v>
      </c>
      <c r="H1628" s="10" t="s">
        <v>2476</v>
      </c>
      <c r="I1628" s="6" t="s">
        <v>2477</v>
      </c>
      <c r="J1628" s="12">
        <v>46121.439687500002</v>
      </c>
      <c r="K1628" s="6" t="e" cm="1">
        <f t="array" ref="K1628">LOOKUP(2^15,SEARCH(Tabela2[Palavras-Chave],Boletim[[#This Row],[Objeto]],1),Tabela2[Palavras-Chave])</f>
        <v>#N/A</v>
      </c>
    </row>
    <row r="1629" spans="1:11" ht="100.8" hidden="1" x14ac:dyDescent="0.3">
      <c r="A1629" s="5">
        <v>18709910</v>
      </c>
      <c r="B1629" s="6" t="s">
        <v>74</v>
      </c>
      <c r="C1629" s="6" t="s">
        <v>101</v>
      </c>
      <c r="D1629" s="8" t="s">
        <v>64</v>
      </c>
      <c r="E1629" s="6" t="s">
        <v>2472</v>
      </c>
      <c r="F1629" s="6" t="s">
        <v>95</v>
      </c>
      <c r="G1629" s="11" t="s">
        <v>56</v>
      </c>
      <c r="H1629" s="10" t="s">
        <v>2473</v>
      </c>
      <c r="I1629" s="6" t="s">
        <v>2474</v>
      </c>
      <c r="J1629" s="12">
        <v>46121.439641203702</v>
      </c>
      <c r="K1629" s="6" t="e" cm="1">
        <f t="array" ref="K1629">LOOKUP(2^15,SEARCH(Tabela2[Palavras-Chave],Boletim[[#This Row],[Objeto]],1),Tabela2[Palavras-Chave])</f>
        <v>#N/A</v>
      </c>
    </row>
    <row r="1630" spans="1:11" ht="100.8" hidden="1" x14ac:dyDescent="0.3">
      <c r="A1630" s="5">
        <v>18715351</v>
      </c>
      <c r="B1630" s="6" t="s">
        <v>74</v>
      </c>
      <c r="C1630" s="6" t="s">
        <v>101</v>
      </c>
      <c r="D1630" s="8" t="s">
        <v>64</v>
      </c>
      <c r="E1630" s="6" t="s">
        <v>2475</v>
      </c>
      <c r="F1630" s="6" t="s">
        <v>95</v>
      </c>
      <c r="G1630" s="11" t="s">
        <v>56</v>
      </c>
      <c r="H1630" s="10" t="s">
        <v>2476</v>
      </c>
      <c r="I1630" s="6" t="s">
        <v>2477</v>
      </c>
      <c r="J1630" s="12">
        <v>46121.439687500002</v>
      </c>
      <c r="K1630" s="6" t="e" cm="1">
        <f t="array" ref="K1630">LOOKUP(2^15,SEARCH(Tabela2[Palavras-Chave],Boletim[[#This Row],[Objeto]],1),Tabela2[Palavras-Chave])</f>
        <v>#N/A</v>
      </c>
    </row>
    <row r="1631" spans="1:11" ht="259.2" hidden="1" x14ac:dyDescent="0.3">
      <c r="A1631" s="5">
        <v>18698834</v>
      </c>
      <c r="B1631" s="6" t="s">
        <v>572</v>
      </c>
      <c r="C1631" s="6" t="s">
        <v>573</v>
      </c>
      <c r="D1631" s="8" t="s">
        <v>64</v>
      </c>
      <c r="E1631" s="6" t="s">
        <v>115</v>
      </c>
      <c r="F1631" s="6" t="s">
        <v>95</v>
      </c>
      <c r="G1631" s="11" t="s">
        <v>56</v>
      </c>
      <c r="H1631" s="10" t="s">
        <v>574</v>
      </c>
      <c r="I1631" s="6" t="s">
        <v>575</v>
      </c>
      <c r="J1631" s="12">
        <v>46121.607731481483</v>
      </c>
      <c r="K1631" s="6" t="e" cm="1">
        <f t="array" ref="K1631">LOOKUP(2^15,SEARCH(Tabela2[Palavras-Chave],Boletim[[#This Row],[Objeto]],1),Tabela2[Palavras-Chave])</f>
        <v>#N/A</v>
      </c>
    </row>
    <row r="1632" spans="1:11" ht="259.2" hidden="1" x14ac:dyDescent="0.3">
      <c r="A1632" s="5">
        <v>18767121</v>
      </c>
      <c r="B1632" s="6" t="s">
        <v>2484</v>
      </c>
      <c r="C1632" s="6" t="s">
        <v>2485</v>
      </c>
      <c r="D1632" s="8" t="s">
        <v>64</v>
      </c>
      <c r="E1632" s="6" t="s">
        <v>113</v>
      </c>
      <c r="F1632" s="6" t="s">
        <v>95</v>
      </c>
      <c r="G1632" s="11" t="s">
        <v>56</v>
      </c>
      <c r="H1632" s="10" t="s">
        <v>2486</v>
      </c>
      <c r="I1632" s="6" t="s">
        <v>2487</v>
      </c>
      <c r="J1632" s="12">
        <v>46121.810104166667</v>
      </c>
      <c r="K1632" s="6" t="e" cm="1">
        <f t="array" ref="K1632">LOOKUP(2^15,SEARCH(Tabela2[Palavras-Chave],Boletim[[#This Row],[Objeto]],1),Tabela2[Palavras-Chave])</f>
        <v>#N/A</v>
      </c>
    </row>
    <row r="1633" spans="1:11" ht="100.8" hidden="1" x14ac:dyDescent="0.3">
      <c r="A1633" s="5">
        <v>18709911</v>
      </c>
      <c r="B1633" s="6" t="s">
        <v>74</v>
      </c>
      <c r="C1633" s="6" t="s">
        <v>159</v>
      </c>
      <c r="D1633" s="8" t="s">
        <v>89</v>
      </c>
      <c r="E1633" s="6" t="s">
        <v>2472</v>
      </c>
      <c r="F1633" s="6" t="s">
        <v>95</v>
      </c>
      <c r="G1633" s="11" t="s">
        <v>56</v>
      </c>
      <c r="H1633" s="10" t="s">
        <v>2473</v>
      </c>
      <c r="I1633" s="6" t="s">
        <v>2474</v>
      </c>
      <c r="J1633" s="12">
        <v>46121.439641203702</v>
      </c>
      <c r="K1633" s="6" t="e" cm="1">
        <f t="array" ref="K1633">LOOKUP(2^15,SEARCH(Tabela2[Palavras-Chave],Boletim[[#This Row],[Objeto]],1),Tabela2[Palavras-Chave])</f>
        <v>#N/A</v>
      </c>
    </row>
    <row r="1634" spans="1:11" ht="100.8" hidden="1" x14ac:dyDescent="0.3">
      <c r="A1634" s="5">
        <v>18715352</v>
      </c>
      <c r="B1634" s="6" t="s">
        <v>74</v>
      </c>
      <c r="C1634" s="6" t="s">
        <v>159</v>
      </c>
      <c r="D1634" s="8" t="s">
        <v>89</v>
      </c>
      <c r="E1634" s="6" t="s">
        <v>2475</v>
      </c>
      <c r="F1634" s="6" t="s">
        <v>95</v>
      </c>
      <c r="G1634" s="11" t="s">
        <v>56</v>
      </c>
      <c r="H1634" s="10" t="s">
        <v>2476</v>
      </c>
      <c r="I1634" s="6" t="s">
        <v>2477</v>
      </c>
      <c r="J1634" s="12">
        <v>46121.439687500002</v>
      </c>
      <c r="K1634" s="6" t="e" cm="1">
        <f t="array" ref="K1634">LOOKUP(2^15,SEARCH(Tabela2[Palavras-Chave],Boletim[[#This Row],[Objeto]],1),Tabela2[Palavras-Chave])</f>
        <v>#N/A</v>
      </c>
    </row>
    <row r="1635" spans="1:11" ht="57.6" hidden="1" x14ac:dyDescent="0.3">
      <c r="A1635" s="5">
        <v>18787853</v>
      </c>
      <c r="B1635" s="6" t="s">
        <v>2488</v>
      </c>
      <c r="C1635" s="6" t="s">
        <v>2489</v>
      </c>
      <c r="D1635" s="8" t="s">
        <v>89</v>
      </c>
      <c r="E1635" s="6" t="s">
        <v>108</v>
      </c>
      <c r="F1635" s="6" t="s">
        <v>95</v>
      </c>
      <c r="G1635" s="11">
        <v>46140.395833333336</v>
      </c>
      <c r="H1635" s="10" t="s">
        <v>2490</v>
      </c>
      <c r="I1635" s="6" t="s">
        <v>2491</v>
      </c>
      <c r="J1635" s="12">
        <v>46121.46665509259</v>
      </c>
      <c r="K1635" s="6" t="e" cm="1">
        <f t="array" ref="K1635">LOOKUP(2^15,SEARCH(Tabela2[Palavras-Chave],Boletim[[#This Row],[Objeto]],1),Tabela2[Palavras-Chave])</f>
        <v>#N/A</v>
      </c>
    </row>
    <row r="1636" spans="1:11" ht="100.8" hidden="1" x14ac:dyDescent="0.3">
      <c r="A1636" s="5">
        <v>18709912</v>
      </c>
      <c r="B1636" s="6" t="s">
        <v>74</v>
      </c>
      <c r="C1636" s="6" t="s">
        <v>65</v>
      </c>
      <c r="D1636" s="8" t="s">
        <v>66</v>
      </c>
      <c r="E1636" s="6" t="s">
        <v>2472</v>
      </c>
      <c r="F1636" s="6" t="s">
        <v>95</v>
      </c>
      <c r="G1636" s="11" t="s">
        <v>56</v>
      </c>
      <c r="H1636" s="10" t="s">
        <v>2473</v>
      </c>
      <c r="I1636" s="6" t="s">
        <v>2474</v>
      </c>
      <c r="J1636" s="12">
        <v>46121.439641203702</v>
      </c>
      <c r="K1636" s="6" t="e" cm="1">
        <f t="array" ref="K1636">LOOKUP(2^15,SEARCH(Tabela2[Palavras-Chave],Boletim[[#This Row],[Objeto]],1),Tabela2[Palavras-Chave])</f>
        <v>#N/A</v>
      </c>
    </row>
    <row r="1637" spans="1:11" ht="100.8" hidden="1" x14ac:dyDescent="0.3">
      <c r="A1637" s="5">
        <v>18715353</v>
      </c>
      <c r="B1637" s="6" t="s">
        <v>74</v>
      </c>
      <c r="C1637" s="6" t="s">
        <v>65</v>
      </c>
      <c r="D1637" s="8" t="s">
        <v>66</v>
      </c>
      <c r="E1637" s="6" t="s">
        <v>2475</v>
      </c>
      <c r="F1637" s="6" t="s">
        <v>95</v>
      </c>
      <c r="G1637" s="11" t="s">
        <v>56</v>
      </c>
      <c r="H1637" s="10" t="s">
        <v>2476</v>
      </c>
      <c r="I1637" s="6" t="s">
        <v>2477</v>
      </c>
      <c r="J1637" s="12">
        <v>46121.439687500002</v>
      </c>
      <c r="K1637" s="6" t="e" cm="1">
        <f t="array" ref="K1637">LOOKUP(2^15,SEARCH(Tabela2[Palavras-Chave],Boletim[[#This Row],[Objeto]],1),Tabela2[Palavras-Chave])</f>
        <v>#N/A</v>
      </c>
    </row>
    <row r="1638" spans="1:11" ht="72" hidden="1" x14ac:dyDescent="0.3">
      <c r="A1638" s="5">
        <v>18790076</v>
      </c>
      <c r="B1638" s="6" t="s">
        <v>74</v>
      </c>
      <c r="C1638" s="6" t="s">
        <v>65</v>
      </c>
      <c r="D1638" s="8" t="s">
        <v>66</v>
      </c>
      <c r="E1638" s="6" t="s">
        <v>2492</v>
      </c>
      <c r="F1638" s="6" t="s">
        <v>95</v>
      </c>
      <c r="G1638" s="11" t="s">
        <v>56</v>
      </c>
      <c r="H1638" s="10" t="s">
        <v>2493</v>
      </c>
      <c r="I1638" s="6" t="s">
        <v>2494</v>
      </c>
      <c r="J1638" s="12">
        <v>46121.441030092596</v>
      </c>
      <c r="K1638" s="6" t="e" cm="1">
        <f t="array" ref="K1638">LOOKUP(2^15,SEARCH(Tabela2[Palavras-Chave],Boletim[[#This Row],[Objeto]],1),Tabela2[Palavras-Chave])</f>
        <v>#N/A</v>
      </c>
    </row>
    <row r="1639" spans="1:11" ht="144" hidden="1" x14ac:dyDescent="0.3">
      <c r="A1639" s="5">
        <v>18800202</v>
      </c>
      <c r="B1639" s="6" t="s">
        <v>3380</v>
      </c>
      <c r="C1639" s="6" t="s">
        <v>65</v>
      </c>
      <c r="D1639" s="8" t="s">
        <v>66</v>
      </c>
      <c r="E1639" s="6" t="s">
        <v>3381</v>
      </c>
      <c r="F1639" s="6" t="s">
        <v>95</v>
      </c>
      <c r="G1639" s="11" t="s">
        <v>56</v>
      </c>
      <c r="H1639" s="10" t="s">
        <v>3382</v>
      </c>
      <c r="I1639" s="6" t="s">
        <v>3383</v>
      </c>
      <c r="J1639" s="12">
        <v>46121.485405092593</v>
      </c>
      <c r="K1639" s="6" t="e" cm="1">
        <f t="array" ref="K1639">LOOKUP(2^15,SEARCH(Tabela2[Palavras-Chave],Boletim[[#This Row],[Objeto]],1),Tabela2[Palavras-Chave])</f>
        <v>#N/A</v>
      </c>
    </row>
    <row r="1640" spans="1:11" ht="57.6" hidden="1" x14ac:dyDescent="0.3">
      <c r="A1640" s="5">
        <v>18737944</v>
      </c>
      <c r="B1640" s="6" t="s">
        <v>2495</v>
      </c>
      <c r="C1640" s="6" t="s">
        <v>2496</v>
      </c>
      <c r="D1640" s="8" t="s">
        <v>66</v>
      </c>
      <c r="E1640" s="6" t="s">
        <v>240</v>
      </c>
      <c r="F1640" s="6" t="s">
        <v>95</v>
      </c>
      <c r="G1640" s="11">
        <v>46136.375</v>
      </c>
      <c r="H1640" s="10" t="s">
        <v>2497</v>
      </c>
      <c r="I1640" s="6" t="s">
        <v>2498</v>
      </c>
      <c r="J1640" s="12">
        <v>46121.511840277781</v>
      </c>
      <c r="K1640" s="6" t="e" cm="1">
        <f t="array" ref="K1640">LOOKUP(2^15,SEARCH(Tabela2[Palavras-Chave],Boletim[[#This Row],[Objeto]],1),Tabela2[Palavras-Chave])</f>
        <v>#N/A</v>
      </c>
    </row>
    <row r="1641" spans="1:11" ht="86.4" hidden="1" x14ac:dyDescent="0.3">
      <c r="A1641" s="5">
        <v>18774777</v>
      </c>
      <c r="B1641" s="6" t="s">
        <v>3384</v>
      </c>
      <c r="C1641" s="6" t="s">
        <v>3385</v>
      </c>
      <c r="D1641" s="8" t="s">
        <v>66</v>
      </c>
      <c r="E1641" s="6" t="s">
        <v>114</v>
      </c>
      <c r="F1641" s="6" t="s">
        <v>95</v>
      </c>
      <c r="G1641" s="11">
        <v>46148.375</v>
      </c>
      <c r="H1641" s="10" t="s">
        <v>3386</v>
      </c>
      <c r="I1641" s="6" t="s">
        <v>3387</v>
      </c>
      <c r="J1641" s="12">
        <v>46121.514490740738</v>
      </c>
      <c r="K1641" s="6" t="e" cm="1">
        <f t="array" ref="K1641">LOOKUP(2^15,SEARCH(Tabela2[Palavras-Chave],Boletim[[#This Row],[Objeto]],1),Tabela2[Palavras-Chave])</f>
        <v>#N/A</v>
      </c>
    </row>
    <row r="1642" spans="1:11" ht="28.8" hidden="1" x14ac:dyDescent="0.3">
      <c r="A1642" s="5">
        <v>18771818</v>
      </c>
      <c r="B1642" s="6" t="s">
        <v>653</v>
      </c>
      <c r="C1642" s="6" t="s">
        <v>65</v>
      </c>
      <c r="D1642" s="8" t="s">
        <v>66</v>
      </c>
      <c r="E1642" s="6" t="s">
        <v>2499</v>
      </c>
      <c r="F1642" s="6" t="s">
        <v>95</v>
      </c>
      <c r="G1642" s="11" t="s">
        <v>56</v>
      </c>
      <c r="H1642" s="10" t="s">
        <v>2500</v>
      </c>
      <c r="I1642" s="6" t="s">
        <v>2501</v>
      </c>
      <c r="J1642" s="12">
        <v>46121.51761574074</v>
      </c>
      <c r="K1642" s="6" t="e" cm="1">
        <f t="array" ref="K1642">LOOKUP(2^15,SEARCH(Tabela2[Palavras-Chave],Boletim[[#This Row],[Objeto]],1),Tabela2[Palavras-Chave])</f>
        <v>#N/A</v>
      </c>
    </row>
    <row r="1643" spans="1:11" ht="28.8" hidden="1" x14ac:dyDescent="0.3">
      <c r="A1643" s="5">
        <v>18721216</v>
      </c>
      <c r="B1643" s="6" t="s">
        <v>230</v>
      </c>
      <c r="C1643" s="6" t="s">
        <v>65</v>
      </c>
      <c r="D1643" s="8" t="s">
        <v>66</v>
      </c>
      <c r="E1643" s="6" t="s">
        <v>3388</v>
      </c>
      <c r="F1643" s="6" t="s">
        <v>95</v>
      </c>
      <c r="G1643" s="11" t="s">
        <v>56</v>
      </c>
      <c r="H1643" s="10" t="s">
        <v>3389</v>
      </c>
      <c r="I1643" s="6" t="s">
        <v>3390</v>
      </c>
      <c r="J1643" s="12">
        <v>46121.518101851849</v>
      </c>
      <c r="K1643" s="6" t="e" cm="1">
        <f t="array" ref="K1643">LOOKUP(2^15,SEARCH(Tabela2[Palavras-Chave],Boletim[[#This Row],[Objeto]],1),Tabela2[Palavras-Chave])</f>
        <v>#N/A</v>
      </c>
    </row>
    <row r="1644" spans="1:11" ht="43.2" x14ac:dyDescent="0.3">
      <c r="A1644" s="5">
        <v>18771805</v>
      </c>
      <c r="B1644" s="6" t="s">
        <v>653</v>
      </c>
      <c r="C1644" s="6" t="s">
        <v>65</v>
      </c>
      <c r="D1644" s="8" t="s">
        <v>66</v>
      </c>
      <c r="E1644" s="6" t="s">
        <v>2502</v>
      </c>
      <c r="F1644" s="6" t="s">
        <v>95</v>
      </c>
      <c r="G1644" s="11" t="s">
        <v>56</v>
      </c>
      <c r="H1644" s="10" t="s">
        <v>2503</v>
      </c>
      <c r="I1644" s="6" t="s">
        <v>2504</v>
      </c>
      <c r="J1644" s="12">
        <v>46121.520914351851</v>
      </c>
      <c r="K1644" s="6" t="str" cm="1">
        <f t="array" ref="K1644">LOOKUP(2^15,SEARCH(Tabela2[Palavras-Chave],Boletim[[#This Row],[Objeto]],1),Tabela2[Palavras-Chave])</f>
        <v>MEDIÇÃO</v>
      </c>
    </row>
    <row r="1645" spans="1:11" ht="201.6" hidden="1" x14ac:dyDescent="0.3">
      <c r="A1645" s="5">
        <v>18725616</v>
      </c>
      <c r="B1645" s="6" t="s">
        <v>2505</v>
      </c>
      <c r="C1645" s="6" t="s">
        <v>65</v>
      </c>
      <c r="D1645" s="8" t="s">
        <v>66</v>
      </c>
      <c r="E1645" s="6" t="s">
        <v>140</v>
      </c>
      <c r="F1645" s="6" t="s">
        <v>95</v>
      </c>
      <c r="G1645" s="11" t="s">
        <v>56</v>
      </c>
      <c r="H1645" s="10" t="s">
        <v>2506</v>
      </c>
      <c r="I1645" s="6" t="s">
        <v>2507</v>
      </c>
      <c r="J1645" s="12">
        <v>46121.539641203701</v>
      </c>
      <c r="K1645" s="6" t="e" cm="1">
        <f t="array" ref="K1645">LOOKUP(2^15,SEARCH(Tabela2[Palavras-Chave],Boletim[[#This Row],[Objeto]],1),Tabela2[Palavras-Chave])</f>
        <v>#N/A</v>
      </c>
    </row>
    <row r="1646" spans="1:11" ht="172.8" hidden="1" x14ac:dyDescent="0.3">
      <c r="A1646" s="5">
        <v>18656881</v>
      </c>
      <c r="B1646" s="6" t="s">
        <v>2508</v>
      </c>
      <c r="C1646" s="6" t="s">
        <v>2509</v>
      </c>
      <c r="D1646" s="8" t="s">
        <v>66</v>
      </c>
      <c r="E1646" s="6" t="s">
        <v>183</v>
      </c>
      <c r="F1646" s="6" t="s">
        <v>95</v>
      </c>
      <c r="G1646" s="11" t="s">
        <v>56</v>
      </c>
      <c r="H1646" s="10" t="s">
        <v>2510</v>
      </c>
      <c r="I1646" s="6" t="s">
        <v>2511</v>
      </c>
      <c r="J1646" s="12">
        <v>46121.540995370371</v>
      </c>
      <c r="K1646" s="6" t="e" cm="1">
        <f t="array" ref="K1646">LOOKUP(2^15,SEARCH(Tabela2[Palavras-Chave],Boletim[[#This Row],[Objeto]],1),Tabela2[Palavras-Chave])</f>
        <v>#N/A</v>
      </c>
    </row>
    <row r="1647" spans="1:11" ht="259.2" hidden="1" x14ac:dyDescent="0.3">
      <c r="A1647" s="5">
        <v>18784341</v>
      </c>
      <c r="B1647" s="6" t="s">
        <v>2512</v>
      </c>
      <c r="C1647" s="6" t="s">
        <v>2513</v>
      </c>
      <c r="D1647" s="8" t="s">
        <v>66</v>
      </c>
      <c r="E1647" s="6" t="s">
        <v>120</v>
      </c>
      <c r="F1647" s="6" t="s">
        <v>95</v>
      </c>
      <c r="G1647" s="11" t="s">
        <v>56</v>
      </c>
      <c r="H1647" s="10" t="s">
        <v>2514</v>
      </c>
      <c r="I1647" s="6" t="s">
        <v>2515</v>
      </c>
      <c r="J1647" s="12">
        <v>46121.615543981483</v>
      </c>
      <c r="K1647" s="6" t="e" cm="1">
        <f t="array" ref="K1647">LOOKUP(2^15,SEARCH(Tabela2[Palavras-Chave],Boletim[[#This Row],[Objeto]],1),Tabela2[Palavras-Chave])</f>
        <v>#N/A</v>
      </c>
    </row>
    <row r="1648" spans="1:11" ht="28.8" hidden="1" x14ac:dyDescent="0.3">
      <c r="A1648" s="5">
        <v>18790109</v>
      </c>
      <c r="B1648" s="6" t="s">
        <v>99</v>
      </c>
      <c r="C1648" s="6" t="s">
        <v>65</v>
      </c>
      <c r="D1648" s="8" t="s">
        <v>66</v>
      </c>
      <c r="E1648" s="6" t="s">
        <v>3391</v>
      </c>
      <c r="F1648" s="6" t="s">
        <v>95</v>
      </c>
      <c r="G1648" s="11" t="s">
        <v>56</v>
      </c>
      <c r="H1648" s="10" t="s">
        <v>3392</v>
      </c>
      <c r="I1648" s="6" t="s">
        <v>131</v>
      </c>
      <c r="J1648" s="12">
        <v>46121.671574074076</v>
      </c>
      <c r="K1648" s="6" t="e" cm="1">
        <f t="array" ref="K1648">LOOKUP(2^15,SEARCH(Tabela2[Palavras-Chave],Boletim[[#This Row],[Objeto]],1),Tabela2[Palavras-Chave])</f>
        <v>#N/A</v>
      </c>
    </row>
    <row r="1649" spans="1:11" ht="57.6" hidden="1" x14ac:dyDescent="0.3">
      <c r="A1649" s="5">
        <v>18754766</v>
      </c>
      <c r="B1649" s="6" t="s">
        <v>1530</v>
      </c>
      <c r="C1649" s="6" t="s">
        <v>1531</v>
      </c>
      <c r="D1649" s="8" t="s">
        <v>66</v>
      </c>
      <c r="E1649" s="6" t="s">
        <v>128</v>
      </c>
      <c r="F1649" s="6" t="s">
        <v>95</v>
      </c>
      <c r="G1649" s="11">
        <v>46134.375</v>
      </c>
      <c r="H1649" s="10" t="s">
        <v>2516</v>
      </c>
      <c r="I1649" s="6" t="s">
        <v>2517</v>
      </c>
      <c r="J1649" s="12">
        <v>46121.812662037039</v>
      </c>
      <c r="K1649" s="6" t="e" cm="1">
        <f t="array" ref="K1649">LOOKUP(2^15,SEARCH(Tabela2[Palavras-Chave],Boletim[[#This Row],[Objeto]],1),Tabela2[Palavras-Chave])</f>
        <v>#N/A</v>
      </c>
    </row>
    <row r="1650" spans="1:11" ht="259.2" x14ac:dyDescent="0.3">
      <c r="A1650" s="5">
        <v>18744377</v>
      </c>
      <c r="B1650" s="6" t="s">
        <v>1652</v>
      </c>
      <c r="C1650" s="6" t="s">
        <v>1653</v>
      </c>
      <c r="D1650" s="8" t="s">
        <v>66</v>
      </c>
      <c r="E1650" s="6" t="s">
        <v>109</v>
      </c>
      <c r="F1650" s="6" t="s">
        <v>95</v>
      </c>
      <c r="G1650" s="11" t="s">
        <v>56</v>
      </c>
      <c r="H1650" s="10" t="s">
        <v>2518</v>
      </c>
      <c r="I1650" s="6" t="s">
        <v>2519</v>
      </c>
      <c r="J1650" s="12">
        <v>46121.812974537039</v>
      </c>
      <c r="K1650" s="6" t="str" cm="1">
        <f t="array" ref="K1650">LOOKUP(2^15,SEARCH(Tabela2[Palavras-Chave],Boletim[[#This Row],[Objeto]],1),Tabela2[Palavras-Chave])</f>
        <v>RESERVAT</v>
      </c>
    </row>
    <row r="1651" spans="1:11" ht="100.8" hidden="1" x14ac:dyDescent="0.3">
      <c r="A1651" s="5">
        <v>18781259</v>
      </c>
      <c r="B1651" s="6" t="s">
        <v>2520</v>
      </c>
      <c r="C1651" s="6" t="s">
        <v>2521</v>
      </c>
      <c r="D1651" s="8" t="s">
        <v>66</v>
      </c>
      <c r="E1651" s="6" t="s">
        <v>115</v>
      </c>
      <c r="F1651" s="6" t="s">
        <v>95</v>
      </c>
      <c r="G1651" s="11" t="s">
        <v>56</v>
      </c>
      <c r="H1651" s="10" t="s">
        <v>2522</v>
      </c>
      <c r="I1651" s="6" t="s">
        <v>2523</v>
      </c>
      <c r="J1651" s="12">
        <v>46121.816030092596</v>
      </c>
      <c r="K1651" s="6" t="e" cm="1">
        <f t="array" ref="K1651">LOOKUP(2^15,SEARCH(Tabela2[Palavras-Chave],Boletim[[#This Row],[Objeto]],1),Tabela2[Palavras-Chave])</f>
        <v>#N/A</v>
      </c>
    </row>
    <row r="1652" spans="1:11" ht="273.60000000000002" hidden="1" x14ac:dyDescent="0.3">
      <c r="A1652" s="5">
        <v>18673635</v>
      </c>
      <c r="B1652" s="6" t="s">
        <v>2524</v>
      </c>
      <c r="C1652" s="6" t="s">
        <v>2525</v>
      </c>
      <c r="D1652" s="8" t="s">
        <v>66</v>
      </c>
      <c r="E1652" s="6" t="s">
        <v>117</v>
      </c>
      <c r="F1652" s="6" t="s">
        <v>95</v>
      </c>
      <c r="G1652" s="11" t="s">
        <v>56</v>
      </c>
      <c r="H1652" s="10" t="s">
        <v>2526</v>
      </c>
      <c r="I1652" s="6" t="s">
        <v>2527</v>
      </c>
      <c r="J1652" s="12">
        <v>46121.856446759259</v>
      </c>
      <c r="K1652" s="6" t="e" cm="1">
        <f t="array" ref="K1652">LOOKUP(2^15,SEARCH(Tabela2[Palavras-Chave],Boletim[[#This Row],[Objeto]],1),Tabela2[Palavras-Chave])</f>
        <v>#N/A</v>
      </c>
    </row>
    <row r="1653" spans="1:11" ht="100.8" hidden="1" x14ac:dyDescent="0.3">
      <c r="A1653" s="5">
        <v>18709913</v>
      </c>
      <c r="B1653" s="6" t="s">
        <v>74</v>
      </c>
      <c r="C1653" s="6" t="s">
        <v>123</v>
      </c>
      <c r="D1653" s="8" t="s">
        <v>67</v>
      </c>
      <c r="E1653" s="6" t="s">
        <v>2472</v>
      </c>
      <c r="F1653" s="6" t="s">
        <v>95</v>
      </c>
      <c r="G1653" s="11" t="s">
        <v>56</v>
      </c>
      <c r="H1653" s="10" t="s">
        <v>2473</v>
      </c>
      <c r="I1653" s="6" t="s">
        <v>2474</v>
      </c>
      <c r="J1653" s="12">
        <v>46121.439641203702</v>
      </c>
      <c r="K1653" s="6" t="e" cm="1">
        <f t="array" ref="K1653">LOOKUP(2^15,SEARCH(Tabela2[Palavras-Chave],Boletim[[#This Row],[Objeto]],1),Tabela2[Palavras-Chave])</f>
        <v>#N/A</v>
      </c>
    </row>
    <row r="1654" spans="1:11" ht="100.8" hidden="1" x14ac:dyDescent="0.3">
      <c r="A1654" s="5">
        <v>18715354</v>
      </c>
      <c r="B1654" s="6" t="s">
        <v>74</v>
      </c>
      <c r="C1654" s="6" t="s">
        <v>123</v>
      </c>
      <c r="D1654" s="8" t="s">
        <v>67</v>
      </c>
      <c r="E1654" s="6" t="s">
        <v>2475</v>
      </c>
      <c r="F1654" s="6" t="s">
        <v>95</v>
      </c>
      <c r="G1654" s="11" t="s">
        <v>56</v>
      </c>
      <c r="H1654" s="10" t="s">
        <v>2476</v>
      </c>
      <c r="I1654" s="6" t="s">
        <v>2477</v>
      </c>
      <c r="J1654" s="12">
        <v>46121.439699074072</v>
      </c>
      <c r="K1654" s="6" t="e" cm="1">
        <f t="array" ref="K1654">LOOKUP(2^15,SEARCH(Tabela2[Palavras-Chave],Boletim[[#This Row],[Objeto]],1),Tabela2[Palavras-Chave])</f>
        <v>#N/A</v>
      </c>
    </row>
    <row r="1655" spans="1:11" ht="273.60000000000002" hidden="1" x14ac:dyDescent="0.3">
      <c r="A1655" s="5">
        <v>18787876</v>
      </c>
      <c r="B1655" s="6" t="s">
        <v>2528</v>
      </c>
      <c r="C1655" s="6" t="s">
        <v>2529</v>
      </c>
      <c r="D1655" s="8" t="s">
        <v>67</v>
      </c>
      <c r="E1655" s="6" t="s">
        <v>114</v>
      </c>
      <c r="F1655" s="6" t="s">
        <v>95</v>
      </c>
      <c r="G1655" s="11" t="s">
        <v>56</v>
      </c>
      <c r="H1655" s="10" t="s">
        <v>2530</v>
      </c>
      <c r="I1655" s="6" t="s">
        <v>2531</v>
      </c>
      <c r="J1655" s="12">
        <v>46121.841006944444</v>
      </c>
      <c r="K1655" s="6" t="e" cm="1">
        <f t="array" ref="K1655">LOOKUP(2^15,SEARCH(Tabela2[Palavras-Chave],Boletim[[#This Row],[Objeto]],1),Tabela2[Palavras-Chave])</f>
        <v>#N/A</v>
      </c>
    </row>
    <row r="1656" spans="1:11" ht="100.8" hidden="1" x14ac:dyDescent="0.3">
      <c r="A1656" s="5">
        <v>18709915</v>
      </c>
      <c r="B1656" s="6" t="s">
        <v>74</v>
      </c>
      <c r="C1656" s="6" t="s">
        <v>111</v>
      </c>
      <c r="D1656" s="8" t="s">
        <v>91</v>
      </c>
      <c r="E1656" s="6" t="s">
        <v>2472</v>
      </c>
      <c r="F1656" s="6" t="s">
        <v>95</v>
      </c>
      <c r="G1656" s="11" t="s">
        <v>56</v>
      </c>
      <c r="H1656" s="10" t="s">
        <v>2473</v>
      </c>
      <c r="I1656" s="6" t="s">
        <v>2474</v>
      </c>
      <c r="J1656" s="12">
        <v>46121.439652777779</v>
      </c>
      <c r="K1656" s="6" t="e" cm="1">
        <f t="array" ref="K1656">LOOKUP(2^15,SEARCH(Tabela2[Palavras-Chave],Boletim[[#This Row],[Objeto]],1),Tabela2[Palavras-Chave])</f>
        <v>#N/A</v>
      </c>
    </row>
    <row r="1657" spans="1:11" ht="100.8" hidden="1" x14ac:dyDescent="0.3">
      <c r="A1657" s="5">
        <v>18715355</v>
      </c>
      <c r="B1657" s="6" t="s">
        <v>74</v>
      </c>
      <c r="C1657" s="6" t="s">
        <v>111</v>
      </c>
      <c r="D1657" s="8" t="s">
        <v>91</v>
      </c>
      <c r="E1657" s="6" t="s">
        <v>2475</v>
      </c>
      <c r="F1657" s="6" t="s">
        <v>95</v>
      </c>
      <c r="G1657" s="11" t="s">
        <v>56</v>
      </c>
      <c r="H1657" s="10" t="s">
        <v>2476</v>
      </c>
      <c r="I1657" s="6" t="s">
        <v>2477</v>
      </c>
      <c r="J1657" s="12">
        <v>46121.439699074072</v>
      </c>
      <c r="K1657" s="6" t="e" cm="1">
        <f t="array" ref="K1657">LOOKUP(2^15,SEARCH(Tabela2[Palavras-Chave],Boletim[[#This Row],[Objeto]],1),Tabela2[Palavras-Chave])</f>
        <v>#N/A</v>
      </c>
    </row>
    <row r="1658" spans="1:11" ht="100.8" hidden="1" x14ac:dyDescent="0.3">
      <c r="A1658" s="5">
        <v>18709916</v>
      </c>
      <c r="B1658" s="6" t="s">
        <v>74</v>
      </c>
      <c r="C1658" s="6" t="s">
        <v>130</v>
      </c>
      <c r="D1658" s="8" t="s">
        <v>68</v>
      </c>
      <c r="E1658" s="6" t="s">
        <v>2472</v>
      </c>
      <c r="F1658" s="6" t="s">
        <v>95</v>
      </c>
      <c r="G1658" s="11" t="s">
        <v>56</v>
      </c>
      <c r="H1658" s="10" t="s">
        <v>2473</v>
      </c>
      <c r="I1658" s="6" t="s">
        <v>2474</v>
      </c>
      <c r="J1658" s="12">
        <v>46121.439652777779</v>
      </c>
      <c r="K1658" s="6" t="e" cm="1">
        <f t="array" ref="K1658">LOOKUP(2^15,SEARCH(Tabela2[Palavras-Chave],Boletim[[#This Row],[Objeto]],1),Tabela2[Palavras-Chave])</f>
        <v>#N/A</v>
      </c>
    </row>
    <row r="1659" spans="1:11" ht="100.8" hidden="1" x14ac:dyDescent="0.3">
      <c r="A1659" s="5">
        <v>18715356</v>
      </c>
      <c r="B1659" s="6" t="s">
        <v>74</v>
      </c>
      <c r="C1659" s="6" t="s">
        <v>130</v>
      </c>
      <c r="D1659" s="8" t="s">
        <v>68</v>
      </c>
      <c r="E1659" s="6" t="s">
        <v>2475</v>
      </c>
      <c r="F1659" s="6" t="s">
        <v>95</v>
      </c>
      <c r="G1659" s="11" t="s">
        <v>56</v>
      </c>
      <c r="H1659" s="10" t="s">
        <v>2476</v>
      </c>
      <c r="I1659" s="6" t="s">
        <v>2477</v>
      </c>
      <c r="J1659" s="12">
        <v>46121.439699074072</v>
      </c>
      <c r="K1659" s="6" t="e" cm="1">
        <f t="array" ref="K1659">LOOKUP(2^15,SEARCH(Tabela2[Palavras-Chave],Boletim[[#This Row],[Objeto]],1),Tabela2[Palavras-Chave])</f>
        <v>#N/A</v>
      </c>
    </row>
    <row r="1660" spans="1:11" ht="158.4" hidden="1" x14ac:dyDescent="0.3">
      <c r="A1660" s="5">
        <v>18097280</v>
      </c>
      <c r="B1660" s="6" t="s">
        <v>1079</v>
      </c>
      <c r="C1660" s="6" t="s">
        <v>130</v>
      </c>
      <c r="D1660" s="8" t="s">
        <v>68</v>
      </c>
      <c r="E1660" s="6" t="s">
        <v>2532</v>
      </c>
      <c r="F1660" s="6" t="s">
        <v>95</v>
      </c>
      <c r="G1660" s="11" t="s">
        <v>56</v>
      </c>
      <c r="H1660" s="10" t="s">
        <v>2533</v>
      </c>
      <c r="I1660" s="6" t="s">
        <v>2534</v>
      </c>
      <c r="J1660" s="12">
        <v>46121.54184027778</v>
      </c>
      <c r="K1660" s="6" t="e" cm="1">
        <f t="array" ref="K1660">LOOKUP(2^15,SEARCH(Tabela2[Palavras-Chave],Boletim[[#This Row],[Objeto]],1),Tabela2[Palavras-Chave])</f>
        <v>#N/A</v>
      </c>
    </row>
    <row r="1661" spans="1:11" ht="129.6" hidden="1" x14ac:dyDescent="0.3">
      <c r="A1661" s="5">
        <v>18790141</v>
      </c>
      <c r="B1661" s="6" t="s">
        <v>2535</v>
      </c>
      <c r="C1661" s="6" t="s">
        <v>2536</v>
      </c>
      <c r="D1661" s="8" t="s">
        <v>68</v>
      </c>
      <c r="E1661" s="6" t="s">
        <v>183</v>
      </c>
      <c r="F1661" s="6" t="s">
        <v>95</v>
      </c>
      <c r="G1661" s="11" t="s">
        <v>56</v>
      </c>
      <c r="H1661" s="10" t="s">
        <v>2537</v>
      </c>
      <c r="I1661" s="6" t="s">
        <v>2538</v>
      </c>
      <c r="J1661" s="12">
        <v>46121.542291666665</v>
      </c>
      <c r="K1661" s="6" t="e" cm="1">
        <f t="array" ref="K1661">LOOKUP(2^15,SEARCH(Tabela2[Palavras-Chave],Boletim[[#This Row],[Objeto]],1),Tabela2[Palavras-Chave])</f>
        <v>#N/A</v>
      </c>
    </row>
    <row r="1662" spans="1:11" ht="43.2" hidden="1" x14ac:dyDescent="0.3">
      <c r="A1662" s="5">
        <v>18797225</v>
      </c>
      <c r="B1662" s="6" t="s">
        <v>2539</v>
      </c>
      <c r="C1662" s="6" t="s">
        <v>2540</v>
      </c>
      <c r="D1662" s="8" t="s">
        <v>68</v>
      </c>
      <c r="E1662" s="6" t="s">
        <v>2541</v>
      </c>
      <c r="F1662" s="6" t="s">
        <v>95</v>
      </c>
      <c r="G1662" s="11">
        <v>46134.416666666664</v>
      </c>
      <c r="H1662" s="10" t="s">
        <v>2542</v>
      </c>
      <c r="I1662" s="6" t="s">
        <v>2543</v>
      </c>
      <c r="J1662" s="12">
        <v>46121.715636574074</v>
      </c>
      <c r="K1662" s="6" t="e" cm="1">
        <f t="array" ref="K1662">LOOKUP(2^15,SEARCH(Tabela2[Palavras-Chave],Boletim[[#This Row],[Objeto]],1),Tabela2[Palavras-Chave])</f>
        <v>#N/A</v>
      </c>
    </row>
    <row r="1663" spans="1:11" ht="115.2" hidden="1" x14ac:dyDescent="0.3">
      <c r="A1663" s="5">
        <v>18760083</v>
      </c>
      <c r="B1663" s="6" t="s">
        <v>2544</v>
      </c>
      <c r="C1663" s="6" t="s">
        <v>2545</v>
      </c>
      <c r="D1663" s="8" t="s">
        <v>68</v>
      </c>
      <c r="E1663" s="6" t="s">
        <v>390</v>
      </c>
      <c r="F1663" s="6" t="s">
        <v>95</v>
      </c>
      <c r="G1663" s="11">
        <v>46135.354166666664</v>
      </c>
      <c r="H1663" s="10" t="s">
        <v>2546</v>
      </c>
      <c r="I1663" s="6" t="s">
        <v>2547</v>
      </c>
      <c r="J1663" s="12">
        <v>46121.856990740744</v>
      </c>
      <c r="K1663" s="6" t="e" cm="1">
        <f t="array" ref="K1663">LOOKUP(2^15,SEARCH(Tabela2[Palavras-Chave],Boletim[[#This Row],[Objeto]],1),Tabela2[Palavras-Chave])</f>
        <v>#N/A</v>
      </c>
    </row>
    <row r="1664" spans="1:11" ht="100.8" hidden="1" x14ac:dyDescent="0.3">
      <c r="A1664" s="5">
        <v>18709918</v>
      </c>
      <c r="B1664" s="6" t="s">
        <v>74</v>
      </c>
      <c r="C1664" s="6" t="s">
        <v>100</v>
      </c>
      <c r="D1664" s="8" t="s">
        <v>92</v>
      </c>
      <c r="E1664" s="6" t="s">
        <v>2472</v>
      </c>
      <c r="F1664" s="6" t="s">
        <v>95</v>
      </c>
      <c r="G1664" s="11" t="s">
        <v>56</v>
      </c>
      <c r="H1664" s="10" t="s">
        <v>2473</v>
      </c>
      <c r="I1664" s="6" t="s">
        <v>2474</v>
      </c>
      <c r="J1664" s="12">
        <v>46121.439652777779</v>
      </c>
      <c r="K1664" s="6" t="e" cm="1">
        <f t="array" ref="K1664">LOOKUP(2^15,SEARCH(Tabela2[Palavras-Chave],Boletim[[#This Row],[Objeto]],1),Tabela2[Palavras-Chave])</f>
        <v>#N/A</v>
      </c>
    </row>
    <row r="1665" spans="1:11" ht="100.8" hidden="1" x14ac:dyDescent="0.3">
      <c r="A1665" s="5">
        <v>18715357</v>
      </c>
      <c r="B1665" s="6" t="s">
        <v>74</v>
      </c>
      <c r="C1665" s="6" t="s">
        <v>100</v>
      </c>
      <c r="D1665" s="8" t="s">
        <v>92</v>
      </c>
      <c r="E1665" s="6" t="s">
        <v>2475</v>
      </c>
      <c r="F1665" s="6" t="s">
        <v>95</v>
      </c>
      <c r="G1665" s="11" t="s">
        <v>56</v>
      </c>
      <c r="H1665" s="10" t="s">
        <v>2476</v>
      </c>
      <c r="I1665" s="6" t="s">
        <v>2477</v>
      </c>
      <c r="J1665" s="12">
        <v>46121.439699074072</v>
      </c>
      <c r="K1665" s="6" t="e" cm="1">
        <f t="array" ref="K1665">LOOKUP(2^15,SEARCH(Tabela2[Palavras-Chave],Boletim[[#This Row],[Objeto]],1),Tabela2[Palavras-Chave])</f>
        <v>#N/A</v>
      </c>
    </row>
    <row r="1666" spans="1:11" ht="115.2" hidden="1" x14ac:dyDescent="0.3">
      <c r="A1666" s="5">
        <v>18755214</v>
      </c>
      <c r="B1666" s="6" t="s">
        <v>2548</v>
      </c>
      <c r="C1666" s="6" t="s">
        <v>2549</v>
      </c>
      <c r="D1666" s="8" t="s">
        <v>92</v>
      </c>
      <c r="E1666" s="6" t="s">
        <v>122</v>
      </c>
      <c r="F1666" s="6" t="s">
        <v>95</v>
      </c>
      <c r="G1666" s="11">
        <v>46128.457638888889</v>
      </c>
      <c r="H1666" s="10" t="s">
        <v>2550</v>
      </c>
      <c r="I1666" s="6" t="s">
        <v>2551</v>
      </c>
      <c r="J1666" s="12">
        <v>46121.661157407405</v>
      </c>
      <c r="K1666" s="6" t="e" cm="1">
        <f t="array" ref="K1666">LOOKUP(2^15,SEARCH(Tabela2[Palavras-Chave],Boletim[[#This Row],[Objeto]],1),Tabela2[Palavras-Chave])</f>
        <v>#N/A</v>
      </c>
    </row>
    <row r="1667" spans="1:11" ht="100.8" hidden="1" x14ac:dyDescent="0.3">
      <c r="A1667" s="5">
        <v>18709919</v>
      </c>
      <c r="B1667" s="6" t="s">
        <v>74</v>
      </c>
      <c r="C1667" s="6" t="s">
        <v>69</v>
      </c>
      <c r="D1667" s="8" t="s">
        <v>70</v>
      </c>
      <c r="E1667" s="6" t="s">
        <v>2472</v>
      </c>
      <c r="F1667" s="6" t="s">
        <v>95</v>
      </c>
      <c r="G1667" s="11" t="s">
        <v>56</v>
      </c>
      <c r="H1667" s="10" t="s">
        <v>2473</v>
      </c>
      <c r="I1667" s="6" t="s">
        <v>2474</v>
      </c>
      <c r="J1667" s="12">
        <v>46121.439652777779</v>
      </c>
      <c r="K1667" s="6" t="e" cm="1">
        <f t="array" ref="K1667">LOOKUP(2^15,SEARCH(Tabela2[Palavras-Chave],Boletim[[#This Row],[Objeto]],1),Tabela2[Palavras-Chave])</f>
        <v>#N/A</v>
      </c>
    </row>
    <row r="1668" spans="1:11" ht="100.8" hidden="1" x14ac:dyDescent="0.3">
      <c r="A1668" s="5">
        <v>18715358</v>
      </c>
      <c r="B1668" s="6" t="s">
        <v>74</v>
      </c>
      <c r="C1668" s="6" t="s">
        <v>69</v>
      </c>
      <c r="D1668" s="8" t="s">
        <v>70</v>
      </c>
      <c r="E1668" s="6" t="s">
        <v>2475</v>
      </c>
      <c r="F1668" s="6" t="s">
        <v>95</v>
      </c>
      <c r="G1668" s="11" t="s">
        <v>56</v>
      </c>
      <c r="H1668" s="10" t="s">
        <v>2476</v>
      </c>
      <c r="I1668" s="6" t="s">
        <v>2477</v>
      </c>
      <c r="J1668" s="12">
        <v>46121.439699074072</v>
      </c>
      <c r="K1668" s="6" t="e" cm="1">
        <f t="array" ref="K1668">LOOKUP(2^15,SEARCH(Tabela2[Palavras-Chave],Boletim[[#This Row],[Objeto]],1),Tabela2[Palavras-Chave])</f>
        <v>#N/A</v>
      </c>
    </row>
    <row r="1669" spans="1:11" ht="72" x14ac:dyDescent="0.3">
      <c r="A1669" s="5">
        <v>18770020</v>
      </c>
      <c r="B1669" s="6" t="s">
        <v>74</v>
      </c>
      <c r="C1669" s="6" t="s">
        <v>69</v>
      </c>
      <c r="D1669" s="8" t="s">
        <v>70</v>
      </c>
      <c r="E1669" s="6" t="s">
        <v>2552</v>
      </c>
      <c r="F1669" s="6" t="s">
        <v>95</v>
      </c>
      <c r="G1669" s="11" t="s">
        <v>56</v>
      </c>
      <c r="H1669" s="10" t="s">
        <v>2553</v>
      </c>
      <c r="I1669" s="6" t="s">
        <v>2554</v>
      </c>
      <c r="J1669" s="12">
        <v>46121.440335648149</v>
      </c>
      <c r="K1669" s="6" t="str" cm="1">
        <f t="array" ref="K1669">LOOKUP(2^15,SEARCH(Tabela2[Palavras-Chave],Boletim[[#This Row],[Objeto]],1),Tabela2[Palavras-Chave])</f>
        <v>abraçadeira</v>
      </c>
    </row>
    <row r="1670" spans="1:11" ht="72" hidden="1" x14ac:dyDescent="0.3">
      <c r="A1670" s="5">
        <v>18790077</v>
      </c>
      <c r="B1670" s="6" t="s">
        <v>74</v>
      </c>
      <c r="C1670" s="6" t="s">
        <v>69</v>
      </c>
      <c r="D1670" s="8" t="s">
        <v>70</v>
      </c>
      <c r="E1670" s="6" t="s">
        <v>2492</v>
      </c>
      <c r="F1670" s="6" t="s">
        <v>95</v>
      </c>
      <c r="G1670" s="11" t="s">
        <v>56</v>
      </c>
      <c r="H1670" s="10" t="s">
        <v>2493</v>
      </c>
      <c r="I1670" s="6" t="s">
        <v>2494</v>
      </c>
      <c r="J1670" s="12">
        <v>46121.441030092596</v>
      </c>
      <c r="K1670" s="6" t="e" cm="1">
        <f t="array" ref="K1670">LOOKUP(2^15,SEARCH(Tabela2[Palavras-Chave],Boletim[[#This Row],[Objeto]],1),Tabela2[Palavras-Chave])</f>
        <v>#N/A</v>
      </c>
    </row>
    <row r="1671" spans="1:11" ht="100.8" hidden="1" x14ac:dyDescent="0.3">
      <c r="A1671" s="5">
        <v>18709920</v>
      </c>
      <c r="B1671" s="6" t="s">
        <v>74</v>
      </c>
      <c r="C1671" s="6" t="s">
        <v>133</v>
      </c>
      <c r="D1671" s="8" t="s">
        <v>71</v>
      </c>
      <c r="E1671" s="6" t="s">
        <v>2472</v>
      </c>
      <c r="F1671" s="6" t="s">
        <v>95</v>
      </c>
      <c r="G1671" s="11" t="s">
        <v>56</v>
      </c>
      <c r="H1671" s="10" t="s">
        <v>2473</v>
      </c>
      <c r="I1671" s="6" t="s">
        <v>2474</v>
      </c>
      <c r="J1671" s="12">
        <v>46121.439652777779</v>
      </c>
      <c r="K1671" s="6" t="e" cm="1">
        <f t="array" ref="K1671">LOOKUP(2^15,SEARCH(Tabela2[Palavras-Chave],Boletim[[#This Row],[Objeto]],1),Tabela2[Palavras-Chave])</f>
        <v>#N/A</v>
      </c>
    </row>
    <row r="1672" spans="1:11" ht="100.8" hidden="1" x14ac:dyDescent="0.3">
      <c r="A1672" s="5">
        <v>18715359</v>
      </c>
      <c r="B1672" s="6" t="s">
        <v>74</v>
      </c>
      <c r="C1672" s="6" t="s">
        <v>133</v>
      </c>
      <c r="D1672" s="8" t="s">
        <v>71</v>
      </c>
      <c r="E1672" s="6" t="s">
        <v>2475</v>
      </c>
      <c r="F1672" s="6" t="s">
        <v>95</v>
      </c>
      <c r="G1672" s="11" t="s">
        <v>56</v>
      </c>
      <c r="H1672" s="10" t="s">
        <v>2476</v>
      </c>
      <c r="I1672" s="6" t="s">
        <v>2477</v>
      </c>
      <c r="J1672" s="12">
        <v>46121.439699074072</v>
      </c>
      <c r="K1672" s="6" t="e" cm="1">
        <f t="array" ref="K1672">LOOKUP(2^15,SEARCH(Tabela2[Palavras-Chave],Boletim[[#This Row],[Objeto]],1),Tabela2[Palavras-Chave])</f>
        <v>#N/A</v>
      </c>
    </row>
    <row r="1673" spans="1:11" ht="57.6" hidden="1" x14ac:dyDescent="0.3">
      <c r="A1673" s="5">
        <v>18800925</v>
      </c>
      <c r="B1673" s="6" t="s">
        <v>2555</v>
      </c>
      <c r="C1673" s="6" t="s">
        <v>2556</v>
      </c>
      <c r="D1673" s="8" t="s">
        <v>71</v>
      </c>
      <c r="E1673" s="6" t="s">
        <v>149</v>
      </c>
      <c r="F1673" s="6" t="s">
        <v>95</v>
      </c>
      <c r="G1673" s="11">
        <v>46134.334027777775</v>
      </c>
      <c r="H1673" s="10" t="s">
        <v>2557</v>
      </c>
      <c r="I1673" s="6" t="s">
        <v>178</v>
      </c>
      <c r="J1673" s="12">
        <v>46121.514548611114</v>
      </c>
      <c r="K1673" s="6" t="e" cm="1">
        <f t="array" ref="K1673">LOOKUP(2^15,SEARCH(Tabela2[Palavras-Chave],Boletim[[#This Row],[Objeto]],1),Tabela2[Palavras-Chave])</f>
        <v>#N/A</v>
      </c>
    </row>
    <row r="1674" spans="1:11" ht="115.2" hidden="1" x14ac:dyDescent="0.3">
      <c r="A1674" s="5">
        <v>18807408</v>
      </c>
      <c r="B1674" s="6" t="s">
        <v>3393</v>
      </c>
      <c r="C1674" s="6" t="s">
        <v>133</v>
      </c>
      <c r="D1674" s="8" t="s">
        <v>71</v>
      </c>
      <c r="E1674" s="6" t="s">
        <v>3394</v>
      </c>
      <c r="F1674" s="6" t="s">
        <v>95</v>
      </c>
      <c r="G1674" s="11">
        <v>46139.458333333336</v>
      </c>
      <c r="H1674" s="10" t="s">
        <v>3395</v>
      </c>
      <c r="I1674" s="6" t="s">
        <v>3396</v>
      </c>
      <c r="J1674" s="12">
        <v>46121.616168981483</v>
      </c>
      <c r="K1674" s="6" t="e" cm="1">
        <f t="array" ref="K1674">LOOKUP(2^15,SEARCH(Tabela2[Palavras-Chave],Boletim[[#This Row],[Objeto]],1),Tabela2[Palavras-Chave])</f>
        <v>#N/A</v>
      </c>
    </row>
    <row r="1675" spans="1:11" ht="115.2" hidden="1" x14ac:dyDescent="0.3">
      <c r="A1675" s="5">
        <v>18807465</v>
      </c>
      <c r="B1675" s="6" t="s">
        <v>3393</v>
      </c>
      <c r="C1675" s="6" t="s">
        <v>133</v>
      </c>
      <c r="D1675" s="8" t="s">
        <v>71</v>
      </c>
      <c r="E1675" s="6" t="s">
        <v>3397</v>
      </c>
      <c r="F1675" s="6" t="s">
        <v>95</v>
      </c>
      <c r="G1675" s="11">
        <v>46139.375</v>
      </c>
      <c r="H1675" s="10" t="s">
        <v>3398</v>
      </c>
      <c r="I1675" s="6" t="s">
        <v>3399</v>
      </c>
      <c r="J1675" s="12">
        <v>46121.742395833331</v>
      </c>
      <c r="K1675" s="6" t="e" cm="1">
        <f t="array" ref="K1675">LOOKUP(2^15,SEARCH(Tabela2[Palavras-Chave],Boletim[[#This Row],[Objeto]],1),Tabela2[Palavras-Chave])</f>
        <v>#N/A</v>
      </c>
    </row>
    <row r="1676" spans="1:11" ht="100.8" hidden="1" x14ac:dyDescent="0.3">
      <c r="A1676" s="5">
        <v>18709922</v>
      </c>
      <c r="B1676" s="6" t="s">
        <v>74</v>
      </c>
      <c r="C1676" s="6" t="s">
        <v>73</v>
      </c>
      <c r="D1676" s="8" t="s">
        <v>72</v>
      </c>
      <c r="E1676" s="6" t="s">
        <v>2472</v>
      </c>
      <c r="F1676" s="6" t="s">
        <v>95</v>
      </c>
      <c r="G1676" s="11" t="s">
        <v>56</v>
      </c>
      <c r="H1676" s="10" t="s">
        <v>2473</v>
      </c>
      <c r="I1676" s="6" t="s">
        <v>2474</v>
      </c>
      <c r="J1676" s="12">
        <v>46121.439652777779</v>
      </c>
      <c r="K1676" s="6" t="e" cm="1">
        <f t="array" ref="K1676">LOOKUP(2^15,SEARCH(Tabela2[Palavras-Chave],Boletim[[#This Row],[Objeto]],1),Tabela2[Palavras-Chave])</f>
        <v>#N/A</v>
      </c>
    </row>
    <row r="1677" spans="1:11" ht="100.8" hidden="1" x14ac:dyDescent="0.3">
      <c r="A1677" s="5">
        <v>18715360</v>
      </c>
      <c r="B1677" s="6" t="s">
        <v>74</v>
      </c>
      <c r="C1677" s="6" t="s">
        <v>73</v>
      </c>
      <c r="D1677" s="8" t="s">
        <v>72</v>
      </c>
      <c r="E1677" s="6" t="s">
        <v>2475</v>
      </c>
      <c r="F1677" s="6" t="s">
        <v>95</v>
      </c>
      <c r="G1677" s="11" t="s">
        <v>56</v>
      </c>
      <c r="H1677" s="10" t="s">
        <v>2476</v>
      </c>
      <c r="I1677" s="6" t="s">
        <v>2477</v>
      </c>
      <c r="J1677" s="12">
        <v>46121.439710648148</v>
      </c>
      <c r="K1677" s="6" t="e" cm="1">
        <f t="array" ref="K1677">LOOKUP(2^15,SEARCH(Tabela2[Palavras-Chave],Boletim[[#This Row],[Objeto]],1),Tabela2[Palavras-Chave])</f>
        <v>#N/A</v>
      </c>
    </row>
    <row r="1678" spans="1:11" ht="72" hidden="1" x14ac:dyDescent="0.3">
      <c r="A1678" s="5">
        <v>18775078</v>
      </c>
      <c r="B1678" s="6" t="s">
        <v>74</v>
      </c>
      <c r="C1678" s="6" t="s">
        <v>73</v>
      </c>
      <c r="D1678" s="8" t="s">
        <v>72</v>
      </c>
      <c r="E1678" s="6" t="s">
        <v>2558</v>
      </c>
      <c r="F1678" s="6" t="s">
        <v>95</v>
      </c>
      <c r="G1678" s="11" t="s">
        <v>56</v>
      </c>
      <c r="H1678" s="10" t="s">
        <v>2559</v>
      </c>
      <c r="I1678" s="6" t="s">
        <v>2560</v>
      </c>
      <c r="J1678" s="12">
        <v>46121.440347222226</v>
      </c>
      <c r="K1678" s="6" t="e" cm="1">
        <f t="array" ref="K1678">LOOKUP(2^15,SEARCH(Tabela2[Palavras-Chave],Boletim[[#This Row],[Objeto]],1),Tabela2[Palavras-Chave])</f>
        <v>#N/A</v>
      </c>
    </row>
    <row r="1679" spans="1:11" ht="72" hidden="1" x14ac:dyDescent="0.3">
      <c r="A1679" s="5">
        <v>18790078</v>
      </c>
      <c r="B1679" s="6" t="s">
        <v>74</v>
      </c>
      <c r="C1679" s="6" t="s">
        <v>73</v>
      </c>
      <c r="D1679" s="8" t="s">
        <v>72</v>
      </c>
      <c r="E1679" s="6" t="s">
        <v>2492</v>
      </c>
      <c r="F1679" s="6" t="s">
        <v>95</v>
      </c>
      <c r="G1679" s="11" t="s">
        <v>56</v>
      </c>
      <c r="H1679" s="10" t="s">
        <v>2493</v>
      </c>
      <c r="I1679" s="6" t="s">
        <v>2494</v>
      </c>
      <c r="J1679" s="12">
        <v>46121.441030092596</v>
      </c>
      <c r="K1679" s="6" t="e" cm="1">
        <f t="array" ref="K1679">LOOKUP(2^15,SEARCH(Tabela2[Palavras-Chave],Boletim[[#This Row],[Objeto]],1),Tabela2[Palavras-Chave])</f>
        <v>#N/A</v>
      </c>
    </row>
    <row r="1680" spans="1:11" ht="72" hidden="1" x14ac:dyDescent="0.3">
      <c r="A1680" s="5">
        <v>18729386</v>
      </c>
      <c r="B1680" s="6" t="s">
        <v>3400</v>
      </c>
      <c r="C1680" s="6" t="s">
        <v>3401</v>
      </c>
      <c r="D1680" s="8" t="s">
        <v>72</v>
      </c>
      <c r="E1680" s="6" t="s">
        <v>135</v>
      </c>
      <c r="F1680" s="6" t="s">
        <v>95</v>
      </c>
      <c r="G1680" s="11">
        <v>46136.416666666664</v>
      </c>
      <c r="H1680" s="10" t="s">
        <v>3402</v>
      </c>
      <c r="I1680" s="6" t="s">
        <v>178</v>
      </c>
      <c r="J1680" s="12">
        <v>46121.514305555553</v>
      </c>
      <c r="K1680" s="6" t="e" cm="1">
        <f t="array" ref="K1680">LOOKUP(2^15,SEARCH(Tabela2[Palavras-Chave],Boletim[[#This Row],[Objeto]],1),Tabela2[Palavras-Chave])</f>
        <v>#N/A</v>
      </c>
    </row>
    <row r="1681" spans="1:11" ht="129.6" hidden="1" x14ac:dyDescent="0.3">
      <c r="A1681" s="5">
        <v>18730686</v>
      </c>
      <c r="B1681" s="6" t="s">
        <v>2561</v>
      </c>
      <c r="C1681" s="6" t="s">
        <v>2562</v>
      </c>
      <c r="D1681" s="8" t="s">
        <v>72</v>
      </c>
      <c r="E1681" s="6" t="s">
        <v>296</v>
      </c>
      <c r="F1681" s="6" t="s">
        <v>95</v>
      </c>
      <c r="G1681" s="11" t="s">
        <v>56</v>
      </c>
      <c r="H1681" s="10" t="s">
        <v>2563</v>
      </c>
      <c r="I1681" s="6" t="s">
        <v>2564</v>
      </c>
      <c r="J1681" s="12">
        <v>46121.538969907408</v>
      </c>
      <c r="K1681" s="6" t="e" cm="1">
        <f t="array" ref="K1681">LOOKUP(2^15,SEARCH(Tabela2[Palavras-Chave],Boletim[[#This Row],[Objeto]],1),Tabela2[Palavras-Chave])</f>
        <v>#N/A</v>
      </c>
    </row>
    <row r="1682" spans="1:11" ht="273.60000000000002" hidden="1" x14ac:dyDescent="0.3">
      <c r="A1682" s="5">
        <v>18806889</v>
      </c>
      <c r="B1682" s="6" t="s">
        <v>2565</v>
      </c>
      <c r="C1682" s="6" t="s">
        <v>2566</v>
      </c>
      <c r="D1682" s="8" t="s">
        <v>72</v>
      </c>
      <c r="E1682" s="6" t="s">
        <v>121</v>
      </c>
      <c r="F1682" s="6" t="s">
        <v>95</v>
      </c>
      <c r="G1682" s="11" t="s">
        <v>56</v>
      </c>
      <c r="H1682" s="10" t="s">
        <v>2567</v>
      </c>
      <c r="I1682" s="6" t="s">
        <v>2568</v>
      </c>
      <c r="J1682" s="12">
        <v>46121.664756944447</v>
      </c>
      <c r="K1682" s="6" t="e" cm="1">
        <f t="array" ref="K1682">LOOKUP(2^15,SEARCH(Tabela2[Palavras-Chave],Boletim[[#This Row],[Objeto]],1),Tabela2[Palavras-Chave])</f>
        <v>#N/A</v>
      </c>
    </row>
    <row r="1683" spans="1:11" ht="273.60000000000002" hidden="1" x14ac:dyDescent="0.3">
      <c r="A1683" s="5">
        <v>18719826</v>
      </c>
      <c r="B1683" s="6" t="s">
        <v>2569</v>
      </c>
      <c r="C1683" s="6" t="s">
        <v>2570</v>
      </c>
      <c r="D1683" s="8" t="s">
        <v>72</v>
      </c>
      <c r="E1683" s="6" t="s">
        <v>441</v>
      </c>
      <c r="F1683" s="6" t="s">
        <v>95</v>
      </c>
      <c r="G1683" s="11" t="s">
        <v>56</v>
      </c>
      <c r="H1683" s="10" t="s">
        <v>2571</v>
      </c>
      <c r="I1683" s="6" t="s">
        <v>2572</v>
      </c>
      <c r="J1683" s="12">
        <v>46121.856377314813</v>
      </c>
      <c r="K1683" s="6" t="e" cm="1">
        <f t="array" ref="K1683">LOOKUP(2^15,SEARCH(Tabela2[Palavras-Chave],Boletim[[#This Row],[Objeto]],1),Tabela2[Palavras-Chave])</f>
        <v>#N/A</v>
      </c>
    </row>
    <row r="1684" spans="1:11" ht="43.2" hidden="1" x14ac:dyDescent="0.3">
      <c r="A1684" s="5">
        <v>18730502</v>
      </c>
      <c r="B1684" s="6" t="s">
        <v>74</v>
      </c>
      <c r="C1684" s="6" t="s">
        <v>75</v>
      </c>
      <c r="D1684" s="8" t="s">
        <v>76</v>
      </c>
      <c r="E1684" s="6" t="s">
        <v>2573</v>
      </c>
      <c r="F1684" s="6" t="s">
        <v>95</v>
      </c>
      <c r="G1684" s="11" t="s">
        <v>56</v>
      </c>
      <c r="H1684" s="10" t="s">
        <v>2574</v>
      </c>
      <c r="I1684" s="6" t="s">
        <v>2575</v>
      </c>
      <c r="J1684" s="12">
        <v>46121.437557870369</v>
      </c>
      <c r="K1684" s="6" t="e" cm="1">
        <f t="array" ref="K1684">LOOKUP(2^15,SEARCH(Tabela2[Palavras-Chave],Boletim[[#This Row],[Objeto]],1),Tabela2[Palavras-Chave])</f>
        <v>#N/A</v>
      </c>
    </row>
    <row r="1685" spans="1:11" ht="72" hidden="1" x14ac:dyDescent="0.3">
      <c r="A1685" s="5">
        <v>18520559</v>
      </c>
      <c r="B1685" s="6" t="s">
        <v>74</v>
      </c>
      <c r="C1685" s="6" t="s">
        <v>75</v>
      </c>
      <c r="D1685" s="8" t="s">
        <v>76</v>
      </c>
      <c r="E1685" s="6" t="s">
        <v>2576</v>
      </c>
      <c r="F1685" s="6" t="s">
        <v>95</v>
      </c>
      <c r="G1685" s="11" t="s">
        <v>56</v>
      </c>
      <c r="H1685" s="10" t="s">
        <v>2577</v>
      </c>
      <c r="I1685" s="6" t="s">
        <v>2578</v>
      </c>
      <c r="J1685" s="12">
        <v>46121.436736111114</v>
      </c>
      <c r="K1685" s="6" t="e" cm="1">
        <f t="array" ref="K1685">LOOKUP(2^15,SEARCH(Tabela2[Palavras-Chave],Boletim[[#This Row],[Objeto]],1),Tabela2[Palavras-Chave])</f>
        <v>#N/A</v>
      </c>
    </row>
    <row r="1686" spans="1:11" ht="100.8" hidden="1" x14ac:dyDescent="0.3">
      <c r="A1686" s="5">
        <v>18709901</v>
      </c>
      <c r="B1686" s="6" t="s">
        <v>74</v>
      </c>
      <c r="C1686" s="6" t="s">
        <v>75</v>
      </c>
      <c r="D1686" s="8" t="s">
        <v>76</v>
      </c>
      <c r="E1686" s="6" t="s">
        <v>2472</v>
      </c>
      <c r="F1686" s="6" t="s">
        <v>95</v>
      </c>
      <c r="G1686" s="11" t="s">
        <v>56</v>
      </c>
      <c r="H1686" s="10" t="s">
        <v>2473</v>
      </c>
      <c r="I1686" s="6" t="s">
        <v>2474</v>
      </c>
      <c r="J1686" s="12">
        <v>46121.4375462963</v>
      </c>
      <c r="K1686" s="6" t="e" cm="1">
        <f t="array" ref="K1686">LOOKUP(2^15,SEARCH(Tabela2[Palavras-Chave],Boletim[[#This Row],[Objeto]],1),Tabela2[Palavras-Chave])</f>
        <v>#N/A</v>
      </c>
    </row>
    <row r="1687" spans="1:11" ht="100.8" hidden="1" x14ac:dyDescent="0.3">
      <c r="A1687" s="5">
        <v>18715342</v>
      </c>
      <c r="B1687" s="6" t="s">
        <v>74</v>
      </c>
      <c r="C1687" s="6" t="s">
        <v>75</v>
      </c>
      <c r="D1687" s="8" t="s">
        <v>76</v>
      </c>
      <c r="E1687" s="6" t="s">
        <v>2475</v>
      </c>
      <c r="F1687" s="6" t="s">
        <v>95</v>
      </c>
      <c r="G1687" s="11" t="s">
        <v>56</v>
      </c>
      <c r="H1687" s="10" t="s">
        <v>2476</v>
      </c>
      <c r="I1687" s="6" t="s">
        <v>2477</v>
      </c>
      <c r="J1687" s="12">
        <v>46121.437557870369</v>
      </c>
      <c r="K1687" s="6" t="e" cm="1">
        <f t="array" ref="K1687">LOOKUP(2^15,SEARCH(Tabela2[Palavras-Chave],Boletim[[#This Row],[Objeto]],1),Tabela2[Palavras-Chave])</f>
        <v>#N/A</v>
      </c>
    </row>
    <row r="1688" spans="1:11" ht="72" x14ac:dyDescent="0.3">
      <c r="A1688" s="5">
        <v>18770019</v>
      </c>
      <c r="B1688" s="6" t="s">
        <v>74</v>
      </c>
      <c r="C1688" s="6" t="s">
        <v>75</v>
      </c>
      <c r="D1688" s="8" t="s">
        <v>76</v>
      </c>
      <c r="E1688" s="6" t="s">
        <v>2552</v>
      </c>
      <c r="F1688" s="6" t="s">
        <v>95</v>
      </c>
      <c r="G1688" s="11" t="s">
        <v>56</v>
      </c>
      <c r="H1688" s="10" t="s">
        <v>2553</v>
      </c>
      <c r="I1688" s="6" t="s">
        <v>2554</v>
      </c>
      <c r="J1688" s="12">
        <v>46121.437789351854</v>
      </c>
      <c r="K1688" s="6" t="str" cm="1">
        <f t="array" ref="K1688">LOOKUP(2^15,SEARCH(Tabela2[Palavras-Chave],Boletim[[#This Row],[Objeto]],1),Tabela2[Palavras-Chave])</f>
        <v>abraçadeira</v>
      </c>
    </row>
    <row r="1689" spans="1:11" ht="72" hidden="1" x14ac:dyDescent="0.3">
      <c r="A1689" s="5">
        <v>18775077</v>
      </c>
      <c r="B1689" s="6" t="s">
        <v>74</v>
      </c>
      <c r="C1689" s="6" t="s">
        <v>75</v>
      </c>
      <c r="D1689" s="8" t="s">
        <v>76</v>
      </c>
      <c r="E1689" s="6" t="s">
        <v>2558</v>
      </c>
      <c r="F1689" s="6" t="s">
        <v>95</v>
      </c>
      <c r="G1689" s="11" t="s">
        <v>56</v>
      </c>
      <c r="H1689" s="10" t="s">
        <v>2559</v>
      </c>
      <c r="I1689" s="6" t="s">
        <v>2560</v>
      </c>
      <c r="J1689" s="12">
        <v>46121.437893518516</v>
      </c>
      <c r="K1689" s="6" t="e" cm="1">
        <f t="array" ref="K1689">LOOKUP(2^15,SEARCH(Tabela2[Palavras-Chave],Boletim[[#This Row],[Objeto]],1),Tabela2[Palavras-Chave])</f>
        <v>#N/A</v>
      </c>
    </row>
    <row r="1690" spans="1:11" ht="72" hidden="1" x14ac:dyDescent="0.3">
      <c r="A1690" s="5">
        <v>18770023</v>
      </c>
      <c r="B1690" s="6" t="s">
        <v>74</v>
      </c>
      <c r="C1690" s="6" t="s">
        <v>75</v>
      </c>
      <c r="D1690" s="8" t="s">
        <v>76</v>
      </c>
      <c r="E1690" s="6" t="s">
        <v>2579</v>
      </c>
      <c r="F1690" s="6" t="s">
        <v>95</v>
      </c>
      <c r="G1690" s="11" t="s">
        <v>56</v>
      </c>
      <c r="H1690" s="10" t="s">
        <v>2580</v>
      </c>
      <c r="I1690" s="6" t="s">
        <v>2581</v>
      </c>
      <c r="J1690" s="12">
        <v>46121.438935185186</v>
      </c>
      <c r="K1690" s="6" t="e" cm="1">
        <f t="array" ref="K1690">LOOKUP(2^15,SEARCH(Tabela2[Palavras-Chave],Boletim[[#This Row],[Objeto]],1),Tabela2[Palavras-Chave])</f>
        <v>#N/A</v>
      </c>
    </row>
    <row r="1691" spans="1:11" ht="72" hidden="1" x14ac:dyDescent="0.3">
      <c r="A1691" s="5">
        <v>18790075</v>
      </c>
      <c r="B1691" s="6" t="s">
        <v>74</v>
      </c>
      <c r="C1691" s="6" t="s">
        <v>75</v>
      </c>
      <c r="D1691" s="8" t="s">
        <v>76</v>
      </c>
      <c r="E1691" s="6" t="s">
        <v>2492</v>
      </c>
      <c r="F1691" s="6" t="s">
        <v>95</v>
      </c>
      <c r="G1691" s="11" t="s">
        <v>56</v>
      </c>
      <c r="H1691" s="10" t="s">
        <v>2493</v>
      </c>
      <c r="I1691" s="6" t="s">
        <v>2494</v>
      </c>
      <c r="J1691" s="12">
        <v>46121.438923611109</v>
      </c>
      <c r="K1691" s="6" t="e" cm="1">
        <f t="array" ref="K1691">LOOKUP(2^15,SEARCH(Tabela2[Palavras-Chave],Boletim[[#This Row],[Objeto]],1),Tabela2[Palavras-Chave])</f>
        <v>#N/A</v>
      </c>
    </row>
    <row r="1692" spans="1:11" ht="129.6" hidden="1" x14ac:dyDescent="0.3">
      <c r="A1692" s="5">
        <v>18456475</v>
      </c>
      <c r="B1692" s="6" t="s">
        <v>2582</v>
      </c>
      <c r="C1692" s="6" t="s">
        <v>75</v>
      </c>
      <c r="D1692" s="8" t="s">
        <v>76</v>
      </c>
      <c r="E1692" s="6" t="s">
        <v>2583</v>
      </c>
      <c r="F1692" s="6" t="s">
        <v>95</v>
      </c>
      <c r="G1692" s="11" t="s">
        <v>56</v>
      </c>
      <c r="H1692" s="10" t="s">
        <v>2584</v>
      </c>
      <c r="I1692" s="6" t="s">
        <v>2585</v>
      </c>
      <c r="J1692" s="12">
        <v>46121.618125000001</v>
      </c>
      <c r="K1692" s="6" t="e" cm="1">
        <f t="array" ref="K1692">LOOKUP(2^15,SEARCH(Tabela2[Palavras-Chave],Boletim[[#This Row],[Objeto]],1),Tabela2[Palavras-Chave])</f>
        <v>#N/A</v>
      </c>
    </row>
    <row r="1693" spans="1:11" ht="43.2" hidden="1" x14ac:dyDescent="0.3">
      <c r="A1693" s="5">
        <v>18796318</v>
      </c>
      <c r="B1693" s="6" t="s">
        <v>74</v>
      </c>
      <c r="C1693" s="6" t="s">
        <v>75</v>
      </c>
      <c r="D1693" s="8" t="s">
        <v>76</v>
      </c>
      <c r="E1693" s="6" t="s">
        <v>2586</v>
      </c>
      <c r="F1693" s="6" t="s">
        <v>95</v>
      </c>
      <c r="G1693" s="11" t="s">
        <v>56</v>
      </c>
      <c r="H1693" s="10" t="s">
        <v>2587</v>
      </c>
      <c r="I1693" s="6" t="s">
        <v>2588</v>
      </c>
      <c r="J1693" s="12">
        <v>46121.684525462966</v>
      </c>
      <c r="K1693" s="6" t="e" cm="1">
        <f t="array" ref="K1693">LOOKUP(2^15,SEARCH(Tabela2[Palavras-Chave],Boletim[[#This Row],[Objeto]],1),Tabela2[Palavras-Chave])</f>
        <v>#N/A</v>
      </c>
    </row>
    <row r="1694" spans="1:11" ht="100.8" hidden="1" x14ac:dyDescent="0.3">
      <c r="A1694" s="5">
        <v>18679362</v>
      </c>
      <c r="B1694" s="6" t="s">
        <v>2589</v>
      </c>
      <c r="C1694" s="6" t="s">
        <v>2590</v>
      </c>
      <c r="D1694" s="8" t="s">
        <v>76</v>
      </c>
      <c r="E1694" s="6" t="s">
        <v>135</v>
      </c>
      <c r="F1694" s="6" t="s">
        <v>95</v>
      </c>
      <c r="G1694" s="11" t="s">
        <v>56</v>
      </c>
      <c r="H1694" s="10" t="s">
        <v>2591</v>
      </c>
      <c r="I1694" s="6" t="s">
        <v>2592</v>
      </c>
      <c r="J1694" s="12">
        <v>46121.727048611108</v>
      </c>
      <c r="K1694" s="6" t="e" cm="1">
        <f t="array" ref="K1694">LOOKUP(2^15,SEARCH(Tabela2[Palavras-Chave],Boletim[[#This Row],[Objeto]],1),Tabela2[Palavras-Chave])</f>
        <v>#N/A</v>
      </c>
    </row>
    <row r="1695" spans="1:11" ht="100.8" hidden="1" x14ac:dyDescent="0.3">
      <c r="A1695" s="5">
        <v>18709923</v>
      </c>
      <c r="B1695" s="6" t="s">
        <v>74</v>
      </c>
      <c r="C1695" s="6" t="s">
        <v>102</v>
      </c>
      <c r="D1695" s="8" t="s">
        <v>77</v>
      </c>
      <c r="E1695" s="6" t="s">
        <v>2472</v>
      </c>
      <c r="F1695" s="6" t="s">
        <v>95</v>
      </c>
      <c r="G1695" s="11" t="s">
        <v>56</v>
      </c>
      <c r="H1695" s="10" t="s">
        <v>2473</v>
      </c>
      <c r="I1695" s="6" t="s">
        <v>2474</v>
      </c>
      <c r="J1695" s="12">
        <v>46121.439652777779</v>
      </c>
      <c r="K1695" s="6" t="e" cm="1">
        <f t="array" ref="K1695">LOOKUP(2^15,SEARCH(Tabela2[Palavras-Chave],Boletim[[#This Row],[Objeto]],1),Tabela2[Palavras-Chave])</f>
        <v>#N/A</v>
      </c>
    </row>
    <row r="1696" spans="1:11" ht="100.8" hidden="1" x14ac:dyDescent="0.3">
      <c r="A1696" s="5">
        <v>18715361</v>
      </c>
      <c r="B1696" s="6" t="s">
        <v>74</v>
      </c>
      <c r="C1696" s="6" t="s">
        <v>102</v>
      </c>
      <c r="D1696" s="8" t="s">
        <v>77</v>
      </c>
      <c r="E1696" s="6" t="s">
        <v>2475</v>
      </c>
      <c r="F1696" s="6" t="s">
        <v>95</v>
      </c>
      <c r="G1696" s="11" t="s">
        <v>56</v>
      </c>
      <c r="H1696" s="10" t="s">
        <v>2476</v>
      </c>
      <c r="I1696" s="6" t="s">
        <v>2477</v>
      </c>
      <c r="J1696" s="12">
        <v>46121.439710648148</v>
      </c>
      <c r="K1696" s="6" t="e" cm="1">
        <f t="array" ref="K1696">LOOKUP(2^15,SEARCH(Tabela2[Palavras-Chave],Boletim[[#This Row],[Objeto]],1),Tabela2[Palavras-Chave])</f>
        <v>#N/A</v>
      </c>
    </row>
    <row r="1697" spans="1:11" ht="100.8" hidden="1" x14ac:dyDescent="0.3">
      <c r="A1697" s="5">
        <v>18709924</v>
      </c>
      <c r="B1697" s="6" t="s">
        <v>74</v>
      </c>
      <c r="C1697" s="6" t="s">
        <v>136</v>
      </c>
      <c r="D1697" s="8" t="s">
        <v>78</v>
      </c>
      <c r="E1697" s="6" t="s">
        <v>2472</v>
      </c>
      <c r="F1697" s="6" t="s">
        <v>95</v>
      </c>
      <c r="G1697" s="11" t="s">
        <v>56</v>
      </c>
      <c r="H1697" s="10" t="s">
        <v>2473</v>
      </c>
      <c r="I1697" s="6" t="s">
        <v>2474</v>
      </c>
      <c r="J1697" s="12">
        <v>46121.439664351848</v>
      </c>
      <c r="K1697" s="6" t="e" cm="1">
        <f t="array" ref="K1697">LOOKUP(2^15,SEARCH(Tabela2[Palavras-Chave],Boletim[[#This Row],[Objeto]],1),Tabela2[Palavras-Chave])</f>
        <v>#N/A</v>
      </c>
    </row>
    <row r="1698" spans="1:11" ht="100.8" hidden="1" x14ac:dyDescent="0.3">
      <c r="A1698" s="5">
        <v>18715362</v>
      </c>
      <c r="B1698" s="6" t="s">
        <v>74</v>
      </c>
      <c r="C1698" s="6" t="s">
        <v>136</v>
      </c>
      <c r="D1698" s="8" t="s">
        <v>78</v>
      </c>
      <c r="E1698" s="6" t="s">
        <v>2475</v>
      </c>
      <c r="F1698" s="6" t="s">
        <v>95</v>
      </c>
      <c r="G1698" s="11" t="s">
        <v>56</v>
      </c>
      <c r="H1698" s="10" t="s">
        <v>2476</v>
      </c>
      <c r="I1698" s="6" t="s">
        <v>2477</v>
      </c>
      <c r="J1698" s="12">
        <v>46121.439710648148</v>
      </c>
      <c r="K1698" s="6" t="e" cm="1">
        <f t="array" ref="K1698">LOOKUP(2^15,SEARCH(Tabela2[Palavras-Chave],Boletim[[#This Row],[Objeto]],1),Tabela2[Palavras-Chave])</f>
        <v>#N/A</v>
      </c>
    </row>
    <row r="1699" spans="1:11" ht="100.8" hidden="1" x14ac:dyDescent="0.3">
      <c r="A1699" s="5">
        <v>18709925</v>
      </c>
      <c r="B1699" s="6" t="s">
        <v>74</v>
      </c>
      <c r="C1699" s="6" t="s">
        <v>2046</v>
      </c>
      <c r="D1699" s="8" t="s">
        <v>256</v>
      </c>
      <c r="E1699" s="6" t="s">
        <v>2472</v>
      </c>
      <c r="F1699" s="6" t="s">
        <v>95</v>
      </c>
      <c r="G1699" s="11" t="s">
        <v>56</v>
      </c>
      <c r="H1699" s="10" t="s">
        <v>2473</v>
      </c>
      <c r="I1699" s="6" t="s">
        <v>2474</v>
      </c>
      <c r="J1699" s="12">
        <v>46121.439664351848</v>
      </c>
      <c r="K1699" s="6" t="e" cm="1">
        <f t="array" ref="K1699">LOOKUP(2^15,SEARCH(Tabela2[Palavras-Chave],Boletim[[#This Row],[Objeto]],1),Tabela2[Palavras-Chave])</f>
        <v>#N/A</v>
      </c>
    </row>
    <row r="1700" spans="1:11" ht="100.8" hidden="1" x14ac:dyDescent="0.3">
      <c r="A1700" s="5">
        <v>18715363</v>
      </c>
      <c r="B1700" s="6" t="s">
        <v>74</v>
      </c>
      <c r="C1700" s="6" t="s">
        <v>2046</v>
      </c>
      <c r="D1700" s="8" t="s">
        <v>256</v>
      </c>
      <c r="E1700" s="6" t="s">
        <v>2475</v>
      </c>
      <c r="F1700" s="6" t="s">
        <v>95</v>
      </c>
      <c r="G1700" s="11" t="s">
        <v>56</v>
      </c>
      <c r="H1700" s="10" t="s">
        <v>2476</v>
      </c>
      <c r="I1700" s="6" t="s">
        <v>2477</v>
      </c>
      <c r="J1700" s="12">
        <v>46121.439710648148</v>
      </c>
      <c r="K1700" s="6" t="e" cm="1">
        <f t="array" ref="K1700">LOOKUP(2^15,SEARCH(Tabela2[Palavras-Chave],Boletim[[#This Row],[Objeto]],1),Tabela2[Palavras-Chave])</f>
        <v>#N/A</v>
      </c>
    </row>
    <row r="1701" spans="1:11" ht="100.8" hidden="1" x14ac:dyDescent="0.3">
      <c r="A1701" s="5">
        <v>18709926</v>
      </c>
      <c r="B1701" s="6" t="s">
        <v>74</v>
      </c>
      <c r="C1701" s="6" t="s">
        <v>79</v>
      </c>
      <c r="D1701" s="8" t="s">
        <v>80</v>
      </c>
      <c r="E1701" s="6" t="s">
        <v>2472</v>
      </c>
      <c r="F1701" s="6" t="s">
        <v>95</v>
      </c>
      <c r="G1701" s="11" t="s">
        <v>56</v>
      </c>
      <c r="H1701" s="10" t="s">
        <v>2473</v>
      </c>
      <c r="I1701" s="6" t="s">
        <v>2474</v>
      </c>
      <c r="J1701" s="12">
        <v>46121.439664351848</v>
      </c>
      <c r="K1701" s="6" t="e" cm="1">
        <f t="array" ref="K1701">LOOKUP(2^15,SEARCH(Tabela2[Palavras-Chave],Boletim[[#This Row],[Objeto]],1),Tabela2[Palavras-Chave])</f>
        <v>#N/A</v>
      </c>
    </row>
    <row r="1702" spans="1:11" ht="100.8" hidden="1" x14ac:dyDescent="0.3">
      <c r="A1702" s="5">
        <v>18715364</v>
      </c>
      <c r="B1702" s="6" t="s">
        <v>74</v>
      </c>
      <c r="C1702" s="6" t="s">
        <v>79</v>
      </c>
      <c r="D1702" s="8" t="s">
        <v>80</v>
      </c>
      <c r="E1702" s="6" t="s">
        <v>2475</v>
      </c>
      <c r="F1702" s="6" t="s">
        <v>95</v>
      </c>
      <c r="G1702" s="11" t="s">
        <v>56</v>
      </c>
      <c r="H1702" s="10" t="s">
        <v>2476</v>
      </c>
      <c r="I1702" s="6" t="s">
        <v>2477</v>
      </c>
      <c r="J1702" s="12">
        <v>46121.439722222225</v>
      </c>
      <c r="K1702" s="6" t="e" cm="1">
        <f t="array" ref="K1702">LOOKUP(2^15,SEARCH(Tabela2[Palavras-Chave],Boletim[[#This Row],[Objeto]],1),Tabela2[Palavras-Chave])</f>
        <v>#N/A</v>
      </c>
    </row>
    <row r="1703" spans="1:11" ht="273.60000000000002" hidden="1" x14ac:dyDescent="0.3">
      <c r="A1703" s="5">
        <v>18768050</v>
      </c>
      <c r="B1703" s="6" t="s">
        <v>2593</v>
      </c>
      <c r="C1703" s="6" t="s">
        <v>2594</v>
      </c>
      <c r="D1703" s="8" t="s">
        <v>80</v>
      </c>
      <c r="E1703" s="6" t="s">
        <v>171</v>
      </c>
      <c r="F1703" s="6" t="s">
        <v>95</v>
      </c>
      <c r="G1703" s="11" t="s">
        <v>56</v>
      </c>
      <c r="H1703" s="10" t="s">
        <v>2595</v>
      </c>
      <c r="I1703" s="6" t="s">
        <v>2596</v>
      </c>
      <c r="J1703" s="12">
        <v>46121.518101851849</v>
      </c>
      <c r="K1703" s="6" t="e" cm="1">
        <f t="array" ref="K1703">LOOKUP(2^15,SEARCH(Tabela2[Palavras-Chave],Boletim[[#This Row],[Objeto]],1),Tabela2[Palavras-Chave])</f>
        <v>#N/A</v>
      </c>
    </row>
    <row r="1704" spans="1:11" ht="129.6" hidden="1" x14ac:dyDescent="0.3">
      <c r="A1704" s="5">
        <v>18710608</v>
      </c>
      <c r="B1704" s="6" t="s">
        <v>2597</v>
      </c>
      <c r="C1704" s="6" t="s">
        <v>79</v>
      </c>
      <c r="D1704" s="8" t="s">
        <v>80</v>
      </c>
      <c r="E1704" s="6" t="s">
        <v>183</v>
      </c>
      <c r="F1704" s="6" t="s">
        <v>95</v>
      </c>
      <c r="G1704" s="11" t="s">
        <v>56</v>
      </c>
      <c r="H1704" s="10" t="s">
        <v>2598</v>
      </c>
      <c r="I1704" s="6" t="s">
        <v>2599</v>
      </c>
      <c r="J1704" s="12">
        <v>46121.550729166665</v>
      </c>
      <c r="K1704" s="6" t="e" cm="1">
        <f t="array" ref="K1704">LOOKUP(2^15,SEARCH(Tabela2[Palavras-Chave],Boletim[[#This Row],[Objeto]],1),Tabela2[Palavras-Chave])</f>
        <v>#N/A</v>
      </c>
    </row>
    <row r="1705" spans="1:11" ht="115.2" hidden="1" x14ac:dyDescent="0.3">
      <c r="A1705" s="5">
        <v>18772524</v>
      </c>
      <c r="B1705" s="6" t="s">
        <v>2600</v>
      </c>
      <c r="C1705" s="6" t="s">
        <v>2601</v>
      </c>
      <c r="D1705" s="8" t="s">
        <v>80</v>
      </c>
      <c r="E1705" s="6" t="s">
        <v>117</v>
      </c>
      <c r="F1705" s="6" t="s">
        <v>95</v>
      </c>
      <c r="G1705" s="11">
        <v>46135.34375</v>
      </c>
      <c r="H1705" s="10" t="s">
        <v>2602</v>
      </c>
      <c r="I1705" s="6" t="s">
        <v>2603</v>
      </c>
      <c r="J1705" s="12">
        <v>46121.581273148149</v>
      </c>
      <c r="K1705" s="6" t="e" cm="1">
        <f t="array" ref="K1705">LOOKUP(2^15,SEARCH(Tabela2[Palavras-Chave],Boletim[[#This Row],[Objeto]],1),Tabela2[Palavras-Chave])</f>
        <v>#N/A</v>
      </c>
    </row>
    <row r="1706" spans="1:11" ht="100.8" hidden="1" x14ac:dyDescent="0.3">
      <c r="A1706" s="5">
        <v>18802542</v>
      </c>
      <c r="B1706" s="6" t="s">
        <v>174</v>
      </c>
      <c r="C1706" s="6" t="s">
        <v>104</v>
      </c>
      <c r="D1706" s="8" t="s">
        <v>81</v>
      </c>
      <c r="E1706" s="6" t="s">
        <v>716</v>
      </c>
      <c r="F1706" s="6" t="s">
        <v>95</v>
      </c>
      <c r="G1706" s="11" t="s">
        <v>56</v>
      </c>
      <c r="H1706" s="10" t="s">
        <v>717</v>
      </c>
      <c r="I1706" s="6" t="s">
        <v>718</v>
      </c>
      <c r="J1706" s="12">
        <v>46121.429907407408</v>
      </c>
      <c r="K1706" s="6" t="e" cm="1">
        <f t="array" ref="K1706">LOOKUP(2^15,SEARCH(Tabela2[Palavras-Chave],Boletim[[#This Row],[Objeto]],1),Tabela2[Palavras-Chave])</f>
        <v>#N/A</v>
      </c>
    </row>
    <row r="1707" spans="1:11" ht="100.8" hidden="1" x14ac:dyDescent="0.3">
      <c r="A1707" s="5">
        <v>18709927</v>
      </c>
      <c r="B1707" s="6" t="s">
        <v>74</v>
      </c>
      <c r="C1707" s="6" t="s">
        <v>104</v>
      </c>
      <c r="D1707" s="8" t="s">
        <v>81</v>
      </c>
      <c r="E1707" s="6" t="s">
        <v>2472</v>
      </c>
      <c r="F1707" s="6" t="s">
        <v>95</v>
      </c>
      <c r="G1707" s="11" t="s">
        <v>56</v>
      </c>
      <c r="H1707" s="10" t="s">
        <v>2473</v>
      </c>
      <c r="I1707" s="6" t="s">
        <v>2474</v>
      </c>
      <c r="J1707" s="12">
        <v>46121.439664351848</v>
      </c>
      <c r="K1707" s="6" t="e" cm="1">
        <f t="array" ref="K1707">LOOKUP(2^15,SEARCH(Tabela2[Palavras-Chave],Boletim[[#This Row],[Objeto]],1),Tabela2[Palavras-Chave])</f>
        <v>#N/A</v>
      </c>
    </row>
    <row r="1708" spans="1:11" ht="100.8" hidden="1" x14ac:dyDescent="0.3">
      <c r="A1708" s="5">
        <v>18715365</v>
      </c>
      <c r="B1708" s="6" t="s">
        <v>74</v>
      </c>
      <c r="C1708" s="6" t="s">
        <v>104</v>
      </c>
      <c r="D1708" s="8" t="s">
        <v>81</v>
      </c>
      <c r="E1708" s="6" t="s">
        <v>2475</v>
      </c>
      <c r="F1708" s="6" t="s">
        <v>95</v>
      </c>
      <c r="G1708" s="11" t="s">
        <v>56</v>
      </c>
      <c r="H1708" s="10" t="s">
        <v>2476</v>
      </c>
      <c r="I1708" s="6" t="s">
        <v>2477</v>
      </c>
      <c r="J1708" s="12">
        <v>46121.439722222225</v>
      </c>
      <c r="K1708" s="6" t="e" cm="1">
        <f t="array" ref="K1708">LOOKUP(2^15,SEARCH(Tabela2[Palavras-Chave],Boletim[[#This Row],[Objeto]],1),Tabela2[Palavras-Chave])</f>
        <v>#N/A</v>
      </c>
    </row>
    <row r="1709" spans="1:11" ht="259.2" hidden="1" x14ac:dyDescent="0.3">
      <c r="A1709" s="5">
        <v>18693221</v>
      </c>
      <c r="B1709" s="6" t="s">
        <v>690</v>
      </c>
      <c r="C1709" s="6" t="s">
        <v>691</v>
      </c>
      <c r="D1709" s="8" t="s">
        <v>81</v>
      </c>
      <c r="E1709" s="6" t="s">
        <v>300</v>
      </c>
      <c r="F1709" s="6" t="s">
        <v>95</v>
      </c>
      <c r="G1709" s="11" t="s">
        <v>56</v>
      </c>
      <c r="H1709" s="10" t="s">
        <v>2604</v>
      </c>
      <c r="I1709" s="6" t="s">
        <v>2605</v>
      </c>
      <c r="J1709" s="12">
        <v>46121.470173611109</v>
      </c>
      <c r="K1709" s="6" t="e" cm="1">
        <f t="array" ref="K1709">LOOKUP(2^15,SEARCH(Tabela2[Palavras-Chave],Boletim[[#This Row],[Objeto]],1),Tabela2[Palavras-Chave])</f>
        <v>#N/A</v>
      </c>
    </row>
    <row r="1710" spans="1:11" ht="115.2" hidden="1" x14ac:dyDescent="0.3">
      <c r="A1710" s="5">
        <v>18779114</v>
      </c>
      <c r="B1710" s="6" t="s">
        <v>2606</v>
      </c>
      <c r="C1710" s="6" t="s">
        <v>2607</v>
      </c>
      <c r="D1710" s="8" t="s">
        <v>81</v>
      </c>
      <c r="E1710" s="6" t="s">
        <v>505</v>
      </c>
      <c r="F1710" s="6" t="s">
        <v>95</v>
      </c>
      <c r="G1710" s="11">
        <v>46135.374305555553</v>
      </c>
      <c r="H1710" s="10" t="s">
        <v>2608</v>
      </c>
      <c r="I1710" s="6" t="s">
        <v>2609</v>
      </c>
      <c r="J1710" s="12">
        <v>46121.564618055556</v>
      </c>
      <c r="K1710" s="6" t="e" cm="1">
        <f t="array" ref="K1710">LOOKUP(2^15,SEARCH(Tabela2[Palavras-Chave],Boletim[[#This Row],[Objeto]],1),Tabela2[Palavras-Chave])</f>
        <v>#N/A</v>
      </c>
    </row>
    <row r="1711" spans="1:11" ht="115.2" hidden="1" x14ac:dyDescent="0.3">
      <c r="A1711" s="5">
        <v>18770175</v>
      </c>
      <c r="B1711" s="6" t="s">
        <v>2610</v>
      </c>
      <c r="C1711" s="6" t="s">
        <v>2611</v>
      </c>
      <c r="D1711" s="8" t="s">
        <v>81</v>
      </c>
      <c r="E1711" s="6" t="s">
        <v>126</v>
      </c>
      <c r="F1711" s="6" t="s">
        <v>95</v>
      </c>
      <c r="G1711" s="11">
        <v>46136.347222222219</v>
      </c>
      <c r="H1711" s="10" t="s">
        <v>2612</v>
      </c>
      <c r="I1711" s="6" t="s">
        <v>2613</v>
      </c>
      <c r="J1711" s="12">
        <v>46121.582905092589</v>
      </c>
      <c r="K1711" s="6" t="e" cm="1">
        <f t="array" ref="K1711">LOOKUP(2^15,SEARCH(Tabela2[Palavras-Chave],Boletim[[#This Row],[Objeto]],1),Tabela2[Palavras-Chave])</f>
        <v>#N/A</v>
      </c>
    </row>
    <row r="1712" spans="1:11" ht="28.8" hidden="1" x14ac:dyDescent="0.3">
      <c r="A1712" s="5">
        <v>18771868</v>
      </c>
      <c r="B1712" s="6" t="s">
        <v>3403</v>
      </c>
      <c r="C1712" s="6" t="s">
        <v>3404</v>
      </c>
      <c r="D1712" s="8" t="s">
        <v>81</v>
      </c>
      <c r="E1712" s="6" t="s">
        <v>3405</v>
      </c>
      <c r="F1712" s="6" t="s">
        <v>95</v>
      </c>
      <c r="G1712" s="11">
        <v>46139.354166666664</v>
      </c>
      <c r="H1712" s="10" t="s">
        <v>3406</v>
      </c>
      <c r="I1712" s="6" t="s">
        <v>3407</v>
      </c>
      <c r="J1712" s="12">
        <v>46121.617442129631</v>
      </c>
      <c r="K1712" s="6" t="e" cm="1">
        <f t="array" ref="K1712">LOOKUP(2^15,SEARCH(Tabela2[Palavras-Chave],Boletim[[#This Row],[Objeto]],1),Tabela2[Palavras-Chave])</f>
        <v>#N/A</v>
      </c>
    </row>
    <row r="1713" spans="1:11" ht="288" hidden="1" x14ac:dyDescent="0.3">
      <c r="A1713" s="5">
        <v>18789248</v>
      </c>
      <c r="B1713" s="6" t="s">
        <v>2186</v>
      </c>
      <c r="C1713" s="6" t="s">
        <v>2187</v>
      </c>
      <c r="D1713" s="8" t="s">
        <v>81</v>
      </c>
      <c r="E1713" s="6" t="s">
        <v>135</v>
      </c>
      <c r="F1713" s="6" t="s">
        <v>95</v>
      </c>
      <c r="G1713" s="11" t="s">
        <v>56</v>
      </c>
      <c r="H1713" s="10" t="s">
        <v>2614</v>
      </c>
      <c r="I1713" s="6" t="s">
        <v>2615</v>
      </c>
      <c r="J1713" s="12">
        <v>46121.671863425923</v>
      </c>
      <c r="K1713" s="6" t="e" cm="1">
        <f t="array" ref="K1713">LOOKUP(2^15,SEARCH(Tabela2[Palavras-Chave],Boletim[[#This Row],[Objeto]],1),Tabela2[Palavras-Chave])</f>
        <v>#N/A</v>
      </c>
    </row>
    <row r="1714" spans="1:11" ht="100.8" hidden="1" x14ac:dyDescent="0.3">
      <c r="A1714" s="5">
        <v>18795523</v>
      </c>
      <c r="B1714" s="6" t="s">
        <v>579</v>
      </c>
      <c r="C1714" s="6" t="s">
        <v>580</v>
      </c>
      <c r="D1714" s="8" t="s">
        <v>93</v>
      </c>
      <c r="E1714" s="6" t="s">
        <v>115</v>
      </c>
      <c r="F1714" s="6" t="s">
        <v>95</v>
      </c>
      <c r="G1714" s="11" t="s">
        <v>56</v>
      </c>
      <c r="H1714" s="10" t="s">
        <v>581</v>
      </c>
      <c r="I1714" s="6" t="s">
        <v>582</v>
      </c>
      <c r="J1714" s="12">
        <v>46121.38821759259</v>
      </c>
      <c r="K1714" s="6" t="e" cm="1">
        <f t="array" ref="K1714">LOOKUP(2^15,SEARCH(Tabela2[Palavras-Chave],Boletim[[#This Row],[Objeto]],1),Tabela2[Palavras-Chave])</f>
        <v>#N/A</v>
      </c>
    </row>
    <row r="1715" spans="1:11" ht="100.8" hidden="1" x14ac:dyDescent="0.3">
      <c r="A1715" s="5">
        <v>18709929</v>
      </c>
      <c r="B1715" s="6" t="s">
        <v>74</v>
      </c>
      <c r="C1715" s="6" t="s">
        <v>160</v>
      </c>
      <c r="D1715" s="8" t="s">
        <v>93</v>
      </c>
      <c r="E1715" s="6" t="s">
        <v>2472</v>
      </c>
      <c r="F1715" s="6" t="s">
        <v>95</v>
      </c>
      <c r="G1715" s="11" t="s">
        <v>56</v>
      </c>
      <c r="H1715" s="10" t="s">
        <v>2473</v>
      </c>
      <c r="I1715" s="6" t="s">
        <v>2474</v>
      </c>
      <c r="J1715" s="12">
        <v>46121.439664351848</v>
      </c>
      <c r="K1715" s="6" t="e" cm="1">
        <f t="array" ref="K1715">LOOKUP(2^15,SEARCH(Tabela2[Palavras-Chave],Boletim[[#This Row],[Objeto]],1),Tabela2[Palavras-Chave])</f>
        <v>#N/A</v>
      </c>
    </row>
    <row r="1716" spans="1:11" ht="100.8" hidden="1" x14ac:dyDescent="0.3">
      <c r="A1716" s="5">
        <v>18715366</v>
      </c>
      <c r="B1716" s="6" t="s">
        <v>74</v>
      </c>
      <c r="C1716" s="6" t="s">
        <v>160</v>
      </c>
      <c r="D1716" s="8" t="s">
        <v>93</v>
      </c>
      <c r="E1716" s="6" t="s">
        <v>2475</v>
      </c>
      <c r="F1716" s="6" t="s">
        <v>95</v>
      </c>
      <c r="G1716" s="11" t="s">
        <v>56</v>
      </c>
      <c r="H1716" s="10" t="s">
        <v>2476</v>
      </c>
      <c r="I1716" s="6" t="s">
        <v>2477</v>
      </c>
      <c r="J1716" s="12">
        <v>46121.439722222225</v>
      </c>
      <c r="K1716" s="6" t="e" cm="1">
        <f t="array" ref="K1716">LOOKUP(2^15,SEARCH(Tabela2[Palavras-Chave],Boletim[[#This Row],[Objeto]],1),Tabela2[Palavras-Chave])</f>
        <v>#N/A</v>
      </c>
    </row>
    <row r="1717" spans="1:11" ht="100.8" hidden="1" x14ac:dyDescent="0.3">
      <c r="A1717" s="5">
        <v>18657365</v>
      </c>
      <c r="B1717" s="6" t="s">
        <v>2616</v>
      </c>
      <c r="C1717" s="6" t="s">
        <v>2617</v>
      </c>
      <c r="D1717" s="8" t="s">
        <v>93</v>
      </c>
      <c r="E1717" s="6" t="s">
        <v>117</v>
      </c>
      <c r="F1717" s="6" t="s">
        <v>95</v>
      </c>
      <c r="G1717" s="11" t="s">
        <v>56</v>
      </c>
      <c r="H1717" s="10" t="s">
        <v>2618</v>
      </c>
      <c r="I1717" s="6" t="s">
        <v>2619</v>
      </c>
      <c r="J1717" s="12">
        <v>46121.466423611113</v>
      </c>
      <c r="K1717" s="6" t="e" cm="1">
        <f t="array" ref="K1717">LOOKUP(2^15,SEARCH(Tabela2[Palavras-Chave],Boletim[[#This Row],[Objeto]],1),Tabela2[Palavras-Chave])</f>
        <v>#N/A</v>
      </c>
    </row>
    <row r="1718" spans="1:11" ht="129.6" hidden="1" x14ac:dyDescent="0.3">
      <c r="A1718" s="5">
        <v>18746202</v>
      </c>
      <c r="B1718" s="6" t="s">
        <v>3408</v>
      </c>
      <c r="C1718" s="6" t="s">
        <v>160</v>
      </c>
      <c r="D1718" s="8" t="s">
        <v>93</v>
      </c>
      <c r="E1718" s="6" t="s">
        <v>120</v>
      </c>
      <c r="F1718" s="6" t="s">
        <v>95</v>
      </c>
      <c r="G1718" s="11">
        <v>46135.34375</v>
      </c>
      <c r="H1718" s="10" t="s">
        <v>3409</v>
      </c>
      <c r="I1718" s="6" t="s">
        <v>3410</v>
      </c>
      <c r="J1718" s="12">
        <v>46121.684201388889</v>
      </c>
      <c r="K1718" s="6" t="e" cm="1">
        <f t="array" ref="K1718">LOOKUP(2^15,SEARCH(Tabela2[Palavras-Chave],Boletim[[#This Row],[Objeto]],1),Tabela2[Palavras-Chave])</f>
        <v>#N/A</v>
      </c>
    </row>
    <row r="1719" spans="1:11" ht="72" hidden="1" x14ac:dyDescent="0.3">
      <c r="A1719" s="5">
        <v>18520560</v>
      </c>
      <c r="B1719" s="6" t="s">
        <v>74</v>
      </c>
      <c r="C1719" s="6" t="s">
        <v>83</v>
      </c>
      <c r="D1719" s="8" t="s">
        <v>82</v>
      </c>
      <c r="E1719" s="6" t="s">
        <v>2576</v>
      </c>
      <c r="F1719" s="6" t="s">
        <v>95</v>
      </c>
      <c r="G1719" s="11" t="s">
        <v>56</v>
      </c>
      <c r="H1719" s="10" t="s">
        <v>2577</v>
      </c>
      <c r="I1719" s="6" t="s">
        <v>2578</v>
      </c>
      <c r="J1719" s="12">
        <v>46121.438935185186</v>
      </c>
      <c r="K1719" s="6" t="e" cm="1">
        <f t="array" ref="K1719">LOOKUP(2^15,SEARCH(Tabela2[Palavras-Chave],Boletim[[#This Row],[Objeto]],1),Tabela2[Palavras-Chave])</f>
        <v>#N/A</v>
      </c>
    </row>
    <row r="1720" spans="1:11" ht="100.8" hidden="1" x14ac:dyDescent="0.3">
      <c r="A1720" s="5">
        <v>18709931</v>
      </c>
      <c r="B1720" s="6" t="s">
        <v>74</v>
      </c>
      <c r="C1720" s="6" t="s">
        <v>83</v>
      </c>
      <c r="D1720" s="8" t="s">
        <v>82</v>
      </c>
      <c r="E1720" s="6" t="s">
        <v>2472</v>
      </c>
      <c r="F1720" s="6" t="s">
        <v>95</v>
      </c>
      <c r="G1720" s="11" t="s">
        <v>56</v>
      </c>
      <c r="H1720" s="10" t="s">
        <v>2473</v>
      </c>
      <c r="I1720" s="6" t="s">
        <v>2474</v>
      </c>
      <c r="J1720" s="12">
        <v>46121.439675925925</v>
      </c>
      <c r="K1720" s="6" t="e" cm="1">
        <f t="array" ref="K1720">LOOKUP(2^15,SEARCH(Tabela2[Palavras-Chave],Boletim[[#This Row],[Objeto]],1),Tabela2[Palavras-Chave])</f>
        <v>#N/A</v>
      </c>
    </row>
    <row r="1721" spans="1:11" ht="100.8" hidden="1" x14ac:dyDescent="0.3">
      <c r="A1721" s="5">
        <v>18715368</v>
      </c>
      <c r="B1721" s="6" t="s">
        <v>74</v>
      </c>
      <c r="C1721" s="6" t="s">
        <v>83</v>
      </c>
      <c r="D1721" s="8" t="s">
        <v>82</v>
      </c>
      <c r="E1721" s="6" t="s">
        <v>2475</v>
      </c>
      <c r="F1721" s="6" t="s">
        <v>95</v>
      </c>
      <c r="G1721" s="11" t="s">
        <v>56</v>
      </c>
      <c r="H1721" s="10" t="s">
        <v>2476</v>
      </c>
      <c r="I1721" s="6" t="s">
        <v>2477</v>
      </c>
      <c r="J1721" s="12">
        <v>46121.439722222225</v>
      </c>
      <c r="K1721" s="6" t="e" cm="1">
        <f t="array" ref="K1721">LOOKUP(2^15,SEARCH(Tabela2[Palavras-Chave],Boletim[[#This Row],[Objeto]],1),Tabela2[Palavras-Chave])</f>
        <v>#N/A</v>
      </c>
    </row>
    <row r="1722" spans="1:11" ht="72" hidden="1" x14ac:dyDescent="0.3">
      <c r="A1722" s="5">
        <v>18770026</v>
      </c>
      <c r="B1722" s="6" t="s">
        <v>74</v>
      </c>
      <c r="C1722" s="6" t="s">
        <v>83</v>
      </c>
      <c r="D1722" s="8" t="s">
        <v>82</v>
      </c>
      <c r="E1722" s="6" t="s">
        <v>2579</v>
      </c>
      <c r="F1722" s="6" t="s">
        <v>95</v>
      </c>
      <c r="G1722" s="11" t="s">
        <v>56</v>
      </c>
      <c r="H1722" s="10" t="s">
        <v>2580</v>
      </c>
      <c r="I1722" s="6" t="s">
        <v>2581</v>
      </c>
      <c r="J1722" s="12">
        <v>46121.441006944442</v>
      </c>
      <c r="K1722" s="6" t="e" cm="1">
        <f t="array" ref="K1722">LOOKUP(2^15,SEARCH(Tabela2[Palavras-Chave],Boletim[[#This Row],[Objeto]],1),Tabela2[Palavras-Chave])</f>
        <v>#N/A</v>
      </c>
    </row>
    <row r="1723" spans="1:11" ht="72" hidden="1" x14ac:dyDescent="0.3">
      <c r="A1723" s="5">
        <v>18790079</v>
      </c>
      <c r="B1723" s="6" t="s">
        <v>74</v>
      </c>
      <c r="C1723" s="6" t="s">
        <v>83</v>
      </c>
      <c r="D1723" s="8" t="s">
        <v>82</v>
      </c>
      <c r="E1723" s="6" t="s">
        <v>2492</v>
      </c>
      <c r="F1723" s="6" t="s">
        <v>95</v>
      </c>
      <c r="G1723" s="11" t="s">
        <v>56</v>
      </c>
      <c r="H1723" s="10" t="s">
        <v>2493</v>
      </c>
      <c r="I1723" s="6" t="s">
        <v>2494</v>
      </c>
      <c r="J1723" s="12">
        <v>46121.441030092596</v>
      </c>
      <c r="K1723" s="6" t="e" cm="1">
        <f t="array" ref="K1723">LOOKUP(2^15,SEARCH(Tabela2[Palavras-Chave],Boletim[[#This Row],[Objeto]],1),Tabela2[Palavras-Chave])</f>
        <v>#N/A</v>
      </c>
    </row>
    <row r="1724" spans="1:11" ht="302.39999999999998" hidden="1" x14ac:dyDescent="0.3">
      <c r="A1724" s="5">
        <v>18110739</v>
      </c>
      <c r="B1724" s="6" t="s">
        <v>3411</v>
      </c>
      <c r="C1724" s="6" t="s">
        <v>3412</v>
      </c>
      <c r="D1724" s="8" t="s">
        <v>82</v>
      </c>
      <c r="E1724" s="6" t="s">
        <v>3413</v>
      </c>
      <c r="F1724" s="6" t="s">
        <v>95</v>
      </c>
      <c r="G1724" s="11" t="s">
        <v>56</v>
      </c>
      <c r="H1724" s="10" t="s">
        <v>3414</v>
      </c>
      <c r="I1724" s="6" t="s">
        <v>3415</v>
      </c>
      <c r="J1724" s="12">
        <v>46121.502800925926</v>
      </c>
      <c r="K1724" s="6" t="e" cm="1">
        <f t="array" ref="K1724">LOOKUP(2^15,SEARCH(Tabela2[Palavras-Chave],Boletim[[#This Row],[Objeto]],1),Tabela2[Palavras-Chave])</f>
        <v>#N/A</v>
      </c>
    </row>
    <row r="1725" spans="1:11" ht="100.8" hidden="1" x14ac:dyDescent="0.3">
      <c r="A1725" s="5">
        <v>18660046</v>
      </c>
      <c r="B1725" s="6" t="s">
        <v>2620</v>
      </c>
      <c r="C1725" s="6" t="s">
        <v>2621</v>
      </c>
      <c r="D1725" s="8" t="s">
        <v>82</v>
      </c>
      <c r="E1725" s="6" t="s">
        <v>152</v>
      </c>
      <c r="F1725" s="6" t="s">
        <v>95</v>
      </c>
      <c r="G1725" s="11" t="s">
        <v>56</v>
      </c>
      <c r="H1725" s="10" t="s">
        <v>2622</v>
      </c>
      <c r="I1725" s="6" t="s">
        <v>2623</v>
      </c>
      <c r="J1725" s="12">
        <v>46121.575775462959</v>
      </c>
      <c r="K1725" s="6" t="e" cm="1">
        <f t="array" ref="K1725">LOOKUP(2^15,SEARCH(Tabela2[Palavras-Chave],Boletim[[#This Row],[Objeto]],1),Tabela2[Palavras-Chave])</f>
        <v>#N/A</v>
      </c>
    </row>
    <row r="1726" spans="1:11" ht="100.8" hidden="1" x14ac:dyDescent="0.3">
      <c r="A1726" s="5">
        <v>18769849</v>
      </c>
      <c r="B1726" s="6" t="s">
        <v>2624</v>
      </c>
      <c r="C1726" s="6" t="s">
        <v>2625</v>
      </c>
      <c r="D1726" s="8" t="s">
        <v>82</v>
      </c>
      <c r="E1726" s="6" t="s">
        <v>240</v>
      </c>
      <c r="F1726" s="6" t="s">
        <v>95</v>
      </c>
      <c r="G1726" s="11" t="s">
        <v>56</v>
      </c>
      <c r="H1726" s="10" t="s">
        <v>2626</v>
      </c>
      <c r="I1726" s="6" t="s">
        <v>2627</v>
      </c>
      <c r="J1726" s="12">
        <v>46121.727824074071</v>
      </c>
      <c r="K1726" s="6" t="e" cm="1">
        <f t="array" ref="K1726">LOOKUP(2^15,SEARCH(Tabela2[Palavras-Chave],Boletim[[#This Row],[Objeto]],1),Tabela2[Palavras-Chave])</f>
        <v>#N/A</v>
      </c>
    </row>
    <row r="1727" spans="1:11" ht="100.8" hidden="1" x14ac:dyDescent="0.3">
      <c r="A1727" s="5">
        <v>18736762</v>
      </c>
      <c r="B1727" s="6" t="s">
        <v>2628</v>
      </c>
      <c r="C1727" s="6" t="s">
        <v>2629</v>
      </c>
      <c r="D1727" s="8" t="s">
        <v>82</v>
      </c>
      <c r="E1727" s="6" t="s">
        <v>117</v>
      </c>
      <c r="F1727" s="6" t="s">
        <v>95</v>
      </c>
      <c r="G1727" s="11" t="s">
        <v>56</v>
      </c>
      <c r="H1727" s="10" t="s">
        <v>2630</v>
      </c>
      <c r="I1727" s="6" t="s">
        <v>2631</v>
      </c>
      <c r="J1727" s="12">
        <v>46121.73201388889</v>
      </c>
      <c r="K1727" s="6" t="e" cm="1">
        <f t="array" ref="K1727">LOOKUP(2^15,SEARCH(Tabela2[Palavras-Chave],Boletim[[#This Row],[Objeto]],1),Tabela2[Palavras-Chave])</f>
        <v>#N/A</v>
      </c>
    </row>
    <row r="1728" spans="1:11" ht="28.8" hidden="1" x14ac:dyDescent="0.3">
      <c r="A1728" s="5">
        <v>18624643</v>
      </c>
      <c r="B1728" s="6" t="s">
        <v>316</v>
      </c>
      <c r="C1728" s="6" t="s">
        <v>235</v>
      </c>
      <c r="D1728" s="8" t="s">
        <v>82</v>
      </c>
      <c r="E1728" s="6" t="s">
        <v>329</v>
      </c>
      <c r="F1728" s="6" t="s">
        <v>95</v>
      </c>
      <c r="G1728" s="11">
        <v>46128.354166666664</v>
      </c>
      <c r="H1728" s="10" t="s">
        <v>3416</v>
      </c>
      <c r="I1728" s="6" t="s">
        <v>138</v>
      </c>
      <c r="J1728" s="12">
        <v>46121.791192129633</v>
      </c>
      <c r="K1728" s="6" t="e" cm="1">
        <f t="array" ref="K1728">LOOKUP(2^15,SEARCH(Tabela2[Palavras-Chave],Boletim[[#This Row],[Objeto]],1),Tabela2[Palavras-Chave])</f>
        <v>#N/A</v>
      </c>
    </row>
    <row r="1729" spans="1:11" ht="100.8" hidden="1" x14ac:dyDescent="0.3">
      <c r="A1729" s="5">
        <v>18789900</v>
      </c>
      <c r="B1729" s="6" t="s">
        <v>2632</v>
      </c>
      <c r="C1729" s="6" t="s">
        <v>2633</v>
      </c>
      <c r="D1729" s="8" t="s">
        <v>82</v>
      </c>
      <c r="E1729" s="6" t="s">
        <v>441</v>
      </c>
      <c r="F1729" s="6" t="s">
        <v>95</v>
      </c>
      <c r="G1729" s="11" t="s">
        <v>56</v>
      </c>
      <c r="H1729" s="10" t="s">
        <v>2634</v>
      </c>
      <c r="I1729" s="6" t="s">
        <v>2635</v>
      </c>
      <c r="J1729" s="12">
        <v>46121.816574074073</v>
      </c>
      <c r="K1729" s="6" t="e" cm="1">
        <f t="array" ref="K1729">LOOKUP(2^15,SEARCH(Tabela2[Palavras-Chave],Boletim[[#This Row],[Objeto]],1),Tabela2[Palavras-Chave])</f>
        <v>#N/A</v>
      </c>
    </row>
    <row r="1730" spans="1:11" ht="43.2" hidden="1" x14ac:dyDescent="0.3">
      <c r="A1730" s="5">
        <v>18806301</v>
      </c>
      <c r="B1730" s="6" t="s">
        <v>251</v>
      </c>
      <c r="C1730" s="6" t="s">
        <v>252</v>
      </c>
      <c r="D1730" s="8" t="s">
        <v>82</v>
      </c>
      <c r="E1730" s="6" t="s">
        <v>108</v>
      </c>
      <c r="F1730" s="6" t="s">
        <v>95</v>
      </c>
      <c r="G1730" s="11">
        <v>46181.375</v>
      </c>
      <c r="H1730" s="10" t="s">
        <v>384</v>
      </c>
      <c r="I1730" s="6" t="s">
        <v>385</v>
      </c>
      <c r="J1730" s="12">
        <v>46121.858564814815</v>
      </c>
      <c r="K1730" s="6" t="e" cm="1">
        <f t="array" ref="K1730">LOOKUP(2^15,SEARCH(Tabela2[Palavras-Chave],Boletim[[#This Row],[Objeto]],1),Tabela2[Palavras-Chave])</f>
        <v>#N/A</v>
      </c>
    </row>
    <row r="1731" spans="1:11" ht="100.8" hidden="1" x14ac:dyDescent="0.3">
      <c r="A1731" s="5">
        <v>18709932</v>
      </c>
      <c r="B1731" s="6" t="s">
        <v>74</v>
      </c>
      <c r="C1731" s="6" t="s">
        <v>2429</v>
      </c>
      <c r="D1731" s="8" t="s">
        <v>84</v>
      </c>
      <c r="E1731" s="6" t="s">
        <v>2472</v>
      </c>
      <c r="F1731" s="6" t="s">
        <v>95</v>
      </c>
      <c r="G1731" s="11" t="s">
        <v>56</v>
      </c>
      <c r="H1731" s="10" t="s">
        <v>2473</v>
      </c>
      <c r="I1731" s="6" t="s">
        <v>2474</v>
      </c>
      <c r="J1731" s="12">
        <v>46121.439675925925</v>
      </c>
      <c r="K1731" s="6" t="e" cm="1">
        <f t="array" ref="K1731">LOOKUP(2^15,SEARCH(Tabela2[Palavras-Chave],Boletim[[#This Row],[Objeto]],1),Tabela2[Palavras-Chave])</f>
        <v>#N/A</v>
      </c>
    </row>
    <row r="1732" spans="1:11" ht="100.8" hidden="1" x14ac:dyDescent="0.3">
      <c r="A1732" s="5">
        <v>18715369</v>
      </c>
      <c r="B1732" s="6" t="s">
        <v>74</v>
      </c>
      <c r="C1732" s="6" t="s">
        <v>2429</v>
      </c>
      <c r="D1732" s="8" t="s">
        <v>84</v>
      </c>
      <c r="E1732" s="6" t="s">
        <v>2475</v>
      </c>
      <c r="F1732" s="6" t="s">
        <v>95</v>
      </c>
      <c r="G1732" s="11" t="s">
        <v>56</v>
      </c>
      <c r="H1732" s="10" t="s">
        <v>2476</v>
      </c>
      <c r="I1732" s="6" t="s">
        <v>2477</v>
      </c>
      <c r="J1732" s="12">
        <v>46121.439722222225</v>
      </c>
      <c r="K1732" s="6" t="e" cm="1">
        <f t="array" ref="K1732">LOOKUP(2^15,SEARCH(Tabela2[Palavras-Chave],Boletim[[#This Row],[Objeto]],1),Tabela2[Palavras-Chave])</f>
        <v>#N/A</v>
      </c>
    </row>
    <row r="1733" spans="1:11" ht="100.8" hidden="1" x14ac:dyDescent="0.3">
      <c r="A1733" s="5">
        <v>18768720</v>
      </c>
      <c r="B1733" s="6" t="s">
        <v>2636</v>
      </c>
      <c r="C1733" s="6" t="s">
        <v>2637</v>
      </c>
      <c r="D1733" s="8" t="s">
        <v>64</v>
      </c>
      <c r="E1733" s="6" t="s">
        <v>307</v>
      </c>
      <c r="F1733" s="6" t="s">
        <v>184</v>
      </c>
      <c r="G1733" s="11">
        <v>46134.334027777775</v>
      </c>
      <c r="H1733" s="10" t="s">
        <v>2638</v>
      </c>
      <c r="I1733" s="6" t="s">
        <v>2639</v>
      </c>
      <c r="J1733" s="12">
        <v>46121.575729166667</v>
      </c>
      <c r="K1733" s="6" t="e" cm="1">
        <f t="array" ref="K1733">LOOKUP(2^15,SEARCH(Tabela2[Palavras-Chave],Boletim[[#This Row],[Objeto]],1),Tabela2[Palavras-Chave])</f>
        <v>#N/A</v>
      </c>
    </row>
    <row r="1734" spans="1:11" ht="158.4" hidden="1" x14ac:dyDescent="0.3">
      <c r="A1734" s="5">
        <v>18761147</v>
      </c>
      <c r="B1734" s="6" t="s">
        <v>2640</v>
      </c>
      <c r="C1734" s="6" t="s">
        <v>194</v>
      </c>
      <c r="D1734" s="8" t="s">
        <v>66</v>
      </c>
      <c r="E1734" s="6" t="s">
        <v>2641</v>
      </c>
      <c r="F1734" s="6" t="s">
        <v>184</v>
      </c>
      <c r="G1734" s="11">
        <v>46139.333333333336</v>
      </c>
      <c r="H1734" s="10" t="s">
        <v>2642</v>
      </c>
      <c r="I1734" s="6" t="s">
        <v>2643</v>
      </c>
      <c r="J1734" s="12">
        <v>46121.534085648149</v>
      </c>
      <c r="K1734" s="6" t="e" cm="1">
        <f t="array" ref="K1734">LOOKUP(2^15,SEARCH(Tabela2[Palavras-Chave],Boletim[[#This Row],[Objeto]],1),Tabela2[Palavras-Chave])</f>
        <v>#N/A</v>
      </c>
    </row>
    <row r="1735" spans="1:11" ht="115.2" hidden="1" x14ac:dyDescent="0.3">
      <c r="A1735" s="5">
        <v>18806966</v>
      </c>
      <c r="B1735" s="6" t="s">
        <v>2644</v>
      </c>
      <c r="C1735" s="6" t="s">
        <v>2645</v>
      </c>
      <c r="D1735" s="8" t="s">
        <v>77</v>
      </c>
      <c r="E1735" s="6" t="s">
        <v>135</v>
      </c>
      <c r="F1735" s="6" t="s">
        <v>184</v>
      </c>
      <c r="G1735" s="11">
        <v>46134.333333333336</v>
      </c>
      <c r="H1735" s="10" t="s">
        <v>2646</v>
      </c>
      <c r="I1735" s="6" t="s">
        <v>2647</v>
      </c>
      <c r="J1735" s="12">
        <v>46121.583425925928</v>
      </c>
      <c r="K1735" s="6" t="e" cm="1">
        <f t="array" ref="K1735">LOOKUP(2^15,SEARCH(Tabela2[Palavras-Chave],Boletim[[#This Row],[Objeto]],1),Tabela2[Palavras-Chave])</f>
        <v>#N/A</v>
      </c>
    </row>
    <row r="1736" spans="1:11" ht="129.6" hidden="1" x14ac:dyDescent="0.3">
      <c r="A1736" s="5">
        <v>18780924</v>
      </c>
      <c r="B1736" s="6" t="s">
        <v>2648</v>
      </c>
      <c r="C1736" s="6" t="s">
        <v>2649</v>
      </c>
      <c r="D1736" s="8" t="s">
        <v>82</v>
      </c>
      <c r="E1736" s="6" t="s">
        <v>202</v>
      </c>
      <c r="F1736" s="6" t="s">
        <v>184</v>
      </c>
      <c r="G1736" s="11">
        <v>46129.354166666664</v>
      </c>
      <c r="H1736" s="10" t="s">
        <v>2650</v>
      </c>
      <c r="I1736" s="6" t="s">
        <v>2651</v>
      </c>
      <c r="J1736" s="12">
        <v>46121.635474537034</v>
      </c>
      <c r="K1736" s="6" t="e" cm="1">
        <f t="array" ref="K1736">LOOKUP(2^15,SEARCH(Tabela2[Palavras-Chave],Boletim[[#This Row],[Objeto]],1),Tabela2[Palavras-Chave])</f>
        <v>#N/A</v>
      </c>
    </row>
    <row r="1737" spans="1:11" ht="201.6" hidden="1" x14ac:dyDescent="0.3">
      <c r="A1737" s="5">
        <v>18743749</v>
      </c>
      <c r="B1737" s="6" t="s">
        <v>2628</v>
      </c>
      <c r="C1737" s="6" t="s">
        <v>2629</v>
      </c>
      <c r="D1737" s="8" t="s">
        <v>82</v>
      </c>
      <c r="E1737" s="6" t="s">
        <v>109</v>
      </c>
      <c r="F1737" s="6" t="s">
        <v>184</v>
      </c>
      <c r="G1737" s="11" t="s">
        <v>56</v>
      </c>
      <c r="H1737" s="10" t="s">
        <v>3417</v>
      </c>
      <c r="I1737" s="6" t="s">
        <v>3418</v>
      </c>
      <c r="J1737" s="12">
        <v>46121.634467592594</v>
      </c>
      <c r="K1737" s="6" t="e" cm="1">
        <f t="array" ref="K1737">LOOKUP(2^15,SEARCH(Tabela2[Palavras-Chave],Boletim[[#This Row],[Objeto]],1),Tabela2[Palavras-Chave])</f>
        <v>#N/A</v>
      </c>
    </row>
    <row r="1738" spans="1:11" ht="259.2" hidden="1" x14ac:dyDescent="0.3">
      <c r="A1738" s="5">
        <v>18734079</v>
      </c>
      <c r="B1738" s="6" t="s">
        <v>197</v>
      </c>
      <c r="C1738" s="6" t="s">
        <v>198</v>
      </c>
      <c r="D1738" s="8" t="s">
        <v>64</v>
      </c>
      <c r="E1738" s="6" t="s">
        <v>450</v>
      </c>
      <c r="F1738" s="6" t="s">
        <v>96</v>
      </c>
      <c r="G1738" s="11" t="s">
        <v>56</v>
      </c>
      <c r="H1738" s="10" t="s">
        <v>2652</v>
      </c>
      <c r="I1738" s="6" t="s">
        <v>2653</v>
      </c>
      <c r="J1738" s="12">
        <v>46121.615347222221</v>
      </c>
      <c r="K1738" s="6" t="e" cm="1">
        <f t="array" ref="K1738">LOOKUP(2^15,SEARCH(Tabela2[Palavras-Chave],Boletim[[#This Row],[Objeto]],1),Tabela2[Palavras-Chave])</f>
        <v>#N/A</v>
      </c>
    </row>
    <row r="1739" spans="1:11" ht="158.4" hidden="1" x14ac:dyDescent="0.3">
      <c r="A1739" s="5">
        <v>18756821</v>
      </c>
      <c r="B1739" s="6" t="s">
        <v>2654</v>
      </c>
      <c r="C1739" s="6" t="s">
        <v>2655</v>
      </c>
      <c r="D1739" s="8" t="s">
        <v>66</v>
      </c>
      <c r="E1739" s="6" t="s">
        <v>451</v>
      </c>
      <c r="F1739" s="6" t="s">
        <v>96</v>
      </c>
      <c r="G1739" s="11">
        <v>46140.416666666664</v>
      </c>
      <c r="H1739" s="10" t="s">
        <v>2656</v>
      </c>
      <c r="I1739" s="6" t="s">
        <v>2657</v>
      </c>
      <c r="J1739" s="12">
        <v>46121.534062500003</v>
      </c>
      <c r="K1739" s="6" t="e" cm="1">
        <f t="array" ref="K1739">LOOKUP(2^15,SEARCH(Tabela2[Palavras-Chave],Boletim[[#This Row],[Objeto]],1),Tabela2[Palavras-Chave])</f>
        <v>#N/A</v>
      </c>
    </row>
    <row r="1740" spans="1:11" ht="230.4" hidden="1" x14ac:dyDescent="0.3">
      <c r="A1740" s="5">
        <v>18733827</v>
      </c>
      <c r="B1740" s="6" t="s">
        <v>2658</v>
      </c>
      <c r="C1740" s="6" t="s">
        <v>130</v>
      </c>
      <c r="D1740" s="8" t="s">
        <v>68</v>
      </c>
      <c r="E1740" s="6" t="s">
        <v>2659</v>
      </c>
      <c r="F1740" s="6" t="s">
        <v>96</v>
      </c>
      <c r="G1740" s="11" t="s">
        <v>56</v>
      </c>
      <c r="H1740" s="10" t="s">
        <v>2660</v>
      </c>
      <c r="I1740" s="6" t="s">
        <v>2661</v>
      </c>
      <c r="J1740" s="12">
        <v>46121.761840277781</v>
      </c>
      <c r="K1740" s="6" t="e" cm="1">
        <f t="array" ref="K1740">LOOKUP(2^15,SEARCH(Tabela2[Palavras-Chave],Boletim[[#This Row],[Objeto]],1),Tabela2[Palavras-Chave])</f>
        <v>#N/A</v>
      </c>
    </row>
    <row r="1741" spans="1:11" ht="273.60000000000002" hidden="1" x14ac:dyDescent="0.3">
      <c r="A1741" s="5">
        <v>18633854</v>
      </c>
      <c r="B1741" s="6" t="s">
        <v>3419</v>
      </c>
      <c r="C1741" s="6" t="s">
        <v>472</v>
      </c>
      <c r="D1741" s="8" t="s">
        <v>72</v>
      </c>
      <c r="E1741" s="6" t="s">
        <v>148</v>
      </c>
      <c r="F1741" s="6" t="s">
        <v>96</v>
      </c>
      <c r="G1741" s="11" t="s">
        <v>56</v>
      </c>
      <c r="H1741" s="10" t="s">
        <v>3420</v>
      </c>
      <c r="I1741" s="6" t="s">
        <v>3421</v>
      </c>
      <c r="J1741" s="12">
        <v>46121.514618055553</v>
      </c>
      <c r="K1741" s="6" t="e" cm="1">
        <f t="array" ref="K1741">LOOKUP(2^15,SEARCH(Tabela2[Palavras-Chave],Boletim[[#This Row],[Objeto]],1),Tabela2[Palavras-Chave])</f>
        <v>#N/A</v>
      </c>
    </row>
    <row r="1742" spans="1:11" ht="409.6" hidden="1" x14ac:dyDescent="0.3">
      <c r="A1742" s="5">
        <v>18685585</v>
      </c>
      <c r="B1742" s="6" t="s">
        <v>2662</v>
      </c>
      <c r="C1742" s="6" t="s">
        <v>136</v>
      </c>
      <c r="D1742" s="8" t="s">
        <v>78</v>
      </c>
      <c r="E1742" s="6" t="s">
        <v>2663</v>
      </c>
      <c r="F1742" s="6" t="s">
        <v>96</v>
      </c>
      <c r="G1742" s="11">
        <v>46139.416666666664</v>
      </c>
      <c r="H1742" s="10" t="s">
        <v>2664</v>
      </c>
      <c r="I1742" s="6" t="s">
        <v>2665</v>
      </c>
      <c r="J1742" s="12">
        <v>46121.569537037038</v>
      </c>
      <c r="K1742" s="6" t="e" cm="1">
        <f t="array" ref="K1742">LOOKUP(2^15,SEARCH(Tabela2[Palavras-Chave],Boletim[[#This Row],[Objeto]],1),Tabela2[Palavras-Chave])</f>
        <v>#N/A</v>
      </c>
    </row>
    <row r="1743" spans="1:11" ht="302.39999999999998" hidden="1" x14ac:dyDescent="0.3">
      <c r="A1743" s="5">
        <v>18466690</v>
      </c>
      <c r="B1743" s="6" t="s">
        <v>2666</v>
      </c>
      <c r="C1743" s="6" t="s">
        <v>2667</v>
      </c>
      <c r="D1743" s="8" t="s">
        <v>78</v>
      </c>
      <c r="E1743" s="6" t="s">
        <v>2668</v>
      </c>
      <c r="F1743" s="6" t="s">
        <v>96</v>
      </c>
      <c r="G1743" s="11">
        <v>46139.375</v>
      </c>
      <c r="H1743" s="10" t="s">
        <v>2669</v>
      </c>
      <c r="I1743" s="6" t="s">
        <v>2670</v>
      </c>
      <c r="J1743" s="12">
        <v>46121.571504629632</v>
      </c>
      <c r="K1743" s="6" t="e" cm="1">
        <f t="array" ref="K1743">LOOKUP(2^15,SEARCH(Tabela2[Palavras-Chave],Boletim[[#This Row],[Objeto]],1),Tabela2[Palavras-Chave])</f>
        <v>#N/A</v>
      </c>
    </row>
    <row r="1744" spans="1:11" ht="115.2" hidden="1" x14ac:dyDescent="0.3">
      <c r="A1744" s="5">
        <v>18545966</v>
      </c>
      <c r="B1744" s="6" t="s">
        <v>3422</v>
      </c>
      <c r="C1744" s="6" t="s">
        <v>3423</v>
      </c>
      <c r="D1744" s="8" t="s">
        <v>80</v>
      </c>
      <c r="E1744" s="6" t="s">
        <v>108</v>
      </c>
      <c r="F1744" s="6" t="s">
        <v>96</v>
      </c>
      <c r="G1744" s="11">
        <v>46146.586805555555</v>
      </c>
      <c r="H1744" s="10" t="s">
        <v>3424</v>
      </c>
      <c r="I1744" s="6" t="s">
        <v>3425</v>
      </c>
      <c r="J1744" s="12">
        <v>46121.759027777778</v>
      </c>
      <c r="K1744" s="6" t="e" cm="1">
        <f t="array" ref="K1744">LOOKUP(2^15,SEARCH(Tabela2[Palavras-Chave],Boletim[[#This Row],[Objeto]],1),Tabela2[Palavras-Chave])</f>
        <v>#N/A</v>
      </c>
    </row>
    <row r="1745" spans="1:11" ht="43.2" hidden="1" x14ac:dyDescent="0.3">
      <c r="A1745" s="5">
        <v>18452732</v>
      </c>
      <c r="B1745" s="6" t="s">
        <v>2671</v>
      </c>
      <c r="C1745" s="6" t="s">
        <v>297</v>
      </c>
      <c r="D1745" s="8" t="s">
        <v>81</v>
      </c>
      <c r="E1745" s="6" t="s">
        <v>2672</v>
      </c>
      <c r="F1745" s="6" t="s">
        <v>96</v>
      </c>
      <c r="G1745" s="11">
        <v>46134.375</v>
      </c>
      <c r="H1745" s="10" t="s">
        <v>2673</v>
      </c>
      <c r="I1745" s="6" t="s">
        <v>2674</v>
      </c>
      <c r="J1745" s="12">
        <v>46121.618275462963</v>
      </c>
      <c r="K1745" s="6" t="str" cm="1">
        <f t="array" ref="K1745">LOOKUP(2^15,SEARCH(Tabela2[Palavras-Chave],Boletim[[#This Row],[Objeto]],1),Tabela2[Palavras-Chave])</f>
        <v>EM LINHA</v>
      </c>
    </row>
    <row r="1746" spans="1:11" ht="187.2" hidden="1" x14ac:dyDescent="0.3">
      <c r="A1746" s="5">
        <v>18401139</v>
      </c>
      <c r="B1746" s="6" t="s">
        <v>2675</v>
      </c>
      <c r="C1746" s="6" t="s">
        <v>2676</v>
      </c>
      <c r="D1746" s="8" t="s">
        <v>82</v>
      </c>
      <c r="E1746" s="6" t="s">
        <v>2677</v>
      </c>
      <c r="F1746" s="6" t="s">
        <v>168</v>
      </c>
      <c r="G1746" s="11" t="s">
        <v>56</v>
      </c>
      <c r="H1746" s="10" t="s">
        <v>2678</v>
      </c>
      <c r="I1746" s="6" t="s">
        <v>2679</v>
      </c>
      <c r="J1746" s="12">
        <v>46121.681817129633</v>
      </c>
      <c r="K1746" s="6" t="e" cm="1">
        <f t="array" ref="K1746">LOOKUP(2^15,SEARCH(Tabela2[Palavras-Chave],Boletim[[#This Row],[Objeto]],1),Tabela2[Palavras-Chave])</f>
        <v>#N/A</v>
      </c>
    </row>
    <row r="1747" spans="1:11" ht="172.8" hidden="1" x14ac:dyDescent="0.3">
      <c r="A1747" s="5">
        <v>18629841</v>
      </c>
      <c r="B1747" s="6" t="s">
        <v>2680</v>
      </c>
      <c r="C1747" s="6" t="s">
        <v>352</v>
      </c>
      <c r="D1747" s="8" t="s">
        <v>76</v>
      </c>
      <c r="E1747" s="6" t="s">
        <v>105</v>
      </c>
      <c r="F1747" s="6" t="s">
        <v>2681</v>
      </c>
      <c r="G1747" s="11" t="s">
        <v>56</v>
      </c>
      <c r="H1747" s="10" t="s">
        <v>2682</v>
      </c>
      <c r="I1747" s="6" t="s">
        <v>2683</v>
      </c>
      <c r="J1747" s="12">
        <v>46121.828993055555</v>
      </c>
      <c r="K1747" s="6" t="e" cm="1">
        <f t="array" ref="K1747">LOOKUP(2^15,SEARCH(Tabela2[Palavras-Chave],Boletim[[#This Row],[Objeto]],1),Tabela2[Palavras-Chave])</f>
        <v>#N/A</v>
      </c>
    </row>
    <row r="1748" spans="1:11" ht="172.8" hidden="1" x14ac:dyDescent="0.3">
      <c r="A1748" s="5">
        <v>18795663</v>
      </c>
      <c r="B1748" s="6" t="s">
        <v>2684</v>
      </c>
      <c r="C1748" s="6" t="s">
        <v>2685</v>
      </c>
      <c r="D1748" s="8" t="s">
        <v>54</v>
      </c>
      <c r="E1748" s="6" t="s">
        <v>179</v>
      </c>
      <c r="F1748" s="6" t="s">
        <v>97</v>
      </c>
      <c r="G1748" s="11" t="s">
        <v>56</v>
      </c>
      <c r="H1748" s="10" t="s">
        <v>2686</v>
      </c>
      <c r="I1748" s="6" t="s">
        <v>2687</v>
      </c>
      <c r="J1748" s="12">
        <v>46121.56013888889</v>
      </c>
      <c r="K1748" s="6" t="e" cm="1">
        <f t="array" ref="K1748">LOOKUP(2^15,SEARCH(Tabela2[Palavras-Chave],Boletim[[#This Row],[Objeto]],1),Tabela2[Palavras-Chave])</f>
        <v>#N/A</v>
      </c>
    </row>
    <row r="1749" spans="1:11" ht="72" hidden="1" x14ac:dyDescent="0.3">
      <c r="A1749" s="5">
        <v>18761167</v>
      </c>
      <c r="B1749" s="6" t="s">
        <v>423</v>
      </c>
      <c r="C1749" s="6" t="s">
        <v>61</v>
      </c>
      <c r="D1749" s="8" t="s">
        <v>62</v>
      </c>
      <c r="E1749" s="6" t="s">
        <v>220</v>
      </c>
      <c r="F1749" s="6" t="s">
        <v>97</v>
      </c>
      <c r="G1749" s="11" t="s">
        <v>56</v>
      </c>
      <c r="H1749" s="10" t="s">
        <v>2688</v>
      </c>
      <c r="I1749" s="6" t="s">
        <v>2689</v>
      </c>
      <c r="J1749" s="12">
        <v>46121.616562499999</v>
      </c>
      <c r="K1749" s="6" t="e" cm="1">
        <f t="array" ref="K1749">LOOKUP(2^15,SEARCH(Tabela2[Palavras-Chave],Boletim[[#This Row],[Objeto]],1),Tabela2[Palavras-Chave])</f>
        <v>#N/A</v>
      </c>
    </row>
    <row r="1750" spans="1:11" ht="100.8" hidden="1" x14ac:dyDescent="0.3">
      <c r="A1750" s="5">
        <v>18811422</v>
      </c>
      <c r="B1750" s="6" t="s">
        <v>99</v>
      </c>
      <c r="C1750" s="6" t="s">
        <v>65</v>
      </c>
      <c r="D1750" s="8" t="s">
        <v>66</v>
      </c>
      <c r="E1750" s="6" t="s">
        <v>3426</v>
      </c>
      <c r="F1750" s="6" t="s">
        <v>97</v>
      </c>
      <c r="G1750" s="11" t="s">
        <v>56</v>
      </c>
      <c r="H1750" s="10" t="s">
        <v>3427</v>
      </c>
      <c r="I1750" s="6" t="s">
        <v>3428</v>
      </c>
      <c r="J1750" s="12">
        <v>46121.879745370374</v>
      </c>
      <c r="K1750" s="6" t="e" cm="1">
        <f t="array" ref="K1750">LOOKUP(2^15,SEARCH(Tabela2[Palavras-Chave],Boletim[[#This Row],[Objeto]],1),Tabela2[Palavras-Chave])</f>
        <v>#N/A</v>
      </c>
    </row>
    <row r="1751" spans="1:11" ht="201.6" hidden="1" x14ac:dyDescent="0.3">
      <c r="A1751" s="5">
        <v>18772414</v>
      </c>
      <c r="B1751" s="6" t="s">
        <v>2690</v>
      </c>
      <c r="C1751" s="6" t="s">
        <v>2691</v>
      </c>
      <c r="D1751" s="8" t="s">
        <v>67</v>
      </c>
      <c r="E1751" s="6" t="s">
        <v>142</v>
      </c>
      <c r="F1751" s="6" t="s">
        <v>97</v>
      </c>
      <c r="G1751" s="11" t="s">
        <v>56</v>
      </c>
      <c r="H1751" s="10" t="s">
        <v>2692</v>
      </c>
      <c r="I1751" s="6" t="s">
        <v>2693</v>
      </c>
      <c r="J1751" s="12">
        <v>46121.769594907404</v>
      </c>
      <c r="K1751" s="6" t="e" cm="1">
        <f t="array" ref="K1751">LOOKUP(2^15,SEARCH(Tabela2[Palavras-Chave],Boletim[[#This Row],[Objeto]],1),Tabela2[Palavras-Chave])</f>
        <v>#N/A</v>
      </c>
    </row>
    <row r="1752" spans="1:11" ht="144" hidden="1" x14ac:dyDescent="0.3">
      <c r="A1752" s="5">
        <v>18797534</v>
      </c>
      <c r="B1752" s="6" t="s">
        <v>2694</v>
      </c>
      <c r="C1752" s="6" t="s">
        <v>111</v>
      </c>
      <c r="D1752" s="8" t="s">
        <v>91</v>
      </c>
      <c r="E1752" s="6" t="s">
        <v>2695</v>
      </c>
      <c r="F1752" s="6" t="s">
        <v>97</v>
      </c>
      <c r="G1752" s="11" t="s">
        <v>56</v>
      </c>
      <c r="H1752" s="10" t="s">
        <v>2696</v>
      </c>
      <c r="I1752" s="6" t="s">
        <v>2697</v>
      </c>
      <c r="J1752" s="12">
        <v>46121.513495370367</v>
      </c>
      <c r="K1752" s="6" t="e" cm="1">
        <f t="array" ref="K1752">LOOKUP(2^15,SEARCH(Tabela2[Palavras-Chave],Boletim[[#This Row],[Objeto]],1),Tabela2[Palavras-Chave])</f>
        <v>#N/A</v>
      </c>
    </row>
    <row r="1753" spans="1:11" ht="144" hidden="1" x14ac:dyDescent="0.3">
      <c r="A1753" s="5">
        <v>18724697</v>
      </c>
      <c r="B1753" s="6" t="s">
        <v>2698</v>
      </c>
      <c r="C1753" s="6" t="s">
        <v>2699</v>
      </c>
      <c r="D1753" s="8" t="s">
        <v>91</v>
      </c>
      <c r="E1753" s="6" t="s">
        <v>211</v>
      </c>
      <c r="F1753" s="6" t="s">
        <v>97</v>
      </c>
      <c r="G1753" s="11" t="s">
        <v>56</v>
      </c>
      <c r="H1753" s="10" t="s">
        <v>2700</v>
      </c>
      <c r="I1753" s="6" t="s">
        <v>2701</v>
      </c>
      <c r="J1753" s="12">
        <v>46121.606631944444</v>
      </c>
      <c r="K1753" s="6" t="e" cm="1">
        <f t="array" ref="K1753">LOOKUP(2^15,SEARCH(Tabela2[Palavras-Chave],Boletim[[#This Row],[Objeto]],1),Tabela2[Palavras-Chave])</f>
        <v>#N/A</v>
      </c>
    </row>
    <row r="1754" spans="1:11" ht="172.8" hidden="1" x14ac:dyDescent="0.3">
      <c r="A1754" s="5">
        <v>18509744</v>
      </c>
      <c r="B1754" s="6" t="s">
        <v>2702</v>
      </c>
      <c r="C1754" s="6" t="s">
        <v>73</v>
      </c>
      <c r="D1754" s="8" t="s">
        <v>72</v>
      </c>
      <c r="E1754" s="6" t="s">
        <v>2703</v>
      </c>
      <c r="F1754" s="6" t="s">
        <v>97</v>
      </c>
      <c r="G1754" s="11" t="s">
        <v>56</v>
      </c>
      <c r="H1754" s="10" t="s">
        <v>2704</v>
      </c>
      <c r="I1754" s="6" t="s">
        <v>2705</v>
      </c>
      <c r="J1754" s="12">
        <v>46121.490324074075</v>
      </c>
      <c r="K1754" s="6" t="e" cm="1">
        <f t="array" ref="K1754">LOOKUP(2^15,SEARCH(Tabela2[Palavras-Chave],Boletim[[#This Row],[Objeto]],1),Tabela2[Palavras-Chave])</f>
        <v>#N/A</v>
      </c>
    </row>
    <row r="1755" spans="1:11" ht="72" hidden="1" x14ac:dyDescent="0.3">
      <c r="A1755" s="5">
        <v>18761403</v>
      </c>
      <c r="B1755" s="6" t="s">
        <v>2706</v>
      </c>
      <c r="C1755" s="6" t="s">
        <v>2707</v>
      </c>
      <c r="D1755" s="8" t="s">
        <v>80</v>
      </c>
      <c r="E1755" s="6" t="s">
        <v>2708</v>
      </c>
      <c r="F1755" s="6" t="s">
        <v>97</v>
      </c>
      <c r="G1755" s="11" t="s">
        <v>56</v>
      </c>
      <c r="H1755" s="10" t="s">
        <v>2709</v>
      </c>
      <c r="I1755" s="6" t="s">
        <v>2710</v>
      </c>
      <c r="J1755" s="12">
        <v>46121.615474537037</v>
      </c>
      <c r="K1755" s="6" t="e" cm="1">
        <f t="array" ref="K1755">LOOKUP(2^15,SEARCH(Tabela2[Palavras-Chave],Boletim[[#This Row],[Objeto]],1),Tabela2[Palavras-Chave])</f>
        <v>#N/A</v>
      </c>
    </row>
    <row r="1756" spans="1:11" ht="273.60000000000002" x14ac:dyDescent="0.3">
      <c r="A1756" s="5">
        <v>18770385</v>
      </c>
      <c r="B1756" s="6" t="s">
        <v>2711</v>
      </c>
      <c r="C1756" s="6" t="s">
        <v>104</v>
      </c>
      <c r="D1756" s="8" t="s">
        <v>81</v>
      </c>
      <c r="E1756" s="6" t="s">
        <v>218</v>
      </c>
      <c r="F1756" s="6" t="s">
        <v>97</v>
      </c>
      <c r="G1756" s="11" t="s">
        <v>56</v>
      </c>
      <c r="H1756" s="10" t="s">
        <v>2712</v>
      </c>
      <c r="I1756" s="6" t="s">
        <v>2713</v>
      </c>
      <c r="J1756" s="12">
        <v>46121.634432870371</v>
      </c>
      <c r="K1756" s="6" t="str" cm="1">
        <f t="array" ref="K1756">LOOKUP(2^15,SEARCH(Tabela2[Palavras-Chave],Boletim[[#This Row],[Objeto]],1),Tabela2[Palavras-Chave])</f>
        <v>EFICIÊNCIA</v>
      </c>
    </row>
    <row r="1757" spans="1:11" ht="144" hidden="1" x14ac:dyDescent="0.3">
      <c r="A1757" s="5">
        <v>18509839</v>
      </c>
      <c r="B1757" s="6" t="s">
        <v>2714</v>
      </c>
      <c r="C1757" s="6" t="s">
        <v>551</v>
      </c>
      <c r="D1757" s="8" t="s">
        <v>82</v>
      </c>
      <c r="E1757" s="6" t="s">
        <v>2715</v>
      </c>
      <c r="F1757" s="6" t="s">
        <v>97</v>
      </c>
      <c r="G1757" s="11" t="s">
        <v>56</v>
      </c>
      <c r="H1757" s="10" t="s">
        <v>2716</v>
      </c>
      <c r="I1757" s="6" t="s">
        <v>2717</v>
      </c>
      <c r="J1757" s="12">
        <v>46121.834305555552</v>
      </c>
      <c r="K1757" s="6" t="e" cm="1">
        <f t="array" ref="K1757">LOOKUP(2^15,SEARCH(Tabela2[Palavras-Chave],Boletim[[#This Row],[Objeto]],1),Tabela2[Palavras-Chave])</f>
        <v>#N/A</v>
      </c>
    </row>
    <row r="1758" spans="1:11" ht="230.4" hidden="1" x14ac:dyDescent="0.3">
      <c r="A1758" s="5">
        <v>18525650</v>
      </c>
      <c r="B1758" s="6" t="s">
        <v>401</v>
      </c>
      <c r="C1758" s="6" t="s">
        <v>402</v>
      </c>
      <c r="D1758" s="8" t="s">
        <v>54</v>
      </c>
      <c r="E1758" s="6" t="s">
        <v>108</v>
      </c>
      <c r="F1758" s="6" t="s">
        <v>98</v>
      </c>
      <c r="G1758" s="11" t="s">
        <v>56</v>
      </c>
      <c r="H1758" s="10" t="s">
        <v>3429</v>
      </c>
      <c r="I1758" s="6" t="s">
        <v>3430</v>
      </c>
      <c r="J1758" s="12">
        <v>46121.499456018515</v>
      </c>
      <c r="K1758" s="6" t="e" cm="1">
        <f t="array" ref="K1758">LOOKUP(2^15,SEARCH(Tabela2[Palavras-Chave],Boletim[[#This Row],[Objeto]],1),Tabela2[Palavras-Chave])</f>
        <v>#N/A</v>
      </c>
    </row>
    <row r="1759" spans="1:11" ht="409.6" hidden="1" x14ac:dyDescent="0.3">
      <c r="A1759" s="5">
        <v>18579878</v>
      </c>
      <c r="B1759" s="6" t="s">
        <v>2718</v>
      </c>
      <c r="C1759" s="6" t="s">
        <v>2719</v>
      </c>
      <c r="D1759" s="8" t="s">
        <v>54</v>
      </c>
      <c r="E1759" s="6" t="s">
        <v>145</v>
      </c>
      <c r="F1759" s="6" t="s">
        <v>98</v>
      </c>
      <c r="G1759" s="11" t="s">
        <v>56</v>
      </c>
      <c r="H1759" s="10" t="s">
        <v>2720</v>
      </c>
      <c r="I1759" s="6" t="s">
        <v>2721</v>
      </c>
      <c r="J1759" s="12">
        <v>46121.607175925928</v>
      </c>
      <c r="K1759" s="6" t="e" cm="1">
        <f t="array" ref="K1759">LOOKUP(2^15,SEARCH(Tabela2[Palavras-Chave],Boletim[[#This Row],[Objeto]],1),Tabela2[Palavras-Chave])</f>
        <v>#N/A</v>
      </c>
    </row>
    <row r="1760" spans="1:11" ht="129.6" hidden="1" x14ac:dyDescent="0.3">
      <c r="A1760" s="5">
        <v>18756105</v>
      </c>
      <c r="B1760" s="6" t="s">
        <v>614</v>
      </c>
      <c r="C1760" s="6" t="s">
        <v>615</v>
      </c>
      <c r="D1760" s="8" t="s">
        <v>54</v>
      </c>
      <c r="E1760" s="6" t="s">
        <v>135</v>
      </c>
      <c r="F1760" s="6" t="s">
        <v>98</v>
      </c>
      <c r="G1760" s="11" t="s">
        <v>56</v>
      </c>
      <c r="H1760" s="10" t="s">
        <v>2722</v>
      </c>
      <c r="I1760" s="6" t="s">
        <v>2723</v>
      </c>
      <c r="J1760" s="12">
        <v>46121.60733796296</v>
      </c>
      <c r="K1760" s="6" t="e" cm="1">
        <f t="array" ref="K1760">LOOKUP(2^15,SEARCH(Tabela2[Palavras-Chave],Boletim[[#This Row],[Objeto]],1),Tabela2[Palavras-Chave])</f>
        <v>#N/A</v>
      </c>
    </row>
    <row r="1761" spans="1:11" ht="409.6" hidden="1" x14ac:dyDescent="0.3">
      <c r="A1761" s="5">
        <v>18593202</v>
      </c>
      <c r="B1761" s="6" t="s">
        <v>583</v>
      </c>
      <c r="C1761" s="6" t="s">
        <v>159</v>
      </c>
      <c r="D1761" s="8" t="s">
        <v>89</v>
      </c>
      <c r="E1761" s="6" t="s">
        <v>3117</v>
      </c>
      <c r="F1761" s="6" t="s">
        <v>98</v>
      </c>
      <c r="G1761" s="11" t="s">
        <v>56</v>
      </c>
      <c r="H1761" s="10" t="s">
        <v>3431</v>
      </c>
      <c r="I1761" s="6" t="s">
        <v>3432</v>
      </c>
      <c r="J1761" s="12">
        <v>46121.543032407404</v>
      </c>
      <c r="K1761" s="6" t="e" cm="1">
        <f t="array" ref="K1761">LOOKUP(2^15,SEARCH(Tabela2[Palavras-Chave],Boletim[[#This Row],[Objeto]],1),Tabela2[Palavras-Chave])</f>
        <v>#N/A</v>
      </c>
    </row>
    <row r="1762" spans="1:11" ht="409.6" hidden="1" x14ac:dyDescent="0.3">
      <c r="A1762" s="5">
        <v>18593207</v>
      </c>
      <c r="B1762" s="6" t="s">
        <v>583</v>
      </c>
      <c r="C1762" s="6" t="s">
        <v>159</v>
      </c>
      <c r="D1762" s="8" t="s">
        <v>89</v>
      </c>
      <c r="E1762" s="6" t="s">
        <v>3120</v>
      </c>
      <c r="F1762" s="6" t="s">
        <v>98</v>
      </c>
      <c r="G1762" s="11" t="s">
        <v>56</v>
      </c>
      <c r="H1762" s="10" t="s">
        <v>3433</v>
      </c>
      <c r="I1762" s="6" t="s">
        <v>3434</v>
      </c>
      <c r="J1762" s="12">
        <v>46121.543599537035</v>
      </c>
      <c r="K1762" s="6" t="e" cm="1">
        <f t="array" ref="K1762">LOOKUP(2^15,SEARCH(Tabela2[Palavras-Chave],Boletim[[#This Row],[Objeto]],1),Tabela2[Palavras-Chave])</f>
        <v>#N/A</v>
      </c>
    </row>
    <row r="1763" spans="1:11" ht="172.8" hidden="1" x14ac:dyDescent="0.3">
      <c r="A1763" s="5">
        <v>18328857</v>
      </c>
      <c r="B1763" s="6" t="s">
        <v>3435</v>
      </c>
      <c r="C1763" s="6" t="s">
        <v>3436</v>
      </c>
      <c r="D1763" s="8" t="s">
        <v>92</v>
      </c>
      <c r="E1763" s="6" t="s">
        <v>630</v>
      </c>
      <c r="F1763" s="6" t="s">
        <v>98</v>
      </c>
      <c r="G1763" s="11" t="s">
        <v>56</v>
      </c>
      <c r="H1763" s="10" t="s">
        <v>3437</v>
      </c>
      <c r="I1763" s="6" t="s">
        <v>3438</v>
      </c>
      <c r="J1763" s="12">
        <v>46121.602870370371</v>
      </c>
      <c r="K1763" s="6" t="e" cm="1">
        <f t="array" ref="K1763">LOOKUP(2^15,SEARCH(Tabela2[Palavras-Chave],Boletim[[#This Row],[Objeto]],1),Tabela2[Palavras-Chave])</f>
        <v>#N/A</v>
      </c>
    </row>
    <row r="1764" spans="1:11" ht="100.8" hidden="1" x14ac:dyDescent="0.3">
      <c r="A1764" s="5">
        <v>18168769</v>
      </c>
      <c r="B1764" s="6" t="s">
        <v>2724</v>
      </c>
      <c r="C1764" s="6" t="s">
        <v>2725</v>
      </c>
      <c r="D1764" s="8" t="s">
        <v>72</v>
      </c>
      <c r="E1764" s="6" t="s">
        <v>2726</v>
      </c>
      <c r="F1764" s="6" t="s">
        <v>98</v>
      </c>
      <c r="G1764" s="11" t="s">
        <v>56</v>
      </c>
      <c r="H1764" s="10" t="s">
        <v>2727</v>
      </c>
      <c r="I1764" s="6" t="s">
        <v>2728</v>
      </c>
      <c r="J1764" s="12">
        <v>46121.807152777779</v>
      </c>
      <c r="K1764" s="6" t="e" cm="1">
        <f t="array" ref="K1764">LOOKUP(2^15,SEARCH(Tabela2[Palavras-Chave],Boletim[[#This Row],[Objeto]],1),Tabela2[Palavras-Chave])</f>
        <v>#N/A</v>
      </c>
    </row>
    <row r="1765" spans="1:11" ht="409.6" x14ac:dyDescent="0.3">
      <c r="A1765" s="5">
        <v>18666924</v>
      </c>
      <c r="B1765" s="6" t="s">
        <v>361</v>
      </c>
      <c r="C1765" s="6" t="s">
        <v>362</v>
      </c>
      <c r="D1765" s="8" t="s">
        <v>81</v>
      </c>
      <c r="E1765" s="6" t="s">
        <v>3439</v>
      </c>
      <c r="F1765" s="6" t="s">
        <v>98</v>
      </c>
      <c r="G1765" s="11" t="s">
        <v>56</v>
      </c>
      <c r="H1765" s="10" t="s">
        <v>3440</v>
      </c>
      <c r="I1765" s="6" t="s">
        <v>3441</v>
      </c>
      <c r="J1765" s="12">
        <v>46121.770682870374</v>
      </c>
      <c r="K1765" s="6" t="str" cm="1">
        <f t="array" ref="K1765">LOOKUP(2^15,SEARCH(Tabela2[Palavras-Chave],Boletim[[#This Row],[Objeto]],1),Tabela2[Palavras-Chave])</f>
        <v>EFICIÊNCIA</v>
      </c>
    </row>
    <row r="1766" spans="1:11" ht="187.2" hidden="1" x14ac:dyDescent="0.3">
      <c r="A1766" s="5">
        <v>18719707</v>
      </c>
      <c r="B1766" s="6" t="s">
        <v>2729</v>
      </c>
      <c r="C1766" s="6" t="s">
        <v>2730</v>
      </c>
      <c r="D1766" s="8" t="s">
        <v>64</v>
      </c>
      <c r="E1766" s="6" t="s">
        <v>135</v>
      </c>
      <c r="F1766" s="6" t="s">
        <v>257</v>
      </c>
      <c r="G1766" s="11" t="s">
        <v>56</v>
      </c>
      <c r="H1766" s="10" t="s">
        <v>2731</v>
      </c>
      <c r="I1766" s="6" t="s">
        <v>2732</v>
      </c>
      <c r="J1766" s="12">
        <v>46121.852638888886</v>
      </c>
      <c r="K1766" s="6" t="e" cm="1">
        <f t="array" ref="K1766">LOOKUP(2^15,SEARCH(Tabela2[Palavras-Chave],Boletim[[#This Row],[Objeto]],1),Tabela2[Palavras-Chave])</f>
        <v>#N/A</v>
      </c>
    </row>
    <row r="1767" spans="1:11" ht="409.6" hidden="1" x14ac:dyDescent="0.3">
      <c r="A1767" s="5">
        <v>18489685</v>
      </c>
      <c r="B1767" s="6" t="s">
        <v>3442</v>
      </c>
      <c r="C1767" s="6" t="s">
        <v>3443</v>
      </c>
      <c r="D1767" s="8" t="s">
        <v>72</v>
      </c>
      <c r="E1767" s="6" t="s">
        <v>3444</v>
      </c>
      <c r="F1767" s="6" t="s">
        <v>257</v>
      </c>
      <c r="G1767" s="11" t="s">
        <v>56</v>
      </c>
      <c r="H1767" s="10" t="s">
        <v>3445</v>
      </c>
      <c r="I1767" s="6" t="s">
        <v>3446</v>
      </c>
      <c r="J1767" s="12">
        <v>46121.468738425923</v>
      </c>
      <c r="K1767" s="6" t="e" cm="1">
        <f t="array" ref="K1767">LOOKUP(2^15,SEARCH(Tabela2[Palavras-Chave],Boletim[[#This Row],[Objeto]],1),Tabela2[Palavras-Chave])</f>
        <v>#N/A</v>
      </c>
    </row>
    <row r="1768" spans="1:11" ht="409.6" hidden="1" x14ac:dyDescent="0.3">
      <c r="A1768" s="5">
        <v>18644335</v>
      </c>
      <c r="B1768" s="6" t="s">
        <v>3447</v>
      </c>
      <c r="C1768" s="6" t="s">
        <v>3448</v>
      </c>
      <c r="D1768" s="8" t="s">
        <v>72</v>
      </c>
      <c r="E1768" s="6" t="s">
        <v>108</v>
      </c>
      <c r="F1768" s="6" t="s">
        <v>257</v>
      </c>
      <c r="G1768" s="11" t="s">
        <v>56</v>
      </c>
      <c r="H1768" s="10" t="s">
        <v>3449</v>
      </c>
      <c r="I1768" s="6" t="s">
        <v>3450</v>
      </c>
      <c r="J1768" s="12">
        <v>46121.569039351853</v>
      </c>
      <c r="K1768" s="6" t="e" cm="1">
        <f t="array" ref="K1768">LOOKUP(2^15,SEARCH(Tabela2[Palavras-Chave],Boletim[[#This Row],[Objeto]],1),Tabela2[Palavras-Chave])</f>
        <v>#N/A</v>
      </c>
    </row>
    <row r="1769" spans="1:11" ht="129.6" hidden="1" x14ac:dyDescent="0.3">
      <c r="A1769" s="5">
        <v>18357317</v>
      </c>
      <c r="B1769" s="6" t="s">
        <v>712</v>
      </c>
      <c r="C1769" s="6" t="s">
        <v>87</v>
      </c>
      <c r="D1769" s="8" t="s">
        <v>86</v>
      </c>
      <c r="E1769" s="6" t="s">
        <v>713</v>
      </c>
      <c r="F1769" s="6" t="s">
        <v>258</v>
      </c>
      <c r="G1769" s="11">
        <v>46142.333333333336</v>
      </c>
      <c r="H1769" s="10" t="s">
        <v>714</v>
      </c>
      <c r="I1769" s="6" t="s">
        <v>715</v>
      </c>
      <c r="J1769" s="12">
        <v>46121.554895833331</v>
      </c>
      <c r="K1769" s="6" t="e" cm="1">
        <f t="array" ref="K1769">LOOKUP(2^15,SEARCH(Tabela2[Palavras-Chave],Boletim[[#This Row],[Objeto]],1),Tabela2[Palavras-Chave])</f>
        <v>#N/A</v>
      </c>
    </row>
    <row r="1770" spans="1:11" ht="115.2" hidden="1" x14ac:dyDescent="0.3">
      <c r="A1770" s="5">
        <v>18802524</v>
      </c>
      <c r="B1770" s="6" t="s">
        <v>625</v>
      </c>
      <c r="C1770" s="6" t="s">
        <v>88</v>
      </c>
      <c r="D1770" s="8" t="s">
        <v>63</v>
      </c>
      <c r="E1770" s="6" t="s">
        <v>245</v>
      </c>
      <c r="F1770" s="6" t="s">
        <v>258</v>
      </c>
      <c r="G1770" s="11">
        <v>46127.583333333336</v>
      </c>
      <c r="H1770" s="10" t="s">
        <v>626</v>
      </c>
      <c r="I1770" s="6" t="s">
        <v>627</v>
      </c>
      <c r="J1770" s="12">
        <v>46121.548645833333</v>
      </c>
      <c r="K1770" s="6" t="e" cm="1">
        <f t="array" ref="K1770">LOOKUP(2^15,SEARCH(Tabela2[Palavras-Chave],Boletim[[#This Row],[Objeto]],1),Tabela2[Palavras-Chave])</f>
        <v>#N/A</v>
      </c>
    </row>
    <row r="1771" spans="1:11" ht="57.6" hidden="1" x14ac:dyDescent="0.3">
      <c r="A1771" s="5">
        <v>18803760</v>
      </c>
      <c r="B1771" s="6" t="s">
        <v>628</v>
      </c>
      <c r="C1771" s="6" t="s">
        <v>629</v>
      </c>
      <c r="D1771" s="8" t="s">
        <v>63</v>
      </c>
      <c r="E1771" s="6" t="s">
        <v>630</v>
      </c>
      <c r="F1771" s="6" t="s">
        <v>258</v>
      </c>
      <c r="G1771" s="11">
        <v>46136.354166666664</v>
      </c>
      <c r="H1771" s="10" t="s">
        <v>631</v>
      </c>
      <c r="I1771" s="6" t="s">
        <v>632</v>
      </c>
      <c r="J1771" s="12">
        <v>46121.81045138889</v>
      </c>
      <c r="K1771" s="6" t="e" cm="1">
        <f t="array" ref="K1771">LOOKUP(2^15,SEARCH(Tabela2[Palavras-Chave],Boletim[[#This Row],[Objeto]],1),Tabela2[Palavras-Chave])</f>
        <v>#N/A</v>
      </c>
    </row>
    <row r="1772" spans="1:11" ht="28.8" hidden="1" x14ac:dyDescent="0.3">
      <c r="A1772" s="5">
        <v>18799085</v>
      </c>
      <c r="B1772" s="6" t="s">
        <v>436</v>
      </c>
      <c r="C1772" s="6" t="s">
        <v>437</v>
      </c>
      <c r="D1772" s="8" t="s">
        <v>64</v>
      </c>
      <c r="E1772" s="6" t="s">
        <v>2733</v>
      </c>
      <c r="F1772" s="6" t="s">
        <v>258</v>
      </c>
      <c r="G1772" s="11">
        <v>46122.333333333336</v>
      </c>
      <c r="H1772" s="10" t="s">
        <v>2734</v>
      </c>
      <c r="I1772" s="6" t="s">
        <v>2735</v>
      </c>
      <c r="J1772" s="12">
        <v>46121.481319444443</v>
      </c>
      <c r="K1772" s="6" t="e" cm="1">
        <f t="array" ref="K1772">LOOKUP(2^15,SEARCH(Tabela2[Palavras-Chave],Boletim[[#This Row],[Objeto]],1),Tabela2[Palavras-Chave])</f>
        <v>#N/A</v>
      </c>
    </row>
    <row r="1773" spans="1:11" ht="115.2" hidden="1" x14ac:dyDescent="0.3">
      <c r="A1773" s="5">
        <v>18804625</v>
      </c>
      <c r="B1773" s="6" t="s">
        <v>639</v>
      </c>
      <c r="C1773" s="6" t="s">
        <v>159</v>
      </c>
      <c r="D1773" s="8" t="s">
        <v>89</v>
      </c>
      <c r="E1773" s="6" t="s">
        <v>643</v>
      </c>
      <c r="F1773" s="6" t="s">
        <v>258</v>
      </c>
      <c r="G1773" s="11">
        <v>46146.385416666664</v>
      </c>
      <c r="H1773" s="10" t="s">
        <v>644</v>
      </c>
      <c r="I1773" s="6" t="s">
        <v>645</v>
      </c>
      <c r="J1773" s="12">
        <v>46121.552812499998</v>
      </c>
      <c r="K1773" s="6" t="e" cm="1">
        <f t="array" ref="K1773">LOOKUP(2^15,SEARCH(Tabela2[Palavras-Chave],Boletim[[#This Row],[Objeto]],1),Tabela2[Palavras-Chave])</f>
        <v>#N/A</v>
      </c>
    </row>
    <row r="1774" spans="1:11" ht="115.2" hidden="1" x14ac:dyDescent="0.3">
      <c r="A1774" s="5">
        <v>18804624</v>
      </c>
      <c r="B1774" s="6" t="s">
        <v>639</v>
      </c>
      <c r="C1774" s="6" t="s">
        <v>159</v>
      </c>
      <c r="D1774" s="8" t="s">
        <v>89</v>
      </c>
      <c r="E1774" s="6" t="s">
        <v>640</v>
      </c>
      <c r="F1774" s="6" t="s">
        <v>258</v>
      </c>
      <c r="G1774" s="11">
        <v>46135.385416666664</v>
      </c>
      <c r="H1774" s="10" t="s">
        <v>641</v>
      </c>
      <c r="I1774" s="6" t="s">
        <v>642</v>
      </c>
      <c r="J1774" s="12">
        <v>46121.56045138889</v>
      </c>
      <c r="K1774" s="6" t="e" cm="1">
        <f t="array" ref="K1774">LOOKUP(2^15,SEARCH(Tabela2[Palavras-Chave],Boletim[[#This Row],[Objeto]],1),Tabela2[Palavras-Chave])</f>
        <v>#N/A</v>
      </c>
    </row>
    <row r="1775" spans="1:11" ht="144" hidden="1" x14ac:dyDescent="0.3">
      <c r="A1775" s="5">
        <v>18791091</v>
      </c>
      <c r="B1775" s="6" t="s">
        <v>583</v>
      </c>
      <c r="C1775" s="6" t="s">
        <v>159</v>
      </c>
      <c r="D1775" s="8" t="s">
        <v>89</v>
      </c>
      <c r="E1775" s="6" t="s">
        <v>2736</v>
      </c>
      <c r="F1775" s="6" t="s">
        <v>258</v>
      </c>
      <c r="G1775" s="11">
        <v>46213.375</v>
      </c>
      <c r="H1775" s="10" t="s">
        <v>2737</v>
      </c>
      <c r="I1775" s="6" t="s">
        <v>2738</v>
      </c>
      <c r="J1775" s="12">
        <v>46121.669479166667</v>
      </c>
      <c r="K1775" s="6" t="e" cm="1">
        <f t="array" ref="K1775">LOOKUP(2^15,SEARCH(Tabela2[Palavras-Chave],Boletim[[#This Row],[Objeto]],1),Tabela2[Palavras-Chave])</f>
        <v>#N/A</v>
      </c>
    </row>
    <row r="1776" spans="1:11" ht="172.8" hidden="1" x14ac:dyDescent="0.3">
      <c r="A1776" s="5">
        <v>18791212</v>
      </c>
      <c r="B1776" s="6" t="s">
        <v>583</v>
      </c>
      <c r="C1776" s="6" t="s">
        <v>159</v>
      </c>
      <c r="D1776" s="8" t="s">
        <v>89</v>
      </c>
      <c r="E1776" s="6" t="s">
        <v>3451</v>
      </c>
      <c r="F1776" s="6" t="s">
        <v>258</v>
      </c>
      <c r="G1776" s="11">
        <v>46213.645833333336</v>
      </c>
      <c r="H1776" s="10" t="s">
        <v>3452</v>
      </c>
      <c r="I1776" s="6" t="s">
        <v>3453</v>
      </c>
      <c r="J1776" s="12">
        <v>46121.66951388889</v>
      </c>
      <c r="K1776" s="6" t="e" cm="1">
        <f t="array" ref="K1776">LOOKUP(2^15,SEARCH(Tabela2[Palavras-Chave],Boletim[[#This Row],[Objeto]],1),Tabela2[Palavras-Chave])</f>
        <v>#N/A</v>
      </c>
    </row>
    <row r="1777" spans="1:11" ht="172.8" hidden="1" x14ac:dyDescent="0.3">
      <c r="A1777" s="5">
        <v>18791195</v>
      </c>
      <c r="B1777" s="6" t="s">
        <v>583</v>
      </c>
      <c r="C1777" s="6" t="s">
        <v>159</v>
      </c>
      <c r="D1777" s="8" t="s">
        <v>89</v>
      </c>
      <c r="E1777" s="6" t="s">
        <v>3454</v>
      </c>
      <c r="F1777" s="6" t="s">
        <v>258</v>
      </c>
      <c r="G1777" s="11">
        <v>46213.458333333336</v>
      </c>
      <c r="H1777" s="10" t="s">
        <v>3455</v>
      </c>
      <c r="I1777" s="6" t="s">
        <v>3456</v>
      </c>
      <c r="J1777" s="12">
        <v>46121.66951388889</v>
      </c>
      <c r="K1777" s="6" t="e" cm="1">
        <f t="array" ref="K1777">LOOKUP(2^15,SEARCH(Tabela2[Palavras-Chave],Boletim[[#This Row],[Objeto]],1),Tabela2[Palavras-Chave])</f>
        <v>#N/A</v>
      </c>
    </row>
    <row r="1778" spans="1:11" ht="115.2" hidden="1" x14ac:dyDescent="0.3">
      <c r="A1778" s="5">
        <v>18807326</v>
      </c>
      <c r="B1778" s="6" t="s">
        <v>2739</v>
      </c>
      <c r="C1778" s="6" t="s">
        <v>123</v>
      </c>
      <c r="D1778" s="8" t="s">
        <v>67</v>
      </c>
      <c r="E1778" s="6" t="s">
        <v>620</v>
      </c>
      <c r="F1778" s="6" t="s">
        <v>258</v>
      </c>
      <c r="G1778" s="11">
        <v>46147.59375</v>
      </c>
      <c r="H1778" s="10" t="s">
        <v>2740</v>
      </c>
      <c r="I1778" s="6" t="s">
        <v>2741</v>
      </c>
      <c r="J1778" s="12">
        <v>46121.557685185187</v>
      </c>
      <c r="K1778" s="6" t="e" cm="1">
        <f t="array" ref="K1778">LOOKUP(2^15,SEARCH(Tabela2[Palavras-Chave],Boletim[[#This Row],[Objeto]],1),Tabela2[Palavras-Chave])</f>
        <v>#N/A</v>
      </c>
    </row>
    <row r="1779" spans="1:11" ht="129.6" hidden="1" x14ac:dyDescent="0.3">
      <c r="A1779" s="5">
        <v>18603403</v>
      </c>
      <c r="B1779" s="6" t="s">
        <v>2739</v>
      </c>
      <c r="C1779" s="6" t="s">
        <v>123</v>
      </c>
      <c r="D1779" s="8" t="s">
        <v>67</v>
      </c>
      <c r="E1779" s="6" t="s">
        <v>158</v>
      </c>
      <c r="F1779" s="6" t="s">
        <v>258</v>
      </c>
      <c r="G1779" s="11">
        <v>46135.395833333336</v>
      </c>
      <c r="H1779" s="10" t="s">
        <v>2742</v>
      </c>
      <c r="I1779" s="6" t="s">
        <v>2743</v>
      </c>
      <c r="J1779" s="12">
        <v>46121.561851851853</v>
      </c>
      <c r="K1779" s="6" t="e" cm="1">
        <f t="array" ref="K1779">LOOKUP(2^15,SEARCH(Tabela2[Palavras-Chave],Boletim[[#This Row],[Objeto]],1),Tabela2[Palavras-Chave])</f>
        <v>#N/A</v>
      </c>
    </row>
    <row r="1780" spans="1:11" ht="158.4" x14ac:dyDescent="0.3">
      <c r="A1780" s="5">
        <v>18804619</v>
      </c>
      <c r="B1780" s="6" t="s">
        <v>454</v>
      </c>
      <c r="C1780" s="6" t="s">
        <v>455</v>
      </c>
      <c r="D1780" s="8" t="s">
        <v>91</v>
      </c>
      <c r="E1780" s="6" t="s">
        <v>143</v>
      </c>
      <c r="F1780" s="6" t="s">
        <v>258</v>
      </c>
      <c r="G1780" s="11">
        <v>46134.354166666664</v>
      </c>
      <c r="H1780" s="10" t="s">
        <v>456</v>
      </c>
      <c r="I1780" s="6" t="s">
        <v>457</v>
      </c>
      <c r="J1780" s="12">
        <v>46121.553506944445</v>
      </c>
      <c r="K1780" s="6" t="str" cm="1">
        <f t="array" ref="K1780">LOOKUP(2^15,SEARCH(Tabela2[Palavras-Chave],Boletim[[#This Row],[Objeto]],1),Tabela2[Palavras-Chave])</f>
        <v>DIAGNÓSTICO</v>
      </c>
    </row>
    <row r="1781" spans="1:11" ht="129.6" hidden="1" x14ac:dyDescent="0.3">
      <c r="A1781" s="5">
        <v>18744500</v>
      </c>
      <c r="B1781" s="6" t="s">
        <v>465</v>
      </c>
      <c r="C1781" s="6" t="s">
        <v>69</v>
      </c>
      <c r="D1781" s="8" t="s">
        <v>70</v>
      </c>
      <c r="E1781" s="6" t="s">
        <v>2744</v>
      </c>
      <c r="F1781" s="6" t="s">
        <v>258</v>
      </c>
      <c r="G1781" s="11">
        <v>46127.375</v>
      </c>
      <c r="H1781" s="10" t="s">
        <v>2745</v>
      </c>
      <c r="I1781" s="6" t="s">
        <v>2746</v>
      </c>
      <c r="J1781" s="12">
        <v>46121.538969907408</v>
      </c>
      <c r="K1781" s="6" t="e" cm="1">
        <f t="array" ref="K1781">LOOKUP(2^15,SEARCH(Tabela2[Palavras-Chave],Boletim[[#This Row],[Objeto]],1),Tabela2[Palavras-Chave])</f>
        <v>#N/A</v>
      </c>
    </row>
    <row r="1782" spans="1:11" ht="187.2" hidden="1" x14ac:dyDescent="0.3">
      <c r="A1782" s="5">
        <v>18788361</v>
      </c>
      <c r="B1782" s="6" t="s">
        <v>2747</v>
      </c>
      <c r="C1782" s="6" t="s">
        <v>2748</v>
      </c>
      <c r="D1782" s="8" t="s">
        <v>72</v>
      </c>
      <c r="E1782" s="6" t="s">
        <v>119</v>
      </c>
      <c r="F1782" s="6" t="s">
        <v>258</v>
      </c>
      <c r="G1782" s="11" t="s">
        <v>56</v>
      </c>
      <c r="H1782" s="10" t="s">
        <v>2749</v>
      </c>
      <c r="I1782" s="6" t="s">
        <v>2750</v>
      </c>
      <c r="J1782" s="12">
        <v>46121.482673611114</v>
      </c>
      <c r="K1782" s="6" t="e" cm="1">
        <f t="array" ref="K1782">LOOKUP(2^15,SEARCH(Tabela2[Palavras-Chave],Boletim[[#This Row],[Objeto]],1),Tabela2[Palavras-Chave])</f>
        <v>#N/A</v>
      </c>
    </row>
    <row r="1783" spans="1:11" ht="86.4" hidden="1" x14ac:dyDescent="0.3">
      <c r="A1783" s="5">
        <v>18798289</v>
      </c>
      <c r="B1783" s="6" t="s">
        <v>156</v>
      </c>
      <c r="C1783" s="6" t="s">
        <v>73</v>
      </c>
      <c r="D1783" s="8" t="s">
        <v>72</v>
      </c>
      <c r="E1783" s="6" t="s">
        <v>2751</v>
      </c>
      <c r="F1783" s="6" t="s">
        <v>258</v>
      </c>
      <c r="G1783" s="11">
        <v>46146.375</v>
      </c>
      <c r="H1783" s="10" t="s">
        <v>2752</v>
      </c>
      <c r="I1783" s="6" t="s">
        <v>2753</v>
      </c>
      <c r="J1783" s="12">
        <v>46121.554212962961</v>
      </c>
      <c r="K1783" s="6" t="e" cm="1">
        <f t="array" ref="K1783">LOOKUP(2^15,SEARCH(Tabela2[Palavras-Chave],Boletim[[#This Row],[Objeto]],1),Tabela2[Palavras-Chave])</f>
        <v>#N/A</v>
      </c>
    </row>
    <row r="1784" spans="1:11" ht="129.6" hidden="1" x14ac:dyDescent="0.3">
      <c r="A1784" s="5">
        <v>18699805</v>
      </c>
      <c r="B1784" s="6" t="s">
        <v>156</v>
      </c>
      <c r="C1784" s="6" t="s">
        <v>73</v>
      </c>
      <c r="D1784" s="8" t="s">
        <v>72</v>
      </c>
      <c r="E1784" s="6" t="s">
        <v>602</v>
      </c>
      <c r="F1784" s="6" t="s">
        <v>258</v>
      </c>
      <c r="G1784" s="11">
        <v>46122.458333333336</v>
      </c>
      <c r="H1784" s="10" t="s">
        <v>603</v>
      </c>
      <c r="I1784" s="6" t="s">
        <v>604</v>
      </c>
      <c r="J1784" s="12">
        <v>46121.556967592594</v>
      </c>
      <c r="K1784" s="6" t="e" cm="1">
        <f t="array" ref="K1784">LOOKUP(2^15,SEARCH(Tabela2[Palavras-Chave],Boletim[[#This Row],[Objeto]],1),Tabela2[Palavras-Chave])</f>
        <v>#N/A</v>
      </c>
    </row>
    <row r="1785" spans="1:11" ht="129.6" hidden="1" x14ac:dyDescent="0.3">
      <c r="A1785" s="5">
        <v>18799748</v>
      </c>
      <c r="B1785" s="6" t="s">
        <v>2754</v>
      </c>
      <c r="C1785" s="6" t="s">
        <v>83</v>
      </c>
      <c r="D1785" s="8" t="s">
        <v>82</v>
      </c>
      <c r="E1785" s="6" t="s">
        <v>2755</v>
      </c>
      <c r="F1785" s="6" t="s">
        <v>258</v>
      </c>
      <c r="G1785" s="11">
        <v>46122.416666666664</v>
      </c>
      <c r="H1785" s="10" t="s">
        <v>2756</v>
      </c>
      <c r="I1785" s="6" t="s">
        <v>2757</v>
      </c>
      <c r="J1785" s="12">
        <v>46121.544490740744</v>
      </c>
      <c r="K1785" s="6" t="e" cm="1">
        <f t="array" ref="K1785">LOOKUP(2^15,SEARCH(Tabela2[Palavras-Chave],Boletim[[#This Row],[Objeto]],1),Tabela2[Palavras-Chave])</f>
        <v>#N/A</v>
      </c>
    </row>
    <row r="1786" spans="1:11" ht="115.2" hidden="1" x14ac:dyDescent="0.3">
      <c r="A1786" s="5">
        <v>18804686</v>
      </c>
      <c r="B1786" s="6" t="s">
        <v>253</v>
      </c>
      <c r="C1786" s="6" t="s">
        <v>164</v>
      </c>
      <c r="D1786" s="8" t="s">
        <v>82</v>
      </c>
      <c r="E1786" s="6" t="s">
        <v>294</v>
      </c>
      <c r="F1786" s="6" t="s">
        <v>258</v>
      </c>
      <c r="G1786" s="11">
        <v>46134.333333333336</v>
      </c>
      <c r="H1786" s="10" t="s">
        <v>703</v>
      </c>
      <c r="I1786" s="6" t="s">
        <v>704</v>
      </c>
      <c r="J1786" s="12">
        <v>46121.545173611114</v>
      </c>
      <c r="K1786" s="6" t="e" cm="1">
        <f t="array" ref="K1786">LOOKUP(2^15,SEARCH(Tabela2[Palavras-Chave],Boletim[[#This Row],[Objeto]],1),Tabela2[Palavras-Chave])</f>
        <v>#N/A</v>
      </c>
    </row>
    <row r="1787" spans="1:11" ht="115.2" hidden="1" x14ac:dyDescent="0.3">
      <c r="A1787" s="5">
        <v>18804621</v>
      </c>
      <c r="B1787" s="6" t="s">
        <v>253</v>
      </c>
      <c r="C1787" s="6" t="s">
        <v>164</v>
      </c>
      <c r="D1787" s="8" t="s">
        <v>82</v>
      </c>
      <c r="E1787" s="6" t="s">
        <v>545</v>
      </c>
      <c r="F1787" s="6" t="s">
        <v>258</v>
      </c>
      <c r="G1787" s="11">
        <v>46136.333333333336</v>
      </c>
      <c r="H1787" s="10" t="s">
        <v>546</v>
      </c>
      <c r="I1787" s="6" t="s">
        <v>547</v>
      </c>
      <c r="J1787" s="12">
        <v>46121.554884259262</v>
      </c>
      <c r="K1787" s="6" t="e" cm="1">
        <f t="array" ref="K1787">LOOKUP(2^15,SEARCH(Tabela2[Palavras-Chave],Boletim[[#This Row],[Objeto]],1),Tabela2[Palavras-Chave])</f>
        <v>#N/A</v>
      </c>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DestacarPalavras">
                <anchor moveWithCells="1" sizeWithCells="1">
                  <from>
                    <xdr:col>0</xdr:col>
                    <xdr:colOff>0</xdr:colOff>
                    <xdr:row>0</xdr:row>
                    <xdr:rowOff>0</xdr:rowOff>
                  </from>
                  <to>
                    <xdr:col>1</xdr:col>
                    <xdr:colOff>0</xdr:colOff>
                    <xdr:row>1</xdr:row>
                    <xdr:rowOff>22860</xdr:rowOff>
                  </to>
                </anchor>
              </controlPr>
            </control>
          </mc:Choice>
        </mc:AlternateContent>
        <mc:AlternateContent xmlns:mc="http://schemas.openxmlformats.org/markup-compatibility/2006">
          <mc:Choice Requires="x14">
            <control shapeId="1028" r:id="rId5" name="Button 4">
              <controlPr defaultSize="0" print="0" autoFill="0" autoPict="0" macro="[0]!SalvarCopiaLimpaELimparOriginal">
                <anchor moveWithCells="1" sizeWithCells="1">
                  <from>
                    <xdr:col>1</xdr:col>
                    <xdr:colOff>7620</xdr:colOff>
                    <xdr:row>0</xdr:row>
                    <xdr:rowOff>7620</xdr:rowOff>
                  </from>
                  <to>
                    <xdr:col>1</xdr:col>
                    <xdr:colOff>960120</xdr:colOff>
                    <xdr:row>1</xdr:row>
                    <xdr:rowOff>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A42"/>
  <sheetViews>
    <sheetView topLeftCell="A31" workbookViewId="0">
      <selection activeCell="A42" sqref="A42"/>
    </sheetView>
  </sheetViews>
  <sheetFormatPr defaultColWidth="9.109375" defaultRowHeight="14.4" x14ac:dyDescent="0.3"/>
  <cols>
    <col min="1" max="1" width="19.88671875" style="1" customWidth="1"/>
    <col min="2" max="16384" width="9.109375" style="1"/>
  </cols>
  <sheetData>
    <row r="1" spans="1:1" x14ac:dyDescent="0.3">
      <c r="A1" s="3" t="s">
        <v>0</v>
      </c>
    </row>
    <row r="2" spans="1:1" x14ac:dyDescent="0.3">
      <c r="A2" s="2" t="s">
        <v>48</v>
      </c>
    </row>
    <row r="3" spans="1:1" x14ac:dyDescent="0.3">
      <c r="A3" s="2" t="s">
        <v>5</v>
      </c>
    </row>
    <row r="4" spans="1:1" x14ac:dyDescent="0.3">
      <c r="A4" s="2" t="s">
        <v>47</v>
      </c>
    </row>
    <row r="5" spans="1:1" x14ac:dyDescent="0.3">
      <c r="A5" s="2" t="s">
        <v>6</v>
      </c>
    </row>
    <row r="6" spans="1:1" x14ac:dyDescent="0.3">
      <c r="A6" s="2" t="s">
        <v>7</v>
      </c>
    </row>
    <row r="7" spans="1:1" x14ac:dyDescent="0.3">
      <c r="A7" s="2" t="s">
        <v>8</v>
      </c>
    </row>
    <row r="8" spans="1:1" x14ac:dyDescent="0.3">
      <c r="A8" s="2" t="s">
        <v>4</v>
      </c>
    </row>
    <row r="9" spans="1:1" x14ac:dyDescent="0.3">
      <c r="A9" s="2" t="s">
        <v>3</v>
      </c>
    </row>
    <row r="10" spans="1:1" x14ac:dyDescent="0.3">
      <c r="A10" s="2" t="s">
        <v>1</v>
      </c>
    </row>
    <row r="11" spans="1:1" x14ac:dyDescent="0.3">
      <c r="A11" s="2" t="s">
        <v>2</v>
      </c>
    </row>
    <row r="12" spans="1:1" x14ac:dyDescent="0.3">
      <c r="A12" s="2" t="s">
        <v>15</v>
      </c>
    </row>
    <row r="13" spans="1:1" x14ac:dyDescent="0.3">
      <c r="A13" s="2" t="s">
        <v>13</v>
      </c>
    </row>
    <row r="14" spans="1:1" x14ac:dyDescent="0.3">
      <c r="A14" s="2" t="s">
        <v>12</v>
      </c>
    </row>
    <row r="15" spans="1:1" x14ac:dyDescent="0.3">
      <c r="A15" s="2" t="s">
        <v>11</v>
      </c>
    </row>
    <row r="16" spans="1:1" x14ac:dyDescent="0.3">
      <c r="A16" s="2" t="s">
        <v>14</v>
      </c>
    </row>
    <row r="17" spans="1:1" x14ac:dyDescent="0.3">
      <c r="A17" s="2" t="s">
        <v>9</v>
      </c>
    </row>
    <row r="18" spans="1:1" x14ac:dyDescent="0.3">
      <c r="A18" s="2" t="s">
        <v>10</v>
      </c>
    </row>
    <row r="19" spans="1:1" x14ac:dyDescent="0.3">
      <c r="A19" s="2" t="s">
        <v>11</v>
      </c>
    </row>
    <row r="20" spans="1:1" x14ac:dyDescent="0.3">
      <c r="A20" s="2" t="s">
        <v>12</v>
      </c>
    </row>
    <row r="21" spans="1:1" x14ac:dyDescent="0.3">
      <c r="A21" s="2" t="s">
        <v>16</v>
      </c>
    </row>
    <row r="22" spans="1:1" x14ac:dyDescent="0.3">
      <c r="A22" s="2" t="s">
        <v>17</v>
      </c>
    </row>
    <row r="23" spans="1:1" x14ac:dyDescent="0.3">
      <c r="A23" s="2" t="s">
        <v>18</v>
      </c>
    </row>
    <row r="24" spans="1:1" x14ac:dyDescent="0.3">
      <c r="A24" s="2" t="s">
        <v>19</v>
      </c>
    </row>
    <row r="25" spans="1:1" x14ac:dyDescent="0.3">
      <c r="A25" s="2" t="s">
        <v>20</v>
      </c>
    </row>
    <row r="26" spans="1:1" x14ac:dyDescent="0.3">
      <c r="A26" s="2" t="s">
        <v>21</v>
      </c>
    </row>
    <row r="27" spans="1:1" x14ac:dyDescent="0.3">
      <c r="A27" s="2" t="s">
        <v>22</v>
      </c>
    </row>
    <row r="28" spans="1:1" x14ac:dyDescent="0.3">
      <c r="A28" s="2" t="s">
        <v>23</v>
      </c>
    </row>
    <row r="29" spans="1:1" x14ac:dyDescent="0.3">
      <c r="A29" s="2" t="s">
        <v>24</v>
      </c>
    </row>
    <row r="30" spans="1:1" x14ac:dyDescent="0.3">
      <c r="A30" s="2" t="s">
        <v>25</v>
      </c>
    </row>
    <row r="31" spans="1:1" x14ac:dyDescent="0.3">
      <c r="A31" s="2" t="s">
        <v>26</v>
      </c>
    </row>
    <row r="32" spans="1:1" x14ac:dyDescent="0.3">
      <c r="A32" s="2" t="s">
        <v>27</v>
      </c>
    </row>
    <row r="33" spans="1:1" x14ac:dyDescent="0.3">
      <c r="A33" s="2" t="s">
        <v>28</v>
      </c>
    </row>
    <row r="34" spans="1:1" x14ac:dyDescent="0.3">
      <c r="A34" s="2" t="s">
        <v>29</v>
      </c>
    </row>
    <row r="35" spans="1:1" x14ac:dyDescent="0.3">
      <c r="A35" s="2" t="s">
        <v>30</v>
      </c>
    </row>
    <row r="36" spans="1:1" x14ac:dyDescent="0.3">
      <c r="A36" s="2" t="s">
        <v>31</v>
      </c>
    </row>
    <row r="37" spans="1:1" x14ac:dyDescent="0.3">
      <c r="A37" s="2" t="s">
        <v>46</v>
      </c>
    </row>
    <row r="38" spans="1:1" x14ac:dyDescent="0.3">
      <c r="A38" s="2" t="s">
        <v>32</v>
      </c>
    </row>
    <row r="39" spans="1:1" x14ac:dyDescent="0.3">
      <c r="A39" s="2" t="s">
        <v>33</v>
      </c>
    </row>
    <row r="40" spans="1:1" x14ac:dyDescent="0.3">
      <c r="A40" s="4" t="s">
        <v>34</v>
      </c>
    </row>
    <row r="41" spans="1:1" x14ac:dyDescent="0.3">
      <c r="A41" s="2" t="s">
        <v>103</v>
      </c>
    </row>
    <row r="42" spans="1:1" x14ac:dyDescent="0.3">
      <c r="A42" s="2" t="s">
        <v>49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212C6-FDFC-4D82-A87F-8A12781E7BC9}">
  <sheetPr codeName="Planilha3"/>
  <dimension ref="A1:L1787"/>
  <sheetViews>
    <sheetView tabSelected="1" topLeftCell="E1" zoomScale="85" zoomScaleNormal="85" workbookViewId="0">
      <selection activeCell="G38" sqref="G38"/>
    </sheetView>
  </sheetViews>
  <sheetFormatPr defaultColWidth="9.109375" defaultRowHeight="14.4" x14ac:dyDescent="0.3"/>
  <cols>
    <col min="1" max="1" width="25.44140625" style="5" bestFit="1" customWidth="1"/>
    <col min="2" max="2" width="80.88671875" style="7" bestFit="1" customWidth="1"/>
    <col min="3" max="3" width="25.88671875" style="7" bestFit="1" customWidth="1"/>
    <col min="4" max="4" width="12.109375" style="5" bestFit="1" customWidth="1"/>
    <col min="5" max="5" width="23.21875" style="7" bestFit="1" customWidth="1"/>
    <col min="6" max="6" width="17.33203125" style="7" bestFit="1" customWidth="1"/>
    <col min="7" max="7" width="13.5546875" style="9" bestFit="1" customWidth="1"/>
    <col min="8" max="8" width="13.5546875" style="9" customWidth="1"/>
    <col min="9" max="9" width="80.88671875" style="14" bestFit="1" customWidth="1"/>
    <col min="10" max="10" width="80.88671875" style="7" bestFit="1" customWidth="1"/>
    <col min="11" max="11" width="18.88671875" style="5" bestFit="1" customWidth="1"/>
    <col min="12" max="12" width="18.77734375" style="5" bestFit="1" customWidth="1"/>
    <col min="13" max="16384" width="9.109375" style="7"/>
  </cols>
  <sheetData>
    <row r="1" spans="1:12" s="19" customFormat="1" x14ac:dyDescent="0.3">
      <c r="A1" s="18" t="s">
        <v>35</v>
      </c>
      <c r="B1" s="18" t="s">
        <v>36</v>
      </c>
      <c r="C1" s="18" t="s">
        <v>37</v>
      </c>
      <c r="D1" s="18" t="s">
        <v>38</v>
      </c>
      <c r="E1" s="18" t="s">
        <v>39</v>
      </c>
      <c r="F1" s="18" t="s">
        <v>40</v>
      </c>
      <c r="G1" s="20" t="s">
        <v>41</v>
      </c>
      <c r="H1" s="20" t="s">
        <v>724</v>
      </c>
      <c r="I1" s="18" t="s">
        <v>42</v>
      </c>
      <c r="J1" s="18" t="s">
        <v>44</v>
      </c>
      <c r="K1" s="18" t="s">
        <v>43</v>
      </c>
      <c r="L1" s="18" t="s">
        <v>45</v>
      </c>
    </row>
    <row r="2" spans="1:12" ht="100.8" x14ac:dyDescent="0.3">
      <c r="A2" s="5">
        <v>18810867</v>
      </c>
      <c r="B2" s="6" t="s">
        <v>725</v>
      </c>
      <c r="C2" s="6" t="s">
        <v>87</v>
      </c>
      <c r="D2" s="8" t="s">
        <v>86</v>
      </c>
      <c r="E2" s="6" t="s">
        <v>726</v>
      </c>
      <c r="F2" s="6" t="s">
        <v>51</v>
      </c>
      <c r="G2" s="11">
        <v>46129.499305555553</v>
      </c>
      <c r="H2" s="11"/>
      <c r="I2" s="10" t="s">
        <v>727</v>
      </c>
      <c r="J2" s="6" t="s">
        <v>728</v>
      </c>
      <c r="K2" s="12">
        <v>46121.76662037037</v>
      </c>
      <c r="L2" s="6" t="str" cm="1">
        <f t="array" ref="L2">LOOKUP(2^15,SEARCH(Tabela2[Palavras-Chave],Boletim4[[#This Row],[Objeto]],1),Tabela2[Palavras-Chave])</f>
        <v>RESERVAT</v>
      </c>
    </row>
    <row r="3" spans="1:12" ht="100.8" hidden="1" x14ac:dyDescent="0.3">
      <c r="A3" s="5">
        <v>18806649</v>
      </c>
      <c r="B3" s="6" t="s">
        <v>729</v>
      </c>
      <c r="C3" s="6" t="s">
        <v>52</v>
      </c>
      <c r="D3" s="8" t="s">
        <v>50</v>
      </c>
      <c r="E3" s="6" t="s">
        <v>118</v>
      </c>
      <c r="F3" s="6" t="s">
        <v>51</v>
      </c>
      <c r="G3" s="11">
        <v>46127.333333333336</v>
      </c>
      <c r="H3" s="11"/>
      <c r="I3" s="10" t="s">
        <v>730</v>
      </c>
      <c r="J3" s="6" t="s">
        <v>731</v>
      </c>
      <c r="K3" s="12">
        <v>46121.435347222221</v>
      </c>
      <c r="L3" s="6" t="e" cm="1">
        <f t="array" ref="L3">LOOKUP(2^15,SEARCH(Tabela2[Palavras-Chave],Boletim4[[#This Row],[Objeto]],1),Tabela2[Palavras-Chave])</f>
        <v>#N/A</v>
      </c>
    </row>
    <row r="4" spans="1:12" ht="100.8" hidden="1" x14ac:dyDescent="0.3">
      <c r="A4" s="5">
        <v>18806669</v>
      </c>
      <c r="B4" s="6" t="s">
        <v>729</v>
      </c>
      <c r="C4" s="6" t="s">
        <v>52</v>
      </c>
      <c r="D4" s="8" t="s">
        <v>50</v>
      </c>
      <c r="E4" s="6" t="s">
        <v>105</v>
      </c>
      <c r="F4" s="6" t="s">
        <v>51</v>
      </c>
      <c r="G4" s="11">
        <v>46126.333333333336</v>
      </c>
      <c r="H4" s="11"/>
      <c r="I4" s="10" t="s">
        <v>732</v>
      </c>
      <c r="J4" s="6" t="s">
        <v>733</v>
      </c>
      <c r="K4" s="12">
        <v>46121.436388888891</v>
      </c>
      <c r="L4" s="6" t="e" cm="1">
        <f t="array" ref="L4">LOOKUP(2^15,SEARCH(Tabela2[Palavras-Chave],Boletim4[[#This Row],[Objeto]],1),Tabela2[Palavras-Chave])</f>
        <v>#N/A</v>
      </c>
    </row>
    <row r="5" spans="1:12" ht="72" hidden="1" x14ac:dyDescent="0.3">
      <c r="A5" s="5">
        <v>18769997</v>
      </c>
      <c r="B5" s="6" t="s">
        <v>74</v>
      </c>
      <c r="C5" s="6" t="s">
        <v>52</v>
      </c>
      <c r="D5" s="8" t="s">
        <v>50</v>
      </c>
      <c r="E5" s="6" t="s">
        <v>734</v>
      </c>
      <c r="F5" s="6" t="s">
        <v>51</v>
      </c>
      <c r="G5" s="11" t="s">
        <v>56</v>
      </c>
      <c r="H5" s="11"/>
      <c r="I5" s="10" t="s">
        <v>735</v>
      </c>
      <c r="J5" s="6" t="s">
        <v>736</v>
      </c>
      <c r="K5" s="12">
        <v>46121.440335648149</v>
      </c>
      <c r="L5" s="6" t="e" cm="1">
        <f t="array" ref="L5">LOOKUP(2^15,SEARCH(Tabela2[Palavras-Chave],Boletim4[[#This Row],[Objeto]],1),Tabela2[Palavras-Chave])</f>
        <v>#N/A</v>
      </c>
    </row>
    <row r="6" spans="1:12" ht="72" hidden="1" x14ac:dyDescent="0.3">
      <c r="A6" s="5">
        <v>18770046</v>
      </c>
      <c r="B6" s="6" t="s">
        <v>74</v>
      </c>
      <c r="C6" s="6" t="s">
        <v>52</v>
      </c>
      <c r="D6" s="8" t="s">
        <v>50</v>
      </c>
      <c r="E6" s="6" t="s">
        <v>737</v>
      </c>
      <c r="F6" s="6" t="s">
        <v>51</v>
      </c>
      <c r="G6" s="11" t="s">
        <v>56</v>
      </c>
      <c r="H6" s="11"/>
      <c r="I6" s="10" t="s">
        <v>738</v>
      </c>
      <c r="J6" s="6" t="s">
        <v>739</v>
      </c>
      <c r="K6" s="12">
        <v>46121.443090277775</v>
      </c>
      <c r="L6" s="6" t="e" cm="1">
        <f t="array" ref="L6">LOOKUP(2^15,SEARCH(Tabela2[Palavras-Chave],Boletim4[[#This Row],[Objeto]],1),Tabela2[Palavras-Chave])</f>
        <v>#N/A</v>
      </c>
    </row>
    <row r="7" spans="1:12" ht="72" hidden="1" x14ac:dyDescent="0.3">
      <c r="A7" s="5">
        <v>18769998</v>
      </c>
      <c r="B7" s="6" t="s">
        <v>74</v>
      </c>
      <c r="C7" s="6" t="s">
        <v>53</v>
      </c>
      <c r="D7" s="8" t="s">
        <v>54</v>
      </c>
      <c r="E7" s="6" t="s">
        <v>734</v>
      </c>
      <c r="F7" s="6" t="s">
        <v>51</v>
      </c>
      <c r="G7" s="11" t="s">
        <v>56</v>
      </c>
      <c r="H7" s="11"/>
      <c r="I7" s="10" t="s">
        <v>735</v>
      </c>
      <c r="J7" s="6" t="s">
        <v>736</v>
      </c>
      <c r="K7" s="12">
        <v>46121.440335648149</v>
      </c>
      <c r="L7" s="6" t="e" cm="1">
        <f t="array" ref="L7">LOOKUP(2^15,SEARCH(Tabela2[Palavras-Chave],Boletim4[[#This Row],[Objeto]],1),Tabela2[Palavras-Chave])</f>
        <v>#N/A</v>
      </c>
    </row>
    <row r="8" spans="1:12" ht="158.4" hidden="1" x14ac:dyDescent="0.3">
      <c r="A8" s="5">
        <v>18807634</v>
      </c>
      <c r="B8" s="6" t="s">
        <v>269</v>
      </c>
      <c r="C8" s="6" t="s">
        <v>53</v>
      </c>
      <c r="D8" s="8" t="s">
        <v>54</v>
      </c>
      <c r="E8" s="6" t="s">
        <v>55</v>
      </c>
      <c r="F8" s="6" t="s">
        <v>51</v>
      </c>
      <c r="G8" s="11" t="s">
        <v>56</v>
      </c>
      <c r="H8" s="11"/>
      <c r="I8" s="10" t="s">
        <v>740</v>
      </c>
      <c r="J8" s="6" t="s">
        <v>741</v>
      </c>
      <c r="K8" s="12">
        <v>46121.468124999999</v>
      </c>
      <c r="L8" s="6" t="e" cm="1">
        <f t="array" ref="L8">LOOKUP(2^15,SEARCH(Tabela2[Palavras-Chave],Boletim4[[#This Row],[Objeto]],1),Tabela2[Palavras-Chave])</f>
        <v>#N/A</v>
      </c>
    </row>
    <row r="9" spans="1:12" ht="172.8" hidden="1" x14ac:dyDescent="0.3">
      <c r="A9" s="5">
        <v>18807658</v>
      </c>
      <c r="B9" s="6" t="s">
        <v>264</v>
      </c>
      <c r="C9" s="6" t="s">
        <v>268</v>
      </c>
      <c r="D9" s="8" t="s">
        <v>54</v>
      </c>
      <c r="E9" s="6" t="s">
        <v>55</v>
      </c>
      <c r="F9" s="6" t="s">
        <v>51</v>
      </c>
      <c r="G9" s="11" t="s">
        <v>56</v>
      </c>
      <c r="H9" s="11"/>
      <c r="I9" s="10" t="s">
        <v>742</v>
      </c>
      <c r="J9" s="6" t="s">
        <v>743</v>
      </c>
      <c r="K9" s="12">
        <v>46121.52615740741</v>
      </c>
      <c r="L9" s="6" t="e" cm="1">
        <f t="array" ref="L9">LOOKUP(2^15,SEARCH(Tabela2[Palavras-Chave],Boletim4[[#This Row],[Objeto]],1),Tabela2[Palavras-Chave])</f>
        <v>#N/A</v>
      </c>
    </row>
    <row r="10" spans="1:12" ht="72" hidden="1" x14ac:dyDescent="0.3">
      <c r="A10" s="5">
        <v>18809422</v>
      </c>
      <c r="B10" s="6" t="s">
        <v>150</v>
      </c>
      <c r="C10" s="6" t="s">
        <v>57</v>
      </c>
      <c r="D10" s="8" t="s">
        <v>54</v>
      </c>
      <c r="E10" s="6" t="s">
        <v>744</v>
      </c>
      <c r="F10" s="6" t="s">
        <v>51</v>
      </c>
      <c r="G10" s="11" t="s">
        <v>56</v>
      </c>
      <c r="H10" s="11"/>
      <c r="I10" s="10" t="s">
        <v>745</v>
      </c>
      <c r="J10" s="6" t="s">
        <v>746</v>
      </c>
      <c r="K10" s="12">
        <v>46121.603842592594</v>
      </c>
      <c r="L10" s="6" t="e" cm="1">
        <f t="array" ref="L10">LOOKUP(2^15,SEARCH(Tabela2[Palavras-Chave],Boletim4[[#This Row],[Objeto]],1),Tabela2[Palavras-Chave])</f>
        <v>#N/A</v>
      </c>
    </row>
    <row r="11" spans="1:12" ht="172.8" hidden="1" x14ac:dyDescent="0.3">
      <c r="A11" s="5">
        <v>18809159</v>
      </c>
      <c r="B11" s="6" t="s">
        <v>267</v>
      </c>
      <c r="C11" s="6" t="s">
        <v>308</v>
      </c>
      <c r="D11" s="8" t="s">
        <v>54</v>
      </c>
      <c r="E11" s="6" t="s">
        <v>55</v>
      </c>
      <c r="F11" s="6" t="s">
        <v>51</v>
      </c>
      <c r="G11" s="11" t="s">
        <v>56</v>
      </c>
      <c r="H11" s="11"/>
      <c r="I11" s="10" t="s">
        <v>747</v>
      </c>
      <c r="J11" s="6" t="s">
        <v>748</v>
      </c>
      <c r="K11" s="12">
        <v>46121.606990740744</v>
      </c>
      <c r="L11" s="6" t="e" cm="1">
        <f t="array" ref="L11">LOOKUP(2^15,SEARCH(Tabela2[Palavras-Chave],Boletim4[[#This Row],[Objeto]],1),Tabela2[Palavras-Chave])</f>
        <v>#N/A</v>
      </c>
    </row>
    <row r="12" spans="1:12" ht="158.4" hidden="1" x14ac:dyDescent="0.3">
      <c r="A12" s="5">
        <v>18807638</v>
      </c>
      <c r="B12" s="6" t="s">
        <v>749</v>
      </c>
      <c r="C12" s="6" t="s">
        <v>53</v>
      </c>
      <c r="D12" s="8" t="s">
        <v>54</v>
      </c>
      <c r="E12" s="6" t="s">
        <v>55</v>
      </c>
      <c r="F12" s="6" t="s">
        <v>51</v>
      </c>
      <c r="G12" s="11" t="s">
        <v>56</v>
      </c>
      <c r="H12" s="11"/>
      <c r="I12" s="10" t="s">
        <v>750</v>
      </c>
      <c r="J12" s="6" t="s">
        <v>751</v>
      </c>
      <c r="K12" s="12">
        <v>46121.663541666669</v>
      </c>
      <c r="L12" s="6" t="e" cm="1">
        <f t="array" ref="L12">LOOKUP(2^15,SEARCH(Tabela2[Palavras-Chave],Boletim4[[#This Row],[Objeto]],1),Tabela2[Palavras-Chave])</f>
        <v>#N/A</v>
      </c>
    </row>
    <row r="13" spans="1:12" ht="172.8" hidden="1" x14ac:dyDescent="0.3">
      <c r="A13" s="5">
        <v>18807665</v>
      </c>
      <c r="B13" s="6" t="s">
        <v>214</v>
      </c>
      <c r="C13" s="6" t="s">
        <v>53</v>
      </c>
      <c r="D13" s="8" t="s">
        <v>54</v>
      </c>
      <c r="E13" s="6" t="s">
        <v>55</v>
      </c>
      <c r="F13" s="6" t="s">
        <v>51</v>
      </c>
      <c r="G13" s="11" t="s">
        <v>56</v>
      </c>
      <c r="H13" s="11"/>
      <c r="I13" s="10" t="s">
        <v>752</v>
      </c>
      <c r="J13" s="6" t="s">
        <v>753</v>
      </c>
      <c r="K13" s="12">
        <v>46121.702291666668</v>
      </c>
      <c r="L13" s="6" t="e" cm="1">
        <f t="array" ref="L13">LOOKUP(2^15,SEARCH(Tabela2[Palavras-Chave],Boletim4[[#This Row],[Objeto]],1),Tabela2[Palavras-Chave])</f>
        <v>#N/A</v>
      </c>
    </row>
    <row r="14" spans="1:12" ht="72" hidden="1" x14ac:dyDescent="0.3">
      <c r="A14" s="5">
        <v>18809425</v>
      </c>
      <c r="B14" s="6" t="s">
        <v>150</v>
      </c>
      <c r="C14" s="6" t="s">
        <v>57</v>
      </c>
      <c r="D14" s="8" t="s">
        <v>54</v>
      </c>
      <c r="E14" s="6" t="s">
        <v>754</v>
      </c>
      <c r="F14" s="6" t="s">
        <v>51</v>
      </c>
      <c r="G14" s="11" t="s">
        <v>56</v>
      </c>
      <c r="H14" s="11"/>
      <c r="I14" s="10" t="s">
        <v>755</v>
      </c>
      <c r="J14" s="6" t="s">
        <v>756</v>
      </c>
      <c r="K14" s="12">
        <v>46121.70648148148</v>
      </c>
      <c r="L14" s="6" t="e" cm="1">
        <f t="array" ref="L14">LOOKUP(2^15,SEARCH(Tabela2[Palavras-Chave],Boletim4[[#This Row],[Objeto]],1),Tabela2[Palavras-Chave])</f>
        <v>#N/A</v>
      </c>
    </row>
    <row r="15" spans="1:12" ht="72" hidden="1" x14ac:dyDescent="0.3">
      <c r="A15" s="5">
        <v>18809421</v>
      </c>
      <c r="B15" s="6" t="s">
        <v>58</v>
      </c>
      <c r="C15" s="6" t="s">
        <v>53</v>
      </c>
      <c r="D15" s="8" t="s">
        <v>54</v>
      </c>
      <c r="E15" s="6" t="s">
        <v>757</v>
      </c>
      <c r="F15" s="6" t="s">
        <v>51</v>
      </c>
      <c r="G15" s="11" t="s">
        <v>56</v>
      </c>
      <c r="H15" s="11"/>
      <c r="I15" s="10" t="s">
        <v>758</v>
      </c>
      <c r="J15" s="6" t="s">
        <v>759</v>
      </c>
      <c r="K15" s="12">
        <v>46121.707812499997</v>
      </c>
      <c r="L15" s="6" t="e" cm="1">
        <f t="array" ref="L15">LOOKUP(2^15,SEARCH(Tabela2[Palavras-Chave],Boletim4[[#This Row],[Objeto]],1),Tabela2[Palavras-Chave])</f>
        <v>#N/A</v>
      </c>
    </row>
    <row r="16" spans="1:12" ht="172.8" hidden="1" x14ac:dyDescent="0.3">
      <c r="A16" s="5">
        <v>18810229</v>
      </c>
      <c r="B16" s="6" t="s">
        <v>760</v>
      </c>
      <c r="C16" s="6" t="s">
        <v>53</v>
      </c>
      <c r="D16" s="8" t="s">
        <v>54</v>
      </c>
      <c r="E16" s="6" t="s">
        <v>55</v>
      </c>
      <c r="F16" s="6" t="s">
        <v>51</v>
      </c>
      <c r="G16" s="11" t="s">
        <v>56</v>
      </c>
      <c r="H16" s="11"/>
      <c r="I16" s="10" t="s">
        <v>761</v>
      </c>
      <c r="J16" s="6" t="s">
        <v>762</v>
      </c>
      <c r="K16" s="12">
        <v>46121.729270833333</v>
      </c>
      <c r="L16" s="6" t="e" cm="1">
        <f t="array" ref="L16">LOOKUP(2^15,SEARCH(Tabela2[Palavras-Chave],Boletim4[[#This Row],[Objeto]],1),Tabela2[Palavras-Chave])</f>
        <v>#N/A</v>
      </c>
    </row>
    <row r="17" spans="1:12" ht="158.4" hidden="1" x14ac:dyDescent="0.3">
      <c r="A17" s="5">
        <v>18810234</v>
      </c>
      <c r="B17" s="6" t="s">
        <v>320</v>
      </c>
      <c r="C17" s="6" t="s">
        <v>53</v>
      </c>
      <c r="D17" s="8" t="s">
        <v>54</v>
      </c>
      <c r="E17" s="6" t="s">
        <v>55</v>
      </c>
      <c r="F17" s="6" t="s">
        <v>51</v>
      </c>
      <c r="G17" s="11" t="s">
        <v>56</v>
      </c>
      <c r="H17" s="11"/>
      <c r="I17" s="10" t="s">
        <v>763</v>
      </c>
      <c r="J17" s="6" t="s">
        <v>764</v>
      </c>
      <c r="K17" s="12">
        <v>46121.729270833333</v>
      </c>
      <c r="L17" s="6" t="e" cm="1">
        <f t="array" ref="L17">LOOKUP(2^15,SEARCH(Tabela2[Palavras-Chave],Boletim4[[#This Row],[Objeto]],1),Tabela2[Palavras-Chave])</f>
        <v>#N/A</v>
      </c>
    </row>
    <row r="18" spans="1:12" ht="144" hidden="1" x14ac:dyDescent="0.3">
      <c r="A18" s="5">
        <v>18810189</v>
      </c>
      <c r="B18" s="6" t="s">
        <v>765</v>
      </c>
      <c r="C18" s="6" t="s">
        <v>53</v>
      </c>
      <c r="D18" s="8" t="s">
        <v>54</v>
      </c>
      <c r="E18" s="6" t="s">
        <v>55</v>
      </c>
      <c r="F18" s="6" t="s">
        <v>51</v>
      </c>
      <c r="G18" s="11" t="s">
        <v>56</v>
      </c>
      <c r="H18" s="11"/>
      <c r="I18" s="10" t="s">
        <v>766</v>
      </c>
      <c r="J18" s="6" t="s">
        <v>767</v>
      </c>
      <c r="K18" s="12">
        <v>46121.732025462959</v>
      </c>
      <c r="L18" s="6" t="e" cm="1">
        <f t="array" ref="L18">LOOKUP(2^15,SEARCH(Tabela2[Palavras-Chave],Boletim4[[#This Row],[Objeto]],1),Tabela2[Palavras-Chave])</f>
        <v>#N/A</v>
      </c>
    </row>
    <row r="19" spans="1:12" ht="158.4" hidden="1" x14ac:dyDescent="0.3">
      <c r="A19" s="5">
        <v>18810201</v>
      </c>
      <c r="B19" s="6" t="s">
        <v>768</v>
      </c>
      <c r="C19" s="6" t="s">
        <v>53</v>
      </c>
      <c r="D19" s="8" t="s">
        <v>54</v>
      </c>
      <c r="E19" s="6" t="s">
        <v>55</v>
      </c>
      <c r="F19" s="6" t="s">
        <v>51</v>
      </c>
      <c r="G19" s="11" t="s">
        <v>56</v>
      </c>
      <c r="H19" s="11"/>
      <c r="I19" s="10" t="s">
        <v>769</v>
      </c>
      <c r="J19" s="6" t="s">
        <v>770</v>
      </c>
      <c r="K19" s="12">
        <v>46121.732685185183</v>
      </c>
      <c r="L19" s="6" t="e" cm="1">
        <f t="array" ref="L19">LOOKUP(2^15,SEARCH(Tabela2[Palavras-Chave],Boletim4[[#This Row],[Objeto]],1),Tabela2[Palavras-Chave])</f>
        <v>#N/A</v>
      </c>
    </row>
    <row r="20" spans="1:12" ht="158.4" hidden="1" x14ac:dyDescent="0.3">
      <c r="A20" s="5">
        <v>18810194</v>
      </c>
      <c r="B20" s="6" t="s">
        <v>320</v>
      </c>
      <c r="C20" s="6" t="s">
        <v>53</v>
      </c>
      <c r="D20" s="8" t="s">
        <v>54</v>
      </c>
      <c r="E20" s="6" t="s">
        <v>55</v>
      </c>
      <c r="F20" s="6" t="s">
        <v>51</v>
      </c>
      <c r="G20" s="11" t="s">
        <v>56</v>
      </c>
      <c r="H20" s="11"/>
      <c r="I20" s="10" t="s">
        <v>771</v>
      </c>
      <c r="J20" s="6" t="s">
        <v>772</v>
      </c>
      <c r="K20" s="12">
        <v>46121.733391203707</v>
      </c>
      <c r="L20" s="6" t="e" cm="1">
        <f t="array" ref="L20">LOOKUP(2^15,SEARCH(Tabela2[Palavras-Chave],Boletim4[[#This Row],[Objeto]],1),Tabela2[Palavras-Chave])</f>
        <v>#N/A</v>
      </c>
    </row>
    <row r="21" spans="1:12" ht="158.4" hidden="1" x14ac:dyDescent="0.3">
      <c r="A21" s="5">
        <v>18810191</v>
      </c>
      <c r="B21" s="6" t="s">
        <v>773</v>
      </c>
      <c r="C21" s="6" t="s">
        <v>53</v>
      </c>
      <c r="D21" s="8" t="s">
        <v>54</v>
      </c>
      <c r="E21" s="6" t="s">
        <v>55</v>
      </c>
      <c r="F21" s="6" t="s">
        <v>51</v>
      </c>
      <c r="G21" s="11" t="s">
        <v>56</v>
      </c>
      <c r="H21" s="11"/>
      <c r="I21" s="10" t="s">
        <v>774</v>
      </c>
      <c r="J21" s="6" t="s">
        <v>775</v>
      </c>
      <c r="K21" s="12">
        <v>46121.733402777776</v>
      </c>
      <c r="L21" s="6" t="e" cm="1">
        <f t="array" ref="L21">LOOKUP(2^15,SEARCH(Tabela2[Palavras-Chave],Boletim4[[#This Row],[Objeto]],1),Tabela2[Palavras-Chave])</f>
        <v>#N/A</v>
      </c>
    </row>
    <row r="22" spans="1:12" ht="86.4" hidden="1" x14ac:dyDescent="0.3">
      <c r="A22" s="5">
        <v>18776658</v>
      </c>
      <c r="B22" s="6" t="s">
        <v>150</v>
      </c>
      <c r="C22" s="6" t="s">
        <v>57</v>
      </c>
      <c r="D22" s="8" t="s">
        <v>54</v>
      </c>
      <c r="E22" s="6" t="s">
        <v>776</v>
      </c>
      <c r="F22" s="6" t="s">
        <v>51</v>
      </c>
      <c r="G22" s="11" t="s">
        <v>56</v>
      </c>
      <c r="H22" s="11"/>
      <c r="I22" s="10" t="s">
        <v>777</v>
      </c>
      <c r="J22" s="6" t="s">
        <v>778</v>
      </c>
      <c r="K22" s="12">
        <v>46121.79178240741</v>
      </c>
      <c r="L22" s="6" t="e" cm="1">
        <f t="array" ref="L22">LOOKUP(2^15,SEARCH(Tabela2[Palavras-Chave],Boletim4[[#This Row],[Objeto]],1),Tabela2[Palavras-Chave])</f>
        <v>#N/A</v>
      </c>
    </row>
    <row r="23" spans="1:12" ht="86.4" hidden="1" x14ac:dyDescent="0.3">
      <c r="A23" s="5">
        <v>18786778</v>
      </c>
      <c r="B23" s="6" t="s">
        <v>150</v>
      </c>
      <c r="C23" s="6" t="s">
        <v>57</v>
      </c>
      <c r="D23" s="8" t="s">
        <v>54</v>
      </c>
      <c r="E23" s="6" t="s">
        <v>779</v>
      </c>
      <c r="F23" s="6" t="s">
        <v>51</v>
      </c>
      <c r="G23" s="11" t="s">
        <v>56</v>
      </c>
      <c r="H23" s="11"/>
      <c r="I23" s="10" t="s">
        <v>780</v>
      </c>
      <c r="J23" s="6" t="s">
        <v>781</v>
      </c>
      <c r="K23" s="12">
        <v>46121.830590277779</v>
      </c>
      <c r="L23" s="6" t="e" cm="1">
        <f t="array" ref="L23">LOOKUP(2^15,SEARCH(Tabela2[Palavras-Chave],Boletim4[[#This Row],[Objeto]],1),Tabela2[Palavras-Chave])</f>
        <v>#N/A</v>
      </c>
    </row>
    <row r="24" spans="1:12" ht="72" x14ac:dyDescent="0.3">
      <c r="A24" s="5">
        <v>18811316</v>
      </c>
      <c r="B24" s="6" t="s">
        <v>150</v>
      </c>
      <c r="C24" s="6" t="s">
        <v>57</v>
      </c>
      <c r="D24" s="8" t="s">
        <v>54</v>
      </c>
      <c r="E24" s="6" t="s">
        <v>782</v>
      </c>
      <c r="F24" s="6" t="s">
        <v>51</v>
      </c>
      <c r="G24" s="11" t="s">
        <v>56</v>
      </c>
      <c r="H24" s="11"/>
      <c r="I24" s="10" t="s">
        <v>783</v>
      </c>
      <c r="J24" s="6" t="s">
        <v>784</v>
      </c>
      <c r="K24" s="12">
        <v>46121.836157407408</v>
      </c>
      <c r="L24" s="6" t="str" cm="1">
        <f t="array" ref="L24">LOOKUP(2^15,SEARCH(Tabela2[Palavras-Chave],Boletim4[[#This Row],[Objeto]],1),Tabela2[Palavras-Chave])</f>
        <v>TANQUE</v>
      </c>
    </row>
    <row r="25" spans="1:12" ht="86.4" hidden="1" x14ac:dyDescent="0.3">
      <c r="A25" s="5">
        <v>18769631</v>
      </c>
      <c r="B25" s="6" t="s">
        <v>153</v>
      </c>
      <c r="C25" s="6" t="s">
        <v>53</v>
      </c>
      <c r="D25" s="8" t="s">
        <v>54</v>
      </c>
      <c r="E25" s="6" t="s">
        <v>785</v>
      </c>
      <c r="F25" s="6" t="s">
        <v>51</v>
      </c>
      <c r="G25" s="11" t="s">
        <v>56</v>
      </c>
      <c r="H25" s="11"/>
      <c r="I25" s="10" t="s">
        <v>786</v>
      </c>
      <c r="J25" s="6" t="s">
        <v>787</v>
      </c>
      <c r="K25" s="12">
        <v>46121.838229166664</v>
      </c>
      <c r="L25" s="6" t="e" cm="1">
        <f t="array" ref="L25">LOOKUP(2^15,SEARCH(Tabela2[Palavras-Chave],Boletim4[[#This Row],[Objeto]],1),Tabela2[Palavras-Chave])</f>
        <v>#N/A</v>
      </c>
    </row>
    <row r="26" spans="1:12" ht="72" hidden="1" x14ac:dyDescent="0.3">
      <c r="A26" s="5">
        <v>18807306</v>
      </c>
      <c r="B26" s="6" t="s">
        <v>58</v>
      </c>
      <c r="C26" s="6" t="s">
        <v>319</v>
      </c>
      <c r="D26" s="8" t="s">
        <v>54</v>
      </c>
      <c r="E26" s="6" t="s">
        <v>788</v>
      </c>
      <c r="F26" s="6" t="s">
        <v>51</v>
      </c>
      <c r="G26" s="11" t="s">
        <v>56</v>
      </c>
      <c r="H26" s="11"/>
      <c r="I26" s="10" t="s">
        <v>789</v>
      </c>
      <c r="J26" s="6" t="s">
        <v>790</v>
      </c>
      <c r="K26" s="12">
        <v>46121.836435185185</v>
      </c>
      <c r="L26" s="6" t="e" cm="1">
        <f t="array" ref="L26">LOOKUP(2^15,SEARCH(Tabela2[Palavras-Chave],Boletim4[[#This Row],[Objeto]],1),Tabela2[Palavras-Chave])</f>
        <v>#N/A</v>
      </c>
    </row>
    <row r="27" spans="1:12" ht="72" hidden="1" x14ac:dyDescent="0.3">
      <c r="A27" s="5">
        <v>18811332</v>
      </c>
      <c r="B27" s="6" t="s">
        <v>58</v>
      </c>
      <c r="C27" s="6" t="s">
        <v>53</v>
      </c>
      <c r="D27" s="8" t="s">
        <v>54</v>
      </c>
      <c r="E27" s="6" t="s">
        <v>791</v>
      </c>
      <c r="F27" s="6" t="s">
        <v>51</v>
      </c>
      <c r="G27" s="11" t="s">
        <v>56</v>
      </c>
      <c r="H27" s="11"/>
      <c r="I27" s="10" t="s">
        <v>792</v>
      </c>
      <c r="J27" s="6" t="s">
        <v>793</v>
      </c>
      <c r="K27" s="12">
        <v>46121.838946759257</v>
      </c>
      <c r="L27" s="6" t="e" cm="1">
        <f t="array" ref="L27">LOOKUP(2^15,SEARCH(Tabela2[Palavras-Chave],Boletim4[[#This Row],[Objeto]],1),Tabela2[Palavras-Chave])</f>
        <v>#N/A</v>
      </c>
    </row>
    <row r="28" spans="1:12" ht="86.4" hidden="1" x14ac:dyDescent="0.3">
      <c r="A28" s="5">
        <v>18776645</v>
      </c>
      <c r="B28" s="6" t="s">
        <v>58</v>
      </c>
      <c r="C28" s="6" t="s">
        <v>53</v>
      </c>
      <c r="D28" s="8" t="s">
        <v>54</v>
      </c>
      <c r="E28" s="6" t="s">
        <v>586</v>
      </c>
      <c r="F28" s="6" t="s">
        <v>51</v>
      </c>
      <c r="G28" s="11" t="s">
        <v>56</v>
      </c>
      <c r="H28" s="11"/>
      <c r="I28" s="10" t="s">
        <v>587</v>
      </c>
      <c r="J28" s="6" t="s">
        <v>794</v>
      </c>
      <c r="K28" s="12">
        <v>46121.845879629633</v>
      </c>
      <c r="L28" s="6" t="e" cm="1">
        <f t="array" ref="L28">LOOKUP(2^15,SEARCH(Tabela2[Palavras-Chave],Boletim4[[#This Row],[Objeto]],1),Tabela2[Palavras-Chave])</f>
        <v>#N/A</v>
      </c>
    </row>
    <row r="29" spans="1:12" ht="86.4" hidden="1" x14ac:dyDescent="0.3">
      <c r="A29" s="5">
        <v>18799162</v>
      </c>
      <c r="B29" s="6" t="s">
        <v>150</v>
      </c>
      <c r="C29" s="6" t="s">
        <v>57</v>
      </c>
      <c r="D29" s="8" t="s">
        <v>54</v>
      </c>
      <c r="E29" s="6" t="s">
        <v>795</v>
      </c>
      <c r="F29" s="6" t="s">
        <v>51</v>
      </c>
      <c r="G29" s="11" t="s">
        <v>56</v>
      </c>
      <c r="H29" s="11"/>
      <c r="I29" s="10" t="s">
        <v>796</v>
      </c>
      <c r="J29" s="6" t="s">
        <v>797</v>
      </c>
      <c r="K29" s="12">
        <v>46121.847951388889</v>
      </c>
      <c r="L29" s="6" t="e" cm="1">
        <f t="array" ref="L29">LOOKUP(2^15,SEARCH(Tabela2[Palavras-Chave],Boletim4[[#This Row],[Objeto]],1),Tabela2[Palavras-Chave])</f>
        <v>#N/A</v>
      </c>
    </row>
    <row r="30" spans="1:12" ht="72" hidden="1" x14ac:dyDescent="0.3">
      <c r="A30" s="5">
        <v>18811376</v>
      </c>
      <c r="B30" s="6" t="s">
        <v>58</v>
      </c>
      <c r="C30" s="6" t="s">
        <v>53</v>
      </c>
      <c r="D30" s="8" t="s">
        <v>54</v>
      </c>
      <c r="E30" s="6" t="s">
        <v>798</v>
      </c>
      <c r="F30" s="6" t="s">
        <v>51</v>
      </c>
      <c r="G30" s="11" t="s">
        <v>56</v>
      </c>
      <c r="H30" s="11"/>
      <c r="I30" s="10" t="s">
        <v>799</v>
      </c>
      <c r="J30" s="6" t="s">
        <v>800</v>
      </c>
      <c r="K30" s="12">
        <v>46121.846562500003</v>
      </c>
      <c r="L30" s="6" t="e" cm="1">
        <f t="array" ref="L30">LOOKUP(2^15,SEARCH(Tabela2[Palavras-Chave],Boletim4[[#This Row],[Objeto]],1),Tabela2[Palavras-Chave])</f>
        <v>#N/A</v>
      </c>
    </row>
    <row r="31" spans="1:12" ht="86.4" hidden="1" x14ac:dyDescent="0.3">
      <c r="A31" s="5">
        <v>18708832</v>
      </c>
      <c r="B31" s="6" t="s">
        <v>58</v>
      </c>
      <c r="C31" s="6" t="s">
        <v>53</v>
      </c>
      <c r="D31" s="8" t="s">
        <v>54</v>
      </c>
      <c r="E31" s="6" t="s">
        <v>801</v>
      </c>
      <c r="F31" s="6" t="s">
        <v>51</v>
      </c>
      <c r="G31" s="11" t="s">
        <v>56</v>
      </c>
      <c r="H31" s="11"/>
      <c r="I31" s="10" t="s">
        <v>802</v>
      </c>
      <c r="J31" s="6" t="s">
        <v>803</v>
      </c>
      <c r="K31" s="12">
        <v>46121.856412037036</v>
      </c>
      <c r="L31" s="6" t="e" cm="1">
        <f t="array" ref="L31">LOOKUP(2^15,SEARCH(Tabela2[Palavras-Chave],Boletim4[[#This Row],[Objeto]],1),Tabela2[Palavras-Chave])</f>
        <v>#N/A</v>
      </c>
    </row>
    <row r="32" spans="1:12" ht="72" hidden="1" x14ac:dyDescent="0.3">
      <c r="A32" s="5">
        <v>18809954</v>
      </c>
      <c r="B32" s="6" t="s">
        <v>58</v>
      </c>
      <c r="C32" s="6" t="s">
        <v>53</v>
      </c>
      <c r="D32" s="8" t="s">
        <v>54</v>
      </c>
      <c r="E32" s="6" t="s">
        <v>804</v>
      </c>
      <c r="F32" s="6" t="s">
        <v>51</v>
      </c>
      <c r="G32" s="11" t="s">
        <v>56</v>
      </c>
      <c r="H32" s="11"/>
      <c r="I32" s="10" t="s">
        <v>805</v>
      </c>
      <c r="J32" s="6" t="s">
        <v>806</v>
      </c>
      <c r="K32" s="12">
        <v>46121.867465277777</v>
      </c>
      <c r="L32" s="6" t="e" cm="1">
        <f t="array" ref="L32">LOOKUP(2^15,SEARCH(Tabela2[Palavras-Chave],Boletim4[[#This Row],[Objeto]],1),Tabela2[Palavras-Chave])</f>
        <v>#N/A</v>
      </c>
    </row>
    <row r="33" spans="1:12" ht="86.4" hidden="1" x14ac:dyDescent="0.3">
      <c r="A33" s="5">
        <v>18805878</v>
      </c>
      <c r="B33" s="6" t="s">
        <v>330</v>
      </c>
      <c r="C33" s="6" t="s">
        <v>331</v>
      </c>
      <c r="D33" s="8" t="s">
        <v>60</v>
      </c>
      <c r="E33" s="6" t="s">
        <v>332</v>
      </c>
      <c r="F33" s="6" t="s">
        <v>51</v>
      </c>
      <c r="G33" s="11">
        <v>46126.583333333336</v>
      </c>
      <c r="H33" s="11"/>
      <c r="I33" s="10" t="s">
        <v>333</v>
      </c>
      <c r="J33" s="6" t="s">
        <v>334</v>
      </c>
      <c r="K33" s="12">
        <v>46121.409062500003</v>
      </c>
      <c r="L33" s="6" t="e" cm="1">
        <f t="array" ref="L33">LOOKUP(2^15,SEARCH(Tabela2[Palavras-Chave],Boletim4[[#This Row],[Objeto]],1),Tabela2[Palavras-Chave])</f>
        <v>#N/A</v>
      </c>
    </row>
    <row r="34" spans="1:12" ht="86.4" hidden="1" x14ac:dyDescent="0.3">
      <c r="A34" s="5">
        <v>18806765</v>
      </c>
      <c r="B34" s="6" t="s">
        <v>807</v>
      </c>
      <c r="C34" s="6" t="s">
        <v>808</v>
      </c>
      <c r="D34" s="8" t="s">
        <v>60</v>
      </c>
      <c r="E34" s="6" t="s">
        <v>809</v>
      </c>
      <c r="F34" s="6" t="s">
        <v>51</v>
      </c>
      <c r="G34" s="11">
        <v>46126.333333333336</v>
      </c>
      <c r="H34" s="11"/>
      <c r="I34" s="10" t="s">
        <v>810</v>
      </c>
      <c r="J34" s="6" t="s">
        <v>811</v>
      </c>
      <c r="K34" s="12">
        <v>46121.445393518516</v>
      </c>
      <c r="L34" s="6" t="e" cm="1">
        <f t="array" ref="L34">LOOKUP(2^15,SEARCH(Tabela2[Palavras-Chave],Boletim4[[#This Row],[Objeto]],1),Tabela2[Palavras-Chave])</f>
        <v>#N/A</v>
      </c>
    </row>
    <row r="35" spans="1:12" ht="244.8" hidden="1" x14ac:dyDescent="0.3">
      <c r="A35" s="5">
        <v>18807169</v>
      </c>
      <c r="B35" s="6" t="s">
        <v>812</v>
      </c>
      <c r="C35" s="6" t="s">
        <v>59</v>
      </c>
      <c r="D35" s="8" t="s">
        <v>60</v>
      </c>
      <c r="E35" s="6" t="s">
        <v>283</v>
      </c>
      <c r="F35" s="6" t="s">
        <v>51</v>
      </c>
      <c r="G35" s="11" t="s">
        <v>56</v>
      </c>
      <c r="H35" s="11"/>
      <c r="I35" s="10" t="s">
        <v>813</v>
      </c>
      <c r="J35" s="6" t="s">
        <v>814</v>
      </c>
      <c r="K35" s="12">
        <v>46121.451226851852</v>
      </c>
      <c r="L35" s="6" t="e" cm="1">
        <f t="array" ref="L35">LOOKUP(2^15,SEARCH(Tabela2[Palavras-Chave],Boletim4[[#This Row],[Objeto]],1),Tabela2[Palavras-Chave])</f>
        <v>#N/A</v>
      </c>
    </row>
    <row r="36" spans="1:12" ht="86.4" hidden="1" x14ac:dyDescent="0.3">
      <c r="A36" s="5">
        <v>18806657</v>
      </c>
      <c r="B36" s="6" t="s">
        <v>815</v>
      </c>
      <c r="C36" s="6" t="s">
        <v>816</v>
      </c>
      <c r="D36" s="8" t="s">
        <v>60</v>
      </c>
      <c r="E36" s="6" t="s">
        <v>817</v>
      </c>
      <c r="F36" s="6" t="s">
        <v>51</v>
      </c>
      <c r="G36" s="11">
        <v>46126.416666666664</v>
      </c>
      <c r="H36" s="11"/>
      <c r="I36" s="10" t="s">
        <v>818</v>
      </c>
      <c r="J36" s="6" t="s">
        <v>819</v>
      </c>
      <c r="K36" s="12">
        <v>46121.456932870373</v>
      </c>
      <c r="L36" s="6" t="e" cm="1">
        <f t="array" ref="L36">LOOKUP(2^15,SEARCH(Tabela2[Palavras-Chave],Boletim4[[#This Row],[Objeto]],1),Tabela2[Palavras-Chave])</f>
        <v>#N/A</v>
      </c>
    </row>
    <row r="37" spans="1:12" ht="115.2" hidden="1" x14ac:dyDescent="0.3">
      <c r="A37" s="5">
        <v>18806747</v>
      </c>
      <c r="B37" s="6" t="s">
        <v>820</v>
      </c>
      <c r="C37" s="6" t="s">
        <v>821</v>
      </c>
      <c r="D37" s="8" t="s">
        <v>60</v>
      </c>
      <c r="E37" s="6" t="s">
        <v>822</v>
      </c>
      <c r="F37" s="6" t="s">
        <v>51</v>
      </c>
      <c r="G37" s="11">
        <v>46125.666666666664</v>
      </c>
      <c r="H37" s="11"/>
      <c r="I37" s="10" t="s">
        <v>823</v>
      </c>
      <c r="J37" s="6" t="s">
        <v>824</v>
      </c>
      <c r="K37" s="12">
        <v>46121.472048611111</v>
      </c>
      <c r="L37" s="6" t="e" cm="1">
        <f t="array" ref="L37">LOOKUP(2^15,SEARCH(Tabela2[Palavras-Chave],Boletim4[[#This Row],[Objeto]],1),Tabela2[Palavras-Chave])</f>
        <v>#N/A</v>
      </c>
    </row>
    <row r="38" spans="1:12" ht="201.6" x14ac:dyDescent="0.3">
      <c r="A38" s="5">
        <v>18807168</v>
      </c>
      <c r="B38" s="6" t="s">
        <v>812</v>
      </c>
      <c r="C38" s="6" t="s">
        <v>59</v>
      </c>
      <c r="D38" s="8" t="s">
        <v>60</v>
      </c>
      <c r="E38" s="6" t="s">
        <v>825</v>
      </c>
      <c r="F38" s="6" t="s">
        <v>51</v>
      </c>
      <c r="G38" s="11" t="s">
        <v>56</v>
      </c>
      <c r="H38" s="11"/>
      <c r="I38" s="10" t="s">
        <v>826</v>
      </c>
      <c r="J38" s="6" t="s">
        <v>814</v>
      </c>
      <c r="K38" s="12">
        <v>46121.473495370374</v>
      </c>
      <c r="L38" s="6" t="str" cm="1">
        <f t="array" ref="L38">LOOKUP(2^15,SEARCH(Tabela2[Palavras-Chave],Boletim4[[#This Row],[Objeto]],1),Tabela2[Palavras-Chave])</f>
        <v>INOX</v>
      </c>
    </row>
    <row r="39" spans="1:12" ht="100.8" hidden="1" x14ac:dyDescent="0.3">
      <c r="A39" s="5">
        <v>18806582</v>
      </c>
      <c r="B39" s="6" t="s">
        <v>827</v>
      </c>
      <c r="C39" s="6" t="s">
        <v>828</v>
      </c>
      <c r="D39" s="8" t="s">
        <v>60</v>
      </c>
      <c r="E39" s="6" t="s">
        <v>829</v>
      </c>
      <c r="F39" s="6" t="s">
        <v>51</v>
      </c>
      <c r="G39" s="11">
        <v>46125.729166666664</v>
      </c>
      <c r="H39" s="11"/>
      <c r="I39" s="10" t="s">
        <v>322</v>
      </c>
      <c r="J39" s="6" t="s">
        <v>830</v>
      </c>
      <c r="K39" s="12">
        <v>46121.523773148147</v>
      </c>
      <c r="L39" s="6" t="e" cm="1">
        <f t="array" ref="L39">LOOKUP(2^15,SEARCH(Tabela2[Palavras-Chave],Boletim4[[#This Row],[Objeto]],1),Tabela2[Palavras-Chave])</f>
        <v>#N/A</v>
      </c>
    </row>
    <row r="40" spans="1:12" ht="86.4" hidden="1" x14ac:dyDescent="0.3">
      <c r="A40" s="5">
        <v>18808135</v>
      </c>
      <c r="B40" s="6" t="s">
        <v>831</v>
      </c>
      <c r="C40" s="6" t="s">
        <v>331</v>
      </c>
      <c r="D40" s="8" t="s">
        <v>60</v>
      </c>
      <c r="E40" s="6" t="s">
        <v>832</v>
      </c>
      <c r="F40" s="6" t="s">
        <v>51</v>
      </c>
      <c r="G40" s="11">
        <v>46125.666666666664</v>
      </c>
      <c r="H40" s="11"/>
      <c r="I40" s="10" t="s">
        <v>833</v>
      </c>
      <c r="J40" s="6" t="s">
        <v>834</v>
      </c>
      <c r="K40" s="12">
        <v>46121.526226851849</v>
      </c>
      <c r="L40" s="6" t="e" cm="1">
        <f t="array" ref="L40">LOOKUP(2^15,SEARCH(Tabela2[Palavras-Chave],Boletim4[[#This Row],[Objeto]],1),Tabela2[Palavras-Chave])</f>
        <v>#N/A</v>
      </c>
    </row>
    <row r="41" spans="1:12" ht="86.4" hidden="1" x14ac:dyDescent="0.3">
      <c r="A41" s="5">
        <v>18806675</v>
      </c>
      <c r="B41" s="6" t="s">
        <v>835</v>
      </c>
      <c r="C41" s="6" t="s">
        <v>836</v>
      </c>
      <c r="D41" s="8" t="s">
        <v>60</v>
      </c>
      <c r="E41" s="6" t="s">
        <v>837</v>
      </c>
      <c r="F41" s="6" t="s">
        <v>51</v>
      </c>
      <c r="G41" s="11">
        <v>46126.333333333336</v>
      </c>
      <c r="H41" s="11"/>
      <c r="I41" s="10" t="s">
        <v>322</v>
      </c>
      <c r="J41" s="6" t="s">
        <v>838</v>
      </c>
      <c r="K41" s="12">
        <v>46121.526539351849</v>
      </c>
      <c r="L41" s="6" t="e" cm="1">
        <f t="array" ref="L41">LOOKUP(2^15,SEARCH(Tabela2[Palavras-Chave],Boletim4[[#This Row],[Objeto]],1),Tabela2[Palavras-Chave])</f>
        <v>#N/A</v>
      </c>
    </row>
    <row r="42" spans="1:12" ht="86.4" hidden="1" x14ac:dyDescent="0.3">
      <c r="A42" s="5">
        <v>18806588</v>
      </c>
      <c r="B42" s="6" t="s">
        <v>839</v>
      </c>
      <c r="C42" s="6" t="s">
        <v>59</v>
      </c>
      <c r="D42" s="8" t="s">
        <v>60</v>
      </c>
      <c r="E42" s="6" t="s">
        <v>840</v>
      </c>
      <c r="F42" s="6" t="s">
        <v>51</v>
      </c>
      <c r="G42" s="11">
        <v>46125.75</v>
      </c>
      <c r="H42" s="11"/>
      <c r="I42" s="10" t="s">
        <v>841</v>
      </c>
      <c r="J42" s="6" t="s">
        <v>842</v>
      </c>
      <c r="K42" s="12">
        <v>46121.526585648149</v>
      </c>
      <c r="L42" s="6" t="e" cm="1">
        <f t="array" ref="L42">LOOKUP(2^15,SEARCH(Tabela2[Palavras-Chave],Boletim4[[#This Row],[Objeto]],1),Tabela2[Palavras-Chave])</f>
        <v>#N/A</v>
      </c>
    </row>
    <row r="43" spans="1:12" ht="115.2" hidden="1" x14ac:dyDescent="0.3">
      <c r="A43" s="5">
        <v>18806572</v>
      </c>
      <c r="B43" s="6" t="s">
        <v>843</v>
      </c>
      <c r="C43" s="6" t="s">
        <v>844</v>
      </c>
      <c r="D43" s="8" t="s">
        <v>60</v>
      </c>
      <c r="E43" s="6" t="s">
        <v>845</v>
      </c>
      <c r="F43" s="6" t="s">
        <v>51</v>
      </c>
      <c r="G43" s="11">
        <v>46125.729166666664</v>
      </c>
      <c r="H43" s="11"/>
      <c r="I43" s="10" t="s">
        <v>846</v>
      </c>
      <c r="J43" s="6" t="s">
        <v>847</v>
      </c>
      <c r="K43" s="12">
        <v>46121.611481481479</v>
      </c>
      <c r="L43" s="6" t="e" cm="1">
        <f t="array" ref="L43">LOOKUP(2^15,SEARCH(Tabela2[Palavras-Chave],Boletim4[[#This Row],[Objeto]],1),Tabela2[Palavras-Chave])</f>
        <v>#N/A</v>
      </c>
    </row>
    <row r="44" spans="1:12" ht="187.2" hidden="1" x14ac:dyDescent="0.3">
      <c r="A44" s="5">
        <v>18805914</v>
      </c>
      <c r="B44" s="6" t="s">
        <v>325</v>
      </c>
      <c r="C44" s="6" t="s">
        <v>59</v>
      </c>
      <c r="D44" s="8" t="s">
        <v>60</v>
      </c>
      <c r="E44" s="6" t="s">
        <v>326</v>
      </c>
      <c r="F44" s="6" t="s">
        <v>51</v>
      </c>
      <c r="G44" s="11">
        <v>46128.333333333336</v>
      </c>
      <c r="H44" s="11"/>
      <c r="I44" s="10" t="s">
        <v>327</v>
      </c>
      <c r="J44" s="6" t="s">
        <v>328</v>
      </c>
      <c r="K44" s="12">
        <v>46121.659074074072</v>
      </c>
      <c r="L44" s="6" t="e" cm="1">
        <f t="array" ref="L44">LOOKUP(2^15,SEARCH(Tabela2[Palavras-Chave],Boletim4[[#This Row],[Objeto]],1),Tabela2[Palavras-Chave])</f>
        <v>#N/A</v>
      </c>
    </row>
    <row r="45" spans="1:12" ht="100.8" hidden="1" x14ac:dyDescent="0.3">
      <c r="A45" s="5">
        <v>18806793</v>
      </c>
      <c r="B45" s="6" t="s">
        <v>848</v>
      </c>
      <c r="C45" s="6" t="s">
        <v>59</v>
      </c>
      <c r="D45" s="8" t="s">
        <v>60</v>
      </c>
      <c r="E45" s="6" t="s">
        <v>849</v>
      </c>
      <c r="F45" s="6" t="s">
        <v>51</v>
      </c>
      <c r="G45" s="11">
        <v>46125.635416666664</v>
      </c>
      <c r="H45" s="11"/>
      <c r="I45" s="10" t="s">
        <v>850</v>
      </c>
      <c r="J45" s="6" t="s">
        <v>851</v>
      </c>
      <c r="K45" s="12">
        <v>46121.701516203706</v>
      </c>
      <c r="L45" s="6" t="e" cm="1">
        <f t="array" ref="L45">LOOKUP(2^15,SEARCH(Tabela2[Palavras-Chave],Boletim4[[#This Row],[Objeto]],1),Tabela2[Palavras-Chave])</f>
        <v>#N/A</v>
      </c>
    </row>
    <row r="46" spans="1:12" ht="100.8" hidden="1" x14ac:dyDescent="0.3">
      <c r="A46" s="5">
        <v>18809866</v>
      </c>
      <c r="B46" s="6" t="s">
        <v>321</v>
      </c>
      <c r="C46" s="6" t="s">
        <v>270</v>
      </c>
      <c r="D46" s="8" t="s">
        <v>60</v>
      </c>
      <c r="E46" s="6" t="s">
        <v>852</v>
      </c>
      <c r="F46" s="6" t="s">
        <v>51</v>
      </c>
      <c r="G46" s="11">
        <v>46126.4375</v>
      </c>
      <c r="H46" s="11"/>
      <c r="I46" s="10" t="s">
        <v>853</v>
      </c>
      <c r="J46" s="6" t="s">
        <v>854</v>
      </c>
      <c r="K46" s="12">
        <v>46121.763252314813</v>
      </c>
      <c r="L46" s="6" t="e" cm="1">
        <f t="array" ref="L46">LOOKUP(2^15,SEARCH(Tabela2[Palavras-Chave],Boletim4[[#This Row],[Objeto]],1),Tabela2[Palavras-Chave])</f>
        <v>#N/A</v>
      </c>
    </row>
    <row r="47" spans="1:12" ht="86.4" hidden="1" x14ac:dyDescent="0.3">
      <c r="A47" s="5">
        <v>18809320</v>
      </c>
      <c r="B47" s="6" t="s">
        <v>324</v>
      </c>
      <c r="C47" s="6" t="s">
        <v>323</v>
      </c>
      <c r="D47" s="8" t="s">
        <v>60</v>
      </c>
      <c r="E47" s="6" t="s">
        <v>855</v>
      </c>
      <c r="F47" s="6" t="s">
        <v>51</v>
      </c>
      <c r="G47" s="11">
        <v>46126.416666666664</v>
      </c>
      <c r="H47" s="11"/>
      <c r="I47" s="10" t="s">
        <v>856</v>
      </c>
      <c r="J47" s="6" t="s">
        <v>857</v>
      </c>
      <c r="K47" s="12">
        <v>46121.704675925925</v>
      </c>
      <c r="L47" s="6" t="e" cm="1">
        <f t="array" ref="L47">LOOKUP(2^15,SEARCH(Tabela2[Palavras-Chave],Boletim4[[#This Row],[Objeto]],1),Tabela2[Palavras-Chave])</f>
        <v>#N/A</v>
      </c>
    </row>
    <row r="48" spans="1:12" ht="86.4" hidden="1" x14ac:dyDescent="0.3">
      <c r="A48" s="5">
        <v>18806569</v>
      </c>
      <c r="B48" s="6" t="s">
        <v>839</v>
      </c>
      <c r="C48" s="6" t="s">
        <v>59</v>
      </c>
      <c r="D48" s="8" t="s">
        <v>60</v>
      </c>
      <c r="E48" s="6" t="s">
        <v>858</v>
      </c>
      <c r="F48" s="6" t="s">
        <v>51</v>
      </c>
      <c r="G48" s="11">
        <v>46125.75</v>
      </c>
      <c r="H48" s="11"/>
      <c r="I48" s="10" t="s">
        <v>859</v>
      </c>
      <c r="J48" s="6" t="s">
        <v>860</v>
      </c>
      <c r="K48" s="12">
        <v>46121.719606481478</v>
      </c>
      <c r="L48" s="6" t="e" cm="1">
        <f t="array" ref="L48">LOOKUP(2^15,SEARCH(Tabela2[Palavras-Chave],Boletim4[[#This Row],[Objeto]],1),Tabela2[Palavras-Chave])</f>
        <v>#N/A</v>
      </c>
    </row>
    <row r="49" spans="1:12" ht="115.2" hidden="1" x14ac:dyDescent="0.3">
      <c r="A49" s="5">
        <v>18806621</v>
      </c>
      <c r="B49" s="6" t="s">
        <v>861</v>
      </c>
      <c r="C49" s="6" t="s">
        <v>862</v>
      </c>
      <c r="D49" s="8" t="s">
        <v>60</v>
      </c>
      <c r="E49" s="6" t="s">
        <v>863</v>
      </c>
      <c r="F49" s="6" t="s">
        <v>51</v>
      </c>
      <c r="G49" s="11">
        <v>46125.697916666664</v>
      </c>
      <c r="H49" s="11"/>
      <c r="I49" s="10" t="s">
        <v>864</v>
      </c>
      <c r="J49" s="6" t="s">
        <v>865</v>
      </c>
      <c r="K49" s="12">
        <v>46121.721180555556</v>
      </c>
      <c r="L49" s="6" t="e" cm="1">
        <f t="array" ref="L49">LOOKUP(2^15,SEARCH(Tabela2[Palavras-Chave],Boletim4[[#This Row],[Objeto]],1),Tabela2[Palavras-Chave])</f>
        <v>#N/A</v>
      </c>
    </row>
    <row r="50" spans="1:12" ht="100.8" hidden="1" x14ac:dyDescent="0.3">
      <c r="A50" s="13">
        <v>18810793</v>
      </c>
      <c r="B50" s="10" t="s">
        <v>866</v>
      </c>
      <c r="C50" s="10" t="s">
        <v>867</v>
      </c>
      <c r="D50" s="15" t="s">
        <v>60</v>
      </c>
      <c r="E50" s="10" t="s">
        <v>868</v>
      </c>
      <c r="F50" s="10" t="s">
        <v>51</v>
      </c>
      <c r="G50" s="16">
        <v>46126.520833333336</v>
      </c>
      <c r="H50" s="16"/>
      <c r="I50" s="10" t="s">
        <v>869</v>
      </c>
      <c r="J50" s="10" t="s">
        <v>870</v>
      </c>
      <c r="K50" s="17">
        <v>46121.756331018521</v>
      </c>
      <c r="L50" s="6" t="e" cm="1">
        <f t="array" ref="L50">LOOKUP(2^15,SEARCH(Tabela2[Palavras-Chave],Boletim4[[#This Row],[Objeto]],1),Tabela2[Palavras-Chave])</f>
        <v>#N/A</v>
      </c>
    </row>
    <row r="51" spans="1:12" ht="86.4" hidden="1" x14ac:dyDescent="0.3">
      <c r="A51" s="5">
        <v>18809868</v>
      </c>
      <c r="B51" s="6" t="s">
        <v>871</v>
      </c>
      <c r="C51" s="6" t="s">
        <v>872</v>
      </c>
      <c r="D51" s="8" t="s">
        <v>60</v>
      </c>
      <c r="E51" s="6" t="s">
        <v>873</v>
      </c>
      <c r="F51" s="6" t="s">
        <v>51</v>
      </c>
      <c r="G51" s="11">
        <v>46126.5</v>
      </c>
      <c r="H51" s="11"/>
      <c r="I51" s="10" t="s">
        <v>874</v>
      </c>
      <c r="J51" s="6" t="s">
        <v>875</v>
      </c>
      <c r="K51" s="12">
        <v>46121.763252314813</v>
      </c>
      <c r="L51" s="6" t="e" cm="1">
        <f t="array" ref="L51">LOOKUP(2^15,SEARCH(Tabela2[Palavras-Chave],Boletim4[[#This Row],[Objeto]],1),Tabela2[Palavras-Chave])</f>
        <v>#N/A</v>
      </c>
    </row>
    <row r="52" spans="1:12" ht="115.2" hidden="1" x14ac:dyDescent="0.3">
      <c r="A52" s="5">
        <v>18810808</v>
      </c>
      <c r="B52" s="6" t="s">
        <v>876</v>
      </c>
      <c r="C52" s="6" t="s">
        <v>877</v>
      </c>
      <c r="D52" s="8" t="s">
        <v>60</v>
      </c>
      <c r="E52" s="6" t="s">
        <v>878</v>
      </c>
      <c r="F52" s="6" t="s">
        <v>51</v>
      </c>
      <c r="G52" s="11">
        <v>46126.458333333336</v>
      </c>
      <c r="H52" s="11"/>
      <c r="I52" s="10" t="s">
        <v>879</v>
      </c>
      <c r="J52" s="6" t="s">
        <v>880</v>
      </c>
      <c r="K52" s="12">
        <v>46121.761620370373</v>
      </c>
      <c r="L52" s="6" t="e" cm="1">
        <f t="array" ref="L52">LOOKUP(2^15,SEARCH(Tabela2[Palavras-Chave],Boletim4[[#This Row],[Objeto]],1),Tabela2[Palavras-Chave])</f>
        <v>#N/A</v>
      </c>
    </row>
    <row r="53" spans="1:12" ht="100.8" hidden="1" x14ac:dyDescent="0.3">
      <c r="A53" s="5">
        <v>18810830</v>
      </c>
      <c r="B53" s="6" t="s">
        <v>881</v>
      </c>
      <c r="C53" s="6" t="s">
        <v>882</v>
      </c>
      <c r="D53" s="8" t="s">
        <v>60</v>
      </c>
      <c r="E53" s="6" t="s">
        <v>883</v>
      </c>
      <c r="F53" s="6" t="s">
        <v>51</v>
      </c>
      <c r="G53" s="11">
        <v>46126.541666666664</v>
      </c>
      <c r="H53" s="11"/>
      <c r="I53" s="10" t="s">
        <v>884</v>
      </c>
      <c r="J53" s="6" t="s">
        <v>885</v>
      </c>
      <c r="K53" s="12">
        <v>46121.761747685188</v>
      </c>
      <c r="L53" s="6" t="e" cm="1">
        <f t="array" ref="L53">LOOKUP(2^15,SEARCH(Tabela2[Palavras-Chave],Boletim4[[#This Row],[Objeto]],1),Tabela2[Palavras-Chave])</f>
        <v>#N/A</v>
      </c>
    </row>
    <row r="54" spans="1:12" ht="100.8" hidden="1" x14ac:dyDescent="0.3">
      <c r="A54" s="5">
        <v>18810767</v>
      </c>
      <c r="B54" s="6" t="s">
        <v>866</v>
      </c>
      <c r="C54" s="6" t="s">
        <v>867</v>
      </c>
      <c r="D54" s="8" t="s">
        <v>60</v>
      </c>
      <c r="E54" s="6" t="s">
        <v>886</v>
      </c>
      <c r="F54" s="6" t="s">
        <v>51</v>
      </c>
      <c r="G54" s="11">
        <v>46126.520833333336</v>
      </c>
      <c r="H54" s="11"/>
      <c r="I54" s="10" t="s">
        <v>887</v>
      </c>
      <c r="J54" s="6" t="s">
        <v>888</v>
      </c>
      <c r="K54" s="12">
        <v>46121.762175925927</v>
      </c>
      <c r="L54" s="6" t="e" cm="1">
        <f t="array" ref="L54">LOOKUP(2^15,SEARCH(Tabela2[Palavras-Chave],Boletim4[[#This Row],[Objeto]],1),Tabela2[Palavras-Chave])</f>
        <v>#N/A</v>
      </c>
    </row>
    <row r="55" spans="1:12" ht="86.4" hidden="1" x14ac:dyDescent="0.3">
      <c r="A55" s="5">
        <v>18809366</v>
      </c>
      <c r="B55" s="6" t="s">
        <v>889</v>
      </c>
      <c r="C55" s="6" t="s">
        <v>59</v>
      </c>
      <c r="D55" s="8" t="s">
        <v>60</v>
      </c>
      <c r="E55" s="6" t="s">
        <v>890</v>
      </c>
      <c r="F55" s="6" t="s">
        <v>51</v>
      </c>
      <c r="G55" s="11">
        <v>46126.416666666664</v>
      </c>
      <c r="H55" s="11"/>
      <c r="I55" s="10" t="s">
        <v>322</v>
      </c>
      <c r="J55" s="6" t="s">
        <v>891</v>
      </c>
      <c r="K55" s="12">
        <v>46121.767245370371</v>
      </c>
      <c r="L55" s="6" t="e" cm="1">
        <f t="array" ref="L55">LOOKUP(2^15,SEARCH(Tabela2[Palavras-Chave],Boletim4[[#This Row],[Objeto]],1),Tabela2[Palavras-Chave])</f>
        <v>#N/A</v>
      </c>
    </row>
    <row r="56" spans="1:12" ht="86.4" hidden="1" x14ac:dyDescent="0.3">
      <c r="A56" s="5">
        <v>18810961</v>
      </c>
      <c r="B56" s="6" t="s">
        <v>892</v>
      </c>
      <c r="C56" s="6" t="s">
        <v>59</v>
      </c>
      <c r="D56" s="8" t="s">
        <v>60</v>
      </c>
      <c r="E56" s="6" t="s">
        <v>893</v>
      </c>
      <c r="F56" s="6" t="s">
        <v>51</v>
      </c>
      <c r="G56" s="11">
        <v>46125.416666666664</v>
      </c>
      <c r="H56" s="11"/>
      <c r="I56" s="10" t="s">
        <v>894</v>
      </c>
      <c r="J56" s="6" t="s">
        <v>895</v>
      </c>
      <c r="K56" s="12">
        <v>46121.772430555553</v>
      </c>
      <c r="L56" s="6" t="e" cm="1">
        <f t="array" ref="L56">LOOKUP(2^15,SEARCH(Tabela2[Palavras-Chave],Boletim4[[#This Row],[Objeto]],1),Tabela2[Palavras-Chave])</f>
        <v>#N/A</v>
      </c>
    </row>
    <row r="57" spans="1:12" ht="86.4" x14ac:dyDescent="0.3">
      <c r="A57" s="5">
        <v>18810964</v>
      </c>
      <c r="B57" s="6" t="s">
        <v>896</v>
      </c>
      <c r="C57" s="6" t="s">
        <v>59</v>
      </c>
      <c r="D57" s="8" t="s">
        <v>60</v>
      </c>
      <c r="E57" s="6" t="s">
        <v>897</v>
      </c>
      <c r="F57" s="6" t="s">
        <v>51</v>
      </c>
      <c r="G57" s="11">
        <v>46125.416666666664</v>
      </c>
      <c r="H57" s="11"/>
      <c r="I57" s="10" t="s">
        <v>898</v>
      </c>
      <c r="J57" s="6" t="s">
        <v>899</v>
      </c>
      <c r="K57" s="12">
        <v>46121.821805555555</v>
      </c>
      <c r="L57" s="6" t="str" cm="1">
        <f t="array" ref="L57">LOOKUP(2^15,SEARCH(Tabela2[Palavras-Chave],Boletim4[[#This Row],[Objeto]],1),Tabela2[Palavras-Chave])</f>
        <v>abraçadeira</v>
      </c>
    </row>
    <row r="58" spans="1:12" ht="86.4" hidden="1" x14ac:dyDescent="0.3">
      <c r="A58" s="13">
        <v>18810950</v>
      </c>
      <c r="B58" s="10" t="s">
        <v>272</v>
      </c>
      <c r="C58" s="10" t="s">
        <v>59</v>
      </c>
      <c r="D58" s="15" t="s">
        <v>60</v>
      </c>
      <c r="E58" s="10" t="s">
        <v>900</v>
      </c>
      <c r="F58" s="10" t="s">
        <v>51</v>
      </c>
      <c r="G58" s="16">
        <v>46125.416666666664</v>
      </c>
      <c r="H58" s="16"/>
      <c r="I58" s="10" t="s">
        <v>901</v>
      </c>
      <c r="J58" s="10" t="s">
        <v>902</v>
      </c>
      <c r="K58" s="17">
        <v>46121.823912037034</v>
      </c>
      <c r="L58" s="6" t="e" cm="1">
        <f t="array" ref="L58">LOOKUP(2^15,SEARCH(Tabela2[Palavras-Chave],Boletim4[[#This Row],[Objeto]],1),Tabela2[Palavras-Chave])</f>
        <v>#N/A</v>
      </c>
    </row>
    <row r="59" spans="1:12" ht="100.8" hidden="1" x14ac:dyDescent="0.3">
      <c r="A59" s="5">
        <v>18806549</v>
      </c>
      <c r="B59" s="6" t="s">
        <v>903</v>
      </c>
      <c r="C59" s="6" t="s">
        <v>61</v>
      </c>
      <c r="D59" s="8" t="s">
        <v>62</v>
      </c>
      <c r="E59" s="6" t="s">
        <v>904</v>
      </c>
      <c r="F59" s="6" t="s">
        <v>51</v>
      </c>
      <c r="G59" s="11">
        <v>46125.333333333336</v>
      </c>
      <c r="H59" s="11"/>
      <c r="I59" s="10" t="s">
        <v>905</v>
      </c>
      <c r="J59" s="6" t="s">
        <v>906</v>
      </c>
      <c r="K59" s="12">
        <v>46121.48940972222</v>
      </c>
      <c r="L59" s="6" t="e" cm="1">
        <f t="array" ref="L59">LOOKUP(2^15,SEARCH(Tabela2[Palavras-Chave],Boletim4[[#This Row],[Objeto]],1),Tabela2[Palavras-Chave])</f>
        <v>#N/A</v>
      </c>
    </row>
    <row r="60" spans="1:12" ht="57.6" hidden="1" x14ac:dyDescent="0.3">
      <c r="A60" s="5">
        <v>18808130</v>
      </c>
      <c r="B60" s="6" t="s">
        <v>907</v>
      </c>
      <c r="C60" s="6" t="s">
        <v>88</v>
      </c>
      <c r="D60" s="8" t="s">
        <v>63</v>
      </c>
      <c r="E60" s="6" t="s">
        <v>908</v>
      </c>
      <c r="F60" s="6" t="s">
        <v>51</v>
      </c>
      <c r="G60" s="11">
        <v>46125.5</v>
      </c>
      <c r="H60" s="11"/>
      <c r="I60" s="10" t="s">
        <v>909</v>
      </c>
      <c r="J60" s="6" t="s">
        <v>910</v>
      </c>
      <c r="K60" s="12">
        <v>46121.51054398148</v>
      </c>
      <c r="L60" s="6" t="e" cm="1">
        <f t="array" ref="L60">LOOKUP(2^15,SEARCH(Tabela2[Palavras-Chave],Boletim4[[#This Row],[Objeto]],1),Tabela2[Palavras-Chave])</f>
        <v>#N/A</v>
      </c>
    </row>
    <row r="61" spans="1:12" ht="100.8" hidden="1" x14ac:dyDescent="0.3">
      <c r="A61" s="5">
        <v>18809313</v>
      </c>
      <c r="B61" s="6" t="s">
        <v>911</v>
      </c>
      <c r="C61" s="6" t="s">
        <v>912</v>
      </c>
      <c r="D61" s="8" t="s">
        <v>63</v>
      </c>
      <c r="E61" s="6" t="s">
        <v>363</v>
      </c>
      <c r="F61" s="6" t="s">
        <v>51</v>
      </c>
      <c r="G61" s="11">
        <v>46134.333333333336</v>
      </c>
      <c r="H61" s="11"/>
      <c r="I61" s="10" t="s">
        <v>913</v>
      </c>
      <c r="J61" s="6" t="s">
        <v>914</v>
      </c>
      <c r="K61" s="12">
        <v>46121.743287037039</v>
      </c>
      <c r="L61" s="6" t="e" cm="1">
        <f t="array" ref="L61">LOOKUP(2^15,SEARCH(Tabela2[Palavras-Chave],Boletim4[[#This Row],[Objeto]],1),Tabela2[Palavras-Chave])</f>
        <v>#N/A</v>
      </c>
    </row>
    <row r="62" spans="1:12" ht="100.8" hidden="1" x14ac:dyDescent="0.3">
      <c r="A62" s="5">
        <v>18810778</v>
      </c>
      <c r="B62" s="6" t="s">
        <v>915</v>
      </c>
      <c r="C62" s="6" t="s">
        <v>427</v>
      </c>
      <c r="D62" s="8" t="s">
        <v>63</v>
      </c>
      <c r="E62" s="6" t="s">
        <v>147</v>
      </c>
      <c r="F62" s="6" t="s">
        <v>51</v>
      </c>
      <c r="G62" s="11">
        <v>46136.5</v>
      </c>
      <c r="H62" s="11"/>
      <c r="I62" s="10" t="s">
        <v>916</v>
      </c>
      <c r="J62" s="6" t="s">
        <v>917</v>
      </c>
      <c r="K62" s="12">
        <v>46121.840567129628</v>
      </c>
      <c r="L62" s="6" t="e" cm="1">
        <f t="array" ref="L62">LOOKUP(2^15,SEARCH(Tabela2[Palavras-Chave],Boletim4[[#This Row],[Objeto]],1),Tabela2[Palavras-Chave])</f>
        <v>#N/A</v>
      </c>
    </row>
    <row r="63" spans="1:12" ht="100.8" hidden="1" x14ac:dyDescent="0.3">
      <c r="A63" s="5">
        <v>18806646</v>
      </c>
      <c r="B63" s="6" t="s">
        <v>918</v>
      </c>
      <c r="C63" s="6" t="s">
        <v>919</v>
      </c>
      <c r="D63" s="8" t="s">
        <v>64</v>
      </c>
      <c r="E63" s="6" t="s">
        <v>125</v>
      </c>
      <c r="F63" s="6" t="s">
        <v>51</v>
      </c>
      <c r="G63" s="11">
        <v>46125.999305555553</v>
      </c>
      <c r="H63" s="11"/>
      <c r="I63" s="10" t="s">
        <v>920</v>
      </c>
      <c r="J63" s="6" t="s">
        <v>921</v>
      </c>
      <c r="K63" s="12">
        <v>46121.435127314813</v>
      </c>
      <c r="L63" s="6" t="e" cm="1">
        <f t="array" ref="L63">LOOKUP(2^15,SEARCH(Tabela2[Palavras-Chave],Boletim4[[#This Row],[Objeto]],1),Tabela2[Palavras-Chave])</f>
        <v>#N/A</v>
      </c>
    </row>
    <row r="64" spans="1:12" ht="57.6" hidden="1" x14ac:dyDescent="0.3">
      <c r="A64" s="5">
        <v>18808037</v>
      </c>
      <c r="B64" s="6" t="s">
        <v>907</v>
      </c>
      <c r="C64" s="6" t="s">
        <v>101</v>
      </c>
      <c r="D64" s="8" t="s">
        <v>64</v>
      </c>
      <c r="E64" s="6" t="s">
        <v>908</v>
      </c>
      <c r="F64" s="6" t="s">
        <v>51</v>
      </c>
      <c r="G64" s="11">
        <v>46125.5</v>
      </c>
      <c r="H64" s="11"/>
      <c r="I64" s="10" t="s">
        <v>909</v>
      </c>
      <c r="J64" s="6" t="s">
        <v>910</v>
      </c>
      <c r="K64" s="12">
        <v>46121.51053240741</v>
      </c>
      <c r="L64" s="6" t="e" cm="1">
        <f t="array" ref="L64">LOOKUP(2^15,SEARCH(Tabela2[Palavras-Chave],Boletim4[[#This Row],[Objeto]],1),Tabela2[Palavras-Chave])</f>
        <v>#N/A</v>
      </c>
    </row>
    <row r="65" spans="1:12" ht="259.2" hidden="1" x14ac:dyDescent="0.3">
      <c r="A65" s="5">
        <v>18807037</v>
      </c>
      <c r="B65" s="6" t="s">
        <v>922</v>
      </c>
      <c r="C65" s="6" t="s">
        <v>923</v>
      </c>
      <c r="D65" s="8" t="s">
        <v>64</v>
      </c>
      <c r="E65" s="6" t="s">
        <v>924</v>
      </c>
      <c r="F65" s="6" t="s">
        <v>51</v>
      </c>
      <c r="G65" s="11" t="s">
        <v>56</v>
      </c>
      <c r="H65" s="11"/>
      <c r="I65" s="10" t="s">
        <v>925</v>
      </c>
      <c r="J65" s="6" t="s">
        <v>926</v>
      </c>
      <c r="K65" s="12">
        <v>46121.607731481483</v>
      </c>
      <c r="L65" s="6" t="e" cm="1">
        <f t="array" ref="L65">LOOKUP(2^15,SEARCH(Tabela2[Palavras-Chave],Boletim4[[#This Row],[Objeto]],1),Tabela2[Palavras-Chave])</f>
        <v>#N/A</v>
      </c>
    </row>
    <row r="66" spans="1:12" ht="57.6" hidden="1" x14ac:dyDescent="0.3">
      <c r="A66" s="5">
        <v>18785926</v>
      </c>
      <c r="B66" s="6" t="s">
        <v>927</v>
      </c>
      <c r="C66" s="6" t="s">
        <v>928</v>
      </c>
      <c r="D66" s="8" t="s">
        <v>64</v>
      </c>
      <c r="E66" s="6" t="s">
        <v>929</v>
      </c>
      <c r="F66" s="6" t="s">
        <v>51</v>
      </c>
      <c r="G66" s="11">
        <v>46122</v>
      </c>
      <c r="H66" s="11"/>
      <c r="I66" s="10" t="s">
        <v>930</v>
      </c>
      <c r="J66" s="6" t="s">
        <v>931</v>
      </c>
      <c r="K66" s="12">
        <v>46121.587604166663</v>
      </c>
      <c r="L66" s="6" t="e" cm="1">
        <f t="array" ref="L66">LOOKUP(2^15,SEARCH(Tabela2[Palavras-Chave],Boletim4[[#This Row],[Objeto]],1),Tabela2[Palavras-Chave])</f>
        <v>#N/A</v>
      </c>
    </row>
    <row r="67" spans="1:12" ht="100.8" hidden="1" x14ac:dyDescent="0.3">
      <c r="A67" s="5">
        <v>18809124</v>
      </c>
      <c r="B67" s="6" t="s">
        <v>932</v>
      </c>
      <c r="C67" s="6" t="s">
        <v>933</v>
      </c>
      <c r="D67" s="8" t="s">
        <v>64</v>
      </c>
      <c r="E67" s="6" t="s">
        <v>934</v>
      </c>
      <c r="F67" s="6" t="s">
        <v>51</v>
      </c>
      <c r="G67" s="11">
        <v>46122.625</v>
      </c>
      <c r="H67" s="11"/>
      <c r="I67" s="10" t="s">
        <v>935</v>
      </c>
      <c r="J67" s="6" t="s">
        <v>936</v>
      </c>
      <c r="K67" s="12">
        <v>46121.650185185186</v>
      </c>
      <c r="L67" s="6" t="e" cm="1">
        <f t="array" ref="L67">LOOKUP(2^15,SEARCH(Tabela2[Palavras-Chave],Boletim4[[#This Row],[Objeto]],1),Tabela2[Palavras-Chave])</f>
        <v>#N/A</v>
      </c>
    </row>
    <row r="68" spans="1:12" ht="43.2" hidden="1" x14ac:dyDescent="0.3">
      <c r="A68" s="5">
        <v>18807343</v>
      </c>
      <c r="B68" s="6" t="s">
        <v>937</v>
      </c>
      <c r="C68" s="6" t="s">
        <v>203</v>
      </c>
      <c r="D68" s="8" t="s">
        <v>64</v>
      </c>
      <c r="E68" s="6" t="s">
        <v>938</v>
      </c>
      <c r="F68" s="6" t="s">
        <v>51</v>
      </c>
      <c r="G68" s="11" t="s">
        <v>56</v>
      </c>
      <c r="H68" s="11"/>
      <c r="I68" s="10" t="s">
        <v>939</v>
      </c>
      <c r="J68" s="6" t="s">
        <v>940</v>
      </c>
      <c r="K68" s="12">
        <v>46121.720486111109</v>
      </c>
      <c r="L68" s="6" t="e" cm="1">
        <f t="array" ref="L68">LOOKUP(2^15,SEARCH(Tabela2[Palavras-Chave],Boletim4[[#This Row],[Objeto]],1),Tabela2[Palavras-Chave])</f>
        <v>#N/A</v>
      </c>
    </row>
    <row r="69" spans="1:12" ht="43.2" hidden="1" x14ac:dyDescent="0.3">
      <c r="A69" s="5">
        <v>18810641</v>
      </c>
      <c r="B69" s="6" t="s">
        <v>941</v>
      </c>
      <c r="C69" s="6" t="s">
        <v>942</v>
      </c>
      <c r="D69" s="8" t="s">
        <v>64</v>
      </c>
      <c r="E69" s="6" t="s">
        <v>346</v>
      </c>
      <c r="F69" s="6" t="s">
        <v>51</v>
      </c>
      <c r="G69" s="11" t="s">
        <v>56</v>
      </c>
      <c r="H69" s="11"/>
      <c r="I69" s="10" t="s">
        <v>943</v>
      </c>
      <c r="J69" s="6" t="s">
        <v>944</v>
      </c>
      <c r="K69" s="12">
        <v>46121.743391203701</v>
      </c>
      <c r="L69" s="6" t="e" cm="1">
        <f t="array" ref="L69">LOOKUP(2^15,SEARCH(Tabela2[Palavras-Chave],Boletim4[[#This Row],[Objeto]],1),Tabela2[Palavras-Chave])</f>
        <v>#N/A</v>
      </c>
    </row>
    <row r="70" spans="1:12" ht="144" hidden="1" x14ac:dyDescent="0.3">
      <c r="A70" s="5">
        <v>18810823</v>
      </c>
      <c r="B70" s="6" t="s">
        <v>945</v>
      </c>
      <c r="C70" s="6" t="s">
        <v>946</v>
      </c>
      <c r="D70" s="8" t="s">
        <v>64</v>
      </c>
      <c r="E70" s="6" t="s">
        <v>265</v>
      </c>
      <c r="F70" s="6" t="s">
        <v>51</v>
      </c>
      <c r="G70" s="11">
        <v>46126.708333333336</v>
      </c>
      <c r="H70" s="11"/>
      <c r="I70" s="10" t="s">
        <v>947</v>
      </c>
      <c r="J70" s="6" t="s">
        <v>948</v>
      </c>
      <c r="K70" s="12">
        <v>46121.770775462966</v>
      </c>
      <c r="L70" s="6" t="e" cm="1">
        <f t="array" ref="L70">LOOKUP(2^15,SEARCH(Tabela2[Palavras-Chave],Boletim4[[#This Row],[Objeto]],1),Tabela2[Palavras-Chave])</f>
        <v>#N/A</v>
      </c>
    </row>
    <row r="71" spans="1:12" ht="100.8" hidden="1" x14ac:dyDescent="0.3">
      <c r="A71" s="5">
        <v>18765970</v>
      </c>
      <c r="B71" s="6" t="s">
        <v>949</v>
      </c>
      <c r="C71" s="6" t="s">
        <v>638</v>
      </c>
      <c r="D71" s="8" t="s">
        <v>89</v>
      </c>
      <c r="E71" s="6" t="s">
        <v>149</v>
      </c>
      <c r="F71" s="6" t="s">
        <v>51</v>
      </c>
      <c r="G71" s="11" t="s">
        <v>56</v>
      </c>
      <c r="H71" s="11"/>
      <c r="I71" s="10" t="s">
        <v>950</v>
      </c>
      <c r="J71" s="6" t="s">
        <v>951</v>
      </c>
      <c r="K71" s="12">
        <v>46121.636516203704</v>
      </c>
      <c r="L71" s="6" t="e" cm="1">
        <f t="array" ref="L71">LOOKUP(2^15,SEARCH(Tabela2[Palavras-Chave],Boletim4[[#This Row],[Objeto]],1),Tabela2[Palavras-Chave])</f>
        <v>#N/A</v>
      </c>
    </row>
    <row r="72" spans="1:12" ht="86.4" hidden="1" x14ac:dyDescent="0.3">
      <c r="A72" s="5">
        <v>18810772</v>
      </c>
      <c r="B72" s="6" t="s">
        <v>952</v>
      </c>
      <c r="C72" s="6" t="s">
        <v>953</v>
      </c>
      <c r="D72" s="8" t="s">
        <v>89</v>
      </c>
      <c r="E72" s="6" t="s">
        <v>227</v>
      </c>
      <c r="F72" s="6" t="s">
        <v>51</v>
      </c>
      <c r="G72" s="11">
        <v>46128.333333333336</v>
      </c>
      <c r="H72" s="11"/>
      <c r="I72" s="10" t="s">
        <v>954</v>
      </c>
      <c r="J72" s="6" t="s">
        <v>955</v>
      </c>
      <c r="K72" s="12">
        <v>46121.792650462965</v>
      </c>
      <c r="L72" s="6" t="e" cm="1">
        <f t="array" ref="L72">LOOKUP(2^15,SEARCH(Tabela2[Palavras-Chave],Boletim4[[#This Row],[Objeto]],1),Tabela2[Palavras-Chave])</f>
        <v>#N/A</v>
      </c>
    </row>
    <row r="73" spans="1:12" ht="100.8" hidden="1" x14ac:dyDescent="0.3">
      <c r="A73" s="13">
        <v>18806534</v>
      </c>
      <c r="B73" s="10" t="s">
        <v>956</v>
      </c>
      <c r="C73" s="10" t="s">
        <v>159</v>
      </c>
      <c r="D73" s="15" t="s">
        <v>89</v>
      </c>
      <c r="E73" s="10" t="s">
        <v>957</v>
      </c>
      <c r="F73" s="10" t="s">
        <v>51</v>
      </c>
      <c r="G73" s="16">
        <v>46125.416666666664</v>
      </c>
      <c r="H73" s="16"/>
      <c r="I73" s="10" t="s">
        <v>958</v>
      </c>
      <c r="J73" s="10" t="s">
        <v>959</v>
      </c>
      <c r="K73" s="17">
        <v>46121.812291666669</v>
      </c>
      <c r="L73" s="6" t="e" cm="1">
        <f t="array" ref="L73">LOOKUP(2^15,SEARCH(Tabela2[Palavras-Chave],Boletim4[[#This Row],[Objeto]],1),Tabela2[Palavras-Chave])</f>
        <v>#N/A</v>
      </c>
    </row>
    <row r="74" spans="1:12" ht="43.2" hidden="1" x14ac:dyDescent="0.3">
      <c r="A74" s="5">
        <v>18803635</v>
      </c>
      <c r="B74" s="6" t="s">
        <v>598</v>
      </c>
      <c r="C74" s="6" t="s">
        <v>599</v>
      </c>
      <c r="D74" s="8" t="s">
        <v>66</v>
      </c>
      <c r="E74" s="6" t="s">
        <v>110</v>
      </c>
      <c r="F74" s="6" t="s">
        <v>51</v>
      </c>
      <c r="G74" s="11">
        <v>46140.5625</v>
      </c>
      <c r="H74" s="11"/>
      <c r="I74" s="10" t="s">
        <v>600</v>
      </c>
      <c r="J74" s="6" t="s">
        <v>601</v>
      </c>
      <c r="K74" s="12">
        <v>46121.419479166667</v>
      </c>
      <c r="L74" s="6" t="e" cm="1">
        <f t="array" ref="L74">LOOKUP(2^15,SEARCH(Tabela2[Palavras-Chave],Boletim4[[#This Row],[Objeto]],1),Tabela2[Palavras-Chave])</f>
        <v>#N/A</v>
      </c>
    </row>
    <row r="75" spans="1:12" ht="72" hidden="1" x14ac:dyDescent="0.3">
      <c r="A75" s="5">
        <v>18772097</v>
      </c>
      <c r="B75" s="6" t="s">
        <v>74</v>
      </c>
      <c r="C75" s="6" t="s">
        <v>65</v>
      </c>
      <c r="D75" s="8" t="s">
        <v>66</v>
      </c>
      <c r="E75" s="6" t="s">
        <v>960</v>
      </c>
      <c r="F75" s="6" t="s">
        <v>51</v>
      </c>
      <c r="G75" s="11" t="s">
        <v>56</v>
      </c>
      <c r="H75" s="11"/>
      <c r="I75" s="10" t="s">
        <v>961</v>
      </c>
      <c r="J75" s="6" t="s">
        <v>962</v>
      </c>
      <c r="K75" s="12">
        <v>46121.440347222226</v>
      </c>
      <c r="L75" s="6" t="e" cm="1">
        <f t="array" ref="L75">LOOKUP(2^15,SEARCH(Tabela2[Palavras-Chave],Boletim4[[#This Row],[Objeto]],1),Tabela2[Palavras-Chave])</f>
        <v>#N/A</v>
      </c>
    </row>
    <row r="76" spans="1:12" ht="72" hidden="1" x14ac:dyDescent="0.3">
      <c r="A76" s="5">
        <v>18751074</v>
      </c>
      <c r="B76" s="6" t="s">
        <v>74</v>
      </c>
      <c r="C76" s="6" t="s">
        <v>65</v>
      </c>
      <c r="D76" s="8" t="s">
        <v>66</v>
      </c>
      <c r="E76" s="6" t="s">
        <v>963</v>
      </c>
      <c r="F76" s="6" t="s">
        <v>51</v>
      </c>
      <c r="G76" s="11" t="s">
        <v>56</v>
      </c>
      <c r="H76" s="11"/>
      <c r="I76" s="10" t="s">
        <v>964</v>
      </c>
      <c r="J76" s="6" t="s">
        <v>965</v>
      </c>
      <c r="K76" s="12">
        <v>46121.442395833335</v>
      </c>
      <c r="L76" s="6" t="e" cm="1">
        <f t="array" ref="L76">LOOKUP(2^15,SEARCH(Tabela2[Palavras-Chave],Boletim4[[#This Row],[Objeto]],1),Tabela2[Palavras-Chave])</f>
        <v>#N/A</v>
      </c>
    </row>
    <row r="77" spans="1:12" ht="57.6" hidden="1" x14ac:dyDescent="0.3">
      <c r="A77" s="5">
        <v>18807224</v>
      </c>
      <c r="B77" s="6" t="s">
        <v>966</v>
      </c>
      <c r="C77" s="6" t="s">
        <v>65</v>
      </c>
      <c r="D77" s="8" t="s">
        <v>66</v>
      </c>
      <c r="E77" s="6" t="s">
        <v>967</v>
      </c>
      <c r="F77" s="6" t="s">
        <v>51</v>
      </c>
      <c r="G77" s="11" t="s">
        <v>56</v>
      </c>
      <c r="H77" s="11"/>
      <c r="I77" s="10" t="s">
        <v>968</v>
      </c>
      <c r="J77" s="6" t="s">
        <v>969</v>
      </c>
      <c r="K77" s="12">
        <v>46121.450254629628</v>
      </c>
      <c r="L77" s="6" t="e" cm="1">
        <f t="array" ref="L77">LOOKUP(2^15,SEARCH(Tabela2[Palavras-Chave],Boletim4[[#This Row],[Objeto]],1),Tabela2[Palavras-Chave])</f>
        <v>#N/A</v>
      </c>
    </row>
    <row r="78" spans="1:12" ht="57.6" hidden="1" x14ac:dyDescent="0.3">
      <c r="A78" s="5">
        <v>18807215</v>
      </c>
      <c r="B78" s="6" t="s">
        <v>966</v>
      </c>
      <c r="C78" s="6" t="s">
        <v>65</v>
      </c>
      <c r="D78" s="8" t="s">
        <v>66</v>
      </c>
      <c r="E78" s="6" t="s">
        <v>970</v>
      </c>
      <c r="F78" s="6" t="s">
        <v>51</v>
      </c>
      <c r="G78" s="11" t="s">
        <v>56</v>
      </c>
      <c r="H78" s="11"/>
      <c r="I78" s="10" t="s">
        <v>971</v>
      </c>
      <c r="J78" s="6" t="s">
        <v>972</v>
      </c>
      <c r="K78" s="12">
        <v>46121.450300925928</v>
      </c>
      <c r="L78" s="6" t="e" cm="1">
        <f t="array" ref="L78">LOOKUP(2^15,SEARCH(Tabela2[Palavras-Chave],Boletim4[[#This Row],[Objeto]],1),Tabela2[Palavras-Chave])</f>
        <v>#N/A</v>
      </c>
    </row>
    <row r="79" spans="1:12" ht="57.6" hidden="1" x14ac:dyDescent="0.3">
      <c r="A79" s="5">
        <v>18807205</v>
      </c>
      <c r="B79" s="6" t="s">
        <v>966</v>
      </c>
      <c r="C79" s="6" t="s">
        <v>65</v>
      </c>
      <c r="D79" s="8" t="s">
        <v>66</v>
      </c>
      <c r="E79" s="6" t="s">
        <v>973</v>
      </c>
      <c r="F79" s="6" t="s">
        <v>51</v>
      </c>
      <c r="G79" s="11" t="s">
        <v>56</v>
      </c>
      <c r="H79" s="11"/>
      <c r="I79" s="10" t="s">
        <v>974</v>
      </c>
      <c r="J79" s="6" t="s">
        <v>975</v>
      </c>
      <c r="K79" s="12">
        <v>46121.450659722221</v>
      </c>
      <c r="L79" s="6" t="e" cm="1">
        <f t="array" ref="L79">LOOKUP(2^15,SEARCH(Tabela2[Palavras-Chave],Boletim4[[#This Row],[Objeto]],1),Tabela2[Palavras-Chave])</f>
        <v>#N/A</v>
      </c>
    </row>
    <row r="80" spans="1:12" ht="57.6" hidden="1" x14ac:dyDescent="0.3">
      <c r="A80" s="5">
        <v>18807216</v>
      </c>
      <c r="B80" s="6" t="s">
        <v>966</v>
      </c>
      <c r="C80" s="6" t="s">
        <v>65</v>
      </c>
      <c r="D80" s="8" t="s">
        <v>66</v>
      </c>
      <c r="E80" s="6" t="s">
        <v>976</v>
      </c>
      <c r="F80" s="6" t="s">
        <v>51</v>
      </c>
      <c r="G80" s="11" t="s">
        <v>56</v>
      </c>
      <c r="H80" s="11"/>
      <c r="I80" s="10" t="s">
        <v>977</v>
      </c>
      <c r="J80" s="6" t="s">
        <v>978</v>
      </c>
      <c r="K80" s="12">
        <v>46121.451273148145</v>
      </c>
      <c r="L80" s="6" t="e" cm="1">
        <f t="array" ref="L80">LOOKUP(2^15,SEARCH(Tabela2[Palavras-Chave],Boletim4[[#This Row],[Objeto]],1),Tabela2[Palavras-Chave])</f>
        <v>#N/A</v>
      </c>
    </row>
    <row r="81" spans="1:12" ht="57.6" x14ac:dyDescent="0.3">
      <c r="A81" s="5">
        <v>18807220</v>
      </c>
      <c r="B81" s="6" t="s">
        <v>979</v>
      </c>
      <c r="C81" s="6" t="s">
        <v>65</v>
      </c>
      <c r="D81" s="8" t="s">
        <v>66</v>
      </c>
      <c r="E81" s="6" t="s">
        <v>980</v>
      </c>
      <c r="F81" s="6" t="s">
        <v>51</v>
      </c>
      <c r="G81" s="11" t="s">
        <v>56</v>
      </c>
      <c r="H81" s="11"/>
      <c r="I81" s="10" t="s">
        <v>981</v>
      </c>
      <c r="J81" s="6" t="s">
        <v>982</v>
      </c>
      <c r="K81" s="12">
        <v>46121.452916666669</v>
      </c>
      <c r="L81" s="6" t="str" cm="1">
        <f t="array" ref="L81">LOOKUP(2^15,SEARCH(Tabela2[Palavras-Chave],Boletim4[[#This Row],[Objeto]],1),Tabela2[Palavras-Chave])</f>
        <v>INOX</v>
      </c>
    </row>
    <row r="82" spans="1:12" ht="43.2" hidden="1" x14ac:dyDescent="0.3">
      <c r="A82" s="5">
        <v>18807165</v>
      </c>
      <c r="B82" s="6" t="s">
        <v>99</v>
      </c>
      <c r="C82" s="6" t="s">
        <v>65</v>
      </c>
      <c r="D82" s="8" t="s">
        <v>66</v>
      </c>
      <c r="E82" s="6" t="s">
        <v>983</v>
      </c>
      <c r="F82" s="6" t="s">
        <v>51</v>
      </c>
      <c r="G82" s="11" t="s">
        <v>56</v>
      </c>
      <c r="H82" s="11"/>
      <c r="I82" s="10" t="s">
        <v>984</v>
      </c>
      <c r="J82" s="6" t="s">
        <v>132</v>
      </c>
      <c r="K82" s="12">
        <v>46121.454282407409</v>
      </c>
      <c r="L82" s="6" t="e" cm="1">
        <f t="array" ref="L82">LOOKUP(2^15,SEARCH(Tabela2[Palavras-Chave],Boletim4[[#This Row],[Objeto]],1),Tabela2[Palavras-Chave])</f>
        <v>#N/A</v>
      </c>
    </row>
    <row r="83" spans="1:12" ht="57.6" hidden="1" x14ac:dyDescent="0.3">
      <c r="A83" s="5">
        <v>18806984</v>
      </c>
      <c r="B83" s="6" t="s">
        <v>985</v>
      </c>
      <c r="C83" s="6" t="s">
        <v>986</v>
      </c>
      <c r="D83" s="8" t="s">
        <v>66</v>
      </c>
      <c r="E83" s="6" t="s">
        <v>139</v>
      </c>
      <c r="F83" s="6" t="s">
        <v>51</v>
      </c>
      <c r="G83" s="11">
        <v>46125.333333333336</v>
      </c>
      <c r="H83" s="11"/>
      <c r="I83" s="10" t="s">
        <v>987</v>
      </c>
      <c r="J83" s="6" t="s">
        <v>988</v>
      </c>
      <c r="K83" s="12">
        <v>46121.470173611109</v>
      </c>
      <c r="L83" s="6" t="e" cm="1">
        <f t="array" ref="L83">LOOKUP(2^15,SEARCH(Tabela2[Palavras-Chave],Boletim4[[#This Row],[Objeto]],1),Tabela2[Palavras-Chave])</f>
        <v>#N/A</v>
      </c>
    </row>
    <row r="84" spans="1:12" hidden="1" x14ac:dyDescent="0.3">
      <c r="A84" s="5">
        <v>18807163</v>
      </c>
      <c r="B84" s="6" t="s">
        <v>99</v>
      </c>
      <c r="C84" s="6" t="s">
        <v>65</v>
      </c>
      <c r="D84" s="8" t="s">
        <v>66</v>
      </c>
      <c r="E84" s="6" t="s">
        <v>989</v>
      </c>
      <c r="F84" s="6" t="s">
        <v>51</v>
      </c>
      <c r="G84" s="11" t="s">
        <v>56</v>
      </c>
      <c r="H84" s="11"/>
      <c r="I84" s="10" t="s">
        <v>990</v>
      </c>
      <c r="J84" s="6" t="s">
        <v>132</v>
      </c>
      <c r="K84" s="12">
        <v>46121.473078703704</v>
      </c>
      <c r="L84" s="6" t="e" cm="1">
        <f t="array" ref="L84">LOOKUP(2^15,SEARCH(Tabela2[Palavras-Chave],Boletim4[[#This Row],[Objeto]],1),Tabela2[Palavras-Chave])</f>
        <v>#N/A</v>
      </c>
    </row>
    <row r="85" spans="1:12" ht="57.6" hidden="1" x14ac:dyDescent="0.3">
      <c r="A85" s="5">
        <v>18807204</v>
      </c>
      <c r="B85" s="6" t="s">
        <v>966</v>
      </c>
      <c r="C85" s="6" t="s">
        <v>65</v>
      </c>
      <c r="D85" s="8" t="s">
        <v>66</v>
      </c>
      <c r="E85" s="6" t="s">
        <v>991</v>
      </c>
      <c r="F85" s="6" t="s">
        <v>51</v>
      </c>
      <c r="G85" s="11" t="s">
        <v>56</v>
      </c>
      <c r="H85" s="11"/>
      <c r="I85" s="10" t="s">
        <v>992</v>
      </c>
      <c r="J85" s="6" t="s">
        <v>993</v>
      </c>
      <c r="K85" s="12">
        <v>46121.473738425928</v>
      </c>
      <c r="L85" s="6" t="e" cm="1">
        <f t="array" ref="L85">LOOKUP(2^15,SEARCH(Tabela2[Palavras-Chave],Boletim4[[#This Row],[Objeto]],1),Tabela2[Palavras-Chave])</f>
        <v>#N/A</v>
      </c>
    </row>
    <row r="86" spans="1:12" ht="57.6" hidden="1" x14ac:dyDescent="0.3">
      <c r="A86" s="13">
        <v>18807206</v>
      </c>
      <c r="B86" s="10" t="s">
        <v>966</v>
      </c>
      <c r="C86" s="10" t="s">
        <v>65</v>
      </c>
      <c r="D86" s="15" t="s">
        <v>66</v>
      </c>
      <c r="E86" s="10" t="s">
        <v>994</v>
      </c>
      <c r="F86" s="10" t="s">
        <v>51</v>
      </c>
      <c r="G86" s="16" t="s">
        <v>56</v>
      </c>
      <c r="H86" s="16"/>
      <c r="I86" s="10" t="s">
        <v>995</v>
      </c>
      <c r="J86" s="10" t="s">
        <v>996</v>
      </c>
      <c r="K86" s="17">
        <v>46121.47384259259</v>
      </c>
      <c r="L86" s="6" t="e" cm="1">
        <f t="array" ref="L86">LOOKUP(2^15,SEARCH(Tabela2[Palavras-Chave],Boletim4[[#This Row],[Objeto]],1),Tabela2[Palavras-Chave])</f>
        <v>#N/A</v>
      </c>
    </row>
    <row r="87" spans="1:12" ht="57.6" hidden="1" x14ac:dyDescent="0.3">
      <c r="A87" s="5">
        <v>18807214</v>
      </c>
      <c r="B87" s="6" t="s">
        <v>979</v>
      </c>
      <c r="C87" s="6" t="s">
        <v>65</v>
      </c>
      <c r="D87" s="8" t="s">
        <v>66</v>
      </c>
      <c r="E87" s="6" t="s">
        <v>997</v>
      </c>
      <c r="F87" s="6" t="s">
        <v>51</v>
      </c>
      <c r="G87" s="11" t="s">
        <v>56</v>
      </c>
      <c r="H87" s="11"/>
      <c r="I87" s="10" t="s">
        <v>998</v>
      </c>
      <c r="J87" s="6" t="s">
        <v>999</v>
      </c>
      <c r="K87" s="12">
        <v>46121.486689814818</v>
      </c>
      <c r="L87" s="6" t="e" cm="1">
        <f t="array" ref="L87">LOOKUP(2^15,SEARCH(Tabela2[Palavras-Chave],Boletim4[[#This Row],[Objeto]],1),Tabela2[Palavras-Chave])</f>
        <v>#N/A</v>
      </c>
    </row>
    <row r="88" spans="1:12" ht="409.6" x14ac:dyDescent="0.3">
      <c r="A88" s="5">
        <v>18807372</v>
      </c>
      <c r="B88" s="6" t="s">
        <v>99</v>
      </c>
      <c r="C88" s="6" t="s">
        <v>65</v>
      </c>
      <c r="D88" s="8" t="s">
        <v>66</v>
      </c>
      <c r="E88" s="6" t="s">
        <v>1000</v>
      </c>
      <c r="F88" s="6" t="s">
        <v>51</v>
      </c>
      <c r="G88" s="11" t="s">
        <v>56</v>
      </c>
      <c r="H88" s="11"/>
      <c r="I88" s="10" t="s">
        <v>1001</v>
      </c>
      <c r="J88" s="6" t="s">
        <v>132</v>
      </c>
      <c r="K88" s="12">
        <v>46121.499768518515</v>
      </c>
      <c r="L88" s="6" t="str" cm="1">
        <f t="array" ref="L88">LOOKUP(2^15,SEARCH(Tabela2[Palavras-Chave],Boletim4[[#This Row],[Objeto]],1),Tabela2[Palavras-Chave])</f>
        <v>JUNTA</v>
      </c>
    </row>
    <row r="89" spans="1:12" ht="28.8" hidden="1" x14ac:dyDescent="0.3">
      <c r="A89" s="5">
        <v>18808186</v>
      </c>
      <c r="B89" s="6" t="s">
        <v>1002</v>
      </c>
      <c r="C89" s="6" t="s">
        <v>1003</v>
      </c>
      <c r="D89" s="8" t="s">
        <v>66</v>
      </c>
      <c r="E89" s="6" t="s">
        <v>1004</v>
      </c>
      <c r="F89" s="6" t="s">
        <v>51</v>
      </c>
      <c r="G89" s="11">
        <v>46126.333333333336</v>
      </c>
      <c r="H89" s="11"/>
      <c r="I89" s="10" t="s">
        <v>1005</v>
      </c>
      <c r="J89" s="6" t="s">
        <v>1006</v>
      </c>
      <c r="K89" s="12">
        <v>46121.52207175926</v>
      </c>
      <c r="L89" s="6" t="e" cm="1">
        <f t="array" ref="L89">LOOKUP(2^15,SEARCH(Tabela2[Palavras-Chave],Boletim4[[#This Row],[Objeto]],1),Tabela2[Palavras-Chave])</f>
        <v>#N/A</v>
      </c>
    </row>
    <row r="90" spans="1:12" ht="302.39999999999998" x14ac:dyDescent="0.3">
      <c r="A90" s="5">
        <v>18808075</v>
      </c>
      <c r="B90" s="6" t="s">
        <v>259</v>
      </c>
      <c r="C90" s="6" t="s">
        <v>260</v>
      </c>
      <c r="D90" s="8" t="s">
        <v>66</v>
      </c>
      <c r="E90" s="6" t="s">
        <v>1007</v>
      </c>
      <c r="F90" s="6" t="s">
        <v>51</v>
      </c>
      <c r="G90" s="11" t="s">
        <v>56</v>
      </c>
      <c r="H90" s="11"/>
      <c r="I90" s="10" t="s">
        <v>1008</v>
      </c>
      <c r="J90" s="6" t="s">
        <v>1009</v>
      </c>
      <c r="K90" s="12">
        <v>46121.541122685187</v>
      </c>
      <c r="L90" s="6" t="str" cm="1">
        <f t="array" ref="L90">LOOKUP(2^15,SEARCH(Tabela2[Palavras-Chave],Boletim4[[#This Row],[Objeto]],1),Tabela2[Palavras-Chave])</f>
        <v>DIAGNÓSTICO</v>
      </c>
    </row>
    <row r="91" spans="1:12" ht="72" hidden="1" x14ac:dyDescent="0.3">
      <c r="A91" s="5">
        <v>18799534</v>
      </c>
      <c r="B91" s="6" t="s">
        <v>1010</v>
      </c>
      <c r="C91" s="6" t="s">
        <v>447</v>
      </c>
      <c r="D91" s="8" t="s">
        <v>66</v>
      </c>
      <c r="E91" s="6" t="s">
        <v>139</v>
      </c>
      <c r="F91" s="6" t="s">
        <v>51</v>
      </c>
      <c r="G91" s="11">
        <v>46122.375</v>
      </c>
      <c r="H91" s="11"/>
      <c r="I91" s="10" t="s">
        <v>1011</v>
      </c>
      <c r="J91" s="6" t="s">
        <v>1012</v>
      </c>
      <c r="K91" s="12">
        <v>46121.587638888886</v>
      </c>
      <c r="L91" s="6" t="e" cm="1">
        <f t="array" ref="L91">LOOKUP(2^15,SEARCH(Tabela2[Palavras-Chave],Boletim4[[#This Row],[Objeto]],1),Tabela2[Palavras-Chave])</f>
        <v>#N/A</v>
      </c>
    </row>
    <row r="92" spans="1:12" ht="28.8" hidden="1" x14ac:dyDescent="0.3">
      <c r="A92" s="5">
        <v>18807593</v>
      </c>
      <c r="B92" s="6" t="s">
        <v>99</v>
      </c>
      <c r="C92" s="6" t="s">
        <v>65</v>
      </c>
      <c r="D92" s="8" t="s">
        <v>66</v>
      </c>
      <c r="E92" s="6" t="s">
        <v>1013</v>
      </c>
      <c r="F92" s="6" t="s">
        <v>51</v>
      </c>
      <c r="G92" s="11" t="s">
        <v>56</v>
      </c>
      <c r="H92" s="11"/>
      <c r="I92" s="10" t="s">
        <v>338</v>
      </c>
      <c r="J92" s="6" t="s">
        <v>132</v>
      </c>
      <c r="K92" s="12">
        <v>46121.610902777778</v>
      </c>
      <c r="L92" s="6" t="e" cm="1">
        <f t="array" ref="L92">LOOKUP(2^15,SEARCH(Tabela2[Palavras-Chave],Boletim4[[#This Row],[Objeto]],1),Tabela2[Palavras-Chave])</f>
        <v>#N/A</v>
      </c>
    </row>
    <row r="93" spans="1:12" ht="28.8" hidden="1" x14ac:dyDescent="0.3">
      <c r="A93" s="5">
        <v>18807510</v>
      </c>
      <c r="B93" s="6" t="s">
        <v>99</v>
      </c>
      <c r="C93" s="6" t="s">
        <v>65</v>
      </c>
      <c r="D93" s="8" t="s">
        <v>66</v>
      </c>
      <c r="E93" s="6" t="s">
        <v>1014</v>
      </c>
      <c r="F93" s="6" t="s">
        <v>51</v>
      </c>
      <c r="G93" s="11" t="s">
        <v>56</v>
      </c>
      <c r="H93" s="11"/>
      <c r="I93" s="10" t="s">
        <v>338</v>
      </c>
      <c r="J93" s="6" t="s">
        <v>132</v>
      </c>
      <c r="K93" s="12">
        <v>46121.610949074071</v>
      </c>
      <c r="L93" s="6" t="e" cm="1">
        <f t="array" ref="L93">LOOKUP(2^15,SEARCH(Tabela2[Palavras-Chave],Boletim4[[#This Row],[Objeto]],1),Tabela2[Palavras-Chave])</f>
        <v>#N/A</v>
      </c>
    </row>
    <row r="94" spans="1:12" ht="28.8" hidden="1" x14ac:dyDescent="0.3">
      <c r="A94" s="5">
        <v>18808187</v>
      </c>
      <c r="B94" s="6" t="s">
        <v>1015</v>
      </c>
      <c r="C94" s="6" t="s">
        <v>65</v>
      </c>
      <c r="D94" s="8" t="s">
        <v>66</v>
      </c>
      <c r="E94" s="6" t="s">
        <v>1016</v>
      </c>
      <c r="F94" s="6" t="s">
        <v>51</v>
      </c>
      <c r="G94" s="11">
        <v>46126.333333333336</v>
      </c>
      <c r="H94" s="11"/>
      <c r="I94" s="10" t="s">
        <v>1017</v>
      </c>
      <c r="J94" s="6" t="s">
        <v>1018</v>
      </c>
      <c r="K94" s="12">
        <v>46121.614201388889</v>
      </c>
      <c r="L94" s="6" t="e" cm="1">
        <f t="array" ref="L94">LOOKUP(2^15,SEARCH(Tabela2[Palavras-Chave],Boletim4[[#This Row],[Objeto]],1),Tabela2[Palavras-Chave])</f>
        <v>#N/A</v>
      </c>
    </row>
    <row r="95" spans="1:12" ht="28.8" hidden="1" x14ac:dyDescent="0.3">
      <c r="A95" s="5">
        <v>18807375</v>
      </c>
      <c r="B95" s="6" t="s">
        <v>99</v>
      </c>
      <c r="C95" s="6" t="s">
        <v>65</v>
      </c>
      <c r="D95" s="8" t="s">
        <v>66</v>
      </c>
      <c r="E95" s="6" t="s">
        <v>1019</v>
      </c>
      <c r="F95" s="6" t="s">
        <v>51</v>
      </c>
      <c r="G95" s="11" t="s">
        <v>56</v>
      </c>
      <c r="H95" s="11"/>
      <c r="I95" s="10" t="s">
        <v>338</v>
      </c>
      <c r="J95" s="6" t="s">
        <v>132</v>
      </c>
      <c r="K95" s="12">
        <v>46121.615231481483</v>
      </c>
      <c r="L95" s="6" t="e" cm="1">
        <f t="array" ref="L95">LOOKUP(2^15,SEARCH(Tabela2[Palavras-Chave],Boletim4[[#This Row],[Objeto]],1),Tabela2[Palavras-Chave])</f>
        <v>#N/A</v>
      </c>
    </row>
    <row r="96" spans="1:12" ht="28.8" x14ac:dyDescent="0.3">
      <c r="A96" s="5">
        <v>18809789</v>
      </c>
      <c r="B96" s="6" t="s">
        <v>99</v>
      </c>
      <c r="C96" s="6" t="s">
        <v>65</v>
      </c>
      <c r="D96" s="8" t="s">
        <v>66</v>
      </c>
      <c r="E96" s="6" t="s">
        <v>1020</v>
      </c>
      <c r="F96" s="6" t="s">
        <v>51</v>
      </c>
      <c r="G96" s="11" t="s">
        <v>56</v>
      </c>
      <c r="H96" s="11"/>
      <c r="I96" s="10" t="s">
        <v>1021</v>
      </c>
      <c r="J96" s="6" t="s">
        <v>132</v>
      </c>
      <c r="K96" s="12">
        <v>46121.639618055553</v>
      </c>
      <c r="L96" s="6" t="str" cm="1">
        <f t="array" ref="L96">LOOKUP(2^15,SEARCH(Tabela2[Palavras-Chave],Boletim4[[#This Row],[Objeto]],1),Tabela2[Palavras-Chave])</f>
        <v>JUNTA</v>
      </c>
    </row>
    <row r="97" spans="1:12" ht="28.8" hidden="1" x14ac:dyDescent="0.3">
      <c r="A97" s="5">
        <v>18762615</v>
      </c>
      <c r="B97" s="6" t="s">
        <v>99</v>
      </c>
      <c r="C97" s="6" t="s">
        <v>65</v>
      </c>
      <c r="D97" s="8" t="s">
        <v>66</v>
      </c>
      <c r="E97" s="6" t="s">
        <v>1022</v>
      </c>
      <c r="F97" s="6" t="s">
        <v>51</v>
      </c>
      <c r="G97" s="11" t="s">
        <v>56</v>
      </c>
      <c r="H97" s="11"/>
      <c r="I97" s="10" t="s">
        <v>1023</v>
      </c>
      <c r="J97" s="6" t="s">
        <v>131</v>
      </c>
      <c r="K97" s="12">
        <v>46121.676423611112</v>
      </c>
      <c r="L97" s="6" t="e" cm="1">
        <f t="array" ref="L97">LOOKUP(2^15,SEARCH(Tabela2[Palavras-Chave],Boletim4[[#This Row],[Objeto]],1),Tabela2[Palavras-Chave])</f>
        <v>#N/A</v>
      </c>
    </row>
    <row r="98" spans="1:12" ht="28.8" hidden="1" x14ac:dyDescent="0.3">
      <c r="A98" s="5">
        <v>18774643</v>
      </c>
      <c r="B98" s="6" t="s">
        <v>99</v>
      </c>
      <c r="C98" s="6" t="s">
        <v>65</v>
      </c>
      <c r="D98" s="8" t="s">
        <v>66</v>
      </c>
      <c r="E98" s="6" t="s">
        <v>1024</v>
      </c>
      <c r="F98" s="6" t="s">
        <v>51</v>
      </c>
      <c r="G98" s="11" t="s">
        <v>56</v>
      </c>
      <c r="H98" s="11"/>
      <c r="I98" s="10" t="s">
        <v>1025</v>
      </c>
      <c r="J98" s="6" t="s">
        <v>131</v>
      </c>
      <c r="K98" s="12">
        <v>46121.677824074075</v>
      </c>
      <c r="L98" s="6" t="e" cm="1">
        <f t="array" ref="L98">LOOKUP(2^15,SEARCH(Tabela2[Palavras-Chave],Boletim4[[#This Row],[Objeto]],1),Tabela2[Palavras-Chave])</f>
        <v>#N/A</v>
      </c>
    </row>
    <row r="99" spans="1:12" ht="144" x14ac:dyDescent="0.3">
      <c r="A99" s="5">
        <v>18808082</v>
      </c>
      <c r="B99" s="6" t="s">
        <v>259</v>
      </c>
      <c r="C99" s="6" t="s">
        <v>260</v>
      </c>
      <c r="D99" s="8" t="s">
        <v>66</v>
      </c>
      <c r="E99" s="6" t="s">
        <v>1026</v>
      </c>
      <c r="F99" s="6" t="s">
        <v>51</v>
      </c>
      <c r="G99" s="11" t="s">
        <v>56</v>
      </c>
      <c r="H99" s="11"/>
      <c r="I99" s="10" t="s">
        <v>1027</v>
      </c>
      <c r="J99" s="6" t="s">
        <v>1009</v>
      </c>
      <c r="K99" s="12">
        <v>46121.690451388888</v>
      </c>
      <c r="L99" s="6" t="str" cm="1">
        <f t="array" ref="L99">LOOKUP(2^15,SEARCH(Tabela2[Palavras-Chave],Boletim4[[#This Row],[Objeto]],1),Tabela2[Palavras-Chave])</f>
        <v>EFICIÊNCIA</v>
      </c>
    </row>
    <row r="100" spans="1:12" ht="100.8" hidden="1" x14ac:dyDescent="0.3">
      <c r="A100" s="5">
        <v>18809987</v>
      </c>
      <c r="B100" s="6" t="s">
        <v>259</v>
      </c>
      <c r="C100" s="6" t="s">
        <v>260</v>
      </c>
      <c r="D100" s="8" t="s">
        <v>66</v>
      </c>
      <c r="E100" s="6" t="s">
        <v>1028</v>
      </c>
      <c r="F100" s="6" t="s">
        <v>51</v>
      </c>
      <c r="G100" s="11" t="s">
        <v>56</v>
      </c>
      <c r="H100" s="11"/>
      <c r="I100" s="10" t="s">
        <v>1029</v>
      </c>
      <c r="J100" s="6" t="s">
        <v>1009</v>
      </c>
      <c r="K100" s="12">
        <v>46121.707870370374</v>
      </c>
      <c r="L100" s="6" t="e" cm="1">
        <f t="array" ref="L100">LOOKUP(2^15,SEARCH(Tabela2[Palavras-Chave],Boletim4[[#This Row],[Objeto]],1),Tabela2[Palavras-Chave])</f>
        <v>#N/A</v>
      </c>
    </row>
    <row r="101" spans="1:12" ht="28.8" x14ac:dyDescent="0.3">
      <c r="A101" s="5">
        <v>18809981</v>
      </c>
      <c r="B101" s="6" t="s">
        <v>99</v>
      </c>
      <c r="C101" s="6" t="s">
        <v>65</v>
      </c>
      <c r="D101" s="8" t="s">
        <v>66</v>
      </c>
      <c r="E101" s="6" t="s">
        <v>1030</v>
      </c>
      <c r="F101" s="6" t="s">
        <v>51</v>
      </c>
      <c r="G101" s="11" t="s">
        <v>56</v>
      </c>
      <c r="H101" s="11"/>
      <c r="I101" s="10" t="s">
        <v>1031</v>
      </c>
      <c r="J101" s="6" t="s">
        <v>1032</v>
      </c>
      <c r="K101" s="12">
        <v>46121.708495370367</v>
      </c>
      <c r="L101" s="6" t="str" cm="1">
        <f t="array" ref="L101">LOOKUP(2^15,SEARCH(Tabela2[Palavras-Chave],Boletim4[[#This Row],[Objeto]],1),Tabela2[Palavras-Chave])</f>
        <v>RESERVAT</v>
      </c>
    </row>
    <row r="102" spans="1:12" hidden="1" x14ac:dyDescent="0.3">
      <c r="A102" s="5">
        <v>18807592</v>
      </c>
      <c r="B102" s="6" t="s">
        <v>99</v>
      </c>
      <c r="C102" s="6" t="s">
        <v>65</v>
      </c>
      <c r="D102" s="8" t="s">
        <v>66</v>
      </c>
      <c r="E102" s="6" t="s">
        <v>1033</v>
      </c>
      <c r="F102" s="6" t="s">
        <v>51</v>
      </c>
      <c r="G102" s="11" t="s">
        <v>56</v>
      </c>
      <c r="H102" s="11"/>
      <c r="I102" s="10" t="s">
        <v>597</v>
      </c>
      <c r="J102" s="6" t="s">
        <v>132</v>
      </c>
      <c r="K102" s="12">
        <v>46121.722372685188</v>
      </c>
      <c r="L102" s="6" t="e" cm="1">
        <f t="array" ref="L102">LOOKUP(2^15,SEARCH(Tabela2[Palavras-Chave],Boletim4[[#This Row],[Objeto]],1),Tabela2[Palavras-Chave])</f>
        <v>#N/A</v>
      </c>
    </row>
    <row r="103" spans="1:12" hidden="1" x14ac:dyDescent="0.3">
      <c r="A103" s="5">
        <v>18807507</v>
      </c>
      <c r="B103" s="6" t="s">
        <v>99</v>
      </c>
      <c r="C103" s="6" t="s">
        <v>65</v>
      </c>
      <c r="D103" s="8" t="s">
        <v>66</v>
      </c>
      <c r="E103" s="6" t="s">
        <v>1034</v>
      </c>
      <c r="F103" s="6" t="s">
        <v>51</v>
      </c>
      <c r="G103" s="11" t="s">
        <v>56</v>
      </c>
      <c r="H103" s="11"/>
      <c r="I103" s="10" t="s">
        <v>1035</v>
      </c>
      <c r="J103" s="6" t="s">
        <v>132</v>
      </c>
      <c r="K103" s="12">
        <v>46121.725370370368</v>
      </c>
      <c r="L103" s="6" t="e" cm="1">
        <f t="array" ref="L103">LOOKUP(2^15,SEARCH(Tabela2[Palavras-Chave],Boletim4[[#This Row],[Objeto]],1),Tabela2[Palavras-Chave])</f>
        <v>#N/A</v>
      </c>
    </row>
    <row r="104" spans="1:12" ht="403.2" hidden="1" x14ac:dyDescent="0.3">
      <c r="A104" s="5">
        <v>18809774</v>
      </c>
      <c r="B104" s="6" t="s">
        <v>1036</v>
      </c>
      <c r="C104" s="6" t="s">
        <v>440</v>
      </c>
      <c r="D104" s="8" t="s">
        <v>66</v>
      </c>
      <c r="E104" s="6" t="s">
        <v>139</v>
      </c>
      <c r="F104" s="6" t="s">
        <v>51</v>
      </c>
      <c r="G104" s="11">
        <v>46128.333333333336</v>
      </c>
      <c r="H104" s="11"/>
      <c r="I104" s="10" t="s">
        <v>1037</v>
      </c>
      <c r="J104" s="6" t="s">
        <v>1038</v>
      </c>
      <c r="K104" s="12">
        <v>46121.752916666665</v>
      </c>
      <c r="L104" s="6" t="e" cm="1">
        <f t="array" ref="L104">LOOKUP(2^15,SEARCH(Tabela2[Palavras-Chave],Boletim4[[#This Row],[Objeto]],1),Tabela2[Palavras-Chave])</f>
        <v>#N/A</v>
      </c>
    </row>
    <row r="105" spans="1:12" ht="115.2" hidden="1" x14ac:dyDescent="0.3">
      <c r="A105" s="5">
        <v>18791068</v>
      </c>
      <c r="B105" s="6" t="s">
        <v>1039</v>
      </c>
      <c r="C105" s="6" t="s">
        <v>219</v>
      </c>
      <c r="D105" s="8" t="s">
        <v>66</v>
      </c>
      <c r="E105" s="6" t="s">
        <v>1040</v>
      </c>
      <c r="F105" s="6" t="s">
        <v>51</v>
      </c>
      <c r="G105" s="11">
        <v>46125.333333333336</v>
      </c>
      <c r="H105" s="11"/>
      <c r="I105" s="10" t="s">
        <v>1041</v>
      </c>
      <c r="J105" s="6" t="s">
        <v>1042</v>
      </c>
      <c r="K105" s="12">
        <v>46121.758344907408</v>
      </c>
      <c r="L105" s="6" t="e" cm="1">
        <f t="array" ref="L105">LOOKUP(2^15,SEARCH(Tabela2[Palavras-Chave],Boletim4[[#This Row],[Objeto]],1),Tabela2[Palavras-Chave])</f>
        <v>#N/A</v>
      </c>
    </row>
    <row r="106" spans="1:12" hidden="1" x14ac:dyDescent="0.3">
      <c r="A106" s="5">
        <v>18807374</v>
      </c>
      <c r="B106" s="6" t="s">
        <v>99</v>
      </c>
      <c r="C106" s="6" t="s">
        <v>65</v>
      </c>
      <c r="D106" s="8" t="s">
        <v>66</v>
      </c>
      <c r="E106" s="6" t="s">
        <v>1043</v>
      </c>
      <c r="F106" s="6" t="s">
        <v>51</v>
      </c>
      <c r="G106" s="11" t="s">
        <v>56</v>
      </c>
      <c r="H106" s="11"/>
      <c r="I106" s="10" t="s">
        <v>597</v>
      </c>
      <c r="J106" s="6" t="s">
        <v>132</v>
      </c>
      <c r="K106" s="12">
        <v>46121.758819444447</v>
      </c>
      <c r="L106" s="6" t="e" cm="1">
        <f t="array" ref="L106">LOOKUP(2^15,SEARCH(Tabela2[Palavras-Chave],Boletim4[[#This Row],[Objeto]],1),Tabela2[Palavras-Chave])</f>
        <v>#N/A</v>
      </c>
    </row>
    <row r="107" spans="1:12" hidden="1" x14ac:dyDescent="0.3">
      <c r="A107" s="5">
        <v>18807369</v>
      </c>
      <c r="B107" s="6" t="s">
        <v>99</v>
      </c>
      <c r="C107" s="6" t="s">
        <v>65</v>
      </c>
      <c r="D107" s="8" t="s">
        <v>66</v>
      </c>
      <c r="E107" s="6" t="s">
        <v>1044</v>
      </c>
      <c r="F107" s="6" t="s">
        <v>51</v>
      </c>
      <c r="G107" s="11" t="s">
        <v>56</v>
      </c>
      <c r="H107" s="11"/>
      <c r="I107" s="10" t="s">
        <v>597</v>
      </c>
      <c r="J107" s="6" t="s">
        <v>132</v>
      </c>
      <c r="K107" s="12">
        <v>46121.758923611109</v>
      </c>
      <c r="L107" s="6" t="e" cm="1">
        <f t="array" ref="L107">LOOKUP(2^15,SEARCH(Tabela2[Palavras-Chave],Boletim4[[#This Row],[Objeto]],1),Tabela2[Palavras-Chave])</f>
        <v>#N/A</v>
      </c>
    </row>
    <row r="108" spans="1:12" ht="86.4" hidden="1" x14ac:dyDescent="0.3">
      <c r="A108" s="5">
        <v>18810848</v>
      </c>
      <c r="B108" s="6" t="s">
        <v>1045</v>
      </c>
      <c r="C108" s="6" t="s">
        <v>1046</v>
      </c>
      <c r="D108" s="8" t="s">
        <v>66</v>
      </c>
      <c r="E108" s="6" t="s">
        <v>607</v>
      </c>
      <c r="F108" s="6" t="s">
        <v>51</v>
      </c>
      <c r="G108" s="11">
        <v>46127.385416666664</v>
      </c>
      <c r="H108" s="11"/>
      <c r="I108" s="10" t="s">
        <v>1047</v>
      </c>
      <c r="J108" s="6" t="s">
        <v>1048</v>
      </c>
      <c r="K108" s="12">
        <v>46121.828993055555</v>
      </c>
      <c r="L108" s="6" t="e" cm="1">
        <f t="array" ref="L108">LOOKUP(2^15,SEARCH(Tabela2[Palavras-Chave],Boletim4[[#This Row],[Objeto]],1),Tabela2[Palavras-Chave])</f>
        <v>#N/A</v>
      </c>
    </row>
    <row r="109" spans="1:12" ht="100.8" hidden="1" x14ac:dyDescent="0.3">
      <c r="A109" s="5">
        <v>18810845</v>
      </c>
      <c r="B109" s="6" t="s">
        <v>1049</v>
      </c>
      <c r="C109" s="6" t="s">
        <v>1050</v>
      </c>
      <c r="D109" s="8" t="s">
        <v>66</v>
      </c>
      <c r="E109" s="6" t="s">
        <v>192</v>
      </c>
      <c r="F109" s="6" t="s">
        <v>51</v>
      </c>
      <c r="G109" s="11">
        <v>46129.333333333336</v>
      </c>
      <c r="H109" s="11"/>
      <c r="I109" s="10" t="s">
        <v>1051</v>
      </c>
      <c r="J109" s="6" t="s">
        <v>1052</v>
      </c>
      <c r="K109" s="12">
        <v>46121.829247685186</v>
      </c>
      <c r="L109" s="6" t="e" cm="1">
        <f t="array" ref="L109">LOOKUP(2^15,SEARCH(Tabela2[Palavras-Chave],Boletim4[[#This Row],[Objeto]],1),Tabela2[Palavras-Chave])</f>
        <v>#N/A</v>
      </c>
    </row>
    <row r="110" spans="1:12" ht="43.2" hidden="1" x14ac:dyDescent="0.3">
      <c r="A110" s="5">
        <v>18810936</v>
      </c>
      <c r="B110" s="6" t="s">
        <v>1053</v>
      </c>
      <c r="C110" s="6" t="s">
        <v>1054</v>
      </c>
      <c r="D110" s="8" t="s">
        <v>66</v>
      </c>
      <c r="E110" s="6" t="s">
        <v>129</v>
      </c>
      <c r="F110" s="6" t="s">
        <v>51</v>
      </c>
      <c r="G110" s="11">
        <v>46126.999305555553</v>
      </c>
      <c r="H110" s="11"/>
      <c r="I110" s="10" t="s">
        <v>1055</v>
      </c>
      <c r="J110" s="6" t="s">
        <v>1056</v>
      </c>
      <c r="K110" s="12">
        <v>46121.840162037035</v>
      </c>
      <c r="L110" s="6" t="e" cm="1">
        <f t="array" ref="L110">LOOKUP(2^15,SEARCH(Tabela2[Palavras-Chave],Boletim4[[#This Row],[Objeto]],1),Tabela2[Palavras-Chave])</f>
        <v>#N/A</v>
      </c>
    </row>
    <row r="111" spans="1:12" ht="43.2" hidden="1" x14ac:dyDescent="0.3">
      <c r="A111" s="5">
        <v>18810935</v>
      </c>
      <c r="B111" s="6" t="s">
        <v>1057</v>
      </c>
      <c r="C111" s="6" t="s">
        <v>1058</v>
      </c>
      <c r="D111" s="8" t="s">
        <v>66</v>
      </c>
      <c r="E111" s="6" t="s">
        <v>118</v>
      </c>
      <c r="F111" s="6" t="s">
        <v>51</v>
      </c>
      <c r="G111" s="11">
        <v>46127.541666666664</v>
      </c>
      <c r="H111" s="11"/>
      <c r="I111" s="10" t="s">
        <v>1059</v>
      </c>
      <c r="J111" s="6" t="s">
        <v>1060</v>
      </c>
      <c r="K111" s="12">
        <v>46121.849502314813</v>
      </c>
      <c r="L111" s="6" t="e" cm="1">
        <f t="array" ref="L111">LOOKUP(2^15,SEARCH(Tabela2[Palavras-Chave],Boletim4[[#This Row],[Objeto]],1),Tabela2[Palavras-Chave])</f>
        <v>#N/A</v>
      </c>
    </row>
    <row r="112" spans="1:12" ht="57.6" hidden="1" x14ac:dyDescent="0.3">
      <c r="A112" s="5">
        <v>18807213</v>
      </c>
      <c r="B112" s="6" t="s">
        <v>966</v>
      </c>
      <c r="C112" s="6" t="s">
        <v>65</v>
      </c>
      <c r="D112" s="8" t="s">
        <v>66</v>
      </c>
      <c r="E112" s="6" t="s">
        <v>1061</v>
      </c>
      <c r="F112" s="6" t="s">
        <v>51</v>
      </c>
      <c r="G112" s="11" t="s">
        <v>56</v>
      </c>
      <c r="H112" s="11"/>
      <c r="I112" s="10" t="s">
        <v>1062</v>
      </c>
      <c r="J112" s="6" t="s">
        <v>1063</v>
      </c>
      <c r="K112" s="12">
        <v>46121.86204861111</v>
      </c>
      <c r="L112" s="6" t="e" cm="1">
        <f t="array" ref="L112">LOOKUP(2^15,SEARCH(Tabela2[Palavras-Chave],Boletim4[[#This Row],[Objeto]],1),Tabela2[Palavras-Chave])</f>
        <v>#N/A</v>
      </c>
    </row>
    <row r="113" spans="1:12" ht="28.8" hidden="1" x14ac:dyDescent="0.3">
      <c r="A113" s="5">
        <v>18808181</v>
      </c>
      <c r="B113" s="6" t="s">
        <v>1064</v>
      </c>
      <c r="C113" s="6" t="s">
        <v>1065</v>
      </c>
      <c r="D113" s="8" t="s">
        <v>91</v>
      </c>
      <c r="E113" s="6" t="s">
        <v>379</v>
      </c>
      <c r="F113" s="6" t="s">
        <v>51</v>
      </c>
      <c r="G113" s="11">
        <v>46136.6875</v>
      </c>
      <c r="H113" s="11"/>
      <c r="I113" s="10" t="s">
        <v>1066</v>
      </c>
      <c r="J113" s="6" t="s">
        <v>1067</v>
      </c>
      <c r="K113" s="12">
        <v>46121.781122685185</v>
      </c>
      <c r="L113" s="6" t="e" cm="1">
        <f t="array" ref="L113">LOOKUP(2^15,SEARCH(Tabela2[Palavras-Chave],Boletim4[[#This Row],[Objeto]],1),Tabela2[Palavras-Chave])</f>
        <v>#N/A</v>
      </c>
    </row>
    <row r="114" spans="1:12" ht="86.4" hidden="1" x14ac:dyDescent="0.3">
      <c r="A114" s="5">
        <v>18804496</v>
      </c>
      <c r="B114" s="6" t="s">
        <v>347</v>
      </c>
      <c r="C114" s="6" t="s">
        <v>130</v>
      </c>
      <c r="D114" s="8" t="s">
        <v>68</v>
      </c>
      <c r="E114" s="6" t="s">
        <v>147</v>
      </c>
      <c r="F114" s="6" t="s">
        <v>51</v>
      </c>
      <c r="G114" s="11">
        <v>46126.458333333336</v>
      </c>
      <c r="H114" s="11"/>
      <c r="I114" s="10" t="s">
        <v>348</v>
      </c>
      <c r="J114" s="6" t="s">
        <v>349</v>
      </c>
      <c r="K114" s="12">
        <v>46121.429895833331</v>
      </c>
      <c r="L114" s="6" t="e" cm="1">
        <f t="array" ref="L114">LOOKUP(2^15,SEARCH(Tabela2[Palavras-Chave],Boletim4[[#This Row],[Objeto]],1),Tabela2[Palavras-Chave])</f>
        <v>#N/A</v>
      </c>
    </row>
    <row r="115" spans="1:12" ht="187.2" hidden="1" x14ac:dyDescent="0.3">
      <c r="A115" s="5">
        <v>18809482</v>
      </c>
      <c r="B115" s="6" t="s">
        <v>1068</v>
      </c>
      <c r="C115" s="6" t="s">
        <v>1069</v>
      </c>
      <c r="D115" s="8" t="s">
        <v>68</v>
      </c>
      <c r="E115" s="6" t="s">
        <v>1070</v>
      </c>
      <c r="F115" s="6" t="s">
        <v>51</v>
      </c>
      <c r="G115" s="11" t="s">
        <v>56</v>
      </c>
      <c r="H115" s="11"/>
      <c r="I115" s="10" t="s">
        <v>1071</v>
      </c>
      <c r="J115" s="6" t="s">
        <v>1072</v>
      </c>
      <c r="K115" s="12">
        <v>46121.601817129631</v>
      </c>
      <c r="L115" s="6" t="e" cm="1">
        <f t="array" ref="L115">LOOKUP(2^15,SEARCH(Tabela2[Palavras-Chave],Boletim4[[#This Row],[Objeto]],1),Tabela2[Palavras-Chave])</f>
        <v>#N/A</v>
      </c>
    </row>
    <row r="116" spans="1:12" ht="100.8" hidden="1" x14ac:dyDescent="0.3">
      <c r="A116" s="5">
        <v>18809274</v>
      </c>
      <c r="B116" s="6" t="s">
        <v>1073</v>
      </c>
      <c r="C116" s="6" t="s">
        <v>458</v>
      </c>
      <c r="D116" s="8" t="s">
        <v>68</v>
      </c>
      <c r="E116" s="6" t="s">
        <v>179</v>
      </c>
      <c r="F116" s="6" t="s">
        <v>51</v>
      </c>
      <c r="G116" s="11">
        <v>46125.5</v>
      </c>
      <c r="H116" s="11"/>
      <c r="I116" s="10" t="s">
        <v>1074</v>
      </c>
      <c r="J116" s="6" t="s">
        <v>1075</v>
      </c>
      <c r="K116" s="12">
        <v>46121.690474537034</v>
      </c>
      <c r="L116" s="6" t="e" cm="1">
        <f t="array" ref="L116">LOOKUP(2^15,SEARCH(Tabela2[Palavras-Chave],Boletim4[[#This Row],[Objeto]],1),Tabela2[Palavras-Chave])</f>
        <v>#N/A</v>
      </c>
    </row>
    <row r="117" spans="1:12" ht="100.8" hidden="1" x14ac:dyDescent="0.3">
      <c r="A117" s="5">
        <v>18809336</v>
      </c>
      <c r="B117" s="6" t="s">
        <v>1076</v>
      </c>
      <c r="C117" s="6" t="s">
        <v>130</v>
      </c>
      <c r="D117" s="8" t="s">
        <v>68</v>
      </c>
      <c r="E117" s="6" t="s">
        <v>161</v>
      </c>
      <c r="F117" s="6" t="s">
        <v>51</v>
      </c>
      <c r="G117" s="11">
        <v>46125.361111111109</v>
      </c>
      <c r="H117" s="11"/>
      <c r="I117" s="10" t="s">
        <v>1077</v>
      </c>
      <c r="J117" s="6" t="s">
        <v>1078</v>
      </c>
      <c r="K117" s="12">
        <v>46121.718981481485</v>
      </c>
      <c r="L117" s="6" t="e" cm="1">
        <f t="array" ref="L117">LOOKUP(2^15,SEARCH(Tabela2[Palavras-Chave],Boletim4[[#This Row],[Objeto]],1),Tabela2[Palavras-Chave])</f>
        <v>#N/A</v>
      </c>
    </row>
    <row r="118" spans="1:12" hidden="1" x14ac:dyDescent="0.3">
      <c r="A118" s="5">
        <v>18810119</v>
      </c>
      <c r="B118" s="6" t="s">
        <v>1079</v>
      </c>
      <c r="C118" s="6" t="s">
        <v>130</v>
      </c>
      <c r="D118" s="8" t="s">
        <v>68</v>
      </c>
      <c r="E118" s="6" t="s">
        <v>147</v>
      </c>
      <c r="F118" s="6" t="s">
        <v>51</v>
      </c>
      <c r="G118" s="11">
        <v>46125.354166666664</v>
      </c>
      <c r="H118" s="11"/>
      <c r="I118" s="10" t="s">
        <v>1080</v>
      </c>
      <c r="J118" s="6" t="s">
        <v>1081</v>
      </c>
      <c r="K118" s="12">
        <v>46121.755497685182</v>
      </c>
      <c r="L118" s="6" t="e" cm="1">
        <f t="array" ref="L118">LOOKUP(2^15,SEARCH(Tabela2[Palavras-Chave],Boletim4[[#This Row],[Objeto]],1),Tabela2[Palavras-Chave])</f>
        <v>#N/A</v>
      </c>
    </row>
    <row r="119" spans="1:12" ht="388.8" hidden="1" x14ac:dyDescent="0.3">
      <c r="A119" s="5">
        <v>18808712</v>
      </c>
      <c r="B119" s="6" t="s">
        <v>1082</v>
      </c>
      <c r="C119" s="6" t="s">
        <v>1083</v>
      </c>
      <c r="D119" s="8" t="s">
        <v>70</v>
      </c>
      <c r="E119" s="6" t="s">
        <v>191</v>
      </c>
      <c r="F119" s="6" t="s">
        <v>51</v>
      </c>
      <c r="G119" s="11" t="s">
        <v>56</v>
      </c>
      <c r="H119" s="11"/>
      <c r="I119" s="10" t="s">
        <v>1084</v>
      </c>
      <c r="J119" s="6" t="s">
        <v>1085</v>
      </c>
      <c r="K119" s="12">
        <v>46121.557372685187</v>
      </c>
      <c r="L119" s="6" t="e" cm="1">
        <f t="array" ref="L119">LOOKUP(2^15,SEARCH(Tabela2[Palavras-Chave],Boletim4[[#This Row],[Objeto]],1),Tabela2[Palavras-Chave])</f>
        <v>#N/A</v>
      </c>
    </row>
    <row r="120" spans="1:12" ht="86.4" hidden="1" x14ac:dyDescent="0.3">
      <c r="A120" s="5">
        <v>18806546</v>
      </c>
      <c r="B120" s="6" t="s">
        <v>1086</v>
      </c>
      <c r="C120" s="6" t="s">
        <v>1087</v>
      </c>
      <c r="D120" s="8" t="s">
        <v>70</v>
      </c>
      <c r="E120" s="6" t="s">
        <v>125</v>
      </c>
      <c r="F120" s="6" t="s">
        <v>51</v>
      </c>
      <c r="G120" s="11">
        <v>46125.999305555553</v>
      </c>
      <c r="H120" s="11"/>
      <c r="I120" s="10" t="s">
        <v>1088</v>
      </c>
      <c r="J120" s="6" t="s">
        <v>1089</v>
      </c>
      <c r="K120" s="12">
        <v>46121.581250000003</v>
      </c>
      <c r="L120" s="6" t="e" cm="1">
        <f t="array" ref="L120">LOOKUP(2^15,SEARCH(Tabela2[Palavras-Chave],Boletim4[[#This Row],[Objeto]],1),Tabela2[Palavras-Chave])</f>
        <v>#N/A</v>
      </c>
    </row>
    <row r="121" spans="1:12" ht="100.8" hidden="1" x14ac:dyDescent="0.3">
      <c r="A121" s="5">
        <v>18809104</v>
      </c>
      <c r="B121" s="6" t="s">
        <v>350</v>
      </c>
      <c r="C121" s="6" t="s">
        <v>69</v>
      </c>
      <c r="D121" s="8" t="s">
        <v>70</v>
      </c>
      <c r="E121" s="6" t="s">
        <v>1090</v>
      </c>
      <c r="F121" s="6" t="s">
        <v>51</v>
      </c>
      <c r="G121" s="11">
        <v>46122.597222222219</v>
      </c>
      <c r="H121" s="11"/>
      <c r="I121" s="10" t="s">
        <v>1091</v>
      </c>
      <c r="J121" s="6" t="s">
        <v>1092</v>
      </c>
      <c r="K121" s="12">
        <v>46121.693449074075</v>
      </c>
      <c r="L121" s="6" t="e" cm="1">
        <f t="array" ref="L121">LOOKUP(2^15,SEARCH(Tabela2[Palavras-Chave],Boletim4[[#This Row],[Objeto]],1),Tabela2[Palavras-Chave])</f>
        <v>#N/A</v>
      </c>
    </row>
    <row r="122" spans="1:12" ht="100.8" hidden="1" x14ac:dyDescent="0.3">
      <c r="A122" s="5">
        <v>18807536</v>
      </c>
      <c r="B122" s="6" t="s">
        <v>1093</v>
      </c>
      <c r="C122" s="6" t="s">
        <v>1094</v>
      </c>
      <c r="D122" s="8" t="s">
        <v>71</v>
      </c>
      <c r="E122" s="6" t="s">
        <v>957</v>
      </c>
      <c r="F122" s="6" t="s">
        <v>51</v>
      </c>
      <c r="G122" s="11">
        <v>46125.541666666664</v>
      </c>
      <c r="H122" s="11"/>
      <c r="I122" s="10" t="s">
        <v>1095</v>
      </c>
      <c r="J122" s="6" t="s">
        <v>1096</v>
      </c>
      <c r="K122" s="12">
        <v>46121.509085648147</v>
      </c>
      <c r="L122" s="6" t="e" cm="1">
        <f t="array" ref="L122">LOOKUP(2^15,SEARCH(Tabela2[Palavras-Chave],Boletim4[[#This Row],[Objeto]],1),Tabela2[Palavras-Chave])</f>
        <v>#N/A</v>
      </c>
    </row>
    <row r="123" spans="1:12" ht="72" hidden="1" x14ac:dyDescent="0.3">
      <c r="A123" s="5">
        <v>18772098</v>
      </c>
      <c r="B123" s="6" t="s">
        <v>74</v>
      </c>
      <c r="C123" s="6" t="s">
        <v>73</v>
      </c>
      <c r="D123" s="8" t="s">
        <v>72</v>
      </c>
      <c r="E123" s="6" t="s">
        <v>960</v>
      </c>
      <c r="F123" s="6" t="s">
        <v>51</v>
      </c>
      <c r="G123" s="11" t="s">
        <v>56</v>
      </c>
      <c r="H123" s="11"/>
      <c r="I123" s="10" t="s">
        <v>961</v>
      </c>
      <c r="J123" s="6" t="s">
        <v>962</v>
      </c>
      <c r="K123" s="12">
        <v>46121.440347222226</v>
      </c>
      <c r="L123" s="6" t="e" cm="1">
        <f t="array" ref="L123">LOOKUP(2^15,SEARCH(Tabela2[Palavras-Chave],Boletim4[[#This Row],[Objeto]],1),Tabela2[Palavras-Chave])</f>
        <v>#N/A</v>
      </c>
    </row>
    <row r="124" spans="1:12" ht="100.8" hidden="1" x14ac:dyDescent="0.3">
      <c r="A124" s="5">
        <v>18806748</v>
      </c>
      <c r="B124" s="6" t="s">
        <v>1097</v>
      </c>
      <c r="C124" s="6" t="s">
        <v>200</v>
      </c>
      <c r="D124" s="8" t="s">
        <v>72</v>
      </c>
      <c r="E124" s="6" t="s">
        <v>904</v>
      </c>
      <c r="F124" s="6" t="s">
        <v>51</v>
      </c>
      <c r="G124" s="11">
        <v>46125.333333333336</v>
      </c>
      <c r="H124" s="11"/>
      <c r="I124" s="10" t="s">
        <v>1098</v>
      </c>
      <c r="J124" s="6" t="s">
        <v>1099</v>
      </c>
      <c r="K124" s="12">
        <v>46121.575798611113</v>
      </c>
      <c r="L124" s="6" t="e" cm="1">
        <f t="array" ref="L124">LOOKUP(2^15,SEARCH(Tabela2[Palavras-Chave],Boletim4[[#This Row],[Objeto]],1),Tabela2[Palavras-Chave])</f>
        <v>#N/A</v>
      </c>
    </row>
    <row r="125" spans="1:12" ht="216" hidden="1" x14ac:dyDescent="0.3">
      <c r="A125" s="5">
        <v>18809682</v>
      </c>
      <c r="B125" s="6" t="s">
        <v>1100</v>
      </c>
      <c r="C125" s="6" t="s">
        <v>1101</v>
      </c>
      <c r="D125" s="8" t="s">
        <v>72</v>
      </c>
      <c r="E125" s="6" t="s">
        <v>1102</v>
      </c>
      <c r="F125" s="6" t="s">
        <v>51</v>
      </c>
      <c r="G125" s="11" t="s">
        <v>56</v>
      </c>
      <c r="H125" s="11"/>
      <c r="I125" s="10" t="s">
        <v>1103</v>
      </c>
      <c r="J125" s="6" t="s">
        <v>1104</v>
      </c>
      <c r="K125" s="12">
        <v>46121.618136574078</v>
      </c>
      <c r="L125" s="6" t="e" cm="1">
        <f t="array" ref="L125">LOOKUP(2^15,SEARCH(Tabela2[Palavras-Chave],Boletim4[[#This Row],[Objeto]],1),Tabela2[Palavras-Chave])</f>
        <v>#N/A</v>
      </c>
    </row>
    <row r="126" spans="1:12" ht="115.2" hidden="1" x14ac:dyDescent="0.3">
      <c r="A126" s="5">
        <v>18806780</v>
      </c>
      <c r="B126" s="6" t="s">
        <v>1097</v>
      </c>
      <c r="C126" s="6" t="s">
        <v>200</v>
      </c>
      <c r="D126" s="8" t="s">
        <v>72</v>
      </c>
      <c r="E126" s="6" t="s">
        <v>329</v>
      </c>
      <c r="F126" s="6" t="s">
        <v>51</v>
      </c>
      <c r="G126" s="11">
        <v>46125.333333333336</v>
      </c>
      <c r="H126" s="11"/>
      <c r="I126" s="10" t="s">
        <v>1105</v>
      </c>
      <c r="J126" s="6" t="s">
        <v>1106</v>
      </c>
      <c r="K126" s="12">
        <v>46121.775879629633</v>
      </c>
      <c r="L126" s="6" t="e" cm="1">
        <f t="array" ref="L126">LOOKUP(2^15,SEARCH(Tabela2[Palavras-Chave],Boletim4[[#This Row],[Objeto]],1),Tabela2[Palavras-Chave])</f>
        <v>#N/A</v>
      </c>
    </row>
    <row r="127" spans="1:12" ht="115.2" hidden="1" x14ac:dyDescent="0.3">
      <c r="A127" s="5">
        <v>18806085</v>
      </c>
      <c r="B127" s="6" t="s">
        <v>605</v>
      </c>
      <c r="C127" s="6" t="s">
        <v>606</v>
      </c>
      <c r="D127" s="8" t="s">
        <v>72</v>
      </c>
      <c r="E127" s="6" t="s">
        <v>105</v>
      </c>
      <c r="F127" s="6" t="s">
        <v>51</v>
      </c>
      <c r="G127" s="11">
        <v>46125.333333333336</v>
      </c>
      <c r="H127" s="11"/>
      <c r="I127" s="10" t="s">
        <v>1107</v>
      </c>
      <c r="J127" s="6" t="s">
        <v>1108</v>
      </c>
      <c r="K127" s="12">
        <v>46121.821111111109</v>
      </c>
      <c r="L127" s="6" t="e" cm="1">
        <f t="array" ref="L127">LOOKUP(2^15,SEARCH(Tabela2[Palavras-Chave],Boletim4[[#This Row],[Objeto]],1),Tabela2[Palavras-Chave])</f>
        <v>#N/A</v>
      </c>
    </row>
    <row r="128" spans="1:12" ht="43.2" hidden="1" x14ac:dyDescent="0.3">
      <c r="A128" s="5">
        <v>18746604</v>
      </c>
      <c r="B128" s="6" t="s">
        <v>74</v>
      </c>
      <c r="C128" s="6" t="s">
        <v>75</v>
      </c>
      <c r="D128" s="8" t="s">
        <v>76</v>
      </c>
      <c r="E128" s="6" t="s">
        <v>1109</v>
      </c>
      <c r="F128" s="6" t="s">
        <v>51</v>
      </c>
      <c r="G128" s="11" t="s">
        <v>56</v>
      </c>
      <c r="H128" s="11"/>
      <c r="I128" s="10" t="s">
        <v>1110</v>
      </c>
      <c r="J128" s="6" t="s">
        <v>1111</v>
      </c>
      <c r="K128" s="12">
        <v>46121.436145833337</v>
      </c>
      <c r="L128" s="6" t="e" cm="1">
        <f t="array" ref="L128">LOOKUP(2^15,SEARCH(Tabela2[Palavras-Chave],Boletim4[[#This Row],[Objeto]],1),Tabela2[Palavras-Chave])</f>
        <v>#N/A</v>
      </c>
    </row>
    <row r="129" spans="1:12" ht="43.2" hidden="1" x14ac:dyDescent="0.3">
      <c r="A129" s="5">
        <v>18726123</v>
      </c>
      <c r="B129" s="6" t="s">
        <v>74</v>
      </c>
      <c r="C129" s="6" t="s">
        <v>75</v>
      </c>
      <c r="D129" s="8" t="s">
        <v>76</v>
      </c>
      <c r="E129" s="6" t="s">
        <v>1112</v>
      </c>
      <c r="F129" s="6" t="s">
        <v>51</v>
      </c>
      <c r="G129" s="11" t="s">
        <v>56</v>
      </c>
      <c r="H129" s="11"/>
      <c r="I129" s="10" t="s">
        <v>1113</v>
      </c>
      <c r="J129" s="6" t="s">
        <v>1114</v>
      </c>
      <c r="K129" s="12">
        <v>46121.437569444446</v>
      </c>
      <c r="L129" s="6" t="e" cm="1">
        <f t="array" ref="L129">LOOKUP(2^15,SEARCH(Tabela2[Palavras-Chave],Boletim4[[#This Row],[Objeto]],1),Tabela2[Palavras-Chave])</f>
        <v>#N/A</v>
      </c>
    </row>
    <row r="130" spans="1:12" ht="100.8" hidden="1" x14ac:dyDescent="0.3">
      <c r="A130" s="5">
        <v>18806660</v>
      </c>
      <c r="B130" s="6" t="s">
        <v>1115</v>
      </c>
      <c r="C130" s="6" t="s">
        <v>190</v>
      </c>
      <c r="D130" s="8" t="s">
        <v>76</v>
      </c>
      <c r="E130" s="6" t="s">
        <v>1116</v>
      </c>
      <c r="F130" s="6" t="s">
        <v>51</v>
      </c>
      <c r="G130" s="11">
        <v>46126.333333333336</v>
      </c>
      <c r="H130" s="11"/>
      <c r="I130" s="10" t="s">
        <v>1117</v>
      </c>
      <c r="J130" s="6" t="s">
        <v>1118</v>
      </c>
      <c r="K130" s="12">
        <v>46121.435740740744</v>
      </c>
      <c r="L130" s="6" t="e" cm="1">
        <f t="array" ref="L130">LOOKUP(2^15,SEARCH(Tabela2[Palavras-Chave],Boletim4[[#This Row],[Objeto]],1),Tabela2[Palavras-Chave])</f>
        <v>#N/A</v>
      </c>
    </row>
    <row r="131" spans="1:12" ht="72" x14ac:dyDescent="0.3">
      <c r="A131" s="13">
        <v>18730553</v>
      </c>
      <c r="B131" s="10" t="s">
        <v>74</v>
      </c>
      <c r="C131" s="10" t="s">
        <v>75</v>
      </c>
      <c r="D131" s="15" t="s">
        <v>76</v>
      </c>
      <c r="E131" s="10" t="s">
        <v>1119</v>
      </c>
      <c r="F131" s="10" t="s">
        <v>51</v>
      </c>
      <c r="G131" s="16" t="s">
        <v>56</v>
      </c>
      <c r="H131" s="16"/>
      <c r="I131" s="10" t="s">
        <v>1120</v>
      </c>
      <c r="J131" s="10" t="s">
        <v>1121</v>
      </c>
      <c r="K131" s="17">
        <v>46121.438240740739</v>
      </c>
      <c r="L131" s="6" t="str" cm="1">
        <f t="array" ref="L131">LOOKUP(2^15,SEARCH(Tabela2[Palavras-Chave],Boletim4[[#This Row],[Objeto]],1),Tabela2[Palavras-Chave])</f>
        <v>TANQUE</v>
      </c>
    </row>
    <row r="132" spans="1:12" ht="72" hidden="1" x14ac:dyDescent="0.3">
      <c r="A132" s="5">
        <v>18755506</v>
      </c>
      <c r="B132" s="6" t="s">
        <v>74</v>
      </c>
      <c r="C132" s="6" t="s">
        <v>75</v>
      </c>
      <c r="D132" s="8" t="s">
        <v>76</v>
      </c>
      <c r="E132" s="6" t="s">
        <v>1122</v>
      </c>
      <c r="F132" s="6" t="s">
        <v>51</v>
      </c>
      <c r="G132" s="11" t="s">
        <v>56</v>
      </c>
      <c r="H132" s="11"/>
      <c r="I132" s="10" t="s">
        <v>1123</v>
      </c>
      <c r="J132" s="6" t="s">
        <v>1124</v>
      </c>
      <c r="K132" s="12">
        <v>46121.437638888892</v>
      </c>
      <c r="L132" s="6" t="e" cm="1">
        <f t="array" ref="L132">LOOKUP(2^15,SEARCH(Tabela2[Palavras-Chave],Boletim4[[#This Row],[Objeto]],1),Tabela2[Palavras-Chave])</f>
        <v>#N/A</v>
      </c>
    </row>
    <row r="133" spans="1:12" ht="72" hidden="1" x14ac:dyDescent="0.3">
      <c r="A133" s="5">
        <v>18769996</v>
      </c>
      <c r="B133" s="6" t="s">
        <v>74</v>
      </c>
      <c r="C133" s="6" t="s">
        <v>75</v>
      </c>
      <c r="D133" s="8" t="s">
        <v>76</v>
      </c>
      <c r="E133" s="6" t="s">
        <v>734</v>
      </c>
      <c r="F133" s="6" t="s">
        <v>51</v>
      </c>
      <c r="G133" s="11" t="s">
        <v>56</v>
      </c>
      <c r="H133" s="11"/>
      <c r="I133" s="10" t="s">
        <v>735</v>
      </c>
      <c r="J133" s="6" t="s">
        <v>736</v>
      </c>
      <c r="K133" s="12">
        <v>46121.437743055554</v>
      </c>
      <c r="L133" s="6" t="e" cm="1">
        <f t="array" ref="L133">LOOKUP(2^15,SEARCH(Tabela2[Palavras-Chave],Boletim4[[#This Row],[Objeto]],1),Tabela2[Palavras-Chave])</f>
        <v>#N/A</v>
      </c>
    </row>
    <row r="134" spans="1:12" ht="72" hidden="1" x14ac:dyDescent="0.3">
      <c r="A134" s="5">
        <v>18772095</v>
      </c>
      <c r="B134" s="6" t="s">
        <v>74</v>
      </c>
      <c r="C134" s="6" t="s">
        <v>75</v>
      </c>
      <c r="D134" s="8" t="s">
        <v>76</v>
      </c>
      <c r="E134" s="6" t="s">
        <v>960</v>
      </c>
      <c r="F134" s="6" t="s">
        <v>51</v>
      </c>
      <c r="G134" s="11" t="s">
        <v>56</v>
      </c>
      <c r="H134" s="11"/>
      <c r="I134" s="10" t="s">
        <v>961</v>
      </c>
      <c r="J134" s="6" t="s">
        <v>962</v>
      </c>
      <c r="K134" s="12">
        <v>46121.438217592593</v>
      </c>
      <c r="L134" s="6" t="e" cm="1">
        <f t="array" ref="L134">LOOKUP(2^15,SEARCH(Tabela2[Palavras-Chave],Boletim4[[#This Row],[Objeto]],1),Tabela2[Palavras-Chave])</f>
        <v>#N/A</v>
      </c>
    </row>
    <row r="135" spans="1:12" ht="72" hidden="1" x14ac:dyDescent="0.3">
      <c r="A135" s="5">
        <v>18775137</v>
      </c>
      <c r="B135" s="6" t="s">
        <v>74</v>
      </c>
      <c r="C135" s="6" t="s">
        <v>75</v>
      </c>
      <c r="D135" s="8" t="s">
        <v>76</v>
      </c>
      <c r="E135" s="6" t="s">
        <v>1125</v>
      </c>
      <c r="F135" s="6" t="s">
        <v>51</v>
      </c>
      <c r="G135" s="11" t="s">
        <v>56</v>
      </c>
      <c r="H135" s="11"/>
      <c r="I135" s="10" t="s">
        <v>1126</v>
      </c>
      <c r="J135" s="6" t="s">
        <v>1127</v>
      </c>
      <c r="K135" s="12">
        <v>46121.43822916667</v>
      </c>
      <c r="L135" s="6" t="e" cm="1">
        <f t="array" ref="L135">LOOKUP(2^15,SEARCH(Tabela2[Palavras-Chave],Boletim4[[#This Row],[Objeto]],1),Tabela2[Palavras-Chave])</f>
        <v>#N/A</v>
      </c>
    </row>
    <row r="136" spans="1:12" ht="43.2" hidden="1" x14ac:dyDescent="0.3">
      <c r="A136" s="5">
        <v>18780366</v>
      </c>
      <c r="B136" s="6" t="s">
        <v>74</v>
      </c>
      <c r="C136" s="6" t="s">
        <v>75</v>
      </c>
      <c r="D136" s="8" t="s">
        <v>76</v>
      </c>
      <c r="E136" s="6" t="s">
        <v>1128</v>
      </c>
      <c r="F136" s="6" t="s">
        <v>51</v>
      </c>
      <c r="G136" s="11" t="s">
        <v>56</v>
      </c>
      <c r="H136" s="11"/>
      <c r="I136" s="10" t="s">
        <v>1129</v>
      </c>
      <c r="J136" s="6" t="s">
        <v>1114</v>
      </c>
      <c r="K136" s="12">
        <v>46121.441006944442</v>
      </c>
      <c r="L136" s="6" t="e" cm="1">
        <f t="array" ref="L136">LOOKUP(2^15,SEARCH(Tabela2[Palavras-Chave],Boletim4[[#This Row],[Objeto]],1),Tabela2[Palavras-Chave])</f>
        <v>#N/A</v>
      </c>
    </row>
    <row r="137" spans="1:12" ht="72" hidden="1" x14ac:dyDescent="0.3">
      <c r="A137" s="5">
        <v>18780361</v>
      </c>
      <c r="B137" s="6" t="s">
        <v>74</v>
      </c>
      <c r="C137" s="6" t="s">
        <v>75</v>
      </c>
      <c r="D137" s="8" t="s">
        <v>76</v>
      </c>
      <c r="E137" s="6" t="s">
        <v>1130</v>
      </c>
      <c r="F137" s="6" t="s">
        <v>51</v>
      </c>
      <c r="G137" s="11" t="s">
        <v>56</v>
      </c>
      <c r="H137" s="11"/>
      <c r="I137" s="10" t="s">
        <v>1131</v>
      </c>
      <c r="J137" s="6" t="s">
        <v>1132</v>
      </c>
      <c r="K137" s="12">
        <v>46121.438935185186</v>
      </c>
      <c r="L137" s="6" t="e" cm="1">
        <f t="array" ref="L137">LOOKUP(2^15,SEARCH(Tabela2[Palavras-Chave],Boletim4[[#This Row],[Objeto]],1),Tabela2[Palavras-Chave])</f>
        <v>#N/A</v>
      </c>
    </row>
    <row r="138" spans="1:12" ht="43.2" hidden="1" x14ac:dyDescent="0.3">
      <c r="A138" s="5">
        <v>18784599</v>
      </c>
      <c r="B138" s="6" t="s">
        <v>74</v>
      </c>
      <c r="C138" s="6" t="s">
        <v>75</v>
      </c>
      <c r="D138" s="8" t="s">
        <v>76</v>
      </c>
      <c r="E138" s="6" t="s">
        <v>1133</v>
      </c>
      <c r="F138" s="6" t="s">
        <v>51</v>
      </c>
      <c r="G138" s="11" t="s">
        <v>56</v>
      </c>
      <c r="H138" s="11"/>
      <c r="I138" s="10" t="s">
        <v>1134</v>
      </c>
      <c r="J138" s="6" t="s">
        <v>1135</v>
      </c>
      <c r="K138" s="12">
        <v>46121.438923611109</v>
      </c>
      <c r="L138" s="6" t="e" cm="1">
        <f t="array" ref="L138">LOOKUP(2^15,SEARCH(Tabela2[Palavras-Chave],Boletim4[[#This Row],[Objeto]],1),Tabela2[Palavras-Chave])</f>
        <v>#N/A</v>
      </c>
    </row>
    <row r="139" spans="1:12" ht="72" hidden="1" x14ac:dyDescent="0.3">
      <c r="A139" s="5">
        <v>18760222</v>
      </c>
      <c r="B139" s="6" t="s">
        <v>74</v>
      </c>
      <c r="C139" s="6" t="s">
        <v>75</v>
      </c>
      <c r="D139" s="8" t="s">
        <v>76</v>
      </c>
      <c r="E139" s="6" t="s">
        <v>1136</v>
      </c>
      <c r="F139" s="6" t="s">
        <v>51</v>
      </c>
      <c r="G139" s="11" t="s">
        <v>56</v>
      </c>
      <c r="H139" s="11"/>
      <c r="I139" s="10" t="s">
        <v>1137</v>
      </c>
      <c r="J139" s="6" t="s">
        <v>1138</v>
      </c>
      <c r="K139" s="12">
        <v>46121.441030092596</v>
      </c>
      <c r="L139" s="6" t="e" cm="1">
        <f t="array" ref="L139">LOOKUP(2^15,SEARCH(Tabela2[Palavras-Chave],Boletim4[[#This Row],[Objeto]],1),Tabela2[Palavras-Chave])</f>
        <v>#N/A</v>
      </c>
    </row>
    <row r="140" spans="1:12" ht="72" hidden="1" x14ac:dyDescent="0.3">
      <c r="A140" s="5">
        <v>18770042</v>
      </c>
      <c r="B140" s="6" t="s">
        <v>74</v>
      </c>
      <c r="C140" s="6" t="s">
        <v>75</v>
      </c>
      <c r="D140" s="8" t="s">
        <v>76</v>
      </c>
      <c r="E140" s="6" t="s">
        <v>737</v>
      </c>
      <c r="F140" s="6" t="s">
        <v>51</v>
      </c>
      <c r="G140" s="11" t="s">
        <v>56</v>
      </c>
      <c r="H140" s="11"/>
      <c r="I140" s="10" t="s">
        <v>738</v>
      </c>
      <c r="J140" s="6" t="s">
        <v>739</v>
      </c>
      <c r="K140" s="12">
        <v>46121.441006944442</v>
      </c>
      <c r="L140" s="6" t="e" cm="1">
        <f t="array" ref="L140">LOOKUP(2^15,SEARCH(Tabela2[Palavras-Chave],Boletim4[[#This Row],[Objeto]],1),Tabela2[Palavras-Chave])</f>
        <v>#N/A</v>
      </c>
    </row>
    <row r="141" spans="1:12" ht="100.8" hidden="1" x14ac:dyDescent="0.3">
      <c r="A141" s="5">
        <v>18806627</v>
      </c>
      <c r="B141" s="6" t="s">
        <v>1115</v>
      </c>
      <c r="C141" s="6" t="s">
        <v>190</v>
      </c>
      <c r="D141" s="8" t="s">
        <v>76</v>
      </c>
      <c r="E141" s="6" t="s">
        <v>1139</v>
      </c>
      <c r="F141" s="6" t="s">
        <v>51</v>
      </c>
      <c r="G141" s="11">
        <v>46125.333333333336</v>
      </c>
      <c r="H141" s="11"/>
      <c r="I141" s="10" t="s">
        <v>1140</v>
      </c>
      <c r="J141" s="6" t="s">
        <v>1141</v>
      </c>
      <c r="K141" s="12">
        <v>46121.452627314815</v>
      </c>
      <c r="L141" s="6" t="e" cm="1">
        <f t="array" ref="L141">LOOKUP(2^15,SEARCH(Tabela2[Palavras-Chave],Boletim4[[#This Row],[Objeto]],1),Tabela2[Palavras-Chave])</f>
        <v>#N/A</v>
      </c>
    </row>
    <row r="142" spans="1:12" ht="57.6" hidden="1" x14ac:dyDescent="0.3">
      <c r="A142" s="5">
        <v>18807242</v>
      </c>
      <c r="B142" s="6" t="s">
        <v>234</v>
      </c>
      <c r="C142" s="6" t="s">
        <v>75</v>
      </c>
      <c r="D142" s="8" t="s">
        <v>76</v>
      </c>
      <c r="E142" s="6" t="s">
        <v>55</v>
      </c>
      <c r="F142" s="6" t="s">
        <v>51</v>
      </c>
      <c r="G142" s="11" t="s">
        <v>56</v>
      </c>
      <c r="H142" s="11"/>
      <c r="I142" s="10" t="s">
        <v>1142</v>
      </c>
      <c r="J142" s="6" t="s">
        <v>1143</v>
      </c>
      <c r="K142" s="12">
        <v>46121.475046296298</v>
      </c>
      <c r="L142" s="6" t="e" cm="1">
        <f t="array" ref="L142">LOOKUP(2^15,SEARCH(Tabela2[Palavras-Chave],Boletim4[[#This Row],[Objeto]],1),Tabela2[Palavras-Chave])</f>
        <v>#N/A</v>
      </c>
    </row>
    <row r="143" spans="1:12" ht="28.8" hidden="1" x14ac:dyDescent="0.3">
      <c r="A143" s="5">
        <v>18537155</v>
      </c>
      <c r="B143" s="6" t="s">
        <v>1144</v>
      </c>
      <c r="C143" s="6" t="s">
        <v>75</v>
      </c>
      <c r="D143" s="8" t="s">
        <v>76</v>
      </c>
      <c r="E143" s="6" t="s">
        <v>119</v>
      </c>
      <c r="F143" s="6" t="s">
        <v>51</v>
      </c>
      <c r="G143" s="11">
        <v>46125.375</v>
      </c>
      <c r="H143" s="11"/>
      <c r="I143" s="10" t="s">
        <v>1145</v>
      </c>
      <c r="J143" s="6" t="s">
        <v>1146</v>
      </c>
      <c r="K143" s="12">
        <v>46121.497546296298</v>
      </c>
      <c r="L143" s="6" t="e" cm="1">
        <f t="array" ref="L143">LOOKUP(2^15,SEARCH(Tabela2[Palavras-Chave],Boletim4[[#This Row],[Objeto]],1),Tabela2[Palavras-Chave])</f>
        <v>#N/A</v>
      </c>
    </row>
    <row r="144" spans="1:12" ht="28.8" hidden="1" x14ac:dyDescent="0.3">
      <c r="A144" s="5">
        <v>18803657</v>
      </c>
      <c r="B144" s="6" t="s">
        <v>359</v>
      </c>
      <c r="C144" s="6" t="s">
        <v>75</v>
      </c>
      <c r="D144" s="8" t="s">
        <v>76</v>
      </c>
      <c r="E144" s="6" t="s">
        <v>110</v>
      </c>
      <c r="F144" s="6" t="s">
        <v>51</v>
      </c>
      <c r="G144" s="11">
        <v>46125.375</v>
      </c>
      <c r="H144" s="11"/>
      <c r="I144" s="10" t="s">
        <v>1147</v>
      </c>
      <c r="J144" s="6" t="s">
        <v>1148</v>
      </c>
      <c r="K144" s="12">
        <v>46121.498738425929</v>
      </c>
      <c r="L144" s="6" t="e" cm="1">
        <f t="array" ref="L144">LOOKUP(2^15,SEARCH(Tabela2[Palavras-Chave],Boletim4[[#This Row],[Objeto]],1),Tabela2[Palavras-Chave])</f>
        <v>#N/A</v>
      </c>
    </row>
    <row r="145" spans="1:12" ht="57.6" hidden="1" x14ac:dyDescent="0.3">
      <c r="A145" s="5">
        <v>18807247</v>
      </c>
      <c r="B145" s="6" t="s">
        <v>1149</v>
      </c>
      <c r="C145" s="6" t="s">
        <v>312</v>
      </c>
      <c r="D145" s="8" t="s">
        <v>76</v>
      </c>
      <c r="E145" s="6" t="s">
        <v>1150</v>
      </c>
      <c r="F145" s="6" t="s">
        <v>51</v>
      </c>
      <c r="G145" s="11" t="s">
        <v>56</v>
      </c>
      <c r="H145" s="11"/>
      <c r="I145" s="10" t="s">
        <v>1151</v>
      </c>
      <c r="J145" s="6" t="s">
        <v>1152</v>
      </c>
      <c r="K145" s="12">
        <v>46121.536145833335</v>
      </c>
      <c r="L145" s="6" t="e" cm="1">
        <f t="array" ref="L145">LOOKUP(2^15,SEARCH(Tabela2[Palavras-Chave],Boletim4[[#This Row],[Objeto]],1),Tabela2[Palavras-Chave])</f>
        <v>#N/A</v>
      </c>
    </row>
    <row r="146" spans="1:12" ht="100.8" hidden="1" x14ac:dyDescent="0.3">
      <c r="A146" s="5">
        <v>18539292</v>
      </c>
      <c r="B146" s="6" t="s">
        <v>1153</v>
      </c>
      <c r="C146" s="6" t="s">
        <v>75</v>
      </c>
      <c r="D146" s="8" t="s">
        <v>76</v>
      </c>
      <c r="E146" s="6" t="s">
        <v>119</v>
      </c>
      <c r="F146" s="6" t="s">
        <v>51</v>
      </c>
      <c r="G146" s="11">
        <v>46125.374305555553</v>
      </c>
      <c r="H146" s="11"/>
      <c r="I146" s="10" t="s">
        <v>1154</v>
      </c>
      <c r="J146" s="6" t="s">
        <v>1155</v>
      </c>
      <c r="K146" s="12">
        <v>46121.602268518516</v>
      </c>
      <c r="L146" s="6" t="e" cm="1">
        <f t="array" ref="L146">LOOKUP(2^15,SEARCH(Tabela2[Palavras-Chave],Boletim4[[#This Row],[Objeto]],1),Tabela2[Palavras-Chave])</f>
        <v>#N/A</v>
      </c>
    </row>
    <row r="147" spans="1:12" ht="43.2" hidden="1" x14ac:dyDescent="0.3">
      <c r="A147" s="5">
        <v>18774692</v>
      </c>
      <c r="B147" s="6" t="s">
        <v>1156</v>
      </c>
      <c r="C147" s="6" t="s">
        <v>75</v>
      </c>
      <c r="D147" s="8" t="s">
        <v>76</v>
      </c>
      <c r="E147" s="6" t="s">
        <v>55</v>
      </c>
      <c r="F147" s="6" t="s">
        <v>51</v>
      </c>
      <c r="G147" s="11" t="s">
        <v>56</v>
      </c>
      <c r="H147" s="11"/>
      <c r="I147" s="10" t="s">
        <v>1157</v>
      </c>
      <c r="J147" s="6" t="s">
        <v>138</v>
      </c>
      <c r="K147" s="12">
        <v>46121.604895833334</v>
      </c>
      <c r="L147" s="6" t="e" cm="1">
        <f t="array" ref="L147">LOOKUP(2^15,SEARCH(Tabela2[Palavras-Chave],Boletim4[[#This Row],[Objeto]],1),Tabela2[Palavras-Chave])</f>
        <v>#N/A</v>
      </c>
    </row>
    <row r="148" spans="1:12" ht="100.8" hidden="1" x14ac:dyDescent="0.3">
      <c r="A148" s="5">
        <v>18806786</v>
      </c>
      <c r="B148" s="6" t="s">
        <v>1158</v>
      </c>
      <c r="C148" s="6" t="s">
        <v>75</v>
      </c>
      <c r="D148" s="8" t="s">
        <v>76</v>
      </c>
      <c r="E148" s="6" t="s">
        <v>1159</v>
      </c>
      <c r="F148" s="6" t="s">
        <v>51</v>
      </c>
      <c r="G148" s="11">
        <v>46125.333333333336</v>
      </c>
      <c r="H148" s="11"/>
      <c r="I148" s="10" t="s">
        <v>1160</v>
      </c>
      <c r="J148" s="6" t="s">
        <v>1161</v>
      </c>
      <c r="K148" s="12">
        <v>46121.615324074075</v>
      </c>
      <c r="L148" s="6" t="e" cm="1">
        <f t="array" ref="L148">LOOKUP(2^15,SEARCH(Tabela2[Palavras-Chave],Boletim4[[#This Row],[Objeto]],1),Tabela2[Palavras-Chave])</f>
        <v>#N/A</v>
      </c>
    </row>
    <row r="149" spans="1:12" ht="43.2" hidden="1" x14ac:dyDescent="0.3">
      <c r="A149" s="5">
        <v>18809092</v>
      </c>
      <c r="B149" s="6" t="s">
        <v>234</v>
      </c>
      <c r="C149" s="6" t="s">
        <v>75</v>
      </c>
      <c r="D149" s="8" t="s">
        <v>76</v>
      </c>
      <c r="E149" s="6" t="s">
        <v>1162</v>
      </c>
      <c r="F149" s="6" t="s">
        <v>51</v>
      </c>
      <c r="G149" s="11">
        <v>46122.666666666664</v>
      </c>
      <c r="H149" s="11"/>
      <c r="I149" s="10" t="s">
        <v>1163</v>
      </c>
      <c r="J149" s="6" t="s">
        <v>169</v>
      </c>
      <c r="K149" s="12">
        <v>46121.650462962964</v>
      </c>
      <c r="L149" s="6" t="e" cm="1">
        <f t="array" ref="L149">LOOKUP(2^15,SEARCH(Tabela2[Palavras-Chave],Boletim4[[#This Row],[Objeto]],1),Tabela2[Palavras-Chave])</f>
        <v>#N/A</v>
      </c>
    </row>
    <row r="150" spans="1:12" ht="72" hidden="1" x14ac:dyDescent="0.3">
      <c r="A150" s="5">
        <v>18712474</v>
      </c>
      <c r="B150" s="6" t="s">
        <v>74</v>
      </c>
      <c r="C150" s="6" t="s">
        <v>75</v>
      </c>
      <c r="D150" s="8" t="s">
        <v>76</v>
      </c>
      <c r="E150" s="6" t="s">
        <v>1164</v>
      </c>
      <c r="F150" s="6" t="s">
        <v>51</v>
      </c>
      <c r="G150" s="11" t="s">
        <v>56</v>
      </c>
      <c r="H150" s="11"/>
      <c r="I150" s="10" t="s">
        <v>1165</v>
      </c>
      <c r="J150" s="6" t="s">
        <v>1166</v>
      </c>
      <c r="K150" s="12">
        <v>46121.681377314817</v>
      </c>
      <c r="L150" s="6" t="e" cm="1">
        <f t="array" ref="L150">LOOKUP(2^15,SEARCH(Tabela2[Palavras-Chave],Boletim4[[#This Row],[Objeto]],1),Tabela2[Palavras-Chave])</f>
        <v>#N/A</v>
      </c>
    </row>
    <row r="151" spans="1:12" ht="72" hidden="1" x14ac:dyDescent="0.3">
      <c r="A151" s="5">
        <v>18722561</v>
      </c>
      <c r="B151" s="6" t="s">
        <v>74</v>
      </c>
      <c r="C151" s="6" t="s">
        <v>75</v>
      </c>
      <c r="D151" s="8" t="s">
        <v>76</v>
      </c>
      <c r="E151" s="6" t="s">
        <v>1167</v>
      </c>
      <c r="F151" s="6" t="s">
        <v>51</v>
      </c>
      <c r="G151" s="11" t="s">
        <v>56</v>
      </c>
      <c r="H151" s="11"/>
      <c r="I151" s="10" t="s">
        <v>1168</v>
      </c>
      <c r="J151" s="6" t="s">
        <v>1169</v>
      </c>
      <c r="K151" s="12">
        <v>46121.684062499997</v>
      </c>
      <c r="L151" s="6" t="e" cm="1">
        <f t="array" ref="L151">LOOKUP(2^15,SEARCH(Tabela2[Palavras-Chave],Boletim4[[#This Row],[Objeto]],1),Tabela2[Palavras-Chave])</f>
        <v>#N/A</v>
      </c>
    </row>
    <row r="152" spans="1:12" hidden="1" x14ac:dyDescent="0.3">
      <c r="A152" s="13">
        <v>18810061</v>
      </c>
      <c r="B152" s="10" t="s">
        <v>354</v>
      </c>
      <c r="C152" s="10" t="s">
        <v>75</v>
      </c>
      <c r="D152" s="15" t="s">
        <v>76</v>
      </c>
      <c r="E152" s="10" t="s">
        <v>1170</v>
      </c>
      <c r="F152" s="10" t="s">
        <v>51</v>
      </c>
      <c r="G152" s="16" t="s">
        <v>56</v>
      </c>
      <c r="H152" s="16"/>
      <c r="I152" s="10" t="s">
        <v>1171</v>
      </c>
      <c r="J152" s="10" t="s">
        <v>186</v>
      </c>
      <c r="K152" s="17">
        <v>46121.704050925924</v>
      </c>
      <c r="L152" s="6" t="e" cm="1">
        <f t="array" ref="L152">LOOKUP(2^15,SEARCH(Tabela2[Palavras-Chave],Boletim4[[#This Row],[Objeto]],1),Tabela2[Palavras-Chave])</f>
        <v>#N/A</v>
      </c>
    </row>
    <row r="153" spans="1:12" ht="100.8" hidden="1" x14ac:dyDescent="0.3">
      <c r="A153" s="5">
        <v>18810878</v>
      </c>
      <c r="B153" s="6" t="s">
        <v>1172</v>
      </c>
      <c r="C153" s="6" t="s">
        <v>1173</v>
      </c>
      <c r="D153" s="8" t="s">
        <v>76</v>
      </c>
      <c r="E153" s="6" t="s">
        <v>141</v>
      </c>
      <c r="F153" s="6" t="s">
        <v>51</v>
      </c>
      <c r="G153" s="11">
        <v>46127.333333333336</v>
      </c>
      <c r="H153" s="11"/>
      <c r="I153" s="10" t="s">
        <v>1174</v>
      </c>
      <c r="J153" s="6" t="s">
        <v>1175</v>
      </c>
      <c r="K153" s="12">
        <v>46121.757928240739</v>
      </c>
      <c r="L153" s="6" t="e" cm="1">
        <f t="array" ref="L153">LOOKUP(2^15,SEARCH(Tabela2[Palavras-Chave],Boletim4[[#This Row],[Objeto]],1),Tabela2[Palavras-Chave])</f>
        <v>#N/A</v>
      </c>
    </row>
    <row r="154" spans="1:12" ht="86.4" hidden="1" x14ac:dyDescent="0.3">
      <c r="A154" s="5">
        <v>18810827</v>
      </c>
      <c r="B154" s="6" t="s">
        <v>1176</v>
      </c>
      <c r="C154" s="6" t="s">
        <v>75</v>
      </c>
      <c r="D154" s="8" t="s">
        <v>76</v>
      </c>
      <c r="E154" s="6" t="s">
        <v>279</v>
      </c>
      <c r="F154" s="6" t="s">
        <v>51</v>
      </c>
      <c r="G154" s="11">
        <v>46126.333333333336</v>
      </c>
      <c r="H154" s="11"/>
      <c r="I154" s="10" t="s">
        <v>1177</v>
      </c>
      <c r="J154" s="6" t="s">
        <v>1178</v>
      </c>
      <c r="K154" s="12">
        <v>46121.769525462965</v>
      </c>
      <c r="L154" s="6" t="e" cm="1">
        <f t="array" ref="L154">LOOKUP(2^15,SEARCH(Tabela2[Palavras-Chave],Boletim4[[#This Row],[Objeto]],1),Tabela2[Palavras-Chave])</f>
        <v>#N/A</v>
      </c>
    </row>
    <row r="155" spans="1:12" ht="129.6" hidden="1" x14ac:dyDescent="0.3">
      <c r="A155" s="5">
        <v>18806733</v>
      </c>
      <c r="B155" s="6" t="s">
        <v>1179</v>
      </c>
      <c r="C155" s="6" t="s">
        <v>75</v>
      </c>
      <c r="D155" s="8" t="s">
        <v>76</v>
      </c>
      <c r="E155" s="6" t="s">
        <v>340</v>
      </c>
      <c r="F155" s="6" t="s">
        <v>51</v>
      </c>
      <c r="G155" s="11">
        <v>46125.333333333336</v>
      </c>
      <c r="H155" s="11"/>
      <c r="I155" s="10" t="s">
        <v>1180</v>
      </c>
      <c r="J155" s="6" t="s">
        <v>1181</v>
      </c>
      <c r="K155" s="12">
        <v>46121.7891087963</v>
      </c>
      <c r="L155" s="6" t="e" cm="1">
        <f t="array" ref="L155">LOOKUP(2^15,SEARCH(Tabela2[Palavras-Chave],Boletim4[[#This Row],[Objeto]],1),Tabela2[Palavras-Chave])</f>
        <v>#N/A</v>
      </c>
    </row>
    <row r="156" spans="1:12" ht="100.8" hidden="1" x14ac:dyDescent="0.3">
      <c r="A156" s="5">
        <v>18810865</v>
      </c>
      <c r="B156" s="6" t="s">
        <v>353</v>
      </c>
      <c r="C156" s="6" t="s">
        <v>75</v>
      </c>
      <c r="D156" s="8" t="s">
        <v>76</v>
      </c>
      <c r="E156" s="6" t="s">
        <v>1182</v>
      </c>
      <c r="F156" s="6" t="s">
        <v>51</v>
      </c>
      <c r="G156" s="11">
        <v>46126.333333333336</v>
      </c>
      <c r="H156" s="11"/>
      <c r="I156" s="10" t="s">
        <v>1183</v>
      </c>
      <c r="J156" s="6" t="s">
        <v>1184</v>
      </c>
      <c r="K156" s="12">
        <v>46121.828449074077</v>
      </c>
      <c r="L156" s="6" t="e" cm="1">
        <f t="array" ref="L156">LOOKUP(2^15,SEARCH(Tabela2[Palavras-Chave],Boletim4[[#This Row],[Objeto]],1),Tabela2[Palavras-Chave])</f>
        <v>#N/A</v>
      </c>
    </row>
    <row r="157" spans="1:12" ht="244.8" hidden="1" x14ac:dyDescent="0.3">
      <c r="A157" s="5">
        <v>18810844</v>
      </c>
      <c r="B157" s="6" t="s">
        <v>353</v>
      </c>
      <c r="C157" s="6" t="s">
        <v>75</v>
      </c>
      <c r="D157" s="8" t="s">
        <v>76</v>
      </c>
      <c r="E157" s="6" t="s">
        <v>274</v>
      </c>
      <c r="F157" s="6" t="s">
        <v>51</v>
      </c>
      <c r="G157" s="11">
        <v>46126.333333333336</v>
      </c>
      <c r="H157" s="11"/>
      <c r="I157" s="10" t="s">
        <v>1185</v>
      </c>
      <c r="J157" s="6" t="s">
        <v>1186</v>
      </c>
      <c r="K157" s="12">
        <v>46121.829386574071</v>
      </c>
      <c r="L157" s="6" t="e" cm="1">
        <f t="array" ref="L157">LOOKUP(2^15,SEARCH(Tabela2[Palavras-Chave],Boletim4[[#This Row],[Objeto]],1),Tabela2[Palavras-Chave])</f>
        <v>#N/A</v>
      </c>
    </row>
    <row r="158" spans="1:12" ht="187.2" hidden="1" x14ac:dyDescent="0.3">
      <c r="A158" s="5">
        <v>18808826</v>
      </c>
      <c r="B158" s="6" t="s">
        <v>246</v>
      </c>
      <c r="C158" s="6" t="s">
        <v>102</v>
      </c>
      <c r="D158" s="8" t="s">
        <v>77</v>
      </c>
      <c r="E158" s="6" t="s">
        <v>1187</v>
      </c>
      <c r="F158" s="6" t="s">
        <v>51</v>
      </c>
      <c r="G158" s="11" t="s">
        <v>56</v>
      </c>
      <c r="H158" s="11"/>
      <c r="I158" s="10" t="s">
        <v>1188</v>
      </c>
      <c r="J158" s="6" t="s">
        <v>1189</v>
      </c>
      <c r="K158" s="12">
        <v>46121.709039351852</v>
      </c>
      <c r="L158" s="6" t="e" cm="1">
        <f t="array" ref="L158">LOOKUP(2^15,SEARCH(Tabela2[Palavras-Chave],Boletim4[[#This Row],[Objeto]],1),Tabela2[Palavras-Chave])</f>
        <v>#N/A</v>
      </c>
    </row>
    <row r="159" spans="1:12" ht="100.8" hidden="1" x14ac:dyDescent="0.3">
      <c r="A159" s="5">
        <v>18806635</v>
      </c>
      <c r="B159" s="6" t="s">
        <v>1190</v>
      </c>
      <c r="C159" s="6" t="s">
        <v>102</v>
      </c>
      <c r="D159" s="8" t="s">
        <v>77</v>
      </c>
      <c r="E159" s="6" t="s">
        <v>1191</v>
      </c>
      <c r="F159" s="6" t="s">
        <v>51</v>
      </c>
      <c r="G159" s="11">
        <v>46126.333333333336</v>
      </c>
      <c r="H159" s="11"/>
      <c r="I159" s="10" t="s">
        <v>1192</v>
      </c>
      <c r="J159" s="6" t="s">
        <v>1193</v>
      </c>
      <c r="K159" s="12">
        <v>46121.74796296296</v>
      </c>
      <c r="L159" s="6" t="e" cm="1">
        <f t="array" ref="L159">LOOKUP(2^15,SEARCH(Tabela2[Palavras-Chave],Boletim4[[#This Row],[Objeto]],1),Tabela2[Palavras-Chave])</f>
        <v>#N/A</v>
      </c>
    </row>
    <row r="160" spans="1:12" ht="86.4" hidden="1" x14ac:dyDescent="0.3">
      <c r="A160" s="5">
        <v>18810853</v>
      </c>
      <c r="B160" s="6" t="s">
        <v>1194</v>
      </c>
      <c r="C160" s="6" t="s">
        <v>102</v>
      </c>
      <c r="D160" s="8" t="s">
        <v>77</v>
      </c>
      <c r="E160" s="6" t="s">
        <v>288</v>
      </c>
      <c r="F160" s="6" t="s">
        <v>51</v>
      </c>
      <c r="G160" s="11">
        <v>46126.458333333336</v>
      </c>
      <c r="H160" s="11"/>
      <c r="I160" s="10" t="s">
        <v>1195</v>
      </c>
      <c r="J160" s="6" t="s">
        <v>1196</v>
      </c>
      <c r="K160" s="12">
        <v>46121.772928240738</v>
      </c>
      <c r="L160" s="6" t="e" cm="1">
        <f t="array" ref="L160">LOOKUP(2^15,SEARCH(Tabela2[Palavras-Chave],Boletim4[[#This Row],[Objeto]],1),Tabela2[Palavras-Chave])</f>
        <v>#N/A</v>
      </c>
    </row>
    <row r="161" spans="1:12" ht="100.8" hidden="1" x14ac:dyDescent="0.3">
      <c r="A161" s="5">
        <v>18810822</v>
      </c>
      <c r="B161" s="6" t="s">
        <v>482</v>
      </c>
      <c r="C161" s="6" t="s">
        <v>313</v>
      </c>
      <c r="D161" s="8" t="s">
        <v>78</v>
      </c>
      <c r="E161" s="6" t="s">
        <v>364</v>
      </c>
      <c r="F161" s="6" t="s">
        <v>51</v>
      </c>
      <c r="G161" s="11">
        <v>46134.354166666664</v>
      </c>
      <c r="H161" s="11"/>
      <c r="I161" s="10" t="s">
        <v>1197</v>
      </c>
      <c r="J161" s="6" t="s">
        <v>1198</v>
      </c>
      <c r="K161" s="12">
        <v>46121.773425925923</v>
      </c>
      <c r="L161" s="6" t="e" cm="1">
        <f t="array" ref="L161">LOOKUP(2^15,SEARCH(Tabela2[Palavras-Chave],Boletim4[[#This Row],[Objeto]],1),Tabela2[Palavras-Chave])</f>
        <v>#N/A</v>
      </c>
    </row>
    <row r="162" spans="1:12" ht="72" x14ac:dyDescent="0.3">
      <c r="A162" s="13">
        <v>18730561</v>
      </c>
      <c r="B162" s="10" t="s">
        <v>74</v>
      </c>
      <c r="C162" s="10" t="s">
        <v>79</v>
      </c>
      <c r="D162" s="15" t="s">
        <v>80</v>
      </c>
      <c r="E162" s="10" t="s">
        <v>1119</v>
      </c>
      <c r="F162" s="10" t="s">
        <v>51</v>
      </c>
      <c r="G162" s="16" t="s">
        <v>56</v>
      </c>
      <c r="H162" s="16"/>
      <c r="I162" s="10" t="s">
        <v>1120</v>
      </c>
      <c r="J162" s="10" t="s">
        <v>1121</v>
      </c>
      <c r="K162" s="17">
        <v>46121.439722222225</v>
      </c>
      <c r="L162" s="6" t="str" cm="1">
        <f t="array" ref="L162">LOOKUP(2^15,SEARCH(Tabela2[Palavras-Chave],Boletim4[[#This Row],[Objeto]],1),Tabela2[Palavras-Chave])</f>
        <v>TANQUE</v>
      </c>
    </row>
    <row r="163" spans="1:12" ht="72" hidden="1" x14ac:dyDescent="0.3">
      <c r="A163" s="5">
        <v>18780362</v>
      </c>
      <c r="B163" s="6" t="s">
        <v>74</v>
      </c>
      <c r="C163" s="6" t="s">
        <v>79</v>
      </c>
      <c r="D163" s="8" t="s">
        <v>80</v>
      </c>
      <c r="E163" s="6" t="s">
        <v>1130</v>
      </c>
      <c r="F163" s="6" t="s">
        <v>51</v>
      </c>
      <c r="G163" s="11" t="s">
        <v>56</v>
      </c>
      <c r="H163" s="11"/>
      <c r="I163" s="10" t="s">
        <v>1131</v>
      </c>
      <c r="J163" s="6" t="s">
        <v>1132</v>
      </c>
      <c r="K163" s="12">
        <v>46121.441018518519</v>
      </c>
      <c r="L163" s="6" t="e" cm="1">
        <f t="array" ref="L163">LOOKUP(2^15,SEARCH(Tabela2[Palavras-Chave],Boletim4[[#This Row],[Objeto]],1),Tabela2[Palavras-Chave])</f>
        <v>#N/A</v>
      </c>
    </row>
    <row r="164" spans="1:12" ht="57.6" hidden="1" x14ac:dyDescent="0.3">
      <c r="A164" s="5">
        <v>18807234</v>
      </c>
      <c r="B164" s="6" t="s">
        <v>261</v>
      </c>
      <c r="C164" s="6" t="s">
        <v>79</v>
      </c>
      <c r="D164" s="8" t="s">
        <v>80</v>
      </c>
      <c r="E164" s="6" t="s">
        <v>1199</v>
      </c>
      <c r="F164" s="6" t="s">
        <v>51</v>
      </c>
      <c r="G164" s="11" t="s">
        <v>56</v>
      </c>
      <c r="H164" s="11"/>
      <c r="I164" s="10" t="s">
        <v>1200</v>
      </c>
      <c r="J164" s="6" t="s">
        <v>1201</v>
      </c>
      <c r="K164" s="12">
        <v>46121.449976851851</v>
      </c>
      <c r="L164" s="6" t="e" cm="1">
        <f t="array" ref="L164">LOOKUP(2^15,SEARCH(Tabela2[Palavras-Chave],Boletim4[[#This Row],[Objeto]],1),Tabela2[Palavras-Chave])</f>
        <v>#N/A</v>
      </c>
    </row>
    <row r="165" spans="1:12" ht="100.8" hidden="1" x14ac:dyDescent="0.3">
      <c r="A165" s="5">
        <v>18809295</v>
      </c>
      <c r="B165" s="6" t="s">
        <v>1202</v>
      </c>
      <c r="C165" s="6" t="s">
        <v>1203</v>
      </c>
      <c r="D165" s="8" t="s">
        <v>80</v>
      </c>
      <c r="E165" s="6" t="s">
        <v>1204</v>
      </c>
      <c r="F165" s="6" t="s">
        <v>51</v>
      </c>
      <c r="G165" s="11">
        <v>46125.333333333336</v>
      </c>
      <c r="H165" s="11"/>
      <c r="I165" s="10" t="s">
        <v>1205</v>
      </c>
      <c r="J165" s="6" t="s">
        <v>1206</v>
      </c>
      <c r="K165" s="12">
        <v>46121.706863425927</v>
      </c>
      <c r="L165" s="6" t="e" cm="1">
        <f t="array" ref="L165">LOOKUP(2^15,SEARCH(Tabela2[Palavras-Chave],Boletim4[[#This Row],[Objeto]],1),Tabela2[Palavras-Chave])</f>
        <v>#N/A</v>
      </c>
    </row>
    <row r="166" spans="1:12" ht="86.4" hidden="1" x14ac:dyDescent="0.3">
      <c r="A166" s="5">
        <v>18810803</v>
      </c>
      <c r="B166" s="6" t="s">
        <v>1207</v>
      </c>
      <c r="C166" s="6" t="s">
        <v>79</v>
      </c>
      <c r="D166" s="8" t="s">
        <v>80</v>
      </c>
      <c r="E166" s="6" t="s">
        <v>1139</v>
      </c>
      <c r="F166" s="6" t="s">
        <v>51</v>
      </c>
      <c r="G166" s="11">
        <v>46127.333333333336</v>
      </c>
      <c r="H166" s="11"/>
      <c r="I166" s="10" t="s">
        <v>1208</v>
      </c>
      <c r="J166" s="6" t="s">
        <v>1209</v>
      </c>
      <c r="K166" s="12">
        <v>46121.764305555553</v>
      </c>
      <c r="L166" s="6" t="e" cm="1">
        <f t="array" ref="L166">LOOKUP(2^15,SEARCH(Tabela2[Palavras-Chave],Boletim4[[#This Row],[Objeto]],1),Tabela2[Palavras-Chave])</f>
        <v>#N/A</v>
      </c>
    </row>
    <row r="167" spans="1:12" ht="316.8" x14ac:dyDescent="0.3">
      <c r="A167" s="5">
        <v>18806709</v>
      </c>
      <c r="B167" s="6" t="s">
        <v>1210</v>
      </c>
      <c r="C167" s="6" t="s">
        <v>79</v>
      </c>
      <c r="D167" s="8" t="s">
        <v>80</v>
      </c>
      <c r="E167" s="6" t="s">
        <v>208</v>
      </c>
      <c r="F167" s="6" t="s">
        <v>51</v>
      </c>
      <c r="G167" s="11">
        <v>46125.333333333336</v>
      </c>
      <c r="H167" s="11"/>
      <c r="I167" s="10" t="s">
        <v>1211</v>
      </c>
      <c r="J167" s="6" t="s">
        <v>1212</v>
      </c>
      <c r="K167" s="12">
        <v>46121.777905092589</v>
      </c>
      <c r="L167" s="6" t="str" cm="1">
        <f t="array" ref="L167">LOOKUP(2^15,SEARCH(Tabela2[Palavras-Chave],Boletim4[[#This Row],[Objeto]],1),Tabela2[Palavras-Chave])</f>
        <v>RESERVAT</v>
      </c>
    </row>
    <row r="168" spans="1:12" ht="100.8" x14ac:dyDescent="0.3">
      <c r="A168" s="5">
        <v>18810864</v>
      </c>
      <c r="B168" s="6" t="s">
        <v>1213</v>
      </c>
      <c r="C168" s="6" t="s">
        <v>79</v>
      </c>
      <c r="D168" s="8" t="s">
        <v>80</v>
      </c>
      <c r="E168" s="6" t="s">
        <v>1214</v>
      </c>
      <c r="F168" s="6" t="s">
        <v>51</v>
      </c>
      <c r="G168" s="11">
        <v>46125.333333333336</v>
      </c>
      <c r="H168" s="11"/>
      <c r="I168" s="10" t="s">
        <v>1215</v>
      </c>
      <c r="J168" s="6" t="s">
        <v>1216</v>
      </c>
      <c r="K168" s="12">
        <v>46121.782743055555</v>
      </c>
      <c r="L168" s="6" t="str" cm="1">
        <f t="array" ref="L168">LOOKUP(2^15,SEARCH(Tabela2[Palavras-Chave],Boletim4[[#This Row],[Objeto]],1),Tabela2[Palavras-Chave])</f>
        <v>INOX</v>
      </c>
    </row>
    <row r="169" spans="1:12" ht="100.8" hidden="1" x14ac:dyDescent="0.3">
      <c r="A169" s="5">
        <v>18810813</v>
      </c>
      <c r="B169" s="6" t="s">
        <v>1217</v>
      </c>
      <c r="C169" s="6" t="s">
        <v>1218</v>
      </c>
      <c r="D169" s="8" t="s">
        <v>80</v>
      </c>
      <c r="E169" s="6" t="s">
        <v>1191</v>
      </c>
      <c r="F169" s="6" t="s">
        <v>51</v>
      </c>
      <c r="G169" s="11">
        <v>46127.5</v>
      </c>
      <c r="H169" s="11"/>
      <c r="I169" s="10" t="s">
        <v>1219</v>
      </c>
      <c r="J169" s="6" t="s">
        <v>1220</v>
      </c>
      <c r="K169" s="12">
        <v>46121.783935185187</v>
      </c>
      <c r="L169" s="6" t="e" cm="1">
        <f t="array" ref="L169">LOOKUP(2^15,SEARCH(Tabela2[Palavras-Chave],Boletim4[[#This Row],[Objeto]],1),Tabela2[Palavras-Chave])</f>
        <v>#N/A</v>
      </c>
    </row>
    <row r="170" spans="1:12" ht="86.4" hidden="1" x14ac:dyDescent="0.3">
      <c r="A170" s="5">
        <v>18806637</v>
      </c>
      <c r="B170" s="6" t="s">
        <v>1221</v>
      </c>
      <c r="C170" s="6" t="s">
        <v>104</v>
      </c>
      <c r="D170" s="8" t="s">
        <v>81</v>
      </c>
      <c r="E170" s="6" t="s">
        <v>191</v>
      </c>
      <c r="F170" s="6" t="s">
        <v>51</v>
      </c>
      <c r="G170" s="11">
        <v>46126.333333333336</v>
      </c>
      <c r="H170" s="11"/>
      <c r="I170" s="10" t="s">
        <v>1222</v>
      </c>
      <c r="J170" s="6" t="s">
        <v>1223</v>
      </c>
      <c r="K170" s="12">
        <v>46121.435011574074</v>
      </c>
      <c r="L170" s="6" t="e" cm="1">
        <f t="array" ref="L170">LOOKUP(2^15,SEARCH(Tabela2[Palavras-Chave],Boletim4[[#This Row],[Objeto]],1),Tabela2[Palavras-Chave])</f>
        <v>#N/A</v>
      </c>
    </row>
    <row r="171" spans="1:12" ht="86.4" hidden="1" x14ac:dyDescent="0.3">
      <c r="A171" s="5">
        <v>18806716</v>
      </c>
      <c r="B171" s="6" t="s">
        <v>1221</v>
      </c>
      <c r="C171" s="6" t="s">
        <v>104</v>
      </c>
      <c r="D171" s="8" t="s">
        <v>81</v>
      </c>
      <c r="E171" s="6" t="s">
        <v>370</v>
      </c>
      <c r="F171" s="6" t="s">
        <v>51</v>
      </c>
      <c r="G171" s="11">
        <v>46126.333333333336</v>
      </c>
      <c r="H171" s="11"/>
      <c r="I171" s="10" t="s">
        <v>1224</v>
      </c>
      <c r="J171" s="6" t="s">
        <v>1225</v>
      </c>
      <c r="K171" s="12">
        <v>46121.451203703706</v>
      </c>
      <c r="L171" s="6" t="e" cm="1">
        <f t="array" ref="L171">LOOKUP(2^15,SEARCH(Tabela2[Palavras-Chave],Boletim4[[#This Row],[Objeto]],1),Tabela2[Palavras-Chave])</f>
        <v>#N/A</v>
      </c>
    </row>
    <row r="172" spans="1:12" ht="259.2" hidden="1" x14ac:dyDescent="0.3">
      <c r="A172" s="5">
        <v>18800118</v>
      </c>
      <c r="B172" s="6" t="s">
        <v>1226</v>
      </c>
      <c r="C172" s="6" t="s">
        <v>1227</v>
      </c>
      <c r="D172" s="8" t="s">
        <v>81</v>
      </c>
      <c r="E172" s="6" t="s">
        <v>904</v>
      </c>
      <c r="F172" s="6" t="s">
        <v>51</v>
      </c>
      <c r="G172" s="11" t="s">
        <v>56</v>
      </c>
      <c r="H172" s="11"/>
      <c r="I172" s="10" t="s">
        <v>1228</v>
      </c>
      <c r="J172" s="6" t="s">
        <v>1229</v>
      </c>
      <c r="K172" s="12">
        <v>46121.587569444448</v>
      </c>
      <c r="L172" s="6" t="e" cm="1">
        <f t="array" ref="L172">LOOKUP(2^15,SEARCH(Tabela2[Palavras-Chave],Boletim4[[#This Row],[Objeto]],1),Tabela2[Palavras-Chave])</f>
        <v>#N/A</v>
      </c>
    </row>
    <row r="173" spans="1:12" ht="57.6" hidden="1" x14ac:dyDescent="0.3">
      <c r="A173" s="5">
        <v>18811039</v>
      </c>
      <c r="B173" s="6" t="s">
        <v>1230</v>
      </c>
      <c r="C173" s="6" t="s">
        <v>1231</v>
      </c>
      <c r="D173" s="8" t="s">
        <v>81</v>
      </c>
      <c r="E173" s="6" t="s">
        <v>281</v>
      </c>
      <c r="F173" s="6" t="s">
        <v>51</v>
      </c>
      <c r="G173" s="11" t="s">
        <v>56</v>
      </c>
      <c r="H173" s="11"/>
      <c r="I173" s="10" t="s">
        <v>1232</v>
      </c>
      <c r="J173" s="6" t="s">
        <v>1233</v>
      </c>
      <c r="K173" s="12">
        <v>46121.783495370371</v>
      </c>
      <c r="L173" s="6" t="e" cm="1">
        <f t="array" ref="L173">LOOKUP(2^15,SEARCH(Tabela2[Palavras-Chave],Boletim4[[#This Row],[Objeto]],1),Tabela2[Palavras-Chave])</f>
        <v>#N/A</v>
      </c>
    </row>
    <row r="174" spans="1:12" ht="57.6" hidden="1" x14ac:dyDescent="0.3">
      <c r="A174" s="5">
        <v>18811025</v>
      </c>
      <c r="B174" s="6" t="s">
        <v>254</v>
      </c>
      <c r="C174" s="6" t="s">
        <v>255</v>
      </c>
      <c r="D174" s="8" t="s">
        <v>81</v>
      </c>
      <c r="E174" s="6" t="s">
        <v>105</v>
      </c>
      <c r="F174" s="6" t="s">
        <v>51</v>
      </c>
      <c r="G174" s="11" t="s">
        <v>56</v>
      </c>
      <c r="H174" s="11"/>
      <c r="I174" s="10" t="s">
        <v>1234</v>
      </c>
      <c r="J174" s="6" t="s">
        <v>1235</v>
      </c>
      <c r="K174" s="12">
        <v>46121.823067129626</v>
      </c>
      <c r="L174" s="6" t="e" cm="1">
        <f t="array" ref="L174">LOOKUP(2^15,SEARCH(Tabela2[Palavras-Chave],Boletim4[[#This Row],[Objeto]],1),Tabela2[Palavras-Chave])</f>
        <v>#N/A</v>
      </c>
    </row>
    <row r="175" spans="1:12" ht="72" hidden="1" x14ac:dyDescent="0.3">
      <c r="A175" s="5">
        <v>18769999</v>
      </c>
      <c r="B175" s="6" t="s">
        <v>74</v>
      </c>
      <c r="C175" s="6" t="s">
        <v>160</v>
      </c>
      <c r="D175" s="8" t="s">
        <v>93</v>
      </c>
      <c r="E175" s="6" t="s">
        <v>734</v>
      </c>
      <c r="F175" s="6" t="s">
        <v>51</v>
      </c>
      <c r="G175" s="11" t="s">
        <v>56</v>
      </c>
      <c r="H175" s="11"/>
      <c r="I175" s="10" t="s">
        <v>735</v>
      </c>
      <c r="J175" s="6" t="s">
        <v>736</v>
      </c>
      <c r="K175" s="12">
        <v>46121.440335648149</v>
      </c>
      <c r="L175" s="6" t="e" cm="1">
        <f t="array" ref="L175">LOOKUP(2^15,SEARCH(Tabela2[Palavras-Chave],Boletim4[[#This Row],[Objeto]],1),Tabela2[Palavras-Chave])</f>
        <v>#N/A</v>
      </c>
    </row>
    <row r="176" spans="1:12" ht="72" x14ac:dyDescent="0.3">
      <c r="A176" s="5">
        <v>18730562</v>
      </c>
      <c r="B176" s="6" t="s">
        <v>74</v>
      </c>
      <c r="C176" s="6" t="s">
        <v>83</v>
      </c>
      <c r="D176" s="8" t="s">
        <v>82</v>
      </c>
      <c r="E176" s="6" t="s">
        <v>1119</v>
      </c>
      <c r="F176" s="6" t="s">
        <v>51</v>
      </c>
      <c r="G176" s="11" t="s">
        <v>56</v>
      </c>
      <c r="H176" s="11"/>
      <c r="I176" s="10" t="s">
        <v>1120</v>
      </c>
      <c r="J176" s="6" t="s">
        <v>1121</v>
      </c>
      <c r="K176" s="12">
        <v>46121.439722222225</v>
      </c>
      <c r="L176" s="6" t="str" cm="1">
        <f t="array" ref="L176">LOOKUP(2^15,SEARCH(Tabela2[Palavras-Chave],Boletim4[[#This Row],[Objeto]],1),Tabela2[Palavras-Chave])</f>
        <v>TANQUE</v>
      </c>
    </row>
    <row r="177" spans="1:12" ht="72" hidden="1" x14ac:dyDescent="0.3">
      <c r="A177" s="5">
        <v>18755507</v>
      </c>
      <c r="B177" s="6" t="s">
        <v>74</v>
      </c>
      <c r="C177" s="6" t="s">
        <v>83</v>
      </c>
      <c r="D177" s="8" t="s">
        <v>82</v>
      </c>
      <c r="E177" s="6" t="s">
        <v>1122</v>
      </c>
      <c r="F177" s="6" t="s">
        <v>51</v>
      </c>
      <c r="G177" s="11" t="s">
        <v>56</v>
      </c>
      <c r="H177" s="11"/>
      <c r="I177" s="10" t="s">
        <v>1123</v>
      </c>
      <c r="J177" s="6" t="s">
        <v>1124</v>
      </c>
      <c r="K177" s="12">
        <v>46121.440300925926</v>
      </c>
      <c r="L177" s="6" t="e" cm="1">
        <f t="array" ref="L177">LOOKUP(2^15,SEARCH(Tabela2[Palavras-Chave],Boletim4[[#This Row],[Objeto]],1),Tabela2[Palavras-Chave])</f>
        <v>#N/A</v>
      </c>
    </row>
    <row r="178" spans="1:12" ht="72" hidden="1" x14ac:dyDescent="0.3">
      <c r="A178" s="5">
        <v>18772099</v>
      </c>
      <c r="B178" s="6" t="s">
        <v>74</v>
      </c>
      <c r="C178" s="6" t="s">
        <v>83</v>
      </c>
      <c r="D178" s="8" t="s">
        <v>82</v>
      </c>
      <c r="E178" s="6" t="s">
        <v>960</v>
      </c>
      <c r="F178" s="6" t="s">
        <v>51</v>
      </c>
      <c r="G178" s="11" t="s">
        <v>56</v>
      </c>
      <c r="H178" s="11"/>
      <c r="I178" s="10" t="s">
        <v>961</v>
      </c>
      <c r="J178" s="6" t="s">
        <v>962</v>
      </c>
      <c r="K178" s="12">
        <v>46121.440347222226</v>
      </c>
      <c r="L178" s="6" t="e" cm="1">
        <f t="array" ref="L178">LOOKUP(2^15,SEARCH(Tabela2[Palavras-Chave],Boletim4[[#This Row],[Objeto]],1),Tabela2[Palavras-Chave])</f>
        <v>#N/A</v>
      </c>
    </row>
    <row r="179" spans="1:12" ht="72" hidden="1" x14ac:dyDescent="0.3">
      <c r="A179" s="5">
        <v>18775139</v>
      </c>
      <c r="B179" s="6" t="s">
        <v>74</v>
      </c>
      <c r="C179" s="6" t="s">
        <v>83</v>
      </c>
      <c r="D179" s="8" t="s">
        <v>82</v>
      </c>
      <c r="E179" s="6" t="s">
        <v>1125</v>
      </c>
      <c r="F179" s="6" t="s">
        <v>51</v>
      </c>
      <c r="G179" s="11" t="s">
        <v>56</v>
      </c>
      <c r="H179" s="11"/>
      <c r="I179" s="10" t="s">
        <v>1126</v>
      </c>
      <c r="J179" s="6" t="s">
        <v>1127</v>
      </c>
      <c r="K179" s="12">
        <v>46121.440347222226</v>
      </c>
      <c r="L179" s="6" t="e" cm="1">
        <f t="array" ref="L179">LOOKUP(2^15,SEARCH(Tabela2[Palavras-Chave],Boletim4[[#This Row],[Objeto]],1),Tabela2[Palavras-Chave])</f>
        <v>#N/A</v>
      </c>
    </row>
    <row r="180" spans="1:12" ht="72" hidden="1" x14ac:dyDescent="0.3">
      <c r="A180" s="5">
        <v>18751075</v>
      </c>
      <c r="B180" s="6" t="s">
        <v>74</v>
      </c>
      <c r="C180" s="6" t="s">
        <v>83</v>
      </c>
      <c r="D180" s="8" t="s">
        <v>82</v>
      </c>
      <c r="E180" s="6" t="s">
        <v>963</v>
      </c>
      <c r="F180" s="6" t="s">
        <v>51</v>
      </c>
      <c r="G180" s="11" t="s">
        <v>56</v>
      </c>
      <c r="H180" s="11"/>
      <c r="I180" s="10" t="s">
        <v>964</v>
      </c>
      <c r="J180" s="6" t="s">
        <v>965</v>
      </c>
      <c r="K180" s="12">
        <v>46121.442395833335</v>
      </c>
      <c r="L180" s="6" t="e" cm="1">
        <f t="array" ref="L180">LOOKUP(2^15,SEARCH(Tabela2[Palavras-Chave],Boletim4[[#This Row],[Objeto]],1),Tabela2[Palavras-Chave])</f>
        <v>#N/A</v>
      </c>
    </row>
    <row r="181" spans="1:12" ht="72" hidden="1" x14ac:dyDescent="0.3">
      <c r="A181" s="5">
        <v>18760223</v>
      </c>
      <c r="B181" s="6" t="s">
        <v>74</v>
      </c>
      <c r="C181" s="6" t="s">
        <v>83</v>
      </c>
      <c r="D181" s="8" t="s">
        <v>82</v>
      </c>
      <c r="E181" s="6" t="s">
        <v>1136</v>
      </c>
      <c r="F181" s="6" t="s">
        <v>51</v>
      </c>
      <c r="G181" s="11" t="s">
        <v>56</v>
      </c>
      <c r="H181" s="11"/>
      <c r="I181" s="10" t="s">
        <v>1137</v>
      </c>
      <c r="J181" s="6" t="s">
        <v>1138</v>
      </c>
      <c r="K181" s="12">
        <v>46121.442395833335</v>
      </c>
      <c r="L181" s="6" t="e" cm="1">
        <f t="array" ref="L181">LOOKUP(2^15,SEARCH(Tabela2[Palavras-Chave],Boletim4[[#This Row],[Objeto]],1),Tabela2[Palavras-Chave])</f>
        <v>#N/A</v>
      </c>
    </row>
    <row r="182" spans="1:12" ht="100.8" hidden="1" x14ac:dyDescent="0.3">
      <c r="A182" s="5">
        <v>18806695</v>
      </c>
      <c r="B182" s="6" t="s">
        <v>1236</v>
      </c>
      <c r="C182" s="6" t="s">
        <v>1237</v>
      </c>
      <c r="D182" s="8" t="s">
        <v>82</v>
      </c>
      <c r="E182" s="6" t="s">
        <v>351</v>
      </c>
      <c r="F182" s="6" t="s">
        <v>51</v>
      </c>
      <c r="G182" s="11">
        <v>46128.375</v>
      </c>
      <c r="H182" s="11"/>
      <c r="I182" s="10" t="s">
        <v>1238</v>
      </c>
      <c r="J182" s="6" t="s">
        <v>1239</v>
      </c>
      <c r="K182" s="12">
        <v>46121.442800925928</v>
      </c>
      <c r="L182" s="6" t="e" cm="1">
        <f t="array" ref="L182">LOOKUP(2^15,SEARCH(Tabela2[Palavras-Chave],Boletim4[[#This Row],[Objeto]],1),Tabela2[Palavras-Chave])</f>
        <v>#N/A</v>
      </c>
    </row>
    <row r="183" spans="1:12" ht="100.8" hidden="1" x14ac:dyDescent="0.3">
      <c r="A183" s="5">
        <v>18806585</v>
      </c>
      <c r="B183" s="6" t="s">
        <v>1240</v>
      </c>
      <c r="C183" s="6" t="s">
        <v>164</v>
      </c>
      <c r="D183" s="8" t="s">
        <v>82</v>
      </c>
      <c r="E183" s="6" t="s">
        <v>1241</v>
      </c>
      <c r="F183" s="6" t="s">
        <v>51</v>
      </c>
      <c r="G183" s="11">
        <v>46127.333333333336</v>
      </c>
      <c r="H183" s="11"/>
      <c r="I183" s="10" t="s">
        <v>1242</v>
      </c>
      <c r="J183" s="6" t="s">
        <v>1243</v>
      </c>
      <c r="K183" s="12">
        <v>46121.448206018518</v>
      </c>
      <c r="L183" s="6" t="e" cm="1">
        <f t="array" ref="L183">LOOKUP(2^15,SEARCH(Tabela2[Palavras-Chave],Boletim4[[#This Row],[Objeto]],1),Tabela2[Palavras-Chave])</f>
        <v>#N/A</v>
      </c>
    </row>
    <row r="184" spans="1:12" ht="100.8" hidden="1" x14ac:dyDescent="0.3">
      <c r="A184" s="5">
        <v>18806633</v>
      </c>
      <c r="B184" s="6" t="s">
        <v>1244</v>
      </c>
      <c r="C184" s="6" t="s">
        <v>1245</v>
      </c>
      <c r="D184" s="8" t="s">
        <v>82</v>
      </c>
      <c r="E184" s="6" t="s">
        <v>1139</v>
      </c>
      <c r="F184" s="6" t="s">
        <v>51</v>
      </c>
      <c r="G184" s="11">
        <v>46126.333333333336</v>
      </c>
      <c r="H184" s="11"/>
      <c r="I184" s="10" t="s">
        <v>1246</v>
      </c>
      <c r="J184" s="6" t="s">
        <v>1247</v>
      </c>
      <c r="K184" s="12">
        <v>46121.45107638889</v>
      </c>
      <c r="L184" s="6" t="e" cm="1">
        <f t="array" ref="L184">LOOKUP(2^15,SEARCH(Tabela2[Palavras-Chave],Boletim4[[#This Row],[Objeto]],1),Tabela2[Palavras-Chave])</f>
        <v>#N/A</v>
      </c>
    </row>
    <row r="185" spans="1:12" ht="115.2" hidden="1" x14ac:dyDescent="0.3">
      <c r="A185" s="13">
        <v>18806759</v>
      </c>
      <c r="B185" s="10" t="s">
        <v>380</v>
      </c>
      <c r="C185" s="10" t="s">
        <v>83</v>
      </c>
      <c r="D185" s="15" t="s">
        <v>82</v>
      </c>
      <c r="E185" s="10" t="s">
        <v>1248</v>
      </c>
      <c r="F185" s="10" t="s">
        <v>51</v>
      </c>
      <c r="G185" s="16">
        <v>46139.333333333336</v>
      </c>
      <c r="H185" s="16"/>
      <c r="I185" s="10" t="s">
        <v>1249</v>
      </c>
      <c r="J185" s="10" t="s">
        <v>1250</v>
      </c>
      <c r="K185" s="17">
        <v>46121.452766203707</v>
      </c>
      <c r="L185" s="6" t="e" cm="1">
        <f t="array" ref="L185">LOOKUP(2^15,SEARCH(Tabela2[Palavras-Chave],Boletim4[[#This Row],[Objeto]],1),Tabela2[Palavras-Chave])</f>
        <v>#N/A</v>
      </c>
    </row>
    <row r="186" spans="1:12" ht="72" hidden="1" x14ac:dyDescent="0.3">
      <c r="A186" s="5">
        <v>18807919</v>
      </c>
      <c r="B186" s="6" t="s">
        <v>180</v>
      </c>
      <c r="C186" s="6" t="s">
        <v>181</v>
      </c>
      <c r="D186" s="8" t="s">
        <v>82</v>
      </c>
      <c r="E186" s="6" t="s">
        <v>1251</v>
      </c>
      <c r="F186" s="6" t="s">
        <v>51</v>
      </c>
      <c r="G186" s="11" t="s">
        <v>56</v>
      </c>
      <c r="H186" s="11"/>
      <c r="I186" s="10" t="s">
        <v>1252</v>
      </c>
      <c r="J186" s="6" t="s">
        <v>1253</v>
      </c>
      <c r="K186" s="12">
        <v>46121.496516203704</v>
      </c>
      <c r="L186" s="6" t="e" cm="1">
        <f t="array" ref="L186">LOOKUP(2^15,SEARCH(Tabela2[Palavras-Chave],Boletim4[[#This Row],[Objeto]],1),Tabela2[Palavras-Chave])</f>
        <v>#N/A</v>
      </c>
    </row>
    <row r="187" spans="1:12" ht="100.8" hidden="1" x14ac:dyDescent="0.3">
      <c r="A187" s="5">
        <v>18705632</v>
      </c>
      <c r="B187" s="6" t="s">
        <v>180</v>
      </c>
      <c r="C187" s="6" t="s">
        <v>181</v>
      </c>
      <c r="D187" s="8" t="s">
        <v>82</v>
      </c>
      <c r="E187" s="6" t="s">
        <v>1254</v>
      </c>
      <c r="F187" s="6" t="s">
        <v>51</v>
      </c>
      <c r="G187" s="11" t="s">
        <v>56</v>
      </c>
      <c r="H187" s="11"/>
      <c r="I187" s="10" t="s">
        <v>1255</v>
      </c>
      <c r="J187" s="6" t="s">
        <v>1256</v>
      </c>
      <c r="K187" s="12">
        <v>46121.582708333335</v>
      </c>
      <c r="L187" s="6" t="e" cm="1">
        <f t="array" ref="L187">LOOKUP(2^15,SEARCH(Tabela2[Palavras-Chave],Boletim4[[#This Row],[Objeto]],1),Tabela2[Palavras-Chave])</f>
        <v>#N/A</v>
      </c>
    </row>
    <row r="188" spans="1:12" ht="100.8" hidden="1" x14ac:dyDescent="0.3">
      <c r="A188" s="5">
        <v>18784545</v>
      </c>
      <c r="B188" s="6" t="s">
        <v>180</v>
      </c>
      <c r="C188" s="6" t="s">
        <v>181</v>
      </c>
      <c r="D188" s="8" t="s">
        <v>82</v>
      </c>
      <c r="E188" s="6" t="s">
        <v>1257</v>
      </c>
      <c r="F188" s="6" t="s">
        <v>51</v>
      </c>
      <c r="G188" s="11" t="s">
        <v>56</v>
      </c>
      <c r="H188" s="11"/>
      <c r="I188" s="10" t="s">
        <v>1258</v>
      </c>
      <c r="J188" s="6" t="s">
        <v>1259</v>
      </c>
      <c r="K188" s="12">
        <v>46121.582928240743</v>
      </c>
      <c r="L188" s="6" t="e" cm="1">
        <f t="array" ref="L188">LOOKUP(2^15,SEARCH(Tabela2[Palavras-Chave],Boletim4[[#This Row],[Objeto]],1),Tabela2[Palavras-Chave])</f>
        <v>#N/A</v>
      </c>
    </row>
    <row r="189" spans="1:12" ht="28.8" hidden="1" x14ac:dyDescent="0.3">
      <c r="A189" s="5">
        <v>18801521</v>
      </c>
      <c r="B189" s="6" t="s">
        <v>365</v>
      </c>
      <c r="C189" s="6" t="s">
        <v>366</v>
      </c>
      <c r="D189" s="8" t="s">
        <v>82</v>
      </c>
      <c r="E189" s="6" t="s">
        <v>314</v>
      </c>
      <c r="F189" s="6" t="s">
        <v>51</v>
      </c>
      <c r="G189" s="11">
        <v>46122.708333333336</v>
      </c>
      <c r="H189" s="11"/>
      <c r="I189" s="10" t="s">
        <v>367</v>
      </c>
      <c r="J189" s="6" t="s">
        <v>368</v>
      </c>
      <c r="K189" s="12">
        <v>46121.586921296293</v>
      </c>
      <c r="L189" s="6" t="e" cm="1">
        <f t="array" ref="L189">LOOKUP(2^15,SEARCH(Tabela2[Palavras-Chave],Boletim4[[#This Row],[Objeto]],1),Tabela2[Palavras-Chave])</f>
        <v>#N/A</v>
      </c>
    </row>
    <row r="190" spans="1:12" ht="57.6" x14ac:dyDescent="0.3">
      <c r="A190" s="5">
        <v>18801515</v>
      </c>
      <c r="B190" s="6" t="s">
        <v>365</v>
      </c>
      <c r="C190" s="6" t="s">
        <v>366</v>
      </c>
      <c r="D190" s="8" t="s">
        <v>82</v>
      </c>
      <c r="E190" s="6" t="s">
        <v>371</v>
      </c>
      <c r="F190" s="6" t="s">
        <v>51</v>
      </c>
      <c r="G190" s="11">
        <v>46122.725694444445</v>
      </c>
      <c r="H190" s="11"/>
      <c r="I190" s="10" t="s">
        <v>372</v>
      </c>
      <c r="J190" s="6" t="s">
        <v>373</v>
      </c>
      <c r="K190" s="12">
        <v>46121.58693287037</v>
      </c>
      <c r="L190" s="6" t="str" cm="1">
        <f t="array" ref="L190">LOOKUP(2^15,SEARCH(Tabela2[Palavras-Chave],Boletim4[[#This Row],[Objeto]],1),Tabela2[Palavras-Chave])</f>
        <v>RESERVAT</v>
      </c>
    </row>
    <row r="191" spans="1:12" ht="115.2" hidden="1" x14ac:dyDescent="0.3">
      <c r="A191" s="5">
        <v>18809559</v>
      </c>
      <c r="B191" s="6" t="s">
        <v>217</v>
      </c>
      <c r="C191" s="6" t="s">
        <v>216</v>
      </c>
      <c r="D191" s="8" t="s">
        <v>82</v>
      </c>
      <c r="E191" s="6" t="s">
        <v>1260</v>
      </c>
      <c r="F191" s="6" t="s">
        <v>51</v>
      </c>
      <c r="G191" s="11">
        <v>46126.332638888889</v>
      </c>
      <c r="H191" s="11"/>
      <c r="I191" s="10" t="s">
        <v>1261</v>
      </c>
      <c r="J191" s="6" t="s">
        <v>1262</v>
      </c>
      <c r="K191" s="12">
        <v>46121.619780092595</v>
      </c>
      <c r="L191" s="6" t="e" cm="1">
        <f t="array" ref="L191">LOOKUP(2^15,SEARCH(Tabela2[Palavras-Chave],Boletim4[[#This Row],[Objeto]],1),Tabela2[Palavras-Chave])</f>
        <v>#N/A</v>
      </c>
    </row>
    <row r="192" spans="1:12" ht="86.4" hidden="1" x14ac:dyDescent="0.3">
      <c r="A192" s="5">
        <v>18806690</v>
      </c>
      <c r="B192" s="6" t="s">
        <v>1263</v>
      </c>
      <c r="C192" s="6" t="s">
        <v>280</v>
      </c>
      <c r="D192" s="8" t="s">
        <v>82</v>
      </c>
      <c r="E192" s="6" t="s">
        <v>228</v>
      </c>
      <c r="F192" s="6" t="s">
        <v>51</v>
      </c>
      <c r="G192" s="11">
        <v>46125.632638888892</v>
      </c>
      <c r="H192" s="11"/>
      <c r="I192" s="10" t="s">
        <v>1264</v>
      </c>
      <c r="J192" s="6" t="s">
        <v>1265</v>
      </c>
      <c r="K192" s="12">
        <v>46121.623888888891</v>
      </c>
      <c r="L192" s="6" t="e" cm="1">
        <f t="array" ref="L192">LOOKUP(2^15,SEARCH(Tabela2[Palavras-Chave],Boletim4[[#This Row],[Objeto]],1),Tabela2[Palavras-Chave])</f>
        <v>#N/A</v>
      </c>
    </row>
    <row r="193" spans="1:12" ht="201.6" hidden="1" x14ac:dyDescent="0.3">
      <c r="A193" s="5">
        <v>18807266</v>
      </c>
      <c r="B193" s="6" t="s">
        <v>1266</v>
      </c>
      <c r="C193" s="6" t="s">
        <v>1267</v>
      </c>
      <c r="D193" s="8" t="s">
        <v>82</v>
      </c>
      <c r="E193" s="6" t="s">
        <v>185</v>
      </c>
      <c r="F193" s="6" t="s">
        <v>51</v>
      </c>
      <c r="G193" s="11">
        <v>46121.875</v>
      </c>
      <c r="H193" s="11"/>
      <c r="I193" s="10" t="s">
        <v>1268</v>
      </c>
      <c r="J193" s="6" t="s">
        <v>1269</v>
      </c>
      <c r="K193" s="12">
        <v>46121.645254629628</v>
      </c>
      <c r="L193" s="6" t="e" cm="1">
        <f t="array" ref="L193">LOOKUP(2^15,SEARCH(Tabela2[Palavras-Chave],Boletim4[[#This Row],[Objeto]],1),Tabela2[Palavras-Chave])</f>
        <v>#N/A</v>
      </c>
    </row>
    <row r="194" spans="1:12" ht="86.4" hidden="1" x14ac:dyDescent="0.3">
      <c r="A194" s="5">
        <v>18809064</v>
      </c>
      <c r="B194" s="6" t="s">
        <v>377</v>
      </c>
      <c r="C194" s="6" t="s">
        <v>378</v>
      </c>
      <c r="D194" s="8" t="s">
        <v>82</v>
      </c>
      <c r="E194" s="6" t="s">
        <v>1270</v>
      </c>
      <c r="F194" s="6" t="s">
        <v>51</v>
      </c>
      <c r="G194" s="11">
        <v>46126.583333333336</v>
      </c>
      <c r="H194" s="11"/>
      <c r="I194" s="10" t="s">
        <v>1271</v>
      </c>
      <c r="J194" s="6" t="s">
        <v>1272</v>
      </c>
      <c r="K194" s="12">
        <v>46121.701215277775</v>
      </c>
      <c r="L194" s="6" t="e" cm="1">
        <f t="array" ref="L194">LOOKUP(2^15,SEARCH(Tabela2[Palavras-Chave],Boletim4[[#This Row],[Objeto]],1),Tabela2[Palavras-Chave])</f>
        <v>#N/A</v>
      </c>
    </row>
    <row r="195" spans="1:12" ht="100.8" hidden="1" x14ac:dyDescent="0.3">
      <c r="A195" s="5">
        <v>18806785</v>
      </c>
      <c r="B195" s="6" t="s">
        <v>1273</v>
      </c>
      <c r="C195" s="6" t="s">
        <v>83</v>
      </c>
      <c r="D195" s="8" t="s">
        <v>82</v>
      </c>
      <c r="E195" s="6" t="s">
        <v>192</v>
      </c>
      <c r="F195" s="6" t="s">
        <v>51</v>
      </c>
      <c r="G195" s="11">
        <v>46127.333333333336</v>
      </c>
      <c r="H195" s="11"/>
      <c r="I195" s="10" t="s">
        <v>1274</v>
      </c>
      <c r="J195" s="6" t="s">
        <v>1275</v>
      </c>
      <c r="K195" s="12">
        <v>46121.701261574075</v>
      </c>
      <c r="L195" s="6" t="e" cm="1">
        <f t="array" ref="L195">LOOKUP(2^15,SEARCH(Tabela2[Palavras-Chave],Boletim4[[#This Row],[Objeto]],1),Tabela2[Palavras-Chave])</f>
        <v>#N/A</v>
      </c>
    </row>
    <row r="196" spans="1:12" ht="57.6" hidden="1" x14ac:dyDescent="0.3">
      <c r="A196" s="5">
        <v>18807901</v>
      </c>
      <c r="B196" s="6" t="s">
        <v>1276</v>
      </c>
      <c r="C196" s="6" t="s">
        <v>1277</v>
      </c>
      <c r="D196" s="8" t="s">
        <v>82</v>
      </c>
      <c r="E196" s="6" t="s">
        <v>370</v>
      </c>
      <c r="F196" s="6" t="s">
        <v>51</v>
      </c>
      <c r="G196" s="11">
        <v>46125.333333333336</v>
      </c>
      <c r="H196" s="11"/>
      <c r="I196" s="10" t="s">
        <v>1278</v>
      </c>
      <c r="J196" s="6" t="s">
        <v>1279</v>
      </c>
      <c r="K196" s="12">
        <v>46121.706550925926</v>
      </c>
      <c r="L196" s="6" t="e" cm="1">
        <f t="array" ref="L196">LOOKUP(2^15,SEARCH(Tabela2[Palavras-Chave],Boletim4[[#This Row],[Objeto]],1),Tabela2[Palavras-Chave])</f>
        <v>#N/A</v>
      </c>
    </row>
    <row r="197" spans="1:12" ht="43.2" hidden="1" x14ac:dyDescent="0.3">
      <c r="A197" s="13">
        <v>18809901</v>
      </c>
      <c r="B197" s="10" t="s">
        <v>365</v>
      </c>
      <c r="C197" s="10" t="s">
        <v>366</v>
      </c>
      <c r="D197" s="15" t="s">
        <v>82</v>
      </c>
      <c r="E197" s="10" t="s">
        <v>1280</v>
      </c>
      <c r="F197" s="10" t="s">
        <v>51</v>
      </c>
      <c r="G197" s="16">
        <v>46126.708333333336</v>
      </c>
      <c r="H197" s="16"/>
      <c r="I197" s="10" t="s">
        <v>1281</v>
      </c>
      <c r="J197" s="10" t="s">
        <v>1282</v>
      </c>
      <c r="K197" s="17">
        <v>46121.709236111114</v>
      </c>
      <c r="L197" s="6" t="str" cm="1">
        <f t="array" ref="L197">LOOKUP(2^15,SEARCH(Tabela2[Palavras-Chave],Boletim4[[#This Row],[Objeto]],1),Tabela2[Palavras-Chave])</f>
        <v>ACOPLAMENTO</v>
      </c>
    </row>
    <row r="198" spans="1:12" ht="100.8" hidden="1" x14ac:dyDescent="0.3">
      <c r="A198" s="13">
        <v>18806663</v>
      </c>
      <c r="B198" s="10" t="s">
        <v>1283</v>
      </c>
      <c r="C198" s="10" t="s">
        <v>382</v>
      </c>
      <c r="D198" s="15" t="s">
        <v>82</v>
      </c>
      <c r="E198" s="10" t="s">
        <v>1284</v>
      </c>
      <c r="F198" s="10" t="s">
        <v>51</v>
      </c>
      <c r="G198" s="16">
        <v>46127.374305555553</v>
      </c>
      <c r="H198" s="16"/>
      <c r="I198" s="10" t="s">
        <v>1285</v>
      </c>
      <c r="J198" s="10" t="s">
        <v>1286</v>
      </c>
      <c r="K198" s="17">
        <v>46121.71534722222</v>
      </c>
      <c r="L198" s="6" t="e" cm="1">
        <f t="array" ref="L198">LOOKUP(2^15,SEARCH(Tabela2[Palavras-Chave],Boletim4[[#This Row],[Objeto]],1),Tabela2[Palavras-Chave])</f>
        <v>#N/A</v>
      </c>
    </row>
    <row r="199" spans="1:12" ht="115.2" hidden="1" x14ac:dyDescent="0.3">
      <c r="A199" s="5">
        <v>18793036</v>
      </c>
      <c r="B199" s="6" t="s">
        <v>1287</v>
      </c>
      <c r="C199" s="6" t="s">
        <v>375</v>
      </c>
      <c r="D199" s="8" t="s">
        <v>82</v>
      </c>
      <c r="E199" s="6" t="s">
        <v>208</v>
      </c>
      <c r="F199" s="6" t="s">
        <v>51</v>
      </c>
      <c r="G199" s="11">
        <v>46125.375</v>
      </c>
      <c r="H199" s="11"/>
      <c r="I199" s="10" t="s">
        <v>1288</v>
      </c>
      <c r="J199" s="6" t="s">
        <v>1289</v>
      </c>
      <c r="K199" s="12">
        <v>46121.741759259261</v>
      </c>
      <c r="L199" s="6" t="e" cm="1">
        <f t="array" ref="L199">LOOKUP(2^15,SEARCH(Tabela2[Palavras-Chave],Boletim4[[#This Row],[Objeto]],1),Tabela2[Palavras-Chave])</f>
        <v>#N/A</v>
      </c>
    </row>
    <row r="200" spans="1:12" ht="273.60000000000002" hidden="1" x14ac:dyDescent="0.3">
      <c r="A200" s="5">
        <v>18808010</v>
      </c>
      <c r="B200" s="6" t="s">
        <v>1290</v>
      </c>
      <c r="C200" s="6" t="s">
        <v>1291</v>
      </c>
      <c r="D200" s="8" t="s">
        <v>82</v>
      </c>
      <c r="E200" s="6" t="s">
        <v>1292</v>
      </c>
      <c r="F200" s="6" t="s">
        <v>51</v>
      </c>
      <c r="G200" s="11" t="s">
        <v>56</v>
      </c>
      <c r="H200" s="11"/>
      <c r="I200" s="10" t="s">
        <v>1293</v>
      </c>
      <c r="J200" s="6" t="s">
        <v>1294</v>
      </c>
      <c r="K200" s="12">
        <v>46121.755439814813</v>
      </c>
      <c r="L200" s="6" t="e" cm="1">
        <f t="array" ref="L200">LOOKUP(2^15,SEARCH(Tabela2[Palavras-Chave],Boletim4[[#This Row],[Objeto]],1),Tabela2[Palavras-Chave])</f>
        <v>#N/A</v>
      </c>
    </row>
    <row r="201" spans="1:12" ht="100.8" hidden="1" x14ac:dyDescent="0.3">
      <c r="A201" s="5">
        <v>18810783</v>
      </c>
      <c r="B201" s="6" t="s">
        <v>1295</v>
      </c>
      <c r="C201" s="6" t="s">
        <v>83</v>
      </c>
      <c r="D201" s="8" t="s">
        <v>82</v>
      </c>
      <c r="E201" s="6" t="s">
        <v>381</v>
      </c>
      <c r="F201" s="6" t="s">
        <v>51</v>
      </c>
      <c r="G201" s="11">
        <v>46125.333333333336</v>
      </c>
      <c r="H201" s="11"/>
      <c r="I201" s="10" t="s">
        <v>1296</v>
      </c>
      <c r="J201" s="6" t="s">
        <v>1297</v>
      </c>
      <c r="K201" s="12">
        <v>46121.782951388886</v>
      </c>
      <c r="L201" s="6" t="e" cm="1">
        <f t="array" ref="L201">LOOKUP(2^15,SEARCH(Tabela2[Palavras-Chave],Boletim4[[#This Row],[Objeto]],1),Tabela2[Palavras-Chave])</f>
        <v>#N/A</v>
      </c>
    </row>
    <row r="202" spans="1:12" ht="144" hidden="1" x14ac:dyDescent="0.3">
      <c r="A202" s="5">
        <v>18810846</v>
      </c>
      <c r="B202" s="6" t="s">
        <v>1298</v>
      </c>
      <c r="C202" s="6" t="s">
        <v>1299</v>
      </c>
      <c r="D202" s="8" t="s">
        <v>82</v>
      </c>
      <c r="E202" s="6" t="s">
        <v>1300</v>
      </c>
      <c r="F202" s="6" t="s">
        <v>51</v>
      </c>
      <c r="G202" s="11">
        <v>46126.333333333336</v>
      </c>
      <c r="H202" s="11"/>
      <c r="I202" s="10" t="s">
        <v>1301</v>
      </c>
      <c r="J202" s="6" t="s">
        <v>1302</v>
      </c>
      <c r="K202" s="12">
        <v>46121.783668981479</v>
      </c>
      <c r="L202" s="6" t="e" cm="1">
        <f t="array" ref="L202">LOOKUP(2^15,SEARCH(Tabela2[Palavras-Chave],Boletim4[[#This Row],[Objeto]],1),Tabela2[Palavras-Chave])</f>
        <v>#N/A</v>
      </c>
    </row>
    <row r="203" spans="1:12" ht="100.8" hidden="1" x14ac:dyDescent="0.3">
      <c r="A203" s="5">
        <v>18809281</v>
      </c>
      <c r="B203" s="6" t="s">
        <v>1303</v>
      </c>
      <c r="C203" s="6" t="s">
        <v>83</v>
      </c>
      <c r="D203" s="8" t="s">
        <v>82</v>
      </c>
      <c r="E203" s="6" t="s">
        <v>1304</v>
      </c>
      <c r="F203" s="6" t="s">
        <v>51</v>
      </c>
      <c r="G203" s="11">
        <v>46127.354166666664</v>
      </c>
      <c r="H203" s="11"/>
      <c r="I203" s="10" t="s">
        <v>1305</v>
      </c>
      <c r="J203" s="6" t="s">
        <v>1306</v>
      </c>
      <c r="K203" s="12">
        <v>46121.784016203703</v>
      </c>
      <c r="L203" s="6" t="e" cm="1">
        <f t="array" ref="L203">LOOKUP(2^15,SEARCH(Tabela2[Palavras-Chave],Boletim4[[#This Row],[Objeto]],1),Tabela2[Palavras-Chave])</f>
        <v>#N/A</v>
      </c>
    </row>
    <row r="204" spans="1:12" ht="100.8" hidden="1" x14ac:dyDescent="0.3">
      <c r="A204" s="5">
        <v>18809342</v>
      </c>
      <c r="B204" s="6" t="s">
        <v>1307</v>
      </c>
      <c r="C204" s="6" t="s">
        <v>1308</v>
      </c>
      <c r="D204" s="8" t="s">
        <v>82</v>
      </c>
      <c r="E204" s="6" t="s">
        <v>275</v>
      </c>
      <c r="F204" s="6" t="s">
        <v>51</v>
      </c>
      <c r="G204" s="11">
        <v>46127.333333333336</v>
      </c>
      <c r="H204" s="11"/>
      <c r="I204" s="10" t="s">
        <v>1309</v>
      </c>
      <c r="J204" s="6" t="s">
        <v>1310</v>
      </c>
      <c r="K204" s="12">
        <v>46121.790497685186</v>
      </c>
      <c r="L204" s="6" t="e" cm="1">
        <f t="array" ref="L204">LOOKUP(2^15,SEARCH(Tabela2[Palavras-Chave],Boletim4[[#This Row],[Objeto]],1),Tabela2[Palavras-Chave])</f>
        <v>#N/A</v>
      </c>
    </row>
    <row r="205" spans="1:12" ht="273.60000000000002" hidden="1" x14ac:dyDescent="0.3">
      <c r="A205" s="5">
        <v>18811328</v>
      </c>
      <c r="B205" s="6" t="s">
        <v>1290</v>
      </c>
      <c r="C205" s="6" t="s">
        <v>1291</v>
      </c>
      <c r="D205" s="8" t="s">
        <v>82</v>
      </c>
      <c r="E205" s="6" t="s">
        <v>1311</v>
      </c>
      <c r="F205" s="6" t="s">
        <v>51</v>
      </c>
      <c r="G205" s="11" t="s">
        <v>56</v>
      </c>
      <c r="H205" s="11"/>
      <c r="I205" s="10" t="s">
        <v>1312</v>
      </c>
      <c r="J205" s="6" t="s">
        <v>1313</v>
      </c>
      <c r="K205" s="12">
        <v>46121.838912037034</v>
      </c>
      <c r="L205" s="6" t="e" cm="1">
        <f t="array" ref="L205">LOOKUP(2^15,SEARCH(Tabela2[Palavras-Chave],Boletim4[[#This Row],[Objeto]],1),Tabela2[Palavras-Chave])</f>
        <v>#N/A</v>
      </c>
    </row>
    <row r="206" spans="1:12" ht="273.60000000000002" hidden="1" x14ac:dyDescent="0.3">
      <c r="A206" s="5">
        <v>18811340</v>
      </c>
      <c r="B206" s="6" t="s">
        <v>1290</v>
      </c>
      <c r="C206" s="6" t="s">
        <v>1291</v>
      </c>
      <c r="D206" s="8" t="s">
        <v>82</v>
      </c>
      <c r="E206" s="6" t="s">
        <v>281</v>
      </c>
      <c r="F206" s="6" t="s">
        <v>51</v>
      </c>
      <c r="G206" s="11" t="s">
        <v>56</v>
      </c>
      <c r="H206" s="11"/>
      <c r="I206" s="10" t="s">
        <v>1314</v>
      </c>
      <c r="J206" s="6" t="s">
        <v>1315</v>
      </c>
      <c r="K206" s="12">
        <v>46121.839629629627</v>
      </c>
      <c r="L206" s="6" t="e" cm="1">
        <f t="array" ref="L206">LOOKUP(2^15,SEARCH(Tabela2[Palavras-Chave],Boletim4[[#This Row],[Objeto]],1),Tabela2[Palavras-Chave])</f>
        <v>#N/A</v>
      </c>
    </row>
    <row r="207" spans="1:12" ht="158.4" hidden="1" x14ac:dyDescent="0.3">
      <c r="A207" s="5">
        <v>18797542</v>
      </c>
      <c r="B207" s="6" t="s">
        <v>566</v>
      </c>
      <c r="C207" s="6" t="s">
        <v>567</v>
      </c>
      <c r="D207" s="8" t="s">
        <v>66</v>
      </c>
      <c r="E207" s="6" t="s">
        <v>1316</v>
      </c>
      <c r="F207" s="6" t="s">
        <v>85</v>
      </c>
      <c r="G207" s="11" t="s">
        <v>56</v>
      </c>
      <c r="H207" s="11"/>
      <c r="I207" s="10" t="s">
        <v>1317</v>
      </c>
      <c r="J207" s="6" t="s">
        <v>1318</v>
      </c>
      <c r="K207" s="12">
        <v>46121.412858796299</v>
      </c>
      <c r="L207" s="6" t="e" cm="1">
        <f t="array" ref="L207">LOOKUP(2^15,SEARCH(Tabela2[Palavras-Chave],Boletim4[[#This Row],[Objeto]],1),Tabela2[Palavras-Chave])</f>
        <v>#N/A</v>
      </c>
    </row>
    <row r="208" spans="1:12" ht="100.8" hidden="1" x14ac:dyDescent="0.3">
      <c r="A208" s="5">
        <v>18807427</v>
      </c>
      <c r="B208" s="6" t="s">
        <v>74</v>
      </c>
      <c r="C208" s="6" t="s">
        <v>162</v>
      </c>
      <c r="D208" s="8" t="s">
        <v>144</v>
      </c>
      <c r="E208" s="6" t="s">
        <v>1319</v>
      </c>
      <c r="F208" s="6" t="s">
        <v>85</v>
      </c>
      <c r="G208" s="11" t="s">
        <v>56</v>
      </c>
      <c r="H208" s="11"/>
      <c r="I208" s="10" t="s">
        <v>1320</v>
      </c>
      <c r="J208" s="6" t="s">
        <v>1321</v>
      </c>
      <c r="K208" s="12">
        <v>46121.447256944448</v>
      </c>
      <c r="L208" s="6" t="e" cm="1">
        <f t="array" ref="L208">LOOKUP(2^15,SEARCH(Tabela2[Palavras-Chave],Boletim4[[#This Row],[Objeto]],1),Tabela2[Palavras-Chave])</f>
        <v>#N/A</v>
      </c>
    </row>
    <row r="209" spans="1:12" ht="409.6" x14ac:dyDescent="0.3">
      <c r="A209" s="5">
        <v>18807909</v>
      </c>
      <c r="B209" s="6" t="s">
        <v>1322</v>
      </c>
      <c r="C209" s="6" t="s">
        <v>162</v>
      </c>
      <c r="D209" s="8" t="s">
        <v>144</v>
      </c>
      <c r="E209" s="6" t="s">
        <v>110</v>
      </c>
      <c r="F209" s="6" t="s">
        <v>85</v>
      </c>
      <c r="G209" s="11" t="s">
        <v>56</v>
      </c>
      <c r="H209" s="11"/>
      <c r="I209" s="10" t="s">
        <v>1323</v>
      </c>
      <c r="J209" s="6" t="s">
        <v>1324</v>
      </c>
      <c r="K209" s="12">
        <v>46121.523125</v>
      </c>
      <c r="L209" s="6" t="str" cm="1">
        <f t="array" ref="L209">LOOKUP(2^15,SEARCH(Tabela2[Palavras-Chave],Boletim4[[#This Row],[Objeto]],1),Tabela2[Palavras-Chave])</f>
        <v>INOX</v>
      </c>
    </row>
    <row r="210" spans="1:12" ht="115.2" hidden="1" x14ac:dyDescent="0.3">
      <c r="A210" s="5">
        <v>18808262</v>
      </c>
      <c r="B210" s="6" t="s">
        <v>1325</v>
      </c>
      <c r="C210" s="6" t="s">
        <v>162</v>
      </c>
      <c r="D210" s="8" t="s">
        <v>144</v>
      </c>
      <c r="E210" s="6" t="s">
        <v>1326</v>
      </c>
      <c r="F210" s="6" t="s">
        <v>85</v>
      </c>
      <c r="G210" s="11" t="s">
        <v>56</v>
      </c>
      <c r="H210" s="11"/>
      <c r="I210" s="10" t="s">
        <v>1327</v>
      </c>
      <c r="J210" s="6" t="s">
        <v>1328</v>
      </c>
      <c r="K210" s="12">
        <v>46121.745509259257</v>
      </c>
      <c r="L210" s="6" t="e" cm="1">
        <f t="array" ref="L210">LOOKUP(2^15,SEARCH(Tabela2[Palavras-Chave],Boletim4[[#This Row],[Objeto]],1),Tabela2[Palavras-Chave])</f>
        <v>#N/A</v>
      </c>
    </row>
    <row r="211" spans="1:12" ht="100.8" hidden="1" x14ac:dyDescent="0.3">
      <c r="A211" s="5">
        <v>18807429</v>
      </c>
      <c r="B211" s="6" t="s">
        <v>74</v>
      </c>
      <c r="C211" s="6" t="s">
        <v>87</v>
      </c>
      <c r="D211" s="8" t="s">
        <v>86</v>
      </c>
      <c r="E211" s="6" t="s">
        <v>1319</v>
      </c>
      <c r="F211" s="6" t="s">
        <v>85</v>
      </c>
      <c r="G211" s="11" t="s">
        <v>56</v>
      </c>
      <c r="H211" s="11"/>
      <c r="I211" s="10" t="s">
        <v>1320</v>
      </c>
      <c r="J211" s="6" t="s">
        <v>1321</v>
      </c>
      <c r="K211" s="12">
        <v>46121.447268518517</v>
      </c>
      <c r="L211" s="6" t="e" cm="1">
        <f t="array" ref="L211">LOOKUP(2^15,SEARCH(Tabela2[Palavras-Chave],Boletim4[[#This Row],[Objeto]],1),Tabela2[Palavras-Chave])</f>
        <v>#N/A</v>
      </c>
    </row>
    <row r="212" spans="1:12" ht="244.8" hidden="1" x14ac:dyDescent="0.3">
      <c r="A212" s="5">
        <v>18807118</v>
      </c>
      <c r="B212" s="6" t="s">
        <v>1329</v>
      </c>
      <c r="C212" s="6" t="s">
        <v>1330</v>
      </c>
      <c r="D212" s="8" t="s">
        <v>86</v>
      </c>
      <c r="E212" s="6" t="s">
        <v>115</v>
      </c>
      <c r="F212" s="6" t="s">
        <v>85</v>
      </c>
      <c r="G212" s="11" t="s">
        <v>56</v>
      </c>
      <c r="H212" s="11"/>
      <c r="I212" s="10" t="s">
        <v>1331</v>
      </c>
      <c r="J212" s="6" t="s">
        <v>1332</v>
      </c>
      <c r="K212" s="12">
        <v>46121.503460648149</v>
      </c>
      <c r="L212" s="6" t="e" cm="1">
        <f t="array" ref="L212">LOOKUP(2^15,SEARCH(Tabela2[Palavras-Chave],Boletim4[[#This Row],[Objeto]],1),Tabela2[Palavras-Chave])</f>
        <v>#N/A</v>
      </c>
    </row>
    <row r="213" spans="1:12" ht="115.2" hidden="1" x14ac:dyDescent="0.3">
      <c r="A213" s="5">
        <v>18808234</v>
      </c>
      <c r="B213" s="6" t="s">
        <v>1333</v>
      </c>
      <c r="C213" s="6" t="s">
        <v>1334</v>
      </c>
      <c r="D213" s="8" t="s">
        <v>86</v>
      </c>
      <c r="E213" s="6" t="s">
        <v>152</v>
      </c>
      <c r="F213" s="6" t="s">
        <v>85</v>
      </c>
      <c r="G213" s="11" t="s">
        <v>56</v>
      </c>
      <c r="H213" s="11"/>
      <c r="I213" s="10" t="s">
        <v>1335</v>
      </c>
      <c r="J213" s="6" t="s">
        <v>1336</v>
      </c>
      <c r="K213" s="12">
        <v>46121.680150462962</v>
      </c>
      <c r="L213" s="6" t="e" cm="1">
        <f t="array" ref="L213">LOOKUP(2^15,SEARCH(Tabela2[Palavras-Chave],Boletim4[[#This Row],[Objeto]],1),Tabela2[Palavras-Chave])</f>
        <v>#N/A</v>
      </c>
    </row>
    <row r="214" spans="1:12" ht="72" hidden="1" x14ac:dyDescent="0.3">
      <c r="A214" s="5">
        <v>18792816</v>
      </c>
      <c r="B214" s="6" t="s">
        <v>1337</v>
      </c>
      <c r="C214" s="6" t="s">
        <v>87</v>
      </c>
      <c r="D214" s="8" t="s">
        <v>86</v>
      </c>
      <c r="E214" s="6" t="s">
        <v>1338</v>
      </c>
      <c r="F214" s="6" t="s">
        <v>85</v>
      </c>
      <c r="G214" s="11">
        <v>46141</v>
      </c>
      <c r="H214" s="11"/>
      <c r="I214" s="10" t="s">
        <v>1339</v>
      </c>
      <c r="J214" s="6" t="s">
        <v>1340</v>
      </c>
      <c r="K214" s="12">
        <v>46121.698645833334</v>
      </c>
      <c r="L214" s="6" t="e" cm="1">
        <f t="array" ref="L214">LOOKUP(2^15,SEARCH(Tabela2[Palavras-Chave],Boletim4[[#This Row],[Objeto]],1),Tabela2[Palavras-Chave])</f>
        <v>#N/A</v>
      </c>
    </row>
    <row r="215" spans="1:12" ht="28.8" hidden="1" x14ac:dyDescent="0.3">
      <c r="A215" s="5">
        <v>18808671</v>
      </c>
      <c r="B215" s="6" t="s">
        <v>205</v>
      </c>
      <c r="C215" s="6" t="s">
        <v>87</v>
      </c>
      <c r="D215" s="8" t="s">
        <v>86</v>
      </c>
      <c r="E215" s="6" t="s">
        <v>1341</v>
      </c>
      <c r="F215" s="6" t="s">
        <v>85</v>
      </c>
      <c r="G215" s="11">
        <v>46134.375</v>
      </c>
      <c r="H215" s="11"/>
      <c r="I215" s="10" t="s">
        <v>1342</v>
      </c>
      <c r="J215" s="6" t="s">
        <v>1343</v>
      </c>
      <c r="K215" s="12">
        <v>46121.721053240741</v>
      </c>
      <c r="L215" s="6" t="e" cm="1">
        <f t="array" ref="L215">LOOKUP(2^15,SEARCH(Tabela2[Palavras-Chave],Boletim4[[#This Row],[Objeto]],1),Tabela2[Palavras-Chave])</f>
        <v>#N/A</v>
      </c>
    </row>
    <row r="216" spans="1:12" ht="244.8" hidden="1" x14ac:dyDescent="0.3">
      <c r="A216" s="5">
        <v>18809238</v>
      </c>
      <c r="B216" s="6" t="s">
        <v>1344</v>
      </c>
      <c r="C216" s="6" t="s">
        <v>1345</v>
      </c>
      <c r="D216" s="8" t="s">
        <v>86</v>
      </c>
      <c r="E216" s="6" t="s">
        <v>146</v>
      </c>
      <c r="F216" s="6" t="s">
        <v>85</v>
      </c>
      <c r="G216" s="11" t="s">
        <v>56</v>
      </c>
      <c r="H216" s="11"/>
      <c r="I216" s="10" t="s">
        <v>1346</v>
      </c>
      <c r="J216" s="6" t="s">
        <v>1347</v>
      </c>
      <c r="K216" s="12">
        <v>46121.728576388887</v>
      </c>
      <c r="L216" s="6" t="e" cm="1">
        <f t="array" ref="L216">LOOKUP(2^15,SEARCH(Tabela2[Palavras-Chave],Boletim4[[#This Row],[Objeto]],1),Tabela2[Palavras-Chave])</f>
        <v>#N/A</v>
      </c>
    </row>
    <row r="217" spans="1:12" ht="244.8" hidden="1" x14ac:dyDescent="0.3">
      <c r="A217" s="5">
        <v>18811189</v>
      </c>
      <c r="B217" s="6" t="s">
        <v>1348</v>
      </c>
      <c r="C217" s="6" t="s">
        <v>1349</v>
      </c>
      <c r="D217" s="8" t="s">
        <v>86</v>
      </c>
      <c r="E217" s="6" t="s">
        <v>142</v>
      </c>
      <c r="F217" s="6" t="s">
        <v>85</v>
      </c>
      <c r="G217" s="11" t="s">
        <v>56</v>
      </c>
      <c r="H217" s="11"/>
      <c r="I217" s="10" t="s">
        <v>1350</v>
      </c>
      <c r="J217" s="6" t="s">
        <v>1351</v>
      </c>
      <c r="K217" s="12">
        <v>46121.81559027778</v>
      </c>
      <c r="L217" s="6" t="e" cm="1">
        <f t="array" ref="L217">LOOKUP(2^15,SEARCH(Tabela2[Palavras-Chave],Boletim4[[#This Row],[Objeto]],1),Tabela2[Palavras-Chave])</f>
        <v>#N/A</v>
      </c>
    </row>
    <row r="218" spans="1:12" ht="129.6" hidden="1" x14ac:dyDescent="0.3">
      <c r="A218" s="5">
        <v>18807290</v>
      </c>
      <c r="B218" s="6" t="s">
        <v>1352</v>
      </c>
      <c r="C218" s="6" t="s">
        <v>87</v>
      </c>
      <c r="D218" s="8" t="s">
        <v>86</v>
      </c>
      <c r="E218" s="6" t="s">
        <v>1341</v>
      </c>
      <c r="F218" s="6" t="s">
        <v>85</v>
      </c>
      <c r="G218" s="11">
        <v>46134</v>
      </c>
      <c r="H218" s="11"/>
      <c r="I218" s="10" t="s">
        <v>1353</v>
      </c>
      <c r="J218" s="6" t="s">
        <v>1354</v>
      </c>
      <c r="K218" s="12">
        <v>46121.838159722225</v>
      </c>
      <c r="L218" s="6" t="e" cm="1">
        <f t="array" ref="L218">LOOKUP(2^15,SEARCH(Tabela2[Palavras-Chave],Boletim4[[#This Row],[Objeto]],1),Tabela2[Palavras-Chave])</f>
        <v>#N/A</v>
      </c>
    </row>
    <row r="219" spans="1:12" ht="100.8" hidden="1" x14ac:dyDescent="0.3">
      <c r="A219" s="5">
        <v>18807431</v>
      </c>
      <c r="B219" s="6" t="s">
        <v>74</v>
      </c>
      <c r="C219" s="6" t="s">
        <v>52</v>
      </c>
      <c r="D219" s="8" t="s">
        <v>50</v>
      </c>
      <c r="E219" s="6" t="s">
        <v>1319</v>
      </c>
      <c r="F219" s="6" t="s">
        <v>85</v>
      </c>
      <c r="G219" s="11" t="s">
        <v>56</v>
      </c>
      <c r="H219" s="11"/>
      <c r="I219" s="10" t="s">
        <v>1320</v>
      </c>
      <c r="J219" s="6" t="s">
        <v>1321</v>
      </c>
      <c r="K219" s="12">
        <v>46121.447268518517</v>
      </c>
      <c r="L219" s="6" t="e" cm="1">
        <f t="array" ref="L219">LOOKUP(2^15,SEARCH(Tabela2[Palavras-Chave],Boletim4[[#This Row],[Objeto]],1),Tabela2[Palavras-Chave])</f>
        <v>#N/A</v>
      </c>
    </row>
    <row r="220" spans="1:12" ht="72" hidden="1" x14ac:dyDescent="0.3">
      <c r="A220" s="5">
        <v>18807455</v>
      </c>
      <c r="B220" s="6" t="s">
        <v>74</v>
      </c>
      <c r="C220" s="6" t="s">
        <v>52</v>
      </c>
      <c r="D220" s="8" t="s">
        <v>50</v>
      </c>
      <c r="E220" s="6" t="s">
        <v>1355</v>
      </c>
      <c r="F220" s="6" t="s">
        <v>85</v>
      </c>
      <c r="G220" s="11" t="s">
        <v>56</v>
      </c>
      <c r="H220" s="11"/>
      <c r="I220" s="10" t="s">
        <v>1356</v>
      </c>
      <c r="J220" s="6" t="s">
        <v>1357</v>
      </c>
      <c r="K220" s="12">
        <v>46121.458402777775</v>
      </c>
      <c r="L220" s="6" t="e" cm="1">
        <f t="array" ref="L220">LOOKUP(2^15,SEARCH(Tabela2[Palavras-Chave],Boletim4[[#This Row],[Objeto]],1),Tabela2[Palavras-Chave])</f>
        <v>#N/A</v>
      </c>
    </row>
    <row r="221" spans="1:12" ht="115.2" hidden="1" x14ac:dyDescent="0.3">
      <c r="A221" s="5">
        <v>18808238</v>
      </c>
      <c r="B221" s="6" t="s">
        <v>1358</v>
      </c>
      <c r="C221" s="6" t="s">
        <v>1359</v>
      </c>
      <c r="D221" s="8" t="s">
        <v>50</v>
      </c>
      <c r="E221" s="6" t="s">
        <v>212</v>
      </c>
      <c r="F221" s="6" t="s">
        <v>85</v>
      </c>
      <c r="G221" s="11" t="s">
        <v>56</v>
      </c>
      <c r="H221" s="11"/>
      <c r="I221" s="10" t="s">
        <v>1360</v>
      </c>
      <c r="J221" s="6" t="s">
        <v>1361</v>
      </c>
      <c r="K221" s="12">
        <v>46121.720057870371</v>
      </c>
      <c r="L221" s="6" t="e" cm="1">
        <f t="array" ref="L221">LOOKUP(2^15,SEARCH(Tabela2[Palavras-Chave],Boletim4[[#This Row],[Objeto]],1),Tabela2[Palavras-Chave])</f>
        <v>#N/A</v>
      </c>
    </row>
    <row r="222" spans="1:12" ht="100.8" hidden="1" x14ac:dyDescent="0.3">
      <c r="A222" s="5">
        <v>18807532</v>
      </c>
      <c r="B222" s="6" t="s">
        <v>1362</v>
      </c>
      <c r="C222" s="6" t="s">
        <v>1363</v>
      </c>
      <c r="D222" s="8" t="s">
        <v>50</v>
      </c>
      <c r="E222" s="6" t="s">
        <v>115</v>
      </c>
      <c r="F222" s="6" t="s">
        <v>85</v>
      </c>
      <c r="G222" s="11">
        <v>46132.582638888889</v>
      </c>
      <c r="H222" s="11"/>
      <c r="I222" s="10" t="s">
        <v>1364</v>
      </c>
      <c r="J222" s="6" t="s">
        <v>1365</v>
      </c>
      <c r="K222" s="12">
        <v>46121.729895833334</v>
      </c>
      <c r="L222" s="6" t="e" cm="1">
        <f t="array" ref="L222">LOOKUP(2^15,SEARCH(Tabela2[Palavras-Chave],Boletim4[[#This Row],[Objeto]],1),Tabela2[Palavras-Chave])</f>
        <v>#N/A</v>
      </c>
    </row>
    <row r="223" spans="1:12" ht="100.8" hidden="1" x14ac:dyDescent="0.3">
      <c r="A223" s="5">
        <v>18807432</v>
      </c>
      <c r="B223" s="6" t="s">
        <v>74</v>
      </c>
      <c r="C223" s="6" t="s">
        <v>1366</v>
      </c>
      <c r="D223" s="8" t="s">
        <v>1367</v>
      </c>
      <c r="E223" s="6" t="s">
        <v>1319</v>
      </c>
      <c r="F223" s="6" t="s">
        <v>85</v>
      </c>
      <c r="G223" s="11" t="s">
        <v>56</v>
      </c>
      <c r="H223" s="11"/>
      <c r="I223" s="10" t="s">
        <v>1320</v>
      </c>
      <c r="J223" s="6" t="s">
        <v>1321</v>
      </c>
      <c r="K223" s="12">
        <v>46121.447280092594</v>
      </c>
      <c r="L223" s="6" t="e" cm="1">
        <f t="array" ref="L223">LOOKUP(2^15,SEARCH(Tabela2[Palavras-Chave],Boletim4[[#This Row],[Objeto]],1),Tabela2[Palavras-Chave])</f>
        <v>#N/A</v>
      </c>
    </row>
    <row r="224" spans="1:12" ht="187.2" hidden="1" x14ac:dyDescent="0.3">
      <c r="A224" s="5">
        <v>18802512</v>
      </c>
      <c r="B224" s="6" t="s">
        <v>163</v>
      </c>
      <c r="C224" s="6" t="s">
        <v>53</v>
      </c>
      <c r="D224" s="8" t="s">
        <v>54</v>
      </c>
      <c r="E224" s="6" t="s">
        <v>409</v>
      </c>
      <c r="F224" s="6" t="s">
        <v>85</v>
      </c>
      <c r="G224" s="11">
        <v>46146.583333333336</v>
      </c>
      <c r="H224" s="11"/>
      <c r="I224" s="10" t="s">
        <v>410</v>
      </c>
      <c r="J224" s="6" t="s">
        <v>411</v>
      </c>
      <c r="K224" s="12">
        <v>46121.389062499999</v>
      </c>
      <c r="L224" s="6" t="e" cm="1">
        <f t="array" ref="L224">LOOKUP(2^15,SEARCH(Tabela2[Palavras-Chave],Boletim4[[#This Row],[Objeto]],1),Tabela2[Palavras-Chave])</f>
        <v>#N/A</v>
      </c>
    </row>
    <row r="225" spans="1:12" ht="144" hidden="1" x14ac:dyDescent="0.3">
      <c r="A225" s="5">
        <v>18802511</v>
      </c>
      <c r="B225" s="6" t="s">
        <v>163</v>
      </c>
      <c r="C225" s="6" t="s">
        <v>53</v>
      </c>
      <c r="D225" s="8" t="s">
        <v>54</v>
      </c>
      <c r="E225" s="6" t="s">
        <v>295</v>
      </c>
      <c r="F225" s="6" t="s">
        <v>85</v>
      </c>
      <c r="G225" s="11" t="s">
        <v>56</v>
      </c>
      <c r="H225" s="11"/>
      <c r="I225" s="10" t="s">
        <v>396</v>
      </c>
      <c r="J225" s="6" t="s">
        <v>397</v>
      </c>
      <c r="K225" s="12">
        <v>46121.496087962965</v>
      </c>
      <c r="L225" s="6" t="e" cm="1">
        <f t="array" ref="L225">LOOKUP(2^15,SEARCH(Tabela2[Palavras-Chave],Boletim4[[#This Row],[Objeto]],1),Tabela2[Palavras-Chave])</f>
        <v>#N/A</v>
      </c>
    </row>
    <row r="226" spans="1:12" ht="187.2" hidden="1" x14ac:dyDescent="0.3">
      <c r="A226" s="5">
        <v>18802505</v>
      </c>
      <c r="B226" s="6" t="s">
        <v>163</v>
      </c>
      <c r="C226" s="6" t="s">
        <v>53</v>
      </c>
      <c r="D226" s="8" t="s">
        <v>54</v>
      </c>
      <c r="E226" s="6" t="s">
        <v>406</v>
      </c>
      <c r="F226" s="6" t="s">
        <v>85</v>
      </c>
      <c r="G226" s="11" t="s">
        <v>56</v>
      </c>
      <c r="H226" s="11"/>
      <c r="I226" s="10" t="s">
        <v>407</v>
      </c>
      <c r="J226" s="6" t="s">
        <v>408</v>
      </c>
      <c r="K226" s="12">
        <v>46121.389062499999</v>
      </c>
      <c r="L226" s="6" t="e" cm="1">
        <f t="array" ref="L226">LOOKUP(2^15,SEARCH(Tabela2[Palavras-Chave],Boletim4[[#This Row],[Objeto]],1),Tabela2[Palavras-Chave])</f>
        <v>#N/A</v>
      </c>
    </row>
    <row r="227" spans="1:12" ht="187.2" hidden="1" x14ac:dyDescent="0.3">
      <c r="A227" s="5">
        <v>18802509</v>
      </c>
      <c r="B227" s="6" t="s">
        <v>163</v>
      </c>
      <c r="C227" s="6" t="s">
        <v>53</v>
      </c>
      <c r="D227" s="8" t="s">
        <v>54</v>
      </c>
      <c r="E227" s="6" t="s">
        <v>398</v>
      </c>
      <c r="F227" s="6" t="s">
        <v>85</v>
      </c>
      <c r="G227" s="11" t="s">
        <v>56</v>
      </c>
      <c r="H227" s="11"/>
      <c r="I227" s="10" t="s">
        <v>399</v>
      </c>
      <c r="J227" s="6" t="s">
        <v>400</v>
      </c>
      <c r="K227" s="12">
        <v>46121.389062499999</v>
      </c>
      <c r="L227" s="6" t="e" cm="1">
        <f t="array" ref="L227">LOOKUP(2^15,SEARCH(Tabela2[Palavras-Chave],Boletim4[[#This Row],[Objeto]],1),Tabela2[Palavras-Chave])</f>
        <v>#N/A</v>
      </c>
    </row>
    <row r="228" spans="1:12" ht="57.6" hidden="1" x14ac:dyDescent="0.3">
      <c r="A228" s="5">
        <v>18805619</v>
      </c>
      <c r="B228" s="6" t="s">
        <v>616</v>
      </c>
      <c r="C228" s="6" t="s">
        <v>617</v>
      </c>
      <c r="D228" s="8" t="s">
        <v>54</v>
      </c>
      <c r="E228" s="6" t="s">
        <v>113</v>
      </c>
      <c r="F228" s="6" t="s">
        <v>85</v>
      </c>
      <c r="G228" s="11">
        <v>46135.416666666664</v>
      </c>
      <c r="H228" s="11"/>
      <c r="I228" s="10" t="s">
        <v>618</v>
      </c>
      <c r="J228" s="6" t="s">
        <v>619</v>
      </c>
      <c r="K228" s="12">
        <v>46121.409050925926</v>
      </c>
      <c r="L228" s="6" t="e" cm="1">
        <f t="array" ref="L228">LOOKUP(2^15,SEARCH(Tabela2[Palavras-Chave],Boletim4[[#This Row],[Objeto]],1),Tabela2[Palavras-Chave])</f>
        <v>#N/A</v>
      </c>
    </row>
    <row r="229" spans="1:12" ht="115.2" hidden="1" x14ac:dyDescent="0.3">
      <c r="A229" s="5">
        <v>18802563</v>
      </c>
      <c r="B229" s="6" t="s">
        <v>392</v>
      </c>
      <c r="C229" s="6" t="s">
        <v>393</v>
      </c>
      <c r="D229" s="8" t="s">
        <v>54</v>
      </c>
      <c r="E229" s="6" t="s">
        <v>175</v>
      </c>
      <c r="F229" s="6" t="s">
        <v>85</v>
      </c>
      <c r="G229" s="11" t="s">
        <v>56</v>
      </c>
      <c r="H229" s="11"/>
      <c r="I229" s="10" t="s">
        <v>394</v>
      </c>
      <c r="J229" s="6" t="s">
        <v>395</v>
      </c>
      <c r="K229" s="12">
        <v>46121.409062500003</v>
      </c>
      <c r="L229" s="6" t="e" cm="1">
        <f t="array" ref="L229">LOOKUP(2^15,SEARCH(Tabela2[Palavras-Chave],Boletim4[[#This Row],[Objeto]],1),Tabela2[Palavras-Chave])</f>
        <v>#N/A</v>
      </c>
    </row>
    <row r="230" spans="1:12" ht="100.8" hidden="1" x14ac:dyDescent="0.3">
      <c r="A230" s="5">
        <v>18807433</v>
      </c>
      <c r="B230" s="6" t="s">
        <v>74</v>
      </c>
      <c r="C230" s="6" t="s">
        <v>53</v>
      </c>
      <c r="D230" s="8" t="s">
        <v>54</v>
      </c>
      <c r="E230" s="6" t="s">
        <v>1319</v>
      </c>
      <c r="F230" s="6" t="s">
        <v>85</v>
      </c>
      <c r="G230" s="11" t="s">
        <v>56</v>
      </c>
      <c r="H230" s="11"/>
      <c r="I230" s="10" t="s">
        <v>1320</v>
      </c>
      <c r="J230" s="6" t="s">
        <v>1321</v>
      </c>
      <c r="K230" s="12">
        <v>46121.447280092594</v>
      </c>
      <c r="L230" s="6" t="e" cm="1">
        <f t="array" ref="L230">LOOKUP(2^15,SEARCH(Tabela2[Palavras-Chave],Boletim4[[#This Row],[Objeto]],1),Tabela2[Palavras-Chave])</f>
        <v>#N/A</v>
      </c>
    </row>
    <row r="231" spans="1:12" ht="244.8" hidden="1" x14ac:dyDescent="0.3">
      <c r="A231" s="13">
        <v>18807133</v>
      </c>
      <c r="B231" s="10" t="s">
        <v>1368</v>
      </c>
      <c r="C231" s="10" t="s">
        <v>1369</v>
      </c>
      <c r="D231" s="15" t="s">
        <v>54</v>
      </c>
      <c r="E231" s="10" t="s">
        <v>114</v>
      </c>
      <c r="F231" s="10" t="s">
        <v>85</v>
      </c>
      <c r="G231" s="16" t="s">
        <v>56</v>
      </c>
      <c r="H231" s="16"/>
      <c r="I231" s="10" t="s">
        <v>1370</v>
      </c>
      <c r="J231" s="10" t="s">
        <v>1371</v>
      </c>
      <c r="K231" s="17">
        <v>46121.446631944447</v>
      </c>
      <c r="L231" s="6" t="e" cm="1">
        <f t="array" ref="L231">LOOKUP(2^15,SEARCH(Tabela2[Palavras-Chave],Boletim4[[#This Row],[Objeto]],1),Tabela2[Palavras-Chave])</f>
        <v>#N/A</v>
      </c>
    </row>
    <row r="232" spans="1:12" ht="259.2" hidden="1" x14ac:dyDescent="0.3">
      <c r="A232" s="5">
        <v>18807094</v>
      </c>
      <c r="B232" s="6" t="s">
        <v>1372</v>
      </c>
      <c r="C232" s="6" t="s">
        <v>1373</v>
      </c>
      <c r="D232" s="8" t="s">
        <v>54</v>
      </c>
      <c r="E232" s="6" t="s">
        <v>106</v>
      </c>
      <c r="F232" s="6" t="s">
        <v>85</v>
      </c>
      <c r="G232" s="11" t="s">
        <v>56</v>
      </c>
      <c r="H232" s="11"/>
      <c r="I232" s="10" t="s">
        <v>1374</v>
      </c>
      <c r="J232" s="6" t="s">
        <v>1375</v>
      </c>
      <c r="K232" s="12">
        <v>46121.481307870374</v>
      </c>
      <c r="L232" s="6" t="e" cm="1">
        <f t="array" ref="L232">LOOKUP(2^15,SEARCH(Tabela2[Palavras-Chave],Boletim4[[#This Row],[Objeto]],1),Tabela2[Palavras-Chave])</f>
        <v>#N/A</v>
      </c>
    </row>
    <row r="233" spans="1:12" ht="57.6" hidden="1" x14ac:dyDescent="0.3">
      <c r="A233" s="5">
        <v>18807287</v>
      </c>
      <c r="B233" s="6" t="s">
        <v>1376</v>
      </c>
      <c r="C233" s="6" t="s">
        <v>1377</v>
      </c>
      <c r="D233" s="8" t="s">
        <v>54</v>
      </c>
      <c r="E233" s="6" t="s">
        <v>262</v>
      </c>
      <c r="F233" s="6" t="s">
        <v>85</v>
      </c>
      <c r="G233" s="11">
        <v>46142</v>
      </c>
      <c r="H233" s="11"/>
      <c r="I233" s="10" t="s">
        <v>1378</v>
      </c>
      <c r="J233" s="6" t="s">
        <v>1379</v>
      </c>
      <c r="K233" s="12">
        <v>46121.509328703702</v>
      </c>
      <c r="L233" s="6" t="e" cm="1">
        <f t="array" ref="L233">LOOKUP(2^15,SEARCH(Tabela2[Palavras-Chave],Boletim4[[#This Row],[Objeto]],1),Tabela2[Palavras-Chave])</f>
        <v>#N/A</v>
      </c>
    </row>
    <row r="234" spans="1:12" ht="244.8" hidden="1" x14ac:dyDescent="0.3">
      <c r="A234" s="13">
        <v>18807876</v>
      </c>
      <c r="B234" s="10" t="s">
        <v>1380</v>
      </c>
      <c r="C234" s="10" t="s">
        <v>1381</v>
      </c>
      <c r="D234" s="15" t="s">
        <v>54</v>
      </c>
      <c r="E234" s="10" t="s">
        <v>124</v>
      </c>
      <c r="F234" s="10" t="s">
        <v>85</v>
      </c>
      <c r="G234" s="16" t="s">
        <v>56</v>
      </c>
      <c r="H234" s="16"/>
      <c r="I234" s="10" t="s">
        <v>1382</v>
      </c>
      <c r="J234" s="10" t="s">
        <v>1383</v>
      </c>
      <c r="K234" s="17">
        <v>46121.526273148149</v>
      </c>
      <c r="L234" s="6" t="e" cm="1">
        <f t="array" ref="L234">LOOKUP(2^15,SEARCH(Tabela2[Palavras-Chave],Boletim4[[#This Row],[Objeto]],1),Tabela2[Palavras-Chave])</f>
        <v>#N/A</v>
      </c>
    </row>
    <row r="235" spans="1:12" ht="244.8" hidden="1" x14ac:dyDescent="0.3">
      <c r="A235" s="5">
        <v>18809456</v>
      </c>
      <c r="B235" s="6" t="s">
        <v>404</v>
      </c>
      <c r="C235" s="6" t="s">
        <v>405</v>
      </c>
      <c r="D235" s="8" t="s">
        <v>54</v>
      </c>
      <c r="E235" s="6" t="s">
        <v>108</v>
      </c>
      <c r="F235" s="6" t="s">
        <v>85</v>
      </c>
      <c r="G235" s="11" t="s">
        <v>56</v>
      </c>
      <c r="H235" s="11"/>
      <c r="I235" s="10" t="s">
        <v>1384</v>
      </c>
      <c r="J235" s="6" t="s">
        <v>1385</v>
      </c>
      <c r="K235" s="12">
        <v>46121.602129629631</v>
      </c>
      <c r="L235" s="6" t="e" cm="1">
        <f t="array" ref="L235">LOOKUP(2^15,SEARCH(Tabela2[Palavras-Chave],Boletim4[[#This Row],[Objeto]],1),Tabela2[Palavras-Chave])</f>
        <v>#N/A</v>
      </c>
    </row>
    <row r="236" spans="1:12" ht="100.8" hidden="1" x14ac:dyDescent="0.3">
      <c r="A236" s="13">
        <v>18806852</v>
      </c>
      <c r="B236" s="10" t="s">
        <v>412</v>
      </c>
      <c r="C236" s="10" t="s">
        <v>413</v>
      </c>
      <c r="D236" s="15" t="s">
        <v>54</v>
      </c>
      <c r="E236" s="10" t="s">
        <v>122</v>
      </c>
      <c r="F236" s="10" t="s">
        <v>85</v>
      </c>
      <c r="G236" s="16" t="s">
        <v>56</v>
      </c>
      <c r="H236" s="16"/>
      <c r="I236" s="10" t="s">
        <v>1386</v>
      </c>
      <c r="J236" s="10" t="s">
        <v>1387</v>
      </c>
      <c r="K236" s="17">
        <v>46121.613159722219</v>
      </c>
      <c r="L236" s="6" t="e" cm="1">
        <f t="array" ref="L236">LOOKUP(2^15,SEARCH(Tabela2[Palavras-Chave],Boletim4[[#This Row],[Objeto]],1),Tabela2[Palavras-Chave])</f>
        <v>#N/A</v>
      </c>
    </row>
    <row r="237" spans="1:12" ht="172.8" hidden="1" x14ac:dyDescent="0.3">
      <c r="A237" s="5">
        <v>18809768</v>
      </c>
      <c r="B237" s="6" t="s">
        <v>1388</v>
      </c>
      <c r="C237" s="6" t="s">
        <v>53</v>
      </c>
      <c r="D237" s="8" t="s">
        <v>54</v>
      </c>
      <c r="E237" s="6" t="s">
        <v>1389</v>
      </c>
      <c r="F237" s="6" t="s">
        <v>85</v>
      </c>
      <c r="G237" s="11" t="s">
        <v>56</v>
      </c>
      <c r="H237" s="11"/>
      <c r="I237" s="10" t="s">
        <v>1390</v>
      </c>
      <c r="J237" s="6" t="s">
        <v>1391</v>
      </c>
      <c r="K237" s="12">
        <v>46121.636828703704</v>
      </c>
      <c r="L237" s="6" t="e" cm="1">
        <f t="array" ref="L237">LOOKUP(2^15,SEARCH(Tabela2[Palavras-Chave],Boletim4[[#This Row],[Objeto]],1),Tabela2[Palavras-Chave])</f>
        <v>#N/A</v>
      </c>
    </row>
    <row r="238" spans="1:12" ht="259.2" hidden="1" x14ac:dyDescent="0.3">
      <c r="A238" s="13">
        <v>18809732</v>
      </c>
      <c r="B238" s="10" t="s">
        <v>1392</v>
      </c>
      <c r="C238" s="10" t="s">
        <v>1393</v>
      </c>
      <c r="D238" s="15" t="s">
        <v>54</v>
      </c>
      <c r="E238" s="10" t="s">
        <v>1394</v>
      </c>
      <c r="F238" s="10" t="s">
        <v>85</v>
      </c>
      <c r="G238" s="16" t="s">
        <v>56</v>
      </c>
      <c r="H238" s="16"/>
      <c r="I238" s="10" t="s">
        <v>1395</v>
      </c>
      <c r="J238" s="10" t="s">
        <v>1396</v>
      </c>
      <c r="K238" s="17">
        <v>46121.665034722224</v>
      </c>
      <c r="L238" s="6" t="e" cm="1">
        <f t="array" ref="L238">LOOKUP(2^15,SEARCH(Tabela2[Palavras-Chave],Boletim4[[#This Row],[Objeto]],1),Tabela2[Palavras-Chave])</f>
        <v>#N/A</v>
      </c>
    </row>
    <row r="239" spans="1:12" ht="57.6" hidden="1" x14ac:dyDescent="0.3">
      <c r="A239" s="5">
        <v>18809599</v>
      </c>
      <c r="B239" s="6" t="s">
        <v>284</v>
      </c>
      <c r="C239" s="6" t="s">
        <v>285</v>
      </c>
      <c r="D239" s="8" t="s">
        <v>54</v>
      </c>
      <c r="E239" s="6" t="s">
        <v>165</v>
      </c>
      <c r="F239" s="6" t="s">
        <v>85</v>
      </c>
      <c r="G239" s="11">
        <v>46135.354166666664</v>
      </c>
      <c r="H239" s="11"/>
      <c r="I239" s="10" t="s">
        <v>1397</v>
      </c>
      <c r="J239" s="6" t="s">
        <v>1398</v>
      </c>
      <c r="K239" s="12">
        <v>46121.675462962965</v>
      </c>
      <c r="L239" s="6" t="e" cm="1">
        <f t="array" ref="L239">LOOKUP(2^15,SEARCH(Tabela2[Palavras-Chave],Boletim4[[#This Row],[Objeto]],1),Tabela2[Palavras-Chave])</f>
        <v>#N/A</v>
      </c>
    </row>
    <row r="240" spans="1:12" ht="57.6" hidden="1" x14ac:dyDescent="0.3">
      <c r="A240" s="5">
        <v>18809626</v>
      </c>
      <c r="B240" s="6" t="s">
        <v>1399</v>
      </c>
      <c r="C240" s="6" t="s">
        <v>1400</v>
      </c>
      <c r="D240" s="8" t="s">
        <v>54</v>
      </c>
      <c r="E240" s="6" t="s">
        <v>450</v>
      </c>
      <c r="F240" s="6" t="s">
        <v>85</v>
      </c>
      <c r="G240" s="11" t="s">
        <v>56</v>
      </c>
      <c r="H240" s="11"/>
      <c r="I240" s="10" t="s">
        <v>1401</v>
      </c>
      <c r="J240" s="6" t="s">
        <v>1402</v>
      </c>
      <c r="K240" s="12">
        <v>46121.742395833331</v>
      </c>
      <c r="L240" s="6" t="e" cm="1">
        <f t="array" ref="L240">LOOKUP(2^15,SEARCH(Tabela2[Palavras-Chave],Boletim4[[#This Row],[Objeto]],1),Tabela2[Palavras-Chave])</f>
        <v>#N/A</v>
      </c>
    </row>
    <row r="241" spans="1:12" ht="86.4" hidden="1" x14ac:dyDescent="0.3">
      <c r="A241" s="5">
        <v>18808994</v>
      </c>
      <c r="B241" s="6" t="s">
        <v>1403</v>
      </c>
      <c r="C241" s="6" t="s">
        <v>1404</v>
      </c>
      <c r="D241" s="8" t="s">
        <v>54</v>
      </c>
      <c r="E241" s="6" t="s">
        <v>441</v>
      </c>
      <c r="F241" s="6" t="s">
        <v>85</v>
      </c>
      <c r="G241" s="11" t="s">
        <v>56</v>
      </c>
      <c r="H241" s="11"/>
      <c r="I241" s="10" t="s">
        <v>1405</v>
      </c>
      <c r="J241" s="6" t="s">
        <v>1406</v>
      </c>
      <c r="K241" s="12">
        <v>46121.704305555555</v>
      </c>
      <c r="L241" s="6" t="e" cm="1">
        <f t="array" ref="L241">LOOKUP(2^15,SEARCH(Tabela2[Palavras-Chave],Boletim4[[#This Row],[Objeto]],1),Tabela2[Palavras-Chave])</f>
        <v>#N/A</v>
      </c>
    </row>
    <row r="242" spans="1:12" ht="115.2" hidden="1" x14ac:dyDescent="0.3">
      <c r="A242" s="5">
        <v>18808268</v>
      </c>
      <c r="B242" s="6" t="s">
        <v>614</v>
      </c>
      <c r="C242" s="6" t="s">
        <v>615</v>
      </c>
      <c r="D242" s="8" t="s">
        <v>54</v>
      </c>
      <c r="E242" s="6" t="s">
        <v>1316</v>
      </c>
      <c r="F242" s="6" t="s">
        <v>85</v>
      </c>
      <c r="G242" s="11" t="s">
        <v>56</v>
      </c>
      <c r="H242" s="11"/>
      <c r="I242" s="10" t="s">
        <v>1407</v>
      </c>
      <c r="J242" s="6" t="s">
        <v>1408</v>
      </c>
      <c r="K242" s="12">
        <v>46121.719050925924</v>
      </c>
      <c r="L242" s="6" t="e" cm="1">
        <f t="array" ref="L242">LOOKUP(2^15,SEARCH(Tabela2[Palavras-Chave],Boletim4[[#This Row],[Objeto]],1),Tabela2[Palavras-Chave])</f>
        <v>#N/A</v>
      </c>
    </row>
    <row r="243" spans="1:12" ht="187.2" hidden="1" x14ac:dyDescent="0.3">
      <c r="A243" s="5">
        <v>18811198</v>
      </c>
      <c r="B243" s="6" t="s">
        <v>1409</v>
      </c>
      <c r="C243" s="6" t="s">
        <v>1410</v>
      </c>
      <c r="D243" s="8" t="s">
        <v>54</v>
      </c>
      <c r="E243" s="6" t="s">
        <v>148</v>
      </c>
      <c r="F243" s="6" t="s">
        <v>85</v>
      </c>
      <c r="G243" s="11" t="s">
        <v>56</v>
      </c>
      <c r="H243" s="11"/>
      <c r="I243" s="10" t="s">
        <v>1411</v>
      </c>
      <c r="J243" s="6" t="s">
        <v>1412</v>
      </c>
      <c r="K243" s="12">
        <v>46121.813078703701</v>
      </c>
      <c r="L243" s="6" t="e" cm="1">
        <f t="array" ref="L243">LOOKUP(2^15,SEARCH(Tabela2[Palavras-Chave],Boletim4[[#This Row],[Objeto]],1),Tabela2[Palavras-Chave])</f>
        <v>#N/A</v>
      </c>
    </row>
    <row r="244" spans="1:12" ht="244.8" hidden="1" x14ac:dyDescent="0.3">
      <c r="A244" s="5">
        <v>18810364</v>
      </c>
      <c r="B244" s="6" t="s">
        <v>1413</v>
      </c>
      <c r="C244" s="6" t="s">
        <v>1414</v>
      </c>
      <c r="D244" s="8" t="s">
        <v>54</v>
      </c>
      <c r="E244" s="6" t="s">
        <v>127</v>
      </c>
      <c r="F244" s="6" t="s">
        <v>85</v>
      </c>
      <c r="G244" s="11" t="s">
        <v>56</v>
      </c>
      <c r="H244" s="11"/>
      <c r="I244" s="10" t="s">
        <v>1415</v>
      </c>
      <c r="J244" s="6" t="s">
        <v>1416</v>
      </c>
      <c r="K244" s="12">
        <v>46121.871759259258</v>
      </c>
      <c r="L244" s="6" t="e" cm="1">
        <f t="array" ref="L244">LOOKUP(2^15,SEARCH(Tabela2[Palavras-Chave],Boletim4[[#This Row],[Objeto]],1),Tabela2[Palavras-Chave])</f>
        <v>#N/A</v>
      </c>
    </row>
    <row r="245" spans="1:12" ht="100.8" hidden="1" x14ac:dyDescent="0.3">
      <c r="A245" s="5">
        <v>18807434</v>
      </c>
      <c r="B245" s="6" t="s">
        <v>74</v>
      </c>
      <c r="C245" s="6" t="s">
        <v>59</v>
      </c>
      <c r="D245" s="8" t="s">
        <v>60</v>
      </c>
      <c r="E245" s="6" t="s">
        <v>1319</v>
      </c>
      <c r="F245" s="6" t="s">
        <v>85</v>
      </c>
      <c r="G245" s="11" t="s">
        <v>56</v>
      </c>
      <c r="H245" s="11"/>
      <c r="I245" s="10" t="s">
        <v>1320</v>
      </c>
      <c r="J245" s="6" t="s">
        <v>1321</v>
      </c>
      <c r="K245" s="12">
        <v>46121.447280092594</v>
      </c>
      <c r="L245" s="6" t="e" cm="1">
        <f t="array" ref="L245">LOOKUP(2^15,SEARCH(Tabela2[Palavras-Chave],Boletim4[[#This Row],[Objeto]],1),Tabela2[Palavras-Chave])</f>
        <v>#N/A</v>
      </c>
    </row>
    <row r="246" spans="1:12" ht="57.6" hidden="1" x14ac:dyDescent="0.3">
      <c r="A246" s="5">
        <v>18802425</v>
      </c>
      <c r="B246" s="6" t="s">
        <v>414</v>
      </c>
      <c r="C246" s="6" t="s">
        <v>415</v>
      </c>
      <c r="D246" s="8" t="s">
        <v>60</v>
      </c>
      <c r="E246" s="6" t="s">
        <v>416</v>
      </c>
      <c r="F246" s="6" t="s">
        <v>85</v>
      </c>
      <c r="G246" s="11">
        <v>46135.375</v>
      </c>
      <c r="H246" s="11"/>
      <c r="I246" s="10" t="s">
        <v>417</v>
      </c>
      <c r="J246" s="6" t="s">
        <v>418</v>
      </c>
      <c r="K246" s="12">
        <v>46121.450729166667</v>
      </c>
      <c r="L246" s="6" t="e" cm="1">
        <f t="array" ref="L246">LOOKUP(2^15,SEARCH(Tabela2[Palavras-Chave],Boletim4[[#This Row],[Objeto]],1),Tabela2[Palavras-Chave])</f>
        <v>#N/A</v>
      </c>
    </row>
    <row r="247" spans="1:12" ht="259.2" hidden="1" x14ac:dyDescent="0.3">
      <c r="A247" s="5">
        <v>18806079</v>
      </c>
      <c r="B247" s="6" t="s">
        <v>419</v>
      </c>
      <c r="C247" s="6" t="s">
        <v>271</v>
      </c>
      <c r="D247" s="8" t="s">
        <v>60</v>
      </c>
      <c r="E247" s="6" t="s">
        <v>420</v>
      </c>
      <c r="F247" s="6" t="s">
        <v>85</v>
      </c>
      <c r="G247" s="11" t="s">
        <v>56</v>
      </c>
      <c r="H247" s="11"/>
      <c r="I247" s="10" t="s">
        <v>421</v>
      </c>
      <c r="J247" s="6" t="s">
        <v>422</v>
      </c>
      <c r="K247" s="12">
        <v>46121.450740740744</v>
      </c>
      <c r="L247" s="6" t="e" cm="1">
        <f t="array" ref="L247">LOOKUP(2^15,SEARCH(Tabela2[Palavras-Chave],Boletim4[[#This Row],[Objeto]],1),Tabela2[Palavras-Chave])</f>
        <v>#N/A</v>
      </c>
    </row>
    <row r="248" spans="1:12" ht="57.6" hidden="1" x14ac:dyDescent="0.3">
      <c r="A248" s="5">
        <v>18807989</v>
      </c>
      <c r="B248" s="6" t="s">
        <v>1417</v>
      </c>
      <c r="C248" s="6" t="s">
        <v>1418</v>
      </c>
      <c r="D248" s="8" t="s">
        <v>60</v>
      </c>
      <c r="E248" s="6" t="s">
        <v>1419</v>
      </c>
      <c r="F248" s="6" t="s">
        <v>85</v>
      </c>
      <c r="G248" s="11">
        <v>46135.375</v>
      </c>
      <c r="H248" s="11"/>
      <c r="I248" s="10" t="s">
        <v>1420</v>
      </c>
      <c r="J248" s="6" t="s">
        <v>1421</v>
      </c>
      <c r="K248" s="12">
        <v>46121.518854166665</v>
      </c>
      <c r="L248" s="6" t="e" cm="1">
        <f t="array" ref="L248">LOOKUP(2^15,SEARCH(Tabela2[Palavras-Chave],Boletim4[[#This Row],[Objeto]],1),Tabela2[Palavras-Chave])</f>
        <v>#N/A</v>
      </c>
    </row>
    <row r="249" spans="1:12" ht="129.6" hidden="1" x14ac:dyDescent="0.3">
      <c r="A249" s="5">
        <v>18808250</v>
      </c>
      <c r="B249" s="6" t="s">
        <v>151</v>
      </c>
      <c r="C249" s="6" t="s">
        <v>59</v>
      </c>
      <c r="D249" s="8" t="s">
        <v>60</v>
      </c>
      <c r="E249" s="6" t="s">
        <v>1422</v>
      </c>
      <c r="F249" s="6" t="s">
        <v>85</v>
      </c>
      <c r="G249" s="11" t="s">
        <v>56</v>
      </c>
      <c r="H249" s="11"/>
      <c r="I249" s="10" t="s">
        <v>1423</v>
      </c>
      <c r="J249" s="6" t="s">
        <v>1424</v>
      </c>
      <c r="K249" s="12">
        <v>46121.694849537038</v>
      </c>
      <c r="L249" s="6" t="e" cm="1">
        <f t="array" ref="L249">LOOKUP(2^15,SEARCH(Tabela2[Palavras-Chave],Boletim4[[#This Row],[Objeto]],1),Tabela2[Palavras-Chave])</f>
        <v>#N/A</v>
      </c>
    </row>
    <row r="250" spans="1:12" ht="115.2" hidden="1" x14ac:dyDescent="0.3">
      <c r="A250" s="5">
        <v>18808582</v>
      </c>
      <c r="B250" s="6" t="s">
        <v>1425</v>
      </c>
      <c r="C250" s="6" t="s">
        <v>1426</v>
      </c>
      <c r="D250" s="8" t="s">
        <v>60</v>
      </c>
      <c r="E250" s="6" t="s">
        <v>1427</v>
      </c>
      <c r="F250" s="6" t="s">
        <v>85</v>
      </c>
      <c r="G250" s="11">
        <v>46135.395833333336</v>
      </c>
      <c r="H250" s="11"/>
      <c r="I250" s="10" t="s">
        <v>1428</v>
      </c>
      <c r="J250" s="6" t="s">
        <v>1429</v>
      </c>
      <c r="K250" s="12">
        <v>46121.702106481483</v>
      </c>
      <c r="L250" s="6" t="e" cm="1">
        <f t="array" ref="L250">LOOKUP(2^15,SEARCH(Tabela2[Palavras-Chave],Boletim4[[#This Row],[Objeto]],1),Tabela2[Palavras-Chave])</f>
        <v>#N/A</v>
      </c>
    </row>
    <row r="251" spans="1:12" ht="72" hidden="1" x14ac:dyDescent="0.3">
      <c r="A251" s="5">
        <v>18808008</v>
      </c>
      <c r="B251" s="6" t="s">
        <v>1417</v>
      </c>
      <c r="C251" s="6" t="s">
        <v>1418</v>
      </c>
      <c r="D251" s="8" t="s">
        <v>60</v>
      </c>
      <c r="E251" s="6" t="s">
        <v>117</v>
      </c>
      <c r="F251" s="6" t="s">
        <v>85</v>
      </c>
      <c r="G251" s="11">
        <v>46134.333333333336</v>
      </c>
      <c r="H251" s="11"/>
      <c r="I251" s="10" t="s">
        <v>1430</v>
      </c>
      <c r="J251" s="6" t="s">
        <v>1431</v>
      </c>
      <c r="K251" s="12">
        <v>46121.703865740739</v>
      </c>
      <c r="L251" s="6" t="e" cm="1">
        <f t="array" ref="L251">LOOKUP(2^15,SEARCH(Tabela2[Palavras-Chave],Boletim4[[#This Row],[Objeto]],1),Tabela2[Palavras-Chave])</f>
        <v>#N/A</v>
      </c>
    </row>
    <row r="252" spans="1:12" ht="115.2" hidden="1" x14ac:dyDescent="0.3">
      <c r="A252" s="5">
        <v>18810389</v>
      </c>
      <c r="B252" s="6" t="s">
        <v>1432</v>
      </c>
      <c r="C252" s="6" t="s">
        <v>59</v>
      </c>
      <c r="D252" s="8" t="s">
        <v>60</v>
      </c>
      <c r="E252" s="6" t="s">
        <v>175</v>
      </c>
      <c r="F252" s="6" t="s">
        <v>85</v>
      </c>
      <c r="G252" s="11" t="s">
        <v>56</v>
      </c>
      <c r="H252" s="11"/>
      <c r="I252" s="10" t="s">
        <v>1433</v>
      </c>
      <c r="J252" s="6" t="s">
        <v>1434</v>
      </c>
      <c r="K252" s="12">
        <v>46121.737384259257</v>
      </c>
      <c r="L252" s="6" t="e" cm="1">
        <f t="array" ref="L252">LOOKUP(2^15,SEARCH(Tabela2[Palavras-Chave],Boletim4[[#This Row],[Objeto]],1),Tabela2[Palavras-Chave])</f>
        <v>#N/A</v>
      </c>
    </row>
    <row r="253" spans="1:12" ht="100.8" hidden="1" x14ac:dyDescent="0.3">
      <c r="A253" s="5">
        <v>18807436</v>
      </c>
      <c r="B253" s="6" t="s">
        <v>74</v>
      </c>
      <c r="C253" s="6" t="s">
        <v>61</v>
      </c>
      <c r="D253" s="8" t="s">
        <v>62</v>
      </c>
      <c r="E253" s="6" t="s">
        <v>1319</v>
      </c>
      <c r="F253" s="6" t="s">
        <v>85</v>
      </c>
      <c r="G253" s="11" t="s">
        <v>56</v>
      </c>
      <c r="H253" s="11"/>
      <c r="I253" s="10" t="s">
        <v>1320</v>
      </c>
      <c r="J253" s="6" t="s">
        <v>1321</v>
      </c>
      <c r="K253" s="12">
        <v>46121.447280092594</v>
      </c>
      <c r="L253" s="6" t="e" cm="1">
        <f t="array" ref="L253">LOOKUP(2^15,SEARCH(Tabela2[Palavras-Chave],Boletim4[[#This Row],[Objeto]],1),Tabela2[Palavras-Chave])</f>
        <v>#N/A</v>
      </c>
    </row>
    <row r="254" spans="1:12" ht="409.6" hidden="1" x14ac:dyDescent="0.3">
      <c r="A254" s="5">
        <v>18781119</v>
      </c>
      <c r="B254" s="6" t="s">
        <v>425</v>
      </c>
      <c r="C254" s="6" t="s">
        <v>61</v>
      </c>
      <c r="D254" s="8" t="s">
        <v>62</v>
      </c>
      <c r="E254" s="6" t="s">
        <v>1435</v>
      </c>
      <c r="F254" s="6" t="s">
        <v>85</v>
      </c>
      <c r="G254" s="11" t="s">
        <v>56</v>
      </c>
      <c r="H254" s="11"/>
      <c r="I254" s="10" t="s">
        <v>1436</v>
      </c>
      <c r="J254" s="6" t="s">
        <v>1437</v>
      </c>
      <c r="K254" s="12">
        <v>46121.491423611114</v>
      </c>
      <c r="L254" s="6" t="e" cm="1">
        <f t="array" ref="L254">LOOKUP(2^15,SEARCH(Tabela2[Palavras-Chave],Boletim4[[#This Row],[Objeto]],1),Tabela2[Palavras-Chave])</f>
        <v>#N/A</v>
      </c>
    </row>
    <row r="255" spans="1:12" ht="115.2" hidden="1" x14ac:dyDescent="0.3">
      <c r="A255" s="5">
        <v>18808277</v>
      </c>
      <c r="B255" s="6" t="s">
        <v>339</v>
      </c>
      <c r="C255" s="6" t="s">
        <v>61</v>
      </c>
      <c r="D255" s="8" t="s">
        <v>62</v>
      </c>
      <c r="E255" s="6" t="s">
        <v>157</v>
      </c>
      <c r="F255" s="6" t="s">
        <v>85</v>
      </c>
      <c r="G255" s="11" t="s">
        <v>56</v>
      </c>
      <c r="H255" s="11"/>
      <c r="I255" s="10" t="s">
        <v>1438</v>
      </c>
      <c r="J255" s="6" t="s">
        <v>1439</v>
      </c>
      <c r="K255" s="12">
        <v>46121.529953703706</v>
      </c>
      <c r="L255" s="6" t="e" cm="1">
        <f t="array" ref="L255">LOOKUP(2^15,SEARCH(Tabela2[Palavras-Chave],Boletim4[[#This Row],[Objeto]],1),Tabela2[Palavras-Chave])</f>
        <v>#N/A</v>
      </c>
    </row>
    <row r="256" spans="1:12" ht="115.2" hidden="1" x14ac:dyDescent="0.3">
      <c r="A256" s="5">
        <v>18809905</v>
      </c>
      <c r="B256" s="6" t="s">
        <v>425</v>
      </c>
      <c r="C256" s="6" t="s">
        <v>61</v>
      </c>
      <c r="D256" s="8" t="s">
        <v>62</v>
      </c>
      <c r="E256" s="6" t="s">
        <v>1440</v>
      </c>
      <c r="F256" s="6" t="s">
        <v>85</v>
      </c>
      <c r="G256" s="11">
        <v>46140.374305555553</v>
      </c>
      <c r="H256" s="11"/>
      <c r="I256" s="10" t="s">
        <v>1441</v>
      </c>
      <c r="J256" s="6" t="s">
        <v>1442</v>
      </c>
      <c r="K256" s="12">
        <v>46121.659212962964</v>
      </c>
      <c r="L256" s="6" t="e" cm="1">
        <f t="array" ref="L256">LOOKUP(2^15,SEARCH(Tabela2[Palavras-Chave],Boletim4[[#This Row],[Objeto]],1),Tabela2[Palavras-Chave])</f>
        <v>#N/A</v>
      </c>
    </row>
    <row r="257" spans="1:12" ht="115.2" hidden="1" x14ac:dyDescent="0.3">
      <c r="A257" s="5">
        <v>18810377</v>
      </c>
      <c r="B257" s="6" t="s">
        <v>1443</v>
      </c>
      <c r="C257" s="6" t="s">
        <v>61</v>
      </c>
      <c r="D257" s="8" t="s">
        <v>62</v>
      </c>
      <c r="E257" s="6" t="s">
        <v>424</v>
      </c>
      <c r="F257" s="6" t="s">
        <v>85</v>
      </c>
      <c r="G257" s="11" t="s">
        <v>56</v>
      </c>
      <c r="H257" s="11"/>
      <c r="I257" s="10" t="s">
        <v>1444</v>
      </c>
      <c r="J257" s="6" t="s">
        <v>1445</v>
      </c>
      <c r="K257" s="12">
        <v>46121.745335648149</v>
      </c>
      <c r="L257" s="6" t="e" cm="1">
        <f t="array" ref="L257">LOOKUP(2^15,SEARCH(Tabela2[Palavras-Chave],Boletim4[[#This Row],[Objeto]],1),Tabela2[Palavras-Chave])</f>
        <v>#N/A</v>
      </c>
    </row>
    <row r="258" spans="1:12" ht="115.2" hidden="1" x14ac:dyDescent="0.3">
      <c r="A258" s="5">
        <v>18808348</v>
      </c>
      <c r="B258" s="6" t="s">
        <v>1446</v>
      </c>
      <c r="C258" s="6" t="s">
        <v>61</v>
      </c>
      <c r="D258" s="8" t="s">
        <v>62</v>
      </c>
      <c r="E258" s="6" t="s">
        <v>183</v>
      </c>
      <c r="F258" s="6" t="s">
        <v>85</v>
      </c>
      <c r="G258" s="11" t="s">
        <v>56</v>
      </c>
      <c r="H258" s="11"/>
      <c r="I258" s="10" t="s">
        <v>1447</v>
      </c>
      <c r="J258" s="6" t="s">
        <v>1448</v>
      </c>
      <c r="K258" s="12">
        <v>46121.758726851855</v>
      </c>
      <c r="L258" s="6" t="e" cm="1">
        <f t="array" ref="L258">LOOKUP(2^15,SEARCH(Tabela2[Palavras-Chave],Boletim4[[#This Row],[Objeto]],1),Tabela2[Palavras-Chave])</f>
        <v>#N/A</v>
      </c>
    </row>
    <row r="259" spans="1:12" ht="115.2" hidden="1" x14ac:dyDescent="0.3">
      <c r="A259" s="5">
        <v>18809907</v>
      </c>
      <c r="B259" s="6" t="s">
        <v>425</v>
      </c>
      <c r="C259" s="6" t="s">
        <v>61</v>
      </c>
      <c r="D259" s="8" t="s">
        <v>62</v>
      </c>
      <c r="E259" s="6" t="s">
        <v>1449</v>
      </c>
      <c r="F259" s="6" t="s">
        <v>85</v>
      </c>
      <c r="G259" s="11">
        <v>46139.374305555553</v>
      </c>
      <c r="H259" s="11"/>
      <c r="I259" s="10" t="s">
        <v>1450</v>
      </c>
      <c r="J259" s="6" t="s">
        <v>1451</v>
      </c>
      <c r="K259" s="12">
        <v>46121.853506944448</v>
      </c>
      <c r="L259" s="6" t="e" cm="1">
        <f t="array" ref="L259">LOOKUP(2^15,SEARCH(Tabela2[Palavras-Chave],Boletim4[[#This Row],[Objeto]],1),Tabela2[Palavras-Chave])</f>
        <v>#N/A</v>
      </c>
    </row>
    <row r="260" spans="1:12" ht="259.2" hidden="1" x14ac:dyDescent="0.3">
      <c r="A260" s="13">
        <v>18809729</v>
      </c>
      <c r="B260" s="10" t="s">
        <v>1452</v>
      </c>
      <c r="C260" s="10" t="s">
        <v>61</v>
      </c>
      <c r="D260" s="15" t="s">
        <v>62</v>
      </c>
      <c r="E260" s="10" t="s">
        <v>1453</v>
      </c>
      <c r="F260" s="10" t="s">
        <v>85</v>
      </c>
      <c r="G260" s="16" t="s">
        <v>56</v>
      </c>
      <c r="H260" s="16"/>
      <c r="I260" s="10" t="s">
        <v>1454</v>
      </c>
      <c r="J260" s="10" t="s">
        <v>1455</v>
      </c>
      <c r="K260" s="17">
        <v>46121.854930555557</v>
      </c>
      <c r="L260" s="6" t="e" cm="1">
        <f t="array" ref="L260">LOOKUP(2^15,SEARCH(Tabela2[Palavras-Chave],Boletim4[[#This Row],[Objeto]],1),Tabela2[Palavras-Chave])</f>
        <v>#N/A</v>
      </c>
    </row>
    <row r="261" spans="1:12" ht="100.8" hidden="1" x14ac:dyDescent="0.3">
      <c r="A261" s="5">
        <v>18807437</v>
      </c>
      <c r="B261" s="6" t="s">
        <v>74</v>
      </c>
      <c r="C261" s="6" t="s">
        <v>88</v>
      </c>
      <c r="D261" s="8" t="s">
        <v>63</v>
      </c>
      <c r="E261" s="6" t="s">
        <v>1319</v>
      </c>
      <c r="F261" s="6" t="s">
        <v>85</v>
      </c>
      <c r="G261" s="11" t="s">
        <v>56</v>
      </c>
      <c r="H261" s="11"/>
      <c r="I261" s="10" t="s">
        <v>1320</v>
      </c>
      <c r="J261" s="6" t="s">
        <v>1321</v>
      </c>
      <c r="K261" s="12">
        <v>46121.447291666664</v>
      </c>
      <c r="L261" s="6" t="e" cm="1">
        <f t="array" ref="L261">LOOKUP(2^15,SEARCH(Tabela2[Palavras-Chave],Boletim4[[#This Row],[Objeto]],1),Tabela2[Palavras-Chave])</f>
        <v>#N/A</v>
      </c>
    </row>
    <row r="262" spans="1:12" ht="100.8" hidden="1" x14ac:dyDescent="0.3">
      <c r="A262" s="5">
        <v>18807406</v>
      </c>
      <c r="B262" s="6" t="s">
        <v>1456</v>
      </c>
      <c r="C262" s="6" t="s">
        <v>1457</v>
      </c>
      <c r="D262" s="8" t="s">
        <v>63</v>
      </c>
      <c r="E262" s="6" t="s">
        <v>108</v>
      </c>
      <c r="F262" s="6" t="s">
        <v>85</v>
      </c>
      <c r="G262" s="11">
        <v>46140.333333333336</v>
      </c>
      <c r="H262" s="11"/>
      <c r="I262" s="10" t="s">
        <v>1458</v>
      </c>
      <c r="J262" s="6" t="s">
        <v>1459</v>
      </c>
      <c r="K262" s="12">
        <v>46121.534050925926</v>
      </c>
      <c r="L262" s="6" t="e" cm="1">
        <f t="array" ref="L262">LOOKUP(2^15,SEARCH(Tabela2[Palavras-Chave],Boletim4[[#This Row],[Objeto]],1),Tabela2[Palavras-Chave])</f>
        <v>#N/A</v>
      </c>
    </row>
    <row r="263" spans="1:12" ht="172.8" hidden="1" x14ac:dyDescent="0.3">
      <c r="A263" s="13">
        <v>18808388</v>
      </c>
      <c r="B263" s="10" t="s">
        <v>1460</v>
      </c>
      <c r="C263" s="10" t="s">
        <v>1461</v>
      </c>
      <c r="D263" s="15" t="s">
        <v>63</v>
      </c>
      <c r="E263" s="10" t="s">
        <v>209</v>
      </c>
      <c r="F263" s="10" t="s">
        <v>85</v>
      </c>
      <c r="G263" s="16" t="s">
        <v>56</v>
      </c>
      <c r="H263" s="16"/>
      <c r="I263" s="10" t="s">
        <v>1462</v>
      </c>
      <c r="J263" s="10" t="s">
        <v>1463</v>
      </c>
      <c r="K263" s="17">
        <v>46121.544849537036</v>
      </c>
      <c r="L263" s="6" t="e" cm="1">
        <f t="array" ref="L263">LOOKUP(2^15,SEARCH(Tabela2[Palavras-Chave],Boletim4[[#This Row],[Objeto]],1),Tabela2[Palavras-Chave])</f>
        <v>#N/A</v>
      </c>
    </row>
    <row r="264" spans="1:12" ht="28.8" hidden="1" x14ac:dyDescent="0.3">
      <c r="A264" s="5">
        <v>18808120</v>
      </c>
      <c r="B264" s="6" t="s">
        <v>1464</v>
      </c>
      <c r="C264" s="6" t="s">
        <v>88</v>
      </c>
      <c r="D264" s="8" t="s">
        <v>63</v>
      </c>
      <c r="E264" s="6" t="s">
        <v>224</v>
      </c>
      <c r="F264" s="6" t="s">
        <v>85</v>
      </c>
      <c r="G264" s="11">
        <v>46140.416666666664</v>
      </c>
      <c r="H264" s="11"/>
      <c r="I264" s="10" t="s">
        <v>1465</v>
      </c>
      <c r="J264" s="6" t="s">
        <v>1466</v>
      </c>
      <c r="K264" s="12">
        <v>46121.548425925925</v>
      </c>
      <c r="L264" s="6" t="e" cm="1">
        <f t="array" ref="L264">LOOKUP(2^15,SEARCH(Tabela2[Palavras-Chave],Boletim4[[#This Row],[Objeto]],1),Tabela2[Palavras-Chave])</f>
        <v>#N/A</v>
      </c>
    </row>
    <row r="265" spans="1:12" ht="115.2" hidden="1" x14ac:dyDescent="0.3">
      <c r="A265" s="5">
        <v>18807675</v>
      </c>
      <c r="B265" s="6" t="s">
        <v>625</v>
      </c>
      <c r="C265" s="6" t="s">
        <v>88</v>
      </c>
      <c r="D265" s="8" t="s">
        <v>63</v>
      </c>
      <c r="E265" s="6" t="s">
        <v>498</v>
      </c>
      <c r="F265" s="6" t="s">
        <v>85</v>
      </c>
      <c r="G265" s="11">
        <v>46128.583333333336</v>
      </c>
      <c r="H265" s="11"/>
      <c r="I265" s="10" t="s">
        <v>1467</v>
      </c>
      <c r="J265" s="6" t="s">
        <v>1468</v>
      </c>
      <c r="K265" s="12">
        <v>46121.566018518519</v>
      </c>
      <c r="L265" s="6" t="e" cm="1">
        <f t="array" ref="L265">LOOKUP(2^15,SEARCH(Tabela2[Palavras-Chave],Boletim4[[#This Row],[Objeto]],1),Tabela2[Palavras-Chave])</f>
        <v>#N/A</v>
      </c>
    </row>
    <row r="266" spans="1:12" ht="100.8" hidden="1" x14ac:dyDescent="0.3">
      <c r="A266" s="13">
        <v>18809542</v>
      </c>
      <c r="B266" s="10" t="s">
        <v>1469</v>
      </c>
      <c r="C266" s="10" t="s">
        <v>1470</v>
      </c>
      <c r="D266" s="15" t="s">
        <v>63</v>
      </c>
      <c r="E266" s="10" t="s">
        <v>107</v>
      </c>
      <c r="F266" s="10" t="s">
        <v>85</v>
      </c>
      <c r="G266" s="16">
        <v>46136.332638888889</v>
      </c>
      <c r="H266" s="16"/>
      <c r="I266" s="10" t="s">
        <v>1471</v>
      </c>
      <c r="J266" s="10" t="s">
        <v>1472</v>
      </c>
      <c r="K266" s="17">
        <v>46121.611875000002</v>
      </c>
      <c r="L266" s="6" t="e" cm="1">
        <f t="array" ref="L266">LOOKUP(2^15,SEARCH(Tabela2[Palavras-Chave],Boletim4[[#This Row],[Objeto]],1),Tabela2[Palavras-Chave])</f>
        <v>#N/A</v>
      </c>
    </row>
    <row r="267" spans="1:12" ht="144" hidden="1" x14ac:dyDescent="0.3">
      <c r="A267" s="5">
        <v>18806863</v>
      </c>
      <c r="B267" s="6" t="s">
        <v>1473</v>
      </c>
      <c r="C267" s="6" t="s">
        <v>1474</v>
      </c>
      <c r="D267" s="8" t="s">
        <v>63</v>
      </c>
      <c r="E267" s="6" t="s">
        <v>134</v>
      </c>
      <c r="F267" s="6" t="s">
        <v>85</v>
      </c>
      <c r="G267" s="11" t="s">
        <v>56</v>
      </c>
      <c r="H267" s="11"/>
      <c r="I267" s="10" t="s">
        <v>1475</v>
      </c>
      <c r="J267" s="6" t="s">
        <v>1476</v>
      </c>
      <c r="K267" s="12">
        <v>46121.6174537037</v>
      </c>
      <c r="L267" s="6" t="e" cm="1">
        <f t="array" ref="L267">LOOKUP(2^15,SEARCH(Tabela2[Palavras-Chave],Boletim4[[#This Row],[Objeto]],1),Tabela2[Palavras-Chave])</f>
        <v>#N/A</v>
      </c>
    </row>
    <row r="268" spans="1:12" ht="273.60000000000002" hidden="1" x14ac:dyDescent="0.3">
      <c r="A268" s="5">
        <v>18808456</v>
      </c>
      <c r="B268" s="6" t="s">
        <v>1477</v>
      </c>
      <c r="C268" s="6" t="s">
        <v>629</v>
      </c>
      <c r="D268" s="8" t="s">
        <v>63</v>
      </c>
      <c r="E268" s="6" t="s">
        <v>108</v>
      </c>
      <c r="F268" s="6" t="s">
        <v>85</v>
      </c>
      <c r="G268" s="11" t="s">
        <v>56</v>
      </c>
      <c r="H268" s="11"/>
      <c r="I268" s="10" t="s">
        <v>1478</v>
      </c>
      <c r="J268" s="6" t="s">
        <v>1479</v>
      </c>
      <c r="K268" s="12">
        <v>46121.660810185182</v>
      </c>
      <c r="L268" s="6" t="e" cm="1">
        <f t="array" ref="L268">LOOKUP(2^15,SEARCH(Tabela2[Palavras-Chave],Boletim4[[#This Row],[Objeto]],1),Tabela2[Palavras-Chave])</f>
        <v>#N/A</v>
      </c>
    </row>
    <row r="269" spans="1:12" ht="115.2" hidden="1" x14ac:dyDescent="0.3">
      <c r="A269" s="5">
        <v>18808274</v>
      </c>
      <c r="B269" s="6" t="s">
        <v>1480</v>
      </c>
      <c r="C269" s="6" t="s">
        <v>426</v>
      </c>
      <c r="D269" s="8" t="s">
        <v>63</v>
      </c>
      <c r="E269" s="6" t="s">
        <v>1481</v>
      </c>
      <c r="F269" s="6" t="s">
        <v>85</v>
      </c>
      <c r="G269" s="11" t="s">
        <v>56</v>
      </c>
      <c r="H269" s="11"/>
      <c r="I269" s="10" t="s">
        <v>1482</v>
      </c>
      <c r="J269" s="6" t="s">
        <v>1483</v>
      </c>
      <c r="K269" s="12">
        <v>46121.667523148149</v>
      </c>
      <c r="L269" s="6" t="e" cm="1">
        <f t="array" ref="L269">LOOKUP(2^15,SEARCH(Tabela2[Palavras-Chave],Boletim4[[#This Row],[Objeto]],1),Tabela2[Palavras-Chave])</f>
        <v>#N/A</v>
      </c>
    </row>
    <row r="270" spans="1:12" ht="244.8" hidden="1" x14ac:dyDescent="0.3">
      <c r="A270" s="5">
        <v>18810342</v>
      </c>
      <c r="B270" s="6" t="s">
        <v>428</v>
      </c>
      <c r="C270" s="6" t="s">
        <v>427</v>
      </c>
      <c r="D270" s="8" t="s">
        <v>63</v>
      </c>
      <c r="E270" s="6" t="s">
        <v>464</v>
      </c>
      <c r="F270" s="6" t="s">
        <v>85</v>
      </c>
      <c r="G270" s="11" t="s">
        <v>56</v>
      </c>
      <c r="H270" s="11"/>
      <c r="I270" s="10" t="s">
        <v>1484</v>
      </c>
      <c r="J270" s="6" t="s">
        <v>1485</v>
      </c>
      <c r="K270" s="12">
        <v>46121.721956018519</v>
      </c>
      <c r="L270" s="6" t="e" cm="1">
        <f t="array" ref="L270">LOOKUP(2^15,SEARCH(Tabela2[Palavras-Chave],Boletim4[[#This Row],[Objeto]],1),Tabela2[Palavras-Chave])</f>
        <v>#N/A</v>
      </c>
    </row>
    <row r="271" spans="1:12" ht="144" hidden="1" x14ac:dyDescent="0.3">
      <c r="A271" s="5">
        <v>18810399</v>
      </c>
      <c r="B271" s="6" t="s">
        <v>428</v>
      </c>
      <c r="C271" s="6" t="s">
        <v>427</v>
      </c>
      <c r="D271" s="8" t="s">
        <v>63</v>
      </c>
      <c r="E271" s="6" t="s">
        <v>464</v>
      </c>
      <c r="F271" s="6" t="s">
        <v>85</v>
      </c>
      <c r="G271" s="11" t="s">
        <v>56</v>
      </c>
      <c r="H271" s="11"/>
      <c r="I271" s="10" t="s">
        <v>1486</v>
      </c>
      <c r="J271" s="6" t="s">
        <v>1487</v>
      </c>
      <c r="K271" s="12">
        <v>46121.732673611114</v>
      </c>
      <c r="L271" s="6" t="e" cm="1">
        <f t="array" ref="L271">LOOKUP(2^15,SEARCH(Tabela2[Palavras-Chave],Boletim4[[#This Row],[Objeto]],1),Tabela2[Palavras-Chave])</f>
        <v>#N/A</v>
      </c>
    </row>
    <row r="272" spans="1:12" ht="28.8" hidden="1" x14ac:dyDescent="0.3">
      <c r="A272" s="13">
        <v>18810601</v>
      </c>
      <c r="B272" s="10" t="s">
        <v>1488</v>
      </c>
      <c r="C272" s="10" t="s">
        <v>1489</v>
      </c>
      <c r="D272" s="15" t="s">
        <v>63</v>
      </c>
      <c r="E272" s="10" t="s">
        <v>120</v>
      </c>
      <c r="F272" s="10" t="s">
        <v>85</v>
      </c>
      <c r="G272" s="16">
        <v>46140.5</v>
      </c>
      <c r="H272" s="16"/>
      <c r="I272" s="10" t="s">
        <v>1490</v>
      </c>
      <c r="J272" s="10" t="s">
        <v>1491</v>
      </c>
      <c r="K272" s="17">
        <v>46121.743449074071</v>
      </c>
      <c r="L272" s="6" t="e" cm="1">
        <f t="array" ref="L272">LOOKUP(2^15,SEARCH(Tabela2[Palavras-Chave],Boletim4[[#This Row],[Objeto]],1),Tabela2[Palavras-Chave])</f>
        <v>#N/A</v>
      </c>
    </row>
    <row r="273" spans="1:12" ht="100.8" hidden="1" x14ac:dyDescent="0.3">
      <c r="A273" s="5">
        <v>18809509</v>
      </c>
      <c r="B273" s="6" t="s">
        <v>1492</v>
      </c>
      <c r="C273" s="6" t="s">
        <v>1493</v>
      </c>
      <c r="D273" s="8" t="s">
        <v>63</v>
      </c>
      <c r="E273" s="6" t="s">
        <v>142</v>
      </c>
      <c r="F273" s="6" t="s">
        <v>85</v>
      </c>
      <c r="G273" s="11">
        <v>46140.354166666664</v>
      </c>
      <c r="H273" s="11"/>
      <c r="I273" s="10" t="s">
        <v>1494</v>
      </c>
      <c r="J273" s="6" t="s">
        <v>1495</v>
      </c>
      <c r="K273" s="12">
        <v>46121.763877314814</v>
      </c>
      <c r="L273" s="6" t="e" cm="1">
        <f t="array" ref="L273">LOOKUP(2^15,SEARCH(Tabela2[Palavras-Chave],Boletim4[[#This Row],[Objeto]],1),Tabela2[Palavras-Chave])</f>
        <v>#N/A</v>
      </c>
    </row>
    <row r="274" spans="1:12" ht="86.4" hidden="1" x14ac:dyDescent="0.3">
      <c r="A274" s="5">
        <v>18811069</v>
      </c>
      <c r="B274" s="6" t="s">
        <v>428</v>
      </c>
      <c r="C274" s="6" t="s">
        <v>427</v>
      </c>
      <c r="D274" s="8" t="s">
        <v>63</v>
      </c>
      <c r="E274" s="6" t="s">
        <v>536</v>
      </c>
      <c r="F274" s="6" t="s">
        <v>85</v>
      </c>
      <c r="G274" s="11" t="s">
        <v>56</v>
      </c>
      <c r="H274" s="11"/>
      <c r="I274" s="10" t="s">
        <v>1496</v>
      </c>
      <c r="J274" s="6" t="s">
        <v>1497</v>
      </c>
      <c r="K274" s="12">
        <v>46121.788263888891</v>
      </c>
      <c r="L274" s="6" t="e" cm="1">
        <f t="array" ref="L274">LOOKUP(2^15,SEARCH(Tabela2[Palavras-Chave],Boletim4[[#This Row],[Objeto]],1),Tabela2[Palavras-Chave])</f>
        <v>#N/A</v>
      </c>
    </row>
    <row r="275" spans="1:12" ht="115.2" hidden="1" x14ac:dyDescent="0.3">
      <c r="A275" s="13">
        <v>18810020</v>
      </c>
      <c r="B275" s="10" t="s">
        <v>1498</v>
      </c>
      <c r="C275" s="10" t="s">
        <v>88</v>
      </c>
      <c r="D275" s="15" t="s">
        <v>63</v>
      </c>
      <c r="E275" s="10" t="s">
        <v>450</v>
      </c>
      <c r="F275" s="10" t="s">
        <v>85</v>
      </c>
      <c r="G275" s="16">
        <v>46136.364583333336</v>
      </c>
      <c r="H275" s="16"/>
      <c r="I275" s="10" t="s">
        <v>1499</v>
      </c>
      <c r="J275" s="10" t="s">
        <v>1500</v>
      </c>
      <c r="K275" s="17">
        <v>46121.866087962961</v>
      </c>
      <c r="L275" s="6" t="e" cm="1">
        <f t="array" ref="L275">LOOKUP(2^15,SEARCH(Tabela2[Palavras-Chave],Boletim4[[#This Row],[Objeto]],1),Tabela2[Palavras-Chave])</f>
        <v>#N/A</v>
      </c>
    </row>
    <row r="276" spans="1:12" ht="100.8" hidden="1" x14ac:dyDescent="0.3">
      <c r="A276" s="5">
        <v>18807439</v>
      </c>
      <c r="B276" s="6" t="s">
        <v>74</v>
      </c>
      <c r="C276" s="6" t="s">
        <v>101</v>
      </c>
      <c r="D276" s="8" t="s">
        <v>64</v>
      </c>
      <c r="E276" s="6" t="s">
        <v>1319</v>
      </c>
      <c r="F276" s="6" t="s">
        <v>85</v>
      </c>
      <c r="G276" s="11" t="s">
        <v>56</v>
      </c>
      <c r="H276" s="11"/>
      <c r="I276" s="10" t="s">
        <v>1320</v>
      </c>
      <c r="J276" s="6" t="s">
        <v>1321</v>
      </c>
      <c r="K276" s="12">
        <v>46121.447291666664</v>
      </c>
      <c r="L276" s="6" t="e" cm="1">
        <f t="array" ref="L276">LOOKUP(2^15,SEARCH(Tabela2[Palavras-Chave],Boletim4[[#This Row],[Objeto]],1),Tabela2[Palavras-Chave])</f>
        <v>#N/A</v>
      </c>
    </row>
    <row r="277" spans="1:12" ht="172.8" hidden="1" x14ac:dyDescent="0.3">
      <c r="A277" s="5">
        <v>18806870</v>
      </c>
      <c r="B277" s="6" t="s">
        <v>438</v>
      </c>
      <c r="C277" s="6" t="s">
        <v>439</v>
      </c>
      <c r="D277" s="8" t="s">
        <v>64</v>
      </c>
      <c r="E277" s="6" t="s">
        <v>143</v>
      </c>
      <c r="F277" s="6" t="s">
        <v>85</v>
      </c>
      <c r="G277" s="11" t="s">
        <v>56</v>
      </c>
      <c r="H277" s="11"/>
      <c r="I277" s="10" t="s">
        <v>1501</v>
      </c>
      <c r="J277" s="6" t="s">
        <v>1502</v>
      </c>
      <c r="K277" s="12">
        <v>46121.448599537034</v>
      </c>
      <c r="L277" s="6" t="e" cm="1">
        <f t="array" ref="L277">LOOKUP(2^15,SEARCH(Tabela2[Palavras-Chave],Boletim4[[#This Row],[Objeto]],1),Tabela2[Palavras-Chave])</f>
        <v>#N/A</v>
      </c>
    </row>
    <row r="278" spans="1:12" ht="57.6" hidden="1" x14ac:dyDescent="0.3">
      <c r="A278" s="5">
        <v>18808734</v>
      </c>
      <c r="B278" s="6" t="s">
        <v>1503</v>
      </c>
      <c r="C278" s="6" t="s">
        <v>1504</v>
      </c>
      <c r="D278" s="8" t="s">
        <v>64</v>
      </c>
      <c r="E278" s="6" t="s">
        <v>291</v>
      </c>
      <c r="F278" s="6" t="s">
        <v>85</v>
      </c>
      <c r="G278" s="11">
        <v>46136.375</v>
      </c>
      <c r="H278" s="11"/>
      <c r="I278" s="10" t="s">
        <v>1505</v>
      </c>
      <c r="J278" s="6" t="s">
        <v>1506</v>
      </c>
      <c r="K278" s="12">
        <v>46121.60769675926</v>
      </c>
      <c r="L278" s="6" t="e" cm="1">
        <f t="array" ref="L278">LOOKUP(2^15,SEARCH(Tabela2[Palavras-Chave],Boletim4[[#This Row],[Objeto]],1),Tabela2[Palavras-Chave])</f>
        <v>#N/A</v>
      </c>
    </row>
    <row r="279" spans="1:12" ht="259.2" hidden="1" x14ac:dyDescent="0.3">
      <c r="A279" s="5">
        <v>18801587</v>
      </c>
      <c r="B279" s="6" t="s">
        <v>432</v>
      </c>
      <c r="C279" s="6" t="s">
        <v>433</v>
      </c>
      <c r="D279" s="8" t="s">
        <v>64</v>
      </c>
      <c r="E279" s="6" t="s">
        <v>124</v>
      </c>
      <c r="F279" s="6" t="s">
        <v>85</v>
      </c>
      <c r="G279" s="11" t="s">
        <v>56</v>
      </c>
      <c r="H279" s="11"/>
      <c r="I279" s="10" t="s">
        <v>434</v>
      </c>
      <c r="J279" s="6" t="s">
        <v>435</v>
      </c>
      <c r="K279" s="12">
        <v>46121.607743055552</v>
      </c>
      <c r="L279" s="6" t="e" cm="1">
        <f t="array" ref="L279">LOOKUP(2^15,SEARCH(Tabela2[Palavras-Chave],Boletim4[[#This Row],[Objeto]],1),Tabela2[Palavras-Chave])</f>
        <v>#N/A</v>
      </c>
    </row>
    <row r="280" spans="1:12" ht="43.2" hidden="1" x14ac:dyDescent="0.3">
      <c r="A280" s="5">
        <v>18806382</v>
      </c>
      <c r="B280" s="6" t="s">
        <v>633</v>
      </c>
      <c r="C280" s="6" t="s">
        <v>634</v>
      </c>
      <c r="D280" s="8" t="s">
        <v>64</v>
      </c>
      <c r="E280" s="6" t="s">
        <v>142</v>
      </c>
      <c r="F280" s="6" t="s">
        <v>85</v>
      </c>
      <c r="G280" s="11">
        <v>46134.416666666664</v>
      </c>
      <c r="H280" s="11"/>
      <c r="I280" s="10" t="s">
        <v>636</v>
      </c>
      <c r="J280" s="6" t="s">
        <v>637</v>
      </c>
      <c r="K280" s="12">
        <v>46121.607766203706</v>
      </c>
      <c r="L280" s="6" t="e" cm="1">
        <f t="array" ref="L280">LOOKUP(2^15,SEARCH(Tabela2[Palavras-Chave],Boletim4[[#This Row],[Objeto]],1),Tabela2[Palavras-Chave])</f>
        <v>#N/A</v>
      </c>
    </row>
    <row r="281" spans="1:12" ht="28.8" hidden="1" x14ac:dyDescent="0.3">
      <c r="A281" s="5">
        <v>18809638</v>
      </c>
      <c r="B281" s="6" t="s">
        <v>317</v>
      </c>
      <c r="C281" s="6" t="s">
        <v>101</v>
      </c>
      <c r="D281" s="8" t="s">
        <v>64</v>
      </c>
      <c r="E281" s="6" t="s">
        <v>165</v>
      </c>
      <c r="F281" s="6" t="s">
        <v>85</v>
      </c>
      <c r="G281" s="11">
        <v>46129.395833333336</v>
      </c>
      <c r="H281" s="11"/>
      <c r="I281" s="10" t="s">
        <v>1507</v>
      </c>
      <c r="J281" s="6" t="s">
        <v>90</v>
      </c>
      <c r="K281" s="12">
        <v>46121.613923611112</v>
      </c>
      <c r="L281" s="6" t="e" cm="1">
        <f t="array" ref="L281">LOOKUP(2^15,SEARCH(Tabela2[Palavras-Chave],Boletim4[[#This Row],[Objeto]],1),Tabela2[Palavras-Chave])</f>
        <v>#N/A</v>
      </c>
    </row>
    <row r="282" spans="1:12" ht="28.8" hidden="1" x14ac:dyDescent="0.3">
      <c r="A282" s="5">
        <v>18810008</v>
      </c>
      <c r="B282" s="6" t="s">
        <v>1508</v>
      </c>
      <c r="C282" s="6" t="s">
        <v>1509</v>
      </c>
      <c r="D282" s="8" t="s">
        <v>64</v>
      </c>
      <c r="E282" s="6" t="s">
        <v>106</v>
      </c>
      <c r="F282" s="6" t="s">
        <v>85</v>
      </c>
      <c r="G282" s="11">
        <v>46140.375</v>
      </c>
      <c r="H282" s="11"/>
      <c r="I282" s="10" t="s">
        <v>1510</v>
      </c>
      <c r="J282" s="6" t="s">
        <v>1511</v>
      </c>
      <c r="K282" s="12">
        <v>46121.711157407408</v>
      </c>
      <c r="L282" s="6" t="e" cm="1">
        <f t="array" ref="L282">LOOKUP(2^15,SEARCH(Tabela2[Palavras-Chave],Boletim4[[#This Row],[Objeto]],1),Tabela2[Palavras-Chave])</f>
        <v>#N/A</v>
      </c>
    </row>
    <row r="283" spans="1:12" ht="115.2" hidden="1" x14ac:dyDescent="0.3">
      <c r="A283" s="5">
        <v>18809496</v>
      </c>
      <c r="B283" s="6" t="s">
        <v>1512</v>
      </c>
      <c r="C283" s="6" t="s">
        <v>635</v>
      </c>
      <c r="D283" s="8" t="s">
        <v>64</v>
      </c>
      <c r="E283" s="6" t="s">
        <v>1513</v>
      </c>
      <c r="F283" s="6" t="s">
        <v>85</v>
      </c>
      <c r="G283" s="11">
        <v>46150.354166666664</v>
      </c>
      <c r="H283" s="11"/>
      <c r="I283" s="10" t="s">
        <v>1514</v>
      </c>
      <c r="J283" s="6" t="s">
        <v>1515</v>
      </c>
      <c r="K283" s="12">
        <v>46121.768414351849</v>
      </c>
      <c r="L283" s="6" t="e" cm="1">
        <f t="array" ref="L283">LOOKUP(2^15,SEARCH(Tabela2[Palavras-Chave],Boletim4[[#This Row],[Objeto]],1),Tabela2[Palavras-Chave])</f>
        <v>#N/A</v>
      </c>
    </row>
    <row r="284" spans="1:12" ht="100.8" hidden="1" x14ac:dyDescent="0.3">
      <c r="A284" s="5">
        <v>18807440</v>
      </c>
      <c r="B284" s="6" t="s">
        <v>74</v>
      </c>
      <c r="C284" s="6" t="s">
        <v>159</v>
      </c>
      <c r="D284" s="8" t="s">
        <v>89</v>
      </c>
      <c r="E284" s="6" t="s">
        <v>1319</v>
      </c>
      <c r="F284" s="6" t="s">
        <v>85</v>
      </c>
      <c r="G284" s="11" t="s">
        <v>56</v>
      </c>
      <c r="H284" s="11"/>
      <c r="I284" s="10" t="s">
        <v>1320</v>
      </c>
      <c r="J284" s="6" t="s">
        <v>1321</v>
      </c>
      <c r="K284" s="12">
        <v>46121.447291666664</v>
      </c>
      <c r="L284" s="6" t="e" cm="1">
        <f t="array" ref="L284">LOOKUP(2^15,SEARCH(Tabela2[Palavras-Chave],Boletim4[[#This Row],[Objeto]],1),Tabela2[Palavras-Chave])</f>
        <v>#N/A</v>
      </c>
    </row>
    <row r="285" spans="1:12" ht="72" hidden="1" x14ac:dyDescent="0.3">
      <c r="A285" s="5">
        <v>18795516</v>
      </c>
      <c r="B285" s="6" t="s">
        <v>1516</v>
      </c>
      <c r="C285" s="6" t="s">
        <v>1517</v>
      </c>
      <c r="D285" s="8" t="s">
        <v>89</v>
      </c>
      <c r="E285" s="6" t="s">
        <v>113</v>
      </c>
      <c r="F285" s="6" t="s">
        <v>85</v>
      </c>
      <c r="G285" s="11">
        <v>46141.416666666664</v>
      </c>
      <c r="H285" s="11"/>
      <c r="I285" s="10" t="s">
        <v>1518</v>
      </c>
      <c r="J285" s="6" t="s">
        <v>1519</v>
      </c>
      <c r="K285" s="12">
        <v>46121.57571759259</v>
      </c>
      <c r="L285" s="6" t="e" cm="1">
        <f t="array" ref="L285">LOOKUP(2^15,SEARCH(Tabela2[Palavras-Chave],Boletim4[[#This Row],[Objeto]],1),Tabela2[Palavras-Chave])</f>
        <v>#N/A</v>
      </c>
    </row>
    <row r="286" spans="1:12" ht="115.2" hidden="1" x14ac:dyDescent="0.3">
      <c r="A286" s="5">
        <v>18810651</v>
      </c>
      <c r="B286" s="6" t="s">
        <v>1520</v>
      </c>
      <c r="C286" s="6" t="s">
        <v>1521</v>
      </c>
      <c r="D286" s="8" t="s">
        <v>89</v>
      </c>
      <c r="E286" s="6" t="s">
        <v>115</v>
      </c>
      <c r="F286" s="6" t="s">
        <v>85</v>
      </c>
      <c r="G286" s="11">
        <v>46139.375</v>
      </c>
      <c r="H286" s="11"/>
      <c r="I286" s="10" t="s">
        <v>1522</v>
      </c>
      <c r="J286" s="6" t="s">
        <v>1523</v>
      </c>
      <c r="K286" s="12">
        <v>46121.79451388889</v>
      </c>
      <c r="L286" s="6" t="e" cm="1">
        <f t="array" ref="L286">LOOKUP(2^15,SEARCH(Tabela2[Palavras-Chave],Boletim4[[#This Row],[Objeto]],1),Tabela2[Palavras-Chave])</f>
        <v>#N/A</v>
      </c>
    </row>
    <row r="287" spans="1:12" ht="86.4" hidden="1" x14ac:dyDescent="0.3">
      <c r="A287" s="5">
        <v>18809632</v>
      </c>
      <c r="B287" s="6" t="s">
        <v>1524</v>
      </c>
      <c r="C287" s="6" t="s">
        <v>1525</v>
      </c>
      <c r="D287" s="8" t="s">
        <v>89</v>
      </c>
      <c r="E287" s="6" t="s">
        <v>126</v>
      </c>
      <c r="F287" s="6" t="s">
        <v>85</v>
      </c>
      <c r="G287" s="11" t="s">
        <v>56</v>
      </c>
      <c r="H287" s="11"/>
      <c r="I287" s="10" t="s">
        <v>1526</v>
      </c>
      <c r="J287" s="6" t="s">
        <v>1527</v>
      </c>
      <c r="K287" s="12">
        <v>46121.743807870371</v>
      </c>
      <c r="L287" s="6" t="e" cm="1">
        <f t="array" ref="L287">LOOKUP(2^15,SEARCH(Tabela2[Palavras-Chave],Boletim4[[#This Row],[Objeto]],1),Tabela2[Palavras-Chave])</f>
        <v>#N/A</v>
      </c>
    </row>
    <row r="288" spans="1:12" ht="86.4" hidden="1" x14ac:dyDescent="0.3">
      <c r="A288" s="5">
        <v>18811068</v>
      </c>
      <c r="B288" s="6" t="s">
        <v>646</v>
      </c>
      <c r="C288" s="6" t="s">
        <v>647</v>
      </c>
      <c r="D288" s="8" t="s">
        <v>89</v>
      </c>
      <c r="E288" s="6" t="s">
        <v>128</v>
      </c>
      <c r="F288" s="6" t="s">
        <v>85</v>
      </c>
      <c r="G288" s="11" t="s">
        <v>56</v>
      </c>
      <c r="H288" s="11"/>
      <c r="I288" s="10" t="s">
        <v>1528</v>
      </c>
      <c r="J288" s="6" t="s">
        <v>1529</v>
      </c>
      <c r="K288" s="12">
        <v>46121.820949074077</v>
      </c>
      <c r="L288" s="6" t="e" cm="1">
        <f t="array" ref="L288">LOOKUP(2^15,SEARCH(Tabela2[Palavras-Chave],Boletim4[[#This Row],[Objeto]],1),Tabela2[Palavras-Chave])</f>
        <v>#N/A</v>
      </c>
    </row>
    <row r="289" spans="1:12" ht="144" hidden="1" x14ac:dyDescent="0.3">
      <c r="A289" s="5">
        <v>18779276</v>
      </c>
      <c r="B289" s="6" t="s">
        <v>1530</v>
      </c>
      <c r="C289" s="6" t="s">
        <v>1531</v>
      </c>
      <c r="D289" s="8" t="s">
        <v>66</v>
      </c>
      <c r="E289" s="6" t="s">
        <v>114</v>
      </c>
      <c r="F289" s="6" t="s">
        <v>85</v>
      </c>
      <c r="G289" s="11">
        <v>46211</v>
      </c>
      <c r="H289" s="11"/>
      <c r="I289" s="10" t="s">
        <v>1532</v>
      </c>
      <c r="J289" s="6" t="s">
        <v>1533</v>
      </c>
      <c r="K289" s="12">
        <v>46121.388969907406</v>
      </c>
      <c r="L289" s="6" t="e" cm="1">
        <f t="array" ref="L289">LOOKUP(2^15,SEARCH(Tabela2[Palavras-Chave],Boletim4[[#This Row],[Objeto]],1),Tabela2[Palavras-Chave])</f>
        <v>#N/A</v>
      </c>
    </row>
    <row r="290" spans="1:12" ht="28.8" hidden="1" x14ac:dyDescent="0.3">
      <c r="A290" s="5">
        <v>18806236</v>
      </c>
      <c r="B290" s="6" t="s">
        <v>448</v>
      </c>
      <c r="C290" s="6" t="s">
        <v>449</v>
      </c>
      <c r="D290" s="8" t="s">
        <v>66</v>
      </c>
      <c r="E290" s="6" t="s">
        <v>155</v>
      </c>
      <c r="F290" s="6" t="s">
        <v>85</v>
      </c>
      <c r="G290" s="11">
        <v>46136.333333333336</v>
      </c>
      <c r="H290" s="11"/>
      <c r="I290" s="10" t="s">
        <v>651</v>
      </c>
      <c r="J290" s="6" t="s">
        <v>652</v>
      </c>
      <c r="K290" s="12">
        <v>46121.419479166667</v>
      </c>
      <c r="L290" s="6" t="e" cm="1">
        <f t="array" ref="L290">LOOKUP(2^15,SEARCH(Tabela2[Palavras-Chave],Boletim4[[#This Row],[Objeto]],1),Tabela2[Palavras-Chave])</f>
        <v>#N/A</v>
      </c>
    </row>
    <row r="291" spans="1:12" ht="86.4" hidden="1" x14ac:dyDescent="0.3">
      <c r="A291" s="5">
        <v>18800236</v>
      </c>
      <c r="B291" s="6" t="s">
        <v>1534</v>
      </c>
      <c r="C291" s="6" t="s">
        <v>1535</v>
      </c>
      <c r="D291" s="8" t="s">
        <v>66</v>
      </c>
      <c r="E291" s="6" t="s">
        <v>498</v>
      </c>
      <c r="F291" s="6" t="s">
        <v>85</v>
      </c>
      <c r="G291" s="11">
        <v>46136.354166666664</v>
      </c>
      <c r="H291" s="11"/>
      <c r="I291" s="10" t="s">
        <v>1536</v>
      </c>
      <c r="J291" s="6" t="s">
        <v>1537</v>
      </c>
      <c r="K291" s="12">
        <v>46121.419490740744</v>
      </c>
      <c r="L291" s="6" t="e" cm="1">
        <f t="array" ref="L291">LOOKUP(2^15,SEARCH(Tabela2[Palavras-Chave],Boletim4[[#This Row],[Objeto]],1),Tabela2[Palavras-Chave])</f>
        <v>#N/A</v>
      </c>
    </row>
    <row r="292" spans="1:12" ht="259.2" hidden="1" x14ac:dyDescent="0.3">
      <c r="A292" s="5">
        <v>18807051</v>
      </c>
      <c r="B292" s="6" t="s">
        <v>1538</v>
      </c>
      <c r="C292" s="6" t="s">
        <v>1539</v>
      </c>
      <c r="D292" s="8" t="s">
        <v>66</v>
      </c>
      <c r="E292" s="6" t="s">
        <v>117</v>
      </c>
      <c r="F292" s="6" t="s">
        <v>85</v>
      </c>
      <c r="G292" s="11" t="s">
        <v>56</v>
      </c>
      <c r="H292" s="11"/>
      <c r="I292" s="10" t="s">
        <v>1540</v>
      </c>
      <c r="J292" s="6" t="s">
        <v>1541</v>
      </c>
      <c r="K292" s="12">
        <v>46121.443530092591</v>
      </c>
      <c r="L292" s="6" t="e" cm="1">
        <f t="array" ref="L292">LOOKUP(2^15,SEARCH(Tabela2[Palavras-Chave],Boletim4[[#This Row],[Objeto]],1),Tabela2[Palavras-Chave])</f>
        <v>#N/A</v>
      </c>
    </row>
    <row r="293" spans="1:12" ht="100.8" hidden="1" x14ac:dyDescent="0.3">
      <c r="A293" s="5">
        <v>18807441</v>
      </c>
      <c r="B293" s="6" t="s">
        <v>74</v>
      </c>
      <c r="C293" s="6" t="s">
        <v>65</v>
      </c>
      <c r="D293" s="8" t="s">
        <v>66</v>
      </c>
      <c r="E293" s="6" t="s">
        <v>1319</v>
      </c>
      <c r="F293" s="6" t="s">
        <v>85</v>
      </c>
      <c r="G293" s="11" t="s">
        <v>56</v>
      </c>
      <c r="H293" s="11"/>
      <c r="I293" s="10" t="s">
        <v>1320</v>
      </c>
      <c r="J293" s="6" t="s">
        <v>1321</v>
      </c>
      <c r="K293" s="12">
        <v>46121.447291666664</v>
      </c>
      <c r="L293" s="6" t="e" cm="1">
        <f t="array" ref="L293">LOOKUP(2^15,SEARCH(Tabela2[Palavras-Chave],Boletim4[[#This Row],[Objeto]],1),Tabela2[Palavras-Chave])</f>
        <v>#N/A</v>
      </c>
    </row>
    <row r="294" spans="1:12" ht="86.4" hidden="1" x14ac:dyDescent="0.3">
      <c r="A294" s="5">
        <v>18806878</v>
      </c>
      <c r="B294" s="6" t="s">
        <v>1542</v>
      </c>
      <c r="C294" s="6" t="s">
        <v>221</v>
      </c>
      <c r="D294" s="8" t="s">
        <v>66</v>
      </c>
      <c r="E294" s="6" t="s">
        <v>127</v>
      </c>
      <c r="F294" s="6" t="s">
        <v>85</v>
      </c>
      <c r="G294" s="11" t="s">
        <v>56</v>
      </c>
      <c r="H294" s="11"/>
      <c r="I294" s="10" t="s">
        <v>1543</v>
      </c>
      <c r="J294" s="6" t="s">
        <v>1544</v>
      </c>
      <c r="K294" s="12">
        <v>46121.447951388887</v>
      </c>
      <c r="L294" s="6" t="e" cm="1">
        <f t="array" ref="L294">LOOKUP(2^15,SEARCH(Tabela2[Palavras-Chave],Boletim4[[#This Row],[Objeto]],1),Tabela2[Palavras-Chave])</f>
        <v>#N/A</v>
      </c>
    </row>
    <row r="295" spans="1:12" ht="288" hidden="1" x14ac:dyDescent="0.3">
      <c r="A295" s="5">
        <v>18807145</v>
      </c>
      <c r="B295" s="6" t="s">
        <v>1545</v>
      </c>
      <c r="C295" s="6" t="s">
        <v>1546</v>
      </c>
      <c r="D295" s="8" t="s">
        <v>66</v>
      </c>
      <c r="E295" s="6" t="s">
        <v>135</v>
      </c>
      <c r="F295" s="6" t="s">
        <v>85</v>
      </c>
      <c r="G295" s="11" t="s">
        <v>56</v>
      </c>
      <c r="H295" s="11"/>
      <c r="I295" s="10" t="s">
        <v>1547</v>
      </c>
      <c r="J295" s="6" t="s">
        <v>1548</v>
      </c>
      <c r="K295" s="12">
        <v>46121.452476851853</v>
      </c>
      <c r="L295" s="6" t="e" cm="1">
        <f t="array" ref="L295">LOOKUP(2^15,SEARCH(Tabela2[Palavras-Chave],Boletim4[[#This Row],[Objeto]],1),Tabela2[Palavras-Chave])</f>
        <v>#N/A</v>
      </c>
    </row>
    <row r="296" spans="1:12" ht="244.8" hidden="1" x14ac:dyDescent="0.3">
      <c r="A296" s="5">
        <v>18807692</v>
      </c>
      <c r="B296" s="6" t="s">
        <v>1549</v>
      </c>
      <c r="C296" s="6" t="s">
        <v>1550</v>
      </c>
      <c r="D296" s="8" t="s">
        <v>66</v>
      </c>
      <c r="E296" s="6" t="s">
        <v>134</v>
      </c>
      <c r="F296" s="6" t="s">
        <v>85</v>
      </c>
      <c r="G296" s="11" t="s">
        <v>56</v>
      </c>
      <c r="H296" s="11"/>
      <c r="I296" s="10" t="s">
        <v>1551</v>
      </c>
      <c r="J296" s="6" t="s">
        <v>1552</v>
      </c>
      <c r="K296" s="12">
        <v>46121.467395833337</v>
      </c>
      <c r="L296" s="6" t="e" cm="1">
        <f t="array" ref="L296">LOOKUP(2^15,SEARCH(Tabela2[Palavras-Chave],Boletim4[[#This Row],[Objeto]],1),Tabela2[Palavras-Chave])</f>
        <v>#N/A</v>
      </c>
    </row>
    <row r="297" spans="1:12" ht="43.2" hidden="1" x14ac:dyDescent="0.3">
      <c r="A297" s="5">
        <v>18806982</v>
      </c>
      <c r="B297" s="6" t="s">
        <v>1553</v>
      </c>
      <c r="C297" s="6" t="s">
        <v>1554</v>
      </c>
      <c r="D297" s="8" t="s">
        <v>66</v>
      </c>
      <c r="E297" s="6" t="s">
        <v>146</v>
      </c>
      <c r="F297" s="6" t="s">
        <v>85</v>
      </c>
      <c r="G297" s="11">
        <v>46140.333333333336</v>
      </c>
      <c r="H297" s="11"/>
      <c r="I297" s="10" t="s">
        <v>1555</v>
      </c>
      <c r="J297" s="6" t="s">
        <v>1556</v>
      </c>
      <c r="K297" s="12">
        <v>46121.488009259258</v>
      </c>
      <c r="L297" s="6" t="e" cm="1">
        <f t="array" ref="L297">LOOKUP(2^15,SEARCH(Tabela2[Palavras-Chave],Boletim4[[#This Row],[Objeto]],1),Tabela2[Palavras-Chave])</f>
        <v>#N/A</v>
      </c>
    </row>
    <row r="298" spans="1:12" ht="28.8" hidden="1" x14ac:dyDescent="0.3">
      <c r="A298" s="5">
        <v>18808174</v>
      </c>
      <c r="B298" s="6" t="s">
        <v>653</v>
      </c>
      <c r="C298" s="6" t="s">
        <v>65</v>
      </c>
      <c r="D298" s="8" t="s">
        <v>66</v>
      </c>
      <c r="E298" s="6" t="s">
        <v>1557</v>
      </c>
      <c r="F298" s="6" t="s">
        <v>85</v>
      </c>
      <c r="G298" s="11" t="s">
        <v>56</v>
      </c>
      <c r="H298" s="11"/>
      <c r="I298" s="10" t="s">
        <v>1558</v>
      </c>
      <c r="J298" s="6" t="s">
        <v>1559</v>
      </c>
      <c r="K298" s="12">
        <v>46121.523634259262</v>
      </c>
      <c r="L298" s="6" t="e" cm="1">
        <f t="array" ref="L298">LOOKUP(2^15,SEARCH(Tabela2[Palavras-Chave],Boletim4[[#This Row],[Objeto]],1),Tabela2[Palavras-Chave])</f>
        <v>#N/A</v>
      </c>
    </row>
    <row r="299" spans="1:12" ht="115.2" hidden="1" x14ac:dyDescent="0.3">
      <c r="A299" s="5">
        <v>18808473</v>
      </c>
      <c r="B299" s="6" t="s">
        <v>1560</v>
      </c>
      <c r="C299" s="6" t="s">
        <v>1561</v>
      </c>
      <c r="D299" s="8" t="s">
        <v>66</v>
      </c>
      <c r="E299" s="6" t="s">
        <v>211</v>
      </c>
      <c r="F299" s="6" t="s">
        <v>85</v>
      </c>
      <c r="G299" s="11">
        <v>46134.368055555555</v>
      </c>
      <c r="H299" s="11"/>
      <c r="I299" s="10" t="s">
        <v>1562</v>
      </c>
      <c r="J299" s="6" t="s">
        <v>1563</v>
      </c>
      <c r="K299" s="12">
        <v>46121.533784722225</v>
      </c>
      <c r="L299" s="6" t="e" cm="1">
        <f t="array" ref="L299">LOOKUP(2^15,SEARCH(Tabela2[Palavras-Chave],Boletim4[[#This Row],[Objeto]],1),Tabela2[Palavras-Chave])</f>
        <v>#N/A</v>
      </c>
    </row>
    <row r="300" spans="1:12" ht="57.6" hidden="1" x14ac:dyDescent="0.3">
      <c r="A300" s="5">
        <v>18808159</v>
      </c>
      <c r="B300" s="6" t="s">
        <v>1564</v>
      </c>
      <c r="C300" s="6" t="s">
        <v>1565</v>
      </c>
      <c r="D300" s="8" t="s">
        <v>66</v>
      </c>
      <c r="E300" s="6" t="s">
        <v>113</v>
      </c>
      <c r="F300" s="6" t="s">
        <v>85</v>
      </c>
      <c r="G300" s="11" t="s">
        <v>56</v>
      </c>
      <c r="H300" s="11"/>
      <c r="I300" s="10" t="s">
        <v>1566</v>
      </c>
      <c r="J300" s="6" t="s">
        <v>1567</v>
      </c>
      <c r="K300" s="12">
        <v>46121.545289351852</v>
      </c>
      <c r="L300" s="6" t="e" cm="1">
        <f t="array" ref="L300">LOOKUP(2^15,SEARCH(Tabela2[Palavras-Chave],Boletim4[[#This Row],[Objeto]],1),Tabela2[Palavras-Chave])</f>
        <v>#N/A</v>
      </c>
    </row>
    <row r="301" spans="1:12" ht="115.2" hidden="1" x14ac:dyDescent="0.3">
      <c r="A301" s="5">
        <v>18808291</v>
      </c>
      <c r="B301" s="6" t="s">
        <v>1568</v>
      </c>
      <c r="C301" s="6" t="s">
        <v>1569</v>
      </c>
      <c r="D301" s="8" t="s">
        <v>66</v>
      </c>
      <c r="E301" s="6" t="s">
        <v>441</v>
      </c>
      <c r="F301" s="6" t="s">
        <v>85</v>
      </c>
      <c r="G301" s="11" t="s">
        <v>56</v>
      </c>
      <c r="H301" s="11"/>
      <c r="I301" s="10" t="s">
        <v>1570</v>
      </c>
      <c r="J301" s="6" t="s">
        <v>1571</v>
      </c>
      <c r="K301" s="12">
        <v>46121.596574074072</v>
      </c>
      <c r="L301" s="6" t="e" cm="1">
        <f t="array" ref="L301">LOOKUP(2^15,SEARCH(Tabela2[Palavras-Chave],Boletim4[[#This Row],[Objeto]],1),Tabela2[Palavras-Chave])</f>
        <v>#N/A</v>
      </c>
    </row>
    <row r="302" spans="1:12" ht="129.6" hidden="1" x14ac:dyDescent="0.3">
      <c r="A302" s="5">
        <v>18804818</v>
      </c>
      <c r="B302" s="6" t="s">
        <v>648</v>
      </c>
      <c r="C302" s="6" t="s">
        <v>65</v>
      </c>
      <c r="D302" s="8" t="s">
        <v>66</v>
      </c>
      <c r="E302" s="6" t="s">
        <v>299</v>
      </c>
      <c r="F302" s="6" t="s">
        <v>85</v>
      </c>
      <c r="G302" s="11">
        <v>46147.375</v>
      </c>
      <c r="H302" s="11"/>
      <c r="I302" s="10" t="s">
        <v>649</v>
      </c>
      <c r="J302" s="6" t="s">
        <v>650</v>
      </c>
      <c r="K302" s="12">
        <v>46121.558368055557</v>
      </c>
      <c r="L302" s="6" t="e" cm="1">
        <f t="array" ref="L302">LOOKUP(2^15,SEARCH(Tabela2[Palavras-Chave],Boletim4[[#This Row],[Objeto]],1),Tabela2[Palavras-Chave])</f>
        <v>#N/A</v>
      </c>
    </row>
    <row r="303" spans="1:12" ht="43.2" hidden="1" x14ac:dyDescent="0.3">
      <c r="A303" s="5">
        <v>18807839</v>
      </c>
      <c r="B303" s="6" t="s">
        <v>1572</v>
      </c>
      <c r="C303" s="6" t="s">
        <v>1573</v>
      </c>
      <c r="D303" s="8" t="s">
        <v>66</v>
      </c>
      <c r="E303" s="6" t="s">
        <v>446</v>
      </c>
      <c r="F303" s="6" t="s">
        <v>85</v>
      </c>
      <c r="G303" s="11">
        <v>46140.541666666664</v>
      </c>
      <c r="H303" s="11"/>
      <c r="I303" s="10" t="s">
        <v>1574</v>
      </c>
      <c r="J303" s="6" t="s">
        <v>1575</v>
      </c>
      <c r="K303" s="12">
        <v>46121.561921296299</v>
      </c>
      <c r="L303" s="6" t="e" cm="1">
        <f t="array" ref="L303">LOOKUP(2^15,SEARCH(Tabela2[Palavras-Chave],Boletim4[[#This Row],[Objeto]],1),Tabela2[Palavras-Chave])</f>
        <v>#N/A</v>
      </c>
    </row>
    <row r="304" spans="1:12" ht="115.2" hidden="1" x14ac:dyDescent="0.3">
      <c r="A304" s="5">
        <v>18808311</v>
      </c>
      <c r="B304" s="6" t="s">
        <v>289</v>
      </c>
      <c r="C304" s="6" t="s">
        <v>290</v>
      </c>
      <c r="D304" s="8" t="s">
        <v>66</v>
      </c>
      <c r="E304" s="6" t="s">
        <v>249</v>
      </c>
      <c r="F304" s="6" t="s">
        <v>85</v>
      </c>
      <c r="G304" s="11" t="s">
        <v>56</v>
      </c>
      <c r="H304" s="11"/>
      <c r="I304" s="10" t="s">
        <v>1576</v>
      </c>
      <c r="J304" s="6" t="s">
        <v>1577</v>
      </c>
      <c r="K304" s="12">
        <v>46121.574594907404</v>
      </c>
      <c r="L304" s="6" t="e" cm="1">
        <f t="array" ref="L304">LOOKUP(2^15,SEARCH(Tabela2[Palavras-Chave],Boletim4[[#This Row],[Objeto]],1),Tabela2[Palavras-Chave])</f>
        <v>#N/A</v>
      </c>
    </row>
    <row r="305" spans="1:12" ht="259.2" hidden="1" x14ac:dyDescent="0.3">
      <c r="A305" s="5">
        <v>18752729</v>
      </c>
      <c r="B305" s="6" t="s">
        <v>1578</v>
      </c>
      <c r="C305" s="6" t="s">
        <v>1579</v>
      </c>
      <c r="D305" s="8" t="s">
        <v>66</v>
      </c>
      <c r="E305" s="6" t="s">
        <v>113</v>
      </c>
      <c r="F305" s="6" t="s">
        <v>85</v>
      </c>
      <c r="G305" s="11" t="s">
        <v>56</v>
      </c>
      <c r="H305" s="11"/>
      <c r="I305" s="10" t="s">
        <v>1580</v>
      </c>
      <c r="J305" s="6" t="s">
        <v>1581</v>
      </c>
      <c r="K305" s="12">
        <v>46121.577175925922</v>
      </c>
      <c r="L305" s="6" t="e" cm="1">
        <f t="array" ref="L305">LOOKUP(2^15,SEARCH(Tabela2[Palavras-Chave],Boletim4[[#This Row],[Objeto]],1),Tabela2[Palavras-Chave])</f>
        <v>#N/A</v>
      </c>
    </row>
    <row r="306" spans="1:12" ht="115.2" hidden="1" x14ac:dyDescent="0.3">
      <c r="A306" s="5">
        <v>18800561</v>
      </c>
      <c r="B306" s="6" t="s">
        <v>1582</v>
      </c>
      <c r="C306" s="6" t="s">
        <v>310</v>
      </c>
      <c r="D306" s="8" t="s">
        <v>66</v>
      </c>
      <c r="E306" s="6" t="s">
        <v>117</v>
      </c>
      <c r="F306" s="6" t="s">
        <v>85</v>
      </c>
      <c r="G306" s="11">
        <v>46134.375</v>
      </c>
      <c r="H306" s="11"/>
      <c r="I306" s="10" t="s">
        <v>1583</v>
      </c>
      <c r="J306" s="6" t="s">
        <v>1584</v>
      </c>
      <c r="K306" s="12">
        <v>46121.58699074074</v>
      </c>
      <c r="L306" s="6" t="e" cm="1">
        <f t="array" ref="L306">LOOKUP(2^15,SEARCH(Tabela2[Palavras-Chave],Boletim4[[#This Row],[Objeto]],1),Tabela2[Palavras-Chave])</f>
        <v>#N/A</v>
      </c>
    </row>
    <row r="307" spans="1:12" ht="57.6" hidden="1" x14ac:dyDescent="0.3">
      <c r="A307" s="5">
        <v>18798866</v>
      </c>
      <c r="B307" s="6" t="s">
        <v>657</v>
      </c>
      <c r="C307" s="6" t="s">
        <v>658</v>
      </c>
      <c r="D307" s="8" t="s">
        <v>66</v>
      </c>
      <c r="E307" s="6" t="s">
        <v>128</v>
      </c>
      <c r="F307" s="6" t="s">
        <v>85</v>
      </c>
      <c r="G307" s="11">
        <v>46136.354166666664</v>
      </c>
      <c r="H307" s="11"/>
      <c r="I307" s="10" t="s">
        <v>1585</v>
      </c>
      <c r="J307" s="6" t="s">
        <v>1586</v>
      </c>
      <c r="K307" s="12">
        <v>46121.587592592594</v>
      </c>
      <c r="L307" s="6" t="e" cm="1">
        <f t="array" ref="L307">LOOKUP(2^15,SEARCH(Tabela2[Palavras-Chave],Boletim4[[#This Row],[Objeto]],1),Tabela2[Palavras-Chave])</f>
        <v>#N/A</v>
      </c>
    </row>
    <row r="308" spans="1:12" ht="57.6" hidden="1" x14ac:dyDescent="0.3">
      <c r="A308" s="5">
        <v>18801222</v>
      </c>
      <c r="B308" s="6" t="s">
        <v>1587</v>
      </c>
      <c r="C308" s="6" t="s">
        <v>1588</v>
      </c>
      <c r="D308" s="8" t="s">
        <v>66</v>
      </c>
      <c r="E308" s="6" t="s">
        <v>107</v>
      </c>
      <c r="F308" s="6" t="s">
        <v>85</v>
      </c>
      <c r="G308" s="11">
        <v>46140.395833333336</v>
      </c>
      <c r="H308" s="11"/>
      <c r="I308" s="10" t="s">
        <v>1589</v>
      </c>
      <c r="J308" s="6" t="s">
        <v>1590</v>
      </c>
      <c r="K308" s="12">
        <v>46121.587604166663</v>
      </c>
      <c r="L308" s="6" t="e" cm="1">
        <f t="array" ref="L308">LOOKUP(2^15,SEARCH(Tabela2[Palavras-Chave],Boletim4[[#This Row],[Objeto]],1),Tabela2[Palavras-Chave])</f>
        <v>#N/A</v>
      </c>
    </row>
    <row r="309" spans="1:12" ht="43.2" hidden="1" x14ac:dyDescent="0.3">
      <c r="A309" s="5">
        <v>18797428</v>
      </c>
      <c r="B309" s="6" t="s">
        <v>309</v>
      </c>
      <c r="C309" s="6" t="s">
        <v>310</v>
      </c>
      <c r="D309" s="8" t="s">
        <v>66</v>
      </c>
      <c r="E309" s="6" t="s">
        <v>240</v>
      </c>
      <c r="F309" s="6" t="s">
        <v>85</v>
      </c>
      <c r="G309" s="11">
        <v>46139.375</v>
      </c>
      <c r="H309" s="11"/>
      <c r="I309" s="10" t="s">
        <v>1591</v>
      </c>
      <c r="J309" s="6" t="s">
        <v>1592</v>
      </c>
      <c r="K309" s="12">
        <v>46121.587638888886</v>
      </c>
      <c r="L309" s="6" t="e" cm="1">
        <f t="array" ref="L309">LOOKUP(2^15,SEARCH(Tabela2[Palavras-Chave],Boletim4[[#This Row],[Objeto]],1),Tabela2[Palavras-Chave])</f>
        <v>#N/A</v>
      </c>
    </row>
    <row r="310" spans="1:12" ht="86.4" hidden="1" x14ac:dyDescent="0.3">
      <c r="A310" s="5">
        <v>18809055</v>
      </c>
      <c r="B310" s="6" t="s">
        <v>1593</v>
      </c>
      <c r="C310" s="6" t="s">
        <v>1594</v>
      </c>
      <c r="D310" s="8" t="s">
        <v>66</v>
      </c>
      <c r="E310" s="6" t="s">
        <v>1595</v>
      </c>
      <c r="F310" s="6" t="s">
        <v>85</v>
      </c>
      <c r="G310" s="11" t="s">
        <v>56</v>
      </c>
      <c r="H310" s="11"/>
      <c r="I310" s="10" t="s">
        <v>1596</v>
      </c>
      <c r="J310" s="6" t="s">
        <v>1597</v>
      </c>
      <c r="K310" s="12">
        <v>46121.602858796294</v>
      </c>
      <c r="L310" s="6" t="e" cm="1">
        <f t="array" ref="L310">LOOKUP(2^15,SEARCH(Tabela2[Palavras-Chave],Boletim4[[#This Row],[Objeto]],1),Tabela2[Palavras-Chave])</f>
        <v>#N/A</v>
      </c>
    </row>
    <row r="311" spans="1:12" ht="43.2" hidden="1" x14ac:dyDescent="0.3">
      <c r="A311" s="5">
        <v>18792658</v>
      </c>
      <c r="B311" s="6" t="s">
        <v>1598</v>
      </c>
      <c r="C311" s="6" t="s">
        <v>1599</v>
      </c>
      <c r="D311" s="8" t="s">
        <v>66</v>
      </c>
      <c r="E311" s="6" t="s">
        <v>450</v>
      </c>
      <c r="F311" s="6" t="s">
        <v>85</v>
      </c>
      <c r="G311" s="11">
        <v>46136.375</v>
      </c>
      <c r="H311" s="11"/>
      <c r="I311" s="10" t="s">
        <v>1600</v>
      </c>
      <c r="J311" s="6" t="s">
        <v>1601</v>
      </c>
      <c r="K311" s="12">
        <v>46121.607037037036</v>
      </c>
      <c r="L311" s="6" t="e" cm="1">
        <f t="array" ref="L311">LOOKUP(2^15,SEARCH(Tabela2[Palavras-Chave],Boletim4[[#This Row],[Objeto]],1),Tabela2[Palavras-Chave])</f>
        <v>#N/A</v>
      </c>
    </row>
    <row r="312" spans="1:12" ht="100.8" hidden="1" x14ac:dyDescent="0.3">
      <c r="A312" s="5">
        <v>18809532</v>
      </c>
      <c r="B312" s="6" t="s">
        <v>341</v>
      </c>
      <c r="C312" s="6" t="s">
        <v>342</v>
      </c>
      <c r="D312" s="8" t="s">
        <v>66</v>
      </c>
      <c r="E312" s="6" t="s">
        <v>171</v>
      </c>
      <c r="F312" s="6" t="s">
        <v>85</v>
      </c>
      <c r="G312" s="11">
        <v>46139.375</v>
      </c>
      <c r="H312" s="11"/>
      <c r="I312" s="10" t="s">
        <v>1602</v>
      </c>
      <c r="J312" s="6" t="s">
        <v>1603</v>
      </c>
      <c r="K312" s="12">
        <v>46121.607789351852</v>
      </c>
      <c r="L312" s="6" t="e" cm="1">
        <f t="array" ref="L312">LOOKUP(2^15,SEARCH(Tabela2[Palavras-Chave],Boletim4[[#This Row],[Objeto]],1),Tabela2[Palavras-Chave])</f>
        <v>#N/A</v>
      </c>
    </row>
    <row r="313" spans="1:12" ht="28.8" hidden="1" x14ac:dyDescent="0.3">
      <c r="A313" s="5">
        <v>18808176</v>
      </c>
      <c r="B313" s="6" t="s">
        <v>1604</v>
      </c>
      <c r="C313" s="6" t="s">
        <v>194</v>
      </c>
      <c r="D313" s="8" t="s">
        <v>66</v>
      </c>
      <c r="E313" s="6" t="s">
        <v>498</v>
      </c>
      <c r="F313" s="6" t="s">
        <v>85</v>
      </c>
      <c r="G313" s="11">
        <v>46139.375</v>
      </c>
      <c r="H313" s="11"/>
      <c r="I313" s="10" t="s">
        <v>1605</v>
      </c>
      <c r="J313" s="6" t="s">
        <v>1606</v>
      </c>
      <c r="K313" s="12">
        <v>46121.62195601852</v>
      </c>
      <c r="L313" s="6" t="e" cm="1">
        <f t="array" ref="L313">LOOKUP(2^15,SEARCH(Tabela2[Palavras-Chave],Boletim4[[#This Row],[Objeto]],1),Tabela2[Palavras-Chave])</f>
        <v>#N/A</v>
      </c>
    </row>
    <row r="314" spans="1:12" ht="244.8" hidden="1" x14ac:dyDescent="0.3">
      <c r="A314" s="5">
        <v>18809229</v>
      </c>
      <c r="B314" s="6" t="s">
        <v>1607</v>
      </c>
      <c r="C314" s="6" t="s">
        <v>1608</v>
      </c>
      <c r="D314" s="8" t="s">
        <v>66</v>
      </c>
      <c r="E314" s="6" t="s">
        <v>441</v>
      </c>
      <c r="F314" s="6" t="s">
        <v>85</v>
      </c>
      <c r="G314" s="11" t="s">
        <v>56</v>
      </c>
      <c r="H314" s="11"/>
      <c r="I314" s="10" t="s">
        <v>1609</v>
      </c>
      <c r="J314" s="6" t="s">
        <v>1610</v>
      </c>
      <c r="K314" s="12">
        <v>46121.659594907411</v>
      </c>
      <c r="L314" s="6" t="e" cm="1">
        <f t="array" ref="L314">LOOKUP(2^15,SEARCH(Tabela2[Palavras-Chave],Boletim4[[#This Row],[Objeto]],1),Tabela2[Palavras-Chave])</f>
        <v>#N/A</v>
      </c>
    </row>
    <row r="315" spans="1:12" ht="86.4" hidden="1" x14ac:dyDescent="0.3">
      <c r="A315" s="5">
        <v>18806902</v>
      </c>
      <c r="B315" s="6" t="s">
        <v>1611</v>
      </c>
      <c r="C315" s="6" t="s">
        <v>1612</v>
      </c>
      <c r="D315" s="8" t="s">
        <v>66</v>
      </c>
      <c r="E315" s="6" t="s">
        <v>120</v>
      </c>
      <c r="F315" s="6" t="s">
        <v>85</v>
      </c>
      <c r="G315" s="11" t="s">
        <v>56</v>
      </c>
      <c r="H315" s="11"/>
      <c r="I315" s="10" t="s">
        <v>1613</v>
      </c>
      <c r="J315" s="6" t="s">
        <v>1614</v>
      </c>
      <c r="K315" s="12">
        <v>46121.664282407408</v>
      </c>
      <c r="L315" s="6" t="e" cm="1">
        <f t="array" ref="L315">LOOKUP(2^15,SEARCH(Tabela2[Palavras-Chave],Boletim4[[#This Row],[Objeto]],1),Tabela2[Palavras-Chave])</f>
        <v>#N/A</v>
      </c>
    </row>
    <row r="316" spans="1:12" ht="86.4" hidden="1" x14ac:dyDescent="0.3">
      <c r="A316" s="5">
        <v>18806898</v>
      </c>
      <c r="B316" s="6" t="s">
        <v>1615</v>
      </c>
      <c r="C316" s="6" t="s">
        <v>1616</v>
      </c>
      <c r="D316" s="8" t="s">
        <v>66</v>
      </c>
      <c r="E316" s="6" t="s">
        <v>1617</v>
      </c>
      <c r="F316" s="6" t="s">
        <v>85</v>
      </c>
      <c r="G316" s="11" t="s">
        <v>56</v>
      </c>
      <c r="H316" s="11"/>
      <c r="I316" s="10" t="s">
        <v>1618</v>
      </c>
      <c r="J316" s="6" t="s">
        <v>1619</v>
      </c>
      <c r="K316" s="12">
        <v>46121.664618055554</v>
      </c>
      <c r="L316" s="6" t="e" cm="1">
        <f t="array" ref="L316">LOOKUP(2^15,SEARCH(Tabela2[Palavras-Chave],Boletim4[[#This Row],[Objeto]],1),Tabela2[Palavras-Chave])</f>
        <v>#N/A</v>
      </c>
    </row>
    <row r="317" spans="1:12" ht="43.2" hidden="1" x14ac:dyDescent="0.3">
      <c r="A317" s="5">
        <v>18808175</v>
      </c>
      <c r="B317" s="6" t="s">
        <v>1620</v>
      </c>
      <c r="C317" s="6" t="s">
        <v>65</v>
      </c>
      <c r="D317" s="8" t="s">
        <v>66</v>
      </c>
      <c r="E317" s="6" t="s">
        <v>1621</v>
      </c>
      <c r="F317" s="6" t="s">
        <v>85</v>
      </c>
      <c r="G317" s="11" t="s">
        <v>56</v>
      </c>
      <c r="H317" s="11"/>
      <c r="I317" s="10" t="s">
        <v>1622</v>
      </c>
      <c r="J317" s="6" t="s">
        <v>1623</v>
      </c>
      <c r="K317" s="12">
        <v>46121.69253472222</v>
      </c>
      <c r="L317" s="6" t="e" cm="1">
        <f t="array" ref="L317">LOOKUP(2^15,SEARCH(Tabela2[Palavras-Chave],Boletim4[[#This Row],[Objeto]],1),Tabela2[Palavras-Chave])</f>
        <v>#N/A</v>
      </c>
    </row>
    <row r="318" spans="1:12" ht="144" hidden="1" x14ac:dyDescent="0.3">
      <c r="A318" s="5">
        <v>18808293</v>
      </c>
      <c r="B318" s="6" t="s">
        <v>1624</v>
      </c>
      <c r="C318" s="6" t="s">
        <v>65</v>
      </c>
      <c r="D318" s="8" t="s">
        <v>66</v>
      </c>
      <c r="E318" s="6" t="s">
        <v>183</v>
      </c>
      <c r="F318" s="6" t="s">
        <v>85</v>
      </c>
      <c r="G318" s="11" t="s">
        <v>56</v>
      </c>
      <c r="H318" s="11"/>
      <c r="I318" s="10" t="s">
        <v>1625</v>
      </c>
      <c r="J318" s="6" t="s">
        <v>1626</v>
      </c>
      <c r="K318" s="12">
        <v>46121.697916666664</v>
      </c>
      <c r="L318" s="6" t="e" cm="1">
        <f t="array" ref="L318">LOOKUP(2^15,SEARCH(Tabela2[Palavras-Chave],Boletim4[[#This Row],[Objeto]],1),Tabela2[Palavras-Chave])</f>
        <v>#N/A</v>
      </c>
    </row>
    <row r="319" spans="1:12" ht="86.4" hidden="1" x14ac:dyDescent="0.3">
      <c r="A319" s="5">
        <v>18809060</v>
      </c>
      <c r="B319" s="6" t="s">
        <v>1627</v>
      </c>
      <c r="C319" s="6" t="s">
        <v>65</v>
      </c>
      <c r="D319" s="8" t="s">
        <v>66</v>
      </c>
      <c r="E319" s="6" t="s">
        <v>1628</v>
      </c>
      <c r="F319" s="6" t="s">
        <v>85</v>
      </c>
      <c r="G319" s="11" t="s">
        <v>56</v>
      </c>
      <c r="H319" s="11"/>
      <c r="I319" s="10" t="s">
        <v>1629</v>
      </c>
      <c r="J319" s="6" t="s">
        <v>1630</v>
      </c>
      <c r="K319" s="12">
        <v>46121.702962962961</v>
      </c>
      <c r="L319" s="6" t="e" cm="1">
        <f t="array" ref="L319">LOOKUP(2^15,SEARCH(Tabela2[Palavras-Chave],Boletim4[[#This Row],[Objeto]],1),Tabela2[Palavras-Chave])</f>
        <v>#N/A</v>
      </c>
    </row>
    <row r="320" spans="1:12" ht="100.8" hidden="1" x14ac:dyDescent="0.3">
      <c r="A320" s="5">
        <v>18807682</v>
      </c>
      <c r="B320" s="6" t="s">
        <v>570</v>
      </c>
      <c r="C320" s="6" t="s">
        <v>571</v>
      </c>
      <c r="D320" s="8" t="s">
        <v>66</v>
      </c>
      <c r="E320" s="6" t="s">
        <v>109</v>
      </c>
      <c r="F320" s="6" t="s">
        <v>85</v>
      </c>
      <c r="G320" s="11" t="s">
        <v>56</v>
      </c>
      <c r="H320" s="11"/>
      <c r="I320" s="10" t="s">
        <v>1631</v>
      </c>
      <c r="J320" s="6" t="s">
        <v>1632</v>
      </c>
      <c r="K320" s="12">
        <v>46121.706597222219</v>
      </c>
      <c r="L320" s="6" t="e" cm="1">
        <f t="array" ref="L320">LOOKUP(2^15,SEARCH(Tabela2[Palavras-Chave],Boletim4[[#This Row],[Objeto]],1),Tabela2[Palavras-Chave])</f>
        <v>#N/A</v>
      </c>
    </row>
    <row r="321" spans="1:12" ht="57.6" hidden="1" x14ac:dyDescent="0.3">
      <c r="A321" s="5">
        <v>18809999</v>
      </c>
      <c r="B321" s="6" t="s">
        <v>1633</v>
      </c>
      <c r="C321" s="6" t="s">
        <v>1634</v>
      </c>
      <c r="D321" s="8" t="s">
        <v>66</v>
      </c>
      <c r="E321" s="6" t="s">
        <v>135</v>
      </c>
      <c r="F321" s="6" t="s">
        <v>85</v>
      </c>
      <c r="G321" s="11">
        <v>46136.333333333336</v>
      </c>
      <c r="H321" s="11"/>
      <c r="I321" s="10" t="s">
        <v>1635</v>
      </c>
      <c r="J321" s="6" t="s">
        <v>1636</v>
      </c>
      <c r="K321" s="12">
        <v>46121.714606481481</v>
      </c>
      <c r="L321" s="6" t="e" cm="1">
        <f t="array" ref="L321">LOOKUP(2^15,SEARCH(Tabela2[Palavras-Chave],Boletim4[[#This Row],[Objeto]],1),Tabela2[Palavras-Chave])</f>
        <v>#N/A</v>
      </c>
    </row>
    <row r="322" spans="1:12" ht="129.6" hidden="1" x14ac:dyDescent="0.3">
      <c r="A322" s="5">
        <v>18808465</v>
      </c>
      <c r="B322" s="6" t="s">
        <v>1637</v>
      </c>
      <c r="C322" s="6" t="s">
        <v>194</v>
      </c>
      <c r="D322" s="8" t="s">
        <v>66</v>
      </c>
      <c r="E322" s="6" t="s">
        <v>146</v>
      </c>
      <c r="F322" s="6" t="s">
        <v>85</v>
      </c>
      <c r="G322" s="11">
        <v>46134.371527777781</v>
      </c>
      <c r="H322" s="11"/>
      <c r="I322" s="10" t="s">
        <v>1638</v>
      </c>
      <c r="J322" s="6" t="s">
        <v>1639</v>
      </c>
      <c r="K322" s="12">
        <v>46121.719490740739</v>
      </c>
      <c r="L322" s="6" t="e" cm="1">
        <f t="array" ref="L322">LOOKUP(2^15,SEARCH(Tabela2[Palavras-Chave],Boletim4[[#This Row],[Objeto]],1),Tabela2[Palavras-Chave])</f>
        <v>#N/A</v>
      </c>
    </row>
    <row r="323" spans="1:12" ht="115.2" hidden="1" x14ac:dyDescent="0.3">
      <c r="A323" s="5">
        <v>18806897</v>
      </c>
      <c r="B323" s="6" t="s">
        <v>1640</v>
      </c>
      <c r="C323" s="6" t="s">
        <v>1641</v>
      </c>
      <c r="D323" s="8" t="s">
        <v>66</v>
      </c>
      <c r="E323" s="6" t="s">
        <v>134</v>
      </c>
      <c r="F323" s="6" t="s">
        <v>85</v>
      </c>
      <c r="G323" s="11" t="s">
        <v>56</v>
      </c>
      <c r="H323" s="11"/>
      <c r="I323" s="10" t="s">
        <v>1642</v>
      </c>
      <c r="J323" s="6" t="s">
        <v>1643</v>
      </c>
      <c r="K323" s="12">
        <v>46121.720729166664</v>
      </c>
      <c r="L323" s="6" t="e" cm="1">
        <f t="array" ref="L323">LOOKUP(2^15,SEARCH(Tabela2[Palavras-Chave],Boletim4[[#This Row],[Objeto]],1),Tabela2[Palavras-Chave])</f>
        <v>#N/A</v>
      </c>
    </row>
    <row r="324" spans="1:12" ht="100.8" hidden="1" x14ac:dyDescent="0.3">
      <c r="A324" s="5">
        <v>18809505</v>
      </c>
      <c r="B324" s="6" t="s">
        <v>336</v>
      </c>
      <c r="C324" s="6" t="s">
        <v>337</v>
      </c>
      <c r="D324" s="8" t="s">
        <v>66</v>
      </c>
      <c r="E324" s="6" t="s">
        <v>188</v>
      </c>
      <c r="F324" s="6" t="s">
        <v>85</v>
      </c>
      <c r="G324" s="11">
        <v>46140.354166666664</v>
      </c>
      <c r="H324" s="11"/>
      <c r="I324" s="10" t="s">
        <v>1644</v>
      </c>
      <c r="J324" s="6" t="s">
        <v>1645</v>
      </c>
      <c r="K324" s="12">
        <v>46121.723402777781</v>
      </c>
      <c r="L324" s="6" t="e" cm="1">
        <f t="array" ref="L324">LOOKUP(2^15,SEARCH(Tabela2[Palavras-Chave],Boletim4[[#This Row],[Objeto]],1),Tabela2[Palavras-Chave])</f>
        <v>#N/A</v>
      </c>
    </row>
    <row r="325" spans="1:12" ht="115.2" hidden="1" x14ac:dyDescent="0.3">
      <c r="A325" s="5">
        <v>18810409</v>
      </c>
      <c r="B325" s="6" t="s">
        <v>445</v>
      </c>
      <c r="C325" s="6" t="s">
        <v>221</v>
      </c>
      <c r="D325" s="8" t="s">
        <v>66</v>
      </c>
      <c r="E325" s="6" t="s">
        <v>183</v>
      </c>
      <c r="F325" s="6" t="s">
        <v>85</v>
      </c>
      <c r="G325" s="11" t="s">
        <v>56</v>
      </c>
      <c r="H325" s="11"/>
      <c r="I325" s="10" t="s">
        <v>1646</v>
      </c>
      <c r="J325" s="6" t="s">
        <v>1647</v>
      </c>
      <c r="K325" s="12">
        <v>46121.736145833333</v>
      </c>
      <c r="L325" s="6" t="e" cm="1">
        <f t="array" ref="L325">LOOKUP(2^15,SEARCH(Tabela2[Palavras-Chave],Boletim4[[#This Row],[Objeto]],1),Tabela2[Palavras-Chave])</f>
        <v>#N/A</v>
      </c>
    </row>
    <row r="326" spans="1:12" ht="57.6" hidden="1" x14ac:dyDescent="0.3">
      <c r="A326" s="5">
        <v>18810655</v>
      </c>
      <c r="B326" s="6" t="s">
        <v>1648</v>
      </c>
      <c r="C326" s="6" t="s">
        <v>1649</v>
      </c>
      <c r="D326" s="8" t="s">
        <v>66</v>
      </c>
      <c r="E326" s="6" t="s">
        <v>202</v>
      </c>
      <c r="F326" s="6" t="s">
        <v>85</v>
      </c>
      <c r="G326" s="11">
        <v>46147.395833333336</v>
      </c>
      <c r="H326" s="11"/>
      <c r="I326" s="10" t="s">
        <v>1650</v>
      </c>
      <c r="J326" s="6" t="s">
        <v>1651</v>
      </c>
      <c r="K326" s="12">
        <v>46121.740914351853</v>
      </c>
      <c r="L326" s="6" t="e" cm="1">
        <f t="array" ref="L326">LOOKUP(2^15,SEARCH(Tabela2[Palavras-Chave],Boletim4[[#This Row],[Objeto]],1),Tabela2[Palavras-Chave])</f>
        <v>#N/A</v>
      </c>
    </row>
    <row r="327" spans="1:12" ht="100.8" x14ac:dyDescent="0.3">
      <c r="A327" s="5">
        <v>18810639</v>
      </c>
      <c r="B327" s="6" t="s">
        <v>1652</v>
      </c>
      <c r="C327" s="6" t="s">
        <v>1653</v>
      </c>
      <c r="D327" s="8" t="s">
        <v>66</v>
      </c>
      <c r="E327" s="6" t="s">
        <v>139</v>
      </c>
      <c r="F327" s="6" t="s">
        <v>85</v>
      </c>
      <c r="G327" s="11" t="s">
        <v>56</v>
      </c>
      <c r="H327" s="11"/>
      <c r="I327" s="10" t="s">
        <v>1654</v>
      </c>
      <c r="J327" s="6" t="s">
        <v>1655</v>
      </c>
      <c r="K327" s="12">
        <v>46121.747986111113</v>
      </c>
      <c r="L327" s="6" t="str" cm="1">
        <f t="array" ref="L327">LOOKUP(2^15,SEARCH(Tabela2[Palavras-Chave],Boletim4[[#This Row],[Objeto]],1),Tabela2[Palavras-Chave])</f>
        <v>EFICIÊNCIA</v>
      </c>
    </row>
    <row r="328" spans="1:12" hidden="1" x14ac:dyDescent="0.3">
      <c r="A328" s="5">
        <v>18804640</v>
      </c>
      <c r="B328" s="6" t="s">
        <v>653</v>
      </c>
      <c r="C328" s="6" t="s">
        <v>65</v>
      </c>
      <c r="D328" s="8" t="s">
        <v>66</v>
      </c>
      <c r="E328" s="6" t="s">
        <v>654</v>
      </c>
      <c r="F328" s="6" t="s">
        <v>85</v>
      </c>
      <c r="G328" s="11" t="s">
        <v>56</v>
      </c>
      <c r="H328" s="11"/>
      <c r="I328" s="10" t="s">
        <v>655</v>
      </c>
      <c r="J328" s="6" t="s">
        <v>656</v>
      </c>
      <c r="K328" s="12">
        <v>46121.749699074076</v>
      </c>
      <c r="L328" s="6" t="e" cm="1">
        <f t="array" ref="L328">LOOKUP(2^15,SEARCH(Tabela2[Palavras-Chave],Boletim4[[#This Row],[Objeto]],1),Tabela2[Palavras-Chave])</f>
        <v>#N/A</v>
      </c>
    </row>
    <row r="329" spans="1:12" ht="86.4" hidden="1" x14ac:dyDescent="0.3">
      <c r="A329" s="5">
        <v>18810414</v>
      </c>
      <c r="B329" s="6" t="s">
        <v>1656</v>
      </c>
      <c r="C329" s="6" t="s">
        <v>1657</v>
      </c>
      <c r="D329" s="8" t="s">
        <v>66</v>
      </c>
      <c r="E329" s="6" t="s">
        <v>114</v>
      </c>
      <c r="F329" s="6" t="s">
        <v>85</v>
      </c>
      <c r="G329" s="11" t="s">
        <v>56</v>
      </c>
      <c r="H329" s="11"/>
      <c r="I329" s="10" t="s">
        <v>1658</v>
      </c>
      <c r="J329" s="6" t="s">
        <v>1659</v>
      </c>
      <c r="K329" s="12">
        <v>46121.753101851849</v>
      </c>
      <c r="L329" s="6" t="e" cm="1">
        <f t="array" ref="L329">LOOKUP(2^15,SEARCH(Tabela2[Palavras-Chave],Boletim4[[#This Row],[Objeto]],1),Tabela2[Palavras-Chave])</f>
        <v>#N/A</v>
      </c>
    </row>
    <row r="330" spans="1:12" ht="57.6" hidden="1" x14ac:dyDescent="0.3">
      <c r="A330" s="5">
        <v>18810657</v>
      </c>
      <c r="B330" s="6" t="s">
        <v>1660</v>
      </c>
      <c r="C330" s="6" t="s">
        <v>1661</v>
      </c>
      <c r="D330" s="8" t="s">
        <v>66</v>
      </c>
      <c r="E330" s="6" t="s">
        <v>126</v>
      </c>
      <c r="F330" s="6" t="s">
        <v>85</v>
      </c>
      <c r="G330" s="11">
        <v>46139.354166666664</v>
      </c>
      <c r="H330" s="11"/>
      <c r="I330" s="10" t="s">
        <v>1662</v>
      </c>
      <c r="J330" s="6" t="s">
        <v>1663</v>
      </c>
      <c r="K330" s="12">
        <v>46121.754386574074</v>
      </c>
      <c r="L330" s="6" t="e" cm="1">
        <f t="array" ref="L330">LOOKUP(2^15,SEARCH(Tabela2[Palavras-Chave],Boletim4[[#This Row],[Objeto]],1),Tabela2[Palavras-Chave])</f>
        <v>#N/A</v>
      </c>
    </row>
    <row r="331" spans="1:12" ht="100.8" hidden="1" x14ac:dyDescent="0.3">
      <c r="A331" s="13">
        <v>18809561</v>
      </c>
      <c r="B331" s="10" t="s">
        <v>1036</v>
      </c>
      <c r="C331" s="10" t="s">
        <v>440</v>
      </c>
      <c r="D331" s="15" t="s">
        <v>66</v>
      </c>
      <c r="E331" s="10" t="s">
        <v>141</v>
      </c>
      <c r="F331" s="10" t="s">
        <v>85</v>
      </c>
      <c r="G331" s="16">
        <v>46127.333333333336</v>
      </c>
      <c r="H331" s="16"/>
      <c r="I331" s="10" t="s">
        <v>1664</v>
      </c>
      <c r="J331" s="10" t="s">
        <v>1665</v>
      </c>
      <c r="K331" s="17">
        <v>46121.755335648151</v>
      </c>
      <c r="L331" s="6" t="e" cm="1">
        <f t="array" ref="L331">LOOKUP(2^15,SEARCH(Tabela2[Palavras-Chave],Boletim4[[#This Row],[Objeto]],1),Tabela2[Palavras-Chave])</f>
        <v>#N/A</v>
      </c>
    </row>
    <row r="332" spans="1:12" ht="86.4" hidden="1" x14ac:dyDescent="0.3">
      <c r="A332" s="5">
        <v>18809091</v>
      </c>
      <c r="B332" s="6" t="s">
        <v>1666</v>
      </c>
      <c r="C332" s="6" t="s">
        <v>1667</v>
      </c>
      <c r="D332" s="8" t="s">
        <v>66</v>
      </c>
      <c r="E332" s="6" t="s">
        <v>202</v>
      </c>
      <c r="F332" s="6" t="s">
        <v>85</v>
      </c>
      <c r="G332" s="11" t="s">
        <v>56</v>
      </c>
      <c r="H332" s="11"/>
      <c r="I332" s="10" t="s">
        <v>1668</v>
      </c>
      <c r="J332" s="6" t="s">
        <v>1669</v>
      </c>
      <c r="K332" s="12">
        <v>46121.768472222226</v>
      </c>
      <c r="L332" s="6" t="e" cm="1">
        <f t="array" ref="L332">LOOKUP(2^15,SEARCH(Tabela2[Palavras-Chave],Boletim4[[#This Row],[Objeto]],1),Tabela2[Palavras-Chave])</f>
        <v>#N/A</v>
      </c>
    </row>
    <row r="333" spans="1:12" ht="28.8" hidden="1" x14ac:dyDescent="0.3">
      <c r="A333" s="5">
        <v>18810983</v>
      </c>
      <c r="B333" s="6" t="s">
        <v>1670</v>
      </c>
      <c r="C333" s="6" t="s">
        <v>1671</v>
      </c>
      <c r="D333" s="8" t="s">
        <v>66</v>
      </c>
      <c r="E333" s="6" t="s">
        <v>441</v>
      </c>
      <c r="F333" s="6" t="s">
        <v>85</v>
      </c>
      <c r="G333" s="11">
        <v>46140.375</v>
      </c>
      <c r="H333" s="11"/>
      <c r="I333" s="10" t="s">
        <v>1672</v>
      </c>
      <c r="J333" s="6" t="s">
        <v>90</v>
      </c>
      <c r="K333" s="12">
        <v>46121.794502314813</v>
      </c>
      <c r="L333" s="6" t="e" cm="1">
        <f t="array" ref="L333">LOOKUP(2^15,SEARCH(Tabela2[Palavras-Chave],Boletim4[[#This Row],[Objeto]],1),Tabela2[Palavras-Chave])</f>
        <v>#N/A</v>
      </c>
    </row>
    <row r="334" spans="1:12" ht="115.2" hidden="1" x14ac:dyDescent="0.3">
      <c r="A334" s="5">
        <v>18810406</v>
      </c>
      <c r="B334" s="6" t="s">
        <v>445</v>
      </c>
      <c r="C334" s="6" t="s">
        <v>221</v>
      </c>
      <c r="D334" s="8" t="s">
        <v>66</v>
      </c>
      <c r="E334" s="6" t="s">
        <v>152</v>
      </c>
      <c r="F334" s="6" t="s">
        <v>85</v>
      </c>
      <c r="G334" s="11" t="s">
        <v>56</v>
      </c>
      <c r="H334" s="11"/>
      <c r="I334" s="10" t="s">
        <v>1673</v>
      </c>
      <c r="J334" s="6" t="s">
        <v>1674</v>
      </c>
      <c r="K334" s="12">
        <v>46121.78733796296</v>
      </c>
      <c r="L334" s="6" t="e" cm="1">
        <f t="array" ref="L334">LOOKUP(2^15,SEARCH(Tabela2[Palavras-Chave],Boletim4[[#This Row],[Objeto]],1),Tabela2[Palavras-Chave])</f>
        <v>#N/A</v>
      </c>
    </row>
    <row r="335" spans="1:12" ht="158.4" hidden="1" x14ac:dyDescent="0.3">
      <c r="A335" s="5">
        <v>18811084</v>
      </c>
      <c r="B335" s="6" t="s">
        <v>1675</v>
      </c>
      <c r="C335" s="6" t="s">
        <v>1676</v>
      </c>
      <c r="D335" s="8" t="s">
        <v>66</v>
      </c>
      <c r="E335" s="6" t="s">
        <v>148</v>
      </c>
      <c r="F335" s="6" t="s">
        <v>85</v>
      </c>
      <c r="G335" s="11" t="s">
        <v>56</v>
      </c>
      <c r="H335" s="11"/>
      <c r="I335" s="10" t="s">
        <v>1677</v>
      </c>
      <c r="J335" s="6" t="s">
        <v>1678</v>
      </c>
      <c r="K335" s="12">
        <v>46121.790219907409</v>
      </c>
      <c r="L335" s="6" t="e" cm="1">
        <f t="array" ref="L335">LOOKUP(2^15,SEARCH(Tabela2[Palavras-Chave],Boletim4[[#This Row],[Objeto]],1),Tabela2[Palavras-Chave])</f>
        <v>#N/A</v>
      </c>
    </row>
    <row r="336" spans="1:12" ht="259.2" hidden="1" x14ac:dyDescent="0.3">
      <c r="A336" s="5">
        <v>18810274</v>
      </c>
      <c r="B336" s="6" t="s">
        <v>1679</v>
      </c>
      <c r="C336" s="6" t="s">
        <v>1680</v>
      </c>
      <c r="D336" s="8" t="s">
        <v>66</v>
      </c>
      <c r="E336" s="6" t="s">
        <v>165</v>
      </c>
      <c r="F336" s="6" t="s">
        <v>85</v>
      </c>
      <c r="G336" s="11" t="s">
        <v>56</v>
      </c>
      <c r="H336" s="11"/>
      <c r="I336" s="10" t="s">
        <v>1681</v>
      </c>
      <c r="J336" s="6" t="s">
        <v>1682</v>
      </c>
      <c r="K336" s="12">
        <v>46121.791215277779</v>
      </c>
      <c r="L336" s="6" t="e" cm="1">
        <f t="array" ref="L336">LOOKUP(2^15,SEARCH(Tabela2[Palavras-Chave],Boletim4[[#This Row],[Objeto]],1),Tabela2[Palavras-Chave])</f>
        <v>#N/A</v>
      </c>
    </row>
    <row r="337" spans="1:12" ht="43.2" hidden="1" x14ac:dyDescent="0.3">
      <c r="A337" s="5">
        <v>18811015</v>
      </c>
      <c r="B337" s="6" t="s">
        <v>1683</v>
      </c>
      <c r="C337" s="6" t="s">
        <v>1684</v>
      </c>
      <c r="D337" s="8" t="s">
        <v>66</v>
      </c>
      <c r="E337" s="6" t="s">
        <v>450</v>
      </c>
      <c r="F337" s="6" t="s">
        <v>85</v>
      </c>
      <c r="G337" s="11">
        <v>46136.374305555553</v>
      </c>
      <c r="H337" s="11"/>
      <c r="I337" s="10" t="s">
        <v>1685</v>
      </c>
      <c r="J337" s="6" t="s">
        <v>1686</v>
      </c>
      <c r="K337" s="12">
        <v>46121.791261574072</v>
      </c>
      <c r="L337" s="6" t="e" cm="1">
        <f t="array" ref="L337">LOOKUP(2^15,SEARCH(Tabela2[Palavras-Chave],Boletim4[[#This Row],[Objeto]],1),Tabela2[Palavras-Chave])</f>
        <v>#N/A</v>
      </c>
    </row>
    <row r="338" spans="1:12" ht="72" hidden="1" x14ac:dyDescent="0.3">
      <c r="A338" s="5">
        <v>18811040</v>
      </c>
      <c r="B338" s="6" t="s">
        <v>1687</v>
      </c>
      <c r="C338" s="6" t="s">
        <v>1688</v>
      </c>
      <c r="D338" s="8" t="s">
        <v>66</v>
      </c>
      <c r="E338" s="6" t="s">
        <v>318</v>
      </c>
      <c r="F338" s="6" t="s">
        <v>85</v>
      </c>
      <c r="G338" s="11" t="s">
        <v>56</v>
      </c>
      <c r="H338" s="11"/>
      <c r="I338" s="10" t="s">
        <v>1689</v>
      </c>
      <c r="J338" s="6" t="s">
        <v>1690</v>
      </c>
      <c r="K338" s="12">
        <v>46121.795312499999</v>
      </c>
      <c r="L338" s="6" t="e" cm="1">
        <f t="array" ref="L338">LOOKUP(2^15,SEARCH(Tabela2[Palavras-Chave],Boletim4[[#This Row],[Objeto]],1),Tabela2[Palavras-Chave])</f>
        <v>#N/A</v>
      </c>
    </row>
    <row r="339" spans="1:12" ht="43.2" hidden="1" x14ac:dyDescent="0.3">
      <c r="A339" s="5">
        <v>18811250</v>
      </c>
      <c r="B339" s="6" t="s">
        <v>1691</v>
      </c>
      <c r="C339" s="6" t="s">
        <v>1692</v>
      </c>
      <c r="D339" s="8" t="s">
        <v>66</v>
      </c>
      <c r="E339" s="6" t="s">
        <v>429</v>
      </c>
      <c r="F339" s="6" t="s">
        <v>85</v>
      </c>
      <c r="G339" s="11">
        <v>46142.375</v>
      </c>
      <c r="H339" s="11"/>
      <c r="I339" s="10" t="s">
        <v>1693</v>
      </c>
      <c r="J339" s="6" t="s">
        <v>1694</v>
      </c>
      <c r="K339" s="12">
        <v>46121.820185185185</v>
      </c>
      <c r="L339" s="6" t="e" cm="1">
        <f t="array" ref="L339">LOOKUP(2^15,SEARCH(Tabela2[Palavras-Chave],Boletim4[[#This Row],[Objeto]],1),Tabela2[Palavras-Chave])</f>
        <v>#N/A</v>
      </c>
    </row>
    <row r="340" spans="1:12" ht="259.2" hidden="1" x14ac:dyDescent="0.3">
      <c r="A340" s="5">
        <v>18810276</v>
      </c>
      <c r="B340" s="6" t="s">
        <v>1679</v>
      </c>
      <c r="C340" s="6" t="s">
        <v>1680</v>
      </c>
      <c r="D340" s="8" t="s">
        <v>66</v>
      </c>
      <c r="E340" s="6" t="s">
        <v>155</v>
      </c>
      <c r="F340" s="6" t="s">
        <v>85</v>
      </c>
      <c r="G340" s="11" t="s">
        <v>56</v>
      </c>
      <c r="H340" s="11"/>
      <c r="I340" s="10" t="s">
        <v>1695</v>
      </c>
      <c r="J340" s="6" t="s">
        <v>1696</v>
      </c>
      <c r="K340" s="12">
        <v>46121.839918981481</v>
      </c>
      <c r="L340" s="6" t="e" cm="1">
        <f t="array" ref="L340">LOOKUP(2^15,SEARCH(Tabela2[Palavras-Chave],Boletim4[[#This Row],[Objeto]],1),Tabela2[Palavras-Chave])</f>
        <v>#N/A</v>
      </c>
    </row>
    <row r="341" spans="1:12" ht="115.2" hidden="1" x14ac:dyDescent="0.3">
      <c r="A341" s="5">
        <v>18807483</v>
      </c>
      <c r="B341" s="6" t="s">
        <v>1697</v>
      </c>
      <c r="C341" s="6" t="s">
        <v>1698</v>
      </c>
      <c r="D341" s="8" t="s">
        <v>66</v>
      </c>
      <c r="E341" s="6" t="s">
        <v>121</v>
      </c>
      <c r="F341" s="6" t="s">
        <v>85</v>
      </c>
      <c r="G341" s="11">
        <v>46139.333333333336</v>
      </c>
      <c r="H341" s="11"/>
      <c r="I341" s="10" t="s">
        <v>1699</v>
      </c>
      <c r="J341" s="6" t="s">
        <v>1700</v>
      </c>
      <c r="K341" s="12">
        <v>46121.844050925924</v>
      </c>
      <c r="L341" s="6" t="e" cm="1">
        <f t="array" ref="L341">LOOKUP(2^15,SEARCH(Tabela2[Palavras-Chave],Boletim4[[#This Row],[Objeto]],1),Tabela2[Palavras-Chave])</f>
        <v>#N/A</v>
      </c>
    </row>
    <row r="342" spans="1:12" ht="86.4" hidden="1" x14ac:dyDescent="0.3">
      <c r="A342" s="5">
        <v>18811219</v>
      </c>
      <c r="B342" s="6" t="s">
        <v>576</v>
      </c>
      <c r="C342" s="6" t="s">
        <v>577</v>
      </c>
      <c r="D342" s="8" t="s">
        <v>66</v>
      </c>
      <c r="E342" s="6" t="s">
        <v>240</v>
      </c>
      <c r="F342" s="6" t="s">
        <v>85</v>
      </c>
      <c r="G342" s="11" t="s">
        <v>56</v>
      </c>
      <c r="H342" s="11"/>
      <c r="I342" s="10" t="s">
        <v>1701</v>
      </c>
      <c r="J342" s="6" t="s">
        <v>1702</v>
      </c>
      <c r="K342" s="12">
        <v>46121.846851851849</v>
      </c>
      <c r="L342" s="6" t="e" cm="1">
        <f t="array" ref="L342">LOOKUP(2^15,SEARCH(Tabela2[Palavras-Chave],Boletim4[[#This Row],[Objeto]],1),Tabela2[Palavras-Chave])</f>
        <v>#N/A</v>
      </c>
    </row>
    <row r="343" spans="1:12" ht="100.8" hidden="1" x14ac:dyDescent="0.3">
      <c r="A343" s="5">
        <v>18809546</v>
      </c>
      <c r="B343" s="6" t="s">
        <v>443</v>
      </c>
      <c r="C343" s="6" t="s">
        <v>444</v>
      </c>
      <c r="D343" s="8" t="s">
        <v>66</v>
      </c>
      <c r="E343" s="6" t="s">
        <v>166</v>
      </c>
      <c r="F343" s="6" t="s">
        <v>85</v>
      </c>
      <c r="G343" s="11">
        <v>46135.415972222225</v>
      </c>
      <c r="H343" s="11"/>
      <c r="I343" s="10" t="s">
        <v>1703</v>
      </c>
      <c r="J343" s="6" t="s">
        <v>1704</v>
      </c>
      <c r="K343" s="12">
        <v>46121.848715277774</v>
      </c>
      <c r="L343" s="6" t="e" cm="1">
        <f t="array" ref="L343">LOOKUP(2^15,SEARCH(Tabela2[Palavras-Chave],Boletim4[[#This Row],[Objeto]],1),Tabela2[Palavras-Chave])</f>
        <v>#N/A</v>
      </c>
    </row>
    <row r="344" spans="1:12" ht="115.2" hidden="1" x14ac:dyDescent="0.3">
      <c r="A344" s="5">
        <v>18811245</v>
      </c>
      <c r="B344" s="6" t="s">
        <v>1705</v>
      </c>
      <c r="C344" s="6" t="s">
        <v>311</v>
      </c>
      <c r="D344" s="8" t="s">
        <v>66</v>
      </c>
      <c r="E344" s="6" t="s">
        <v>107</v>
      </c>
      <c r="F344" s="6" t="s">
        <v>85</v>
      </c>
      <c r="G344" s="11">
        <v>46134.541666666664</v>
      </c>
      <c r="H344" s="11"/>
      <c r="I344" s="10" t="s">
        <v>1706</v>
      </c>
      <c r="J344" s="6" t="s">
        <v>1707</v>
      </c>
      <c r="K344" s="12">
        <v>46121.850983796299</v>
      </c>
      <c r="L344" s="6" t="e" cm="1">
        <f t="array" ref="L344">LOOKUP(2^15,SEARCH(Tabela2[Palavras-Chave],Boletim4[[#This Row],[Objeto]],1),Tabela2[Palavras-Chave])</f>
        <v>#N/A</v>
      </c>
    </row>
    <row r="345" spans="1:12" ht="100.8" hidden="1" x14ac:dyDescent="0.3">
      <c r="A345" s="5">
        <v>18807443</v>
      </c>
      <c r="B345" s="6" t="s">
        <v>74</v>
      </c>
      <c r="C345" s="6" t="s">
        <v>123</v>
      </c>
      <c r="D345" s="8" t="s">
        <v>67</v>
      </c>
      <c r="E345" s="6" t="s">
        <v>1319</v>
      </c>
      <c r="F345" s="6" t="s">
        <v>85</v>
      </c>
      <c r="G345" s="11" t="s">
        <v>56</v>
      </c>
      <c r="H345" s="11"/>
      <c r="I345" s="10" t="s">
        <v>1320</v>
      </c>
      <c r="J345" s="6" t="s">
        <v>1321</v>
      </c>
      <c r="K345" s="12">
        <v>46121.447291666664</v>
      </c>
      <c r="L345" s="6" t="e" cm="1">
        <f t="array" ref="L345">LOOKUP(2^15,SEARCH(Tabela2[Palavras-Chave],Boletim4[[#This Row],[Objeto]],1),Tabela2[Palavras-Chave])</f>
        <v>#N/A</v>
      </c>
    </row>
    <row r="346" spans="1:12" ht="72" hidden="1" x14ac:dyDescent="0.3">
      <c r="A346" s="5">
        <v>18810040</v>
      </c>
      <c r="B346" s="6" t="s">
        <v>1708</v>
      </c>
      <c r="C346" s="6" t="s">
        <v>1709</v>
      </c>
      <c r="D346" s="8" t="s">
        <v>67</v>
      </c>
      <c r="E346" s="6" t="s">
        <v>124</v>
      </c>
      <c r="F346" s="6" t="s">
        <v>85</v>
      </c>
      <c r="G346" s="11">
        <v>46141.375</v>
      </c>
      <c r="H346" s="11"/>
      <c r="I346" s="10" t="s">
        <v>1710</v>
      </c>
      <c r="J346" s="6" t="s">
        <v>90</v>
      </c>
      <c r="K346" s="12">
        <v>46121.704479166663</v>
      </c>
      <c r="L346" s="6" t="e" cm="1">
        <f t="array" ref="L346">LOOKUP(2^15,SEARCH(Tabela2[Palavras-Chave],Boletim4[[#This Row],[Objeto]],1),Tabela2[Palavras-Chave])</f>
        <v>#N/A</v>
      </c>
    </row>
    <row r="347" spans="1:12" ht="100.8" hidden="1" x14ac:dyDescent="0.3">
      <c r="A347" s="5">
        <v>18809923</v>
      </c>
      <c r="B347" s="6" t="s">
        <v>1708</v>
      </c>
      <c r="C347" s="6" t="s">
        <v>1709</v>
      </c>
      <c r="D347" s="8" t="s">
        <v>67</v>
      </c>
      <c r="E347" s="6" t="s">
        <v>113</v>
      </c>
      <c r="F347" s="6" t="s">
        <v>85</v>
      </c>
      <c r="G347" s="11">
        <v>46140.375</v>
      </c>
      <c r="H347" s="11"/>
      <c r="I347" s="10" t="s">
        <v>1711</v>
      </c>
      <c r="J347" s="6" t="s">
        <v>90</v>
      </c>
      <c r="K347" s="12">
        <v>46121.717650462961</v>
      </c>
      <c r="L347" s="6" t="e" cm="1">
        <f t="array" ref="L347">LOOKUP(2^15,SEARCH(Tabela2[Palavras-Chave],Boletim4[[#This Row],[Objeto]],1),Tabela2[Palavras-Chave])</f>
        <v>#N/A</v>
      </c>
    </row>
    <row r="348" spans="1:12" ht="115.2" hidden="1" x14ac:dyDescent="0.3">
      <c r="A348" s="5">
        <v>18810422</v>
      </c>
      <c r="B348" s="6" t="s">
        <v>1712</v>
      </c>
      <c r="C348" s="6" t="s">
        <v>123</v>
      </c>
      <c r="D348" s="8" t="s">
        <v>67</v>
      </c>
      <c r="E348" s="6" t="s">
        <v>112</v>
      </c>
      <c r="F348" s="6" t="s">
        <v>85</v>
      </c>
      <c r="G348" s="11" t="s">
        <v>56</v>
      </c>
      <c r="H348" s="11"/>
      <c r="I348" s="10" t="s">
        <v>1713</v>
      </c>
      <c r="J348" s="6" t="s">
        <v>1714</v>
      </c>
      <c r="K348" s="12">
        <v>46121.853784722225</v>
      </c>
      <c r="L348" s="6" t="e" cm="1">
        <f t="array" ref="L348">LOOKUP(2^15,SEARCH(Tabela2[Palavras-Chave],Boletim4[[#This Row],[Objeto]],1),Tabela2[Palavras-Chave])</f>
        <v>#N/A</v>
      </c>
    </row>
    <row r="349" spans="1:12" ht="100.8" hidden="1" x14ac:dyDescent="0.3">
      <c r="A349" s="5">
        <v>18807445</v>
      </c>
      <c r="B349" s="6" t="s">
        <v>74</v>
      </c>
      <c r="C349" s="6" t="s">
        <v>111</v>
      </c>
      <c r="D349" s="8" t="s">
        <v>91</v>
      </c>
      <c r="E349" s="6" t="s">
        <v>1319</v>
      </c>
      <c r="F349" s="6" t="s">
        <v>85</v>
      </c>
      <c r="G349" s="11" t="s">
        <v>56</v>
      </c>
      <c r="H349" s="11"/>
      <c r="I349" s="10" t="s">
        <v>1320</v>
      </c>
      <c r="J349" s="6" t="s">
        <v>1321</v>
      </c>
      <c r="K349" s="12">
        <v>46121.447291666664</v>
      </c>
      <c r="L349" s="6" t="e" cm="1">
        <f t="array" ref="L349">LOOKUP(2^15,SEARCH(Tabela2[Palavras-Chave],Boletim4[[#This Row],[Objeto]],1),Tabela2[Palavras-Chave])</f>
        <v>#N/A</v>
      </c>
    </row>
    <row r="350" spans="1:12" ht="259.2" hidden="1" x14ac:dyDescent="0.3">
      <c r="A350" s="5">
        <v>18808479</v>
      </c>
      <c r="B350" s="6" t="s">
        <v>1715</v>
      </c>
      <c r="C350" s="6" t="s">
        <v>1716</v>
      </c>
      <c r="D350" s="8" t="s">
        <v>91</v>
      </c>
      <c r="E350" s="6" t="s">
        <v>124</v>
      </c>
      <c r="F350" s="6" t="s">
        <v>85</v>
      </c>
      <c r="G350" s="11" t="s">
        <v>56</v>
      </c>
      <c r="H350" s="11"/>
      <c r="I350" s="10" t="s">
        <v>1717</v>
      </c>
      <c r="J350" s="6" t="s">
        <v>1718</v>
      </c>
      <c r="K350" s="12">
        <v>46121.534050925926</v>
      </c>
      <c r="L350" s="6" t="e" cm="1">
        <f t="array" ref="L350">LOOKUP(2^15,SEARCH(Tabela2[Palavras-Chave],Boletim4[[#This Row],[Objeto]],1),Tabela2[Palavras-Chave])</f>
        <v>#N/A</v>
      </c>
    </row>
    <row r="351" spans="1:12" ht="259.2" hidden="1" x14ac:dyDescent="0.3">
      <c r="A351" s="5">
        <v>18809187</v>
      </c>
      <c r="B351" s="6" t="s">
        <v>1719</v>
      </c>
      <c r="C351" s="6" t="s">
        <v>1720</v>
      </c>
      <c r="D351" s="8" t="s">
        <v>91</v>
      </c>
      <c r="E351" s="6" t="s">
        <v>122</v>
      </c>
      <c r="F351" s="6" t="s">
        <v>85</v>
      </c>
      <c r="G351" s="11" t="s">
        <v>56</v>
      </c>
      <c r="H351" s="11"/>
      <c r="I351" s="10" t="s">
        <v>1721</v>
      </c>
      <c r="J351" s="6" t="s">
        <v>1722</v>
      </c>
      <c r="K351" s="12">
        <v>46121.612222222226</v>
      </c>
      <c r="L351" s="6" t="e" cm="1">
        <f t="array" ref="L351">LOOKUP(2^15,SEARCH(Tabela2[Palavras-Chave],Boletim4[[#This Row],[Objeto]],1),Tabela2[Palavras-Chave])</f>
        <v>#N/A</v>
      </c>
    </row>
    <row r="352" spans="1:12" ht="100.8" hidden="1" x14ac:dyDescent="0.3">
      <c r="A352" s="5">
        <v>18810083</v>
      </c>
      <c r="B352" s="6" t="s">
        <v>1723</v>
      </c>
      <c r="C352" s="6" t="s">
        <v>1065</v>
      </c>
      <c r="D352" s="8" t="s">
        <v>91</v>
      </c>
      <c r="E352" s="6" t="s">
        <v>142</v>
      </c>
      <c r="F352" s="6" t="s">
        <v>85</v>
      </c>
      <c r="G352" s="11">
        <v>46139.375</v>
      </c>
      <c r="H352" s="11"/>
      <c r="I352" s="10" t="s">
        <v>1724</v>
      </c>
      <c r="J352" s="6" t="s">
        <v>1725</v>
      </c>
      <c r="K352" s="12">
        <v>46121.704965277779</v>
      </c>
      <c r="L352" s="6" t="e" cm="1">
        <f t="array" ref="L352">LOOKUP(2^15,SEARCH(Tabela2[Palavras-Chave],Boletim4[[#This Row],[Objeto]],1),Tabela2[Palavras-Chave])</f>
        <v>#N/A</v>
      </c>
    </row>
    <row r="353" spans="1:12" ht="259.2" hidden="1" x14ac:dyDescent="0.3">
      <c r="A353" s="5">
        <v>18810291</v>
      </c>
      <c r="B353" s="6" t="s">
        <v>1726</v>
      </c>
      <c r="C353" s="6" t="s">
        <v>1727</v>
      </c>
      <c r="D353" s="8" t="s">
        <v>91</v>
      </c>
      <c r="E353" s="6" t="s">
        <v>135</v>
      </c>
      <c r="F353" s="6" t="s">
        <v>85</v>
      </c>
      <c r="G353" s="11" t="s">
        <v>56</v>
      </c>
      <c r="H353" s="11"/>
      <c r="I353" s="10" t="s">
        <v>1728</v>
      </c>
      <c r="J353" s="6" t="s">
        <v>1729</v>
      </c>
      <c r="K353" s="12">
        <v>46121.72552083333</v>
      </c>
      <c r="L353" s="6" t="e" cm="1">
        <f t="array" ref="L353">LOOKUP(2^15,SEARCH(Tabela2[Palavras-Chave],Boletim4[[#This Row],[Objeto]],1),Tabela2[Palavras-Chave])</f>
        <v>#N/A</v>
      </c>
    </row>
    <row r="354" spans="1:12" ht="115.2" hidden="1" x14ac:dyDescent="0.3">
      <c r="A354" s="5">
        <v>18809959</v>
      </c>
      <c r="B354" s="6" t="s">
        <v>1730</v>
      </c>
      <c r="C354" s="6" t="s">
        <v>345</v>
      </c>
      <c r="D354" s="8" t="s">
        <v>91</v>
      </c>
      <c r="E354" s="6" t="s">
        <v>1731</v>
      </c>
      <c r="F354" s="6" t="s">
        <v>85</v>
      </c>
      <c r="G354" s="11" t="s">
        <v>56</v>
      </c>
      <c r="H354" s="11"/>
      <c r="I354" s="10" t="s">
        <v>1732</v>
      </c>
      <c r="J354" s="6" t="s">
        <v>1733</v>
      </c>
      <c r="K354" s="12">
        <v>46121.735717592594</v>
      </c>
      <c r="L354" s="6" t="e" cm="1">
        <f t="array" ref="L354">LOOKUP(2^15,SEARCH(Tabela2[Palavras-Chave],Boletim4[[#This Row],[Objeto]],1),Tabela2[Palavras-Chave])</f>
        <v>#N/A</v>
      </c>
    </row>
    <row r="355" spans="1:12" ht="259.2" hidden="1" x14ac:dyDescent="0.3">
      <c r="A355" s="5">
        <v>18807063</v>
      </c>
      <c r="B355" s="6" t="s">
        <v>452</v>
      </c>
      <c r="C355" s="6" t="s">
        <v>453</v>
      </c>
      <c r="D355" s="8" t="s">
        <v>91</v>
      </c>
      <c r="E355" s="6" t="s">
        <v>106</v>
      </c>
      <c r="F355" s="6" t="s">
        <v>85</v>
      </c>
      <c r="G355" s="11" t="s">
        <v>56</v>
      </c>
      <c r="H355" s="11"/>
      <c r="I355" s="10" t="s">
        <v>1734</v>
      </c>
      <c r="J355" s="6" t="s">
        <v>1735</v>
      </c>
      <c r="K355" s="12">
        <v>46121.76358796296</v>
      </c>
      <c r="L355" s="6" t="e" cm="1">
        <f t="array" ref="L355">LOOKUP(2^15,SEARCH(Tabela2[Palavras-Chave],Boletim4[[#This Row],[Objeto]],1),Tabela2[Palavras-Chave])</f>
        <v>#N/A</v>
      </c>
    </row>
    <row r="356" spans="1:12" ht="115.2" hidden="1" x14ac:dyDescent="0.3">
      <c r="A356" s="5">
        <v>18802016</v>
      </c>
      <c r="B356" s="6" t="s">
        <v>459</v>
      </c>
      <c r="C356" s="6" t="s">
        <v>458</v>
      </c>
      <c r="D356" s="8" t="s">
        <v>68</v>
      </c>
      <c r="E356" s="6" t="s">
        <v>117</v>
      </c>
      <c r="F356" s="6" t="s">
        <v>85</v>
      </c>
      <c r="G356" s="11">
        <v>46134.374305555553</v>
      </c>
      <c r="H356" s="11"/>
      <c r="I356" s="10" t="s">
        <v>460</v>
      </c>
      <c r="J356" s="6" t="s">
        <v>461</v>
      </c>
      <c r="K356" s="12">
        <v>46121.3987037037</v>
      </c>
      <c r="L356" s="6" t="e" cm="1">
        <f t="array" ref="L356">LOOKUP(2^15,SEARCH(Tabela2[Palavras-Chave],Boletim4[[#This Row],[Objeto]],1),Tabela2[Palavras-Chave])</f>
        <v>#N/A</v>
      </c>
    </row>
    <row r="357" spans="1:12" ht="100.8" hidden="1" x14ac:dyDescent="0.3">
      <c r="A357" s="5">
        <v>18807446</v>
      </c>
      <c r="B357" s="6" t="s">
        <v>74</v>
      </c>
      <c r="C357" s="6" t="s">
        <v>130</v>
      </c>
      <c r="D357" s="8" t="s">
        <v>68</v>
      </c>
      <c r="E357" s="6" t="s">
        <v>1319</v>
      </c>
      <c r="F357" s="6" t="s">
        <v>85</v>
      </c>
      <c r="G357" s="11" t="s">
        <v>56</v>
      </c>
      <c r="H357" s="11"/>
      <c r="I357" s="10" t="s">
        <v>1320</v>
      </c>
      <c r="J357" s="6" t="s">
        <v>1321</v>
      </c>
      <c r="K357" s="12">
        <v>46121.447291666664</v>
      </c>
      <c r="L357" s="6" t="e" cm="1">
        <f t="array" ref="L357">LOOKUP(2^15,SEARCH(Tabela2[Palavras-Chave],Boletim4[[#This Row],[Objeto]],1),Tabela2[Palavras-Chave])</f>
        <v>#N/A</v>
      </c>
    </row>
    <row r="358" spans="1:12" ht="57.6" hidden="1" x14ac:dyDescent="0.3">
      <c r="A358" s="5">
        <v>18806394</v>
      </c>
      <c r="B358" s="6" t="s">
        <v>663</v>
      </c>
      <c r="C358" s="6" t="s">
        <v>664</v>
      </c>
      <c r="D358" s="8" t="s">
        <v>68</v>
      </c>
      <c r="E358" s="6" t="s">
        <v>135</v>
      </c>
      <c r="F358" s="6" t="s">
        <v>85</v>
      </c>
      <c r="G358" s="11">
        <v>46132.416666666664</v>
      </c>
      <c r="H358" s="11"/>
      <c r="I358" s="10" t="s">
        <v>665</v>
      </c>
      <c r="J358" s="6" t="s">
        <v>666</v>
      </c>
      <c r="K358" s="12">
        <v>46121.45076388889</v>
      </c>
      <c r="L358" s="6" t="e" cm="1">
        <f t="array" ref="L358">LOOKUP(2^15,SEARCH(Tabela2[Palavras-Chave],Boletim4[[#This Row],[Objeto]],1),Tabela2[Palavras-Chave])</f>
        <v>#N/A</v>
      </c>
    </row>
    <row r="359" spans="1:12" ht="144" x14ac:dyDescent="0.3">
      <c r="A359" s="13">
        <v>18808523</v>
      </c>
      <c r="B359" s="10" t="s">
        <v>1736</v>
      </c>
      <c r="C359" s="10" t="s">
        <v>130</v>
      </c>
      <c r="D359" s="15" t="s">
        <v>68</v>
      </c>
      <c r="E359" s="10" t="s">
        <v>183</v>
      </c>
      <c r="F359" s="10" t="s">
        <v>85</v>
      </c>
      <c r="G359" s="16" t="s">
        <v>56</v>
      </c>
      <c r="H359" s="16"/>
      <c r="I359" s="10" t="s">
        <v>1737</v>
      </c>
      <c r="J359" s="10" t="s">
        <v>1738</v>
      </c>
      <c r="K359" s="17">
        <v>46121.753125000003</v>
      </c>
      <c r="L359" s="6" t="str" cm="1">
        <f t="array" ref="L359">LOOKUP(2^15,SEARCH(Tabela2[Palavras-Chave],Boletim4[[#This Row],[Objeto]],1),Tabela2[Palavras-Chave])</f>
        <v>TANQUE</v>
      </c>
    </row>
    <row r="360" spans="1:12" ht="57.6" hidden="1" x14ac:dyDescent="0.3">
      <c r="A360" s="5">
        <v>18810223</v>
      </c>
      <c r="B360" s="6" t="s">
        <v>1739</v>
      </c>
      <c r="C360" s="6" t="s">
        <v>1740</v>
      </c>
      <c r="D360" s="8" t="s">
        <v>68</v>
      </c>
      <c r="E360" s="6" t="s">
        <v>1741</v>
      </c>
      <c r="F360" s="6" t="s">
        <v>85</v>
      </c>
      <c r="G360" s="11">
        <v>46132.375</v>
      </c>
      <c r="H360" s="11"/>
      <c r="I360" s="10" t="s">
        <v>1742</v>
      </c>
      <c r="J360" s="6" t="s">
        <v>1743</v>
      </c>
      <c r="K360" s="12">
        <v>46121.757361111115</v>
      </c>
      <c r="L360" s="6" t="e" cm="1">
        <f t="array" ref="L360">LOOKUP(2^15,SEARCH(Tabela2[Palavras-Chave],Boletim4[[#This Row],[Objeto]],1),Tabela2[Palavras-Chave])</f>
        <v>#N/A</v>
      </c>
    </row>
    <row r="361" spans="1:12" ht="100.8" hidden="1" x14ac:dyDescent="0.3">
      <c r="A361" s="5">
        <v>18810506</v>
      </c>
      <c r="B361" s="6" t="s">
        <v>462</v>
      </c>
      <c r="C361" s="6" t="s">
        <v>463</v>
      </c>
      <c r="D361" s="8" t="s">
        <v>68</v>
      </c>
      <c r="E361" s="6" t="s">
        <v>390</v>
      </c>
      <c r="F361" s="6" t="s">
        <v>85</v>
      </c>
      <c r="G361" s="11">
        <v>46134.333333333336</v>
      </c>
      <c r="H361" s="11"/>
      <c r="I361" s="10" t="s">
        <v>1744</v>
      </c>
      <c r="J361" s="6" t="s">
        <v>1745</v>
      </c>
      <c r="K361" s="12">
        <v>46121.765393518515</v>
      </c>
      <c r="L361" s="6" t="e" cm="1">
        <f t="array" ref="L361">LOOKUP(2^15,SEARCH(Tabela2[Palavras-Chave],Boletim4[[#This Row],[Objeto]],1),Tabela2[Palavras-Chave])</f>
        <v>#N/A</v>
      </c>
    </row>
    <row r="362" spans="1:12" ht="100.8" hidden="1" x14ac:dyDescent="0.3">
      <c r="A362" s="5">
        <v>18807418</v>
      </c>
      <c r="B362" s="6" t="s">
        <v>1746</v>
      </c>
      <c r="C362" s="6" t="s">
        <v>1747</v>
      </c>
      <c r="D362" s="8" t="s">
        <v>92</v>
      </c>
      <c r="E362" s="6" t="s">
        <v>149</v>
      </c>
      <c r="F362" s="6" t="s">
        <v>85</v>
      </c>
      <c r="G362" s="11">
        <v>46135.583333333336</v>
      </c>
      <c r="H362" s="11"/>
      <c r="I362" s="10" t="s">
        <v>1748</v>
      </c>
      <c r="J362" s="6" t="s">
        <v>1749</v>
      </c>
      <c r="K362" s="12">
        <v>46121.444490740738</v>
      </c>
      <c r="L362" s="6" t="e" cm="1">
        <f t="array" ref="L362">LOOKUP(2^15,SEARCH(Tabela2[Palavras-Chave],Boletim4[[#This Row],[Objeto]],1),Tabela2[Palavras-Chave])</f>
        <v>#N/A</v>
      </c>
    </row>
    <row r="363" spans="1:12" ht="100.8" hidden="1" x14ac:dyDescent="0.3">
      <c r="A363" s="5">
        <v>18807448</v>
      </c>
      <c r="B363" s="6" t="s">
        <v>74</v>
      </c>
      <c r="C363" s="6" t="s">
        <v>100</v>
      </c>
      <c r="D363" s="8" t="s">
        <v>92</v>
      </c>
      <c r="E363" s="6" t="s">
        <v>1319</v>
      </c>
      <c r="F363" s="6" t="s">
        <v>85</v>
      </c>
      <c r="G363" s="11" t="s">
        <v>56</v>
      </c>
      <c r="H363" s="11"/>
      <c r="I363" s="10" t="s">
        <v>1320</v>
      </c>
      <c r="J363" s="6" t="s">
        <v>1321</v>
      </c>
      <c r="K363" s="12">
        <v>46121.44730324074</v>
      </c>
      <c r="L363" s="6" t="e" cm="1">
        <f t="array" ref="L363">LOOKUP(2^15,SEARCH(Tabela2[Palavras-Chave],Boletim4[[#This Row],[Objeto]],1),Tabela2[Palavras-Chave])</f>
        <v>#N/A</v>
      </c>
    </row>
    <row r="364" spans="1:12" ht="100.8" hidden="1" x14ac:dyDescent="0.3">
      <c r="A364" s="5">
        <v>18807389</v>
      </c>
      <c r="B364" s="6" t="s">
        <v>1750</v>
      </c>
      <c r="C364" s="6" t="s">
        <v>1751</v>
      </c>
      <c r="D364" s="8" t="s">
        <v>92</v>
      </c>
      <c r="E364" s="6" t="s">
        <v>127</v>
      </c>
      <c r="F364" s="6" t="s">
        <v>85</v>
      </c>
      <c r="G364" s="11">
        <v>46141.332638888889</v>
      </c>
      <c r="H364" s="11"/>
      <c r="I364" s="10" t="s">
        <v>1752</v>
      </c>
      <c r="J364" s="6" t="s">
        <v>1753</v>
      </c>
      <c r="K364" s="12">
        <v>46121.444664351853</v>
      </c>
      <c r="L364" s="6" t="e" cm="1">
        <f t="array" ref="L364">LOOKUP(2^15,SEARCH(Tabela2[Palavras-Chave],Boletim4[[#This Row],[Objeto]],1),Tabela2[Palavras-Chave])</f>
        <v>#N/A</v>
      </c>
    </row>
    <row r="365" spans="1:12" ht="86.4" hidden="1" x14ac:dyDescent="0.3">
      <c r="A365" s="5">
        <v>18804276</v>
      </c>
      <c r="B365" s="6" t="s">
        <v>667</v>
      </c>
      <c r="C365" s="6" t="s">
        <v>668</v>
      </c>
      <c r="D365" s="8" t="s">
        <v>92</v>
      </c>
      <c r="E365" s="6" t="s">
        <v>120</v>
      </c>
      <c r="F365" s="6" t="s">
        <v>85</v>
      </c>
      <c r="G365" s="11" t="s">
        <v>56</v>
      </c>
      <c r="H365" s="11"/>
      <c r="I365" s="10" t="s">
        <v>669</v>
      </c>
      <c r="J365" s="6" t="s">
        <v>670</v>
      </c>
      <c r="K365" s="12">
        <v>46121.450775462959</v>
      </c>
      <c r="L365" s="6" t="e" cm="1">
        <f t="array" ref="L365">LOOKUP(2^15,SEARCH(Tabela2[Palavras-Chave],Boletim4[[#This Row],[Objeto]],1),Tabela2[Palavras-Chave])</f>
        <v>#N/A</v>
      </c>
    </row>
    <row r="366" spans="1:12" ht="86.4" hidden="1" x14ac:dyDescent="0.3">
      <c r="A366" s="5">
        <v>18806911</v>
      </c>
      <c r="B366" s="6" t="s">
        <v>1754</v>
      </c>
      <c r="C366" s="6" t="s">
        <v>1755</v>
      </c>
      <c r="D366" s="8" t="s">
        <v>92</v>
      </c>
      <c r="E366" s="6" t="s">
        <v>142</v>
      </c>
      <c r="F366" s="6" t="s">
        <v>85</v>
      </c>
      <c r="G366" s="11" t="s">
        <v>56</v>
      </c>
      <c r="H366" s="11"/>
      <c r="I366" s="10" t="s">
        <v>1756</v>
      </c>
      <c r="J366" s="6" t="s">
        <v>1757</v>
      </c>
      <c r="K366" s="12">
        <v>46121.48065972222</v>
      </c>
      <c r="L366" s="6" t="e" cm="1">
        <f t="array" ref="L366">LOOKUP(2^15,SEARCH(Tabela2[Palavras-Chave],Boletim4[[#This Row],[Objeto]],1),Tabela2[Palavras-Chave])</f>
        <v>#N/A</v>
      </c>
    </row>
    <row r="367" spans="1:12" ht="100.8" hidden="1" x14ac:dyDescent="0.3">
      <c r="A367" s="5">
        <v>18807509</v>
      </c>
      <c r="B367" s="6" t="s">
        <v>1758</v>
      </c>
      <c r="C367" s="6" t="s">
        <v>1759</v>
      </c>
      <c r="D367" s="8" t="s">
        <v>92</v>
      </c>
      <c r="E367" s="6" t="s">
        <v>126</v>
      </c>
      <c r="F367" s="6" t="s">
        <v>85</v>
      </c>
      <c r="G367" s="11">
        <v>46134.4375</v>
      </c>
      <c r="H367" s="11"/>
      <c r="I367" s="10" t="s">
        <v>1760</v>
      </c>
      <c r="J367" s="6" t="s">
        <v>1761</v>
      </c>
      <c r="K367" s="12">
        <v>46121.486932870372</v>
      </c>
      <c r="L367" s="6" t="e" cm="1">
        <f t="array" ref="L367">LOOKUP(2^15,SEARCH(Tabela2[Palavras-Chave],Boletim4[[#This Row],[Objeto]],1),Tabela2[Palavras-Chave])</f>
        <v>#N/A</v>
      </c>
    </row>
    <row r="368" spans="1:12" ht="100.8" hidden="1" x14ac:dyDescent="0.3">
      <c r="A368" s="5">
        <v>18809535</v>
      </c>
      <c r="B368" s="6" t="s">
        <v>1762</v>
      </c>
      <c r="C368" s="6" t="s">
        <v>1763</v>
      </c>
      <c r="D368" s="8" t="s">
        <v>92</v>
      </c>
      <c r="E368" s="6" t="s">
        <v>707</v>
      </c>
      <c r="F368" s="6" t="s">
        <v>85</v>
      </c>
      <c r="G368" s="11">
        <v>46139.375</v>
      </c>
      <c r="H368" s="11"/>
      <c r="I368" s="10" t="s">
        <v>1764</v>
      </c>
      <c r="J368" s="6" t="s">
        <v>1765</v>
      </c>
      <c r="K368" s="12">
        <v>46121.607789351852</v>
      </c>
      <c r="L368" s="6" t="e" cm="1">
        <f t="array" ref="L368">LOOKUP(2^15,SEARCH(Tabela2[Palavras-Chave],Boletim4[[#This Row],[Objeto]],1),Tabela2[Palavras-Chave])</f>
        <v>#N/A</v>
      </c>
    </row>
    <row r="369" spans="1:12" ht="129.6" hidden="1" x14ac:dyDescent="0.3">
      <c r="A369" s="5">
        <v>18808833</v>
      </c>
      <c r="B369" s="6" t="s">
        <v>1766</v>
      </c>
      <c r="C369" s="6" t="s">
        <v>1767</v>
      </c>
      <c r="D369" s="8" t="s">
        <v>92</v>
      </c>
      <c r="E369" s="6" t="s">
        <v>140</v>
      </c>
      <c r="F369" s="6" t="s">
        <v>85</v>
      </c>
      <c r="G369" s="11" t="s">
        <v>56</v>
      </c>
      <c r="H369" s="11"/>
      <c r="I369" s="10" t="s">
        <v>1768</v>
      </c>
      <c r="J369" s="6" t="s">
        <v>1769</v>
      </c>
      <c r="K369" s="12">
        <v>46121.640219907407</v>
      </c>
      <c r="L369" s="6" t="e" cm="1">
        <f t="array" ref="L369">LOOKUP(2^15,SEARCH(Tabela2[Palavras-Chave],Boletim4[[#This Row],[Objeto]],1),Tabela2[Palavras-Chave])</f>
        <v>#N/A</v>
      </c>
    </row>
    <row r="370" spans="1:12" ht="100.8" hidden="1" x14ac:dyDescent="0.3">
      <c r="A370" s="5">
        <v>18810087</v>
      </c>
      <c r="B370" s="6" t="s">
        <v>1770</v>
      </c>
      <c r="C370" s="6" t="s">
        <v>1771</v>
      </c>
      <c r="D370" s="8" t="s">
        <v>92</v>
      </c>
      <c r="E370" s="6" t="s">
        <v>142</v>
      </c>
      <c r="F370" s="6" t="s">
        <v>85</v>
      </c>
      <c r="G370" s="11">
        <v>46135.374305555553</v>
      </c>
      <c r="H370" s="11"/>
      <c r="I370" s="10" t="s">
        <v>1772</v>
      </c>
      <c r="J370" s="6" t="s">
        <v>1773</v>
      </c>
      <c r="K370" s="12">
        <v>46121.707245370373</v>
      </c>
      <c r="L370" s="6" t="e" cm="1">
        <f t="array" ref="L370">LOOKUP(2^15,SEARCH(Tabela2[Palavras-Chave],Boletim4[[#This Row],[Objeto]],1),Tabela2[Palavras-Chave])</f>
        <v>#N/A</v>
      </c>
    </row>
    <row r="371" spans="1:12" ht="115.2" x14ac:dyDescent="0.3">
      <c r="A371" s="5">
        <v>18810025</v>
      </c>
      <c r="B371" s="6" t="s">
        <v>232</v>
      </c>
      <c r="C371" s="6" t="s">
        <v>100</v>
      </c>
      <c r="D371" s="8" t="s">
        <v>92</v>
      </c>
      <c r="E371" s="6" t="s">
        <v>1774</v>
      </c>
      <c r="F371" s="6" t="s">
        <v>85</v>
      </c>
      <c r="G371" s="11">
        <v>46149.333333333336</v>
      </c>
      <c r="H371" s="11"/>
      <c r="I371" s="10" t="s">
        <v>1775</v>
      </c>
      <c r="J371" s="6" t="s">
        <v>1776</v>
      </c>
      <c r="K371" s="12">
        <v>46121.732314814813</v>
      </c>
      <c r="L371" s="6" t="str" cm="1">
        <f t="array" ref="L371">LOOKUP(2^15,SEARCH(Tabela2[Palavras-Chave],Boletim4[[#This Row],[Objeto]],1),Tabela2[Palavras-Chave])</f>
        <v>RESERVAT</v>
      </c>
    </row>
    <row r="372" spans="1:12" ht="100.8" hidden="1" x14ac:dyDescent="0.3">
      <c r="A372" s="5">
        <v>18810097</v>
      </c>
      <c r="B372" s="6" t="s">
        <v>1777</v>
      </c>
      <c r="C372" s="6" t="s">
        <v>1778</v>
      </c>
      <c r="D372" s="8" t="s">
        <v>92</v>
      </c>
      <c r="E372" s="6" t="s">
        <v>122</v>
      </c>
      <c r="F372" s="6" t="s">
        <v>85</v>
      </c>
      <c r="G372" s="11">
        <v>46134.333333333336</v>
      </c>
      <c r="H372" s="11"/>
      <c r="I372" s="10" t="s">
        <v>1779</v>
      </c>
      <c r="J372" s="6" t="s">
        <v>1780</v>
      </c>
      <c r="K372" s="12">
        <v>46121.754745370374</v>
      </c>
      <c r="L372" s="6" t="e" cm="1">
        <f t="array" ref="L372">LOOKUP(2^15,SEARCH(Tabela2[Palavras-Chave],Boletim4[[#This Row],[Objeto]],1),Tabela2[Palavras-Chave])</f>
        <v>#N/A</v>
      </c>
    </row>
    <row r="373" spans="1:12" ht="100.8" hidden="1" x14ac:dyDescent="0.3">
      <c r="A373" s="5">
        <v>18807449</v>
      </c>
      <c r="B373" s="6" t="s">
        <v>74</v>
      </c>
      <c r="C373" s="6" t="s">
        <v>69</v>
      </c>
      <c r="D373" s="8" t="s">
        <v>70</v>
      </c>
      <c r="E373" s="6" t="s">
        <v>1319</v>
      </c>
      <c r="F373" s="6" t="s">
        <v>85</v>
      </c>
      <c r="G373" s="11" t="s">
        <v>56</v>
      </c>
      <c r="H373" s="11"/>
      <c r="I373" s="10" t="s">
        <v>1320</v>
      </c>
      <c r="J373" s="6" t="s">
        <v>1321</v>
      </c>
      <c r="K373" s="12">
        <v>46121.44730324074</v>
      </c>
      <c r="L373" s="6" t="e" cm="1">
        <f t="array" ref="L373">LOOKUP(2^15,SEARCH(Tabela2[Palavras-Chave],Boletim4[[#This Row],[Objeto]],1),Tabela2[Palavras-Chave])</f>
        <v>#N/A</v>
      </c>
    </row>
    <row r="374" spans="1:12" ht="259.2" hidden="1" x14ac:dyDescent="0.3">
      <c r="A374" s="5">
        <v>18807132</v>
      </c>
      <c r="B374" s="6" t="s">
        <v>1781</v>
      </c>
      <c r="C374" s="6" t="s">
        <v>1782</v>
      </c>
      <c r="D374" s="8" t="s">
        <v>70</v>
      </c>
      <c r="E374" s="6" t="s">
        <v>148</v>
      </c>
      <c r="F374" s="6" t="s">
        <v>85</v>
      </c>
      <c r="G374" s="11" t="s">
        <v>56</v>
      </c>
      <c r="H374" s="11"/>
      <c r="I374" s="10" t="s">
        <v>1783</v>
      </c>
      <c r="J374" s="6" t="s">
        <v>1784</v>
      </c>
      <c r="K374" s="12">
        <v>46121.47320601852</v>
      </c>
      <c r="L374" s="6" t="e" cm="1">
        <f t="array" ref="L374">LOOKUP(2^15,SEARCH(Tabela2[Palavras-Chave],Boletim4[[#This Row],[Objeto]],1),Tabela2[Palavras-Chave])</f>
        <v>#N/A</v>
      </c>
    </row>
    <row r="375" spans="1:12" ht="144" x14ac:dyDescent="0.3">
      <c r="A375" s="5">
        <v>18802437</v>
      </c>
      <c r="B375" s="6" t="s">
        <v>465</v>
      </c>
      <c r="C375" s="6" t="s">
        <v>69</v>
      </c>
      <c r="D375" s="8" t="s">
        <v>70</v>
      </c>
      <c r="E375" s="6" t="s">
        <v>466</v>
      </c>
      <c r="F375" s="6" t="s">
        <v>85</v>
      </c>
      <c r="G375" s="11">
        <v>46128.375</v>
      </c>
      <c r="H375" s="11"/>
      <c r="I375" s="10" t="s">
        <v>467</v>
      </c>
      <c r="J375" s="6" t="s">
        <v>468</v>
      </c>
      <c r="K375" s="12">
        <v>46121.552812499998</v>
      </c>
      <c r="L375" s="6" t="str" cm="1">
        <f t="array" ref="L375">LOOKUP(2^15,SEARCH(Tabela2[Palavras-Chave],Boletim4[[#This Row],[Objeto]],1),Tabela2[Palavras-Chave])</f>
        <v>BOOSTER</v>
      </c>
    </row>
    <row r="376" spans="1:12" ht="244.8" hidden="1" x14ac:dyDescent="0.3">
      <c r="A376" s="5">
        <v>18809687</v>
      </c>
      <c r="B376" s="6" t="s">
        <v>1785</v>
      </c>
      <c r="C376" s="6" t="s">
        <v>1786</v>
      </c>
      <c r="D376" s="8" t="s">
        <v>70</v>
      </c>
      <c r="E376" s="6" t="s">
        <v>115</v>
      </c>
      <c r="F376" s="6" t="s">
        <v>85</v>
      </c>
      <c r="G376" s="11" t="s">
        <v>56</v>
      </c>
      <c r="H376" s="11"/>
      <c r="I376" s="10" t="s">
        <v>1787</v>
      </c>
      <c r="J376" s="6" t="s">
        <v>1788</v>
      </c>
      <c r="K376" s="12">
        <v>46121.623425925929</v>
      </c>
      <c r="L376" s="6" t="e" cm="1">
        <f t="array" ref="L376">LOOKUP(2^15,SEARCH(Tabela2[Palavras-Chave],Boletim4[[#This Row],[Objeto]],1),Tabela2[Palavras-Chave])</f>
        <v>#N/A</v>
      </c>
    </row>
    <row r="377" spans="1:12" ht="244.8" hidden="1" x14ac:dyDescent="0.3">
      <c r="A377" s="5">
        <v>18807707</v>
      </c>
      <c r="B377" s="6" t="s">
        <v>1789</v>
      </c>
      <c r="C377" s="6" t="s">
        <v>1790</v>
      </c>
      <c r="D377" s="8" t="s">
        <v>70</v>
      </c>
      <c r="E377" s="6" t="s">
        <v>114</v>
      </c>
      <c r="F377" s="6" t="s">
        <v>85</v>
      </c>
      <c r="G377" s="11" t="s">
        <v>56</v>
      </c>
      <c r="H377" s="11"/>
      <c r="I377" s="10" t="s">
        <v>1791</v>
      </c>
      <c r="J377" s="6" t="s">
        <v>1792</v>
      </c>
      <c r="K377" s="12">
        <v>46121.695856481485</v>
      </c>
      <c r="L377" s="6" t="e" cm="1">
        <f t="array" ref="L377">LOOKUP(2^15,SEARCH(Tabela2[Palavras-Chave],Boletim4[[#This Row],[Objeto]],1),Tabela2[Palavras-Chave])</f>
        <v>#N/A</v>
      </c>
    </row>
    <row r="378" spans="1:12" ht="158.4" hidden="1" x14ac:dyDescent="0.3">
      <c r="A378" s="5">
        <v>18808551</v>
      </c>
      <c r="B378" s="6" t="s">
        <v>1793</v>
      </c>
      <c r="C378" s="6" t="s">
        <v>1794</v>
      </c>
      <c r="D378" s="8" t="s">
        <v>70</v>
      </c>
      <c r="E378" s="6" t="s">
        <v>140</v>
      </c>
      <c r="F378" s="6" t="s">
        <v>85</v>
      </c>
      <c r="G378" s="11" t="s">
        <v>56</v>
      </c>
      <c r="H378" s="11"/>
      <c r="I378" s="10" t="s">
        <v>1795</v>
      </c>
      <c r="J378" s="6" t="s">
        <v>1796</v>
      </c>
      <c r="K378" s="12">
        <v>46121.699444444443</v>
      </c>
      <c r="L378" s="6" t="e" cm="1">
        <f t="array" ref="L378">LOOKUP(2^15,SEARCH(Tabela2[Palavras-Chave],Boletim4[[#This Row],[Objeto]],1),Tabela2[Palavras-Chave])</f>
        <v>#N/A</v>
      </c>
    </row>
    <row r="379" spans="1:12" ht="244.8" hidden="1" x14ac:dyDescent="0.3">
      <c r="A379" s="5">
        <v>18809223</v>
      </c>
      <c r="B379" s="6" t="s">
        <v>1797</v>
      </c>
      <c r="C379" s="6" t="s">
        <v>1798</v>
      </c>
      <c r="D379" s="8" t="s">
        <v>70</v>
      </c>
      <c r="E379" s="6" t="s">
        <v>115</v>
      </c>
      <c r="F379" s="6" t="s">
        <v>85</v>
      </c>
      <c r="G379" s="11" t="s">
        <v>56</v>
      </c>
      <c r="H379" s="11"/>
      <c r="I379" s="10" t="s">
        <v>1799</v>
      </c>
      <c r="J379" s="6" t="s">
        <v>1800</v>
      </c>
      <c r="K379" s="12">
        <v>46121.703159722223</v>
      </c>
      <c r="L379" s="6" t="e" cm="1">
        <f t="array" ref="L379">LOOKUP(2^15,SEARCH(Tabela2[Palavras-Chave],Boletim4[[#This Row],[Objeto]],1),Tabela2[Palavras-Chave])</f>
        <v>#N/A</v>
      </c>
    </row>
    <row r="380" spans="1:12" ht="244.8" hidden="1" x14ac:dyDescent="0.3">
      <c r="A380" s="5">
        <v>18811176</v>
      </c>
      <c r="B380" s="6" t="s">
        <v>1801</v>
      </c>
      <c r="C380" s="6" t="s">
        <v>1802</v>
      </c>
      <c r="D380" s="8" t="s">
        <v>70</v>
      </c>
      <c r="E380" s="6" t="s">
        <v>115</v>
      </c>
      <c r="F380" s="6" t="s">
        <v>85</v>
      </c>
      <c r="G380" s="11" t="s">
        <v>56</v>
      </c>
      <c r="H380" s="11"/>
      <c r="I380" s="10" t="s">
        <v>1803</v>
      </c>
      <c r="J380" s="6" t="s">
        <v>1804</v>
      </c>
      <c r="K380" s="12">
        <v>46121.79241898148</v>
      </c>
      <c r="L380" s="6" t="e" cm="1">
        <f t="array" ref="L380">LOOKUP(2^15,SEARCH(Tabela2[Palavras-Chave],Boletim4[[#This Row],[Objeto]],1),Tabela2[Palavras-Chave])</f>
        <v>#N/A</v>
      </c>
    </row>
    <row r="381" spans="1:12" ht="100.8" hidden="1" x14ac:dyDescent="0.3">
      <c r="A381" s="5">
        <v>18807451</v>
      </c>
      <c r="B381" s="6" t="s">
        <v>74</v>
      </c>
      <c r="C381" s="6" t="s">
        <v>133</v>
      </c>
      <c r="D381" s="8" t="s">
        <v>71</v>
      </c>
      <c r="E381" s="6" t="s">
        <v>1319</v>
      </c>
      <c r="F381" s="6" t="s">
        <v>85</v>
      </c>
      <c r="G381" s="11" t="s">
        <v>56</v>
      </c>
      <c r="H381" s="11"/>
      <c r="I381" s="10" t="s">
        <v>1320</v>
      </c>
      <c r="J381" s="6" t="s">
        <v>1321</v>
      </c>
      <c r="K381" s="12">
        <v>46121.44730324074</v>
      </c>
      <c r="L381" s="6" t="e" cm="1">
        <f t="array" ref="L381">LOOKUP(2^15,SEARCH(Tabela2[Palavras-Chave],Boletim4[[#This Row],[Objeto]],1),Tabela2[Palavras-Chave])</f>
        <v>#N/A</v>
      </c>
    </row>
    <row r="382" spans="1:12" ht="86.4" hidden="1" x14ac:dyDescent="0.3">
      <c r="A382" s="5">
        <v>18806920</v>
      </c>
      <c r="B382" s="6" t="s">
        <v>1805</v>
      </c>
      <c r="C382" s="6" t="s">
        <v>1806</v>
      </c>
      <c r="D382" s="8" t="s">
        <v>71</v>
      </c>
      <c r="E382" s="6" t="s">
        <v>135</v>
      </c>
      <c r="F382" s="6" t="s">
        <v>85</v>
      </c>
      <c r="G382" s="11" t="s">
        <v>56</v>
      </c>
      <c r="H382" s="11"/>
      <c r="I382" s="10" t="s">
        <v>1807</v>
      </c>
      <c r="J382" s="6" t="s">
        <v>1808</v>
      </c>
      <c r="K382" s="12">
        <v>46121.455509259256</v>
      </c>
      <c r="L382" s="6" t="e" cm="1">
        <f t="array" ref="L382">LOOKUP(2^15,SEARCH(Tabela2[Palavras-Chave],Boletim4[[#This Row],[Objeto]],1),Tabela2[Palavras-Chave])</f>
        <v>#N/A</v>
      </c>
    </row>
    <row r="383" spans="1:12" ht="57.6" hidden="1" x14ac:dyDescent="0.3">
      <c r="A383" s="5">
        <v>18807161</v>
      </c>
      <c r="B383" s="6" t="s">
        <v>1809</v>
      </c>
      <c r="C383" s="6" t="s">
        <v>1810</v>
      </c>
      <c r="D383" s="8" t="s">
        <v>71</v>
      </c>
      <c r="E383" s="6" t="s">
        <v>122</v>
      </c>
      <c r="F383" s="6" t="s">
        <v>85</v>
      </c>
      <c r="G383" s="11">
        <v>46134.375</v>
      </c>
      <c r="H383" s="11"/>
      <c r="I383" s="10" t="s">
        <v>1811</v>
      </c>
      <c r="J383" s="6" t="s">
        <v>1812</v>
      </c>
      <c r="K383" s="12">
        <v>46121.482546296298</v>
      </c>
      <c r="L383" s="6" t="e" cm="1">
        <f t="array" ref="L383">LOOKUP(2^15,SEARCH(Tabela2[Palavras-Chave],Boletim4[[#This Row],[Objeto]],1),Tabela2[Palavras-Chave])</f>
        <v>#N/A</v>
      </c>
    </row>
    <row r="384" spans="1:12" ht="115.2" hidden="1" x14ac:dyDescent="0.3">
      <c r="A384" s="5">
        <v>18808409</v>
      </c>
      <c r="B384" s="6" t="s">
        <v>1813</v>
      </c>
      <c r="C384" s="6" t="s">
        <v>133</v>
      </c>
      <c r="D384" s="8" t="s">
        <v>71</v>
      </c>
      <c r="E384" s="6" t="s">
        <v>140</v>
      </c>
      <c r="F384" s="6" t="s">
        <v>85</v>
      </c>
      <c r="G384" s="11" t="s">
        <v>56</v>
      </c>
      <c r="H384" s="11"/>
      <c r="I384" s="10" t="s">
        <v>1814</v>
      </c>
      <c r="J384" s="6" t="s">
        <v>1815</v>
      </c>
      <c r="K384" s="12">
        <v>46121.538946759261</v>
      </c>
      <c r="L384" s="6" t="e" cm="1">
        <f t="array" ref="L384">LOOKUP(2^15,SEARCH(Tabela2[Palavras-Chave],Boletim4[[#This Row],[Objeto]],1),Tabela2[Palavras-Chave])</f>
        <v>#N/A</v>
      </c>
    </row>
    <row r="385" spans="1:12" ht="100.8" hidden="1" x14ac:dyDescent="0.3">
      <c r="A385" s="5">
        <v>18809385</v>
      </c>
      <c r="B385" s="6" t="s">
        <v>1816</v>
      </c>
      <c r="C385" s="6" t="s">
        <v>1817</v>
      </c>
      <c r="D385" s="8" t="s">
        <v>71</v>
      </c>
      <c r="E385" s="6" t="s">
        <v>109</v>
      </c>
      <c r="F385" s="6" t="s">
        <v>85</v>
      </c>
      <c r="G385" s="11">
        <v>46134.333333333336</v>
      </c>
      <c r="H385" s="11"/>
      <c r="I385" s="10" t="s">
        <v>1818</v>
      </c>
      <c r="J385" s="6" t="s">
        <v>1819</v>
      </c>
      <c r="K385" s="12">
        <v>46121.61645833333</v>
      </c>
      <c r="L385" s="6" t="e" cm="1">
        <f t="array" ref="L385">LOOKUP(2^15,SEARCH(Tabela2[Palavras-Chave],Boletim4[[#This Row],[Objeto]],1),Tabela2[Palavras-Chave])</f>
        <v>#N/A</v>
      </c>
    </row>
    <row r="386" spans="1:12" ht="345.6" hidden="1" x14ac:dyDescent="0.3">
      <c r="A386" s="5">
        <v>18809651</v>
      </c>
      <c r="B386" s="6" t="s">
        <v>1820</v>
      </c>
      <c r="C386" s="6" t="s">
        <v>133</v>
      </c>
      <c r="D386" s="8" t="s">
        <v>71</v>
      </c>
      <c r="E386" s="6" t="s">
        <v>723</v>
      </c>
      <c r="F386" s="6" t="s">
        <v>85</v>
      </c>
      <c r="G386" s="11" t="s">
        <v>56</v>
      </c>
      <c r="H386" s="11"/>
      <c r="I386" s="10" t="s">
        <v>1821</v>
      </c>
      <c r="J386" s="6" t="s">
        <v>1822</v>
      </c>
      <c r="K386" s="12">
        <v>46121.617743055554</v>
      </c>
      <c r="L386" s="6" t="e" cm="1">
        <f t="array" ref="L386">LOOKUP(2^15,SEARCH(Tabela2[Palavras-Chave],Boletim4[[#This Row],[Objeto]],1),Tabela2[Palavras-Chave])</f>
        <v>#N/A</v>
      </c>
    </row>
    <row r="387" spans="1:12" ht="100.8" hidden="1" x14ac:dyDescent="0.3">
      <c r="A387" s="5">
        <v>18809553</v>
      </c>
      <c r="B387" s="6" t="s">
        <v>1823</v>
      </c>
      <c r="C387" s="6" t="s">
        <v>1824</v>
      </c>
      <c r="D387" s="8" t="s">
        <v>71</v>
      </c>
      <c r="E387" s="6" t="s">
        <v>106</v>
      </c>
      <c r="F387" s="6" t="s">
        <v>85</v>
      </c>
      <c r="G387" s="11">
        <v>46134.375</v>
      </c>
      <c r="H387" s="11"/>
      <c r="I387" s="10" t="s">
        <v>1825</v>
      </c>
      <c r="J387" s="6" t="s">
        <v>1826</v>
      </c>
      <c r="K387" s="12">
        <v>46121.704155092593</v>
      </c>
      <c r="L387" s="6" t="e" cm="1">
        <f t="array" ref="L387">LOOKUP(2^15,SEARCH(Tabela2[Palavras-Chave],Boletim4[[#This Row],[Objeto]],1),Tabela2[Palavras-Chave])</f>
        <v>#N/A</v>
      </c>
    </row>
    <row r="388" spans="1:12" ht="86.4" hidden="1" x14ac:dyDescent="0.3">
      <c r="A388" s="5">
        <v>18809049</v>
      </c>
      <c r="B388" s="6" t="s">
        <v>1827</v>
      </c>
      <c r="C388" s="6" t="s">
        <v>1828</v>
      </c>
      <c r="D388" s="8" t="s">
        <v>71</v>
      </c>
      <c r="E388" s="6" t="s">
        <v>106</v>
      </c>
      <c r="F388" s="6" t="s">
        <v>85</v>
      </c>
      <c r="G388" s="11" t="s">
        <v>56</v>
      </c>
      <c r="H388" s="11"/>
      <c r="I388" s="10" t="s">
        <v>1829</v>
      </c>
      <c r="J388" s="6" t="s">
        <v>1830</v>
      </c>
      <c r="K388" s="12">
        <v>46121.725057870368</v>
      </c>
      <c r="L388" s="6" t="e" cm="1">
        <f t="array" ref="L388">LOOKUP(2^15,SEARCH(Tabela2[Palavras-Chave],Boletim4[[#This Row],[Objeto]],1),Tabela2[Palavras-Chave])</f>
        <v>#N/A</v>
      </c>
    </row>
    <row r="389" spans="1:12" ht="43.2" hidden="1" x14ac:dyDescent="0.3">
      <c r="A389" s="5">
        <v>18807154</v>
      </c>
      <c r="B389" s="6" t="s">
        <v>1809</v>
      </c>
      <c r="C389" s="6" t="s">
        <v>1810</v>
      </c>
      <c r="D389" s="8" t="s">
        <v>71</v>
      </c>
      <c r="E389" s="6" t="s">
        <v>148</v>
      </c>
      <c r="F389" s="6" t="s">
        <v>85</v>
      </c>
      <c r="G389" s="11">
        <v>46136.333333333336</v>
      </c>
      <c r="H389" s="11"/>
      <c r="I389" s="10" t="s">
        <v>1831</v>
      </c>
      <c r="J389" s="6" t="s">
        <v>1832</v>
      </c>
      <c r="K389" s="12">
        <v>46121.742361111108</v>
      </c>
      <c r="L389" s="6" t="e" cm="1">
        <f t="array" ref="L389">LOOKUP(2^15,SEARCH(Tabela2[Palavras-Chave],Boletim4[[#This Row],[Objeto]],1),Tabela2[Palavras-Chave])</f>
        <v>#N/A</v>
      </c>
    </row>
    <row r="390" spans="1:12" ht="57.6" hidden="1" x14ac:dyDescent="0.3">
      <c r="A390" s="5">
        <v>18803991</v>
      </c>
      <c r="B390" s="6" t="s">
        <v>680</v>
      </c>
      <c r="C390" s="6" t="s">
        <v>681</v>
      </c>
      <c r="D390" s="8" t="s">
        <v>72</v>
      </c>
      <c r="E390" s="6" t="s">
        <v>128</v>
      </c>
      <c r="F390" s="6" t="s">
        <v>85</v>
      </c>
      <c r="G390" s="11">
        <v>46135.375</v>
      </c>
      <c r="H390" s="11"/>
      <c r="I390" s="10" t="s">
        <v>682</v>
      </c>
      <c r="J390" s="6" t="s">
        <v>683</v>
      </c>
      <c r="K390" s="12">
        <v>46121.388321759259</v>
      </c>
      <c r="L390" s="6" t="e" cm="1">
        <f t="array" ref="L390">LOOKUP(2^15,SEARCH(Tabela2[Palavras-Chave],Boletim4[[#This Row],[Objeto]],1),Tabela2[Palavras-Chave])</f>
        <v>#N/A</v>
      </c>
    </row>
    <row r="391" spans="1:12" ht="100.8" hidden="1" x14ac:dyDescent="0.3">
      <c r="A391" s="5">
        <v>18805219</v>
      </c>
      <c r="B391" s="6" t="s">
        <v>243</v>
      </c>
      <c r="C391" s="6" t="s">
        <v>244</v>
      </c>
      <c r="D391" s="8" t="s">
        <v>72</v>
      </c>
      <c r="E391" s="6" t="s">
        <v>474</v>
      </c>
      <c r="F391" s="6" t="s">
        <v>85</v>
      </c>
      <c r="G391" s="11" t="s">
        <v>56</v>
      </c>
      <c r="H391" s="11"/>
      <c r="I391" s="10" t="s">
        <v>475</v>
      </c>
      <c r="J391" s="6" t="s">
        <v>476</v>
      </c>
      <c r="K391" s="12">
        <v>46121.388344907406</v>
      </c>
      <c r="L391" s="6" t="e" cm="1">
        <f t="array" ref="L391">LOOKUP(2^15,SEARCH(Tabela2[Palavras-Chave],Boletim4[[#This Row],[Objeto]],1),Tabela2[Palavras-Chave])</f>
        <v>#N/A</v>
      </c>
    </row>
    <row r="392" spans="1:12" ht="86.4" hidden="1" x14ac:dyDescent="0.3">
      <c r="A392" s="5">
        <v>18807348</v>
      </c>
      <c r="B392" s="6" t="s">
        <v>156</v>
      </c>
      <c r="C392" s="6" t="s">
        <v>73</v>
      </c>
      <c r="D392" s="8" t="s">
        <v>72</v>
      </c>
      <c r="E392" s="6" t="s">
        <v>1833</v>
      </c>
      <c r="F392" s="6" t="s">
        <v>85</v>
      </c>
      <c r="G392" s="11">
        <v>46139.375</v>
      </c>
      <c r="H392" s="11"/>
      <c r="I392" s="10" t="s">
        <v>1834</v>
      </c>
      <c r="J392" s="6" t="s">
        <v>1835</v>
      </c>
      <c r="K392" s="12">
        <v>46121.4378125</v>
      </c>
      <c r="L392" s="6" t="e" cm="1">
        <f t="array" ref="L392">LOOKUP(2^15,SEARCH(Tabela2[Palavras-Chave],Boletim4[[#This Row],[Objeto]],1),Tabela2[Palavras-Chave])</f>
        <v>#N/A</v>
      </c>
    </row>
    <row r="393" spans="1:12" ht="100.8" hidden="1" x14ac:dyDescent="0.3">
      <c r="A393" s="5">
        <v>18807452</v>
      </c>
      <c r="B393" s="6" t="s">
        <v>74</v>
      </c>
      <c r="C393" s="6" t="s">
        <v>73</v>
      </c>
      <c r="D393" s="8" t="s">
        <v>72</v>
      </c>
      <c r="E393" s="6" t="s">
        <v>1319</v>
      </c>
      <c r="F393" s="6" t="s">
        <v>85</v>
      </c>
      <c r="G393" s="11" t="s">
        <v>56</v>
      </c>
      <c r="H393" s="11"/>
      <c r="I393" s="10" t="s">
        <v>1320</v>
      </c>
      <c r="J393" s="6" t="s">
        <v>1321</v>
      </c>
      <c r="K393" s="12">
        <v>46121.44730324074</v>
      </c>
      <c r="L393" s="6" t="e" cm="1">
        <f t="array" ref="L393">LOOKUP(2^15,SEARCH(Tabela2[Palavras-Chave],Boletim4[[#This Row],[Objeto]],1),Tabela2[Palavras-Chave])</f>
        <v>#N/A</v>
      </c>
    </row>
    <row r="394" spans="1:12" ht="86.4" hidden="1" x14ac:dyDescent="0.3">
      <c r="A394" s="5">
        <v>18806914</v>
      </c>
      <c r="B394" s="6" t="s">
        <v>1836</v>
      </c>
      <c r="C394" s="6" t="s">
        <v>73</v>
      </c>
      <c r="D394" s="8" t="s">
        <v>72</v>
      </c>
      <c r="E394" s="6" t="s">
        <v>148</v>
      </c>
      <c r="F394" s="6" t="s">
        <v>85</v>
      </c>
      <c r="G394" s="11" t="s">
        <v>56</v>
      </c>
      <c r="H394" s="11"/>
      <c r="I394" s="10" t="s">
        <v>1837</v>
      </c>
      <c r="J394" s="6" t="s">
        <v>1838</v>
      </c>
      <c r="K394" s="12">
        <v>46121.454305555555</v>
      </c>
      <c r="L394" s="6" t="e" cm="1">
        <f t="array" ref="L394">LOOKUP(2^15,SEARCH(Tabela2[Palavras-Chave],Boletim4[[#This Row],[Objeto]],1),Tabela2[Palavras-Chave])</f>
        <v>#N/A</v>
      </c>
    </row>
    <row r="395" spans="1:12" ht="72" hidden="1" x14ac:dyDescent="0.3">
      <c r="A395" s="5">
        <v>18807377</v>
      </c>
      <c r="B395" s="6" t="s">
        <v>74</v>
      </c>
      <c r="C395" s="6" t="s">
        <v>73</v>
      </c>
      <c r="D395" s="8" t="s">
        <v>72</v>
      </c>
      <c r="E395" s="6" t="s">
        <v>1839</v>
      </c>
      <c r="F395" s="6" t="s">
        <v>85</v>
      </c>
      <c r="G395" s="11" t="s">
        <v>56</v>
      </c>
      <c r="H395" s="11"/>
      <c r="I395" s="10" t="s">
        <v>1840</v>
      </c>
      <c r="J395" s="6" t="s">
        <v>1841</v>
      </c>
      <c r="K395" s="12">
        <v>46121.472303240742</v>
      </c>
      <c r="L395" s="6" t="e" cm="1">
        <f t="array" ref="L395">LOOKUP(2^15,SEARCH(Tabela2[Palavras-Chave],Boletim4[[#This Row],[Objeto]],1),Tabela2[Palavras-Chave])</f>
        <v>#N/A</v>
      </c>
    </row>
    <row r="396" spans="1:12" ht="129.6" hidden="1" x14ac:dyDescent="0.3">
      <c r="A396" s="13">
        <v>18808548</v>
      </c>
      <c r="B396" s="10" t="s">
        <v>1842</v>
      </c>
      <c r="C396" s="10" t="s">
        <v>1843</v>
      </c>
      <c r="D396" s="15" t="s">
        <v>72</v>
      </c>
      <c r="E396" s="10" t="s">
        <v>209</v>
      </c>
      <c r="F396" s="10" t="s">
        <v>85</v>
      </c>
      <c r="G396" s="16" t="s">
        <v>56</v>
      </c>
      <c r="H396" s="16"/>
      <c r="I396" s="10" t="s">
        <v>1844</v>
      </c>
      <c r="J396" s="10" t="s">
        <v>1845</v>
      </c>
      <c r="K396" s="17">
        <v>46121.54415509259</v>
      </c>
      <c r="L396" s="6" t="e" cm="1">
        <f t="array" ref="L396">LOOKUP(2^15,SEARCH(Tabela2[Palavras-Chave],Boletim4[[#This Row],[Objeto]],1),Tabela2[Palavras-Chave])</f>
        <v>#N/A</v>
      </c>
    </row>
    <row r="397" spans="1:12" ht="100.8" hidden="1" x14ac:dyDescent="0.3">
      <c r="A397" s="5">
        <v>18809068</v>
      </c>
      <c r="B397" s="6" t="s">
        <v>1846</v>
      </c>
      <c r="C397" s="6" t="s">
        <v>1847</v>
      </c>
      <c r="D397" s="8" t="s">
        <v>72</v>
      </c>
      <c r="E397" s="6" t="s">
        <v>142</v>
      </c>
      <c r="F397" s="6" t="s">
        <v>85</v>
      </c>
      <c r="G397" s="11" t="s">
        <v>56</v>
      </c>
      <c r="H397" s="11"/>
      <c r="I397" s="10" t="s">
        <v>1848</v>
      </c>
      <c r="J397" s="6" t="s">
        <v>1849</v>
      </c>
      <c r="K397" s="12">
        <v>46121.585995370369</v>
      </c>
      <c r="L397" s="6" t="e" cm="1">
        <f t="array" ref="L397">LOOKUP(2^15,SEARCH(Tabela2[Palavras-Chave],Boletim4[[#This Row],[Objeto]],1),Tabela2[Palavras-Chave])</f>
        <v>#N/A</v>
      </c>
    </row>
    <row r="398" spans="1:12" ht="259.2" hidden="1" x14ac:dyDescent="0.3">
      <c r="A398" s="5">
        <v>18809256</v>
      </c>
      <c r="B398" s="6" t="s">
        <v>1850</v>
      </c>
      <c r="C398" s="6" t="s">
        <v>1851</v>
      </c>
      <c r="D398" s="8" t="s">
        <v>72</v>
      </c>
      <c r="E398" s="6" t="s">
        <v>142</v>
      </c>
      <c r="F398" s="6" t="s">
        <v>85</v>
      </c>
      <c r="G398" s="11" t="s">
        <v>56</v>
      </c>
      <c r="H398" s="11"/>
      <c r="I398" s="10" t="s">
        <v>1852</v>
      </c>
      <c r="J398" s="6" t="s">
        <v>1853</v>
      </c>
      <c r="K398" s="12">
        <v>46121.595879629633</v>
      </c>
      <c r="L398" s="6" t="e" cm="1">
        <f t="array" ref="L398">LOOKUP(2^15,SEARCH(Tabela2[Palavras-Chave],Boletim4[[#This Row],[Objeto]],1),Tabela2[Palavras-Chave])</f>
        <v>#N/A</v>
      </c>
    </row>
    <row r="399" spans="1:12" ht="244.8" x14ac:dyDescent="0.3">
      <c r="A399" s="5">
        <v>18809240</v>
      </c>
      <c r="B399" s="6" t="s">
        <v>1854</v>
      </c>
      <c r="C399" s="6" t="s">
        <v>1855</v>
      </c>
      <c r="D399" s="8" t="s">
        <v>72</v>
      </c>
      <c r="E399" s="6" t="s">
        <v>126</v>
      </c>
      <c r="F399" s="6" t="s">
        <v>85</v>
      </c>
      <c r="G399" s="11" t="s">
        <v>56</v>
      </c>
      <c r="H399" s="11"/>
      <c r="I399" s="10" t="s">
        <v>1856</v>
      </c>
      <c r="J399" s="6" t="s">
        <v>1857</v>
      </c>
      <c r="K399" s="12">
        <v>46121.599768518521</v>
      </c>
      <c r="L399" s="6" t="str" cm="1">
        <f t="array" ref="L399">LOOKUP(2^15,SEARCH(Tabela2[Palavras-Chave],Boletim4[[#This Row],[Objeto]],1),Tabela2[Palavras-Chave])</f>
        <v>BOMBEAMENTO</v>
      </c>
    </row>
    <row r="400" spans="1:12" ht="115.2" hidden="1" x14ac:dyDescent="0.3">
      <c r="A400" s="5">
        <v>18808352</v>
      </c>
      <c r="B400" s="6" t="s">
        <v>1858</v>
      </c>
      <c r="C400" s="6" t="s">
        <v>223</v>
      </c>
      <c r="D400" s="8" t="s">
        <v>72</v>
      </c>
      <c r="E400" s="6" t="s">
        <v>1859</v>
      </c>
      <c r="F400" s="6" t="s">
        <v>85</v>
      </c>
      <c r="G400" s="11" t="s">
        <v>56</v>
      </c>
      <c r="H400" s="11"/>
      <c r="I400" s="10" t="s">
        <v>1860</v>
      </c>
      <c r="J400" s="6" t="s">
        <v>1861</v>
      </c>
      <c r="K400" s="12">
        <v>46121.61482638889</v>
      </c>
      <c r="L400" s="6" t="e" cm="1">
        <f t="array" ref="L400">LOOKUP(2^15,SEARCH(Tabela2[Palavras-Chave],Boletim4[[#This Row],[Objeto]],1),Tabela2[Palavras-Chave])</f>
        <v>#N/A</v>
      </c>
    </row>
    <row r="401" spans="1:12" ht="57.6" x14ac:dyDescent="0.3">
      <c r="A401" s="5">
        <v>18809097</v>
      </c>
      <c r="B401" s="6" t="s">
        <v>1862</v>
      </c>
      <c r="C401" s="6" t="s">
        <v>387</v>
      </c>
      <c r="D401" s="8" t="s">
        <v>72</v>
      </c>
      <c r="E401" s="6" t="s">
        <v>122</v>
      </c>
      <c r="F401" s="6" t="s">
        <v>85</v>
      </c>
      <c r="G401" s="11">
        <v>46136.375</v>
      </c>
      <c r="H401" s="11"/>
      <c r="I401" s="10" t="s">
        <v>1863</v>
      </c>
      <c r="J401" s="6" t="s">
        <v>1864</v>
      </c>
      <c r="K401" s="12">
        <v>46121.616064814814</v>
      </c>
      <c r="L401" s="6" t="str" cm="1">
        <f t="array" ref="L401">LOOKUP(2^15,SEARCH(Tabela2[Palavras-Chave],Boletim4[[#This Row],[Objeto]],1),Tabela2[Palavras-Chave])</f>
        <v>ELEVATÓRIA</v>
      </c>
    </row>
    <row r="402" spans="1:12" ht="316.8" hidden="1" x14ac:dyDescent="0.3">
      <c r="A402" s="5">
        <v>18809234</v>
      </c>
      <c r="B402" s="6" t="s">
        <v>1865</v>
      </c>
      <c r="C402" s="6" t="s">
        <v>1866</v>
      </c>
      <c r="D402" s="8" t="s">
        <v>72</v>
      </c>
      <c r="E402" s="6" t="s">
        <v>498</v>
      </c>
      <c r="F402" s="6" t="s">
        <v>85</v>
      </c>
      <c r="G402" s="11" t="s">
        <v>56</v>
      </c>
      <c r="H402" s="11"/>
      <c r="I402" s="10" t="s">
        <v>1867</v>
      </c>
      <c r="J402" s="6" t="s">
        <v>1868</v>
      </c>
      <c r="K402" s="12">
        <v>46121.639965277776</v>
      </c>
      <c r="L402" s="6" t="e" cm="1">
        <f t="array" ref="L402">LOOKUP(2^15,SEARCH(Tabela2[Palavras-Chave],Boletim4[[#This Row],[Objeto]],1),Tabela2[Palavras-Chave])</f>
        <v>#N/A</v>
      </c>
    </row>
    <row r="403" spans="1:12" ht="158.4" hidden="1" x14ac:dyDescent="0.3">
      <c r="A403" s="5">
        <v>18808366</v>
      </c>
      <c r="B403" s="6" t="s">
        <v>1869</v>
      </c>
      <c r="C403" s="6" t="s">
        <v>1870</v>
      </c>
      <c r="D403" s="8" t="s">
        <v>72</v>
      </c>
      <c r="E403" s="6" t="s">
        <v>242</v>
      </c>
      <c r="F403" s="6" t="s">
        <v>85</v>
      </c>
      <c r="G403" s="11" t="s">
        <v>56</v>
      </c>
      <c r="H403" s="11"/>
      <c r="I403" s="10" t="s">
        <v>1871</v>
      </c>
      <c r="J403" s="6" t="s">
        <v>1872</v>
      </c>
      <c r="K403" s="12">
        <v>46121.657997685186</v>
      </c>
      <c r="L403" s="6" t="e" cm="1">
        <f t="array" ref="L403">LOOKUP(2^15,SEARCH(Tabela2[Palavras-Chave],Boletim4[[#This Row],[Objeto]],1),Tabela2[Palavras-Chave])</f>
        <v>#N/A</v>
      </c>
    </row>
    <row r="404" spans="1:12" ht="273.60000000000002" hidden="1" x14ac:dyDescent="0.3">
      <c r="A404" s="5">
        <v>18808310</v>
      </c>
      <c r="B404" s="6" t="s">
        <v>1873</v>
      </c>
      <c r="C404" s="6" t="s">
        <v>1874</v>
      </c>
      <c r="D404" s="8" t="s">
        <v>72</v>
      </c>
      <c r="E404" s="6" t="s">
        <v>108</v>
      </c>
      <c r="F404" s="6" t="s">
        <v>85</v>
      </c>
      <c r="G404" s="11" t="s">
        <v>56</v>
      </c>
      <c r="H404" s="11"/>
      <c r="I404" s="10" t="s">
        <v>1875</v>
      </c>
      <c r="J404" s="6" t="s">
        <v>1876</v>
      </c>
      <c r="K404" s="12">
        <v>46121.661203703705</v>
      </c>
      <c r="L404" s="6" t="e" cm="1">
        <f t="array" ref="L404">LOOKUP(2^15,SEARCH(Tabela2[Palavras-Chave],Boletim4[[#This Row],[Objeto]],1),Tabela2[Palavras-Chave])</f>
        <v>#N/A</v>
      </c>
    </row>
    <row r="405" spans="1:12" ht="244.8" hidden="1" x14ac:dyDescent="0.3">
      <c r="A405" s="5">
        <v>18810352</v>
      </c>
      <c r="B405" s="6" t="s">
        <v>469</v>
      </c>
      <c r="C405" s="6" t="s">
        <v>470</v>
      </c>
      <c r="D405" s="8" t="s">
        <v>72</v>
      </c>
      <c r="E405" s="6" t="s">
        <v>148</v>
      </c>
      <c r="F405" s="6" t="s">
        <v>85</v>
      </c>
      <c r="G405" s="11" t="s">
        <v>56</v>
      </c>
      <c r="H405" s="11"/>
      <c r="I405" s="10" t="s">
        <v>1877</v>
      </c>
      <c r="J405" s="6" t="s">
        <v>1878</v>
      </c>
      <c r="K405" s="12">
        <v>46121.79451388889</v>
      </c>
      <c r="L405" s="6" t="e" cm="1">
        <f t="array" ref="L405">LOOKUP(2^15,SEARCH(Tabela2[Palavras-Chave],Boletim4[[#This Row],[Objeto]],1),Tabela2[Palavras-Chave])</f>
        <v>#N/A</v>
      </c>
    </row>
    <row r="406" spans="1:12" ht="72" hidden="1" x14ac:dyDescent="0.3">
      <c r="A406" s="5">
        <v>18809634</v>
      </c>
      <c r="B406" s="6" t="s">
        <v>306</v>
      </c>
      <c r="C406" s="6" t="s">
        <v>223</v>
      </c>
      <c r="D406" s="8" t="s">
        <v>72</v>
      </c>
      <c r="E406" s="6" t="s">
        <v>1879</v>
      </c>
      <c r="F406" s="6" t="s">
        <v>85</v>
      </c>
      <c r="G406" s="11" t="s">
        <v>56</v>
      </c>
      <c r="H406" s="11"/>
      <c r="I406" s="10" t="s">
        <v>1880</v>
      </c>
      <c r="J406" s="6" t="s">
        <v>1881</v>
      </c>
      <c r="K406" s="12">
        <v>46121.734837962962</v>
      </c>
      <c r="L406" s="6" t="e" cm="1">
        <f t="array" ref="L406">LOOKUP(2^15,SEARCH(Tabela2[Palavras-Chave],Boletim4[[#This Row],[Objeto]],1),Tabela2[Palavras-Chave])</f>
        <v>#N/A</v>
      </c>
    </row>
    <row r="407" spans="1:12" ht="259.2" hidden="1" x14ac:dyDescent="0.3">
      <c r="A407" s="5">
        <v>18810327</v>
      </c>
      <c r="B407" s="6" t="s">
        <v>1882</v>
      </c>
      <c r="C407" s="6" t="s">
        <v>1883</v>
      </c>
      <c r="D407" s="8" t="s">
        <v>72</v>
      </c>
      <c r="E407" s="6" t="s">
        <v>135</v>
      </c>
      <c r="F407" s="6" t="s">
        <v>85</v>
      </c>
      <c r="G407" s="11" t="s">
        <v>56</v>
      </c>
      <c r="H407" s="11"/>
      <c r="I407" s="10" t="s">
        <v>1884</v>
      </c>
      <c r="J407" s="6" t="s">
        <v>1885</v>
      </c>
      <c r="K407" s="12">
        <v>46121.74496527778</v>
      </c>
      <c r="L407" s="6" t="e" cm="1">
        <f t="array" ref="L407">LOOKUP(2^15,SEARCH(Tabela2[Palavras-Chave],Boletim4[[#This Row],[Objeto]],1),Tabela2[Palavras-Chave])</f>
        <v>#N/A</v>
      </c>
    </row>
    <row r="408" spans="1:12" ht="115.2" hidden="1" x14ac:dyDescent="0.3">
      <c r="A408" s="5">
        <v>18808302</v>
      </c>
      <c r="B408" s="6" t="s">
        <v>1886</v>
      </c>
      <c r="C408" s="6" t="s">
        <v>1887</v>
      </c>
      <c r="D408" s="8" t="s">
        <v>72</v>
      </c>
      <c r="E408" s="6" t="s">
        <v>483</v>
      </c>
      <c r="F408" s="6" t="s">
        <v>85</v>
      </c>
      <c r="G408" s="11" t="s">
        <v>56</v>
      </c>
      <c r="H408" s="11"/>
      <c r="I408" s="10" t="s">
        <v>1888</v>
      </c>
      <c r="J408" s="6" t="s">
        <v>1889</v>
      </c>
      <c r="K408" s="12">
        <v>46121.746666666666</v>
      </c>
      <c r="L408" s="6" t="e" cm="1">
        <f t="array" ref="L408">LOOKUP(2^15,SEARCH(Tabela2[Palavras-Chave],Boletim4[[#This Row],[Objeto]],1),Tabela2[Palavras-Chave])</f>
        <v>#N/A</v>
      </c>
    </row>
    <row r="409" spans="1:12" ht="86.4" hidden="1" x14ac:dyDescent="0.3">
      <c r="A409" s="5">
        <v>18807351</v>
      </c>
      <c r="B409" s="6" t="s">
        <v>156</v>
      </c>
      <c r="C409" s="6" t="s">
        <v>73</v>
      </c>
      <c r="D409" s="8" t="s">
        <v>72</v>
      </c>
      <c r="E409" s="6" t="s">
        <v>1890</v>
      </c>
      <c r="F409" s="6" t="s">
        <v>85</v>
      </c>
      <c r="G409" s="11">
        <v>46146.375</v>
      </c>
      <c r="H409" s="11"/>
      <c r="I409" s="10" t="s">
        <v>1891</v>
      </c>
      <c r="J409" s="6" t="s">
        <v>1892</v>
      </c>
      <c r="K409" s="12">
        <v>46121.748078703706</v>
      </c>
      <c r="L409" s="6" t="e" cm="1">
        <f t="array" ref="L409">LOOKUP(2^15,SEARCH(Tabela2[Palavras-Chave],Boletim4[[#This Row],[Objeto]],1),Tabela2[Palavras-Chave])</f>
        <v>#N/A</v>
      </c>
    </row>
    <row r="410" spans="1:12" ht="259.2" hidden="1" x14ac:dyDescent="0.3">
      <c r="A410" s="5">
        <v>18810472</v>
      </c>
      <c r="B410" s="6" t="s">
        <v>1893</v>
      </c>
      <c r="C410" s="6" t="s">
        <v>1894</v>
      </c>
      <c r="D410" s="8" t="s">
        <v>72</v>
      </c>
      <c r="E410" s="6" t="s">
        <v>135</v>
      </c>
      <c r="F410" s="6" t="s">
        <v>85</v>
      </c>
      <c r="G410" s="11" t="s">
        <v>56</v>
      </c>
      <c r="H410" s="11"/>
      <c r="I410" s="10" t="s">
        <v>1895</v>
      </c>
      <c r="J410" s="6" t="s">
        <v>1896</v>
      </c>
      <c r="K410" s="12">
        <v>46121.756365740737</v>
      </c>
      <c r="L410" s="6" t="e" cm="1">
        <f t="array" ref="L410">LOOKUP(2^15,SEARCH(Tabela2[Palavras-Chave],Boletim4[[#This Row],[Objeto]],1),Tabela2[Palavras-Chave])</f>
        <v>#N/A</v>
      </c>
    </row>
    <row r="411" spans="1:12" ht="259.2" hidden="1" x14ac:dyDescent="0.3">
      <c r="A411" s="5">
        <v>18810308</v>
      </c>
      <c r="B411" s="6" t="s">
        <v>1897</v>
      </c>
      <c r="C411" s="6" t="s">
        <v>1101</v>
      </c>
      <c r="D411" s="8" t="s">
        <v>72</v>
      </c>
      <c r="E411" s="6" t="s">
        <v>134</v>
      </c>
      <c r="F411" s="6" t="s">
        <v>85</v>
      </c>
      <c r="G411" s="11" t="s">
        <v>56</v>
      </c>
      <c r="H411" s="11"/>
      <c r="I411" s="10" t="s">
        <v>1898</v>
      </c>
      <c r="J411" s="6" t="s">
        <v>1899</v>
      </c>
      <c r="K411" s="12">
        <v>46121.76121527778</v>
      </c>
      <c r="L411" s="6" t="e" cm="1">
        <f t="array" ref="L411">LOOKUP(2^15,SEARCH(Tabela2[Palavras-Chave],Boletim4[[#This Row],[Objeto]],1),Tabela2[Palavras-Chave])</f>
        <v>#N/A</v>
      </c>
    </row>
    <row r="412" spans="1:12" ht="43.2" hidden="1" x14ac:dyDescent="0.3">
      <c r="A412" s="5">
        <v>18810984</v>
      </c>
      <c r="B412" s="6" t="s">
        <v>1862</v>
      </c>
      <c r="C412" s="6" t="s">
        <v>387</v>
      </c>
      <c r="D412" s="8" t="s">
        <v>72</v>
      </c>
      <c r="E412" s="6" t="s">
        <v>135</v>
      </c>
      <c r="F412" s="6" t="s">
        <v>85</v>
      </c>
      <c r="G412" s="11">
        <v>46135</v>
      </c>
      <c r="H412" s="11"/>
      <c r="I412" s="10" t="s">
        <v>1900</v>
      </c>
      <c r="J412" s="6" t="s">
        <v>1901</v>
      </c>
      <c r="K412" s="12">
        <v>46121.783784722225</v>
      </c>
      <c r="L412" s="6" t="e" cm="1">
        <f t="array" ref="L412">LOOKUP(2^15,SEARCH(Tabela2[Palavras-Chave],Boletim4[[#This Row],[Objeto]],1),Tabela2[Palavras-Chave])</f>
        <v>#N/A</v>
      </c>
    </row>
    <row r="413" spans="1:12" ht="86.4" hidden="1" x14ac:dyDescent="0.3">
      <c r="A413" s="13">
        <v>18811097</v>
      </c>
      <c r="B413" s="10" t="s">
        <v>1902</v>
      </c>
      <c r="C413" s="10" t="s">
        <v>1903</v>
      </c>
      <c r="D413" s="15" t="s">
        <v>72</v>
      </c>
      <c r="E413" s="10" t="s">
        <v>165</v>
      </c>
      <c r="F413" s="10" t="s">
        <v>85</v>
      </c>
      <c r="G413" s="16" t="s">
        <v>56</v>
      </c>
      <c r="H413" s="16"/>
      <c r="I413" s="10" t="s">
        <v>1904</v>
      </c>
      <c r="J413" s="10" t="s">
        <v>1905</v>
      </c>
      <c r="K413" s="17">
        <v>46121.791030092594</v>
      </c>
      <c r="L413" s="6" t="e" cm="1">
        <f t="array" ref="L413">LOOKUP(2^15,SEARCH(Tabela2[Palavras-Chave],Boletim4[[#This Row],[Objeto]],1),Tabela2[Palavras-Chave])</f>
        <v>#N/A</v>
      </c>
    </row>
    <row r="414" spans="1:12" ht="86.4" hidden="1" x14ac:dyDescent="0.3">
      <c r="A414" s="5">
        <v>18811092</v>
      </c>
      <c r="B414" s="6" t="s">
        <v>1906</v>
      </c>
      <c r="C414" s="6" t="s">
        <v>1907</v>
      </c>
      <c r="D414" s="8" t="s">
        <v>72</v>
      </c>
      <c r="E414" s="6" t="s">
        <v>474</v>
      </c>
      <c r="F414" s="6" t="s">
        <v>85</v>
      </c>
      <c r="G414" s="11" t="s">
        <v>56</v>
      </c>
      <c r="H414" s="11"/>
      <c r="I414" s="10" t="s">
        <v>1908</v>
      </c>
      <c r="J414" s="6" t="s">
        <v>1909</v>
      </c>
      <c r="K414" s="12">
        <v>46121.794664351852</v>
      </c>
      <c r="L414" s="6" t="e" cm="1">
        <f t="array" ref="L414">LOOKUP(2^15,SEARCH(Tabela2[Palavras-Chave],Boletim4[[#This Row],[Objeto]],1),Tabela2[Palavras-Chave])</f>
        <v>#N/A</v>
      </c>
    </row>
    <row r="415" spans="1:12" ht="86.4" hidden="1" x14ac:dyDescent="0.3">
      <c r="A415" s="5">
        <v>18811091</v>
      </c>
      <c r="B415" s="6" t="s">
        <v>1910</v>
      </c>
      <c r="C415" s="6" t="s">
        <v>1911</v>
      </c>
      <c r="D415" s="8" t="s">
        <v>72</v>
      </c>
      <c r="E415" s="6" t="s">
        <v>450</v>
      </c>
      <c r="F415" s="6" t="s">
        <v>85</v>
      </c>
      <c r="G415" s="11" t="s">
        <v>56</v>
      </c>
      <c r="H415" s="11"/>
      <c r="I415" s="10" t="s">
        <v>1912</v>
      </c>
      <c r="J415" s="6" t="s">
        <v>1913</v>
      </c>
      <c r="K415" s="12">
        <v>46121.79614583333</v>
      </c>
      <c r="L415" s="6" t="e" cm="1">
        <f t="array" ref="L415">LOOKUP(2^15,SEARCH(Tabela2[Palavras-Chave],Boletim4[[#This Row],[Objeto]],1),Tabela2[Palavras-Chave])</f>
        <v>#N/A</v>
      </c>
    </row>
    <row r="416" spans="1:12" ht="86.4" hidden="1" x14ac:dyDescent="0.3">
      <c r="A416" s="5">
        <v>18811093</v>
      </c>
      <c r="B416" s="6" t="s">
        <v>1914</v>
      </c>
      <c r="C416" s="6" t="s">
        <v>472</v>
      </c>
      <c r="D416" s="8" t="s">
        <v>72</v>
      </c>
      <c r="E416" s="6" t="s">
        <v>117</v>
      </c>
      <c r="F416" s="6" t="s">
        <v>85</v>
      </c>
      <c r="G416" s="11" t="s">
        <v>56</v>
      </c>
      <c r="H416" s="11"/>
      <c r="I416" s="10" t="s">
        <v>1915</v>
      </c>
      <c r="J416" s="6" t="s">
        <v>1916</v>
      </c>
      <c r="K416" s="12">
        <v>46121.801018518519</v>
      </c>
      <c r="L416" s="6" t="e" cm="1">
        <f t="array" ref="L416">LOOKUP(2^15,SEARCH(Tabela2[Palavras-Chave],Boletim4[[#This Row],[Objeto]],1),Tabela2[Palavras-Chave])</f>
        <v>#N/A</v>
      </c>
    </row>
    <row r="417" spans="1:12" ht="86.4" hidden="1" x14ac:dyDescent="0.3">
      <c r="A417" s="5">
        <v>18811098</v>
      </c>
      <c r="B417" s="6" t="s">
        <v>1917</v>
      </c>
      <c r="C417" s="6" t="s">
        <v>1918</v>
      </c>
      <c r="D417" s="8" t="s">
        <v>72</v>
      </c>
      <c r="E417" s="6" t="s">
        <v>146</v>
      </c>
      <c r="F417" s="6" t="s">
        <v>85</v>
      </c>
      <c r="G417" s="11" t="s">
        <v>56</v>
      </c>
      <c r="H417" s="11"/>
      <c r="I417" s="10" t="s">
        <v>1919</v>
      </c>
      <c r="J417" s="6" t="s">
        <v>1920</v>
      </c>
      <c r="K417" s="12">
        <v>46121.811574074076</v>
      </c>
      <c r="L417" s="6" t="e" cm="1">
        <f t="array" ref="L417">LOOKUP(2^15,SEARCH(Tabela2[Palavras-Chave],Boletim4[[#This Row],[Objeto]],1),Tabela2[Palavras-Chave])</f>
        <v>#N/A</v>
      </c>
    </row>
    <row r="418" spans="1:12" ht="144" hidden="1" x14ac:dyDescent="0.3">
      <c r="A418" s="5">
        <v>18808357</v>
      </c>
      <c r="B418" s="6" t="s">
        <v>478</v>
      </c>
      <c r="C418" s="6" t="s">
        <v>479</v>
      </c>
      <c r="D418" s="8" t="s">
        <v>72</v>
      </c>
      <c r="E418" s="6" t="s">
        <v>1316</v>
      </c>
      <c r="F418" s="6" t="s">
        <v>85</v>
      </c>
      <c r="G418" s="11" t="s">
        <v>56</v>
      </c>
      <c r="H418" s="11"/>
      <c r="I418" s="10" t="s">
        <v>1921</v>
      </c>
      <c r="J418" s="6" t="s">
        <v>1922</v>
      </c>
      <c r="K418" s="12">
        <v>46121.833761574075</v>
      </c>
      <c r="L418" s="6" t="e" cm="1">
        <f t="array" ref="L418">LOOKUP(2^15,SEARCH(Tabela2[Palavras-Chave],Boletim4[[#This Row],[Objeto]],1),Tabela2[Palavras-Chave])</f>
        <v>#N/A</v>
      </c>
    </row>
    <row r="419" spans="1:12" ht="259.2" hidden="1" x14ac:dyDescent="0.3">
      <c r="A419" s="5">
        <v>18807081</v>
      </c>
      <c r="B419" s="6" t="s">
        <v>1923</v>
      </c>
      <c r="C419" s="6" t="s">
        <v>1924</v>
      </c>
      <c r="D419" s="8" t="s">
        <v>72</v>
      </c>
      <c r="E419" s="6" t="s">
        <v>202</v>
      </c>
      <c r="F419" s="6" t="s">
        <v>85</v>
      </c>
      <c r="G419" s="11" t="s">
        <v>56</v>
      </c>
      <c r="H419" s="11"/>
      <c r="I419" s="10" t="s">
        <v>1925</v>
      </c>
      <c r="J419" s="6" t="s">
        <v>1926</v>
      </c>
      <c r="K419" s="12">
        <v>46121.835104166668</v>
      </c>
      <c r="L419" s="6" t="e" cm="1">
        <f t="array" ref="L419">LOOKUP(2^15,SEARCH(Tabela2[Palavras-Chave],Boletim4[[#This Row],[Objeto]],1),Tabela2[Palavras-Chave])</f>
        <v>#N/A</v>
      </c>
    </row>
    <row r="420" spans="1:12" ht="43.2" hidden="1" x14ac:dyDescent="0.3">
      <c r="A420" s="5">
        <v>18811224</v>
      </c>
      <c r="B420" s="6" t="s">
        <v>1927</v>
      </c>
      <c r="C420" s="6" t="s">
        <v>1928</v>
      </c>
      <c r="D420" s="8" t="s">
        <v>72</v>
      </c>
      <c r="E420" s="6" t="s">
        <v>1929</v>
      </c>
      <c r="F420" s="6" t="s">
        <v>85</v>
      </c>
      <c r="G420" s="11">
        <v>46134.354166666664</v>
      </c>
      <c r="H420" s="11"/>
      <c r="I420" s="10" t="s">
        <v>1930</v>
      </c>
      <c r="J420" s="6" t="s">
        <v>1931</v>
      </c>
      <c r="K420" s="12">
        <v>46121.846574074072</v>
      </c>
      <c r="L420" s="6" t="e" cm="1">
        <f t="array" ref="L420">LOOKUP(2^15,SEARCH(Tabela2[Palavras-Chave],Boletim4[[#This Row],[Objeto]],1),Tabela2[Palavras-Chave])</f>
        <v>#N/A</v>
      </c>
    </row>
    <row r="421" spans="1:12" ht="100.8" hidden="1" x14ac:dyDescent="0.3">
      <c r="A421" s="5">
        <v>18807422</v>
      </c>
      <c r="B421" s="6" t="s">
        <v>74</v>
      </c>
      <c r="C421" s="6" t="s">
        <v>75</v>
      </c>
      <c r="D421" s="8" t="s">
        <v>76</v>
      </c>
      <c r="E421" s="6" t="s">
        <v>1319</v>
      </c>
      <c r="F421" s="6" t="s">
        <v>85</v>
      </c>
      <c r="G421" s="11" t="s">
        <v>56</v>
      </c>
      <c r="H421" s="11"/>
      <c r="I421" s="10" t="s">
        <v>1320</v>
      </c>
      <c r="J421" s="6" t="s">
        <v>1321</v>
      </c>
      <c r="K421" s="12">
        <v>46121.444525462961</v>
      </c>
      <c r="L421" s="6" t="e" cm="1">
        <f t="array" ref="L421">LOOKUP(2^15,SEARCH(Tabela2[Palavras-Chave],Boletim4[[#This Row],[Objeto]],1),Tabela2[Palavras-Chave])</f>
        <v>#N/A</v>
      </c>
    </row>
    <row r="422" spans="1:12" ht="28.8" hidden="1" x14ac:dyDescent="0.3">
      <c r="A422" s="5">
        <v>18807383</v>
      </c>
      <c r="B422" s="6" t="s">
        <v>74</v>
      </c>
      <c r="C422" s="6" t="s">
        <v>75</v>
      </c>
      <c r="D422" s="8" t="s">
        <v>76</v>
      </c>
      <c r="E422" s="6" t="s">
        <v>1932</v>
      </c>
      <c r="F422" s="6" t="s">
        <v>85</v>
      </c>
      <c r="G422" s="11" t="s">
        <v>56</v>
      </c>
      <c r="H422" s="11"/>
      <c r="I422" s="10" t="s">
        <v>1933</v>
      </c>
      <c r="J422" s="6" t="s">
        <v>1934</v>
      </c>
      <c r="K422" s="12">
        <v>46121.452557870369</v>
      </c>
      <c r="L422" s="6" t="e" cm="1">
        <f t="array" ref="L422">LOOKUP(2^15,SEARCH(Tabela2[Palavras-Chave],Boletim4[[#This Row],[Objeto]],1),Tabela2[Palavras-Chave])</f>
        <v>#N/A</v>
      </c>
    </row>
    <row r="423" spans="1:12" ht="72" hidden="1" x14ac:dyDescent="0.3">
      <c r="A423" s="5">
        <v>18807442</v>
      </c>
      <c r="B423" s="6" t="s">
        <v>74</v>
      </c>
      <c r="C423" s="6" t="s">
        <v>75</v>
      </c>
      <c r="D423" s="8" t="s">
        <v>76</v>
      </c>
      <c r="E423" s="6" t="s">
        <v>1355</v>
      </c>
      <c r="F423" s="6" t="s">
        <v>85</v>
      </c>
      <c r="G423" s="11" t="s">
        <v>56</v>
      </c>
      <c r="H423" s="11"/>
      <c r="I423" s="10" t="s">
        <v>1356</v>
      </c>
      <c r="J423" s="6" t="s">
        <v>1357</v>
      </c>
      <c r="K423" s="12">
        <v>46121.456122685187</v>
      </c>
      <c r="L423" s="6" t="e" cm="1">
        <f t="array" ref="L423">LOOKUP(2^15,SEARCH(Tabela2[Palavras-Chave],Boletim4[[#This Row],[Objeto]],1),Tabela2[Palavras-Chave])</f>
        <v>#N/A</v>
      </c>
    </row>
    <row r="424" spans="1:12" ht="72" hidden="1" x14ac:dyDescent="0.3">
      <c r="A424" s="5">
        <v>18807376</v>
      </c>
      <c r="B424" s="6" t="s">
        <v>74</v>
      </c>
      <c r="C424" s="6" t="s">
        <v>75</v>
      </c>
      <c r="D424" s="8" t="s">
        <v>76</v>
      </c>
      <c r="E424" s="6" t="s">
        <v>1839</v>
      </c>
      <c r="F424" s="6" t="s">
        <v>85</v>
      </c>
      <c r="G424" s="11" t="s">
        <v>56</v>
      </c>
      <c r="H424" s="11"/>
      <c r="I424" s="10" t="s">
        <v>1840</v>
      </c>
      <c r="J424" s="6" t="s">
        <v>1841</v>
      </c>
      <c r="K424" s="12">
        <v>46121.470092592594</v>
      </c>
      <c r="L424" s="6" t="e" cm="1">
        <f t="array" ref="L424">LOOKUP(2^15,SEARCH(Tabela2[Palavras-Chave],Boletim4[[#This Row],[Objeto]],1),Tabela2[Palavras-Chave])</f>
        <v>#N/A</v>
      </c>
    </row>
    <row r="425" spans="1:12" ht="43.2" hidden="1" x14ac:dyDescent="0.3">
      <c r="A425" s="5">
        <v>18807559</v>
      </c>
      <c r="B425" s="6" t="s">
        <v>74</v>
      </c>
      <c r="C425" s="6" t="s">
        <v>75</v>
      </c>
      <c r="D425" s="8" t="s">
        <v>76</v>
      </c>
      <c r="E425" s="6" t="s">
        <v>1935</v>
      </c>
      <c r="F425" s="6" t="s">
        <v>85</v>
      </c>
      <c r="G425" s="11" t="s">
        <v>56</v>
      </c>
      <c r="H425" s="11"/>
      <c r="I425" s="10" t="s">
        <v>1936</v>
      </c>
      <c r="J425" s="6" t="s">
        <v>1937</v>
      </c>
      <c r="K425" s="12">
        <v>46121.502291666664</v>
      </c>
      <c r="L425" s="6" t="e" cm="1">
        <f t="array" ref="L425">LOOKUP(2^15,SEARCH(Tabela2[Palavras-Chave],Boletim4[[#This Row],[Objeto]],1),Tabela2[Palavras-Chave])</f>
        <v>#N/A</v>
      </c>
    </row>
    <row r="426" spans="1:12" ht="72" hidden="1" x14ac:dyDescent="0.3">
      <c r="A426" s="5">
        <v>18807473</v>
      </c>
      <c r="B426" s="6" t="s">
        <v>74</v>
      </c>
      <c r="C426" s="6" t="s">
        <v>75</v>
      </c>
      <c r="D426" s="8" t="s">
        <v>76</v>
      </c>
      <c r="E426" s="6" t="s">
        <v>1938</v>
      </c>
      <c r="F426" s="6" t="s">
        <v>85</v>
      </c>
      <c r="G426" s="11" t="s">
        <v>56</v>
      </c>
      <c r="H426" s="11"/>
      <c r="I426" s="10" t="s">
        <v>1939</v>
      </c>
      <c r="J426" s="6" t="s">
        <v>1940</v>
      </c>
      <c r="K426" s="12">
        <v>46121.504513888889</v>
      </c>
      <c r="L426" s="6" t="e" cm="1">
        <f t="array" ref="L426">LOOKUP(2^15,SEARCH(Tabela2[Palavras-Chave],Boletim4[[#This Row],[Objeto]],1),Tabela2[Palavras-Chave])</f>
        <v>#N/A</v>
      </c>
    </row>
    <row r="427" spans="1:12" ht="273.60000000000002" hidden="1" x14ac:dyDescent="0.3">
      <c r="A427" s="5">
        <v>18807782</v>
      </c>
      <c r="B427" s="6" t="s">
        <v>1941</v>
      </c>
      <c r="C427" s="6" t="s">
        <v>75</v>
      </c>
      <c r="D427" s="8" t="s">
        <v>76</v>
      </c>
      <c r="E427" s="6" t="s">
        <v>126</v>
      </c>
      <c r="F427" s="6" t="s">
        <v>85</v>
      </c>
      <c r="G427" s="11" t="s">
        <v>56</v>
      </c>
      <c r="H427" s="11"/>
      <c r="I427" s="10" t="s">
        <v>1942</v>
      </c>
      <c r="J427" s="6" t="s">
        <v>1943</v>
      </c>
      <c r="K427" s="12">
        <v>46121.560277777775</v>
      </c>
      <c r="L427" s="6" t="e" cm="1">
        <f t="array" ref="L427">LOOKUP(2^15,SEARCH(Tabela2[Palavras-Chave],Boletim4[[#This Row],[Objeto]],1),Tabela2[Palavras-Chave])</f>
        <v>#N/A</v>
      </c>
    </row>
    <row r="428" spans="1:12" ht="115.2" hidden="1" x14ac:dyDescent="0.3">
      <c r="A428" s="5">
        <v>18808959</v>
      </c>
      <c r="B428" s="6" t="s">
        <v>1944</v>
      </c>
      <c r="C428" s="6" t="s">
        <v>75</v>
      </c>
      <c r="D428" s="8" t="s">
        <v>76</v>
      </c>
      <c r="E428" s="6" t="s">
        <v>1945</v>
      </c>
      <c r="F428" s="6" t="s">
        <v>85</v>
      </c>
      <c r="G428" s="11" t="s">
        <v>56</v>
      </c>
      <c r="H428" s="11"/>
      <c r="I428" s="10" t="s">
        <v>1946</v>
      </c>
      <c r="J428" s="6" t="s">
        <v>1947</v>
      </c>
      <c r="K428" s="12">
        <v>46121.576516203706</v>
      </c>
      <c r="L428" s="6" t="e" cm="1">
        <f t="array" ref="L428">LOOKUP(2^15,SEARCH(Tabela2[Palavras-Chave],Boletim4[[#This Row],[Objeto]],1),Tabela2[Palavras-Chave])</f>
        <v>#N/A</v>
      </c>
    </row>
    <row r="429" spans="1:12" ht="115.2" hidden="1" x14ac:dyDescent="0.3">
      <c r="A429" s="5">
        <v>18808988</v>
      </c>
      <c r="B429" s="6" t="s">
        <v>1948</v>
      </c>
      <c r="C429" s="6" t="s">
        <v>578</v>
      </c>
      <c r="D429" s="8" t="s">
        <v>76</v>
      </c>
      <c r="E429" s="6" t="s">
        <v>183</v>
      </c>
      <c r="F429" s="6" t="s">
        <v>85</v>
      </c>
      <c r="G429" s="11" t="s">
        <v>56</v>
      </c>
      <c r="H429" s="11"/>
      <c r="I429" s="10" t="s">
        <v>1949</v>
      </c>
      <c r="J429" s="6" t="s">
        <v>1950</v>
      </c>
      <c r="K429" s="12">
        <v>46121.576979166668</v>
      </c>
      <c r="L429" s="6" t="e" cm="1">
        <f t="array" ref="L429">LOOKUP(2^15,SEARCH(Tabela2[Palavras-Chave],Boletim4[[#This Row],[Objeto]],1),Tabela2[Palavras-Chave])</f>
        <v>#N/A</v>
      </c>
    </row>
    <row r="430" spans="1:12" ht="115.2" hidden="1" x14ac:dyDescent="0.3">
      <c r="A430" s="13">
        <v>18808974</v>
      </c>
      <c r="B430" s="10" t="s">
        <v>225</v>
      </c>
      <c r="C430" s="10" t="s">
        <v>75</v>
      </c>
      <c r="D430" s="15" t="s">
        <v>76</v>
      </c>
      <c r="E430" s="10" t="s">
        <v>1951</v>
      </c>
      <c r="F430" s="10" t="s">
        <v>85</v>
      </c>
      <c r="G430" s="16" t="s">
        <v>56</v>
      </c>
      <c r="H430" s="16"/>
      <c r="I430" s="10" t="s">
        <v>1952</v>
      </c>
      <c r="J430" s="10" t="s">
        <v>1953</v>
      </c>
      <c r="K430" s="17">
        <v>46121.580243055556</v>
      </c>
      <c r="L430" s="6" t="e" cm="1">
        <f t="array" ref="L430">LOOKUP(2^15,SEARCH(Tabela2[Palavras-Chave],Boletim4[[#This Row],[Objeto]],1),Tabela2[Palavras-Chave])</f>
        <v>#N/A</v>
      </c>
    </row>
    <row r="431" spans="1:12" ht="115.2" hidden="1" x14ac:dyDescent="0.3">
      <c r="A431" s="5">
        <v>18808976</v>
      </c>
      <c r="B431" s="6" t="s">
        <v>225</v>
      </c>
      <c r="C431" s="6" t="s">
        <v>75</v>
      </c>
      <c r="D431" s="8" t="s">
        <v>76</v>
      </c>
      <c r="E431" s="6" t="s">
        <v>1954</v>
      </c>
      <c r="F431" s="6" t="s">
        <v>85</v>
      </c>
      <c r="G431" s="11" t="s">
        <v>56</v>
      </c>
      <c r="H431" s="11"/>
      <c r="I431" s="10" t="s">
        <v>1955</v>
      </c>
      <c r="J431" s="6" t="s">
        <v>1956</v>
      </c>
      <c r="K431" s="12">
        <v>46121.612002314818</v>
      </c>
      <c r="L431" s="6" t="e" cm="1">
        <f t="array" ref="L431">LOOKUP(2^15,SEARCH(Tabela2[Palavras-Chave],Boletim4[[#This Row],[Objeto]],1),Tabela2[Palavras-Chave])</f>
        <v>#N/A</v>
      </c>
    </row>
    <row r="432" spans="1:12" ht="172.8" hidden="1" x14ac:dyDescent="0.3">
      <c r="A432" s="5">
        <v>18808989</v>
      </c>
      <c r="B432" s="6" t="s">
        <v>1388</v>
      </c>
      <c r="C432" s="6" t="s">
        <v>213</v>
      </c>
      <c r="D432" s="8" t="s">
        <v>76</v>
      </c>
      <c r="E432" s="6" t="s">
        <v>1389</v>
      </c>
      <c r="F432" s="6" t="s">
        <v>85</v>
      </c>
      <c r="G432" s="11" t="s">
        <v>56</v>
      </c>
      <c r="H432" s="11"/>
      <c r="I432" s="10" t="s">
        <v>1390</v>
      </c>
      <c r="J432" s="6" t="s">
        <v>1391</v>
      </c>
      <c r="K432" s="12">
        <v>46121.634710648148</v>
      </c>
      <c r="L432" s="6" t="e" cm="1">
        <f t="array" ref="L432">LOOKUP(2^15,SEARCH(Tabela2[Palavras-Chave],Boletim4[[#This Row],[Objeto]],1),Tabela2[Palavras-Chave])</f>
        <v>#N/A</v>
      </c>
    </row>
    <row r="433" spans="1:12" ht="115.2" hidden="1" x14ac:dyDescent="0.3">
      <c r="A433" s="5">
        <v>18808991</v>
      </c>
      <c r="B433" s="6" t="s">
        <v>1957</v>
      </c>
      <c r="C433" s="6" t="s">
        <v>75</v>
      </c>
      <c r="D433" s="8" t="s">
        <v>76</v>
      </c>
      <c r="E433" s="6" t="s">
        <v>157</v>
      </c>
      <c r="F433" s="6" t="s">
        <v>85</v>
      </c>
      <c r="G433" s="11" t="s">
        <v>56</v>
      </c>
      <c r="H433" s="11"/>
      <c r="I433" s="10" t="s">
        <v>1958</v>
      </c>
      <c r="J433" s="6" t="s">
        <v>1959</v>
      </c>
      <c r="K433" s="12">
        <v>46121.652974537035</v>
      </c>
      <c r="L433" s="6" t="e" cm="1">
        <f t="array" ref="L433">LOOKUP(2^15,SEARCH(Tabela2[Palavras-Chave],Boletim4[[#This Row],[Objeto]],1),Tabela2[Palavras-Chave])</f>
        <v>#N/A</v>
      </c>
    </row>
    <row r="434" spans="1:12" ht="115.2" hidden="1" x14ac:dyDescent="0.3">
      <c r="A434" s="5">
        <v>18808960</v>
      </c>
      <c r="B434" s="6" t="s">
        <v>1960</v>
      </c>
      <c r="C434" s="6" t="s">
        <v>1961</v>
      </c>
      <c r="D434" s="8" t="s">
        <v>76</v>
      </c>
      <c r="E434" s="6" t="s">
        <v>1962</v>
      </c>
      <c r="F434" s="6" t="s">
        <v>85</v>
      </c>
      <c r="G434" s="11" t="s">
        <v>56</v>
      </c>
      <c r="H434" s="11"/>
      <c r="I434" s="10" t="s">
        <v>1963</v>
      </c>
      <c r="J434" s="6" t="s">
        <v>1964</v>
      </c>
      <c r="K434" s="12">
        <v>46121.663483796299</v>
      </c>
      <c r="L434" s="6" t="e" cm="1">
        <f t="array" ref="L434">LOOKUP(2^15,SEARCH(Tabela2[Palavras-Chave],Boletim4[[#This Row],[Objeto]],1),Tabela2[Palavras-Chave])</f>
        <v>#N/A</v>
      </c>
    </row>
    <row r="435" spans="1:12" ht="172.8" hidden="1" x14ac:dyDescent="0.3">
      <c r="A435" s="5">
        <v>18793543</v>
      </c>
      <c r="B435" s="6" t="s">
        <v>1965</v>
      </c>
      <c r="C435" s="6" t="s">
        <v>1961</v>
      </c>
      <c r="D435" s="8" t="s">
        <v>76</v>
      </c>
      <c r="E435" s="6" t="s">
        <v>1966</v>
      </c>
      <c r="F435" s="6" t="s">
        <v>85</v>
      </c>
      <c r="G435" s="11">
        <v>46134.375</v>
      </c>
      <c r="H435" s="11"/>
      <c r="I435" s="10" t="s">
        <v>1967</v>
      </c>
      <c r="J435" s="6" t="s">
        <v>1968</v>
      </c>
      <c r="K435" s="12">
        <v>46121.69122685185</v>
      </c>
      <c r="L435" s="6" t="e" cm="1">
        <f t="array" ref="L435">LOOKUP(2^15,SEARCH(Tabela2[Palavras-Chave],Boletim4[[#This Row],[Objeto]],1),Tabela2[Palavras-Chave])</f>
        <v>#N/A</v>
      </c>
    </row>
    <row r="436" spans="1:12" ht="72" x14ac:dyDescent="0.3">
      <c r="A436" s="5">
        <v>18810011</v>
      </c>
      <c r="B436" s="6" t="s">
        <v>74</v>
      </c>
      <c r="C436" s="6" t="s">
        <v>75</v>
      </c>
      <c r="D436" s="8" t="s">
        <v>76</v>
      </c>
      <c r="E436" s="6" t="s">
        <v>1969</v>
      </c>
      <c r="F436" s="6" t="s">
        <v>85</v>
      </c>
      <c r="G436" s="11" t="s">
        <v>56</v>
      </c>
      <c r="H436" s="11"/>
      <c r="I436" s="10" t="s">
        <v>1970</v>
      </c>
      <c r="J436" s="6" t="s">
        <v>1971</v>
      </c>
      <c r="K436" s="12">
        <v>46121.705497685187</v>
      </c>
      <c r="L436" s="6" t="str" cm="1">
        <f t="array" ref="L436">LOOKUP(2^15,SEARCH(Tabela2[Palavras-Chave],Boletim4[[#This Row],[Objeto]],1),Tabela2[Palavras-Chave])</f>
        <v>ELEVADO</v>
      </c>
    </row>
    <row r="437" spans="1:12" ht="72" hidden="1" x14ac:dyDescent="0.3">
      <c r="A437" s="5">
        <v>18810009</v>
      </c>
      <c r="B437" s="6" t="s">
        <v>74</v>
      </c>
      <c r="C437" s="6" t="s">
        <v>75</v>
      </c>
      <c r="D437" s="8" t="s">
        <v>76</v>
      </c>
      <c r="E437" s="6" t="s">
        <v>1972</v>
      </c>
      <c r="F437" s="6" t="s">
        <v>85</v>
      </c>
      <c r="G437" s="11" t="s">
        <v>56</v>
      </c>
      <c r="H437" s="11"/>
      <c r="I437" s="10" t="s">
        <v>1973</v>
      </c>
      <c r="J437" s="6" t="s">
        <v>1974</v>
      </c>
      <c r="K437" s="12">
        <v>46121.705694444441</v>
      </c>
      <c r="L437" s="6" t="e" cm="1">
        <f t="array" ref="L437">LOOKUP(2^15,SEARCH(Tabela2[Palavras-Chave],Boletim4[[#This Row],[Objeto]],1),Tabela2[Palavras-Chave])</f>
        <v>#N/A</v>
      </c>
    </row>
    <row r="438" spans="1:12" ht="28.8" hidden="1" x14ac:dyDescent="0.3">
      <c r="A438" s="5">
        <v>18810007</v>
      </c>
      <c r="B438" s="6" t="s">
        <v>74</v>
      </c>
      <c r="C438" s="6" t="s">
        <v>75</v>
      </c>
      <c r="D438" s="8" t="s">
        <v>76</v>
      </c>
      <c r="E438" s="6" t="s">
        <v>1975</v>
      </c>
      <c r="F438" s="6" t="s">
        <v>85</v>
      </c>
      <c r="G438" s="11" t="s">
        <v>56</v>
      </c>
      <c r="H438" s="11"/>
      <c r="I438" s="10" t="s">
        <v>1976</v>
      </c>
      <c r="J438" s="6" t="s">
        <v>1977</v>
      </c>
      <c r="K438" s="12">
        <v>46121.705775462964</v>
      </c>
      <c r="L438" s="6" t="e" cm="1">
        <f t="array" ref="L438">LOOKUP(2^15,SEARCH(Tabela2[Palavras-Chave],Boletim4[[#This Row],[Objeto]],1),Tabela2[Palavras-Chave])</f>
        <v>#N/A</v>
      </c>
    </row>
    <row r="439" spans="1:12" ht="72" hidden="1" x14ac:dyDescent="0.3">
      <c r="A439" s="5">
        <v>18810004</v>
      </c>
      <c r="B439" s="6" t="s">
        <v>74</v>
      </c>
      <c r="C439" s="6" t="s">
        <v>75</v>
      </c>
      <c r="D439" s="8" t="s">
        <v>76</v>
      </c>
      <c r="E439" s="6" t="s">
        <v>1978</v>
      </c>
      <c r="F439" s="6" t="s">
        <v>85</v>
      </c>
      <c r="G439" s="11" t="s">
        <v>56</v>
      </c>
      <c r="H439" s="11"/>
      <c r="I439" s="10" t="s">
        <v>1979</v>
      </c>
      <c r="J439" s="6" t="s">
        <v>1971</v>
      </c>
      <c r="K439" s="12">
        <v>46121.70590277778</v>
      </c>
      <c r="L439" s="6" t="e" cm="1">
        <f t="array" ref="L439">LOOKUP(2^15,SEARCH(Tabela2[Palavras-Chave],Boletim4[[#This Row],[Objeto]],1),Tabela2[Palavras-Chave])</f>
        <v>#N/A</v>
      </c>
    </row>
    <row r="440" spans="1:12" ht="86.4" hidden="1" x14ac:dyDescent="0.3">
      <c r="A440" s="5">
        <v>18809994</v>
      </c>
      <c r="B440" s="6" t="s">
        <v>74</v>
      </c>
      <c r="C440" s="6" t="s">
        <v>75</v>
      </c>
      <c r="D440" s="8" t="s">
        <v>76</v>
      </c>
      <c r="E440" s="6" t="s">
        <v>1980</v>
      </c>
      <c r="F440" s="6" t="s">
        <v>85</v>
      </c>
      <c r="G440" s="11" t="s">
        <v>56</v>
      </c>
      <c r="H440" s="11"/>
      <c r="I440" s="10" t="s">
        <v>1981</v>
      </c>
      <c r="J440" s="6" t="s">
        <v>1982</v>
      </c>
      <c r="K440" s="12">
        <v>46121.707048611112</v>
      </c>
      <c r="L440" s="6" t="e" cm="1">
        <f t="array" ref="L440">LOOKUP(2^15,SEARCH(Tabela2[Palavras-Chave],Boletim4[[#This Row],[Objeto]],1),Tabela2[Palavras-Chave])</f>
        <v>#N/A</v>
      </c>
    </row>
    <row r="441" spans="1:12" ht="129.6" hidden="1" x14ac:dyDescent="0.3">
      <c r="A441" s="5">
        <v>18807344</v>
      </c>
      <c r="B441" s="6" t="s">
        <v>1983</v>
      </c>
      <c r="C441" s="6" t="s">
        <v>1984</v>
      </c>
      <c r="D441" s="8" t="s">
        <v>76</v>
      </c>
      <c r="E441" s="6" t="s">
        <v>240</v>
      </c>
      <c r="F441" s="6" t="s">
        <v>85</v>
      </c>
      <c r="G441" s="11">
        <v>46139.375</v>
      </c>
      <c r="H441" s="11"/>
      <c r="I441" s="10" t="s">
        <v>1985</v>
      </c>
      <c r="J441" s="6" t="s">
        <v>1986</v>
      </c>
      <c r="K441" s="12">
        <v>46121.709548611114</v>
      </c>
      <c r="L441" s="6" t="e" cm="1">
        <f t="array" ref="L441">LOOKUP(2^15,SEARCH(Tabela2[Palavras-Chave],Boletim4[[#This Row],[Objeto]],1),Tabela2[Palavras-Chave])</f>
        <v>#N/A</v>
      </c>
    </row>
    <row r="442" spans="1:12" ht="57.6" hidden="1" x14ac:dyDescent="0.3">
      <c r="A442" s="5">
        <v>18810006</v>
      </c>
      <c r="B442" s="6" t="s">
        <v>74</v>
      </c>
      <c r="C442" s="6" t="s">
        <v>75</v>
      </c>
      <c r="D442" s="8" t="s">
        <v>76</v>
      </c>
      <c r="E442" s="6" t="s">
        <v>1987</v>
      </c>
      <c r="F442" s="6" t="s">
        <v>85</v>
      </c>
      <c r="G442" s="11" t="s">
        <v>56</v>
      </c>
      <c r="H442" s="11"/>
      <c r="I442" s="10" t="s">
        <v>1988</v>
      </c>
      <c r="J442" s="6" t="s">
        <v>1989</v>
      </c>
      <c r="K442" s="12">
        <v>46121.712638888886</v>
      </c>
      <c r="L442" s="6" t="e" cm="1">
        <f t="array" ref="L442">LOOKUP(2^15,SEARCH(Tabela2[Palavras-Chave],Boletim4[[#This Row],[Objeto]],1),Tabela2[Palavras-Chave])</f>
        <v>#N/A</v>
      </c>
    </row>
    <row r="443" spans="1:12" ht="259.2" hidden="1" x14ac:dyDescent="0.3">
      <c r="A443" s="5">
        <v>18810282</v>
      </c>
      <c r="B443" s="6" t="s">
        <v>1990</v>
      </c>
      <c r="C443" s="6" t="s">
        <v>1991</v>
      </c>
      <c r="D443" s="8" t="s">
        <v>76</v>
      </c>
      <c r="E443" s="6" t="s">
        <v>115</v>
      </c>
      <c r="F443" s="6" t="s">
        <v>85</v>
      </c>
      <c r="G443" s="11" t="s">
        <v>56</v>
      </c>
      <c r="H443" s="11"/>
      <c r="I443" s="10" t="s">
        <v>1992</v>
      </c>
      <c r="J443" s="6" t="s">
        <v>1993</v>
      </c>
      <c r="K443" s="12">
        <v>46121.721388888887</v>
      </c>
      <c r="L443" s="6" t="e" cm="1">
        <f t="array" ref="L443">LOOKUP(2^15,SEARCH(Tabela2[Palavras-Chave],Boletim4[[#This Row],[Objeto]],1),Tabela2[Palavras-Chave])</f>
        <v>#N/A</v>
      </c>
    </row>
    <row r="444" spans="1:12" ht="115.2" hidden="1" x14ac:dyDescent="0.3">
      <c r="A444" s="13">
        <v>18810432</v>
      </c>
      <c r="B444" s="10" t="s">
        <v>480</v>
      </c>
      <c r="C444" s="10" t="s">
        <v>75</v>
      </c>
      <c r="D444" s="15" t="s">
        <v>76</v>
      </c>
      <c r="E444" s="10" t="s">
        <v>1994</v>
      </c>
      <c r="F444" s="10" t="s">
        <v>85</v>
      </c>
      <c r="G444" s="16" t="s">
        <v>56</v>
      </c>
      <c r="H444" s="16"/>
      <c r="I444" s="10" t="s">
        <v>1995</v>
      </c>
      <c r="J444" s="10" t="s">
        <v>1996</v>
      </c>
      <c r="K444" s="17">
        <v>46121.735868055555</v>
      </c>
      <c r="L444" s="6" t="e" cm="1">
        <f t="array" ref="L444">LOOKUP(2^15,SEARCH(Tabela2[Palavras-Chave],Boletim4[[#This Row],[Objeto]],1),Tabela2[Palavras-Chave])</f>
        <v>#N/A</v>
      </c>
    </row>
    <row r="445" spans="1:12" ht="115.2" hidden="1" x14ac:dyDescent="0.3">
      <c r="A445" s="5">
        <v>18808966</v>
      </c>
      <c r="B445" s="6" t="s">
        <v>1997</v>
      </c>
      <c r="C445" s="6" t="s">
        <v>1998</v>
      </c>
      <c r="D445" s="8" t="s">
        <v>76</v>
      </c>
      <c r="E445" s="6" t="s">
        <v>241</v>
      </c>
      <c r="F445" s="6" t="s">
        <v>85</v>
      </c>
      <c r="G445" s="11" t="s">
        <v>56</v>
      </c>
      <c r="H445" s="11"/>
      <c r="I445" s="10" t="s">
        <v>1999</v>
      </c>
      <c r="J445" s="6" t="s">
        <v>2000</v>
      </c>
      <c r="K445" s="12">
        <v>46121.749722222223</v>
      </c>
      <c r="L445" s="6" t="e" cm="1">
        <f t="array" ref="L445">LOOKUP(2^15,SEARCH(Tabela2[Palavras-Chave],Boletim4[[#This Row],[Objeto]],1),Tabela2[Palavras-Chave])</f>
        <v>#N/A</v>
      </c>
    </row>
    <row r="446" spans="1:12" ht="43.2" hidden="1" x14ac:dyDescent="0.3">
      <c r="A446" s="5">
        <v>18809993</v>
      </c>
      <c r="B446" s="6" t="s">
        <v>74</v>
      </c>
      <c r="C446" s="6" t="s">
        <v>75</v>
      </c>
      <c r="D446" s="8" t="s">
        <v>76</v>
      </c>
      <c r="E446" s="6" t="s">
        <v>2001</v>
      </c>
      <c r="F446" s="6" t="s">
        <v>85</v>
      </c>
      <c r="G446" s="11" t="s">
        <v>56</v>
      </c>
      <c r="H446" s="11"/>
      <c r="I446" s="10" t="s">
        <v>2002</v>
      </c>
      <c r="J446" s="6" t="s">
        <v>2003</v>
      </c>
      <c r="K446" s="12">
        <v>46121.756666666668</v>
      </c>
      <c r="L446" s="6" t="e" cm="1">
        <f t="array" ref="L446">LOOKUP(2^15,SEARCH(Tabela2[Palavras-Chave],Boletim4[[#This Row],[Objeto]],1),Tabela2[Palavras-Chave])</f>
        <v>#N/A</v>
      </c>
    </row>
    <row r="447" spans="1:12" ht="115.2" hidden="1" x14ac:dyDescent="0.3">
      <c r="A447" s="5">
        <v>18808983</v>
      </c>
      <c r="B447" s="6" t="s">
        <v>2004</v>
      </c>
      <c r="C447" s="6" t="s">
        <v>75</v>
      </c>
      <c r="D447" s="8" t="s">
        <v>76</v>
      </c>
      <c r="E447" s="6" t="s">
        <v>2005</v>
      </c>
      <c r="F447" s="6" t="s">
        <v>85</v>
      </c>
      <c r="G447" s="11" t="s">
        <v>56</v>
      </c>
      <c r="H447" s="11"/>
      <c r="I447" s="10" t="s">
        <v>2006</v>
      </c>
      <c r="J447" s="6" t="s">
        <v>2007</v>
      </c>
      <c r="K447" s="12">
        <v>46121.807083333333</v>
      </c>
      <c r="L447" s="6" t="e" cm="1">
        <f t="array" ref="L447">LOOKUP(2^15,SEARCH(Tabela2[Palavras-Chave],Boletim4[[#This Row],[Objeto]],1),Tabela2[Palavras-Chave])</f>
        <v>#N/A</v>
      </c>
    </row>
    <row r="448" spans="1:12" ht="115.2" hidden="1" x14ac:dyDescent="0.3">
      <c r="A448" s="5">
        <v>18810913</v>
      </c>
      <c r="B448" s="6" t="s">
        <v>2008</v>
      </c>
      <c r="C448" s="6" t="s">
        <v>75</v>
      </c>
      <c r="D448" s="8" t="s">
        <v>76</v>
      </c>
      <c r="E448" s="6" t="s">
        <v>370</v>
      </c>
      <c r="F448" s="6" t="s">
        <v>85</v>
      </c>
      <c r="G448" s="11">
        <v>46129.416666666664</v>
      </c>
      <c r="H448" s="11"/>
      <c r="I448" s="10" t="s">
        <v>2009</v>
      </c>
      <c r="J448" s="6" t="s">
        <v>2010</v>
      </c>
      <c r="K448" s="12">
        <v>46121.827037037037</v>
      </c>
      <c r="L448" s="6" t="e" cm="1">
        <f t="array" ref="L448">LOOKUP(2^15,SEARCH(Tabela2[Palavras-Chave],Boletim4[[#This Row],[Objeto]],1),Tabela2[Palavras-Chave])</f>
        <v>#N/A</v>
      </c>
    </row>
    <row r="449" spans="1:12" ht="115.2" hidden="1" x14ac:dyDescent="0.3">
      <c r="A449" s="5">
        <v>18808985</v>
      </c>
      <c r="B449" s="6" t="s">
        <v>357</v>
      </c>
      <c r="C449" s="6" t="s">
        <v>358</v>
      </c>
      <c r="D449" s="8" t="s">
        <v>76</v>
      </c>
      <c r="E449" s="6" t="s">
        <v>210</v>
      </c>
      <c r="F449" s="6" t="s">
        <v>85</v>
      </c>
      <c r="G449" s="11" t="s">
        <v>56</v>
      </c>
      <c r="H449" s="11"/>
      <c r="I449" s="10" t="s">
        <v>2011</v>
      </c>
      <c r="J449" s="6" t="s">
        <v>2012</v>
      </c>
      <c r="K449" s="12">
        <v>46121.827569444446</v>
      </c>
      <c r="L449" s="6" t="e" cm="1">
        <f t="array" ref="L449">LOOKUP(2^15,SEARCH(Tabela2[Palavras-Chave],Boletim4[[#This Row],[Objeto]],1),Tabela2[Palavras-Chave])</f>
        <v>#N/A</v>
      </c>
    </row>
    <row r="450" spans="1:12" ht="43.2" hidden="1" x14ac:dyDescent="0.3">
      <c r="A450" s="5">
        <v>18810939</v>
      </c>
      <c r="B450" s="6" t="s">
        <v>355</v>
      </c>
      <c r="C450" s="6" t="s">
        <v>356</v>
      </c>
      <c r="D450" s="8" t="s">
        <v>76</v>
      </c>
      <c r="E450" s="6" t="s">
        <v>119</v>
      </c>
      <c r="F450" s="6" t="s">
        <v>85</v>
      </c>
      <c r="G450" s="11" t="s">
        <v>56</v>
      </c>
      <c r="H450" s="11"/>
      <c r="I450" s="10" t="s">
        <v>2013</v>
      </c>
      <c r="J450" s="6" t="s">
        <v>2014</v>
      </c>
      <c r="K450" s="12">
        <v>46121.831307870372</v>
      </c>
      <c r="L450" s="6" t="e" cm="1">
        <f t="array" ref="L450">LOOKUP(2^15,SEARCH(Tabela2[Palavras-Chave],Boletim4[[#This Row],[Objeto]],1),Tabela2[Palavras-Chave])</f>
        <v>#N/A</v>
      </c>
    </row>
    <row r="451" spans="1:12" ht="100.8" hidden="1" x14ac:dyDescent="0.3">
      <c r="A451" s="5">
        <v>18809518</v>
      </c>
      <c r="B451" s="6" t="s">
        <v>2015</v>
      </c>
      <c r="C451" s="6" t="s">
        <v>2016</v>
      </c>
      <c r="D451" s="8" t="s">
        <v>76</v>
      </c>
      <c r="E451" s="6" t="s">
        <v>146</v>
      </c>
      <c r="F451" s="6" t="s">
        <v>85</v>
      </c>
      <c r="G451" s="11">
        <v>46139.374305555553</v>
      </c>
      <c r="H451" s="11"/>
      <c r="I451" s="10" t="s">
        <v>2017</v>
      </c>
      <c r="J451" s="6" t="s">
        <v>2018</v>
      </c>
      <c r="K451" s="12">
        <v>46121.863159722219</v>
      </c>
      <c r="L451" s="6" t="e" cm="1">
        <f t="array" ref="L451">LOOKUP(2^15,SEARCH(Tabela2[Palavras-Chave],Boletim4[[#This Row],[Objeto]],1),Tabela2[Palavras-Chave])</f>
        <v>#N/A</v>
      </c>
    </row>
    <row r="452" spans="1:12" ht="100.8" hidden="1" x14ac:dyDescent="0.3">
      <c r="A452" s="5">
        <v>18807454</v>
      </c>
      <c r="B452" s="6" t="s">
        <v>74</v>
      </c>
      <c r="C452" s="6" t="s">
        <v>102</v>
      </c>
      <c r="D452" s="8" t="s">
        <v>77</v>
      </c>
      <c r="E452" s="6" t="s">
        <v>1319</v>
      </c>
      <c r="F452" s="6" t="s">
        <v>85</v>
      </c>
      <c r="G452" s="11" t="s">
        <v>56</v>
      </c>
      <c r="H452" s="11"/>
      <c r="I452" s="10" t="s">
        <v>1320</v>
      </c>
      <c r="J452" s="6" t="s">
        <v>1321</v>
      </c>
      <c r="K452" s="12">
        <v>46121.44730324074</v>
      </c>
      <c r="L452" s="6" t="e" cm="1">
        <f t="array" ref="L452">LOOKUP(2^15,SEARCH(Tabela2[Palavras-Chave],Boletim4[[#This Row],[Objeto]],1),Tabela2[Palavras-Chave])</f>
        <v>#N/A</v>
      </c>
    </row>
    <row r="453" spans="1:12" ht="86.4" hidden="1" x14ac:dyDescent="0.3">
      <c r="A453" s="5">
        <v>18810441</v>
      </c>
      <c r="B453" s="6" t="s">
        <v>2019</v>
      </c>
      <c r="C453" s="6" t="s">
        <v>2020</v>
      </c>
      <c r="D453" s="8" t="s">
        <v>77</v>
      </c>
      <c r="E453" s="6" t="s">
        <v>117</v>
      </c>
      <c r="F453" s="6" t="s">
        <v>85</v>
      </c>
      <c r="G453" s="11" t="s">
        <v>56</v>
      </c>
      <c r="H453" s="11"/>
      <c r="I453" s="10" t="s">
        <v>2021</v>
      </c>
      <c r="J453" s="6" t="s">
        <v>2022</v>
      </c>
      <c r="K453" s="12">
        <v>46121.736018518517</v>
      </c>
      <c r="L453" s="6" t="e" cm="1">
        <f t="array" ref="L453">LOOKUP(2^15,SEARCH(Tabela2[Palavras-Chave],Boletim4[[#This Row],[Objeto]],1),Tabela2[Palavras-Chave])</f>
        <v>#N/A</v>
      </c>
    </row>
    <row r="454" spans="1:12" ht="244.8" hidden="1" x14ac:dyDescent="0.3">
      <c r="A454" s="5">
        <v>18810368</v>
      </c>
      <c r="B454" s="6" t="s">
        <v>2023</v>
      </c>
      <c r="C454" s="6" t="s">
        <v>2024</v>
      </c>
      <c r="D454" s="8" t="s">
        <v>77</v>
      </c>
      <c r="E454" s="6" t="s">
        <v>135</v>
      </c>
      <c r="F454" s="6" t="s">
        <v>85</v>
      </c>
      <c r="G454" s="11" t="s">
        <v>56</v>
      </c>
      <c r="H454" s="11"/>
      <c r="I454" s="10" t="s">
        <v>2025</v>
      </c>
      <c r="J454" s="6" t="s">
        <v>2026</v>
      </c>
      <c r="K454" s="12">
        <v>46121.763113425928</v>
      </c>
      <c r="L454" s="6" t="e" cm="1">
        <f t="array" ref="L454">LOOKUP(2^15,SEARCH(Tabela2[Palavras-Chave],Boletim4[[#This Row],[Objeto]],1),Tabela2[Palavras-Chave])</f>
        <v>#N/A</v>
      </c>
    </row>
    <row r="455" spans="1:12" ht="129.6" hidden="1" x14ac:dyDescent="0.3">
      <c r="A455" s="5">
        <v>18808533</v>
      </c>
      <c r="B455" s="6" t="s">
        <v>2027</v>
      </c>
      <c r="C455" s="6" t="s">
        <v>102</v>
      </c>
      <c r="D455" s="8" t="s">
        <v>77</v>
      </c>
      <c r="E455" s="6" t="s">
        <v>481</v>
      </c>
      <c r="F455" s="6" t="s">
        <v>85</v>
      </c>
      <c r="G455" s="11" t="s">
        <v>56</v>
      </c>
      <c r="H455" s="11"/>
      <c r="I455" s="10" t="s">
        <v>2028</v>
      </c>
      <c r="J455" s="6" t="s">
        <v>2029</v>
      </c>
      <c r="K455" s="12">
        <v>46121.793541666666</v>
      </c>
      <c r="L455" s="6" t="e" cm="1">
        <f t="array" ref="L455">LOOKUP(2^15,SEARCH(Tabela2[Palavras-Chave],Boletim4[[#This Row],[Objeto]],1),Tabela2[Palavras-Chave])</f>
        <v>#N/A</v>
      </c>
    </row>
    <row r="456" spans="1:12" ht="158.4" hidden="1" x14ac:dyDescent="0.3">
      <c r="A456" s="5">
        <v>18802892</v>
      </c>
      <c r="B456" s="6" t="s">
        <v>484</v>
      </c>
      <c r="C456" s="6" t="s">
        <v>136</v>
      </c>
      <c r="D456" s="8" t="s">
        <v>78</v>
      </c>
      <c r="E456" s="6" t="s">
        <v>485</v>
      </c>
      <c r="F456" s="6" t="s">
        <v>85</v>
      </c>
      <c r="G456" s="11" t="s">
        <v>56</v>
      </c>
      <c r="H456" s="11"/>
      <c r="I456" s="10" t="s">
        <v>486</v>
      </c>
      <c r="J456" s="6" t="s">
        <v>487</v>
      </c>
      <c r="K456" s="12">
        <v>46121.429895833331</v>
      </c>
      <c r="L456" s="6" t="e" cm="1">
        <f t="array" ref="L456">LOOKUP(2^15,SEARCH(Tabela2[Palavras-Chave],Boletim4[[#This Row],[Objeto]],1),Tabela2[Palavras-Chave])</f>
        <v>#N/A</v>
      </c>
    </row>
    <row r="457" spans="1:12" ht="100.8" hidden="1" x14ac:dyDescent="0.3">
      <c r="A457" s="5">
        <v>18807456</v>
      </c>
      <c r="B457" s="6" t="s">
        <v>74</v>
      </c>
      <c r="C457" s="6" t="s">
        <v>136</v>
      </c>
      <c r="D457" s="8" t="s">
        <v>78</v>
      </c>
      <c r="E457" s="6" t="s">
        <v>1319</v>
      </c>
      <c r="F457" s="6" t="s">
        <v>85</v>
      </c>
      <c r="G457" s="11" t="s">
        <v>56</v>
      </c>
      <c r="H457" s="11"/>
      <c r="I457" s="10" t="s">
        <v>1320</v>
      </c>
      <c r="J457" s="6" t="s">
        <v>1321</v>
      </c>
      <c r="K457" s="12">
        <v>46121.44730324074</v>
      </c>
      <c r="L457" s="6" t="e" cm="1">
        <f t="array" ref="L457">LOOKUP(2^15,SEARCH(Tabela2[Palavras-Chave],Boletim4[[#This Row],[Objeto]],1),Tabela2[Palavras-Chave])</f>
        <v>#N/A</v>
      </c>
    </row>
    <row r="458" spans="1:12" ht="72" hidden="1" x14ac:dyDescent="0.3">
      <c r="A458" s="5">
        <v>18807155</v>
      </c>
      <c r="B458" s="6" t="s">
        <v>2030</v>
      </c>
      <c r="C458" s="6" t="s">
        <v>2031</v>
      </c>
      <c r="D458" s="8" t="s">
        <v>78</v>
      </c>
      <c r="E458" s="6" t="s">
        <v>155</v>
      </c>
      <c r="F458" s="6" t="s">
        <v>85</v>
      </c>
      <c r="G458" s="11">
        <v>46135.465277777781</v>
      </c>
      <c r="H458" s="11"/>
      <c r="I458" s="10" t="s">
        <v>2032</v>
      </c>
      <c r="J458" s="6" t="s">
        <v>2033</v>
      </c>
      <c r="K458" s="12">
        <v>46121.487523148149</v>
      </c>
      <c r="L458" s="6" t="e" cm="1">
        <f t="array" ref="L458">LOOKUP(2^15,SEARCH(Tabela2[Palavras-Chave],Boletim4[[#This Row],[Objeto]],1),Tabela2[Palavras-Chave])</f>
        <v>#N/A</v>
      </c>
    </row>
    <row r="459" spans="1:12" ht="86.4" hidden="1" x14ac:dyDescent="0.3">
      <c r="A459" s="5">
        <v>18809399</v>
      </c>
      <c r="B459" s="6" t="s">
        <v>2034</v>
      </c>
      <c r="C459" s="6" t="s">
        <v>2035</v>
      </c>
      <c r="D459" s="8" t="s">
        <v>78</v>
      </c>
      <c r="E459" s="6" t="s">
        <v>2036</v>
      </c>
      <c r="F459" s="6" t="s">
        <v>85</v>
      </c>
      <c r="G459" s="11" t="s">
        <v>56</v>
      </c>
      <c r="H459" s="11"/>
      <c r="I459" s="10" t="s">
        <v>2037</v>
      </c>
      <c r="J459" s="6" t="s">
        <v>2038</v>
      </c>
      <c r="K459" s="12">
        <v>46121.627476851849</v>
      </c>
      <c r="L459" s="6" t="e" cm="1">
        <f t="array" ref="L459">LOOKUP(2^15,SEARCH(Tabela2[Palavras-Chave],Boletim4[[#This Row],[Objeto]],1),Tabela2[Palavras-Chave])</f>
        <v>#N/A</v>
      </c>
    </row>
    <row r="460" spans="1:12" ht="158.4" hidden="1" x14ac:dyDescent="0.3">
      <c r="A460" s="5">
        <v>18808414</v>
      </c>
      <c r="B460" s="6" t="s">
        <v>484</v>
      </c>
      <c r="C460" s="6" t="s">
        <v>136</v>
      </c>
      <c r="D460" s="8" t="s">
        <v>78</v>
      </c>
      <c r="E460" s="6" t="s">
        <v>2039</v>
      </c>
      <c r="F460" s="6" t="s">
        <v>85</v>
      </c>
      <c r="G460" s="11" t="s">
        <v>56</v>
      </c>
      <c r="H460" s="11"/>
      <c r="I460" s="10" t="s">
        <v>2040</v>
      </c>
      <c r="J460" s="6" t="s">
        <v>2041</v>
      </c>
      <c r="K460" s="12">
        <v>46121.712939814817</v>
      </c>
      <c r="L460" s="6" t="e" cm="1">
        <f t="array" ref="L460">LOOKUP(2^15,SEARCH(Tabela2[Palavras-Chave],Boletim4[[#This Row],[Objeto]],1),Tabela2[Palavras-Chave])</f>
        <v>#N/A</v>
      </c>
    </row>
    <row r="461" spans="1:12" ht="57.6" hidden="1" x14ac:dyDescent="0.3">
      <c r="A461" s="5">
        <v>18810585</v>
      </c>
      <c r="B461" s="6" t="s">
        <v>2042</v>
      </c>
      <c r="C461" s="6" t="s">
        <v>2043</v>
      </c>
      <c r="D461" s="8" t="s">
        <v>78</v>
      </c>
      <c r="E461" s="6" t="s">
        <v>390</v>
      </c>
      <c r="F461" s="6" t="s">
        <v>85</v>
      </c>
      <c r="G461" s="11">
        <v>46136.375</v>
      </c>
      <c r="H461" s="11"/>
      <c r="I461" s="10" t="s">
        <v>2044</v>
      </c>
      <c r="J461" s="6" t="s">
        <v>2045</v>
      </c>
      <c r="K461" s="12">
        <v>46121.794490740744</v>
      </c>
      <c r="L461" s="6" t="e" cm="1">
        <f t="array" ref="L461">LOOKUP(2^15,SEARCH(Tabela2[Palavras-Chave],Boletim4[[#This Row],[Objeto]],1),Tabela2[Palavras-Chave])</f>
        <v>#N/A</v>
      </c>
    </row>
    <row r="462" spans="1:12" ht="100.8" hidden="1" x14ac:dyDescent="0.3">
      <c r="A462" s="5">
        <v>18807457</v>
      </c>
      <c r="B462" s="6" t="s">
        <v>74</v>
      </c>
      <c r="C462" s="6" t="s">
        <v>2046</v>
      </c>
      <c r="D462" s="8" t="s">
        <v>256</v>
      </c>
      <c r="E462" s="6" t="s">
        <v>1319</v>
      </c>
      <c r="F462" s="6" t="s">
        <v>85</v>
      </c>
      <c r="G462" s="11" t="s">
        <v>56</v>
      </c>
      <c r="H462" s="11"/>
      <c r="I462" s="10" t="s">
        <v>1320</v>
      </c>
      <c r="J462" s="6" t="s">
        <v>1321</v>
      </c>
      <c r="K462" s="12">
        <v>46121.44730324074</v>
      </c>
      <c r="L462" s="6" t="e" cm="1">
        <f t="array" ref="L462">LOOKUP(2^15,SEARCH(Tabela2[Palavras-Chave],Boletim4[[#This Row],[Objeto]],1),Tabela2[Palavras-Chave])</f>
        <v>#N/A</v>
      </c>
    </row>
    <row r="463" spans="1:12" ht="86.4" hidden="1" x14ac:dyDescent="0.3">
      <c r="A463" s="5">
        <v>18800747</v>
      </c>
      <c r="B463" s="6" t="s">
        <v>2047</v>
      </c>
      <c r="C463" s="6" t="s">
        <v>79</v>
      </c>
      <c r="D463" s="8" t="s">
        <v>80</v>
      </c>
      <c r="E463" s="6" t="s">
        <v>113</v>
      </c>
      <c r="F463" s="6" t="s">
        <v>85</v>
      </c>
      <c r="G463" s="11" t="s">
        <v>56</v>
      </c>
      <c r="H463" s="11"/>
      <c r="I463" s="10" t="s">
        <v>2048</v>
      </c>
      <c r="J463" s="6" t="s">
        <v>2049</v>
      </c>
      <c r="K463" s="12">
        <v>46121.389039351852</v>
      </c>
      <c r="L463" s="6" t="e" cm="1">
        <f t="array" ref="L463">LOOKUP(2^15,SEARCH(Tabela2[Palavras-Chave],Boletim4[[#This Row],[Objeto]],1),Tabela2[Palavras-Chave])</f>
        <v>#N/A</v>
      </c>
    </row>
    <row r="464" spans="1:12" ht="259.2" hidden="1" x14ac:dyDescent="0.3">
      <c r="A464" s="5">
        <v>18807075</v>
      </c>
      <c r="B464" s="6" t="s">
        <v>2050</v>
      </c>
      <c r="C464" s="6" t="s">
        <v>2051</v>
      </c>
      <c r="D464" s="8" t="s">
        <v>80</v>
      </c>
      <c r="E464" s="6" t="s">
        <v>113</v>
      </c>
      <c r="F464" s="6" t="s">
        <v>85</v>
      </c>
      <c r="G464" s="11" t="s">
        <v>56</v>
      </c>
      <c r="H464" s="11"/>
      <c r="I464" s="10" t="s">
        <v>2052</v>
      </c>
      <c r="J464" s="6" t="s">
        <v>2053</v>
      </c>
      <c r="K464" s="12">
        <v>46121.442488425928</v>
      </c>
      <c r="L464" s="6" t="e" cm="1">
        <f t="array" ref="L464">LOOKUP(2^15,SEARCH(Tabela2[Palavras-Chave],Boletim4[[#This Row],[Objeto]],1),Tabela2[Palavras-Chave])</f>
        <v>#N/A</v>
      </c>
    </row>
    <row r="465" spans="1:12" ht="43.2" hidden="1" x14ac:dyDescent="0.3">
      <c r="A465" s="5">
        <v>18807027</v>
      </c>
      <c r="B465" s="6" t="s">
        <v>2054</v>
      </c>
      <c r="C465" s="6" t="s">
        <v>2055</v>
      </c>
      <c r="D465" s="8" t="s">
        <v>80</v>
      </c>
      <c r="E465" s="6" t="s">
        <v>474</v>
      </c>
      <c r="F465" s="6" t="s">
        <v>85</v>
      </c>
      <c r="G465" s="11">
        <v>46135.375694444447</v>
      </c>
      <c r="H465" s="11"/>
      <c r="I465" s="10" t="s">
        <v>2056</v>
      </c>
      <c r="J465" s="6" t="s">
        <v>2057</v>
      </c>
      <c r="K465" s="12">
        <v>46121.443553240744</v>
      </c>
      <c r="L465" s="6" t="e" cm="1">
        <f t="array" ref="L465">LOOKUP(2^15,SEARCH(Tabela2[Palavras-Chave],Boletim4[[#This Row],[Objeto]],1),Tabela2[Palavras-Chave])</f>
        <v>#N/A</v>
      </c>
    </row>
    <row r="466" spans="1:12" ht="100.8" hidden="1" x14ac:dyDescent="0.3">
      <c r="A466" s="5">
        <v>18807459</v>
      </c>
      <c r="B466" s="6" t="s">
        <v>74</v>
      </c>
      <c r="C466" s="6" t="s">
        <v>79</v>
      </c>
      <c r="D466" s="8" t="s">
        <v>80</v>
      </c>
      <c r="E466" s="6" t="s">
        <v>1319</v>
      </c>
      <c r="F466" s="6" t="s">
        <v>85</v>
      </c>
      <c r="G466" s="11" t="s">
        <v>56</v>
      </c>
      <c r="H466" s="11"/>
      <c r="I466" s="10" t="s">
        <v>1320</v>
      </c>
      <c r="J466" s="6" t="s">
        <v>1321</v>
      </c>
      <c r="K466" s="12">
        <v>46121.447314814817</v>
      </c>
      <c r="L466" s="6" t="e" cm="1">
        <f t="array" ref="L466">LOOKUP(2^15,SEARCH(Tabela2[Palavras-Chave],Boletim4[[#This Row],[Objeto]],1),Tabela2[Palavras-Chave])</f>
        <v>#N/A</v>
      </c>
    </row>
    <row r="467" spans="1:12" ht="115.2" hidden="1" x14ac:dyDescent="0.3">
      <c r="A467" s="13">
        <v>18807384</v>
      </c>
      <c r="B467" s="10" t="s">
        <v>2058</v>
      </c>
      <c r="C467" s="10" t="s">
        <v>2059</v>
      </c>
      <c r="D467" s="15" t="s">
        <v>80</v>
      </c>
      <c r="E467" s="10" t="s">
        <v>155</v>
      </c>
      <c r="F467" s="10" t="s">
        <v>85</v>
      </c>
      <c r="G467" s="16">
        <v>46146.395138888889</v>
      </c>
      <c r="H467" s="16"/>
      <c r="I467" s="10" t="s">
        <v>2060</v>
      </c>
      <c r="J467" s="10" t="s">
        <v>2061</v>
      </c>
      <c r="K467" s="17">
        <v>46121.44703703704</v>
      </c>
      <c r="L467" s="6" t="e" cm="1">
        <f t="array" ref="L467">LOOKUP(2^15,SEARCH(Tabela2[Palavras-Chave],Boletim4[[#This Row],[Objeto]],1),Tabela2[Palavras-Chave])</f>
        <v>#N/A</v>
      </c>
    </row>
    <row r="468" spans="1:12" ht="86.4" hidden="1" x14ac:dyDescent="0.3">
      <c r="A468" s="5">
        <v>18806056</v>
      </c>
      <c r="B468" s="6" t="s">
        <v>501</v>
      </c>
      <c r="C468" s="6" t="s">
        <v>502</v>
      </c>
      <c r="D468" s="8" t="s">
        <v>80</v>
      </c>
      <c r="E468" s="6" t="s">
        <v>117</v>
      </c>
      <c r="F468" s="6" t="s">
        <v>85</v>
      </c>
      <c r="G468" s="11" t="s">
        <v>56</v>
      </c>
      <c r="H468" s="11"/>
      <c r="I468" s="10" t="s">
        <v>503</v>
      </c>
      <c r="J468" s="6" t="s">
        <v>504</v>
      </c>
      <c r="K468" s="12">
        <v>46121.451493055552</v>
      </c>
      <c r="L468" s="6" t="e" cm="1">
        <f t="array" ref="L468">LOOKUP(2^15,SEARCH(Tabela2[Palavras-Chave],Boletim4[[#This Row],[Objeto]],1),Tabela2[Palavras-Chave])</f>
        <v>#N/A</v>
      </c>
    </row>
    <row r="469" spans="1:12" ht="100.8" hidden="1" x14ac:dyDescent="0.3">
      <c r="A469" s="5">
        <v>18807495</v>
      </c>
      <c r="B469" s="6" t="s">
        <v>2062</v>
      </c>
      <c r="C469" s="6" t="s">
        <v>2063</v>
      </c>
      <c r="D469" s="8" t="s">
        <v>80</v>
      </c>
      <c r="E469" s="6" t="s">
        <v>115</v>
      </c>
      <c r="F469" s="6" t="s">
        <v>85</v>
      </c>
      <c r="G469" s="11">
        <v>46135.409722222219</v>
      </c>
      <c r="H469" s="11"/>
      <c r="I469" s="10" t="s">
        <v>2064</v>
      </c>
      <c r="J469" s="6" t="s">
        <v>2065</v>
      </c>
      <c r="K469" s="12">
        <v>46121.452118055553</v>
      </c>
      <c r="L469" s="6" t="e" cm="1">
        <f t="array" ref="L469">LOOKUP(2^15,SEARCH(Tabela2[Palavras-Chave],Boletim4[[#This Row],[Objeto]],1),Tabela2[Palavras-Chave])</f>
        <v>#N/A</v>
      </c>
    </row>
    <row r="470" spans="1:12" ht="201.6" x14ac:dyDescent="0.3">
      <c r="A470" s="13">
        <v>18806925</v>
      </c>
      <c r="B470" s="10" t="s">
        <v>2066</v>
      </c>
      <c r="C470" s="10" t="s">
        <v>2067</v>
      </c>
      <c r="D470" s="15" t="s">
        <v>80</v>
      </c>
      <c r="E470" s="10" t="s">
        <v>115</v>
      </c>
      <c r="F470" s="10" t="s">
        <v>85</v>
      </c>
      <c r="G470" s="16" t="s">
        <v>56</v>
      </c>
      <c r="H470" s="16"/>
      <c r="I470" s="10" t="s">
        <v>2068</v>
      </c>
      <c r="J470" s="10" t="s">
        <v>2069</v>
      </c>
      <c r="K470" s="17">
        <v>46121.455983796295</v>
      </c>
      <c r="L470" s="6" t="str" cm="1">
        <f t="array" ref="L470">LOOKUP(2^15,SEARCH(Tabela2[Palavras-Chave],Boletim4[[#This Row],[Objeto]],1),Tabela2[Palavras-Chave])</f>
        <v>RESERVAT</v>
      </c>
    </row>
    <row r="471" spans="1:12" ht="86.4" hidden="1" x14ac:dyDescent="0.3">
      <c r="A471" s="5">
        <v>18806919</v>
      </c>
      <c r="B471" s="6" t="s">
        <v>2070</v>
      </c>
      <c r="C471" s="6" t="s">
        <v>2071</v>
      </c>
      <c r="D471" s="8" t="s">
        <v>80</v>
      </c>
      <c r="E471" s="6" t="s">
        <v>122</v>
      </c>
      <c r="F471" s="6" t="s">
        <v>85</v>
      </c>
      <c r="G471" s="11" t="s">
        <v>56</v>
      </c>
      <c r="H471" s="11"/>
      <c r="I471" s="10" t="s">
        <v>2072</v>
      </c>
      <c r="J471" s="6" t="s">
        <v>2073</v>
      </c>
      <c r="K471" s="12">
        <v>46121.48847222222</v>
      </c>
      <c r="L471" s="6" t="e" cm="1">
        <f t="array" ref="L471">LOOKUP(2^15,SEARCH(Tabela2[Palavras-Chave],Boletim4[[#This Row],[Objeto]],1),Tabela2[Palavras-Chave])</f>
        <v>#N/A</v>
      </c>
    </row>
    <row r="472" spans="1:12" ht="72" hidden="1" x14ac:dyDescent="0.3">
      <c r="A472" s="5">
        <v>18807487</v>
      </c>
      <c r="B472" s="6" t="s">
        <v>74</v>
      </c>
      <c r="C472" s="6" t="s">
        <v>79</v>
      </c>
      <c r="D472" s="8" t="s">
        <v>80</v>
      </c>
      <c r="E472" s="6" t="s">
        <v>1938</v>
      </c>
      <c r="F472" s="6" t="s">
        <v>85</v>
      </c>
      <c r="G472" s="11" t="s">
        <v>56</v>
      </c>
      <c r="H472" s="11"/>
      <c r="I472" s="10" t="s">
        <v>1939</v>
      </c>
      <c r="J472" s="6" t="s">
        <v>1940</v>
      </c>
      <c r="K472" s="12">
        <v>46121.507002314815</v>
      </c>
      <c r="L472" s="6" t="e" cm="1">
        <f t="array" ref="L472">LOOKUP(2^15,SEARCH(Tabela2[Palavras-Chave],Boletim4[[#This Row],[Objeto]],1),Tabela2[Palavras-Chave])</f>
        <v>#N/A</v>
      </c>
    </row>
    <row r="473" spans="1:12" ht="115.2" hidden="1" x14ac:dyDescent="0.3">
      <c r="A473" s="5">
        <v>18807503</v>
      </c>
      <c r="B473" s="6" t="s">
        <v>2074</v>
      </c>
      <c r="C473" s="6" t="s">
        <v>2075</v>
      </c>
      <c r="D473" s="8" t="s">
        <v>80</v>
      </c>
      <c r="E473" s="6" t="s">
        <v>2076</v>
      </c>
      <c r="F473" s="6" t="s">
        <v>85</v>
      </c>
      <c r="G473" s="11">
        <v>46134.375</v>
      </c>
      <c r="H473" s="11"/>
      <c r="I473" s="10" t="s">
        <v>2077</v>
      </c>
      <c r="J473" s="6" t="s">
        <v>2078</v>
      </c>
      <c r="K473" s="12">
        <v>46121.505729166667</v>
      </c>
      <c r="L473" s="6" t="e" cm="1">
        <f t="array" ref="L473">LOOKUP(2^15,SEARCH(Tabela2[Palavras-Chave],Boletim4[[#This Row],[Objeto]],1),Tabela2[Palavras-Chave])</f>
        <v>#N/A</v>
      </c>
    </row>
    <row r="474" spans="1:12" ht="100.8" hidden="1" x14ac:dyDescent="0.3">
      <c r="A474" s="5">
        <v>18797112</v>
      </c>
      <c r="B474" s="6" t="s">
        <v>2079</v>
      </c>
      <c r="C474" s="6" t="s">
        <v>2080</v>
      </c>
      <c r="D474" s="8" t="s">
        <v>80</v>
      </c>
      <c r="E474" s="6" t="s">
        <v>113</v>
      </c>
      <c r="F474" s="6" t="s">
        <v>85</v>
      </c>
      <c r="G474" s="11">
        <v>46134.333333333336</v>
      </c>
      <c r="H474" s="11"/>
      <c r="I474" s="10" t="s">
        <v>2081</v>
      </c>
      <c r="J474" s="6" t="s">
        <v>2082</v>
      </c>
      <c r="K474" s="12">
        <v>46121.587581018517</v>
      </c>
      <c r="L474" s="6" t="e" cm="1">
        <f t="array" ref="L474">LOOKUP(2^15,SEARCH(Tabela2[Palavras-Chave],Boletim4[[#This Row],[Objeto]],1),Tabela2[Palavras-Chave])</f>
        <v>#N/A</v>
      </c>
    </row>
    <row r="475" spans="1:12" ht="43.2" hidden="1" x14ac:dyDescent="0.3">
      <c r="A475" s="5">
        <v>18801533</v>
      </c>
      <c r="B475" s="6" t="s">
        <v>247</v>
      </c>
      <c r="C475" s="6" t="s">
        <v>79</v>
      </c>
      <c r="D475" s="8" t="s">
        <v>80</v>
      </c>
      <c r="E475" s="6" t="s">
        <v>490</v>
      </c>
      <c r="F475" s="6" t="s">
        <v>85</v>
      </c>
      <c r="G475" s="11">
        <v>46126.417361111111</v>
      </c>
      <c r="H475" s="11"/>
      <c r="I475" s="10" t="s">
        <v>278</v>
      </c>
      <c r="J475" s="6" t="s">
        <v>491</v>
      </c>
      <c r="K475" s="12">
        <v>46121.58693287037</v>
      </c>
      <c r="L475" s="6" t="e" cm="1">
        <f t="array" ref="L475">LOOKUP(2^15,SEARCH(Tabela2[Palavras-Chave],Boletim4[[#This Row],[Objeto]],1),Tabela2[Palavras-Chave])</f>
        <v>#N/A</v>
      </c>
    </row>
    <row r="476" spans="1:12" ht="43.2" hidden="1" x14ac:dyDescent="0.3">
      <c r="A476" s="5">
        <v>18800331</v>
      </c>
      <c r="B476" s="6" t="s">
        <v>247</v>
      </c>
      <c r="C476" s="6" t="s">
        <v>79</v>
      </c>
      <c r="D476" s="8" t="s">
        <v>80</v>
      </c>
      <c r="E476" s="6" t="s">
        <v>2083</v>
      </c>
      <c r="F476" s="6" t="s">
        <v>85</v>
      </c>
      <c r="G476" s="11">
        <v>46125.354861111111</v>
      </c>
      <c r="H476" s="11"/>
      <c r="I476" s="10" t="s">
        <v>2084</v>
      </c>
      <c r="J476" s="6" t="s">
        <v>2085</v>
      </c>
      <c r="K476" s="12">
        <v>46121.587557870371</v>
      </c>
      <c r="L476" s="6" t="e" cm="1">
        <f t="array" ref="L476">LOOKUP(2^15,SEARCH(Tabela2[Palavras-Chave],Boletim4[[#This Row],[Objeto]],1),Tabela2[Palavras-Chave])</f>
        <v>#N/A</v>
      </c>
    </row>
    <row r="477" spans="1:12" ht="43.2" hidden="1" x14ac:dyDescent="0.3">
      <c r="A477" s="5">
        <v>18798654</v>
      </c>
      <c r="B477" s="6" t="s">
        <v>2086</v>
      </c>
      <c r="C477" s="6" t="s">
        <v>495</v>
      </c>
      <c r="D477" s="8" t="s">
        <v>80</v>
      </c>
      <c r="E477" s="6" t="s">
        <v>292</v>
      </c>
      <c r="F477" s="6" t="s">
        <v>85</v>
      </c>
      <c r="G477" s="11">
        <v>46139.395833333336</v>
      </c>
      <c r="H477" s="11"/>
      <c r="I477" s="10" t="s">
        <v>2087</v>
      </c>
      <c r="J477" s="6" t="s">
        <v>2088</v>
      </c>
      <c r="K477" s="12">
        <v>46121.587627314817</v>
      </c>
      <c r="L477" s="6" t="e" cm="1">
        <f t="array" ref="L477">LOOKUP(2^15,SEARCH(Tabela2[Palavras-Chave],Boletim4[[#This Row],[Objeto]],1),Tabela2[Palavras-Chave])</f>
        <v>#N/A</v>
      </c>
    </row>
    <row r="478" spans="1:12" ht="72" hidden="1" x14ac:dyDescent="0.3">
      <c r="A478" s="5">
        <v>18803189</v>
      </c>
      <c r="B478" s="6" t="s">
        <v>2089</v>
      </c>
      <c r="C478" s="6" t="s">
        <v>2090</v>
      </c>
      <c r="D478" s="8" t="s">
        <v>80</v>
      </c>
      <c r="E478" s="6" t="s">
        <v>473</v>
      </c>
      <c r="F478" s="6" t="s">
        <v>85</v>
      </c>
      <c r="G478" s="11">
        <v>46135.354166666664</v>
      </c>
      <c r="H478" s="11"/>
      <c r="I478" s="10" t="s">
        <v>2091</v>
      </c>
      <c r="J478" s="6" t="s">
        <v>2092</v>
      </c>
      <c r="K478" s="12">
        <v>46121.605567129627</v>
      </c>
      <c r="L478" s="6" t="e" cm="1">
        <f t="array" ref="L478">LOOKUP(2^15,SEARCH(Tabela2[Palavras-Chave],Boletim4[[#This Row],[Objeto]],1),Tabela2[Palavras-Chave])</f>
        <v>#N/A</v>
      </c>
    </row>
    <row r="479" spans="1:12" ht="43.2" hidden="1" x14ac:dyDescent="0.3">
      <c r="A479" s="5">
        <v>18807282</v>
      </c>
      <c r="B479" s="6" t="s">
        <v>2093</v>
      </c>
      <c r="C479" s="6" t="s">
        <v>2094</v>
      </c>
      <c r="D479" s="8" t="s">
        <v>80</v>
      </c>
      <c r="E479" s="6" t="s">
        <v>128</v>
      </c>
      <c r="F479" s="6" t="s">
        <v>85</v>
      </c>
      <c r="G479" s="11">
        <v>46134.5625</v>
      </c>
      <c r="H479" s="11"/>
      <c r="I479" s="10" t="s">
        <v>2095</v>
      </c>
      <c r="J479" s="6" t="s">
        <v>2096</v>
      </c>
      <c r="K479" s="12">
        <v>46121.61515046296</v>
      </c>
      <c r="L479" s="6" t="e" cm="1">
        <f t="array" ref="L479">LOOKUP(2^15,SEARCH(Tabela2[Palavras-Chave],Boletim4[[#This Row],[Objeto]],1),Tabela2[Palavras-Chave])</f>
        <v>#N/A</v>
      </c>
    </row>
    <row r="480" spans="1:12" ht="100.8" hidden="1" x14ac:dyDescent="0.3">
      <c r="A480" s="5">
        <v>18809529</v>
      </c>
      <c r="B480" s="6" t="s">
        <v>496</v>
      </c>
      <c r="C480" s="6" t="s">
        <v>497</v>
      </c>
      <c r="D480" s="8" t="s">
        <v>80</v>
      </c>
      <c r="E480" s="6" t="s">
        <v>536</v>
      </c>
      <c r="F480" s="6" t="s">
        <v>85</v>
      </c>
      <c r="G480" s="11">
        <v>46136.374305555553</v>
      </c>
      <c r="H480" s="11"/>
      <c r="I480" s="10" t="s">
        <v>2097</v>
      </c>
      <c r="J480" s="6" t="s">
        <v>2098</v>
      </c>
      <c r="K480" s="12">
        <v>46121.615983796299</v>
      </c>
      <c r="L480" s="6" t="e" cm="1">
        <f t="array" ref="L480">LOOKUP(2^15,SEARCH(Tabela2[Palavras-Chave],Boletim4[[#This Row],[Objeto]],1),Tabela2[Palavras-Chave])</f>
        <v>#N/A</v>
      </c>
    </row>
    <row r="481" spans="1:12" ht="72" hidden="1" x14ac:dyDescent="0.3">
      <c r="A481" s="5">
        <v>18808125</v>
      </c>
      <c r="B481" s="6" t="s">
        <v>2099</v>
      </c>
      <c r="C481" s="6" t="s">
        <v>79</v>
      </c>
      <c r="D481" s="8" t="s">
        <v>80</v>
      </c>
      <c r="E481" s="6" t="s">
        <v>2100</v>
      </c>
      <c r="F481" s="6" t="s">
        <v>85</v>
      </c>
      <c r="G481" s="11">
        <v>46156.395833333336</v>
      </c>
      <c r="H481" s="11"/>
      <c r="I481" s="10" t="s">
        <v>2101</v>
      </c>
      <c r="J481" s="6" t="s">
        <v>2102</v>
      </c>
      <c r="K481" s="12">
        <v>46121.722280092596</v>
      </c>
      <c r="L481" s="6" t="e" cm="1">
        <f t="array" ref="L481">LOOKUP(2^15,SEARCH(Tabela2[Palavras-Chave],Boletim4[[#This Row],[Objeto]],1),Tabela2[Palavras-Chave])</f>
        <v>#N/A</v>
      </c>
    </row>
    <row r="482" spans="1:12" ht="100.8" hidden="1" x14ac:dyDescent="0.3">
      <c r="A482" s="5">
        <v>18809550</v>
      </c>
      <c r="B482" s="6" t="s">
        <v>2103</v>
      </c>
      <c r="C482" s="6" t="s">
        <v>2104</v>
      </c>
      <c r="D482" s="8" t="s">
        <v>80</v>
      </c>
      <c r="E482" s="6" t="s">
        <v>293</v>
      </c>
      <c r="F482" s="6" t="s">
        <v>85</v>
      </c>
      <c r="G482" s="11">
        <v>46135.329861111109</v>
      </c>
      <c r="H482" s="11"/>
      <c r="I482" s="10" t="s">
        <v>2105</v>
      </c>
      <c r="J482" s="6" t="s">
        <v>2106</v>
      </c>
      <c r="K482" s="12">
        <v>46121.70275462963</v>
      </c>
      <c r="L482" s="6" t="e" cm="1">
        <f t="array" ref="L482">LOOKUP(2^15,SEARCH(Tabela2[Palavras-Chave],Boletim4[[#This Row],[Objeto]],1),Tabela2[Palavras-Chave])</f>
        <v>#N/A</v>
      </c>
    </row>
    <row r="483" spans="1:12" ht="86.4" hidden="1" x14ac:dyDescent="0.3">
      <c r="A483" s="5">
        <v>18806930</v>
      </c>
      <c r="B483" s="6" t="s">
        <v>2107</v>
      </c>
      <c r="C483" s="6" t="s">
        <v>2108</v>
      </c>
      <c r="D483" s="8" t="s">
        <v>80</v>
      </c>
      <c r="E483" s="6" t="s">
        <v>2109</v>
      </c>
      <c r="F483" s="6" t="s">
        <v>85</v>
      </c>
      <c r="G483" s="11" t="s">
        <v>56</v>
      </c>
      <c r="H483" s="11"/>
      <c r="I483" s="10" t="s">
        <v>2110</v>
      </c>
      <c r="J483" s="6" t="s">
        <v>2111</v>
      </c>
      <c r="K483" s="12">
        <v>46121.718738425923</v>
      </c>
      <c r="L483" s="6" t="e" cm="1">
        <f t="array" ref="L483">LOOKUP(2^15,SEARCH(Tabela2[Palavras-Chave],Boletim4[[#This Row],[Objeto]],1),Tabela2[Palavras-Chave])</f>
        <v>#N/A</v>
      </c>
    </row>
    <row r="484" spans="1:12" ht="100.8" hidden="1" x14ac:dyDescent="0.3">
      <c r="A484" s="5">
        <v>18807444</v>
      </c>
      <c r="B484" s="6" t="s">
        <v>493</v>
      </c>
      <c r="C484" s="6" t="s">
        <v>494</v>
      </c>
      <c r="D484" s="8" t="s">
        <v>80</v>
      </c>
      <c r="E484" s="6" t="s">
        <v>2109</v>
      </c>
      <c r="F484" s="6" t="s">
        <v>85</v>
      </c>
      <c r="G484" s="11">
        <v>46135.374305555553</v>
      </c>
      <c r="H484" s="11"/>
      <c r="I484" s="10" t="s">
        <v>2112</v>
      </c>
      <c r="J484" s="6" t="s">
        <v>2113</v>
      </c>
      <c r="K484" s="12">
        <v>46121.720335648148</v>
      </c>
      <c r="L484" s="6" t="e" cm="1">
        <f t="array" ref="L484">LOOKUP(2^15,SEARCH(Tabela2[Palavras-Chave],Boletim4[[#This Row],[Objeto]],1),Tabela2[Palavras-Chave])</f>
        <v>#N/A</v>
      </c>
    </row>
    <row r="485" spans="1:12" ht="100.8" hidden="1" x14ac:dyDescent="0.3">
      <c r="A485" s="5">
        <v>18809548</v>
      </c>
      <c r="B485" s="6" t="s">
        <v>2114</v>
      </c>
      <c r="C485" s="6" t="s">
        <v>2115</v>
      </c>
      <c r="D485" s="8" t="s">
        <v>80</v>
      </c>
      <c r="E485" s="6" t="s">
        <v>117</v>
      </c>
      <c r="F485" s="6" t="s">
        <v>85</v>
      </c>
      <c r="G485" s="11">
        <v>46134.375</v>
      </c>
      <c r="H485" s="11"/>
      <c r="I485" s="10" t="s">
        <v>2116</v>
      </c>
      <c r="J485" s="6" t="s">
        <v>2117</v>
      </c>
      <c r="K485" s="12">
        <v>46121.725069444445</v>
      </c>
      <c r="L485" s="6" t="e" cm="1">
        <f t="array" ref="L485">LOOKUP(2^15,SEARCH(Tabela2[Palavras-Chave],Boletim4[[#This Row],[Objeto]],1),Tabela2[Palavras-Chave])</f>
        <v>#N/A</v>
      </c>
    </row>
    <row r="486" spans="1:12" ht="86.4" hidden="1" x14ac:dyDescent="0.3">
      <c r="A486" s="5">
        <v>18810446</v>
      </c>
      <c r="B486" s="6" t="s">
        <v>2118</v>
      </c>
      <c r="C486" s="6" t="s">
        <v>2119</v>
      </c>
      <c r="D486" s="8" t="s">
        <v>80</v>
      </c>
      <c r="E486" s="6" t="s">
        <v>165</v>
      </c>
      <c r="F486" s="6" t="s">
        <v>85</v>
      </c>
      <c r="G486" s="11" t="s">
        <v>56</v>
      </c>
      <c r="H486" s="11"/>
      <c r="I486" s="10" t="s">
        <v>2120</v>
      </c>
      <c r="J486" s="6" t="s">
        <v>2121</v>
      </c>
      <c r="K486" s="12">
        <v>46121.733159722222</v>
      </c>
      <c r="L486" s="6" t="e" cm="1">
        <f t="array" ref="L486">LOOKUP(2^15,SEARCH(Tabela2[Palavras-Chave],Boletim4[[#This Row],[Objeto]],1),Tabela2[Palavras-Chave])</f>
        <v>#N/A</v>
      </c>
    </row>
    <row r="487" spans="1:12" ht="259.2" hidden="1" x14ac:dyDescent="0.3">
      <c r="A487" s="5">
        <v>18810313</v>
      </c>
      <c r="B487" s="6" t="s">
        <v>2122</v>
      </c>
      <c r="C487" s="6" t="s">
        <v>2123</v>
      </c>
      <c r="D487" s="8" t="s">
        <v>80</v>
      </c>
      <c r="E487" s="6" t="s">
        <v>2124</v>
      </c>
      <c r="F487" s="6" t="s">
        <v>85</v>
      </c>
      <c r="G487" s="11" t="s">
        <v>56</v>
      </c>
      <c r="H487" s="11"/>
      <c r="I487" s="10" t="s">
        <v>2125</v>
      </c>
      <c r="J487" s="6" t="s">
        <v>2126</v>
      </c>
      <c r="K487" s="12">
        <v>46121.734953703701</v>
      </c>
      <c r="L487" s="6" t="e" cm="1">
        <f t="array" ref="L487">LOOKUP(2^15,SEARCH(Tabela2[Palavras-Chave],Boletim4[[#This Row],[Objeto]],1),Tabela2[Palavras-Chave])</f>
        <v>#N/A</v>
      </c>
    </row>
    <row r="488" spans="1:12" ht="259.2" hidden="1" x14ac:dyDescent="0.3">
      <c r="A488" s="5">
        <v>18810309</v>
      </c>
      <c r="B488" s="6" t="s">
        <v>2127</v>
      </c>
      <c r="C488" s="6" t="s">
        <v>2128</v>
      </c>
      <c r="D488" s="8" t="s">
        <v>80</v>
      </c>
      <c r="E488" s="6" t="s">
        <v>199</v>
      </c>
      <c r="F488" s="6" t="s">
        <v>85</v>
      </c>
      <c r="G488" s="11" t="s">
        <v>56</v>
      </c>
      <c r="H488" s="11"/>
      <c r="I488" s="10" t="s">
        <v>2129</v>
      </c>
      <c r="J488" s="6" t="s">
        <v>2130</v>
      </c>
      <c r="K488" s="12">
        <v>46121.743923611109</v>
      </c>
      <c r="L488" s="6" t="e" cm="1">
        <f t="array" ref="L488">LOOKUP(2^15,SEARCH(Tabela2[Palavras-Chave],Boletim4[[#This Row],[Objeto]],1),Tabela2[Palavras-Chave])</f>
        <v>#N/A</v>
      </c>
    </row>
    <row r="489" spans="1:12" ht="86.4" hidden="1" x14ac:dyDescent="0.3">
      <c r="A489" s="5">
        <v>18810452</v>
      </c>
      <c r="B489" s="6" t="s">
        <v>2131</v>
      </c>
      <c r="C489" s="6" t="s">
        <v>2132</v>
      </c>
      <c r="D489" s="8" t="s">
        <v>80</v>
      </c>
      <c r="E489" s="6" t="s">
        <v>134</v>
      </c>
      <c r="F489" s="6" t="s">
        <v>85</v>
      </c>
      <c r="G489" s="11" t="s">
        <v>56</v>
      </c>
      <c r="H489" s="11"/>
      <c r="I489" s="10" t="s">
        <v>2133</v>
      </c>
      <c r="J489" s="6" t="s">
        <v>2134</v>
      </c>
      <c r="K489" s="12">
        <v>46121.751284722224</v>
      </c>
      <c r="L489" s="6" t="e" cm="1">
        <f t="array" ref="L489">LOOKUP(2^15,SEARCH(Tabela2[Palavras-Chave],Boletim4[[#This Row],[Objeto]],1),Tabela2[Palavras-Chave])</f>
        <v>#N/A</v>
      </c>
    </row>
    <row r="490" spans="1:12" ht="86.4" hidden="1" x14ac:dyDescent="0.3">
      <c r="A490" s="5">
        <v>18809417</v>
      </c>
      <c r="B490" s="6" t="s">
        <v>2135</v>
      </c>
      <c r="C490" s="6" t="s">
        <v>2136</v>
      </c>
      <c r="D490" s="8" t="s">
        <v>80</v>
      </c>
      <c r="E490" s="6" t="s">
        <v>165</v>
      </c>
      <c r="F490" s="6" t="s">
        <v>85</v>
      </c>
      <c r="G490" s="11" t="s">
        <v>56</v>
      </c>
      <c r="H490" s="11"/>
      <c r="I490" s="10" t="s">
        <v>2137</v>
      </c>
      <c r="J490" s="6" t="s">
        <v>2138</v>
      </c>
      <c r="K490" s="12">
        <v>46121.751793981479</v>
      </c>
      <c r="L490" s="6" t="e" cm="1">
        <f t="array" ref="L490">LOOKUP(2^15,SEARCH(Tabela2[Palavras-Chave],Boletim4[[#This Row],[Objeto]],1),Tabela2[Palavras-Chave])</f>
        <v>#N/A</v>
      </c>
    </row>
    <row r="491" spans="1:12" ht="115.2" hidden="1" x14ac:dyDescent="0.3">
      <c r="A491" s="5">
        <v>18810451</v>
      </c>
      <c r="B491" s="6" t="s">
        <v>2139</v>
      </c>
      <c r="C491" s="6" t="s">
        <v>2140</v>
      </c>
      <c r="D491" s="8" t="s">
        <v>80</v>
      </c>
      <c r="E491" s="6" t="s">
        <v>112</v>
      </c>
      <c r="F491" s="6" t="s">
        <v>85</v>
      </c>
      <c r="G491" s="11" t="s">
        <v>56</v>
      </c>
      <c r="H491" s="11"/>
      <c r="I491" s="10" t="s">
        <v>2141</v>
      </c>
      <c r="J491" s="6" t="s">
        <v>2142</v>
      </c>
      <c r="K491" s="12">
        <v>46121.756203703706</v>
      </c>
      <c r="L491" s="6" t="e" cm="1">
        <f t="array" ref="L491">LOOKUP(2^15,SEARCH(Tabela2[Palavras-Chave],Boletim4[[#This Row],[Objeto]],1),Tabela2[Palavras-Chave])</f>
        <v>#N/A</v>
      </c>
    </row>
    <row r="492" spans="1:12" ht="115.2" hidden="1" x14ac:dyDescent="0.3">
      <c r="A492" s="5">
        <v>18808570</v>
      </c>
      <c r="B492" s="6" t="s">
        <v>1202</v>
      </c>
      <c r="C492" s="6" t="s">
        <v>1203</v>
      </c>
      <c r="D492" s="8" t="s">
        <v>80</v>
      </c>
      <c r="E492" s="6" t="s">
        <v>242</v>
      </c>
      <c r="F492" s="6" t="s">
        <v>85</v>
      </c>
      <c r="G492" s="11" t="s">
        <v>56</v>
      </c>
      <c r="H492" s="11"/>
      <c r="I492" s="10" t="s">
        <v>2143</v>
      </c>
      <c r="J492" s="6" t="s">
        <v>2144</v>
      </c>
      <c r="K492" s="12">
        <v>46121.764560185184</v>
      </c>
      <c r="L492" s="6" t="e" cm="1">
        <f t="array" ref="L492">LOOKUP(2^15,SEARCH(Tabela2[Palavras-Chave],Boletim4[[#This Row],[Objeto]],1),Tabela2[Palavras-Chave])</f>
        <v>#N/A</v>
      </c>
    </row>
    <row r="493" spans="1:12" ht="259.2" hidden="1" x14ac:dyDescent="0.3">
      <c r="A493" s="5">
        <v>18810286</v>
      </c>
      <c r="B493" s="6" t="s">
        <v>2127</v>
      </c>
      <c r="C493" s="6" t="s">
        <v>2128</v>
      </c>
      <c r="D493" s="8" t="s">
        <v>80</v>
      </c>
      <c r="E493" s="6" t="s">
        <v>165</v>
      </c>
      <c r="F493" s="6" t="s">
        <v>85</v>
      </c>
      <c r="G493" s="11" t="s">
        <v>56</v>
      </c>
      <c r="H493" s="11"/>
      <c r="I493" s="10" t="s">
        <v>2145</v>
      </c>
      <c r="J493" s="6" t="s">
        <v>2146</v>
      </c>
      <c r="K493" s="12">
        <v>46121.838090277779</v>
      </c>
      <c r="L493" s="6" t="e" cm="1">
        <f t="array" ref="L493">LOOKUP(2^15,SEARCH(Tabela2[Palavras-Chave],Boletim4[[#This Row],[Objeto]],1),Tabela2[Palavras-Chave])</f>
        <v>#N/A</v>
      </c>
    </row>
    <row r="494" spans="1:12" ht="86.4" hidden="1" x14ac:dyDescent="0.3">
      <c r="A494" s="5">
        <v>18811088</v>
      </c>
      <c r="B494" s="6" t="s">
        <v>488</v>
      </c>
      <c r="C494" s="6" t="s">
        <v>489</v>
      </c>
      <c r="D494" s="8" t="s">
        <v>80</v>
      </c>
      <c r="E494" s="6" t="s">
        <v>450</v>
      </c>
      <c r="F494" s="6" t="s">
        <v>85</v>
      </c>
      <c r="G494" s="11" t="s">
        <v>56</v>
      </c>
      <c r="H494" s="11"/>
      <c r="I494" s="10" t="s">
        <v>2147</v>
      </c>
      <c r="J494" s="6" t="s">
        <v>2148</v>
      </c>
      <c r="K494" s="12">
        <v>46121.849652777775</v>
      </c>
      <c r="L494" s="6" t="e" cm="1">
        <f t="array" ref="L494">LOOKUP(2^15,SEARCH(Tabela2[Palavras-Chave],Boletim4[[#This Row],[Objeto]],1),Tabela2[Palavras-Chave])</f>
        <v>#N/A</v>
      </c>
    </row>
    <row r="495" spans="1:12" ht="100.8" hidden="1" x14ac:dyDescent="0.3">
      <c r="A495" s="5">
        <v>18807395</v>
      </c>
      <c r="B495" s="6" t="s">
        <v>2149</v>
      </c>
      <c r="C495" s="6" t="s">
        <v>2150</v>
      </c>
      <c r="D495" s="8" t="s">
        <v>81</v>
      </c>
      <c r="E495" s="6" t="s">
        <v>722</v>
      </c>
      <c r="F495" s="6" t="s">
        <v>85</v>
      </c>
      <c r="G495" s="11">
        <v>46139.540972222225</v>
      </c>
      <c r="H495" s="11"/>
      <c r="I495" s="10" t="s">
        <v>2151</v>
      </c>
      <c r="J495" s="6" t="s">
        <v>2152</v>
      </c>
      <c r="K495" s="12">
        <v>46121.444571759261</v>
      </c>
      <c r="L495" s="6" t="str" cm="1">
        <f t="array" ref="L495">LOOKUP(2^15,SEARCH(Tabela2[Palavras-Chave],Boletim4[[#This Row],[Objeto]],1),Tabela2[Palavras-Chave])</f>
        <v>UNIÃO</v>
      </c>
    </row>
    <row r="496" spans="1:12" ht="100.8" hidden="1" x14ac:dyDescent="0.3">
      <c r="A496" s="5">
        <v>18807460</v>
      </c>
      <c r="B496" s="6" t="s">
        <v>74</v>
      </c>
      <c r="C496" s="6" t="s">
        <v>104</v>
      </c>
      <c r="D496" s="8" t="s">
        <v>81</v>
      </c>
      <c r="E496" s="6" t="s">
        <v>1319</v>
      </c>
      <c r="F496" s="6" t="s">
        <v>85</v>
      </c>
      <c r="G496" s="11" t="s">
        <v>56</v>
      </c>
      <c r="H496" s="11"/>
      <c r="I496" s="10" t="s">
        <v>1320</v>
      </c>
      <c r="J496" s="6" t="s">
        <v>1321</v>
      </c>
      <c r="K496" s="12">
        <v>46121.447314814817</v>
      </c>
      <c r="L496" s="6" t="e" cm="1">
        <f t="array" ref="L496">LOOKUP(2^15,SEARCH(Tabela2[Palavras-Chave],Boletim4[[#This Row],[Objeto]],1),Tabela2[Palavras-Chave])</f>
        <v>#N/A</v>
      </c>
    </row>
    <row r="497" spans="1:12" ht="86.4" hidden="1" x14ac:dyDescent="0.3">
      <c r="A497" s="5">
        <v>18806968</v>
      </c>
      <c r="B497" s="6" t="s">
        <v>2153</v>
      </c>
      <c r="C497" s="6" t="s">
        <v>2154</v>
      </c>
      <c r="D497" s="8" t="s">
        <v>81</v>
      </c>
      <c r="E497" s="6" t="s">
        <v>300</v>
      </c>
      <c r="F497" s="6" t="s">
        <v>85</v>
      </c>
      <c r="G497" s="11" t="s">
        <v>56</v>
      </c>
      <c r="H497" s="11"/>
      <c r="I497" s="10" t="s">
        <v>2155</v>
      </c>
      <c r="J497" s="6" t="s">
        <v>2156</v>
      </c>
      <c r="K497" s="12">
        <v>46121.446493055555</v>
      </c>
      <c r="L497" s="6" t="e" cm="1">
        <f t="array" ref="L497">LOOKUP(2^15,SEARCH(Tabela2[Palavras-Chave],Boletim4[[#This Row],[Objeto]],1),Tabela2[Palavras-Chave])</f>
        <v>#N/A</v>
      </c>
    </row>
    <row r="498" spans="1:12" ht="86.4" hidden="1" x14ac:dyDescent="0.3">
      <c r="A498" s="5">
        <v>18806970</v>
      </c>
      <c r="B498" s="6" t="s">
        <v>2157</v>
      </c>
      <c r="C498" s="6" t="s">
        <v>2158</v>
      </c>
      <c r="D498" s="8" t="s">
        <v>81</v>
      </c>
      <c r="E498" s="6" t="s">
        <v>2159</v>
      </c>
      <c r="F498" s="6" t="s">
        <v>85</v>
      </c>
      <c r="G498" s="11" t="s">
        <v>56</v>
      </c>
      <c r="H498" s="11"/>
      <c r="I498" s="10" t="s">
        <v>2160</v>
      </c>
      <c r="J498" s="6" t="s">
        <v>2161</v>
      </c>
      <c r="K498" s="12">
        <v>46121.451516203706</v>
      </c>
      <c r="L498" s="6" t="e" cm="1">
        <f t="array" ref="L498">LOOKUP(2^15,SEARCH(Tabela2[Palavras-Chave],Boletim4[[#This Row],[Objeto]],1),Tabela2[Palavras-Chave])</f>
        <v>#N/A</v>
      </c>
    </row>
    <row r="499" spans="1:12" ht="86.4" hidden="1" x14ac:dyDescent="0.3">
      <c r="A499" s="13">
        <v>18803576</v>
      </c>
      <c r="B499" s="10" t="s">
        <v>514</v>
      </c>
      <c r="C499" s="10" t="s">
        <v>515</v>
      </c>
      <c r="D499" s="15" t="s">
        <v>81</v>
      </c>
      <c r="E499" s="10" t="s">
        <v>516</v>
      </c>
      <c r="F499" s="10" t="s">
        <v>85</v>
      </c>
      <c r="G499" s="16" t="s">
        <v>56</v>
      </c>
      <c r="H499" s="16"/>
      <c r="I499" s="10" t="s">
        <v>517</v>
      </c>
      <c r="J499" s="10" t="s">
        <v>518</v>
      </c>
      <c r="K499" s="17">
        <v>46121.451493055552</v>
      </c>
      <c r="L499" s="6" t="e" cm="1">
        <f t="array" ref="L499">LOOKUP(2^15,SEARCH(Tabela2[Palavras-Chave],Boletim4[[#This Row],[Objeto]],1),Tabela2[Palavras-Chave])</f>
        <v>#N/A</v>
      </c>
    </row>
    <row r="500" spans="1:12" ht="86.4" hidden="1" x14ac:dyDescent="0.3">
      <c r="A500" s="5">
        <v>18806924</v>
      </c>
      <c r="B500" s="6" t="s">
        <v>2162</v>
      </c>
      <c r="C500" s="6" t="s">
        <v>2163</v>
      </c>
      <c r="D500" s="8" t="s">
        <v>81</v>
      </c>
      <c r="E500" s="6" t="s">
        <v>165</v>
      </c>
      <c r="F500" s="6" t="s">
        <v>85</v>
      </c>
      <c r="G500" s="11" t="s">
        <v>56</v>
      </c>
      <c r="H500" s="11"/>
      <c r="I500" s="10" t="s">
        <v>2164</v>
      </c>
      <c r="J500" s="6" t="s">
        <v>2165</v>
      </c>
      <c r="K500" s="12">
        <v>46121.451666666668</v>
      </c>
      <c r="L500" s="6" t="e" cm="1">
        <f t="array" ref="L500">LOOKUP(2^15,SEARCH(Tabela2[Palavras-Chave],Boletim4[[#This Row],[Objeto]],1),Tabela2[Palavras-Chave])</f>
        <v>#N/A</v>
      </c>
    </row>
    <row r="501" spans="1:12" ht="100.8" hidden="1" x14ac:dyDescent="0.3">
      <c r="A501" s="5">
        <v>18806939</v>
      </c>
      <c r="B501" s="6" t="s">
        <v>2166</v>
      </c>
      <c r="C501" s="6" t="s">
        <v>2167</v>
      </c>
      <c r="D501" s="8" t="s">
        <v>81</v>
      </c>
      <c r="E501" s="6" t="s">
        <v>2168</v>
      </c>
      <c r="F501" s="6" t="s">
        <v>85</v>
      </c>
      <c r="G501" s="11" t="s">
        <v>56</v>
      </c>
      <c r="H501" s="11"/>
      <c r="I501" s="10" t="s">
        <v>2169</v>
      </c>
      <c r="J501" s="6" t="s">
        <v>2170</v>
      </c>
      <c r="K501" s="12">
        <v>46121.453368055554</v>
      </c>
      <c r="L501" s="6" t="e" cm="1">
        <f t="array" ref="L501">LOOKUP(2^15,SEARCH(Tabela2[Palavras-Chave],Boletim4[[#This Row],[Objeto]],1),Tabela2[Palavras-Chave])</f>
        <v>#N/A</v>
      </c>
    </row>
    <row r="502" spans="1:12" ht="259.2" hidden="1" x14ac:dyDescent="0.3">
      <c r="A502" s="5">
        <v>18807758</v>
      </c>
      <c r="B502" s="6" t="s">
        <v>512</v>
      </c>
      <c r="C502" s="6" t="s">
        <v>513</v>
      </c>
      <c r="D502" s="8" t="s">
        <v>81</v>
      </c>
      <c r="E502" s="6" t="s">
        <v>135</v>
      </c>
      <c r="F502" s="6" t="s">
        <v>85</v>
      </c>
      <c r="G502" s="11" t="s">
        <v>56</v>
      </c>
      <c r="H502" s="11"/>
      <c r="I502" s="10" t="s">
        <v>2171</v>
      </c>
      <c r="J502" s="6" t="s">
        <v>2172</v>
      </c>
      <c r="K502" s="12">
        <v>46121.476435185185</v>
      </c>
      <c r="L502" s="6" t="e" cm="1">
        <f t="array" ref="L502">LOOKUP(2^15,SEARCH(Tabela2[Palavras-Chave],Boletim4[[#This Row],[Objeto]],1),Tabela2[Palavras-Chave])</f>
        <v>#N/A</v>
      </c>
    </row>
    <row r="503" spans="1:12" hidden="1" x14ac:dyDescent="0.3">
      <c r="A503" s="5">
        <v>18807337</v>
      </c>
      <c r="B503" s="6" t="s">
        <v>2173</v>
      </c>
      <c r="C503" s="6" t="s">
        <v>104</v>
      </c>
      <c r="D503" s="8" t="s">
        <v>81</v>
      </c>
      <c r="E503" s="6" t="s">
        <v>2174</v>
      </c>
      <c r="F503" s="6" t="s">
        <v>85</v>
      </c>
      <c r="G503" s="11" t="s">
        <v>56</v>
      </c>
      <c r="H503" s="11"/>
      <c r="I503" s="10" t="s">
        <v>2175</v>
      </c>
      <c r="J503" s="6" t="s">
        <v>90</v>
      </c>
      <c r="K503" s="12">
        <v>46121.499363425923</v>
      </c>
      <c r="L503" s="6" t="e" cm="1">
        <f t="array" ref="L503">LOOKUP(2^15,SEARCH(Tabela2[Palavras-Chave],Boletim4[[#This Row],[Objeto]],1),Tabela2[Palavras-Chave])</f>
        <v>#N/A</v>
      </c>
    </row>
    <row r="504" spans="1:12" ht="86.4" hidden="1" x14ac:dyDescent="0.3">
      <c r="A504" s="5">
        <v>18794644</v>
      </c>
      <c r="B504" s="6" t="s">
        <v>195</v>
      </c>
      <c r="C504" s="6" t="s">
        <v>196</v>
      </c>
      <c r="D504" s="8" t="s">
        <v>81</v>
      </c>
      <c r="E504" s="6" t="s">
        <v>505</v>
      </c>
      <c r="F504" s="6" t="s">
        <v>85</v>
      </c>
      <c r="G504" s="11" t="s">
        <v>56</v>
      </c>
      <c r="H504" s="11"/>
      <c r="I504" s="10" t="s">
        <v>506</v>
      </c>
      <c r="J504" s="6" t="s">
        <v>507</v>
      </c>
      <c r="K504" s="12">
        <v>46121.513229166667</v>
      </c>
      <c r="L504" s="6" t="e" cm="1">
        <f t="array" ref="L504">LOOKUP(2^15,SEARCH(Tabela2[Palavras-Chave],Boletim4[[#This Row],[Objeto]],1),Tabela2[Palavras-Chave])</f>
        <v>#N/A</v>
      </c>
    </row>
    <row r="505" spans="1:12" ht="43.2" hidden="1" x14ac:dyDescent="0.3">
      <c r="A505" s="5">
        <v>18805909</v>
      </c>
      <c r="B505" s="6" t="s">
        <v>527</v>
      </c>
      <c r="C505" s="6" t="s">
        <v>528</v>
      </c>
      <c r="D505" s="8" t="s">
        <v>81</v>
      </c>
      <c r="E505" s="6" t="s">
        <v>529</v>
      </c>
      <c r="F505" s="6" t="s">
        <v>85</v>
      </c>
      <c r="G505" s="11" t="s">
        <v>56</v>
      </c>
      <c r="H505" s="11"/>
      <c r="I505" s="10" t="s">
        <v>530</v>
      </c>
      <c r="J505" s="6" t="s">
        <v>531</v>
      </c>
      <c r="K505" s="12">
        <v>46121.58697916667</v>
      </c>
      <c r="L505" s="6" t="e" cm="1">
        <f t="array" ref="L505">LOOKUP(2^15,SEARCH(Tabela2[Palavras-Chave],Boletim4[[#This Row],[Objeto]],1),Tabela2[Palavras-Chave])</f>
        <v>#N/A</v>
      </c>
    </row>
    <row r="506" spans="1:12" ht="86.4" hidden="1" x14ac:dyDescent="0.3">
      <c r="A506" s="5">
        <v>18805312</v>
      </c>
      <c r="B506" s="6" t="s">
        <v>523</v>
      </c>
      <c r="C506" s="6" t="s">
        <v>524</v>
      </c>
      <c r="D506" s="8" t="s">
        <v>81</v>
      </c>
      <c r="E506" s="6" t="s">
        <v>211</v>
      </c>
      <c r="F506" s="6" t="s">
        <v>85</v>
      </c>
      <c r="G506" s="11" t="s">
        <v>56</v>
      </c>
      <c r="H506" s="11"/>
      <c r="I506" s="10" t="s">
        <v>525</v>
      </c>
      <c r="J506" s="6" t="s">
        <v>526</v>
      </c>
      <c r="K506" s="12">
        <v>46121.607002314813</v>
      </c>
      <c r="L506" s="6" t="e" cm="1">
        <f t="array" ref="L506">LOOKUP(2^15,SEARCH(Tabela2[Palavras-Chave],Boletim4[[#This Row],[Objeto]],1),Tabela2[Palavras-Chave])</f>
        <v>#N/A</v>
      </c>
    </row>
    <row r="507" spans="1:12" ht="115.2" hidden="1" x14ac:dyDescent="0.3">
      <c r="A507" s="5">
        <v>18802024</v>
      </c>
      <c r="B507" s="6" t="s">
        <v>509</v>
      </c>
      <c r="C507" s="6" t="s">
        <v>263</v>
      </c>
      <c r="D507" s="8" t="s">
        <v>81</v>
      </c>
      <c r="E507" s="6" t="s">
        <v>109</v>
      </c>
      <c r="F507" s="6" t="s">
        <v>85</v>
      </c>
      <c r="G507" s="11">
        <v>46132.329861111109</v>
      </c>
      <c r="H507" s="11"/>
      <c r="I507" s="10" t="s">
        <v>510</v>
      </c>
      <c r="J507" s="6" t="s">
        <v>511</v>
      </c>
      <c r="K507" s="12">
        <v>46121.607708333337</v>
      </c>
      <c r="L507" s="6" t="e" cm="1">
        <f t="array" ref="L507">LOOKUP(2^15,SEARCH(Tabela2[Palavras-Chave],Boletim4[[#This Row],[Objeto]],1),Tabela2[Palavras-Chave])</f>
        <v>#N/A</v>
      </c>
    </row>
    <row r="508" spans="1:12" ht="100.8" hidden="1" x14ac:dyDescent="0.3">
      <c r="A508" s="5">
        <v>18804764</v>
      </c>
      <c r="B508" s="6" t="s">
        <v>519</v>
      </c>
      <c r="C508" s="6" t="s">
        <v>520</v>
      </c>
      <c r="D508" s="8" t="s">
        <v>81</v>
      </c>
      <c r="E508" s="6" t="s">
        <v>117</v>
      </c>
      <c r="F508" s="6" t="s">
        <v>85</v>
      </c>
      <c r="G508" s="11">
        <v>46132.374305555553</v>
      </c>
      <c r="H508" s="11"/>
      <c r="I508" s="10" t="s">
        <v>532</v>
      </c>
      <c r="J508" s="6" t="s">
        <v>533</v>
      </c>
      <c r="K508" s="12">
        <v>46121.607743055552</v>
      </c>
      <c r="L508" s="6" t="e" cm="1">
        <f t="array" ref="L508">LOOKUP(2^15,SEARCH(Tabela2[Palavras-Chave],Boletim4[[#This Row],[Objeto]],1),Tabela2[Palavras-Chave])</f>
        <v>#N/A</v>
      </c>
    </row>
    <row r="509" spans="1:12" ht="115.2" hidden="1" x14ac:dyDescent="0.3">
      <c r="A509" s="5">
        <v>18808534</v>
      </c>
      <c r="B509" s="6" t="s">
        <v>302</v>
      </c>
      <c r="C509" s="6" t="s">
        <v>193</v>
      </c>
      <c r="D509" s="8" t="s">
        <v>81</v>
      </c>
      <c r="E509" s="6" t="s">
        <v>2176</v>
      </c>
      <c r="F509" s="6" t="s">
        <v>85</v>
      </c>
      <c r="G509" s="11" t="s">
        <v>56</v>
      </c>
      <c r="H509" s="11"/>
      <c r="I509" s="10" t="s">
        <v>508</v>
      </c>
      <c r="J509" s="6" t="s">
        <v>2177</v>
      </c>
      <c r="K509" s="12">
        <v>46121.612638888888</v>
      </c>
      <c r="L509" s="6" t="e" cm="1">
        <f t="array" ref="L509">LOOKUP(2^15,SEARCH(Tabela2[Palavras-Chave],Boletim4[[#This Row],[Objeto]],1),Tabela2[Palavras-Chave])</f>
        <v>#N/A</v>
      </c>
    </row>
    <row r="510" spans="1:12" ht="259.2" hidden="1" x14ac:dyDescent="0.3">
      <c r="A510" s="5">
        <v>18809571</v>
      </c>
      <c r="B510" s="6" t="s">
        <v>2178</v>
      </c>
      <c r="C510" s="6" t="s">
        <v>2179</v>
      </c>
      <c r="D510" s="8" t="s">
        <v>81</v>
      </c>
      <c r="E510" s="6" t="s">
        <v>107</v>
      </c>
      <c r="F510" s="6" t="s">
        <v>85</v>
      </c>
      <c r="G510" s="11" t="s">
        <v>56</v>
      </c>
      <c r="H510" s="11"/>
      <c r="I510" s="10" t="s">
        <v>2180</v>
      </c>
      <c r="J510" s="6" t="s">
        <v>2181</v>
      </c>
      <c r="K510" s="12">
        <v>46121.614791666667</v>
      </c>
      <c r="L510" s="6" t="e" cm="1">
        <f t="array" ref="L510">LOOKUP(2^15,SEARCH(Tabela2[Palavras-Chave],Boletim4[[#This Row],[Objeto]],1),Tabela2[Palavras-Chave])</f>
        <v>#N/A</v>
      </c>
    </row>
    <row r="511" spans="1:12" ht="259.2" hidden="1" x14ac:dyDescent="0.3">
      <c r="A511" s="5">
        <v>18809209</v>
      </c>
      <c r="B511" s="6" t="s">
        <v>2182</v>
      </c>
      <c r="C511" s="6" t="s">
        <v>2183</v>
      </c>
      <c r="D511" s="8" t="s">
        <v>81</v>
      </c>
      <c r="E511" s="6" t="s">
        <v>126</v>
      </c>
      <c r="F511" s="6" t="s">
        <v>85</v>
      </c>
      <c r="G511" s="11" t="s">
        <v>56</v>
      </c>
      <c r="H511" s="11"/>
      <c r="I511" s="10" t="s">
        <v>2184</v>
      </c>
      <c r="J511" s="6" t="s">
        <v>2185</v>
      </c>
      <c r="K511" s="12">
        <v>46121.625879629632</v>
      </c>
      <c r="L511" s="6" t="e" cm="1">
        <f t="array" ref="L511">LOOKUP(2^15,SEARCH(Tabela2[Palavras-Chave],Boletim4[[#This Row],[Objeto]],1),Tabela2[Palavras-Chave])</f>
        <v>#N/A</v>
      </c>
    </row>
    <row r="512" spans="1:12" ht="115.2" hidden="1" x14ac:dyDescent="0.3">
      <c r="A512" s="5">
        <v>18807523</v>
      </c>
      <c r="B512" s="6" t="s">
        <v>2186</v>
      </c>
      <c r="C512" s="6" t="s">
        <v>2187</v>
      </c>
      <c r="D512" s="8" t="s">
        <v>81</v>
      </c>
      <c r="E512" s="6" t="s">
        <v>474</v>
      </c>
      <c r="F512" s="6" t="s">
        <v>85</v>
      </c>
      <c r="G512" s="11">
        <v>46134.353472222225</v>
      </c>
      <c r="H512" s="11"/>
      <c r="I512" s="10" t="s">
        <v>2188</v>
      </c>
      <c r="J512" s="6" t="s">
        <v>2189</v>
      </c>
      <c r="K512" s="12">
        <v>46121.665625000001</v>
      </c>
      <c r="L512" s="6" t="e" cm="1">
        <f t="array" ref="L512">LOOKUP(2^15,SEARCH(Tabela2[Palavras-Chave],Boletim4[[#This Row],[Objeto]],1),Tabela2[Palavras-Chave])</f>
        <v>#N/A</v>
      </c>
    </row>
    <row r="513" spans="1:12" ht="244.8" hidden="1" x14ac:dyDescent="0.3">
      <c r="A513" s="5">
        <v>18809470</v>
      </c>
      <c r="B513" s="6" t="s">
        <v>2190</v>
      </c>
      <c r="C513" s="6" t="s">
        <v>2191</v>
      </c>
      <c r="D513" s="8" t="s">
        <v>81</v>
      </c>
      <c r="E513" s="6" t="s">
        <v>474</v>
      </c>
      <c r="F513" s="6" t="s">
        <v>85</v>
      </c>
      <c r="G513" s="11" t="s">
        <v>56</v>
      </c>
      <c r="H513" s="11"/>
      <c r="I513" s="10" t="s">
        <v>2192</v>
      </c>
      <c r="J513" s="6" t="s">
        <v>2193</v>
      </c>
      <c r="K513" s="12">
        <v>46121.666354166664</v>
      </c>
      <c r="L513" s="6" t="e" cm="1">
        <f t="array" ref="L513">LOOKUP(2^15,SEARCH(Tabela2[Palavras-Chave],Boletim4[[#This Row],[Objeto]],1),Tabela2[Palavras-Chave])</f>
        <v>#N/A</v>
      </c>
    </row>
    <row r="514" spans="1:12" ht="115.2" hidden="1" x14ac:dyDescent="0.3">
      <c r="A514" s="5">
        <v>18809915</v>
      </c>
      <c r="B514" s="6" t="s">
        <v>2194</v>
      </c>
      <c r="C514" s="6" t="s">
        <v>2195</v>
      </c>
      <c r="D514" s="8" t="s">
        <v>81</v>
      </c>
      <c r="E514" s="6" t="s">
        <v>170</v>
      </c>
      <c r="F514" s="6" t="s">
        <v>85</v>
      </c>
      <c r="G514" s="11">
        <v>46486.395833333336</v>
      </c>
      <c r="H514" s="11"/>
      <c r="I514" s="10" t="s">
        <v>2196</v>
      </c>
      <c r="J514" s="6" t="s">
        <v>2197</v>
      </c>
      <c r="K514" s="12">
        <v>46121.694247685184</v>
      </c>
      <c r="L514" s="6" t="e" cm="1">
        <f t="array" ref="L514">LOOKUP(2^15,SEARCH(Tabela2[Palavras-Chave],Boletim4[[#This Row],[Objeto]],1),Tabela2[Palavras-Chave])</f>
        <v>#N/A</v>
      </c>
    </row>
    <row r="515" spans="1:12" ht="57.6" hidden="1" x14ac:dyDescent="0.3">
      <c r="A515" s="5">
        <v>18807618</v>
      </c>
      <c r="B515" s="6" t="s">
        <v>2198</v>
      </c>
      <c r="C515" s="6" t="s">
        <v>2199</v>
      </c>
      <c r="D515" s="8" t="s">
        <v>81</v>
      </c>
      <c r="E515" s="6" t="s">
        <v>113</v>
      </c>
      <c r="F515" s="6" t="s">
        <v>85</v>
      </c>
      <c r="G515" s="11">
        <v>46136.375</v>
      </c>
      <c r="H515" s="11"/>
      <c r="I515" s="10" t="s">
        <v>2200</v>
      </c>
      <c r="J515" s="6" t="s">
        <v>90</v>
      </c>
      <c r="K515" s="12">
        <v>46121.696504629632</v>
      </c>
      <c r="L515" s="6" t="e" cm="1">
        <f t="array" ref="L515">LOOKUP(2^15,SEARCH(Tabela2[Palavras-Chave],Boletim4[[#This Row],[Objeto]],1),Tabela2[Palavras-Chave])</f>
        <v>#N/A</v>
      </c>
    </row>
    <row r="516" spans="1:12" ht="100.8" hidden="1" x14ac:dyDescent="0.3">
      <c r="A516" s="5">
        <v>18810075</v>
      </c>
      <c r="B516" s="6" t="s">
        <v>2201</v>
      </c>
      <c r="C516" s="6" t="s">
        <v>2202</v>
      </c>
      <c r="D516" s="8" t="s">
        <v>81</v>
      </c>
      <c r="E516" s="6" t="s">
        <v>124</v>
      </c>
      <c r="F516" s="6" t="s">
        <v>85</v>
      </c>
      <c r="G516" s="11">
        <v>46139.333333333336</v>
      </c>
      <c r="H516" s="11"/>
      <c r="I516" s="10" t="s">
        <v>2203</v>
      </c>
      <c r="J516" s="6" t="s">
        <v>2204</v>
      </c>
      <c r="K516" s="12">
        <v>46121.701435185183</v>
      </c>
      <c r="L516" s="6" t="e" cm="1">
        <f t="array" ref="L516">LOOKUP(2^15,SEARCH(Tabela2[Palavras-Chave],Boletim4[[#This Row],[Objeto]],1),Tabela2[Palavras-Chave])</f>
        <v>#N/A</v>
      </c>
    </row>
    <row r="517" spans="1:12" ht="86.4" hidden="1" x14ac:dyDescent="0.3">
      <c r="A517" s="5">
        <v>18808529</v>
      </c>
      <c r="B517" s="6" t="s">
        <v>2205</v>
      </c>
      <c r="C517" s="6" t="s">
        <v>2206</v>
      </c>
      <c r="D517" s="8" t="s">
        <v>81</v>
      </c>
      <c r="E517" s="6" t="s">
        <v>143</v>
      </c>
      <c r="F517" s="6" t="s">
        <v>85</v>
      </c>
      <c r="G517" s="11" t="s">
        <v>56</v>
      </c>
      <c r="H517" s="11"/>
      <c r="I517" s="10" t="s">
        <v>2207</v>
      </c>
      <c r="J517" s="6" t="s">
        <v>2208</v>
      </c>
      <c r="K517" s="12">
        <v>46121.704560185186</v>
      </c>
      <c r="L517" s="6" t="e" cm="1">
        <f t="array" ref="L517">LOOKUP(2^15,SEARCH(Tabela2[Palavras-Chave],Boletim4[[#This Row],[Objeto]],1),Tabela2[Palavras-Chave])</f>
        <v>#N/A</v>
      </c>
    </row>
    <row r="518" spans="1:12" ht="57.6" hidden="1" x14ac:dyDescent="0.3">
      <c r="A518" s="5">
        <v>18809391</v>
      </c>
      <c r="B518" s="6" t="s">
        <v>523</v>
      </c>
      <c r="C518" s="6" t="s">
        <v>524</v>
      </c>
      <c r="D518" s="8" t="s">
        <v>81</v>
      </c>
      <c r="E518" s="6" t="s">
        <v>188</v>
      </c>
      <c r="F518" s="6" t="s">
        <v>85</v>
      </c>
      <c r="G518" s="11">
        <v>46136.458333333336</v>
      </c>
      <c r="H518" s="11"/>
      <c r="I518" s="10" t="s">
        <v>2209</v>
      </c>
      <c r="J518" s="6" t="s">
        <v>2210</v>
      </c>
      <c r="K518" s="12">
        <v>46121.734444444446</v>
      </c>
      <c r="L518" s="6" t="e" cm="1">
        <f t="array" ref="L518">LOOKUP(2^15,SEARCH(Tabela2[Palavras-Chave],Boletim4[[#This Row],[Objeto]],1),Tabela2[Palavras-Chave])</f>
        <v>#N/A</v>
      </c>
    </row>
    <row r="519" spans="1:12" ht="86.4" hidden="1" x14ac:dyDescent="0.3">
      <c r="A519" s="5">
        <v>18809411</v>
      </c>
      <c r="B519" s="6" t="s">
        <v>2211</v>
      </c>
      <c r="C519" s="6" t="s">
        <v>298</v>
      </c>
      <c r="D519" s="8" t="s">
        <v>81</v>
      </c>
      <c r="E519" s="6" t="s">
        <v>122</v>
      </c>
      <c r="F519" s="6" t="s">
        <v>85</v>
      </c>
      <c r="G519" s="11" t="s">
        <v>56</v>
      </c>
      <c r="H519" s="11"/>
      <c r="I519" s="10" t="s">
        <v>2212</v>
      </c>
      <c r="J519" s="6" t="s">
        <v>2213</v>
      </c>
      <c r="K519" s="12">
        <v>46121.744733796295</v>
      </c>
      <c r="L519" s="6" t="e" cm="1">
        <f t="array" ref="L519">LOOKUP(2^15,SEARCH(Tabela2[Palavras-Chave],Boletim4[[#This Row],[Objeto]],1),Tabela2[Palavras-Chave])</f>
        <v>#N/A</v>
      </c>
    </row>
    <row r="520" spans="1:12" ht="100.8" hidden="1" x14ac:dyDescent="0.3">
      <c r="A520" s="5">
        <v>18807478</v>
      </c>
      <c r="B520" s="6" t="s">
        <v>2214</v>
      </c>
      <c r="C520" s="6" t="s">
        <v>2187</v>
      </c>
      <c r="D520" s="8" t="s">
        <v>81</v>
      </c>
      <c r="E520" s="6" t="s">
        <v>146</v>
      </c>
      <c r="F520" s="6" t="s">
        <v>85</v>
      </c>
      <c r="G520" s="11">
        <v>46135.353472222225</v>
      </c>
      <c r="H520" s="11"/>
      <c r="I520" s="10" t="s">
        <v>2215</v>
      </c>
      <c r="J520" s="6" t="s">
        <v>2216</v>
      </c>
      <c r="K520" s="12">
        <v>46121.744884259257</v>
      </c>
      <c r="L520" s="6" t="e" cm="1">
        <f t="array" ref="L520">LOOKUP(2^15,SEARCH(Tabela2[Palavras-Chave],Boletim4[[#This Row],[Objeto]],1),Tabela2[Palavras-Chave])</f>
        <v>#N/A</v>
      </c>
    </row>
    <row r="521" spans="1:12" ht="115.2" x14ac:dyDescent="0.3">
      <c r="A521" s="5">
        <v>18808530</v>
      </c>
      <c r="B521" s="6" t="s">
        <v>254</v>
      </c>
      <c r="C521" s="6" t="s">
        <v>255</v>
      </c>
      <c r="D521" s="8" t="s">
        <v>81</v>
      </c>
      <c r="E521" s="6" t="s">
        <v>483</v>
      </c>
      <c r="F521" s="6" t="s">
        <v>85</v>
      </c>
      <c r="G521" s="11" t="s">
        <v>56</v>
      </c>
      <c r="H521" s="11"/>
      <c r="I521" s="10" t="s">
        <v>2217</v>
      </c>
      <c r="J521" s="6" t="s">
        <v>2218</v>
      </c>
      <c r="K521" s="12">
        <v>46121.767164351855</v>
      </c>
      <c r="L521" s="6" t="str" cm="1">
        <f t="array" ref="L521">LOOKUP(2^15,SEARCH(Tabela2[Palavras-Chave],Boletim4[[#This Row],[Objeto]],1),Tabela2[Palavras-Chave])</f>
        <v>RESERVAT</v>
      </c>
    </row>
    <row r="522" spans="1:12" ht="86.4" hidden="1" x14ac:dyDescent="0.3">
      <c r="A522" s="5">
        <v>18806936</v>
      </c>
      <c r="B522" s="6" t="s">
        <v>2219</v>
      </c>
      <c r="C522" s="6" t="s">
        <v>2220</v>
      </c>
      <c r="D522" s="8" t="s">
        <v>81</v>
      </c>
      <c r="E522" s="6" t="s">
        <v>155</v>
      </c>
      <c r="F522" s="6" t="s">
        <v>85</v>
      </c>
      <c r="G522" s="11" t="s">
        <v>56</v>
      </c>
      <c r="H522" s="11"/>
      <c r="I522" s="10" t="s">
        <v>2221</v>
      </c>
      <c r="J522" s="6" t="s">
        <v>2222</v>
      </c>
      <c r="K522" s="12">
        <v>46121.769270833334</v>
      </c>
      <c r="L522" s="6" t="e" cm="1">
        <f t="array" ref="L522">LOOKUP(2^15,SEARCH(Tabela2[Palavras-Chave],Boletim4[[#This Row],[Objeto]],1),Tabela2[Palavras-Chave])</f>
        <v>#N/A</v>
      </c>
    </row>
    <row r="523" spans="1:12" ht="28.8" hidden="1" x14ac:dyDescent="0.3">
      <c r="A523" s="5">
        <v>18810796</v>
      </c>
      <c r="B523" s="6" t="s">
        <v>2223</v>
      </c>
      <c r="C523" s="6" t="s">
        <v>104</v>
      </c>
      <c r="D523" s="8" t="s">
        <v>81</v>
      </c>
      <c r="E523" s="6" t="s">
        <v>155</v>
      </c>
      <c r="F523" s="6" t="s">
        <v>85</v>
      </c>
      <c r="G523" s="11">
        <v>46148</v>
      </c>
      <c r="H523" s="11"/>
      <c r="I523" s="10" t="s">
        <v>2224</v>
      </c>
      <c r="J523" s="6" t="s">
        <v>169</v>
      </c>
      <c r="K523" s="12">
        <v>46121.774745370371</v>
      </c>
      <c r="L523" s="6" t="e" cm="1">
        <f t="array" ref="L523">LOOKUP(2^15,SEARCH(Tabela2[Palavras-Chave],Boletim4[[#This Row],[Objeto]],1),Tabela2[Palavras-Chave])</f>
        <v>#N/A</v>
      </c>
    </row>
    <row r="524" spans="1:12" ht="144" hidden="1" x14ac:dyDescent="0.3">
      <c r="A524" s="5">
        <v>18810938</v>
      </c>
      <c r="B524" s="6" t="s">
        <v>2225</v>
      </c>
      <c r="C524" s="6" t="s">
        <v>104</v>
      </c>
      <c r="D524" s="8" t="s">
        <v>81</v>
      </c>
      <c r="E524" s="6" t="s">
        <v>2226</v>
      </c>
      <c r="F524" s="6" t="s">
        <v>85</v>
      </c>
      <c r="G524" s="11" t="s">
        <v>56</v>
      </c>
      <c r="H524" s="11"/>
      <c r="I524" s="10" t="s">
        <v>2227</v>
      </c>
      <c r="J524" s="6" t="s">
        <v>2228</v>
      </c>
      <c r="K524" s="12">
        <v>46121.794490740744</v>
      </c>
      <c r="L524" s="6" t="e" cm="1">
        <f t="array" ref="L524">LOOKUP(2^15,SEARCH(Tabela2[Palavras-Chave],Boletim4[[#This Row],[Objeto]],1),Tabela2[Palavras-Chave])</f>
        <v>#N/A</v>
      </c>
    </row>
    <row r="525" spans="1:12" ht="86.4" hidden="1" x14ac:dyDescent="0.3">
      <c r="A525" s="5">
        <v>18809406</v>
      </c>
      <c r="B525" s="6" t="s">
        <v>2229</v>
      </c>
      <c r="C525" s="6" t="s">
        <v>2230</v>
      </c>
      <c r="D525" s="8" t="s">
        <v>81</v>
      </c>
      <c r="E525" s="6" t="s">
        <v>301</v>
      </c>
      <c r="F525" s="6" t="s">
        <v>85</v>
      </c>
      <c r="G525" s="11" t="s">
        <v>56</v>
      </c>
      <c r="H525" s="11"/>
      <c r="I525" s="10" t="s">
        <v>2231</v>
      </c>
      <c r="J525" s="6" t="s">
        <v>2232</v>
      </c>
      <c r="K525" s="12">
        <v>46121.788541666669</v>
      </c>
      <c r="L525" s="6" t="e" cm="1">
        <f t="array" ref="L525">LOOKUP(2^15,SEARCH(Tabela2[Palavras-Chave],Boletim4[[#This Row],[Objeto]],1),Tabela2[Palavras-Chave])</f>
        <v>#N/A</v>
      </c>
    </row>
    <row r="526" spans="1:12" ht="100.8" hidden="1" x14ac:dyDescent="0.3">
      <c r="A526" s="5">
        <v>18811116</v>
      </c>
      <c r="B526" s="6" t="s">
        <v>2233</v>
      </c>
      <c r="C526" s="6" t="s">
        <v>2234</v>
      </c>
      <c r="D526" s="8" t="s">
        <v>81</v>
      </c>
      <c r="E526" s="6" t="s">
        <v>115</v>
      </c>
      <c r="F526" s="6" t="s">
        <v>85</v>
      </c>
      <c r="G526" s="11" t="s">
        <v>56</v>
      </c>
      <c r="H526" s="11"/>
      <c r="I526" s="10" t="s">
        <v>2235</v>
      </c>
      <c r="J526" s="6" t="s">
        <v>2236</v>
      </c>
      <c r="K526" s="12">
        <v>46121.796759259261</v>
      </c>
      <c r="L526" s="6" t="e" cm="1">
        <f t="array" ref="L526">LOOKUP(2^15,SEARCH(Tabela2[Palavras-Chave],Boletim4[[#This Row],[Objeto]],1),Tabela2[Palavras-Chave])</f>
        <v>#N/A</v>
      </c>
    </row>
    <row r="527" spans="1:12" ht="273.60000000000002" hidden="1" x14ac:dyDescent="0.3">
      <c r="A527" s="5">
        <v>18811163</v>
      </c>
      <c r="B527" s="6" t="s">
        <v>2237</v>
      </c>
      <c r="C527" s="6" t="s">
        <v>2234</v>
      </c>
      <c r="D527" s="8" t="s">
        <v>81</v>
      </c>
      <c r="E527" s="6" t="s">
        <v>115</v>
      </c>
      <c r="F527" s="6" t="s">
        <v>85</v>
      </c>
      <c r="G527" s="11" t="s">
        <v>56</v>
      </c>
      <c r="H527" s="11"/>
      <c r="I527" s="10" t="s">
        <v>2238</v>
      </c>
      <c r="J527" s="6" t="s">
        <v>2239</v>
      </c>
      <c r="K527" s="12">
        <v>46121.796886574077</v>
      </c>
      <c r="L527" s="6" t="e" cm="1">
        <f t="array" ref="L527">LOOKUP(2^15,SEARCH(Tabela2[Palavras-Chave],Boletim4[[#This Row],[Objeto]],1),Tabela2[Palavras-Chave])</f>
        <v>#N/A</v>
      </c>
    </row>
    <row r="528" spans="1:12" ht="115.2" hidden="1" x14ac:dyDescent="0.3">
      <c r="A528" s="5">
        <v>18804678</v>
      </c>
      <c r="B528" s="6" t="s">
        <v>2223</v>
      </c>
      <c r="C528" s="6" t="s">
        <v>104</v>
      </c>
      <c r="D528" s="8" t="s">
        <v>81</v>
      </c>
      <c r="E528" s="6" t="s">
        <v>2240</v>
      </c>
      <c r="F528" s="6" t="s">
        <v>85</v>
      </c>
      <c r="G528" s="11">
        <v>46148.375</v>
      </c>
      <c r="H528" s="11"/>
      <c r="I528" s="10" t="s">
        <v>2241</v>
      </c>
      <c r="J528" s="6" t="s">
        <v>2242</v>
      </c>
      <c r="K528" s="12">
        <v>46121.87222222222</v>
      </c>
      <c r="L528" s="6" t="e" cm="1">
        <f t="array" ref="L528">LOOKUP(2^15,SEARCH(Tabela2[Palavras-Chave],Boletim4[[#This Row],[Objeto]],1),Tabela2[Palavras-Chave])</f>
        <v>#N/A</v>
      </c>
    </row>
    <row r="529" spans="1:12" ht="86.4" hidden="1" x14ac:dyDescent="0.3">
      <c r="A529" s="5">
        <v>18806969</v>
      </c>
      <c r="B529" s="6" t="s">
        <v>2243</v>
      </c>
      <c r="C529" s="6" t="s">
        <v>2244</v>
      </c>
      <c r="D529" s="8" t="s">
        <v>93</v>
      </c>
      <c r="E529" s="6" t="s">
        <v>108</v>
      </c>
      <c r="F529" s="6" t="s">
        <v>85</v>
      </c>
      <c r="G529" s="11" t="s">
        <v>56</v>
      </c>
      <c r="H529" s="11"/>
      <c r="I529" s="10" t="s">
        <v>2245</v>
      </c>
      <c r="J529" s="6" t="s">
        <v>2246</v>
      </c>
      <c r="K529" s="12">
        <v>46121.44326388889</v>
      </c>
      <c r="L529" s="6" t="e" cm="1">
        <f t="array" ref="L529">LOOKUP(2^15,SEARCH(Tabela2[Palavras-Chave],Boletim4[[#This Row],[Objeto]],1),Tabela2[Palavras-Chave])</f>
        <v>#N/A</v>
      </c>
    </row>
    <row r="530" spans="1:12" ht="100.8" hidden="1" x14ac:dyDescent="0.3">
      <c r="A530" s="5">
        <v>18807462</v>
      </c>
      <c r="B530" s="6" t="s">
        <v>74</v>
      </c>
      <c r="C530" s="6" t="s">
        <v>160</v>
      </c>
      <c r="D530" s="8" t="s">
        <v>93</v>
      </c>
      <c r="E530" s="6" t="s">
        <v>1319</v>
      </c>
      <c r="F530" s="6" t="s">
        <v>85</v>
      </c>
      <c r="G530" s="11" t="s">
        <v>56</v>
      </c>
      <c r="H530" s="11"/>
      <c r="I530" s="10" t="s">
        <v>1320</v>
      </c>
      <c r="J530" s="6" t="s">
        <v>1321</v>
      </c>
      <c r="K530" s="12">
        <v>46121.447314814817</v>
      </c>
      <c r="L530" s="6" t="e" cm="1">
        <f t="array" ref="L530">LOOKUP(2^15,SEARCH(Tabela2[Palavras-Chave],Boletim4[[#This Row],[Objeto]],1),Tabela2[Palavras-Chave])</f>
        <v>#N/A</v>
      </c>
    </row>
    <row r="531" spans="1:12" ht="86.4" hidden="1" x14ac:dyDescent="0.3">
      <c r="A531" s="5">
        <v>18806947</v>
      </c>
      <c r="B531" s="6" t="s">
        <v>2247</v>
      </c>
      <c r="C531" s="6" t="s">
        <v>2248</v>
      </c>
      <c r="D531" s="8" t="s">
        <v>93</v>
      </c>
      <c r="E531" s="6" t="s">
        <v>117</v>
      </c>
      <c r="F531" s="6" t="s">
        <v>85</v>
      </c>
      <c r="G531" s="11" t="s">
        <v>56</v>
      </c>
      <c r="H531" s="11"/>
      <c r="I531" s="10" t="s">
        <v>2249</v>
      </c>
      <c r="J531" s="6" t="s">
        <v>2250</v>
      </c>
      <c r="K531" s="12">
        <v>46121.537662037037</v>
      </c>
      <c r="L531" s="6" t="e" cm="1">
        <f t="array" ref="L531">LOOKUP(2^15,SEARCH(Tabela2[Palavras-Chave],Boletim4[[#This Row],[Objeto]],1),Tabela2[Palavras-Chave])</f>
        <v>#N/A</v>
      </c>
    </row>
    <row r="532" spans="1:12" ht="158.4" hidden="1" x14ac:dyDescent="0.3">
      <c r="A532" s="5">
        <v>18810150</v>
      </c>
      <c r="B532" s="6" t="s">
        <v>2251</v>
      </c>
      <c r="C532" s="6" t="s">
        <v>160</v>
      </c>
      <c r="D532" s="8" t="s">
        <v>93</v>
      </c>
      <c r="E532" s="6" t="s">
        <v>158</v>
      </c>
      <c r="F532" s="6" t="s">
        <v>85</v>
      </c>
      <c r="G532" s="11">
        <v>46134.375</v>
      </c>
      <c r="H532" s="11"/>
      <c r="I532" s="10" t="s">
        <v>2252</v>
      </c>
      <c r="J532" s="6" t="s">
        <v>2253</v>
      </c>
      <c r="K532" s="12">
        <v>46121.726354166669</v>
      </c>
      <c r="L532" s="6" t="e" cm="1">
        <f t="array" ref="L532">LOOKUP(2^15,SEARCH(Tabela2[Palavras-Chave],Boletim4[[#This Row],[Objeto]],1),Tabela2[Palavras-Chave])</f>
        <v>#N/A</v>
      </c>
    </row>
    <row r="533" spans="1:12" ht="43.2" hidden="1" x14ac:dyDescent="0.3">
      <c r="A533" s="5">
        <v>18809590</v>
      </c>
      <c r="B533" s="6" t="s">
        <v>2254</v>
      </c>
      <c r="C533" s="6" t="s">
        <v>1763</v>
      </c>
      <c r="D533" s="8" t="s">
        <v>93</v>
      </c>
      <c r="E533" s="6" t="s">
        <v>121</v>
      </c>
      <c r="F533" s="6" t="s">
        <v>85</v>
      </c>
      <c r="G533" s="11">
        <v>46139.375</v>
      </c>
      <c r="H533" s="11"/>
      <c r="I533" s="10" t="s">
        <v>2255</v>
      </c>
      <c r="J533" s="6" t="s">
        <v>2256</v>
      </c>
      <c r="K533" s="12">
        <v>46121.732002314813</v>
      </c>
      <c r="L533" s="6" t="e" cm="1">
        <f t="array" ref="L533">LOOKUP(2^15,SEARCH(Tabela2[Palavras-Chave],Boletim4[[#This Row],[Objeto]],1),Tabela2[Palavras-Chave])</f>
        <v>#N/A</v>
      </c>
    </row>
    <row r="534" spans="1:12" ht="43.2" hidden="1" x14ac:dyDescent="0.3">
      <c r="A534" s="5">
        <v>18810594</v>
      </c>
      <c r="B534" s="6" t="s">
        <v>579</v>
      </c>
      <c r="C534" s="6" t="s">
        <v>580</v>
      </c>
      <c r="D534" s="8" t="s">
        <v>93</v>
      </c>
      <c r="E534" s="6" t="s">
        <v>108</v>
      </c>
      <c r="F534" s="6" t="s">
        <v>85</v>
      </c>
      <c r="G534" s="11">
        <v>46139.375</v>
      </c>
      <c r="H534" s="11"/>
      <c r="I534" s="10" t="s">
        <v>2257</v>
      </c>
      <c r="J534" s="6" t="s">
        <v>2258</v>
      </c>
      <c r="K534" s="12">
        <v>46121.755694444444</v>
      </c>
      <c r="L534" s="6" t="e" cm="1">
        <f t="array" ref="L534">LOOKUP(2^15,SEARCH(Tabela2[Palavras-Chave],Boletim4[[#This Row],[Objeto]],1),Tabela2[Palavras-Chave])</f>
        <v>#N/A</v>
      </c>
    </row>
    <row r="535" spans="1:12" ht="158.4" hidden="1" x14ac:dyDescent="0.3">
      <c r="A535" s="5">
        <v>18805488</v>
      </c>
      <c r="B535" s="6" t="s">
        <v>552</v>
      </c>
      <c r="C535" s="6" t="s">
        <v>83</v>
      </c>
      <c r="D535" s="8" t="s">
        <v>82</v>
      </c>
      <c r="E535" s="6" t="s">
        <v>553</v>
      </c>
      <c r="F535" s="6" t="s">
        <v>85</v>
      </c>
      <c r="G535" s="11">
        <v>46134.395833333336</v>
      </c>
      <c r="H535" s="11"/>
      <c r="I535" s="10" t="s">
        <v>554</v>
      </c>
      <c r="J535" s="6" t="s">
        <v>555</v>
      </c>
      <c r="K535" s="12">
        <v>46121.389050925929</v>
      </c>
      <c r="L535" s="6" t="e" cm="1">
        <f t="array" ref="L535">LOOKUP(2^15,SEARCH(Tabela2[Palavras-Chave],Boletim4[[#This Row],[Objeto]],1),Tabela2[Palavras-Chave])</f>
        <v>#N/A</v>
      </c>
    </row>
    <row r="536" spans="1:12" ht="115.2" hidden="1" x14ac:dyDescent="0.3">
      <c r="A536" s="5">
        <v>18792175</v>
      </c>
      <c r="B536" s="6" t="s">
        <v>2259</v>
      </c>
      <c r="C536" s="6" t="s">
        <v>2260</v>
      </c>
      <c r="D536" s="8" t="s">
        <v>82</v>
      </c>
      <c r="E536" s="6" t="s">
        <v>293</v>
      </c>
      <c r="F536" s="6" t="s">
        <v>85</v>
      </c>
      <c r="G536" s="11" t="s">
        <v>56</v>
      </c>
      <c r="H536" s="11"/>
      <c r="I536" s="10" t="s">
        <v>2261</v>
      </c>
      <c r="J536" s="6" t="s">
        <v>2262</v>
      </c>
      <c r="K536" s="12">
        <v>46121.389050925929</v>
      </c>
      <c r="L536" s="6" t="e" cm="1">
        <f t="array" ref="L536">LOOKUP(2^15,SEARCH(Tabela2[Palavras-Chave],Boletim4[[#This Row],[Objeto]],1),Tabela2[Palavras-Chave])</f>
        <v>#N/A</v>
      </c>
    </row>
    <row r="537" spans="1:12" ht="86.4" hidden="1" x14ac:dyDescent="0.3">
      <c r="A537" s="5">
        <v>18798007</v>
      </c>
      <c r="B537" s="6" t="s">
        <v>2263</v>
      </c>
      <c r="C537" s="6" t="s">
        <v>2264</v>
      </c>
      <c r="D537" s="8" t="s">
        <v>82</v>
      </c>
      <c r="E537" s="6" t="s">
        <v>134</v>
      </c>
      <c r="F537" s="6" t="s">
        <v>85</v>
      </c>
      <c r="G537" s="11" t="s">
        <v>56</v>
      </c>
      <c r="H537" s="11"/>
      <c r="I537" s="10" t="s">
        <v>2265</v>
      </c>
      <c r="J537" s="6" t="s">
        <v>2266</v>
      </c>
      <c r="K537" s="12">
        <v>46121.389050925929</v>
      </c>
      <c r="L537" s="6" t="e" cm="1">
        <f t="array" ref="L537">LOOKUP(2^15,SEARCH(Tabela2[Palavras-Chave],Boletim4[[#This Row],[Objeto]],1),Tabela2[Palavras-Chave])</f>
        <v>#N/A</v>
      </c>
    </row>
    <row r="538" spans="1:12" ht="100.8" hidden="1" x14ac:dyDescent="0.3">
      <c r="A538" s="5">
        <v>18807463</v>
      </c>
      <c r="B538" s="6" t="s">
        <v>74</v>
      </c>
      <c r="C538" s="6" t="s">
        <v>83</v>
      </c>
      <c r="D538" s="8" t="s">
        <v>82</v>
      </c>
      <c r="E538" s="6" t="s">
        <v>1319</v>
      </c>
      <c r="F538" s="6" t="s">
        <v>85</v>
      </c>
      <c r="G538" s="11" t="s">
        <v>56</v>
      </c>
      <c r="H538" s="11"/>
      <c r="I538" s="10" t="s">
        <v>1320</v>
      </c>
      <c r="J538" s="6" t="s">
        <v>1321</v>
      </c>
      <c r="K538" s="12">
        <v>46121.447314814817</v>
      </c>
      <c r="L538" s="6" t="e" cm="1">
        <f t="array" ref="L538">LOOKUP(2^15,SEARCH(Tabela2[Palavras-Chave],Boletim4[[#This Row],[Objeto]],1),Tabela2[Palavras-Chave])</f>
        <v>#N/A</v>
      </c>
    </row>
    <row r="539" spans="1:12" ht="259.2" hidden="1" x14ac:dyDescent="0.3">
      <c r="A539" s="5">
        <v>18807088</v>
      </c>
      <c r="B539" s="6" t="s">
        <v>2267</v>
      </c>
      <c r="C539" s="6" t="s">
        <v>2268</v>
      </c>
      <c r="D539" s="8" t="s">
        <v>82</v>
      </c>
      <c r="E539" s="6" t="s">
        <v>127</v>
      </c>
      <c r="F539" s="6" t="s">
        <v>85</v>
      </c>
      <c r="G539" s="11" t="s">
        <v>56</v>
      </c>
      <c r="H539" s="11"/>
      <c r="I539" s="10" t="s">
        <v>2269</v>
      </c>
      <c r="J539" s="6" t="s">
        <v>2270</v>
      </c>
      <c r="K539" s="12">
        <v>46121.447071759256</v>
      </c>
      <c r="L539" s="6" t="e" cm="1">
        <f t="array" ref="L539">LOOKUP(2^15,SEARCH(Tabela2[Palavras-Chave],Boletim4[[#This Row],[Objeto]],1),Tabela2[Palavras-Chave])</f>
        <v>#N/A</v>
      </c>
    </row>
    <row r="540" spans="1:12" ht="100.8" hidden="1" x14ac:dyDescent="0.3">
      <c r="A540" s="5">
        <v>18804729</v>
      </c>
      <c r="B540" s="6" t="s">
        <v>303</v>
      </c>
      <c r="C540" s="6" t="s">
        <v>304</v>
      </c>
      <c r="D540" s="8" t="s">
        <v>82</v>
      </c>
      <c r="E540" s="6" t="s">
        <v>548</v>
      </c>
      <c r="F540" s="6" t="s">
        <v>85</v>
      </c>
      <c r="G540" s="11">
        <v>46148.604166666664</v>
      </c>
      <c r="H540" s="11"/>
      <c r="I540" s="10" t="s">
        <v>549</v>
      </c>
      <c r="J540" s="6" t="s">
        <v>550</v>
      </c>
      <c r="K540" s="12">
        <v>46121.451516203706</v>
      </c>
      <c r="L540" s="6" t="e" cm="1">
        <f t="array" ref="L540">LOOKUP(2^15,SEARCH(Tabela2[Palavras-Chave],Boletim4[[#This Row],[Objeto]],1),Tabela2[Palavras-Chave])</f>
        <v>#N/A</v>
      </c>
    </row>
    <row r="541" spans="1:12" ht="86.4" hidden="1" x14ac:dyDescent="0.3">
      <c r="A541" s="13">
        <v>18806958</v>
      </c>
      <c r="B541" s="10" t="s">
        <v>2271</v>
      </c>
      <c r="C541" s="10" t="s">
        <v>2272</v>
      </c>
      <c r="D541" s="15" t="s">
        <v>82</v>
      </c>
      <c r="E541" s="10" t="s">
        <v>450</v>
      </c>
      <c r="F541" s="10" t="s">
        <v>85</v>
      </c>
      <c r="G541" s="16" t="s">
        <v>56</v>
      </c>
      <c r="H541" s="16"/>
      <c r="I541" s="10" t="s">
        <v>2273</v>
      </c>
      <c r="J541" s="10" t="s">
        <v>2274</v>
      </c>
      <c r="K541" s="17">
        <v>46121.450428240743</v>
      </c>
      <c r="L541" s="6" t="e" cm="1">
        <f t="array" ref="L541">LOOKUP(2^15,SEARCH(Tabela2[Palavras-Chave],Boletim4[[#This Row],[Objeto]],1),Tabela2[Palavras-Chave])</f>
        <v>#N/A</v>
      </c>
    </row>
    <row r="542" spans="1:12" ht="28.8" hidden="1" x14ac:dyDescent="0.3">
      <c r="A542" s="5">
        <v>18807031</v>
      </c>
      <c r="B542" s="6" t="s">
        <v>2275</v>
      </c>
      <c r="C542" s="6" t="s">
        <v>2276</v>
      </c>
      <c r="D542" s="8" t="s">
        <v>82</v>
      </c>
      <c r="E542" s="6" t="s">
        <v>121</v>
      </c>
      <c r="F542" s="6" t="s">
        <v>85</v>
      </c>
      <c r="G542" s="11">
        <v>46139.326388888891</v>
      </c>
      <c r="H542" s="11"/>
      <c r="I542" s="10" t="s">
        <v>2277</v>
      </c>
      <c r="J542" s="6" t="s">
        <v>90</v>
      </c>
      <c r="K542" s="12">
        <v>46121.451932870368</v>
      </c>
      <c r="L542" s="6" t="e" cm="1">
        <f t="array" ref="L542">LOOKUP(2^15,SEARCH(Tabela2[Palavras-Chave],Boletim4[[#This Row],[Objeto]],1),Tabela2[Palavras-Chave])</f>
        <v>#N/A</v>
      </c>
    </row>
    <row r="543" spans="1:12" ht="259.2" hidden="1" x14ac:dyDescent="0.3">
      <c r="A543" s="5">
        <v>18807066</v>
      </c>
      <c r="B543" s="6" t="s">
        <v>2278</v>
      </c>
      <c r="C543" s="6" t="s">
        <v>2279</v>
      </c>
      <c r="D543" s="8" t="s">
        <v>82</v>
      </c>
      <c r="E543" s="6" t="s">
        <v>128</v>
      </c>
      <c r="F543" s="6" t="s">
        <v>85</v>
      </c>
      <c r="G543" s="11" t="s">
        <v>56</v>
      </c>
      <c r="H543" s="11"/>
      <c r="I543" s="10" t="s">
        <v>2280</v>
      </c>
      <c r="J543" s="6" t="s">
        <v>2281</v>
      </c>
      <c r="K543" s="12">
        <v>46121.452303240738</v>
      </c>
      <c r="L543" s="6" t="e" cm="1">
        <f t="array" ref="L543">LOOKUP(2^15,SEARCH(Tabela2[Palavras-Chave],Boletim4[[#This Row],[Objeto]],1),Tabela2[Palavras-Chave])</f>
        <v>#N/A</v>
      </c>
    </row>
    <row r="544" spans="1:12" ht="86.4" hidden="1" x14ac:dyDescent="0.3">
      <c r="A544" s="5">
        <v>18806963</v>
      </c>
      <c r="B544" s="6" t="s">
        <v>2282</v>
      </c>
      <c r="C544" s="6" t="s">
        <v>2283</v>
      </c>
      <c r="D544" s="8" t="s">
        <v>82</v>
      </c>
      <c r="E544" s="6" t="s">
        <v>424</v>
      </c>
      <c r="F544" s="6" t="s">
        <v>85</v>
      </c>
      <c r="G544" s="11" t="s">
        <v>56</v>
      </c>
      <c r="H544" s="11"/>
      <c r="I544" s="10" t="s">
        <v>2284</v>
      </c>
      <c r="J544" s="6" t="s">
        <v>2285</v>
      </c>
      <c r="K544" s="12">
        <v>46121.458009259259</v>
      </c>
      <c r="L544" s="6" t="e" cm="1">
        <f t="array" ref="L544">LOOKUP(2^15,SEARCH(Tabela2[Palavras-Chave],Boletim4[[#This Row],[Objeto]],1),Tabela2[Palavras-Chave])</f>
        <v>#N/A</v>
      </c>
    </row>
    <row r="545" spans="1:12" ht="86.4" hidden="1" x14ac:dyDescent="0.3">
      <c r="A545" s="5">
        <v>18806198</v>
      </c>
      <c r="B545" s="6" t="s">
        <v>556</v>
      </c>
      <c r="C545" s="6" t="s">
        <v>557</v>
      </c>
      <c r="D545" s="8" t="s">
        <v>82</v>
      </c>
      <c r="E545" s="6" t="s">
        <v>229</v>
      </c>
      <c r="F545" s="6" t="s">
        <v>85</v>
      </c>
      <c r="G545" s="11" t="s">
        <v>56</v>
      </c>
      <c r="H545" s="11"/>
      <c r="I545" s="10" t="s">
        <v>558</v>
      </c>
      <c r="J545" s="6" t="s">
        <v>559</v>
      </c>
      <c r="K545" s="12">
        <v>46121.461180555554</v>
      </c>
      <c r="L545" s="6" t="e" cm="1">
        <f t="array" ref="L545">LOOKUP(2^15,SEARCH(Tabela2[Palavras-Chave],Boletim4[[#This Row],[Objeto]],1),Tabela2[Palavras-Chave])</f>
        <v>#N/A</v>
      </c>
    </row>
    <row r="546" spans="1:12" ht="86.4" hidden="1" x14ac:dyDescent="0.3">
      <c r="A546" s="5">
        <v>18806957</v>
      </c>
      <c r="B546" s="6" t="s">
        <v>2286</v>
      </c>
      <c r="C546" s="6" t="s">
        <v>2287</v>
      </c>
      <c r="D546" s="8" t="s">
        <v>82</v>
      </c>
      <c r="E546" s="6" t="s">
        <v>122</v>
      </c>
      <c r="F546" s="6" t="s">
        <v>85</v>
      </c>
      <c r="G546" s="11" t="s">
        <v>56</v>
      </c>
      <c r="H546" s="11"/>
      <c r="I546" s="10" t="s">
        <v>2288</v>
      </c>
      <c r="J546" s="6" t="s">
        <v>2289</v>
      </c>
      <c r="K546" s="12">
        <v>46121.458958333336</v>
      </c>
      <c r="L546" s="6" t="e" cm="1">
        <f t="array" ref="L546">LOOKUP(2^15,SEARCH(Tabela2[Palavras-Chave],Boletim4[[#This Row],[Objeto]],1),Tabela2[Palavras-Chave])</f>
        <v>#N/A</v>
      </c>
    </row>
    <row r="547" spans="1:12" ht="100.8" hidden="1" x14ac:dyDescent="0.3">
      <c r="A547" s="5">
        <v>18783825</v>
      </c>
      <c r="B547" s="6" t="s">
        <v>537</v>
      </c>
      <c r="C547" s="6" t="s">
        <v>282</v>
      </c>
      <c r="D547" s="8" t="s">
        <v>82</v>
      </c>
      <c r="E547" s="6" t="s">
        <v>146</v>
      </c>
      <c r="F547" s="6" t="s">
        <v>85</v>
      </c>
      <c r="G547" s="11" t="s">
        <v>56</v>
      </c>
      <c r="H547" s="11"/>
      <c r="I547" s="10" t="s">
        <v>538</v>
      </c>
      <c r="J547" s="6" t="s">
        <v>539</v>
      </c>
      <c r="K547" s="12">
        <v>46121.48196759259</v>
      </c>
      <c r="L547" s="6" t="e" cm="1">
        <f t="array" ref="L547">LOOKUP(2^15,SEARCH(Tabela2[Palavras-Chave],Boletim4[[#This Row],[Objeto]],1),Tabela2[Palavras-Chave])</f>
        <v>#N/A</v>
      </c>
    </row>
    <row r="548" spans="1:12" ht="259.2" x14ac:dyDescent="0.3">
      <c r="A548" s="5">
        <v>18807086</v>
      </c>
      <c r="B548" s="6" t="s">
        <v>2290</v>
      </c>
      <c r="C548" s="6" t="s">
        <v>2291</v>
      </c>
      <c r="D548" s="8" t="s">
        <v>82</v>
      </c>
      <c r="E548" s="6" t="s">
        <v>108</v>
      </c>
      <c r="F548" s="6" t="s">
        <v>85</v>
      </c>
      <c r="G548" s="11" t="s">
        <v>56</v>
      </c>
      <c r="H548" s="11"/>
      <c r="I548" s="10" t="s">
        <v>2292</v>
      </c>
      <c r="J548" s="6" t="s">
        <v>2293</v>
      </c>
      <c r="K548" s="12">
        <v>46121.471493055556</v>
      </c>
      <c r="L548" s="6" t="str" cm="1">
        <f t="array" ref="L548">LOOKUP(2^15,SEARCH(Tabela2[Palavras-Chave],Boletim4[[#This Row],[Objeto]],1),Tabela2[Palavras-Chave])</f>
        <v>MEDIÇÃO</v>
      </c>
    </row>
    <row r="549" spans="1:12" ht="230.4" hidden="1" x14ac:dyDescent="0.3">
      <c r="A549" s="13">
        <v>18806962</v>
      </c>
      <c r="B549" s="10" t="s">
        <v>2294</v>
      </c>
      <c r="C549" s="10" t="s">
        <v>2295</v>
      </c>
      <c r="D549" s="15" t="s">
        <v>82</v>
      </c>
      <c r="E549" s="10" t="s">
        <v>115</v>
      </c>
      <c r="F549" s="10" t="s">
        <v>85</v>
      </c>
      <c r="G549" s="16" t="s">
        <v>56</v>
      </c>
      <c r="H549" s="16"/>
      <c r="I549" s="10" t="s">
        <v>2296</v>
      </c>
      <c r="J549" s="10" t="s">
        <v>2297</v>
      </c>
      <c r="K549" s="17">
        <v>46121.499305555553</v>
      </c>
      <c r="L549" s="6" t="e" cm="1">
        <f t="array" ref="L549">LOOKUP(2^15,SEARCH(Tabela2[Palavras-Chave],Boletim4[[#This Row],[Objeto]],1),Tabela2[Palavras-Chave])</f>
        <v>#N/A</v>
      </c>
    </row>
    <row r="550" spans="1:12" ht="57.6" hidden="1" x14ac:dyDescent="0.3">
      <c r="A550" s="5">
        <v>18801219</v>
      </c>
      <c r="B550" s="6" t="s">
        <v>2298</v>
      </c>
      <c r="C550" s="6" t="s">
        <v>1267</v>
      </c>
      <c r="D550" s="8" t="s">
        <v>82</v>
      </c>
      <c r="E550" s="6" t="s">
        <v>2299</v>
      </c>
      <c r="F550" s="6" t="s">
        <v>85</v>
      </c>
      <c r="G550" s="11" t="s">
        <v>56</v>
      </c>
      <c r="H550" s="11"/>
      <c r="I550" s="10" t="s">
        <v>2300</v>
      </c>
      <c r="J550" s="6" t="s">
        <v>2301</v>
      </c>
      <c r="K550" s="12">
        <v>46121.502476851849</v>
      </c>
      <c r="L550" s="6" t="e" cm="1">
        <f t="array" ref="L550">LOOKUP(2^15,SEARCH(Tabela2[Palavras-Chave],Boletim4[[#This Row],[Objeto]],1),Tabela2[Palavras-Chave])</f>
        <v>#N/A</v>
      </c>
    </row>
    <row r="551" spans="1:12" ht="72" hidden="1" x14ac:dyDescent="0.3">
      <c r="A551" s="5">
        <v>18807488</v>
      </c>
      <c r="B551" s="6" t="s">
        <v>74</v>
      </c>
      <c r="C551" s="6" t="s">
        <v>83</v>
      </c>
      <c r="D551" s="8" t="s">
        <v>82</v>
      </c>
      <c r="E551" s="6" t="s">
        <v>1938</v>
      </c>
      <c r="F551" s="6" t="s">
        <v>85</v>
      </c>
      <c r="G551" s="11" t="s">
        <v>56</v>
      </c>
      <c r="H551" s="11"/>
      <c r="I551" s="10" t="s">
        <v>1939</v>
      </c>
      <c r="J551" s="6" t="s">
        <v>1940</v>
      </c>
      <c r="K551" s="12">
        <v>46121.507002314815</v>
      </c>
      <c r="L551" s="6" t="e" cm="1">
        <f t="array" ref="L551">LOOKUP(2^15,SEARCH(Tabela2[Palavras-Chave],Boletim4[[#This Row],[Objeto]],1),Tabela2[Palavras-Chave])</f>
        <v>#N/A</v>
      </c>
    </row>
    <row r="552" spans="1:12" ht="43.2" hidden="1" x14ac:dyDescent="0.3">
      <c r="A552" s="5">
        <v>18807711</v>
      </c>
      <c r="B552" s="6" t="s">
        <v>2278</v>
      </c>
      <c r="C552" s="6" t="s">
        <v>2279</v>
      </c>
      <c r="D552" s="8" t="s">
        <v>82</v>
      </c>
      <c r="E552" s="6" t="s">
        <v>126</v>
      </c>
      <c r="F552" s="6" t="s">
        <v>85</v>
      </c>
      <c r="G552" s="11">
        <v>46136.375</v>
      </c>
      <c r="H552" s="11"/>
      <c r="I552" s="10" t="s">
        <v>2302</v>
      </c>
      <c r="J552" s="6" t="s">
        <v>2303</v>
      </c>
      <c r="K552" s="12">
        <v>46121.526261574072</v>
      </c>
      <c r="L552" s="6" t="e" cm="1">
        <f t="array" ref="L552">LOOKUP(2^15,SEARCH(Tabela2[Palavras-Chave],Boletim4[[#This Row],[Objeto]],1),Tabela2[Palavras-Chave])</f>
        <v>#N/A</v>
      </c>
    </row>
    <row r="553" spans="1:12" ht="86.4" hidden="1" x14ac:dyDescent="0.3">
      <c r="A553" s="5">
        <v>18806954</v>
      </c>
      <c r="B553" s="6" t="s">
        <v>2278</v>
      </c>
      <c r="C553" s="6" t="s">
        <v>2279</v>
      </c>
      <c r="D553" s="8" t="s">
        <v>82</v>
      </c>
      <c r="E553" s="6" t="s">
        <v>165</v>
      </c>
      <c r="F553" s="6" t="s">
        <v>85</v>
      </c>
      <c r="G553" s="11" t="s">
        <v>56</v>
      </c>
      <c r="H553" s="11"/>
      <c r="I553" s="10" t="s">
        <v>2304</v>
      </c>
      <c r="J553" s="6" t="s">
        <v>2305</v>
      </c>
      <c r="K553" s="12">
        <v>46121.52648148148</v>
      </c>
      <c r="L553" s="6" t="e" cm="1">
        <f t="array" ref="L553">LOOKUP(2^15,SEARCH(Tabela2[Palavras-Chave],Boletim4[[#This Row],[Objeto]],1),Tabela2[Palavras-Chave])</f>
        <v>#N/A</v>
      </c>
    </row>
    <row r="554" spans="1:12" ht="86.4" hidden="1" x14ac:dyDescent="0.3">
      <c r="A554" s="5">
        <v>18789911</v>
      </c>
      <c r="B554" s="6" t="s">
        <v>253</v>
      </c>
      <c r="C554" s="6" t="s">
        <v>164</v>
      </c>
      <c r="D554" s="8" t="s">
        <v>82</v>
      </c>
      <c r="E554" s="6" t="s">
        <v>170</v>
      </c>
      <c r="F554" s="6" t="s">
        <v>85</v>
      </c>
      <c r="G554" s="11" t="s">
        <v>56</v>
      </c>
      <c r="H554" s="11"/>
      <c r="I554" s="10" t="s">
        <v>2306</v>
      </c>
      <c r="J554" s="6" t="s">
        <v>2307</v>
      </c>
      <c r="K554" s="12">
        <v>46121.542407407411</v>
      </c>
      <c r="L554" s="6" t="e" cm="1">
        <f t="array" ref="L554">LOOKUP(2^15,SEARCH(Tabela2[Palavras-Chave],Boletim4[[#This Row],[Objeto]],1),Tabela2[Palavras-Chave])</f>
        <v>#N/A</v>
      </c>
    </row>
    <row r="555" spans="1:12" ht="86.4" hidden="1" x14ac:dyDescent="0.3">
      <c r="A555" s="5">
        <v>18800025</v>
      </c>
      <c r="B555" s="6" t="s">
        <v>365</v>
      </c>
      <c r="C555" s="6" t="s">
        <v>366</v>
      </c>
      <c r="D555" s="8" t="s">
        <v>82</v>
      </c>
      <c r="E555" s="6" t="s">
        <v>134</v>
      </c>
      <c r="F555" s="6" t="s">
        <v>85</v>
      </c>
      <c r="G555" s="11" t="s">
        <v>56</v>
      </c>
      <c r="H555" s="11"/>
      <c r="I555" s="10" t="s">
        <v>534</v>
      </c>
      <c r="J555" s="6" t="s">
        <v>535</v>
      </c>
      <c r="K555" s="12">
        <v>46121.586863425924</v>
      </c>
      <c r="L555" s="6" t="e" cm="1">
        <f t="array" ref="L555">LOOKUP(2^15,SEARCH(Tabela2[Palavras-Chave],Boletim4[[#This Row],[Objeto]],1),Tabela2[Palavras-Chave])</f>
        <v>#N/A</v>
      </c>
    </row>
    <row r="556" spans="1:12" ht="28.8" hidden="1" x14ac:dyDescent="0.3">
      <c r="A556" s="5">
        <v>18806249</v>
      </c>
      <c r="B556" s="6" t="s">
        <v>560</v>
      </c>
      <c r="C556" s="6" t="s">
        <v>561</v>
      </c>
      <c r="D556" s="8" t="s">
        <v>82</v>
      </c>
      <c r="E556" s="6" t="s">
        <v>120</v>
      </c>
      <c r="F556" s="6" t="s">
        <v>85</v>
      </c>
      <c r="G556" s="11">
        <v>46135.375</v>
      </c>
      <c r="H556" s="11"/>
      <c r="I556" s="10" t="s">
        <v>562</v>
      </c>
      <c r="J556" s="6" t="s">
        <v>563</v>
      </c>
      <c r="K556" s="12">
        <v>46121.586875000001</v>
      </c>
      <c r="L556" s="6" t="e" cm="1">
        <f t="array" ref="L556">LOOKUP(2^15,SEARCH(Tabela2[Palavras-Chave],Boletim4[[#This Row],[Objeto]],1),Tabela2[Palavras-Chave])</f>
        <v>#N/A</v>
      </c>
    </row>
    <row r="557" spans="1:12" ht="144" x14ac:dyDescent="0.3">
      <c r="A557" s="5">
        <v>18809489</v>
      </c>
      <c r="B557" s="6" t="s">
        <v>2308</v>
      </c>
      <c r="C557" s="6" t="s">
        <v>164</v>
      </c>
      <c r="D557" s="8" t="s">
        <v>82</v>
      </c>
      <c r="E557" s="6" t="s">
        <v>1994</v>
      </c>
      <c r="F557" s="6" t="s">
        <v>85</v>
      </c>
      <c r="G557" s="11" t="s">
        <v>56</v>
      </c>
      <c r="H557" s="11"/>
      <c r="I557" s="10" t="s">
        <v>2309</v>
      </c>
      <c r="J557" s="6" t="s">
        <v>2310</v>
      </c>
      <c r="K557" s="12">
        <v>46121.60423611111</v>
      </c>
      <c r="L557" s="6" t="str" cm="1">
        <f t="array" ref="L557">LOOKUP(2^15,SEARCH(Tabela2[Palavras-Chave],Boletim4[[#This Row],[Objeto]],1),Tabela2[Palavras-Chave])</f>
        <v>DIAGNÓSTICO</v>
      </c>
    </row>
    <row r="558" spans="1:12" ht="129.6" hidden="1" x14ac:dyDescent="0.3">
      <c r="A558" s="5">
        <v>18802488</v>
      </c>
      <c r="B558" s="6" t="s">
        <v>217</v>
      </c>
      <c r="C558" s="6" t="s">
        <v>216</v>
      </c>
      <c r="D558" s="8" t="s">
        <v>82</v>
      </c>
      <c r="E558" s="6" t="s">
        <v>245</v>
      </c>
      <c r="F558" s="6" t="s">
        <v>85</v>
      </c>
      <c r="G558" s="11">
        <v>46136.375694444447</v>
      </c>
      <c r="H558" s="11"/>
      <c r="I558" s="10" t="s">
        <v>543</v>
      </c>
      <c r="J558" s="6" t="s">
        <v>544</v>
      </c>
      <c r="K558" s="12">
        <v>46121.607754629629</v>
      </c>
      <c r="L558" s="6" t="e" cm="1">
        <f t="array" ref="L558">LOOKUP(2^15,SEARCH(Tabela2[Palavras-Chave],Boletim4[[#This Row],[Objeto]],1),Tabela2[Palavras-Chave])</f>
        <v>#N/A</v>
      </c>
    </row>
    <row r="559" spans="1:12" ht="158.4" hidden="1" x14ac:dyDescent="0.3">
      <c r="A559" s="5">
        <v>18808886</v>
      </c>
      <c r="B559" s="6" t="s">
        <v>540</v>
      </c>
      <c r="C559" s="6" t="s">
        <v>280</v>
      </c>
      <c r="D559" s="8" t="s">
        <v>82</v>
      </c>
      <c r="E559" s="6" t="s">
        <v>241</v>
      </c>
      <c r="F559" s="6" t="s">
        <v>85</v>
      </c>
      <c r="G559" s="11" t="s">
        <v>56</v>
      </c>
      <c r="H559" s="11"/>
      <c r="I559" s="10" t="s">
        <v>2311</v>
      </c>
      <c r="J559" s="6" t="s">
        <v>2312</v>
      </c>
      <c r="K559" s="12">
        <v>46121.612442129626</v>
      </c>
      <c r="L559" s="6" t="e" cm="1">
        <f t="array" ref="L559">LOOKUP(2^15,SEARCH(Tabela2[Palavras-Chave],Boletim4[[#This Row],[Objeto]],1),Tabela2[Palavras-Chave])</f>
        <v>#N/A</v>
      </c>
    </row>
    <row r="560" spans="1:12" ht="28.8" hidden="1" x14ac:dyDescent="0.3">
      <c r="A560" s="5">
        <v>18808801</v>
      </c>
      <c r="B560" s="6" t="s">
        <v>2313</v>
      </c>
      <c r="C560" s="6" t="s">
        <v>2314</v>
      </c>
      <c r="D560" s="8" t="s">
        <v>82</v>
      </c>
      <c r="E560" s="6" t="s">
        <v>2315</v>
      </c>
      <c r="F560" s="6" t="s">
        <v>85</v>
      </c>
      <c r="G560" s="11">
        <v>46135.375</v>
      </c>
      <c r="H560" s="11"/>
      <c r="I560" s="10" t="s">
        <v>2316</v>
      </c>
      <c r="J560" s="6" t="s">
        <v>368</v>
      </c>
      <c r="K560" s="12">
        <v>46121.615011574075</v>
      </c>
      <c r="L560" s="6" t="e" cm="1">
        <f t="array" ref="L560">LOOKUP(2^15,SEARCH(Tabela2[Palavras-Chave],Boletim4[[#This Row],[Objeto]],1),Tabela2[Palavras-Chave])</f>
        <v>#N/A</v>
      </c>
    </row>
    <row r="561" spans="1:12" ht="172.8" hidden="1" x14ac:dyDescent="0.3">
      <c r="A561" s="5">
        <v>18808875</v>
      </c>
      <c r="B561" s="6" t="s">
        <v>2317</v>
      </c>
      <c r="C561" s="6" t="s">
        <v>83</v>
      </c>
      <c r="D561" s="8" t="s">
        <v>82</v>
      </c>
      <c r="E561" s="6" t="s">
        <v>152</v>
      </c>
      <c r="F561" s="6" t="s">
        <v>85</v>
      </c>
      <c r="G561" s="11" t="s">
        <v>56</v>
      </c>
      <c r="H561" s="11"/>
      <c r="I561" s="10" t="s">
        <v>2318</v>
      </c>
      <c r="J561" s="6" t="s">
        <v>2319</v>
      </c>
      <c r="K561" s="12">
        <v>46121.632662037038</v>
      </c>
      <c r="L561" s="6" t="e" cm="1">
        <f t="array" ref="L561">LOOKUP(2^15,SEARCH(Tabela2[Palavras-Chave],Boletim4[[#This Row],[Objeto]],1),Tabela2[Palavras-Chave])</f>
        <v>#N/A</v>
      </c>
    </row>
    <row r="562" spans="1:12" ht="129.6" hidden="1" x14ac:dyDescent="0.3">
      <c r="A562" s="5">
        <v>18808573</v>
      </c>
      <c r="B562" s="6" t="s">
        <v>2320</v>
      </c>
      <c r="C562" s="6" t="s">
        <v>237</v>
      </c>
      <c r="D562" s="8" t="s">
        <v>82</v>
      </c>
      <c r="E562" s="6" t="s">
        <v>2321</v>
      </c>
      <c r="F562" s="6" t="s">
        <v>85</v>
      </c>
      <c r="G562" s="11" t="s">
        <v>56</v>
      </c>
      <c r="H562" s="11"/>
      <c r="I562" s="10" t="s">
        <v>2322</v>
      </c>
      <c r="J562" s="6" t="s">
        <v>2323</v>
      </c>
      <c r="K562" s="12">
        <v>46121.632835648146</v>
      </c>
      <c r="L562" s="6" t="e" cm="1">
        <f t="array" ref="L562">LOOKUP(2^15,SEARCH(Tabela2[Palavras-Chave],Boletim4[[#This Row],[Objeto]],1),Tabela2[Palavras-Chave])</f>
        <v>#N/A</v>
      </c>
    </row>
    <row r="563" spans="1:12" ht="115.2" x14ac:dyDescent="0.3">
      <c r="A563" s="5">
        <v>18808834</v>
      </c>
      <c r="B563" s="6" t="s">
        <v>2324</v>
      </c>
      <c r="C563" s="6" t="s">
        <v>83</v>
      </c>
      <c r="D563" s="8" t="s">
        <v>82</v>
      </c>
      <c r="E563" s="6" t="s">
        <v>391</v>
      </c>
      <c r="F563" s="6" t="s">
        <v>85</v>
      </c>
      <c r="G563" s="11" t="s">
        <v>56</v>
      </c>
      <c r="H563" s="11"/>
      <c r="I563" s="10" t="s">
        <v>2325</v>
      </c>
      <c r="J563" s="6" t="s">
        <v>2326</v>
      </c>
      <c r="K563" s="12">
        <v>46121.645844907405</v>
      </c>
      <c r="L563" s="6" t="str" cm="1">
        <f t="array" ref="L563">LOOKUP(2^15,SEARCH(Tabela2[Palavras-Chave],Boletim4[[#This Row],[Objeto]],1),Tabela2[Palavras-Chave])</f>
        <v>TANQUE</v>
      </c>
    </row>
    <row r="564" spans="1:12" ht="172.8" hidden="1" x14ac:dyDescent="0.3">
      <c r="A564" s="5">
        <v>18808945</v>
      </c>
      <c r="B564" s="6" t="s">
        <v>2317</v>
      </c>
      <c r="C564" s="6" t="s">
        <v>83</v>
      </c>
      <c r="D564" s="8" t="s">
        <v>82</v>
      </c>
      <c r="E564" s="6" t="s">
        <v>140</v>
      </c>
      <c r="F564" s="6" t="s">
        <v>85</v>
      </c>
      <c r="G564" s="11" t="s">
        <v>56</v>
      </c>
      <c r="H564" s="11"/>
      <c r="I564" s="10" t="s">
        <v>2327</v>
      </c>
      <c r="J564" s="6" t="s">
        <v>2328</v>
      </c>
      <c r="K564" s="12">
        <v>46121.673900462964</v>
      </c>
      <c r="L564" s="6" t="e" cm="1">
        <f t="array" ref="L564">LOOKUP(2^15,SEARCH(Tabela2[Palavras-Chave],Boletim4[[#This Row],[Objeto]],1),Tabela2[Palavras-Chave])</f>
        <v>#N/A</v>
      </c>
    </row>
    <row r="565" spans="1:12" ht="115.2" hidden="1" x14ac:dyDescent="0.3">
      <c r="A565" s="5">
        <v>18808943</v>
      </c>
      <c r="B565" s="6" t="s">
        <v>2329</v>
      </c>
      <c r="C565" s="6" t="s">
        <v>305</v>
      </c>
      <c r="D565" s="8" t="s">
        <v>82</v>
      </c>
      <c r="E565" s="6" t="s">
        <v>220</v>
      </c>
      <c r="F565" s="6" t="s">
        <v>85</v>
      </c>
      <c r="G565" s="11" t="s">
        <v>56</v>
      </c>
      <c r="H565" s="11"/>
      <c r="I565" s="10" t="s">
        <v>2330</v>
      </c>
      <c r="J565" s="6" t="s">
        <v>2331</v>
      </c>
      <c r="K565" s="12">
        <v>46121.700150462966</v>
      </c>
      <c r="L565" s="6" t="e" cm="1">
        <f t="array" ref="L565">LOOKUP(2^15,SEARCH(Tabela2[Palavras-Chave],Boletim4[[#This Row],[Objeto]],1),Tabela2[Palavras-Chave])</f>
        <v>#N/A</v>
      </c>
    </row>
    <row r="566" spans="1:12" ht="259.2" hidden="1" x14ac:dyDescent="0.3">
      <c r="A566" s="5">
        <v>18809410</v>
      </c>
      <c r="B566" s="6" t="s">
        <v>2332</v>
      </c>
      <c r="C566" s="6" t="s">
        <v>2333</v>
      </c>
      <c r="D566" s="8" t="s">
        <v>82</v>
      </c>
      <c r="E566" s="6" t="s">
        <v>155</v>
      </c>
      <c r="F566" s="6" t="s">
        <v>85</v>
      </c>
      <c r="G566" s="11" t="s">
        <v>56</v>
      </c>
      <c r="H566" s="11"/>
      <c r="I566" s="10" t="s">
        <v>2334</v>
      </c>
      <c r="J566" s="6" t="s">
        <v>2335</v>
      </c>
      <c r="K566" s="12">
        <v>46121.700798611113</v>
      </c>
      <c r="L566" s="6" t="e" cm="1">
        <f t="array" ref="L566">LOOKUP(2^15,SEARCH(Tabela2[Palavras-Chave],Boletim4[[#This Row],[Objeto]],1),Tabela2[Palavras-Chave])</f>
        <v>#N/A</v>
      </c>
    </row>
    <row r="567" spans="1:12" ht="115.2" hidden="1" x14ac:dyDescent="0.3">
      <c r="A567" s="5">
        <v>18809499</v>
      </c>
      <c r="B567" s="6" t="s">
        <v>2336</v>
      </c>
      <c r="C567" s="6" t="s">
        <v>2337</v>
      </c>
      <c r="D567" s="8" t="s">
        <v>82</v>
      </c>
      <c r="E567" s="6" t="s">
        <v>121</v>
      </c>
      <c r="F567" s="6" t="s">
        <v>85</v>
      </c>
      <c r="G567" s="11">
        <v>46142.333333333336</v>
      </c>
      <c r="H567" s="11"/>
      <c r="I567" s="10" t="s">
        <v>2338</v>
      </c>
      <c r="J567" s="6" t="s">
        <v>2339</v>
      </c>
      <c r="K567" s="12">
        <v>46121.702175925922</v>
      </c>
      <c r="L567" s="6" t="e" cm="1">
        <f t="array" ref="L567">LOOKUP(2^15,SEARCH(Tabela2[Palavras-Chave],Boletim4[[#This Row],[Objeto]],1),Tabela2[Palavras-Chave])</f>
        <v>#N/A</v>
      </c>
    </row>
    <row r="568" spans="1:12" ht="115.2" hidden="1" x14ac:dyDescent="0.3">
      <c r="A568" s="5">
        <v>18808952</v>
      </c>
      <c r="B568" s="6" t="s">
        <v>2340</v>
      </c>
      <c r="C568" s="6" t="s">
        <v>2341</v>
      </c>
      <c r="D568" s="8" t="s">
        <v>82</v>
      </c>
      <c r="E568" s="6" t="s">
        <v>2342</v>
      </c>
      <c r="F568" s="6" t="s">
        <v>85</v>
      </c>
      <c r="G568" s="11" t="s">
        <v>56</v>
      </c>
      <c r="H568" s="11"/>
      <c r="I568" s="10" t="s">
        <v>2343</v>
      </c>
      <c r="J568" s="6" t="s">
        <v>2344</v>
      </c>
      <c r="K568" s="12">
        <v>46121.704606481479</v>
      </c>
      <c r="L568" s="6" t="e" cm="1">
        <f t="array" ref="L568">LOOKUP(2^15,SEARCH(Tabela2[Palavras-Chave],Boletim4[[#This Row],[Objeto]],1),Tabela2[Palavras-Chave])</f>
        <v>#N/A</v>
      </c>
    </row>
    <row r="569" spans="1:12" ht="28.8" hidden="1" x14ac:dyDescent="0.3">
      <c r="A569" s="5">
        <v>18808804</v>
      </c>
      <c r="B569" s="6" t="s">
        <v>2345</v>
      </c>
      <c r="C569" s="6" t="s">
        <v>2346</v>
      </c>
      <c r="D569" s="8" t="s">
        <v>82</v>
      </c>
      <c r="E569" s="6" t="s">
        <v>134</v>
      </c>
      <c r="F569" s="6" t="s">
        <v>85</v>
      </c>
      <c r="G569" s="11">
        <v>46139.375</v>
      </c>
      <c r="H569" s="11"/>
      <c r="I569" s="10" t="s">
        <v>2347</v>
      </c>
      <c r="J569" s="6" t="s">
        <v>368</v>
      </c>
      <c r="K569" s="12">
        <v>46121.706342592595</v>
      </c>
      <c r="L569" s="6" t="e" cm="1">
        <f t="array" ref="L569">LOOKUP(2^15,SEARCH(Tabela2[Palavras-Chave],Boletim4[[#This Row],[Objeto]],1),Tabela2[Palavras-Chave])</f>
        <v>#N/A</v>
      </c>
    </row>
    <row r="570" spans="1:12" ht="115.2" hidden="1" x14ac:dyDescent="0.3">
      <c r="A570" s="5">
        <v>18808859</v>
      </c>
      <c r="B570" s="6" t="s">
        <v>2348</v>
      </c>
      <c r="C570" s="6" t="s">
        <v>83</v>
      </c>
      <c r="D570" s="8" t="s">
        <v>82</v>
      </c>
      <c r="E570" s="6" t="s">
        <v>157</v>
      </c>
      <c r="F570" s="6" t="s">
        <v>85</v>
      </c>
      <c r="G570" s="11" t="s">
        <v>56</v>
      </c>
      <c r="H570" s="11"/>
      <c r="I570" s="10" t="s">
        <v>2349</v>
      </c>
      <c r="J570" s="6" t="s">
        <v>2350</v>
      </c>
      <c r="K570" s="12">
        <v>46121.709166666667</v>
      </c>
      <c r="L570" s="6" t="e" cm="1">
        <f t="array" ref="L570">LOOKUP(2^15,SEARCH(Tabela2[Palavras-Chave],Boletim4[[#This Row],[Objeto]],1),Tabela2[Palavras-Chave])</f>
        <v>#N/A</v>
      </c>
    </row>
    <row r="571" spans="1:12" ht="144" hidden="1" x14ac:dyDescent="0.3">
      <c r="A571" s="13">
        <v>18808547</v>
      </c>
      <c r="B571" s="10" t="s">
        <v>2351</v>
      </c>
      <c r="C571" s="10" t="s">
        <v>83</v>
      </c>
      <c r="D571" s="15" t="s">
        <v>82</v>
      </c>
      <c r="E571" s="10" t="s">
        <v>2321</v>
      </c>
      <c r="F571" s="10" t="s">
        <v>85</v>
      </c>
      <c r="G571" s="16" t="s">
        <v>56</v>
      </c>
      <c r="H571" s="16"/>
      <c r="I571" s="10" t="s">
        <v>2352</v>
      </c>
      <c r="J571" s="10" t="s">
        <v>2353</v>
      </c>
      <c r="K571" s="17">
        <v>46121.723807870374</v>
      </c>
      <c r="L571" s="6" t="e" cm="1">
        <f t="array" ref="L571">LOOKUP(2^15,SEARCH(Tabela2[Palavras-Chave],Boletim4[[#This Row],[Objeto]],1),Tabela2[Palavras-Chave])</f>
        <v>#N/A</v>
      </c>
    </row>
    <row r="572" spans="1:12" ht="129.6" hidden="1" x14ac:dyDescent="0.3">
      <c r="A572" s="5">
        <v>18808903</v>
      </c>
      <c r="B572" s="6" t="s">
        <v>2354</v>
      </c>
      <c r="C572" s="6" t="s">
        <v>2355</v>
      </c>
      <c r="D572" s="8" t="s">
        <v>82</v>
      </c>
      <c r="E572" s="6" t="s">
        <v>183</v>
      </c>
      <c r="F572" s="6" t="s">
        <v>85</v>
      </c>
      <c r="G572" s="11" t="s">
        <v>56</v>
      </c>
      <c r="H572" s="11"/>
      <c r="I572" s="10" t="s">
        <v>2356</v>
      </c>
      <c r="J572" s="6" t="s">
        <v>2357</v>
      </c>
      <c r="K572" s="12">
        <v>46121.725474537037</v>
      </c>
      <c r="L572" s="6" t="e" cm="1">
        <f t="array" ref="L572">LOOKUP(2^15,SEARCH(Tabela2[Palavras-Chave],Boletim4[[#This Row],[Objeto]],1),Tabela2[Palavras-Chave])</f>
        <v>#N/A</v>
      </c>
    </row>
    <row r="573" spans="1:12" ht="43.2" hidden="1" x14ac:dyDescent="0.3">
      <c r="A573" s="5">
        <v>18805969</v>
      </c>
      <c r="B573" s="6" t="s">
        <v>701</v>
      </c>
      <c r="C573" s="6" t="s">
        <v>702</v>
      </c>
      <c r="D573" s="8" t="s">
        <v>82</v>
      </c>
      <c r="E573" s="6" t="s">
        <v>536</v>
      </c>
      <c r="F573" s="6" t="s">
        <v>85</v>
      </c>
      <c r="G573" s="11">
        <v>46141.604166666664</v>
      </c>
      <c r="H573" s="11"/>
      <c r="I573" s="10" t="s">
        <v>705</v>
      </c>
      <c r="J573" s="6" t="s">
        <v>706</v>
      </c>
      <c r="K573" s="12">
        <v>46121.731990740744</v>
      </c>
      <c r="L573" s="6" t="e" cm="1">
        <f t="array" ref="L573">LOOKUP(2^15,SEARCH(Tabela2[Palavras-Chave],Boletim4[[#This Row],[Objeto]],1),Tabela2[Palavras-Chave])</f>
        <v>#N/A</v>
      </c>
    </row>
    <row r="574" spans="1:12" ht="115.2" hidden="1" x14ac:dyDescent="0.3">
      <c r="A574" s="5">
        <v>18808948</v>
      </c>
      <c r="B574" s="6" t="s">
        <v>2358</v>
      </c>
      <c r="C574" s="6" t="s">
        <v>382</v>
      </c>
      <c r="D574" s="8" t="s">
        <v>82</v>
      </c>
      <c r="E574" s="6" t="s">
        <v>177</v>
      </c>
      <c r="F574" s="6" t="s">
        <v>85</v>
      </c>
      <c r="G574" s="11" t="s">
        <v>56</v>
      </c>
      <c r="H574" s="11"/>
      <c r="I574" s="10" t="s">
        <v>2359</v>
      </c>
      <c r="J574" s="6" t="s">
        <v>2360</v>
      </c>
      <c r="K574" s="12">
        <v>46121.732546296298</v>
      </c>
      <c r="L574" s="6" t="e" cm="1">
        <f t="array" ref="L574">LOOKUP(2^15,SEARCH(Tabela2[Palavras-Chave],Boletim4[[#This Row],[Objeto]],1),Tabela2[Palavras-Chave])</f>
        <v>#N/A</v>
      </c>
    </row>
    <row r="575" spans="1:12" ht="115.2" hidden="1" x14ac:dyDescent="0.3">
      <c r="A575" s="5">
        <v>18808944</v>
      </c>
      <c r="B575" s="6" t="s">
        <v>2361</v>
      </c>
      <c r="C575" s="6" t="s">
        <v>164</v>
      </c>
      <c r="D575" s="8" t="s">
        <v>82</v>
      </c>
      <c r="E575" s="6" t="s">
        <v>140</v>
      </c>
      <c r="F575" s="6" t="s">
        <v>85</v>
      </c>
      <c r="G575" s="11" t="s">
        <v>56</v>
      </c>
      <c r="H575" s="11"/>
      <c r="I575" s="10" t="s">
        <v>2362</v>
      </c>
      <c r="J575" s="6" t="s">
        <v>2363</v>
      </c>
      <c r="K575" s="12">
        <v>46121.733530092592</v>
      </c>
      <c r="L575" s="6" t="e" cm="1">
        <f t="array" ref="L575">LOOKUP(2^15,SEARCH(Tabela2[Palavras-Chave],Boletim4[[#This Row],[Objeto]],1),Tabela2[Palavras-Chave])</f>
        <v>#N/A</v>
      </c>
    </row>
    <row r="576" spans="1:12" ht="100.8" hidden="1" x14ac:dyDescent="0.3">
      <c r="A576" s="5">
        <v>18809647</v>
      </c>
      <c r="B576" s="6" t="s">
        <v>2364</v>
      </c>
      <c r="C576" s="6" t="s">
        <v>2365</v>
      </c>
      <c r="D576" s="8" t="s">
        <v>82</v>
      </c>
      <c r="E576" s="6" t="s">
        <v>2366</v>
      </c>
      <c r="F576" s="6" t="s">
        <v>85</v>
      </c>
      <c r="G576" s="11" t="s">
        <v>56</v>
      </c>
      <c r="H576" s="11"/>
      <c r="I576" s="10" t="s">
        <v>2367</v>
      </c>
      <c r="J576" s="6" t="s">
        <v>2368</v>
      </c>
      <c r="K576" s="12">
        <v>46121.733668981484</v>
      </c>
      <c r="L576" s="6" t="e" cm="1">
        <f t="array" ref="L576">LOOKUP(2^15,SEARCH(Tabela2[Palavras-Chave],Boletim4[[#This Row],[Objeto]],1),Tabela2[Palavras-Chave])</f>
        <v>#N/A</v>
      </c>
    </row>
    <row r="577" spans="1:12" ht="100.8" hidden="1" x14ac:dyDescent="0.3">
      <c r="A577" s="5">
        <v>18809649</v>
      </c>
      <c r="B577" s="6" t="s">
        <v>2364</v>
      </c>
      <c r="C577" s="6" t="s">
        <v>2365</v>
      </c>
      <c r="D577" s="8" t="s">
        <v>82</v>
      </c>
      <c r="E577" s="6" t="s">
        <v>2369</v>
      </c>
      <c r="F577" s="6" t="s">
        <v>85</v>
      </c>
      <c r="G577" s="11" t="s">
        <v>56</v>
      </c>
      <c r="H577" s="11"/>
      <c r="I577" s="10" t="s">
        <v>2370</v>
      </c>
      <c r="J577" s="6" t="s">
        <v>2371</v>
      </c>
      <c r="K577" s="12">
        <v>46121.734583333331</v>
      </c>
      <c r="L577" s="6" t="e" cm="1">
        <f t="array" ref="L577">LOOKUP(2^15,SEARCH(Tabela2[Palavras-Chave],Boletim4[[#This Row],[Objeto]],1),Tabela2[Palavras-Chave])</f>
        <v>#N/A</v>
      </c>
    </row>
    <row r="578" spans="1:12" ht="115.2" hidden="1" x14ac:dyDescent="0.3">
      <c r="A578" s="5">
        <v>18808911</v>
      </c>
      <c r="B578" s="6" t="s">
        <v>236</v>
      </c>
      <c r="C578" s="6" t="s">
        <v>83</v>
      </c>
      <c r="D578" s="8" t="s">
        <v>82</v>
      </c>
      <c r="E578" s="6" t="s">
        <v>2372</v>
      </c>
      <c r="F578" s="6" t="s">
        <v>85</v>
      </c>
      <c r="G578" s="11" t="s">
        <v>56</v>
      </c>
      <c r="H578" s="11"/>
      <c r="I578" s="10" t="s">
        <v>2373</v>
      </c>
      <c r="J578" s="6" t="s">
        <v>2374</v>
      </c>
      <c r="K578" s="12">
        <v>46121.737245370372</v>
      </c>
      <c r="L578" s="6" t="e" cm="1">
        <f t="array" ref="L578">LOOKUP(2^15,SEARCH(Tabela2[Palavras-Chave],Boletim4[[#This Row],[Objeto]],1),Tabela2[Palavras-Chave])</f>
        <v>#N/A</v>
      </c>
    </row>
    <row r="579" spans="1:12" ht="43.2" hidden="1" x14ac:dyDescent="0.3">
      <c r="A579" s="5">
        <v>18810534</v>
      </c>
      <c r="B579" s="6" t="s">
        <v>2375</v>
      </c>
      <c r="C579" s="6" t="s">
        <v>1291</v>
      </c>
      <c r="D579" s="8" t="s">
        <v>82</v>
      </c>
      <c r="E579" s="6" t="s">
        <v>2376</v>
      </c>
      <c r="F579" s="6" t="s">
        <v>85</v>
      </c>
      <c r="G579" s="11">
        <v>46127.375</v>
      </c>
      <c r="H579" s="11"/>
      <c r="I579" s="10" t="s">
        <v>2377</v>
      </c>
      <c r="J579" s="6" t="s">
        <v>2378</v>
      </c>
      <c r="K579" s="12">
        <v>46121.740706018521</v>
      </c>
      <c r="L579" s="6" t="e" cm="1">
        <f t="array" ref="L579">LOOKUP(2^15,SEARCH(Tabela2[Palavras-Chave],Boletim4[[#This Row],[Objeto]],1),Tabela2[Palavras-Chave])</f>
        <v>#N/A</v>
      </c>
    </row>
    <row r="580" spans="1:12" ht="115.2" hidden="1" x14ac:dyDescent="0.3">
      <c r="A580" s="5">
        <v>18808955</v>
      </c>
      <c r="B580" s="6" t="s">
        <v>2379</v>
      </c>
      <c r="C580" s="6" t="s">
        <v>2287</v>
      </c>
      <c r="D580" s="8" t="s">
        <v>82</v>
      </c>
      <c r="E580" s="6" t="s">
        <v>220</v>
      </c>
      <c r="F580" s="6" t="s">
        <v>85</v>
      </c>
      <c r="G580" s="11" t="s">
        <v>56</v>
      </c>
      <c r="H580" s="11"/>
      <c r="I580" s="10" t="s">
        <v>2380</v>
      </c>
      <c r="J580" s="6" t="s">
        <v>2381</v>
      </c>
      <c r="K580" s="12">
        <v>46121.745081018518</v>
      </c>
      <c r="L580" s="6" t="e" cm="1">
        <f t="array" ref="L580">LOOKUP(2^15,SEARCH(Tabela2[Palavras-Chave],Boletim4[[#This Row],[Objeto]],1),Tabela2[Palavras-Chave])</f>
        <v>#N/A</v>
      </c>
    </row>
    <row r="581" spans="1:12" ht="115.2" hidden="1" x14ac:dyDescent="0.3">
      <c r="A581" s="5">
        <v>18808872</v>
      </c>
      <c r="B581" s="6" t="s">
        <v>2382</v>
      </c>
      <c r="C581" s="6" t="s">
        <v>2383</v>
      </c>
      <c r="D581" s="8" t="s">
        <v>82</v>
      </c>
      <c r="E581" s="6" t="s">
        <v>157</v>
      </c>
      <c r="F581" s="6" t="s">
        <v>85</v>
      </c>
      <c r="G581" s="11" t="s">
        <v>56</v>
      </c>
      <c r="H581" s="11"/>
      <c r="I581" s="10" t="s">
        <v>2384</v>
      </c>
      <c r="J581" s="6" t="s">
        <v>2385</v>
      </c>
      <c r="K581" s="12">
        <v>46121.755601851852</v>
      </c>
      <c r="L581" s="6" t="e" cm="1">
        <f t="array" ref="L581">LOOKUP(2^15,SEARCH(Tabela2[Palavras-Chave],Boletim4[[#This Row],[Objeto]],1),Tabela2[Palavras-Chave])</f>
        <v>#N/A</v>
      </c>
    </row>
    <row r="582" spans="1:12" ht="86.4" hidden="1" x14ac:dyDescent="0.3">
      <c r="A582" s="5">
        <v>18806836</v>
      </c>
      <c r="B582" s="6" t="s">
        <v>2386</v>
      </c>
      <c r="C582" s="6" t="s">
        <v>2355</v>
      </c>
      <c r="D582" s="8" t="s">
        <v>82</v>
      </c>
      <c r="E582" s="6" t="s">
        <v>166</v>
      </c>
      <c r="F582" s="6" t="s">
        <v>85</v>
      </c>
      <c r="G582" s="11" t="s">
        <v>56</v>
      </c>
      <c r="H582" s="11"/>
      <c r="I582" s="10" t="s">
        <v>2387</v>
      </c>
      <c r="J582" s="6" t="s">
        <v>2388</v>
      </c>
      <c r="K582" s="12">
        <v>46121.757071759261</v>
      </c>
      <c r="L582" s="6" t="e" cm="1">
        <f t="array" ref="L582">LOOKUP(2^15,SEARCH(Tabela2[Palavras-Chave],Boletim4[[#This Row],[Objeto]],1),Tabela2[Palavras-Chave])</f>
        <v>#N/A</v>
      </c>
    </row>
    <row r="583" spans="1:12" ht="115.2" hidden="1" x14ac:dyDescent="0.3">
      <c r="A583" s="5">
        <v>18808874</v>
      </c>
      <c r="B583" s="6" t="s">
        <v>2389</v>
      </c>
      <c r="C583" s="6" t="s">
        <v>83</v>
      </c>
      <c r="D583" s="8" t="s">
        <v>82</v>
      </c>
      <c r="E583" s="6" t="s">
        <v>220</v>
      </c>
      <c r="F583" s="6" t="s">
        <v>85</v>
      </c>
      <c r="G583" s="11" t="s">
        <v>56</v>
      </c>
      <c r="H583" s="11"/>
      <c r="I583" s="10" t="s">
        <v>2390</v>
      </c>
      <c r="J583" s="6" t="s">
        <v>2391</v>
      </c>
      <c r="K583" s="12">
        <v>46121.762002314812</v>
      </c>
      <c r="L583" s="6" t="e" cm="1">
        <f t="array" ref="L583">LOOKUP(2^15,SEARCH(Tabela2[Palavras-Chave],Boletim4[[#This Row],[Objeto]],1),Tabela2[Palavras-Chave])</f>
        <v>#N/A</v>
      </c>
    </row>
    <row r="584" spans="1:12" ht="72" hidden="1" x14ac:dyDescent="0.3">
      <c r="A584" s="5">
        <v>18810143</v>
      </c>
      <c r="B584" s="6" t="s">
        <v>2392</v>
      </c>
      <c r="C584" s="6" t="s">
        <v>2393</v>
      </c>
      <c r="D584" s="8" t="s">
        <v>82</v>
      </c>
      <c r="E584" s="6" t="s">
        <v>277</v>
      </c>
      <c r="F584" s="6" t="s">
        <v>85</v>
      </c>
      <c r="G584" s="11" t="s">
        <v>56</v>
      </c>
      <c r="H584" s="11"/>
      <c r="I584" s="10" t="s">
        <v>2394</v>
      </c>
      <c r="J584" s="6" t="s">
        <v>2395</v>
      </c>
      <c r="K584" s="12">
        <v>46121.762835648151</v>
      </c>
      <c r="L584" s="6" t="e" cm="1">
        <f t="array" ref="L584">LOOKUP(2^15,SEARCH(Tabela2[Palavras-Chave],Boletim4[[#This Row],[Objeto]],1),Tabela2[Palavras-Chave])</f>
        <v>#N/A</v>
      </c>
    </row>
    <row r="585" spans="1:12" ht="158.4" hidden="1" x14ac:dyDescent="0.3">
      <c r="A585" s="5">
        <v>18810514</v>
      </c>
      <c r="B585" s="6" t="s">
        <v>552</v>
      </c>
      <c r="C585" s="6" t="s">
        <v>83</v>
      </c>
      <c r="D585" s="8" t="s">
        <v>82</v>
      </c>
      <c r="E585" s="6" t="s">
        <v>2396</v>
      </c>
      <c r="F585" s="6" t="s">
        <v>85</v>
      </c>
      <c r="G585" s="11">
        <v>46135.395833333336</v>
      </c>
      <c r="H585" s="11"/>
      <c r="I585" s="10" t="s">
        <v>2397</v>
      </c>
      <c r="J585" s="6" t="s">
        <v>2398</v>
      </c>
      <c r="K585" s="12">
        <v>46121.764074074075</v>
      </c>
      <c r="L585" s="6" t="e" cm="1">
        <f t="array" ref="L585">LOOKUP(2^15,SEARCH(Tabela2[Palavras-Chave],Boletim4[[#This Row],[Objeto]],1),Tabela2[Palavras-Chave])</f>
        <v>#N/A</v>
      </c>
    </row>
    <row r="586" spans="1:12" ht="57.6" hidden="1" x14ac:dyDescent="0.3">
      <c r="A586" s="5">
        <v>18800956</v>
      </c>
      <c r="B586" s="6" t="s">
        <v>2399</v>
      </c>
      <c r="C586" s="6" t="s">
        <v>2400</v>
      </c>
      <c r="D586" s="8" t="s">
        <v>82</v>
      </c>
      <c r="E586" s="6" t="s">
        <v>2401</v>
      </c>
      <c r="F586" s="6" t="s">
        <v>85</v>
      </c>
      <c r="G586" s="11">
        <v>46136.354166666664</v>
      </c>
      <c r="H586" s="11"/>
      <c r="I586" s="10" t="s">
        <v>2402</v>
      </c>
      <c r="J586" s="6" t="s">
        <v>2403</v>
      </c>
      <c r="K586" s="12">
        <v>46121.768449074072</v>
      </c>
      <c r="L586" s="6" t="e" cm="1">
        <f t="array" ref="L586">LOOKUP(2^15,SEARCH(Tabela2[Palavras-Chave],Boletim4[[#This Row],[Objeto]],1),Tabela2[Palavras-Chave])</f>
        <v>#N/A</v>
      </c>
    </row>
    <row r="587" spans="1:12" ht="259.2" hidden="1" x14ac:dyDescent="0.3">
      <c r="A587" s="5">
        <v>18810280</v>
      </c>
      <c r="B587" s="6" t="s">
        <v>2404</v>
      </c>
      <c r="C587" s="6" t="s">
        <v>2405</v>
      </c>
      <c r="D587" s="8" t="s">
        <v>82</v>
      </c>
      <c r="E587" s="6" t="s">
        <v>121</v>
      </c>
      <c r="F587" s="6" t="s">
        <v>85</v>
      </c>
      <c r="G587" s="11" t="s">
        <v>56</v>
      </c>
      <c r="H587" s="11"/>
      <c r="I587" s="10" t="s">
        <v>2406</v>
      </c>
      <c r="J587" s="6" t="s">
        <v>2407</v>
      </c>
      <c r="K587" s="12">
        <v>46121.768564814818</v>
      </c>
      <c r="L587" s="6" t="e" cm="1">
        <f t="array" ref="L587">LOOKUP(2^15,SEARCH(Tabela2[Palavras-Chave],Boletim4[[#This Row],[Objeto]],1),Tabela2[Palavras-Chave])</f>
        <v>#N/A</v>
      </c>
    </row>
    <row r="588" spans="1:12" ht="57.6" hidden="1" x14ac:dyDescent="0.3">
      <c r="A588" s="5">
        <v>18810998</v>
      </c>
      <c r="B588" s="6" t="s">
        <v>2408</v>
      </c>
      <c r="C588" s="6" t="s">
        <v>2409</v>
      </c>
      <c r="D588" s="8" t="s">
        <v>82</v>
      </c>
      <c r="E588" s="6" t="s">
        <v>120</v>
      </c>
      <c r="F588" s="6" t="s">
        <v>85</v>
      </c>
      <c r="G588" s="11">
        <v>46141.354166666664</v>
      </c>
      <c r="H588" s="11"/>
      <c r="I588" s="10" t="s">
        <v>2410</v>
      </c>
      <c r="J588" s="6" t="s">
        <v>383</v>
      </c>
      <c r="K588" s="12">
        <v>46121.772962962961</v>
      </c>
      <c r="L588" s="6" t="e" cm="1">
        <f t="array" ref="L588">LOOKUP(2^15,SEARCH(Tabela2[Palavras-Chave],Boletim4[[#This Row],[Objeto]],1),Tabela2[Palavras-Chave])</f>
        <v>#N/A</v>
      </c>
    </row>
    <row r="589" spans="1:12" ht="129.6" hidden="1" x14ac:dyDescent="0.3">
      <c r="A589" s="5">
        <v>18808897</v>
      </c>
      <c r="B589" s="6" t="s">
        <v>374</v>
      </c>
      <c r="C589" s="6" t="s">
        <v>375</v>
      </c>
      <c r="D589" s="8" t="s">
        <v>82</v>
      </c>
      <c r="E589" s="6" t="s">
        <v>296</v>
      </c>
      <c r="F589" s="6" t="s">
        <v>85</v>
      </c>
      <c r="G589" s="11" t="s">
        <v>56</v>
      </c>
      <c r="H589" s="11"/>
      <c r="I589" s="10" t="s">
        <v>2411</v>
      </c>
      <c r="J589" s="6" t="s">
        <v>2412</v>
      </c>
      <c r="K589" s="12">
        <v>46121.773587962962</v>
      </c>
      <c r="L589" s="6" t="e" cm="1">
        <f t="array" ref="L589">LOOKUP(2^15,SEARCH(Tabela2[Palavras-Chave],Boletim4[[#This Row],[Objeto]],1),Tabela2[Palavras-Chave])</f>
        <v>#N/A</v>
      </c>
    </row>
    <row r="590" spans="1:12" ht="144" x14ac:dyDescent="0.3">
      <c r="A590" s="5">
        <v>18808884</v>
      </c>
      <c r="B590" s="6" t="s">
        <v>2413</v>
      </c>
      <c r="C590" s="6" t="s">
        <v>557</v>
      </c>
      <c r="D590" s="8" t="s">
        <v>82</v>
      </c>
      <c r="E590" s="6" t="s">
        <v>1962</v>
      </c>
      <c r="F590" s="6" t="s">
        <v>85</v>
      </c>
      <c r="G590" s="11" t="s">
        <v>56</v>
      </c>
      <c r="H590" s="11"/>
      <c r="I590" s="10" t="s">
        <v>2414</v>
      </c>
      <c r="J590" s="6" t="s">
        <v>2415</v>
      </c>
      <c r="K590" s="12">
        <v>46121.777638888889</v>
      </c>
      <c r="L590" s="6" t="str" cm="1">
        <f t="array" ref="L590">LOOKUP(2^15,SEARCH(Tabela2[Palavras-Chave],Boletim4[[#This Row],[Objeto]],1),Tabela2[Palavras-Chave])</f>
        <v>RESERVAT</v>
      </c>
    </row>
    <row r="591" spans="1:12" ht="86.4" x14ac:dyDescent="0.3">
      <c r="A591" s="5">
        <v>18809075</v>
      </c>
      <c r="B591" s="6" t="s">
        <v>2416</v>
      </c>
      <c r="C591" s="6" t="s">
        <v>2417</v>
      </c>
      <c r="D591" s="8" t="s">
        <v>82</v>
      </c>
      <c r="E591" s="6" t="s">
        <v>2418</v>
      </c>
      <c r="F591" s="6" t="s">
        <v>85</v>
      </c>
      <c r="G591" s="11" t="s">
        <v>56</v>
      </c>
      <c r="H591" s="11"/>
      <c r="I591" s="10" t="s">
        <v>2419</v>
      </c>
      <c r="J591" s="6" t="s">
        <v>2420</v>
      </c>
      <c r="K591" s="12">
        <v>46121.780960648146</v>
      </c>
      <c r="L591" s="6" t="str" cm="1">
        <f t="array" ref="L591">LOOKUP(2^15,SEARCH(Tabela2[Palavras-Chave],Boletim4[[#This Row],[Objeto]],1),Tabela2[Palavras-Chave])</f>
        <v>ELEVATÓRIA</v>
      </c>
    </row>
    <row r="592" spans="1:12" ht="43.2" hidden="1" x14ac:dyDescent="0.3">
      <c r="A592" s="5">
        <v>18797406</v>
      </c>
      <c r="B592" s="6" t="s">
        <v>2421</v>
      </c>
      <c r="C592" s="6" t="s">
        <v>2422</v>
      </c>
      <c r="D592" s="8" t="s">
        <v>82</v>
      </c>
      <c r="E592" s="6" t="s">
        <v>127</v>
      </c>
      <c r="F592" s="6" t="s">
        <v>85</v>
      </c>
      <c r="G592" s="11">
        <v>46140.375</v>
      </c>
      <c r="H592" s="11"/>
      <c r="I592" s="10" t="s">
        <v>2423</v>
      </c>
      <c r="J592" s="6" t="s">
        <v>2424</v>
      </c>
      <c r="K592" s="12">
        <v>46121.78974537037</v>
      </c>
      <c r="L592" s="6" t="e" cm="1">
        <f t="array" ref="L592">LOOKUP(2^15,SEARCH(Tabela2[Palavras-Chave],Boletim4[[#This Row],[Objeto]],1),Tabela2[Palavras-Chave])</f>
        <v>#N/A</v>
      </c>
    </row>
    <row r="593" spans="1:12" ht="100.8" hidden="1" x14ac:dyDescent="0.3">
      <c r="A593" s="5">
        <v>18804010</v>
      </c>
      <c r="B593" s="6" t="s">
        <v>564</v>
      </c>
      <c r="C593" s="6" t="s">
        <v>565</v>
      </c>
      <c r="D593" s="8" t="s">
        <v>82</v>
      </c>
      <c r="E593" s="6" t="s">
        <v>122</v>
      </c>
      <c r="F593" s="6" t="s">
        <v>85</v>
      </c>
      <c r="G593" s="11">
        <v>46136.375</v>
      </c>
      <c r="H593" s="11"/>
      <c r="I593" s="10" t="s">
        <v>2425</v>
      </c>
      <c r="J593" s="6" t="s">
        <v>2426</v>
      </c>
      <c r="K593" s="12">
        <v>46121.819826388892</v>
      </c>
      <c r="L593" s="6" t="e" cm="1">
        <f t="array" ref="L593">LOOKUP(2^15,SEARCH(Tabela2[Palavras-Chave],Boletim4[[#This Row],[Objeto]],1),Tabela2[Palavras-Chave])</f>
        <v>#N/A</v>
      </c>
    </row>
    <row r="594" spans="1:12" ht="43.2" x14ac:dyDescent="0.3">
      <c r="A594" s="5">
        <v>18811336</v>
      </c>
      <c r="B594" s="6" t="s">
        <v>696</v>
      </c>
      <c r="C594" s="6" t="s">
        <v>83</v>
      </c>
      <c r="D594" s="8" t="s">
        <v>82</v>
      </c>
      <c r="E594" s="6" t="s">
        <v>231</v>
      </c>
      <c r="F594" s="6" t="s">
        <v>85</v>
      </c>
      <c r="G594" s="11" t="s">
        <v>56</v>
      </c>
      <c r="H594" s="11"/>
      <c r="I594" s="10" t="s">
        <v>2427</v>
      </c>
      <c r="J594" s="6" t="s">
        <v>2428</v>
      </c>
      <c r="K594" s="12">
        <v>46121.837280092594</v>
      </c>
      <c r="L594" s="6" t="str" cm="1">
        <f t="array" ref="L594">LOOKUP(2^15,SEARCH(Tabela2[Palavras-Chave],Boletim4[[#This Row],[Objeto]],1),Tabela2[Palavras-Chave])</f>
        <v>RESERVAT</v>
      </c>
    </row>
    <row r="595" spans="1:12" ht="100.8" hidden="1" x14ac:dyDescent="0.3">
      <c r="A595" s="5">
        <v>18807464</v>
      </c>
      <c r="B595" s="6" t="s">
        <v>74</v>
      </c>
      <c r="C595" s="6" t="s">
        <v>2429</v>
      </c>
      <c r="D595" s="8" t="s">
        <v>84</v>
      </c>
      <c r="E595" s="6" t="s">
        <v>1319</v>
      </c>
      <c r="F595" s="6" t="s">
        <v>85</v>
      </c>
      <c r="G595" s="11" t="s">
        <v>56</v>
      </c>
      <c r="H595" s="11"/>
      <c r="I595" s="10" t="s">
        <v>1320</v>
      </c>
      <c r="J595" s="6" t="s">
        <v>1321</v>
      </c>
      <c r="K595" s="12">
        <v>46121.447314814817</v>
      </c>
      <c r="L595" s="6" t="e" cm="1">
        <f t="array" ref="L595">LOOKUP(2^15,SEARCH(Tabela2[Palavras-Chave],Boletim4[[#This Row],[Objeto]],1),Tabela2[Palavras-Chave])</f>
        <v>#N/A</v>
      </c>
    </row>
    <row r="596" spans="1:12" ht="158.4" hidden="1" x14ac:dyDescent="0.3">
      <c r="A596" s="5">
        <v>18808571</v>
      </c>
      <c r="B596" s="6" t="s">
        <v>2430</v>
      </c>
      <c r="C596" s="6" t="s">
        <v>2429</v>
      </c>
      <c r="D596" s="8" t="s">
        <v>84</v>
      </c>
      <c r="E596" s="6" t="s">
        <v>2431</v>
      </c>
      <c r="F596" s="6" t="s">
        <v>85</v>
      </c>
      <c r="G596" s="11" t="s">
        <v>56</v>
      </c>
      <c r="H596" s="11"/>
      <c r="I596" s="10" t="s">
        <v>2432</v>
      </c>
      <c r="J596" s="6" t="s">
        <v>2433</v>
      </c>
      <c r="K596" s="12">
        <v>46121.562083333331</v>
      </c>
      <c r="L596" s="6" t="e" cm="1">
        <f t="array" ref="L596">LOOKUP(2^15,SEARCH(Tabela2[Palavras-Chave],Boletim4[[#This Row],[Objeto]],1),Tabela2[Palavras-Chave])</f>
        <v>#N/A</v>
      </c>
    </row>
    <row r="597" spans="1:12" ht="129.6" hidden="1" x14ac:dyDescent="0.3">
      <c r="A597" s="5">
        <v>18808808</v>
      </c>
      <c r="B597" s="6" t="s">
        <v>2434</v>
      </c>
      <c r="C597" s="6" t="s">
        <v>2435</v>
      </c>
      <c r="D597" s="8" t="s">
        <v>84</v>
      </c>
      <c r="E597" s="6" t="s">
        <v>112</v>
      </c>
      <c r="F597" s="6" t="s">
        <v>85</v>
      </c>
      <c r="G597" s="11" t="s">
        <v>56</v>
      </c>
      <c r="H597" s="11"/>
      <c r="I597" s="10" t="s">
        <v>2436</v>
      </c>
      <c r="J597" s="6" t="s">
        <v>2437</v>
      </c>
      <c r="K597" s="12">
        <v>46121.629479166666</v>
      </c>
      <c r="L597" s="6" t="e" cm="1">
        <f t="array" ref="L597">LOOKUP(2^15,SEARCH(Tabela2[Palavras-Chave],Boletim4[[#This Row],[Objeto]],1),Tabela2[Palavras-Chave])</f>
        <v>#N/A</v>
      </c>
    </row>
    <row r="598" spans="1:12" ht="244.8" hidden="1" x14ac:dyDescent="0.3">
      <c r="A598" s="5">
        <v>18807136</v>
      </c>
      <c r="B598" s="6" t="s">
        <v>2438</v>
      </c>
      <c r="C598" s="6" t="s">
        <v>2439</v>
      </c>
      <c r="D598" s="8" t="s">
        <v>84</v>
      </c>
      <c r="E598" s="6" t="s">
        <v>125</v>
      </c>
      <c r="F598" s="6" t="s">
        <v>85</v>
      </c>
      <c r="G598" s="11" t="s">
        <v>56</v>
      </c>
      <c r="H598" s="11"/>
      <c r="I598" s="10" t="s">
        <v>2440</v>
      </c>
      <c r="J598" s="6" t="s">
        <v>2441</v>
      </c>
      <c r="K598" s="12">
        <v>46121.646412037036</v>
      </c>
      <c r="L598" s="6" t="e" cm="1">
        <f t="array" ref="L598">LOOKUP(2^15,SEARCH(Tabela2[Palavras-Chave],Boletim4[[#This Row],[Objeto]],1),Tabela2[Palavras-Chave])</f>
        <v>#N/A</v>
      </c>
    </row>
    <row r="599" spans="1:12" ht="115.2" hidden="1" x14ac:dyDescent="0.3">
      <c r="A599" s="5">
        <v>18808814</v>
      </c>
      <c r="B599" s="6" t="s">
        <v>2442</v>
      </c>
      <c r="C599" s="6" t="s">
        <v>2443</v>
      </c>
      <c r="D599" s="8" t="s">
        <v>84</v>
      </c>
      <c r="E599" s="6" t="s">
        <v>152</v>
      </c>
      <c r="F599" s="6" t="s">
        <v>85</v>
      </c>
      <c r="G599" s="11" t="s">
        <v>56</v>
      </c>
      <c r="H599" s="11"/>
      <c r="I599" s="10" t="s">
        <v>2444</v>
      </c>
      <c r="J599" s="6" t="s">
        <v>2445</v>
      </c>
      <c r="K599" s="12">
        <v>46121.719525462962</v>
      </c>
      <c r="L599" s="6" t="e" cm="1">
        <f t="array" ref="L599">LOOKUP(2^15,SEARCH(Tabela2[Palavras-Chave],Boletim4[[#This Row],[Objeto]],1),Tabela2[Palavras-Chave])</f>
        <v>#N/A</v>
      </c>
    </row>
    <row r="600" spans="1:12" ht="244.8" hidden="1" x14ac:dyDescent="0.3">
      <c r="A600" s="5">
        <v>18809648</v>
      </c>
      <c r="B600" s="6" t="s">
        <v>2446</v>
      </c>
      <c r="C600" s="6" t="s">
        <v>2447</v>
      </c>
      <c r="D600" s="8" t="s">
        <v>84</v>
      </c>
      <c r="E600" s="6" t="s">
        <v>107</v>
      </c>
      <c r="F600" s="6" t="s">
        <v>85</v>
      </c>
      <c r="G600" s="11" t="s">
        <v>56</v>
      </c>
      <c r="H600" s="11"/>
      <c r="I600" s="10" t="s">
        <v>2448</v>
      </c>
      <c r="J600" s="6" t="s">
        <v>2449</v>
      </c>
      <c r="K600" s="12">
        <v>46121.721643518518</v>
      </c>
      <c r="L600" s="6" t="e" cm="1">
        <f t="array" ref="L600">LOOKUP(2^15,SEARCH(Tabela2[Palavras-Chave],Boletim4[[#This Row],[Objeto]],1),Tabela2[Palavras-Chave])</f>
        <v>#N/A</v>
      </c>
    </row>
    <row r="601" spans="1:12" ht="172.8" hidden="1" x14ac:dyDescent="0.3">
      <c r="A601" s="5">
        <v>18805211</v>
      </c>
      <c r="B601" s="6" t="s">
        <v>286</v>
      </c>
      <c r="C601" s="6" t="s">
        <v>287</v>
      </c>
      <c r="D601" s="8" t="s">
        <v>63</v>
      </c>
      <c r="E601" s="6" t="s">
        <v>2450</v>
      </c>
      <c r="F601" s="6" t="s">
        <v>94</v>
      </c>
      <c r="G601" s="11" t="s">
        <v>56</v>
      </c>
      <c r="H601" s="11"/>
      <c r="I601" s="10" t="s">
        <v>2451</v>
      </c>
      <c r="J601" s="6" t="s">
        <v>2452</v>
      </c>
      <c r="K601" s="12">
        <v>46121.546273148146</v>
      </c>
      <c r="L601" s="6" t="e" cm="1">
        <f t="array" ref="L601">LOOKUP(2^15,SEARCH(Tabela2[Palavras-Chave],Boletim4[[#This Row],[Objeto]],1),Tabela2[Palavras-Chave])</f>
        <v>#N/A</v>
      </c>
    </row>
    <row r="602" spans="1:12" ht="144" hidden="1" x14ac:dyDescent="0.3">
      <c r="A602" s="5">
        <v>18747447</v>
      </c>
      <c r="B602" s="6" t="s">
        <v>2453</v>
      </c>
      <c r="C602" s="6" t="s">
        <v>2454</v>
      </c>
      <c r="D602" s="8" t="s">
        <v>66</v>
      </c>
      <c r="E602" s="6" t="s">
        <v>2455</v>
      </c>
      <c r="F602" s="6" t="s">
        <v>94</v>
      </c>
      <c r="G602" s="11">
        <v>46141.375</v>
      </c>
      <c r="H602" s="11"/>
      <c r="I602" s="10" t="s">
        <v>2456</v>
      </c>
      <c r="J602" s="6" t="s">
        <v>2457</v>
      </c>
      <c r="K602" s="12">
        <v>46121.4844212963</v>
      </c>
      <c r="L602" s="6" t="e" cm="1">
        <f t="array" ref="L602">LOOKUP(2^15,SEARCH(Tabela2[Palavras-Chave],Boletim4[[#This Row],[Objeto]],1),Tabela2[Palavras-Chave])</f>
        <v>#N/A</v>
      </c>
    </row>
    <row r="603" spans="1:12" ht="115.2" hidden="1" x14ac:dyDescent="0.3">
      <c r="A603" s="5">
        <v>18768246</v>
      </c>
      <c r="B603" s="6" t="s">
        <v>339</v>
      </c>
      <c r="C603" s="6" t="s">
        <v>65</v>
      </c>
      <c r="D603" s="8" t="s">
        <v>66</v>
      </c>
      <c r="E603" s="6" t="s">
        <v>245</v>
      </c>
      <c r="F603" s="6" t="s">
        <v>94</v>
      </c>
      <c r="G603" s="11" t="s">
        <v>56</v>
      </c>
      <c r="H603" s="11"/>
      <c r="I603" s="10" t="s">
        <v>2458</v>
      </c>
      <c r="J603" s="6" t="s">
        <v>2459</v>
      </c>
      <c r="K603" s="12">
        <v>46121.587638888886</v>
      </c>
      <c r="L603" s="6" t="e" cm="1">
        <f t="array" ref="L603">LOOKUP(2^15,SEARCH(Tabela2[Palavras-Chave],Boletim4[[#This Row],[Objeto]],1),Tabela2[Palavras-Chave])</f>
        <v>#N/A</v>
      </c>
    </row>
    <row r="604" spans="1:12" ht="409.6" hidden="1" x14ac:dyDescent="0.3">
      <c r="A604" s="5">
        <v>18792768</v>
      </c>
      <c r="B604" s="6" t="s">
        <v>2460</v>
      </c>
      <c r="C604" s="6" t="s">
        <v>2461</v>
      </c>
      <c r="D604" s="8" t="s">
        <v>91</v>
      </c>
      <c r="E604" s="6" t="s">
        <v>113</v>
      </c>
      <c r="F604" s="6" t="s">
        <v>94</v>
      </c>
      <c r="G604" s="11" t="s">
        <v>56</v>
      </c>
      <c r="H604" s="11"/>
      <c r="I604" s="10" t="s">
        <v>2462</v>
      </c>
      <c r="J604" s="6" t="s">
        <v>2463</v>
      </c>
      <c r="K604" s="12">
        <v>46121.692719907405</v>
      </c>
      <c r="L604" s="6" t="e" cm="1">
        <f t="array" ref="L604">LOOKUP(2^15,SEARCH(Tabela2[Palavras-Chave],Boletim4[[#This Row],[Objeto]],1),Tabela2[Palavras-Chave])</f>
        <v>#N/A</v>
      </c>
    </row>
    <row r="605" spans="1:12" ht="187.2" hidden="1" x14ac:dyDescent="0.3">
      <c r="A605" s="5">
        <v>18791197</v>
      </c>
      <c r="B605" s="6" t="s">
        <v>386</v>
      </c>
      <c r="C605" s="6" t="s">
        <v>387</v>
      </c>
      <c r="D605" s="8" t="s">
        <v>72</v>
      </c>
      <c r="E605" s="6" t="s">
        <v>126</v>
      </c>
      <c r="F605" s="6" t="s">
        <v>94</v>
      </c>
      <c r="G605" s="11" t="s">
        <v>56</v>
      </c>
      <c r="H605" s="11"/>
      <c r="I605" s="10" t="s">
        <v>568</v>
      </c>
      <c r="J605" s="6" t="s">
        <v>569</v>
      </c>
      <c r="K605" s="12">
        <v>46121.388321759259</v>
      </c>
      <c r="L605" s="6" t="e" cm="1">
        <f t="array" ref="L605">LOOKUP(2^15,SEARCH(Tabela2[Palavras-Chave],Boletim4[[#This Row],[Objeto]],1),Tabela2[Palavras-Chave])</f>
        <v>#N/A</v>
      </c>
    </row>
    <row r="606" spans="1:12" ht="302.39999999999998" hidden="1" x14ac:dyDescent="0.3">
      <c r="A606" s="13">
        <v>18791870</v>
      </c>
      <c r="B606" s="10" t="s">
        <v>499</v>
      </c>
      <c r="C606" s="10" t="s">
        <v>500</v>
      </c>
      <c r="D606" s="15" t="s">
        <v>80</v>
      </c>
      <c r="E606" s="10" t="s">
        <v>148</v>
      </c>
      <c r="F606" s="10" t="s">
        <v>94</v>
      </c>
      <c r="G606" s="16">
        <v>46140.583333333336</v>
      </c>
      <c r="H606" s="16"/>
      <c r="I606" s="10" t="s">
        <v>2464</v>
      </c>
      <c r="J606" s="10" t="s">
        <v>2465</v>
      </c>
      <c r="K606" s="17">
        <v>46121.774131944447</v>
      </c>
      <c r="L606" s="6" t="e" cm="1">
        <f t="array" ref="L606">LOOKUP(2^15,SEARCH(Tabela2[Palavras-Chave],Boletim4[[#This Row],[Objeto]],1),Tabela2[Palavras-Chave])</f>
        <v>#N/A</v>
      </c>
    </row>
    <row r="607" spans="1:12" ht="259.2" hidden="1" x14ac:dyDescent="0.3">
      <c r="A607" s="5">
        <v>18777914</v>
      </c>
      <c r="B607" s="6" t="s">
        <v>708</v>
      </c>
      <c r="C607" s="6" t="s">
        <v>709</v>
      </c>
      <c r="D607" s="8" t="s">
        <v>54</v>
      </c>
      <c r="E607" s="6" t="s">
        <v>142</v>
      </c>
      <c r="F607" s="6" t="s">
        <v>167</v>
      </c>
      <c r="G607" s="11">
        <v>46134.378472222219</v>
      </c>
      <c r="H607" s="11"/>
      <c r="I607" s="10" t="s">
        <v>710</v>
      </c>
      <c r="J607" s="6" t="s">
        <v>711</v>
      </c>
      <c r="K607" s="12">
        <v>46121.451458333337</v>
      </c>
      <c r="L607" s="6" t="e" cm="1">
        <f t="array" ref="L607">LOOKUP(2^15,SEARCH(Tabela2[Palavras-Chave],Boletim4[[#This Row],[Objeto]],1),Tabela2[Palavras-Chave])</f>
        <v>#N/A</v>
      </c>
    </row>
    <row r="608" spans="1:12" ht="230.4" hidden="1" x14ac:dyDescent="0.3">
      <c r="A608" s="5">
        <v>18759757</v>
      </c>
      <c r="B608" s="6" t="s">
        <v>2030</v>
      </c>
      <c r="C608" s="6" t="s">
        <v>2031</v>
      </c>
      <c r="D608" s="8" t="s">
        <v>78</v>
      </c>
      <c r="E608" s="6" t="s">
        <v>128</v>
      </c>
      <c r="F608" s="6" t="s">
        <v>167</v>
      </c>
      <c r="G608" s="11">
        <v>46139.381944444445</v>
      </c>
      <c r="H608" s="11"/>
      <c r="I608" s="10" t="s">
        <v>2466</v>
      </c>
      <c r="J608" s="6" t="s">
        <v>2467</v>
      </c>
      <c r="K608" s="12">
        <v>46121.604247685187</v>
      </c>
      <c r="L608" s="6" t="e" cm="1">
        <f t="array" ref="L608">LOOKUP(2^15,SEARCH(Tabela2[Palavras-Chave],Boletim4[[#This Row],[Objeto]],1),Tabela2[Palavras-Chave])</f>
        <v>#N/A</v>
      </c>
    </row>
    <row r="609" spans="1:12" ht="158.4" hidden="1" x14ac:dyDescent="0.3">
      <c r="A609" s="5">
        <v>18756015</v>
      </c>
      <c r="B609" s="6" t="s">
        <v>2468</v>
      </c>
      <c r="C609" s="6" t="s">
        <v>2429</v>
      </c>
      <c r="D609" s="8" t="s">
        <v>84</v>
      </c>
      <c r="E609" s="6" t="s">
        <v>2469</v>
      </c>
      <c r="F609" s="6" t="s">
        <v>167</v>
      </c>
      <c r="G609" s="11">
        <v>46136.625</v>
      </c>
      <c r="H609" s="11"/>
      <c r="I609" s="10" t="s">
        <v>2470</v>
      </c>
      <c r="J609" s="6" t="s">
        <v>2471</v>
      </c>
      <c r="K609" s="12">
        <v>46121.51835648148</v>
      </c>
      <c r="L609" s="6" t="e" cm="1">
        <f t="array" ref="L609">LOOKUP(2^15,SEARCH(Tabela2[Palavras-Chave],Boletim4[[#This Row],[Objeto]],1),Tabela2[Palavras-Chave])</f>
        <v>#N/A</v>
      </c>
    </row>
    <row r="610" spans="1:12" ht="100.8" hidden="1" x14ac:dyDescent="0.3">
      <c r="A610" s="5">
        <v>18709902</v>
      </c>
      <c r="B610" s="6" t="s">
        <v>74</v>
      </c>
      <c r="C610" s="6" t="s">
        <v>162</v>
      </c>
      <c r="D610" s="8" t="s">
        <v>144</v>
      </c>
      <c r="E610" s="6" t="s">
        <v>2472</v>
      </c>
      <c r="F610" s="6" t="s">
        <v>95</v>
      </c>
      <c r="G610" s="11" t="s">
        <v>56</v>
      </c>
      <c r="H610" s="11"/>
      <c r="I610" s="10" t="s">
        <v>2473</v>
      </c>
      <c r="J610" s="6" t="s">
        <v>2474</v>
      </c>
      <c r="K610" s="12">
        <v>46121.439618055556</v>
      </c>
      <c r="L610" s="6" t="e" cm="1">
        <f t="array" ref="L610">LOOKUP(2^15,SEARCH(Tabela2[Palavras-Chave],Boletim4[[#This Row],[Objeto]],1),Tabela2[Palavras-Chave])</f>
        <v>#N/A</v>
      </c>
    </row>
    <row r="611" spans="1:12" ht="100.8" hidden="1" x14ac:dyDescent="0.3">
      <c r="A611" s="5">
        <v>18715343</v>
      </c>
      <c r="B611" s="6" t="s">
        <v>74</v>
      </c>
      <c r="C611" s="6" t="s">
        <v>162</v>
      </c>
      <c r="D611" s="8" t="s">
        <v>144</v>
      </c>
      <c r="E611" s="6" t="s">
        <v>2475</v>
      </c>
      <c r="F611" s="6" t="s">
        <v>95</v>
      </c>
      <c r="G611" s="11" t="s">
        <v>56</v>
      </c>
      <c r="H611" s="11"/>
      <c r="I611" s="10" t="s">
        <v>2476</v>
      </c>
      <c r="J611" s="6" t="s">
        <v>2477</v>
      </c>
      <c r="K611" s="12">
        <v>46121.439675925925</v>
      </c>
      <c r="L611" s="6" t="e" cm="1">
        <f t="array" ref="L611">LOOKUP(2^15,SEARCH(Tabela2[Palavras-Chave],Boletim4[[#This Row],[Objeto]],1),Tabela2[Palavras-Chave])</f>
        <v>#N/A</v>
      </c>
    </row>
    <row r="612" spans="1:12" ht="100.8" hidden="1" x14ac:dyDescent="0.3">
      <c r="A612" s="5">
        <v>18709903</v>
      </c>
      <c r="B612" s="6" t="s">
        <v>74</v>
      </c>
      <c r="C612" s="6" t="s">
        <v>87</v>
      </c>
      <c r="D612" s="8" t="s">
        <v>86</v>
      </c>
      <c r="E612" s="6" t="s">
        <v>2472</v>
      </c>
      <c r="F612" s="6" t="s">
        <v>95</v>
      </c>
      <c r="G612" s="11" t="s">
        <v>56</v>
      </c>
      <c r="H612" s="11"/>
      <c r="I612" s="10" t="s">
        <v>2473</v>
      </c>
      <c r="J612" s="6" t="s">
        <v>2474</v>
      </c>
      <c r="K612" s="12">
        <v>46121.439618055556</v>
      </c>
      <c r="L612" s="6" t="e" cm="1">
        <f t="array" ref="L612">LOOKUP(2^15,SEARCH(Tabela2[Palavras-Chave],Boletim4[[#This Row],[Objeto]],1),Tabela2[Palavras-Chave])</f>
        <v>#N/A</v>
      </c>
    </row>
    <row r="613" spans="1:12" ht="100.8" hidden="1" x14ac:dyDescent="0.3">
      <c r="A613" s="5">
        <v>18715344</v>
      </c>
      <c r="B613" s="6" t="s">
        <v>74</v>
      </c>
      <c r="C613" s="6" t="s">
        <v>87</v>
      </c>
      <c r="D613" s="8" t="s">
        <v>86</v>
      </c>
      <c r="E613" s="6" t="s">
        <v>2475</v>
      </c>
      <c r="F613" s="6" t="s">
        <v>95</v>
      </c>
      <c r="G613" s="11" t="s">
        <v>56</v>
      </c>
      <c r="H613" s="11"/>
      <c r="I613" s="10" t="s">
        <v>2476</v>
      </c>
      <c r="J613" s="6" t="s">
        <v>2477</v>
      </c>
      <c r="K613" s="12">
        <v>46121.439675925925</v>
      </c>
      <c r="L613" s="6" t="e" cm="1">
        <f t="array" ref="L613">LOOKUP(2^15,SEARCH(Tabela2[Palavras-Chave],Boletim4[[#This Row],[Objeto]],1),Tabela2[Palavras-Chave])</f>
        <v>#N/A</v>
      </c>
    </row>
    <row r="614" spans="1:12" ht="100.8" hidden="1" x14ac:dyDescent="0.3">
      <c r="A614" s="5">
        <v>18709904</v>
      </c>
      <c r="B614" s="6" t="s">
        <v>74</v>
      </c>
      <c r="C614" s="6" t="s">
        <v>52</v>
      </c>
      <c r="D614" s="8" t="s">
        <v>50</v>
      </c>
      <c r="E614" s="6" t="s">
        <v>2472</v>
      </c>
      <c r="F614" s="6" t="s">
        <v>95</v>
      </c>
      <c r="G614" s="11" t="s">
        <v>56</v>
      </c>
      <c r="H614" s="11"/>
      <c r="I614" s="10" t="s">
        <v>2473</v>
      </c>
      <c r="J614" s="6" t="s">
        <v>2474</v>
      </c>
      <c r="K614" s="12">
        <v>46121.439629629633</v>
      </c>
      <c r="L614" s="6" t="e" cm="1">
        <f t="array" ref="L614">LOOKUP(2^15,SEARCH(Tabela2[Palavras-Chave],Boletim4[[#This Row],[Objeto]],1),Tabela2[Palavras-Chave])</f>
        <v>#N/A</v>
      </c>
    </row>
    <row r="615" spans="1:12" ht="100.8" hidden="1" x14ac:dyDescent="0.3">
      <c r="A615" s="5">
        <v>18715345</v>
      </c>
      <c r="B615" s="6" t="s">
        <v>74</v>
      </c>
      <c r="C615" s="6" t="s">
        <v>52</v>
      </c>
      <c r="D615" s="8" t="s">
        <v>50</v>
      </c>
      <c r="E615" s="6" t="s">
        <v>2475</v>
      </c>
      <c r="F615" s="6" t="s">
        <v>95</v>
      </c>
      <c r="G615" s="11" t="s">
        <v>56</v>
      </c>
      <c r="H615" s="11"/>
      <c r="I615" s="10" t="s">
        <v>2476</v>
      </c>
      <c r="J615" s="6" t="s">
        <v>2477</v>
      </c>
      <c r="K615" s="12">
        <v>46121.439675925925</v>
      </c>
      <c r="L615" s="6" t="e" cm="1">
        <f t="array" ref="L615">LOOKUP(2^15,SEARCH(Tabela2[Palavras-Chave],Boletim4[[#This Row],[Objeto]],1),Tabela2[Palavras-Chave])</f>
        <v>#N/A</v>
      </c>
    </row>
    <row r="616" spans="1:12" ht="100.8" hidden="1" x14ac:dyDescent="0.3">
      <c r="A616" s="5">
        <v>18709905</v>
      </c>
      <c r="B616" s="6" t="s">
        <v>74</v>
      </c>
      <c r="C616" s="6" t="s">
        <v>1366</v>
      </c>
      <c r="D616" s="8" t="s">
        <v>1367</v>
      </c>
      <c r="E616" s="6" t="s">
        <v>2472</v>
      </c>
      <c r="F616" s="6" t="s">
        <v>95</v>
      </c>
      <c r="G616" s="11" t="s">
        <v>56</v>
      </c>
      <c r="H616" s="11"/>
      <c r="I616" s="10" t="s">
        <v>2473</v>
      </c>
      <c r="J616" s="6" t="s">
        <v>2474</v>
      </c>
      <c r="K616" s="12">
        <v>46121.439629629633</v>
      </c>
      <c r="L616" s="6" t="e" cm="1">
        <f t="array" ref="L616">LOOKUP(2^15,SEARCH(Tabela2[Palavras-Chave],Boletim4[[#This Row],[Objeto]],1),Tabela2[Palavras-Chave])</f>
        <v>#N/A</v>
      </c>
    </row>
    <row r="617" spans="1:12" ht="100.8" hidden="1" x14ac:dyDescent="0.3">
      <c r="A617" s="5">
        <v>18715346</v>
      </c>
      <c r="B617" s="6" t="s">
        <v>74</v>
      </c>
      <c r="C617" s="6" t="s">
        <v>1366</v>
      </c>
      <c r="D617" s="8" t="s">
        <v>1367</v>
      </c>
      <c r="E617" s="6" t="s">
        <v>2475</v>
      </c>
      <c r="F617" s="6" t="s">
        <v>95</v>
      </c>
      <c r="G617" s="11" t="s">
        <v>56</v>
      </c>
      <c r="H617" s="11"/>
      <c r="I617" s="10" t="s">
        <v>2476</v>
      </c>
      <c r="J617" s="6" t="s">
        <v>2477</v>
      </c>
      <c r="K617" s="12">
        <v>46121.439675925925</v>
      </c>
      <c r="L617" s="6" t="e" cm="1">
        <f t="array" ref="L617">LOOKUP(2^15,SEARCH(Tabela2[Palavras-Chave],Boletim4[[#This Row],[Objeto]],1),Tabela2[Palavras-Chave])</f>
        <v>#N/A</v>
      </c>
    </row>
    <row r="618" spans="1:12" ht="100.8" hidden="1" x14ac:dyDescent="0.3">
      <c r="A618" s="5">
        <v>18709906</v>
      </c>
      <c r="B618" s="6" t="s">
        <v>74</v>
      </c>
      <c r="C618" s="6" t="s">
        <v>53</v>
      </c>
      <c r="D618" s="8" t="s">
        <v>54</v>
      </c>
      <c r="E618" s="6" t="s">
        <v>2472</v>
      </c>
      <c r="F618" s="6" t="s">
        <v>95</v>
      </c>
      <c r="G618" s="11" t="s">
        <v>56</v>
      </c>
      <c r="H618" s="11"/>
      <c r="I618" s="10" t="s">
        <v>2473</v>
      </c>
      <c r="J618" s="6" t="s">
        <v>2474</v>
      </c>
      <c r="K618" s="12">
        <v>46121.439629629633</v>
      </c>
      <c r="L618" s="6" t="e" cm="1">
        <f t="array" ref="L618">LOOKUP(2^15,SEARCH(Tabela2[Palavras-Chave],Boletim4[[#This Row],[Objeto]],1),Tabela2[Palavras-Chave])</f>
        <v>#N/A</v>
      </c>
    </row>
    <row r="619" spans="1:12" ht="100.8" hidden="1" x14ac:dyDescent="0.3">
      <c r="A619" s="5">
        <v>18715347</v>
      </c>
      <c r="B619" s="6" t="s">
        <v>74</v>
      </c>
      <c r="C619" s="6" t="s">
        <v>53</v>
      </c>
      <c r="D619" s="8" t="s">
        <v>54</v>
      </c>
      <c r="E619" s="6" t="s">
        <v>2475</v>
      </c>
      <c r="F619" s="6" t="s">
        <v>95</v>
      </c>
      <c r="G619" s="11" t="s">
        <v>56</v>
      </c>
      <c r="H619" s="11"/>
      <c r="I619" s="10" t="s">
        <v>2476</v>
      </c>
      <c r="J619" s="6" t="s">
        <v>2477</v>
      </c>
      <c r="K619" s="12">
        <v>46121.439687500002</v>
      </c>
      <c r="L619" s="6" t="e" cm="1">
        <f t="array" ref="L619">LOOKUP(2^15,SEARCH(Tabela2[Palavras-Chave],Boletim4[[#This Row],[Objeto]],1),Tabela2[Palavras-Chave])</f>
        <v>#N/A</v>
      </c>
    </row>
    <row r="620" spans="1:12" ht="129.6" hidden="1" x14ac:dyDescent="0.3">
      <c r="A620" s="5">
        <v>18806851</v>
      </c>
      <c r="B620" s="6" t="s">
        <v>392</v>
      </c>
      <c r="C620" s="6" t="s">
        <v>393</v>
      </c>
      <c r="D620" s="8" t="s">
        <v>54</v>
      </c>
      <c r="E620" s="6" t="s">
        <v>1859</v>
      </c>
      <c r="F620" s="6" t="s">
        <v>95</v>
      </c>
      <c r="G620" s="11" t="s">
        <v>56</v>
      </c>
      <c r="H620" s="11"/>
      <c r="I620" s="10" t="s">
        <v>2478</v>
      </c>
      <c r="J620" s="6" t="s">
        <v>2479</v>
      </c>
      <c r="K620" s="12">
        <v>46121.727789351855</v>
      </c>
      <c r="L620" s="6" t="e" cm="1">
        <f t="array" ref="L620">LOOKUP(2^15,SEARCH(Tabela2[Palavras-Chave],Boletim4[[#This Row],[Objeto]],1),Tabela2[Palavras-Chave])</f>
        <v>#N/A</v>
      </c>
    </row>
    <row r="621" spans="1:12" ht="100.8" hidden="1" x14ac:dyDescent="0.3">
      <c r="A621" s="5">
        <v>18709907</v>
      </c>
      <c r="B621" s="6" t="s">
        <v>74</v>
      </c>
      <c r="C621" s="6" t="s">
        <v>59</v>
      </c>
      <c r="D621" s="8" t="s">
        <v>60</v>
      </c>
      <c r="E621" s="6" t="s">
        <v>2472</v>
      </c>
      <c r="F621" s="6" t="s">
        <v>95</v>
      </c>
      <c r="G621" s="11" t="s">
        <v>56</v>
      </c>
      <c r="H621" s="11"/>
      <c r="I621" s="10" t="s">
        <v>2473</v>
      </c>
      <c r="J621" s="6" t="s">
        <v>2474</v>
      </c>
      <c r="K621" s="12">
        <v>46121.439629629633</v>
      </c>
      <c r="L621" s="6" t="e" cm="1">
        <f t="array" ref="L621">LOOKUP(2^15,SEARCH(Tabela2[Palavras-Chave],Boletim4[[#This Row],[Objeto]],1),Tabela2[Palavras-Chave])</f>
        <v>#N/A</v>
      </c>
    </row>
    <row r="622" spans="1:12" ht="100.8" hidden="1" x14ac:dyDescent="0.3">
      <c r="A622" s="5">
        <v>18715348</v>
      </c>
      <c r="B622" s="6" t="s">
        <v>74</v>
      </c>
      <c r="C622" s="6" t="s">
        <v>59</v>
      </c>
      <c r="D622" s="8" t="s">
        <v>60</v>
      </c>
      <c r="E622" s="6" t="s">
        <v>2475</v>
      </c>
      <c r="F622" s="6" t="s">
        <v>95</v>
      </c>
      <c r="G622" s="11" t="s">
        <v>56</v>
      </c>
      <c r="H622" s="11"/>
      <c r="I622" s="10" t="s">
        <v>2476</v>
      </c>
      <c r="J622" s="6" t="s">
        <v>2477</v>
      </c>
      <c r="K622" s="12">
        <v>46121.439687500002</v>
      </c>
      <c r="L622" s="6" t="e" cm="1">
        <f t="array" ref="L622">LOOKUP(2^15,SEARCH(Tabela2[Palavras-Chave],Boletim4[[#This Row],[Objeto]],1),Tabela2[Palavras-Chave])</f>
        <v>#N/A</v>
      </c>
    </row>
    <row r="623" spans="1:12" ht="100.8" hidden="1" x14ac:dyDescent="0.3">
      <c r="A623" s="5">
        <v>18709908</v>
      </c>
      <c r="B623" s="6" t="s">
        <v>74</v>
      </c>
      <c r="C623" s="6" t="s">
        <v>61</v>
      </c>
      <c r="D623" s="8" t="s">
        <v>62</v>
      </c>
      <c r="E623" s="6" t="s">
        <v>2472</v>
      </c>
      <c r="F623" s="6" t="s">
        <v>95</v>
      </c>
      <c r="G623" s="11" t="s">
        <v>56</v>
      </c>
      <c r="H623" s="11"/>
      <c r="I623" s="10" t="s">
        <v>2473</v>
      </c>
      <c r="J623" s="6" t="s">
        <v>2474</v>
      </c>
      <c r="K623" s="12">
        <v>46121.439641203702</v>
      </c>
      <c r="L623" s="6" t="e" cm="1">
        <f t="array" ref="L623">LOOKUP(2^15,SEARCH(Tabela2[Palavras-Chave],Boletim4[[#This Row],[Objeto]],1),Tabela2[Palavras-Chave])</f>
        <v>#N/A</v>
      </c>
    </row>
    <row r="624" spans="1:12" ht="100.8" hidden="1" x14ac:dyDescent="0.3">
      <c r="A624" s="5">
        <v>18715349</v>
      </c>
      <c r="B624" s="6" t="s">
        <v>74</v>
      </c>
      <c r="C624" s="6" t="s">
        <v>61</v>
      </c>
      <c r="D624" s="8" t="s">
        <v>62</v>
      </c>
      <c r="E624" s="6" t="s">
        <v>2475</v>
      </c>
      <c r="F624" s="6" t="s">
        <v>95</v>
      </c>
      <c r="G624" s="11" t="s">
        <v>56</v>
      </c>
      <c r="H624" s="11"/>
      <c r="I624" s="10" t="s">
        <v>2476</v>
      </c>
      <c r="J624" s="6" t="s">
        <v>2477</v>
      </c>
      <c r="K624" s="12">
        <v>46121.439687500002</v>
      </c>
      <c r="L624" s="6" t="e" cm="1">
        <f t="array" ref="L624">LOOKUP(2^15,SEARCH(Tabela2[Palavras-Chave],Boletim4[[#This Row],[Objeto]],1),Tabela2[Palavras-Chave])</f>
        <v>#N/A</v>
      </c>
    </row>
    <row r="625" spans="1:12" ht="158.4" hidden="1" x14ac:dyDescent="0.3">
      <c r="A625" s="5">
        <v>18606531</v>
      </c>
      <c r="B625" s="6" t="s">
        <v>2480</v>
      </c>
      <c r="C625" s="6" t="s">
        <v>61</v>
      </c>
      <c r="D625" s="8" t="s">
        <v>62</v>
      </c>
      <c r="E625" s="6" t="s">
        <v>2481</v>
      </c>
      <c r="F625" s="6" t="s">
        <v>95</v>
      </c>
      <c r="G625" s="11" t="s">
        <v>56</v>
      </c>
      <c r="H625" s="11"/>
      <c r="I625" s="10" t="s">
        <v>2482</v>
      </c>
      <c r="J625" s="6" t="s">
        <v>2483</v>
      </c>
      <c r="K625" s="12">
        <v>46121.543113425927</v>
      </c>
      <c r="L625" s="6" t="e" cm="1">
        <f t="array" ref="L625">LOOKUP(2^15,SEARCH(Tabela2[Palavras-Chave],Boletim4[[#This Row],[Objeto]],1),Tabela2[Palavras-Chave])</f>
        <v>#N/A</v>
      </c>
    </row>
    <row r="626" spans="1:12" ht="100.8" hidden="1" x14ac:dyDescent="0.3">
      <c r="A626" s="5">
        <v>18709909</v>
      </c>
      <c r="B626" s="6" t="s">
        <v>74</v>
      </c>
      <c r="C626" s="6" t="s">
        <v>88</v>
      </c>
      <c r="D626" s="8" t="s">
        <v>63</v>
      </c>
      <c r="E626" s="6" t="s">
        <v>2472</v>
      </c>
      <c r="F626" s="6" t="s">
        <v>95</v>
      </c>
      <c r="G626" s="11" t="s">
        <v>56</v>
      </c>
      <c r="H626" s="11"/>
      <c r="I626" s="10" t="s">
        <v>2473</v>
      </c>
      <c r="J626" s="6" t="s">
        <v>2474</v>
      </c>
      <c r="K626" s="12">
        <v>46121.439641203702</v>
      </c>
      <c r="L626" s="6" t="e" cm="1">
        <f t="array" ref="L626">LOOKUP(2^15,SEARCH(Tabela2[Palavras-Chave],Boletim4[[#This Row],[Objeto]],1),Tabela2[Palavras-Chave])</f>
        <v>#N/A</v>
      </c>
    </row>
    <row r="627" spans="1:12" ht="100.8" hidden="1" x14ac:dyDescent="0.3">
      <c r="A627" s="5">
        <v>18715350</v>
      </c>
      <c r="B627" s="6" t="s">
        <v>74</v>
      </c>
      <c r="C627" s="6" t="s">
        <v>88</v>
      </c>
      <c r="D627" s="8" t="s">
        <v>63</v>
      </c>
      <c r="E627" s="6" t="s">
        <v>2475</v>
      </c>
      <c r="F627" s="6" t="s">
        <v>95</v>
      </c>
      <c r="G627" s="11" t="s">
        <v>56</v>
      </c>
      <c r="H627" s="11"/>
      <c r="I627" s="10" t="s">
        <v>2476</v>
      </c>
      <c r="J627" s="6" t="s">
        <v>2477</v>
      </c>
      <c r="K627" s="12">
        <v>46121.439687500002</v>
      </c>
      <c r="L627" s="6" t="e" cm="1">
        <f t="array" ref="L627">LOOKUP(2^15,SEARCH(Tabela2[Palavras-Chave],Boletim4[[#This Row],[Objeto]],1),Tabela2[Palavras-Chave])</f>
        <v>#N/A</v>
      </c>
    </row>
    <row r="628" spans="1:12" ht="100.8" hidden="1" x14ac:dyDescent="0.3">
      <c r="A628" s="5">
        <v>18709910</v>
      </c>
      <c r="B628" s="6" t="s">
        <v>74</v>
      </c>
      <c r="C628" s="6" t="s">
        <v>101</v>
      </c>
      <c r="D628" s="8" t="s">
        <v>64</v>
      </c>
      <c r="E628" s="6" t="s">
        <v>2472</v>
      </c>
      <c r="F628" s="6" t="s">
        <v>95</v>
      </c>
      <c r="G628" s="11" t="s">
        <v>56</v>
      </c>
      <c r="H628" s="11"/>
      <c r="I628" s="10" t="s">
        <v>2473</v>
      </c>
      <c r="J628" s="6" t="s">
        <v>2474</v>
      </c>
      <c r="K628" s="12">
        <v>46121.439641203702</v>
      </c>
      <c r="L628" s="6" t="e" cm="1">
        <f t="array" ref="L628">LOOKUP(2^15,SEARCH(Tabela2[Palavras-Chave],Boletim4[[#This Row],[Objeto]],1),Tabela2[Palavras-Chave])</f>
        <v>#N/A</v>
      </c>
    </row>
    <row r="629" spans="1:12" ht="100.8" hidden="1" x14ac:dyDescent="0.3">
      <c r="A629" s="5">
        <v>18715351</v>
      </c>
      <c r="B629" s="6" t="s">
        <v>74</v>
      </c>
      <c r="C629" s="6" t="s">
        <v>101</v>
      </c>
      <c r="D629" s="8" t="s">
        <v>64</v>
      </c>
      <c r="E629" s="6" t="s">
        <v>2475</v>
      </c>
      <c r="F629" s="6" t="s">
        <v>95</v>
      </c>
      <c r="G629" s="11" t="s">
        <v>56</v>
      </c>
      <c r="H629" s="11"/>
      <c r="I629" s="10" t="s">
        <v>2476</v>
      </c>
      <c r="J629" s="6" t="s">
        <v>2477</v>
      </c>
      <c r="K629" s="12">
        <v>46121.439687500002</v>
      </c>
      <c r="L629" s="6" t="e" cm="1">
        <f t="array" ref="L629">LOOKUP(2^15,SEARCH(Tabela2[Palavras-Chave],Boletim4[[#This Row],[Objeto]],1),Tabela2[Palavras-Chave])</f>
        <v>#N/A</v>
      </c>
    </row>
    <row r="630" spans="1:12" ht="259.2" hidden="1" x14ac:dyDescent="0.3">
      <c r="A630" s="5">
        <v>18698834</v>
      </c>
      <c r="B630" s="6" t="s">
        <v>572</v>
      </c>
      <c r="C630" s="6" t="s">
        <v>573</v>
      </c>
      <c r="D630" s="8" t="s">
        <v>64</v>
      </c>
      <c r="E630" s="6" t="s">
        <v>115</v>
      </c>
      <c r="F630" s="6" t="s">
        <v>95</v>
      </c>
      <c r="G630" s="11" t="s">
        <v>56</v>
      </c>
      <c r="H630" s="11"/>
      <c r="I630" s="10" t="s">
        <v>574</v>
      </c>
      <c r="J630" s="6" t="s">
        <v>575</v>
      </c>
      <c r="K630" s="12">
        <v>46121.607731481483</v>
      </c>
      <c r="L630" s="6" t="e" cm="1">
        <f t="array" ref="L630">LOOKUP(2^15,SEARCH(Tabela2[Palavras-Chave],Boletim4[[#This Row],[Objeto]],1),Tabela2[Palavras-Chave])</f>
        <v>#N/A</v>
      </c>
    </row>
    <row r="631" spans="1:12" ht="259.2" hidden="1" x14ac:dyDescent="0.3">
      <c r="A631" s="5">
        <v>18767121</v>
      </c>
      <c r="B631" s="6" t="s">
        <v>2484</v>
      </c>
      <c r="C631" s="6" t="s">
        <v>2485</v>
      </c>
      <c r="D631" s="8" t="s">
        <v>64</v>
      </c>
      <c r="E631" s="6" t="s">
        <v>113</v>
      </c>
      <c r="F631" s="6" t="s">
        <v>95</v>
      </c>
      <c r="G631" s="11" t="s">
        <v>56</v>
      </c>
      <c r="H631" s="11"/>
      <c r="I631" s="10" t="s">
        <v>2486</v>
      </c>
      <c r="J631" s="6" t="s">
        <v>2487</v>
      </c>
      <c r="K631" s="12">
        <v>46121.810104166667</v>
      </c>
      <c r="L631" s="6" t="e" cm="1">
        <f t="array" ref="L631">LOOKUP(2^15,SEARCH(Tabela2[Palavras-Chave],Boletim4[[#This Row],[Objeto]],1),Tabela2[Palavras-Chave])</f>
        <v>#N/A</v>
      </c>
    </row>
    <row r="632" spans="1:12" ht="100.8" hidden="1" x14ac:dyDescent="0.3">
      <c r="A632" s="5">
        <v>18709911</v>
      </c>
      <c r="B632" s="6" t="s">
        <v>74</v>
      </c>
      <c r="C632" s="6" t="s">
        <v>159</v>
      </c>
      <c r="D632" s="8" t="s">
        <v>89</v>
      </c>
      <c r="E632" s="6" t="s">
        <v>2472</v>
      </c>
      <c r="F632" s="6" t="s">
        <v>95</v>
      </c>
      <c r="G632" s="11" t="s">
        <v>56</v>
      </c>
      <c r="H632" s="11"/>
      <c r="I632" s="10" t="s">
        <v>2473</v>
      </c>
      <c r="J632" s="6" t="s">
        <v>2474</v>
      </c>
      <c r="K632" s="12">
        <v>46121.439641203702</v>
      </c>
      <c r="L632" s="6" t="e" cm="1">
        <f t="array" ref="L632">LOOKUP(2^15,SEARCH(Tabela2[Palavras-Chave],Boletim4[[#This Row],[Objeto]],1),Tabela2[Palavras-Chave])</f>
        <v>#N/A</v>
      </c>
    </row>
    <row r="633" spans="1:12" ht="100.8" hidden="1" x14ac:dyDescent="0.3">
      <c r="A633" s="5">
        <v>18715352</v>
      </c>
      <c r="B633" s="6" t="s">
        <v>74</v>
      </c>
      <c r="C633" s="6" t="s">
        <v>159</v>
      </c>
      <c r="D633" s="8" t="s">
        <v>89</v>
      </c>
      <c r="E633" s="6" t="s">
        <v>2475</v>
      </c>
      <c r="F633" s="6" t="s">
        <v>95</v>
      </c>
      <c r="G633" s="11" t="s">
        <v>56</v>
      </c>
      <c r="H633" s="11"/>
      <c r="I633" s="10" t="s">
        <v>2476</v>
      </c>
      <c r="J633" s="6" t="s">
        <v>2477</v>
      </c>
      <c r="K633" s="12">
        <v>46121.439687500002</v>
      </c>
      <c r="L633" s="6" t="e" cm="1">
        <f t="array" ref="L633">LOOKUP(2^15,SEARCH(Tabela2[Palavras-Chave],Boletim4[[#This Row],[Objeto]],1),Tabela2[Palavras-Chave])</f>
        <v>#N/A</v>
      </c>
    </row>
    <row r="634" spans="1:12" ht="57.6" hidden="1" x14ac:dyDescent="0.3">
      <c r="A634" s="5">
        <v>18787853</v>
      </c>
      <c r="B634" s="6" t="s">
        <v>2488</v>
      </c>
      <c r="C634" s="6" t="s">
        <v>2489</v>
      </c>
      <c r="D634" s="8" t="s">
        <v>89</v>
      </c>
      <c r="E634" s="6" t="s">
        <v>108</v>
      </c>
      <c r="F634" s="6" t="s">
        <v>95</v>
      </c>
      <c r="G634" s="11">
        <v>46140.395833333336</v>
      </c>
      <c r="H634" s="11"/>
      <c r="I634" s="10" t="s">
        <v>2490</v>
      </c>
      <c r="J634" s="6" t="s">
        <v>2491</v>
      </c>
      <c r="K634" s="12">
        <v>46121.46665509259</v>
      </c>
      <c r="L634" s="6" t="e" cm="1">
        <f t="array" ref="L634">LOOKUP(2^15,SEARCH(Tabela2[Palavras-Chave],Boletim4[[#This Row],[Objeto]],1),Tabela2[Palavras-Chave])</f>
        <v>#N/A</v>
      </c>
    </row>
    <row r="635" spans="1:12" ht="100.8" hidden="1" x14ac:dyDescent="0.3">
      <c r="A635" s="5">
        <v>18709912</v>
      </c>
      <c r="B635" s="6" t="s">
        <v>74</v>
      </c>
      <c r="C635" s="6" t="s">
        <v>65</v>
      </c>
      <c r="D635" s="8" t="s">
        <v>66</v>
      </c>
      <c r="E635" s="6" t="s">
        <v>2472</v>
      </c>
      <c r="F635" s="6" t="s">
        <v>95</v>
      </c>
      <c r="G635" s="11" t="s">
        <v>56</v>
      </c>
      <c r="H635" s="11"/>
      <c r="I635" s="10" t="s">
        <v>2473</v>
      </c>
      <c r="J635" s="6" t="s">
        <v>2474</v>
      </c>
      <c r="K635" s="12">
        <v>46121.439641203702</v>
      </c>
      <c r="L635" s="6" t="e" cm="1">
        <f t="array" ref="L635">LOOKUP(2^15,SEARCH(Tabela2[Palavras-Chave],Boletim4[[#This Row],[Objeto]],1),Tabela2[Palavras-Chave])</f>
        <v>#N/A</v>
      </c>
    </row>
    <row r="636" spans="1:12" ht="100.8" hidden="1" x14ac:dyDescent="0.3">
      <c r="A636" s="5">
        <v>18715353</v>
      </c>
      <c r="B636" s="6" t="s">
        <v>74</v>
      </c>
      <c r="C636" s="6" t="s">
        <v>65</v>
      </c>
      <c r="D636" s="8" t="s">
        <v>66</v>
      </c>
      <c r="E636" s="6" t="s">
        <v>2475</v>
      </c>
      <c r="F636" s="6" t="s">
        <v>95</v>
      </c>
      <c r="G636" s="11" t="s">
        <v>56</v>
      </c>
      <c r="H636" s="11"/>
      <c r="I636" s="10" t="s">
        <v>2476</v>
      </c>
      <c r="J636" s="6" t="s">
        <v>2477</v>
      </c>
      <c r="K636" s="12">
        <v>46121.439687500002</v>
      </c>
      <c r="L636" s="6" t="e" cm="1">
        <f t="array" ref="L636">LOOKUP(2^15,SEARCH(Tabela2[Palavras-Chave],Boletim4[[#This Row],[Objeto]],1),Tabela2[Palavras-Chave])</f>
        <v>#N/A</v>
      </c>
    </row>
    <row r="637" spans="1:12" ht="72" hidden="1" x14ac:dyDescent="0.3">
      <c r="A637" s="5">
        <v>18790076</v>
      </c>
      <c r="B637" s="6" t="s">
        <v>74</v>
      </c>
      <c r="C637" s="6" t="s">
        <v>65</v>
      </c>
      <c r="D637" s="8" t="s">
        <v>66</v>
      </c>
      <c r="E637" s="6" t="s">
        <v>2492</v>
      </c>
      <c r="F637" s="6" t="s">
        <v>95</v>
      </c>
      <c r="G637" s="11" t="s">
        <v>56</v>
      </c>
      <c r="H637" s="11"/>
      <c r="I637" s="10" t="s">
        <v>2493</v>
      </c>
      <c r="J637" s="6" t="s">
        <v>2494</v>
      </c>
      <c r="K637" s="12">
        <v>46121.441030092596</v>
      </c>
      <c r="L637" s="6" t="e" cm="1">
        <f t="array" ref="L637">LOOKUP(2^15,SEARCH(Tabela2[Palavras-Chave],Boletim4[[#This Row],[Objeto]],1),Tabela2[Palavras-Chave])</f>
        <v>#N/A</v>
      </c>
    </row>
    <row r="638" spans="1:12" ht="57.6" hidden="1" x14ac:dyDescent="0.3">
      <c r="A638" s="5">
        <v>18737944</v>
      </c>
      <c r="B638" s="6" t="s">
        <v>2495</v>
      </c>
      <c r="C638" s="6" t="s">
        <v>2496</v>
      </c>
      <c r="D638" s="8" t="s">
        <v>66</v>
      </c>
      <c r="E638" s="6" t="s">
        <v>240</v>
      </c>
      <c r="F638" s="6" t="s">
        <v>95</v>
      </c>
      <c r="G638" s="11">
        <v>46136.375</v>
      </c>
      <c r="H638" s="11"/>
      <c r="I638" s="10" t="s">
        <v>2497</v>
      </c>
      <c r="J638" s="6" t="s">
        <v>2498</v>
      </c>
      <c r="K638" s="12">
        <v>46121.511840277781</v>
      </c>
      <c r="L638" s="6" t="e" cm="1">
        <f t="array" ref="L638">LOOKUP(2^15,SEARCH(Tabela2[Palavras-Chave],Boletim4[[#This Row],[Objeto]],1),Tabela2[Palavras-Chave])</f>
        <v>#N/A</v>
      </c>
    </row>
    <row r="639" spans="1:12" ht="28.8" hidden="1" x14ac:dyDescent="0.3">
      <c r="A639" s="5">
        <v>18771818</v>
      </c>
      <c r="B639" s="6" t="s">
        <v>653</v>
      </c>
      <c r="C639" s="6" t="s">
        <v>65</v>
      </c>
      <c r="D639" s="8" t="s">
        <v>66</v>
      </c>
      <c r="E639" s="6" t="s">
        <v>2499</v>
      </c>
      <c r="F639" s="6" t="s">
        <v>95</v>
      </c>
      <c r="G639" s="11" t="s">
        <v>56</v>
      </c>
      <c r="H639" s="11"/>
      <c r="I639" s="10" t="s">
        <v>2500</v>
      </c>
      <c r="J639" s="6" t="s">
        <v>2501</v>
      </c>
      <c r="K639" s="12">
        <v>46121.51761574074</v>
      </c>
      <c r="L639" s="6" t="e" cm="1">
        <f t="array" ref="L639">LOOKUP(2^15,SEARCH(Tabela2[Palavras-Chave],Boletim4[[#This Row],[Objeto]],1),Tabela2[Palavras-Chave])</f>
        <v>#N/A</v>
      </c>
    </row>
    <row r="640" spans="1:12" ht="43.2" x14ac:dyDescent="0.3">
      <c r="A640" s="5">
        <v>18771805</v>
      </c>
      <c r="B640" s="6" t="s">
        <v>653</v>
      </c>
      <c r="C640" s="6" t="s">
        <v>65</v>
      </c>
      <c r="D640" s="8" t="s">
        <v>66</v>
      </c>
      <c r="E640" s="6" t="s">
        <v>2502</v>
      </c>
      <c r="F640" s="6" t="s">
        <v>95</v>
      </c>
      <c r="G640" s="11" t="s">
        <v>56</v>
      </c>
      <c r="H640" s="11"/>
      <c r="I640" s="10" t="s">
        <v>2503</v>
      </c>
      <c r="J640" s="6" t="s">
        <v>2504</v>
      </c>
      <c r="K640" s="12">
        <v>46121.520914351851</v>
      </c>
      <c r="L640" s="6" t="str" cm="1">
        <f t="array" ref="L640">LOOKUP(2^15,SEARCH(Tabela2[Palavras-Chave],Boletim4[[#This Row],[Objeto]],1),Tabela2[Palavras-Chave])</f>
        <v>MEDIÇÃO</v>
      </c>
    </row>
    <row r="641" spans="1:12" ht="201.6" hidden="1" x14ac:dyDescent="0.3">
      <c r="A641" s="5">
        <v>18725616</v>
      </c>
      <c r="B641" s="6" t="s">
        <v>2505</v>
      </c>
      <c r="C641" s="6" t="s">
        <v>65</v>
      </c>
      <c r="D641" s="8" t="s">
        <v>66</v>
      </c>
      <c r="E641" s="6" t="s">
        <v>140</v>
      </c>
      <c r="F641" s="6" t="s">
        <v>95</v>
      </c>
      <c r="G641" s="11" t="s">
        <v>56</v>
      </c>
      <c r="H641" s="11"/>
      <c r="I641" s="10" t="s">
        <v>2506</v>
      </c>
      <c r="J641" s="6" t="s">
        <v>2507</v>
      </c>
      <c r="K641" s="12">
        <v>46121.539641203701</v>
      </c>
      <c r="L641" s="6" t="e" cm="1">
        <f t="array" ref="L641">LOOKUP(2^15,SEARCH(Tabela2[Palavras-Chave],Boletim4[[#This Row],[Objeto]],1),Tabela2[Palavras-Chave])</f>
        <v>#N/A</v>
      </c>
    </row>
    <row r="642" spans="1:12" ht="172.8" hidden="1" x14ac:dyDescent="0.3">
      <c r="A642" s="5">
        <v>18656881</v>
      </c>
      <c r="B642" s="6" t="s">
        <v>2508</v>
      </c>
      <c r="C642" s="6" t="s">
        <v>2509</v>
      </c>
      <c r="D642" s="8" t="s">
        <v>66</v>
      </c>
      <c r="E642" s="6" t="s">
        <v>183</v>
      </c>
      <c r="F642" s="6" t="s">
        <v>95</v>
      </c>
      <c r="G642" s="11" t="s">
        <v>56</v>
      </c>
      <c r="H642" s="11"/>
      <c r="I642" s="10" t="s">
        <v>2510</v>
      </c>
      <c r="J642" s="6" t="s">
        <v>2511</v>
      </c>
      <c r="K642" s="12">
        <v>46121.540995370371</v>
      </c>
      <c r="L642" s="6" t="e" cm="1">
        <f t="array" ref="L642">LOOKUP(2^15,SEARCH(Tabela2[Palavras-Chave],Boletim4[[#This Row],[Objeto]],1),Tabela2[Palavras-Chave])</f>
        <v>#N/A</v>
      </c>
    </row>
    <row r="643" spans="1:12" ht="259.2" hidden="1" x14ac:dyDescent="0.3">
      <c r="A643" s="5">
        <v>18784341</v>
      </c>
      <c r="B643" s="6" t="s">
        <v>2512</v>
      </c>
      <c r="C643" s="6" t="s">
        <v>2513</v>
      </c>
      <c r="D643" s="8" t="s">
        <v>66</v>
      </c>
      <c r="E643" s="6" t="s">
        <v>120</v>
      </c>
      <c r="F643" s="6" t="s">
        <v>95</v>
      </c>
      <c r="G643" s="11" t="s">
        <v>56</v>
      </c>
      <c r="H643" s="11"/>
      <c r="I643" s="10" t="s">
        <v>2514</v>
      </c>
      <c r="J643" s="6" t="s">
        <v>2515</v>
      </c>
      <c r="K643" s="12">
        <v>46121.615543981483</v>
      </c>
      <c r="L643" s="6" t="e" cm="1">
        <f t="array" ref="L643">LOOKUP(2^15,SEARCH(Tabela2[Palavras-Chave],Boletim4[[#This Row],[Objeto]],1),Tabela2[Palavras-Chave])</f>
        <v>#N/A</v>
      </c>
    </row>
    <row r="644" spans="1:12" ht="57.6" hidden="1" x14ac:dyDescent="0.3">
      <c r="A644" s="5">
        <v>18754766</v>
      </c>
      <c r="B644" s="6" t="s">
        <v>1530</v>
      </c>
      <c r="C644" s="6" t="s">
        <v>1531</v>
      </c>
      <c r="D644" s="8" t="s">
        <v>66</v>
      </c>
      <c r="E644" s="6" t="s">
        <v>128</v>
      </c>
      <c r="F644" s="6" t="s">
        <v>95</v>
      </c>
      <c r="G644" s="11">
        <v>46134.375</v>
      </c>
      <c r="H644" s="11"/>
      <c r="I644" s="10" t="s">
        <v>2516</v>
      </c>
      <c r="J644" s="6" t="s">
        <v>2517</v>
      </c>
      <c r="K644" s="12">
        <v>46121.812662037039</v>
      </c>
      <c r="L644" s="6" t="e" cm="1">
        <f t="array" ref="L644">LOOKUP(2^15,SEARCH(Tabela2[Palavras-Chave],Boletim4[[#This Row],[Objeto]],1),Tabela2[Palavras-Chave])</f>
        <v>#N/A</v>
      </c>
    </row>
    <row r="645" spans="1:12" ht="259.2" x14ac:dyDescent="0.3">
      <c r="A645" s="5">
        <v>18744377</v>
      </c>
      <c r="B645" s="6" t="s">
        <v>1652</v>
      </c>
      <c r="C645" s="6" t="s">
        <v>1653</v>
      </c>
      <c r="D645" s="8" t="s">
        <v>66</v>
      </c>
      <c r="E645" s="6" t="s">
        <v>109</v>
      </c>
      <c r="F645" s="6" t="s">
        <v>95</v>
      </c>
      <c r="G645" s="11" t="s">
        <v>56</v>
      </c>
      <c r="H645" s="11"/>
      <c r="I645" s="10" t="s">
        <v>2518</v>
      </c>
      <c r="J645" s="6" t="s">
        <v>2519</v>
      </c>
      <c r="K645" s="12">
        <v>46121.812974537039</v>
      </c>
      <c r="L645" s="6" t="str" cm="1">
        <f t="array" ref="L645">LOOKUP(2^15,SEARCH(Tabela2[Palavras-Chave],Boletim4[[#This Row],[Objeto]],1),Tabela2[Palavras-Chave])</f>
        <v>RESERVAT</v>
      </c>
    </row>
    <row r="646" spans="1:12" ht="100.8" hidden="1" x14ac:dyDescent="0.3">
      <c r="A646" s="5">
        <v>18781259</v>
      </c>
      <c r="B646" s="6" t="s">
        <v>2520</v>
      </c>
      <c r="C646" s="6" t="s">
        <v>2521</v>
      </c>
      <c r="D646" s="8" t="s">
        <v>66</v>
      </c>
      <c r="E646" s="6" t="s">
        <v>115</v>
      </c>
      <c r="F646" s="6" t="s">
        <v>95</v>
      </c>
      <c r="G646" s="11" t="s">
        <v>56</v>
      </c>
      <c r="H646" s="11"/>
      <c r="I646" s="10" t="s">
        <v>2522</v>
      </c>
      <c r="J646" s="6" t="s">
        <v>2523</v>
      </c>
      <c r="K646" s="12">
        <v>46121.816030092596</v>
      </c>
      <c r="L646" s="6" t="e" cm="1">
        <f t="array" ref="L646">LOOKUP(2^15,SEARCH(Tabela2[Palavras-Chave],Boletim4[[#This Row],[Objeto]],1),Tabela2[Palavras-Chave])</f>
        <v>#N/A</v>
      </c>
    </row>
    <row r="647" spans="1:12" ht="273.60000000000002" hidden="1" x14ac:dyDescent="0.3">
      <c r="A647" s="5">
        <v>18673635</v>
      </c>
      <c r="B647" s="6" t="s">
        <v>2524</v>
      </c>
      <c r="C647" s="6" t="s">
        <v>2525</v>
      </c>
      <c r="D647" s="8" t="s">
        <v>66</v>
      </c>
      <c r="E647" s="6" t="s">
        <v>117</v>
      </c>
      <c r="F647" s="6" t="s">
        <v>95</v>
      </c>
      <c r="G647" s="11" t="s">
        <v>56</v>
      </c>
      <c r="H647" s="11"/>
      <c r="I647" s="10" t="s">
        <v>2526</v>
      </c>
      <c r="J647" s="6" t="s">
        <v>2527</v>
      </c>
      <c r="K647" s="12">
        <v>46121.856446759259</v>
      </c>
      <c r="L647" s="6" t="e" cm="1">
        <f t="array" ref="L647">LOOKUP(2^15,SEARCH(Tabela2[Palavras-Chave],Boletim4[[#This Row],[Objeto]],1),Tabela2[Palavras-Chave])</f>
        <v>#N/A</v>
      </c>
    </row>
    <row r="648" spans="1:12" ht="100.8" hidden="1" x14ac:dyDescent="0.3">
      <c r="A648" s="5">
        <v>18709913</v>
      </c>
      <c r="B648" s="6" t="s">
        <v>74</v>
      </c>
      <c r="C648" s="6" t="s">
        <v>123</v>
      </c>
      <c r="D648" s="8" t="s">
        <v>67</v>
      </c>
      <c r="E648" s="6" t="s">
        <v>2472</v>
      </c>
      <c r="F648" s="6" t="s">
        <v>95</v>
      </c>
      <c r="G648" s="11" t="s">
        <v>56</v>
      </c>
      <c r="H648" s="11"/>
      <c r="I648" s="10" t="s">
        <v>2473</v>
      </c>
      <c r="J648" s="6" t="s">
        <v>2474</v>
      </c>
      <c r="K648" s="12">
        <v>46121.439641203702</v>
      </c>
      <c r="L648" s="6" t="e" cm="1">
        <f t="array" ref="L648">LOOKUP(2^15,SEARCH(Tabela2[Palavras-Chave],Boletim4[[#This Row],[Objeto]],1),Tabela2[Palavras-Chave])</f>
        <v>#N/A</v>
      </c>
    </row>
    <row r="649" spans="1:12" ht="100.8" hidden="1" x14ac:dyDescent="0.3">
      <c r="A649" s="5">
        <v>18715354</v>
      </c>
      <c r="B649" s="6" t="s">
        <v>74</v>
      </c>
      <c r="C649" s="6" t="s">
        <v>123</v>
      </c>
      <c r="D649" s="8" t="s">
        <v>67</v>
      </c>
      <c r="E649" s="6" t="s">
        <v>2475</v>
      </c>
      <c r="F649" s="6" t="s">
        <v>95</v>
      </c>
      <c r="G649" s="11" t="s">
        <v>56</v>
      </c>
      <c r="H649" s="11"/>
      <c r="I649" s="10" t="s">
        <v>2476</v>
      </c>
      <c r="J649" s="6" t="s">
        <v>2477</v>
      </c>
      <c r="K649" s="12">
        <v>46121.439699074072</v>
      </c>
      <c r="L649" s="6" t="e" cm="1">
        <f t="array" ref="L649">LOOKUP(2^15,SEARCH(Tabela2[Palavras-Chave],Boletim4[[#This Row],[Objeto]],1),Tabela2[Palavras-Chave])</f>
        <v>#N/A</v>
      </c>
    </row>
    <row r="650" spans="1:12" ht="273.60000000000002" hidden="1" x14ac:dyDescent="0.3">
      <c r="A650" s="5">
        <v>18787876</v>
      </c>
      <c r="B650" s="6" t="s">
        <v>2528</v>
      </c>
      <c r="C650" s="6" t="s">
        <v>2529</v>
      </c>
      <c r="D650" s="8" t="s">
        <v>67</v>
      </c>
      <c r="E650" s="6" t="s">
        <v>114</v>
      </c>
      <c r="F650" s="6" t="s">
        <v>95</v>
      </c>
      <c r="G650" s="11" t="s">
        <v>56</v>
      </c>
      <c r="H650" s="11"/>
      <c r="I650" s="10" t="s">
        <v>2530</v>
      </c>
      <c r="J650" s="6" t="s">
        <v>2531</v>
      </c>
      <c r="K650" s="12">
        <v>46121.841006944444</v>
      </c>
      <c r="L650" s="6" t="e" cm="1">
        <f t="array" ref="L650">LOOKUP(2^15,SEARCH(Tabela2[Palavras-Chave],Boletim4[[#This Row],[Objeto]],1),Tabela2[Palavras-Chave])</f>
        <v>#N/A</v>
      </c>
    </row>
    <row r="651" spans="1:12" ht="100.8" hidden="1" x14ac:dyDescent="0.3">
      <c r="A651" s="5">
        <v>18715355</v>
      </c>
      <c r="B651" s="6" t="s">
        <v>74</v>
      </c>
      <c r="C651" s="6" t="s">
        <v>111</v>
      </c>
      <c r="D651" s="8" t="s">
        <v>91</v>
      </c>
      <c r="E651" s="6" t="s">
        <v>2475</v>
      </c>
      <c r="F651" s="6" t="s">
        <v>95</v>
      </c>
      <c r="G651" s="11" t="s">
        <v>56</v>
      </c>
      <c r="H651" s="11"/>
      <c r="I651" s="10" t="s">
        <v>2476</v>
      </c>
      <c r="J651" s="6" t="s">
        <v>2477</v>
      </c>
      <c r="K651" s="12">
        <v>46121.439699074072</v>
      </c>
      <c r="L651" s="6" t="e" cm="1">
        <f t="array" ref="L651">LOOKUP(2^15,SEARCH(Tabela2[Palavras-Chave],Boletim4[[#This Row],[Objeto]],1),Tabela2[Palavras-Chave])</f>
        <v>#N/A</v>
      </c>
    </row>
    <row r="652" spans="1:12" ht="100.8" hidden="1" x14ac:dyDescent="0.3">
      <c r="A652" s="5">
        <v>18709916</v>
      </c>
      <c r="B652" s="6" t="s">
        <v>74</v>
      </c>
      <c r="C652" s="6" t="s">
        <v>130</v>
      </c>
      <c r="D652" s="8" t="s">
        <v>68</v>
      </c>
      <c r="E652" s="6" t="s">
        <v>2472</v>
      </c>
      <c r="F652" s="6" t="s">
        <v>95</v>
      </c>
      <c r="G652" s="11" t="s">
        <v>56</v>
      </c>
      <c r="H652" s="11"/>
      <c r="I652" s="10" t="s">
        <v>2473</v>
      </c>
      <c r="J652" s="6" t="s">
        <v>2474</v>
      </c>
      <c r="K652" s="12">
        <v>46121.439652777779</v>
      </c>
      <c r="L652" s="6" t="e" cm="1">
        <f t="array" ref="L652">LOOKUP(2^15,SEARCH(Tabela2[Palavras-Chave],Boletim4[[#This Row],[Objeto]],1),Tabela2[Palavras-Chave])</f>
        <v>#N/A</v>
      </c>
    </row>
    <row r="653" spans="1:12" ht="100.8" hidden="1" x14ac:dyDescent="0.3">
      <c r="A653" s="5">
        <v>18715356</v>
      </c>
      <c r="B653" s="6" t="s">
        <v>74</v>
      </c>
      <c r="C653" s="6" t="s">
        <v>130</v>
      </c>
      <c r="D653" s="8" t="s">
        <v>68</v>
      </c>
      <c r="E653" s="6" t="s">
        <v>2475</v>
      </c>
      <c r="F653" s="6" t="s">
        <v>95</v>
      </c>
      <c r="G653" s="11" t="s">
        <v>56</v>
      </c>
      <c r="H653" s="11"/>
      <c r="I653" s="10" t="s">
        <v>2476</v>
      </c>
      <c r="J653" s="6" t="s">
        <v>2477</v>
      </c>
      <c r="K653" s="12">
        <v>46121.439699074072</v>
      </c>
      <c r="L653" s="6" t="e" cm="1">
        <f t="array" ref="L653">LOOKUP(2^15,SEARCH(Tabela2[Palavras-Chave],Boletim4[[#This Row],[Objeto]],1),Tabela2[Palavras-Chave])</f>
        <v>#N/A</v>
      </c>
    </row>
    <row r="654" spans="1:12" ht="158.4" hidden="1" x14ac:dyDescent="0.3">
      <c r="A654" s="5">
        <v>18097280</v>
      </c>
      <c r="B654" s="6" t="s">
        <v>1079</v>
      </c>
      <c r="C654" s="6" t="s">
        <v>130</v>
      </c>
      <c r="D654" s="8" t="s">
        <v>68</v>
      </c>
      <c r="E654" s="6" t="s">
        <v>2532</v>
      </c>
      <c r="F654" s="6" t="s">
        <v>95</v>
      </c>
      <c r="G654" s="11" t="s">
        <v>56</v>
      </c>
      <c r="H654" s="11"/>
      <c r="I654" s="10" t="s">
        <v>2533</v>
      </c>
      <c r="J654" s="6" t="s">
        <v>2534</v>
      </c>
      <c r="K654" s="12">
        <v>46121.54184027778</v>
      </c>
      <c r="L654" s="6" t="e" cm="1">
        <f t="array" ref="L654">LOOKUP(2^15,SEARCH(Tabela2[Palavras-Chave],Boletim4[[#This Row],[Objeto]],1),Tabela2[Palavras-Chave])</f>
        <v>#N/A</v>
      </c>
    </row>
    <row r="655" spans="1:12" ht="129.6" hidden="1" x14ac:dyDescent="0.3">
      <c r="A655" s="5">
        <v>18790141</v>
      </c>
      <c r="B655" s="6" t="s">
        <v>2535</v>
      </c>
      <c r="C655" s="6" t="s">
        <v>2536</v>
      </c>
      <c r="D655" s="8" t="s">
        <v>68</v>
      </c>
      <c r="E655" s="6" t="s">
        <v>183</v>
      </c>
      <c r="F655" s="6" t="s">
        <v>95</v>
      </c>
      <c r="G655" s="11" t="s">
        <v>56</v>
      </c>
      <c r="H655" s="11"/>
      <c r="I655" s="10" t="s">
        <v>2537</v>
      </c>
      <c r="J655" s="6" t="s">
        <v>2538</v>
      </c>
      <c r="K655" s="12">
        <v>46121.542291666665</v>
      </c>
      <c r="L655" s="6" t="e" cm="1">
        <f t="array" ref="L655">LOOKUP(2^15,SEARCH(Tabela2[Palavras-Chave],Boletim4[[#This Row],[Objeto]],1),Tabela2[Palavras-Chave])</f>
        <v>#N/A</v>
      </c>
    </row>
    <row r="656" spans="1:12" ht="43.2" hidden="1" x14ac:dyDescent="0.3">
      <c r="A656" s="5">
        <v>18797225</v>
      </c>
      <c r="B656" s="6" t="s">
        <v>2539</v>
      </c>
      <c r="C656" s="6" t="s">
        <v>2540</v>
      </c>
      <c r="D656" s="8" t="s">
        <v>68</v>
      </c>
      <c r="E656" s="6" t="s">
        <v>2541</v>
      </c>
      <c r="F656" s="6" t="s">
        <v>95</v>
      </c>
      <c r="G656" s="11">
        <v>46134.416666666664</v>
      </c>
      <c r="H656" s="11"/>
      <c r="I656" s="10" t="s">
        <v>2542</v>
      </c>
      <c r="J656" s="6" t="s">
        <v>2543</v>
      </c>
      <c r="K656" s="12">
        <v>46121.715636574074</v>
      </c>
      <c r="L656" s="6" t="e" cm="1">
        <f t="array" ref="L656">LOOKUP(2^15,SEARCH(Tabela2[Palavras-Chave],Boletim4[[#This Row],[Objeto]],1),Tabela2[Palavras-Chave])</f>
        <v>#N/A</v>
      </c>
    </row>
    <row r="657" spans="1:12" ht="115.2" hidden="1" x14ac:dyDescent="0.3">
      <c r="A657" s="5">
        <v>18760083</v>
      </c>
      <c r="B657" s="6" t="s">
        <v>2544</v>
      </c>
      <c r="C657" s="6" t="s">
        <v>2545</v>
      </c>
      <c r="D657" s="8" t="s">
        <v>68</v>
      </c>
      <c r="E657" s="6" t="s">
        <v>390</v>
      </c>
      <c r="F657" s="6" t="s">
        <v>95</v>
      </c>
      <c r="G657" s="11">
        <v>46135.354166666664</v>
      </c>
      <c r="H657" s="11"/>
      <c r="I657" s="10" t="s">
        <v>2546</v>
      </c>
      <c r="J657" s="6" t="s">
        <v>2547</v>
      </c>
      <c r="K657" s="12">
        <v>46121.856990740744</v>
      </c>
      <c r="L657" s="6" t="e" cm="1">
        <f t="array" ref="L657">LOOKUP(2^15,SEARCH(Tabela2[Palavras-Chave],Boletim4[[#This Row],[Objeto]],1),Tabela2[Palavras-Chave])</f>
        <v>#N/A</v>
      </c>
    </row>
    <row r="658" spans="1:12" ht="100.8" hidden="1" x14ac:dyDescent="0.3">
      <c r="A658" s="5">
        <v>18709918</v>
      </c>
      <c r="B658" s="6" t="s">
        <v>74</v>
      </c>
      <c r="C658" s="6" t="s">
        <v>100</v>
      </c>
      <c r="D658" s="8" t="s">
        <v>92</v>
      </c>
      <c r="E658" s="6" t="s">
        <v>2472</v>
      </c>
      <c r="F658" s="6" t="s">
        <v>95</v>
      </c>
      <c r="G658" s="11" t="s">
        <v>56</v>
      </c>
      <c r="H658" s="11"/>
      <c r="I658" s="10" t="s">
        <v>2473</v>
      </c>
      <c r="J658" s="6" t="s">
        <v>2474</v>
      </c>
      <c r="K658" s="12">
        <v>46121.439652777779</v>
      </c>
      <c r="L658" s="6" t="e" cm="1">
        <f t="array" ref="L658">LOOKUP(2^15,SEARCH(Tabela2[Palavras-Chave],Boletim4[[#This Row],[Objeto]],1),Tabela2[Palavras-Chave])</f>
        <v>#N/A</v>
      </c>
    </row>
    <row r="659" spans="1:12" ht="100.8" hidden="1" x14ac:dyDescent="0.3">
      <c r="A659" s="5">
        <v>18715357</v>
      </c>
      <c r="B659" s="6" t="s">
        <v>74</v>
      </c>
      <c r="C659" s="6" t="s">
        <v>100</v>
      </c>
      <c r="D659" s="8" t="s">
        <v>92</v>
      </c>
      <c r="E659" s="6" t="s">
        <v>2475</v>
      </c>
      <c r="F659" s="6" t="s">
        <v>95</v>
      </c>
      <c r="G659" s="11" t="s">
        <v>56</v>
      </c>
      <c r="H659" s="11"/>
      <c r="I659" s="10" t="s">
        <v>2476</v>
      </c>
      <c r="J659" s="6" t="s">
        <v>2477</v>
      </c>
      <c r="K659" s="12">
        <v>46121.439699074072</v>
      </c>
      <c r="L659" s="6" t="e" cm="1">
        <f t="array" ref="L659">LOOKUP(2^15,SEARCH(Tabela2[Palavras-Chave],Boletim4[[#This Row],[Objeto]],1),Tabela2[Palavras-Chave])</f>
        <v>#N/A</v>
      </c>
    </row>
    <row r="660" spans="1:12" ht="115.2" hidden="1" x14ac:dyDescent="0.3">
      <c r="A660" s="5">
        <v>18755214</v>
      </c>
      <c r="B660" s="6" t="s">
        <v>2548</v>
      </c>
      <c r="C660" s="6" t="s">
        <v>2549</v>
      </c>
      <c r="D660" s="8" t="s">
        <v>92</v>
      </c>
      <c r="E660" s="6" t="s">
        <v>122</v>
      </c>
      <c r="F660" s="6" t="s">
        <v>95</v>
      </c>
      <c r="G660" s="11">
        <v>46128.457638888889</v>
      </c>
      <c r="H660" s="11"/>
      <c r="I660" s="10" t="s">
        <v>2550</v>
      </c>
      <c r="J660" s="6" t="s">
        <v>2551</v>
      </c>
      <c r="K660" s="12">
        <v>46121.661157407405</v>
      </c>
      <c r="L660" s="6" t="e" cm="1">
        <f t="array" ref="L660">LOOKUP(2^15,SEARCH(Tabela2[Palavras-Chave],Boletim4[[#This Row],[Objeto]],1),Tabela2[Palavras-Chave])</f>
        <v>#N/A</v>
      </c>
    </row>
    <row r="661" spans="1:12" ht="100.8" hidden="1" x14ac:dyDescent="0.3">
      <c r="A661" s="5">
        <v>18709919</v>
      </c>
      <c r="B661" s="6" t="s">
        <v>74</v>
      </c>
      <c r="C661" s="6" t="s">
        <v>69</v>
      </c>
      <c r="D661" s="8" t="s">
        <v>70</v>
      </c>
      <c r="E661" s="6" t="s">
        <v>2472</v>
      </c>
      <c r="F661" s="6" t="s">
        <v>95</v>
      </c>
      <c r="G661" s="11" t="s">
        <v>56</v>
      </c>
      <c r="H661" s="11"/>
      <c r="I661" s="10" t="s">
        <v>2473</v>
      </c>
      <c r="J661" s="6" t="s">
        <v>2474</v>
      </c>
      <c r="K661" s="12">
        <v>46121.439652777779</v>
      </c>
      <c r="L661" s="6" t="e" cm="1">
        <f t="array" ref="L661">LOOKUP(2^15,SEARCH(Tabela2[Palavras-Chave],Boletim4[[#This Row],[Objeto]],1),Tabela2[Palavras-Chave])</f>
        <v>#N/A</v>
      </c>
    </row>
    <row r="662" spans="1:12" ht="100.8" hidden="1" x14ac:dyDescent="0.3">
      <c r="A662" s="5">
        <v>18715358</v>
      </c>
      <c r="B662" s="6" t="s">
        <v>74</v>
      </c>
      <c r="C662" s="6" t="s">
        <v>69</v>
      </c>
      <c r="D662" s="8" t="s">
        <v>70</v>
      </c>
      <c r="E662" s="6" t="s">
        <v>2475</v>
      </c>
      <c r="F662" s="6" t="s">
        <v>95</v>
      </c>
      <c r="G662" s="11" t="s">
        <v>56</v>
      </c>
      <c r="H662" s="11"/>
      <c r="I662" s="10" t="s">
        <v>2476</v>
      </c>
      <c r="J662" s="6" t="s">
        <v>2477</v>
      </c>
      <c r="K662" s="12">
        <v>46121.439699074072</v>
      </c>
      <c r="L662" s="6" t="e" cm="1">
        <f t="array" ref="L662">LOOKUP(2^15,SEARCH(Tabela2[Palavras-Chave],Boletim4[[#This Row],[Objeto]],1),Tabela2[Palavras-Chave])</f>
        <v>#N/A</v>
      </c>
    </row>
    <row r="663" spans="1:12" ht="72" x14ac:dyDescent="0.3">
      <c r="A663" s="13">
        <v>18770020</v>
      </c>
      <c r="B663" s="10" t="s">
        <v>74</v>
      </c>
      <c r="C663" s="10" t="s">
        <v>69</v>
      </c>
      <c r="D663" s="15" t="s">
        <v>70</v>
      </c>
      <c r="E663" s="10" t="s">
        <v>2552</v>
      </c>
      <c r="F663" s="10" t="s">
        <v>95</v>
      </c>
      <c r="G663" s="16" t="s">
        <v>56</v>
      </c>
      <c r="H663" s="16"/>
      <c r="I663" s="10" t="s">
        <v>2553</v>
      </c>
      <c r="J663" s="10" t="s">
        <v>2554</v>
      </c>
      <c r="K663" s="17">
        <v>46121.440335648149</v>
      </c>
      <c r="L663" s="6" t="str" cm="1">
        <f t="array" ref="L663">LOOKUP(2^15,SEARCH(Tabela2[Palavras-Chave],Boletim4[[#This Row],[Objeto]],1),Tabela2[Palavras-Chave])</f>
        <v>abraçadeira</v>
      </c>
    </row>
    <row r="664" spans="1:12" ht="72" hidden="1" x14ac:dyDescent="0.3">
      <c r="A664" s="5">
        <v>18790077</v>
      </c>
      <c r="B664" s="6" t="s">
        <v>74</v>
      </c>
      <c r="C664" s="6" t="s">
        <v>69</v>
      </c>
      <c r="D664" s="8" t="s">
        <v>70</v>
      </c>
      <c r="E664" s="6" t="s">
        <v>2492</v>
      </c>
      <c r="F664" s="6" t="s">
        <v>95</v>
      </c>
      <c r="G664" s="11" t="s">
        <v>56</v>
      </c>
      <c r="H664" s="11"/>
      <c r="I664" s="10" t="s">
        <v>2493</v>
      </c>
      <c r="J664" s="6" t="s">
        <v>2494</v>
      </c>
      <c r="K664" s="12">
        <v>46121.441030092596</v>
      </c>
      <c r="L664" s="6" t="e" cm="1">
        <f t="array" ref="L664">LOOKUP(2^15,SEARCH(Tabela2[Palavras-Chave],Boletim4[[#This Row],[Objeto]],1),Tabela2[Palavras-Chave])</f>
        <v>#N/A</v>
      </c>
    </row>
    <row r="665" spans="1:12" ht="100.8" hidden="1" x14ac:dyDescent="0.3">
      <c r="A665" s="5">
        <v>18709920</v>
      </c>
      <c r="B665" s="6" t="s">
        <v>74</v>
      </c>
      <c r="C665" s="6" t="s">
        <v>133</v>
      </c>
      <c r="D665" s="8" t="s">
        <v>71</v>
      </c>
      <c r="E665" s="6" t="s">
        <v>2472</v>
      </c>
      <c r="F665" s="6" t="s">
        <v>95</v>
      </c>
      <c r="G665" s="11" t="s">
        <v>56</v>
      </c>
      <c r="H665" s="11"/>
      <c r="I665" s="10" t="s">
        <v>2473</v>
      </c>
      <c r="J665" s="6" t="s">
        <v>2474</v>
      </c>
      <c r="K665" s="12">
        <v>46121.439652777779</v>
      </c>
      <c r="L665" s="6" t="e" cm="1">
        <f t="array" ref="L665">LOOKUP(2^15,SEARCH(Tabela2[Palavras-Chave],Boletim4[[#This Row],[Objeto]],1),Tabela2[Palavras-Chave])</f>
        <v>#N/A</v>
      </c>
    </row>
    <row r="666" spans="1:12" ht="100.8" hidden="1" x14ac:dyDescent="0.3">
      <c r="A666" s="13">
        <v>18715359</v>
      </c>
      <c r="B666" s="10" t="s">
        <v>74</v>
      </c>
      <c r="C666" s="10" t="s">
        <v>133</v>
      </c>
      <c r="D666" s="15" t="s">
        <v>71</v>
      </c>
      <c r="E666" s="10" t="s">
        <v>2475</v>
      </c>
      <c r="F666" s="10" t="s">
        <v>95</v>
      </c>
      <c r="G666" s="16" t="s">
        <v>56</v>
      </c>
      <c r="H666" s="16"/>
      <c r="I666" s="10" t="s">
        <v>2476</v>
      </c>
      <c r="J666" s="10" t="s">
        <v>2477</v>
      </c>
      <c r="K666" s="17">
        <v>46121.439699074072</v>
      </c>
      <c r="L666" s="6" t="e" cm="1">
        <f t="array" ref="L666">LOOKUP(2^15,SEARCH(Tabela2[Palavras-Chave],Boletim4[[#This Row],[Objeto]],1),Tabela2[Palavras-Chave])</f>
        <v>#N/A</v>
      </c>
    </row>
    <row r="667" spans="1:12" ht="57.6" hidden="1" x14ac:dyDescent="0.3">
      <c r="A667" s="5">
        <v>18800925</v>
      </c>
      <c r="B667" s="6" t="s">
        <v>2555</v>
      </c>
      <c r="C667" s="6" t="s">
        <v>2556</v>
      </c>
      <c r="D667" s="8" t="s">
        <v>71</v>
      </c>
      <c r="E667" s="6" t="s">
        <v>149</v>
      </c>
      <c r="F667" s="6" t="s">
        <v>95</v>
      </c>
      <c r="G667" s="11">
        <v>46134.334027777775</v>
      </c>
      <c r="H667" s="11"/>
      <c r="I667" s="10" t="s">
        <v>2557</v>
      </c>
      <c r="J667" s="6" t="s">
        <v>178</v>
      </c>
      <c r="K667" s="12">
        <v>46121.514548611114</v>
      </c>
      <c r="L667" s="6" t="e" cm="1">
        <f t="array" ref="L667">LOOKUP(2^15,SEARCH(Tabela2[Palavras-Chave],Boletim4[[#This Row],[Objeto]],1),Tabela2[Palavras-Chave])</f>
        <v>#N/A</v>
      </c>
    </row>
    <row r="668" spans="1:12" ht="100.8" hidden="1" x14ac:dyDescent="0.3">
      <c r="A668" s="5">
        <v>18709922</v>
      </c>
      <c r="B668" s="6" t="s">
        <v>74</v>
      </c>
      <c r="C668" s="6" t="s">
        <v>73</v>
      </c>
      <c r="D668" s="8" t="s">
        <v>72</v>
      </c>
      <c r="E668" s="6" t="s">
        <v>2472</v>
      </c>
      <c r="F668" s="6" t="s">
        <v>95</v>
      </c>
      <c r="G668" s="11" t="s">
        <v>56</v>
      </c>
      <c r="H668" s="11"/>
      <c r="I668" s="10" t="s">
        <v>2473</v>
      </c>
      <c r="J668" s="6" t="s">
        <v>2474</v>
      </c>
      <c r="K668" s="12">
        <v>46121.439652777779</v>
      </c>
      <c r="L668" s="6" t="e" cm="1">
        <f t="array" ref="L668">LOOKUP(2^15,SEARCH(Tabela2[Palavras-Chave],Boletim4[[#This Row],[Objeto]],1),Tabela2[Palavras-Chave])</f>
        <v>#N/A</v>
      </c>
    </row>
    <row r="669" spans="1:12" ht="100.8" hidden="1" x14ac:dyDescent="0.3">
      <c r="A669" s="5">
        <v>18715360</v>
      </c>
      <c r="B669" s="6" t="s">
        <v>74</v>
      </c>
      <c r="C669" s="6" t="s">
        <v>73</v>
      </c>
      <c r="D669" s="8" t="s">
        <v>72</v>
      </c>
      <c r="E669" s="6" t="s">
        <v>2475</v>
      </c>
      <c r="F669" s="6" t="s">
        <v>95</v>
      </c>
      <c r="G669" s="11" t="s">
        <v>56</v>
      </c>
      <c r="H669" s="11"/>
      <c r="I669" s="10" t="s">
        <v>2476</v>
      </c>
      <c r="J669" s="6" t="s">
        <v>2477</v>
      </c>
      <c r="K669" s="12">
        <v>46121.439710648148</v>
      </c>
      <c r="L669" s="6" t="e" cm="1">
        <f t="array" ref="L669">LOOKUP(2^15,SEARCH(Tabela2[Palavras-Chave],Boletim4[[#This Row],[Objeto]],1),Tabela2[Palavras-Chave])</f>
        <v>#N/A</v>
      </c>
    </row>
    <row r="670" spans="1:12" ht="72" hidden="1" x14ac:dyDescent="0.3">
      <c r="A670" s="5">
        <v>18775078</v>
      </c>
      <c r="B670" s="6" t="s">
        <v>74</v>
      </c>
      <c r="C670" s="6" t="s">
        <v>73</v>
      </c>
      <c r="D670" s="8" t="s">
        <v>72</v>
      </c>
      <c r="E670" s="6" t="s">
        <v>2558</v>
      </c>
      <c r="F670" s="6" t="s">
        <v>95</v>
      </c>
      <c r="G670" s="11" t="s">
        <v>56</v>
      </c>
      <c r="H670" s="11"/>
      <c r="I670" s="10" t="s">
        <v>2559</v>
      </c>
      <c r="J670" s="6" t="s">
        <v>2560</v>
      </c>
      <c r="K670" s="12">
        <v>46121.440347222226</v>
      </c>
      <c r="L670" s="6" t="e" cm="1">
        <f t="array" ref="L670">LOOKUP(2^15,SEARCH(Tabela2[Palavras-Chave],Boletim4[[#This Row],[Objeto]],1),Tabela2[Palavras-Chave])</f>
        <v>#N/A</v>
      </c>
    </row>
    <row r="671" spans="1:12" ht="72" hidden="1" x14ac:dyDescent="0.3">
      <c r="A671" s="5">
        <v>18790078</v>
      </c>
      <c r="B671" s="6" t="s">
        <v>74</v>
      </c>
      <c r="C671" s="6" t="s">
        <v>73</v>
      </c>
      <c r="D671" s="8" t="s">
        <v>72</v>
      </c>
      <c r="E671" s="6" t="s">
        <v>2492</v>
      </c>
      <c r="F671" s="6" t="s">
        <v>95</v>
      </c>
      <c r="G671" s="11" t="s">
        <v>56</v>
      </c>
      <c r="H671" s="11"/>
      <c r="I671" s="10" t="s">
        <v>2493</v>
      </c>
      <c r="J671" s="6" t="s">
        <v>2494</v>
      </c>
      <c r="K671" s="12">
        <v>46121.441030092596</v>
      </c>
      <c r="L671" s="6" t="e" cm="1">
        <f t="array" ref="L671">LOOKUP(2^15,SEARCH(Tabela2[Palavras-Chave],Boletim4[[#This Row],[Objeto]],1),Tabela2[Palavras-Chave])</f>
        <v>#N/A</v>
      </c>
    </row>
    <row r="672" spans="1:12" ht="129.6" hidden="1" x14ac:dyDescent="0.3">
      <c r="A672" s="5">
        <v>18730686</v>
      </c>
      <c r="B672" s="6" t="s">
        <v>2561</v>
      </c>
      <c r="C672" s="6" t="s">
        <v>2562</v>
      </c>
      <c r="D672" s="8" t="s">
        <v>72</v>
      </c>
      <c r="E672" s="6" t="s">
        <v>296</v>
      </c>
      <c r="F672" s="6" t="s">
        <v>95</v>
      </c>
      <c r="G672" s="11" t="s">
        <v>56</v>
      </c>
      <c r="H672" s="11"/>
      <c r="I672" s="10" t="s">
        <v>2563</v>
      </c>
      <c r="J672" s="6" t="s">
        <v>2564</v>
      </c>
      <c r="K672" s="12">
        <v>46121.538969907408</v>
      </c>
      <c r="L672" s="6" t="e" cm="1">
        <f t="array" ref="L672">LOOKUP(2^15,SEARCH(Tabela2[Palavras-Chave],Boletim4[[#This Row],[Objeto]],1),Tabela2[Palavras-Chave])</f>
        <v>#N/A</v>
      </c>
    </row>
    <row r="673" spans="1:12" ht="273.60000000000002" hidden="1" x14ac:dyDescent="0.3">
      <c r="A673" s="5">
        <v>18806889</v>
      </c>
      <c r="B673" s="6" t="s">
        <v>2565</v>
      </c>
      <c r="C673" s="6" t="s">
        <v>2566</v>
      </c>
      <c r="D673" s="8" t="s">
        <v>72</v>
      </c>
      <c r="E673" s="6" t="s">
        <v>121</v>
      </c>
      <c r="F673" s="6" t="s">
        <v>95</v>
      </c>
      <c r="G673" s="11" t="s">
        <v>56</v>
      </c>
      <c r="H673" s="11"/>
      <c r="I673" s="10" t="s">
        <v>2567</v>
      </c>
      <c r="J673" s="6" t="s">
        <v>2568</v>
      </c>
      <c r="K673" s="12">
        <v>46121.664756944447</v>
      </c>
      <c r="L673" s="6" t="e" cm="1">
        <f t="array" ref="L673">LOOKUP(2^15,SEARCH(Tabela2[Palavras-Chave],Boletim4[[#This Row],[Objeto]],1),Tabela2[Palavras-Chave])</f>
        <v>#N/A</v>
      </c>
    </row>
    <row r="674" spans="1:12" ht="273.60000000000002" hidden="1" x14ac:dyDescent="0.3">
      <c r="A674" s="5">
        <v>18719826</v>
      </c>
      <c r="B674" s="6" t="s">
        <v>2569</v>
      </c>
      <c r="C674" s="6" t="s">
        <v>2570</v>
      </c>
      <c r="D674" s="8" t="s">
        <v>72</v>
      </c>
      <c r="E674" s="6" t="s">
        <v>441</v>
      </c>
      <c r="F674" s="6" t="s">
        <v>95</v>
      </c>
      <c r="G674" s="11" t="s">
        <v>56</v>
      </c>
      <c r="H674" s="11"/>
      <c r="I674" s="10" t="s">
        <v>2571</v>
      </c>
      <c r="J674" s="6" t="s">
        <v>2572</v>
      </c>
      <c r="K674" s="12">
        <v>46121.856377314813</v>
      </c>
      <c r="L674" s="6" t="e" cm="1">
        <f t="array" ref="L674">LOOKUP(2^15,SEARCH(Tabela2[Palavras-Chave],Boletim4[[#This Row],[Objeto]],1),Tabela2[Palavras-Chave])</f>
        <v>#N/A</v>
      </c>
    </row>
    <row r="675" spans="1:12" ht="43.2" hidden="1" x14ac:dyDescent="0.3">
      <c r="A675" s="5">
        <v>18730502</v>
      </c>
      <c r="B675" s="6" t="s">
        <v>74</v>
      </c>
      <c r="C675" s="6" t="s">
        <v>75</v>
      </c>
      <c r="D675" s="8" t="s">
        <v>76</v>
      </c>
      <c r="E675" s="6" t="s">
        <v>2573</v>
      </c>
      <c r="F675" s="6" t="s">
        <v>95</v>
      </c>
      <c r="G675" s="11" t="s">
        <v>56</v>
      </c>
      <c r="H675" s="11"/>
      <c r="I675" s="10" t="s">
        <v>2574</v>
      </c>
      <c r="J675" s="6" t="s">
        <v>2575</v>
      </c>
      <c r="K675" s="12">
        <v>46121.437557870369</v>
      </c>
      <c r="L675" s="6" t="e" cm="1">
        <f t="array" ref="L675">LOOKUP(2^15,SEARCH(Tabela2[Palavras-Chave],Boletim4[[#This Row],[Objeto]],1),Tabela2[Palavras-Chave])</f>
        <v>#N/A</v>
      </c>
    </row>
    <row r="676" spans="1:12" ht="72" hidden="1" x14ac:dyDescent="0.3">
      <c r="A676" s="5">
        <v>18520559</v>
      </c>
      <c r="B676" s="6" t="s">
        <v>74</v>
      </c>
      <c r="C676" s="6" t="s">
        <v>75</v>
      </c>
      <c r="D676" s="8" t="s">
        <v>76</v>
      </c>
      <c r="E676" s="6" t="s">
        <v>2576</v>
      </c>
      <c r="F676" s="6" t="s">
        <v>95</v>
      </c>
      <c r="G676" s="11" t="s">
        <v>56</v>
      </c>
      <c r="H676" s="11"/>
      <c r="I676" s="10" t="s">
        <v>2577</v>
      </c>
      <c r="J676" s="6" t="s">
        <v>2578</v>
      </c>
      <c r="K676" s="12">
        <v>46121.436736111114</v>
      </c>
      <c r="L676" s="6" t="e" cm="1">
        <f t="array" ref="L676">LOOKUP(2^15,SEARCH(Tabela2[Palavras-Chave],Boletim4[[#This Row],[Objeto]],1),Tabela2[Palavras-Chave])</f>
        <v>#N/A</v>
      </c>
    </row>
    <row r="677" spans="1:12" ht="100.8" hidden="1" x14ac:dyDescent="0.3">
      <c r="A677" s="5">
        <v>18715342</v>
      </c>
      <c r="B677" s="6" t="s">
        <v>74</v>
      </c>
      <c r="C677" s="6" t="s">
        <v>75</v>
      </c>
      <c r="D677" s="8" t="s">
        <v>76</v>
      </c>
      <c r="E677" s="6" t="s">
        <v>2475</v>
      </c>
      <c r="F677" s="6" t="s">
        <v>95</v>
      </c>
      <c r="G677" s="11" t="s">
        <v>56</v>
      </c>
      <c r="H677" s="11"/>
      <c r="I677" s="10" t="s">
        <v>2476</v>
      </c>
      <c r="J677" s="6" t="s">
        <v>2477</v>
      </c>
      <c r="K677" s="12">
        <v>46121.437557870369</v>
      </c>
      <c r="L677" s="6" t="e" cm="1">
        <f t="array" ref="L677">LOOKUP(2^15,SEARCH(Tabela2[Palavras-Chave],Boletim4[[#This Row],[Objeto]],1),Tabela2[Palavras-Chave])</f>
        <v>#N/A</v>
      </c>
    </row>
    <row r="678" spans="1:12" ht="72" x14ac:dyDescent="0.3">
      <c r="A678" s="5">
        <v>18770019</v>
      </c>
      <c r="B678" s="6" t="s">
        <v>74</v>
      </c>
      <c r="C678" s="6" t="s">
        <v>75</v>
      </c>
      <c r="D678" s="8" t="s">
        <v>76</v>
      </c>
      <c r="E678" s="6" t="s">
        <v>2552</v>
      </c>
      <c r="F678" s="6" t="s">
        <v>95</v>
      </c>
      <c r="G678" s="11" t="s">
        <v>56</v>
      </c>
      <c r="H678" s="11"/>
      <c r="I678" s="10" t="s">
        <v>2553</v>
      </c>
      <c r="J678" s="6" t="s">
        <v>2554</v>
      </c>
      <c r="K678" s="12">
        <v>46121.437789351854</v>
      </c>
      <c r="L678" s="6" t="str" cm="1">
        <f t="array" ref="L678">LOOKUP(2^15,SEARCH(Tabela2[Palavras-Chave],Boletim4[[#This Row],[Objeto]],1),Tabela2[Palavras-Chave])</f>
        <v>abraçadeira</v>
      </c>
    </row>
    <row r="679" spans="1:12" ht="72" hidden="1" x14ac:dyDescent="0.3">
      <c r="A679" s="5">
        <v>18775077</v>
      </c>
      <c r="B679" s="6" t="s">
        <v>74</v>
      </c>
      <c r="C679" s="6" t="s">
        <v>75</v>
      </c>
      <c r="D679" s="8" t="s">
        <v>76</v>
      </c>
      <c r="E679" s="6" t="s">
        <v>2558</v>
      </c>
      <c r="F679" s="6" t="s">
        <v>95</v>
      </c>
      <c r="G679" s="11" t="s">
        <v>56</v>
      </c>
      <c r="H679" s="11"/>
      <c r="I679" s="10" t="s">
        <v>2559</v>
      </c>
      <c r="J679" s="6" t="s">
        <v>2560</v>
      </c>
      <c r="K679" s="12">
        <v>46121.437893518516</v>
      </c>
      <c r="L679" s="6" t="e" cm="1">
        <f t="array" ref="L679">LOOKUP(2^15,SEARCH(Tabela2[Palavras-Chave],Boletim4[[#This Row],[Objeto]],1),Tabela2[Palavras-Chave])</f>
        <v>#N/A</v>
      </c>
    </row>
    <row r="680" spans="1:12" ht="72" hidden="1" x14ac:dyDescent="0.3">
      <c r="A680" s="5">
        <v>18770023</v>
      </c>
      <c r="B680" s="6" t="s">
        <v>74</v>
      </c>
      <c r="C680" s="6" t="s">
        <v>75</v>
      </c>
      <c r="D680" s="8" t="s">
        <v>76</v>
      </c>
      <c r="E680" s="6" t="s">
        <v>2579</v>
      </c>
      <c r="F680" s="6" t="s">
        <v>95</v>
      </c>
      <c r="G680" s="11" t="s">
        <v>56</v>
      </c>
      <c r="H680" s="11"/>
      <c r="I680" s="10" t="s">
        <v>2580</v>
      </c>
      <c r="J680" s="6" t="s">
        <v>2581</v>
      </c>
      <c r="K680" s="12">
        <v>46121.438935185186</v>
      </c>
      <c r="L680" s="6" t="e" cm="1">
        <f t="array" ref="L680">LOOKUP(2^15,SEARCH(Tabela2[Palavras-Chave],Boletim4[[#This Row],[Objeto]],1),Tabela2[Palavras-Chave])</f>
        <v>#N/A</v>
      </c>
    </row>
    <row r="681" spans="1:12" ht="72" hidden="1" x14ac:dyDescent="0.3">
      <c r="A681" s="5">
        <v>18790075</v>
      </c>
      <c r="B681" s="6" t="s">
        <v>74</v>
      </c>
      <c r="C681" s="6" t="s">
        <v>75</v>
      </c>
      <c r="D681" s="8" t="s">
        <v>76</v>
      </c>
      <c r="E681" s="6" t="s">
        <v>2492</v>
      </c>
      <c r="F681" s="6" t="s">
        <v>95</v>
      </c>
      <c r="G681" s="11" t="s">
        <v>56</v>
      </c>
      <c r="H681" s="11"/>
      <c r="I681" s="10" t="s">
        <v>2493</v>
      </c>
      <c r="J681" s="6" t="s">
        <v>2494</v>
      </c>
      <c r="K681" s="12">
        <v>46121.438923611109</v>
      </c>
      <c r="L681" s="6" t="e" cm="1">
        <f t="array" ref="L681">LOOKUP(2^15,SEARCH(Tabela2[Palavras-Chave],Boletim4[[#This Row],[Objeto]],1),Tabela2[Palavras-Chave])</f>
        <v>#N/A</v>
      </c>
    </row>
    <row r="682" spans="1:12" ht="129.6" hidden="1" x14ac:dyDescent="0.3">
      <c r="A682" s="5">
        <v>18456475</v>
      </c>
      <c r="B682" s="6" t="s">
        <v>2582</v>
      </c>
      <c r="C682" s="6" t="s">
        <v>75</v>
      </c>
      <c r="D682" s="8" t="s">
        <v>76</v>
      </c>
      <c r="E682" s="6" t="s">
        <v>2583</v>
      </c>
      <c r="F682" s="6" t="s">
        <v>95</v>
      </c>
      <c r="G682" s="11" t="s">
        <v>56</v>
      </c>
      <c r="H682" s="11"/>
      <c r="I682" s="10" t="s">
        <v>2584</v>
      </c>
      <c r="J682" s="6" t="s">
        <v>2585</v>
      </c>
      <c r="K682" s="12">
        <v>46121.618125000001</v>
      </c>
      <c r="L682" s="6" t="e" cm="1">
        <f t="array" ref="L682">LOOKUP(2^15,SEARCH(Tabela2[Palavras-Chave],Boletim4[[#This Row],[Objeto]],1),Tabela2[Palavras-Chave])</f>
        <v>#N/A</v>
      </c>
    </row>
    <row r="683" spans="1:12" ht="43.2" hidden="1" x14ac:dyDescent="0.3">
      <c r="A683" s="5">
        <v>18796318</v>
      </c>
      <c r="B683" s="6" t="s">
        <v>74</v>
      </c>
      <c r="C683" s="6" t="s">
        <v>75</v>
      </c>
      <c r="D683" s="8" t="s">
        <v>76</v>
      </c>
      <c r="E683" s="6" t="s">
        <v>2586</v>
      </c>
      <c r="F683" s="6" t="s">
        <v>95</v>
      </c>
      <c r="G683" s="11" t="s">
        <v>56</v>
      </c>
      <c r="H683" s="11"/>
      <c r="I683" s="10" t="s">
        <v>2587</v>
      </c>
      <c r="J683" s="6" t="s">
        <v>2588</v>
      </c>
      <c r="K683" s="12">
        <v>46121.684525462966</v>
      </c>
      <c r="L683" s="6" t="e" cm="1">
        <f t="array" ref="L683">LOOKUP(2^15,SEARCH(Tabela2[Palavras-Chave],Boletim4[[#This Row],[Objeto]],1),Tabela2[Palavras-Chave])</f>
        <v>#N/A</v>
      </c>
    </row>
    <row r="684" spans="1:12" ht="100.8" hidden="1" x14ac:dyDescent="0.3">
      <c r="A684" s="5">
        <v>18679362</v>
      </c>
      <c r="B684" s="6" t="s">
        <v>2589</v>
      </c>
      <c r="C684" s="6" t="s">
        <v>2590</v>
      </c>
      <c r="D684" s="8" t="s">
        <v>76</v>
      </c>
      <c r="E684" s="6" t="s">
        <v>135</v>
      </c>
      <c r="F684" s="6" t="s">
        <v>95</v>
      </c>
      <c r="G684" s="11" t="s">
        <v>56</v>
      </c>
      <c r="H684" s="11"/>
      <c r="I684" s="10" t="s">
        <v>2591</v>
      </c>
      <c r="J684" s="6" t="s">
        <v>2592</v>
      </c>
      <c r="K684" s="12">
        <v>46121.727048611108</v>
      </c>
      <c r="L684" s="6" t="e" cm="1">
        <f t="array" ref="L684">LOOKUP(2^15,SEARCH(Tabela2[Palavras-Chave],Boletim4[[#This Row],[Objeto]],1),Tabela2[Palavras-Chave])</f>
        <v>#N/A</v>
      </c>
    </row>
    <row r="685" spans="1:12" ht="100.8" hidden="1" x14ac:dyDescent="0.3">
      <c r="A685" s="13">
        <v>18709923</v>
      </c>
      <c r="B685" s="10" t="s">
        <v>74</v>
      </c>
      <c r="C685" s="10" t="s">
        <v>102</v>
      </c>
      <c r="D685" s="15" t="s">
        <v>77</v>
      </c>
      <c r="E685" s="10" t="s">
        <v>2472</v>
      </c>
      <c r="F685" s="10" t="s">
        <v>95</v>
      </c>
      <c r="G685" s="16" t="s">
        <v>56</v>
      </c>
      <c r="H685" s="16"/>
      <c r="I685" s="10" t="s">
        <v>2473</v>
      </c>
      <c r="J685" s="10" t="s">
        <v>2474</v>
      </c>
      <c r="K685" s="17">
        <v>46121.439652777779</v>
      </c>
      <c r="L685" s="6" t="e" cm="1">
        <f t="array" ref="L685">LOOKUP(2^15,SEARCH(Tabela2[Palavras-Chave],Boletim4[[#This Row],[Objeto]],1),Tabela2[Palavras-Chave])</f>
        <v>#N/A</v>
      </c>
    </row>
    <row r="686" spans="1:12" ht="100.8" hidden="1" x14ac:dyDescent="0.3">
      <c r="A686" s="5">
        <v>18715361</v>
      </c>
      <c r="B686" s="6" t="s">
        <v>74</v>
      </c>
      <c r="C686" s="6" t="s">
        <v>102</v>
      </c>
      <c r="D686" s="8" t="s">
        <v>77</v>
      </c>
      <c r="E686" s="6" t="s">
        <v>2475</v>
      </c>
      <c r="F686" s="6" t="s">
        <v>95</v>
      </c>
      <c r="G686" s="11" t="s">
        <v>56</v>
      </c>
      <c r="H686" s="11"/>
      <c r="I686" s="10" t="s">
        <v>2476</v>
      </c>
      <c r="J686" s="6" t="s">
        <v>2477</v>
      </c>
      <c r="K686" s="12">
        <v>46121.439710648148</v>
      </c>
      <c r="L686" s="6" t="e" cm="1">
        <f t="array" ref="L686">LOOKUP(2^15,SEARCH(Tabela2[Palavras-Chave],Boletim4[[#This Row],[Objeto]],1),Tabela2[Palavras-Chave])</f>
        <v>#N/A</v>
      </c>
    </row>
    <row r="687" spans="1:12" ht="100.8" hidden="1" x14ac:dyDescent="0.3">
      <c r="A687" s="5">
        <v>18709924</v>
      </c>
      <c r="B687" s="6" t="s">
        <v>74</v>
      </c>
      <c r="C687" s="6" t="s">
        <v>136</v>
      </c>
      <c r="D687" s="8" t="s">
        <v>78</v>
      </c>
      <c r="E687" s="6" t="s">
        <v>2472</v>
      </c>
      <c r="F687" s="6" t="s">
        <v>95</v>
      </c>
      <c r="G687" s="11" t="s">
        <v>56</v>
      </c>
      <c r="H687" s="11"/>
      <c r="I687" s="10" t="s">
        <v>2473</v>
      </c>
      <c r="J687" s="6" t="s">
        <v>2474</v>
      </c>
      <c r="K687" s="12">
        <v>46121.439664351848</v>
      </c>
      <c r="L687" s="6" t="e" cm="1">
        <f t="array" ref="L687">LOOKUP(2^15,SEARCH(Tabela2[Palavras-Chave],Boletim4[[#This Row],[Objeto]],1),Tabela2[Palavras-Chave])</f>
        <v>#N/A</v>
      </c>
    </row>
    <row r="688" spans="1:12" ht="100.8" hidden="1" x14ac:dyDescent="0.3">
      <c r="A688" s="5">
        <v>18715362</v>
      </c>
      <c r="B688" s="6" t="s">
        <v>74</v>
      </c>
      <c r="C688" s="6" t="s">
        <v>136</v>
      </c>
      <c r="D688" s="8" t="s">
        <v>78</v>
      </c>
      <c r="E688" s="6" t="s">
        <v>2475</v>
      </c>
      <c r="F688" s="6" t="s">
        <v>95</v>
      </c>
      <c r="G688" s="11" t="s">
        <v>56</v>
      </c>
      <c r="H688" s="11"/>
      <c r="I688" s="10" t="s">
        <v>2476</v>
      </c>
      <c r="J688" s="6" t="s">
        <v>2477</v>
      </c>
      <c r="K688" s="12">
        <v>46121.439710648148</v>
      </c>
      <c r="L688" s="6" t="e" cm="1">
        <f t="array" ref="L688">LOOKUP(2^15,SEARCH(Tabela2[Palavras-Chave],Boletim4[[#This Row],[Objeto]],1),Tabela2[Palavras-Chave])</f>
        <v>#N/A</v>
      </c>
    </row>
    <row r="689" spans="1:12" ht="100.8" hidden="1" x14ac:dyDescent="0.3">
      <c r="A689" s="5">
        <v>18709925</v>
      </c>
      <c r="B689" s="6" t="s">
        <v>74</v>
      </c>
      <c r="C689" s="6" t="s">
        <v>2046</v>
      </c>
      <c r="D689" s="8" t="s">
        <v>256</v>
      </c>
      <c r="E689" s="6" t="s">
        <v>2472</v>
      </c>
      <c r="F689" s="6" t="s">
        <v>95</v>
      </c>
      <c r="G689" s="11" t="s">
        <v>56</v>
      </c>
      <c r="H689" s="11"/>
      <c r="I689" s="10" t="s">
        <v>2473</v>
      </c>
      <c r="J689" s="6" t="s">
        <v>2474</v>
      </c>
      <c r="K689" s="12">
        <v>46121.439664351848</v>
      </c>
      <c r="L689" s="6" t="e" cm="1">
        <f t="array" ref="L689">LOOKUP(2^15,SEARCH(Tabela2[Palavras-Chave],Boletim4[[#This Row],[Objeto]],1),Tabela2[Palavras-Chave])</f>
        <v>#N/A</v>
      </c>
    </row>
    <row r="690" spans="1:12" ht="100.8" hidden="1" x14ac:dyDescent="0.3">
      <c r="A690" s="5">
        <v>18715363</v>
      </c>
      <c r="B690" s="6" t="s">
        <v>74</v>
      </c>
      <c r="C690" s="6" t="s">
        <v>2046</v>
      </c>
      <c r="D690" s="8" t="s">
        <v>256</v>
      </c>
      <c r="E690" s="6" t="s">
        <v>2475</v>
      </c>
      <c r="F690" s="6" t="s">
        <v>95</v>
      </c>
      <c r="G690" s="11" t="s">
        <v>56</v>
      </c>
      <c r="H690" s="11"/>
      <c r="I690" s="10" t="s">
        <v>2476</v>
      </c>
      <c r="J690" s="6" t="s">
        <v>2477</v>
      </c>
      <c r="K690" s="12">
        <v>46121.439710648148</v>
      </c>
      <c r="L690" s="6" t="e" cm="1">
        <f t="array" ref="L690">LOOKUP(2^15,SEARCH(Tabela2[Palavras-Chave],Boletim4[[#This Row],[Objeto]],1),Tabela2[Palavras-Chave])</f>
        <v>#N/A</v>
      </c>
    </row>
    <row r="691" spans="1:12" ht="100.8" hidden="1" x14ac:dyDescent="0.3">
      <c r="A691" s="13">
        <v>18709926</v>
      </c>
      <c r="B691" s="10" t="s">
        <v>74</v>
      </c>
      <c r="C691" s="10" t="s">
        <v>79</v>
      </c>
      <c r="D691" s="15" t="s">
        <v>80</v>
      </c>
      <c r="E691" s="10" t="s">
        <v>2472</v>
      </c>
      <c r="F691" s="10" t="s">
        <v>95</v>
      </c>
      <c r="G691" s="16" t="s">
        <v>56</v>
      </c>
      <c r="H691" s="16"/>
      <c r="I691" s="10" t="s">
        <v>2473</v>
      </c>
      <c r="J691" s="10" t="s">
        <v>2474</v>
      </c>
      <c r="K691" s="17">
        <v>46121.439664351848</v>
      </c>
      <c r="L691" s="6" t="e" cm="1">
        <f t="array" ref="L691">LOOKUP(2^15,SEARCH(Tabela2[Palavras-Chave],Boletim4[[#This Row],[Objeto]],1),Tabela2[Palavras-Chave])</f>
        <v>#N/A</v>
      </c>
    </row>
    <row r="692" spans="1:12" ht="100.8" hidden="1" x14ac:dyDescent="0.3">
      <c r="A692" s="5">
        <v>18715364</v>
      </c>
      <c r="B692" s="6" t="s">
        <v>74</v>
      </c>
      <c r="C692" s="6" t="s">
        <v>79</v>
      </c>
      <c r="D692" s="8" t="s">
        <v>80</v>
      </c>
      <c r="E692" s="6" t="s">
        <v>2475</v>
      </c>
      <c r="F692" s="6" t="s">
        <v>95</v>
      </c>
      <c r="G692" s="11" t="s">
        <v>56</v>
      </c>
      <c r="H692" s="11"/>
      <c r="I692" s="10" t="s">
        <v>2476</v>
      </c>
      <c r="J692" s="6" t="s">
        <v>2477</v>
      </c>
      <c r="K692" s="12">
        <v>46121.439722222225</v>
      </c>
      <c r="L692" s="6" t="e" cm="1">
        <f t="array" ref="L692">LOOKUP(2^15,SEARCH(Tabela2[Palavras-Chave],Boletim4[[#This Row],[Objeto]],1),Tabela2[Palavras-Chave])</f>
        <v>#N/A</v>
      </c>
    </row>
    <row r="693" spans="1:12" ht="273.60000000000002" hidden="1" x14ac:dyDescent="0.3">
      <c r="A693" s="5">
        <v>18768050</v>
      </c>
      <c r="B693" s="6" t="s">
        <v>2593</v>
      </c>
      <c r="C693" s="6" t="s">
        <v>2594</v>
      </c>
      <c r="D693" s="8" t="s">
        <v>80</v>
      </c>
      <c r="E693" s="6" t="s">
        <v>171</v>
      </c>
      <c r="F693" s="6" t="s">
        <v>95</v>
      </c>
      <c r="G693" s="11" t="s">
        <v>56</v>
      </c>
      <c r="H693" s="11"/>
      <c r="I693" s="10" t="s">
        <v>2595</v>
      </c>
      <c r="J693" s="6" t="s">
        <v>2596</v>
      </c>
      <c r="K693" s="12">
        <v>46121.518101851849</v>
      </c>
      <c r="L693" s="6" t="e" cm="1">
        <f t="array" ref="L693">LOOKUP(2^15,SEARCH(Tabela2[Palavras-Chave],Boletim4[[#This Row],[Objeto]],1),Tabela2[Palavras-Chave])</f>
        <v>#N/A</v>
      </c>
    </row>
    <row r="694" spans="1:12" ht="129.6" hidden="1" x14ac:dyDescent="0.3">
      <c r="A694" s="5">
        <v>18710608</v>
      </c>
      <c r="B694" s="6" t="s">
        <v>2597</v>
      </c>
      <c r="C694" s="6" t="s">
        <v>79</v>
      </c>
      <c r="D694" s="8" t="s">
        <v>80</v>
      </c>
      <c r="E694" s="6" t="s">
        <v>183</v>
      </c>
      <c r="F694" s="6" t="s">
        <v>95</v>
      </c>
      <c r="G694" s="11" t="s">
        <v>56</v>
      </c>
      <c r="H694" s="11"/>
      <c r="I694" s="10" t="s">
        <v>2598</v>
      </c>
      <c r="J694" s="6" t="s">
        <v>2599</v>
      </c>
      <c r="K694" s="12">
        <v>46121.550729166665</v>
      </c>
      <c r="L694" s="6" t="e" cm="1">
        <f t="array" ref="L694">LOOKUP(2^15,SEARCH(Tabela2[Palavras-Chave],Boletim4[[#This Row],[Objeto]],1),Tabela2[Palavras-Chave])</f>
        <v>#N/A</v>
      </c>
    </row>
    <row r="695" spans="1:12" ht="115.2" hidden="1" x14ac:dyDescent="0.3">
      <c r="A695" s="5">
        <v>18772524</v>
      </c>
      <c r="B695" s="6" t="s">
        <v>2600</v>
      </c>
      <c r="C695" s="6" t="s">
        <v>2601</v>
      </c>
      <c r="D695" s="8" t="s">
        <v>80</v>
      </c>
      <c r="E695" s="6" t="s">
        <v>117</v>
      </c>
      <c r="F695" s="6" t="s">
        <v>95</v>
      </c>
      <c r="G695" s="11">
        <v>46135.34375</v>
      </c>
      <c r="H695" s="11"/>
      <c r="I695" s="10" t="s">
        <v>2602</v>
      </c>
      <c r="J695" s="6" t="s">
        <v>2603</v>
      </c>
      <c r="K695" s="12">
        <v>46121.581273148149</v>
      </c>
      <c r="L695" s="6" t="e" cm="1">
        <f t="array" ref="L695">LOOKUP(2^15,SEARCH(Tabela2[Palavras-Chave],Boletim4[[#This Row],[Objeto]],1),Tabela2[Palavras-Chave])</f>
        <v>#N/A</v>
      </c>
    </row>
    <row r="696" spans="1:12" ht="100.8" hidden="1" x14ac:dyDescent="0.3">
      <c r="A696" s="5">
        <v>18709927</v>
      </c>
      <c r="B696" s="6" t="s">
        <v>74</v>
      </c>
      <c r="C696" s="6" t="s">
        <v>104</v>
      </c>
      <c r="D696" s="8" t="s">
        <v>81</v>
      </c>
      <c r="E696" s="6" t="s">
        <v>2472</v>
      </c>
      <c r="F696" s="6" t="s">
        <v>95</v>
      </c>
      <c r="G696" s="11" t="s">
        <v>56</v>
      </c>
      <c r="H696" s="11"/>
      <c r="I696" s="10" t="s">
        <v>2473</v>
      </c>
      <c r="J696" s="6" t="s">
        <v>2474</v>
      </c>
      <c r="K696" s="12">
        <v>46121.439664351848</v>
      </c>
      <c r="L696" s="6" t="e" cm="1">
        <f t="array" ref="L696">LOOKUP(2^15,SEARCH(Tabela2[Palavras-Chave],Boletim4[[#This Row],[Objeto]],1),Tabela2[Palavras-Chave])</f>
        <v>#N/A</v>
      </c>
    </row>
    <row r="697" spans="1:12" ht="100.8" hidden="1" x14ac:dyDescent="0.3">
      <c r="A697" s="5">
        <v>18715365</v>
      </c>
      <c r="B697" s="6" t="s">
        <v>74</v>
      </c>
      <c r="C697" s="6" t="s">
        <v>104</v>
      </c>
      <c r="D697" s="8" t="s">
        <v>81</v>
      </c>
      <c r="E697" s="6" t="s">
        <v>2475</v>
      </c>
      <c r="F697" s="6" t="s">
        <v>95</v>
      </c>
      <c r="G697" s="11" t="s">
        <v>56</v>
      </c>
      <c r="H697" s="11"/>
      <c r="I697" s="10" t="s">
        <v>2476</v>
      </c>
      <c r="J697" s="6" t="s">
        <v>2477</v>
      </c>
      <c r="K697" s="12">
        <v>46121.439722222225</v>
      </c>
      <c r="L697" s="6" t="e" cm="1">
        <f t="array" ref="L697">LOOKUP(2^15,SEARCH(Tabela2[Palavras-Chave],Boletim4[[#This Row],[Objeto]],1),Tabela2[Palavras-Chave])</f>
        <v>#N/A</v>
      </c>
    </row>
    <row r="698" spans="1:12" ht="259.2" hidden="1" x14ac:dyDescent="0.3">
      <c r="A698" s="5">
        <v>18693221</v>
      </c>
      <c r="B698" s="6" t="s">
        <v>690</v>
      </c>
      <c r="C698" s="6" t="s">
        <v>691</v>
      </c>
      <c r="D698" s="8" t="s">
        <v>81</v>
      </c>
      <c r="E698" s="6" t="s">
        <v>300</v>
      </c>
      <c r="F698" s="6" t="s">
        <v>95</v>
      </c>
      <c r="G698" s="11" t="s">
        <v>56</v>
      </c>
      <c r="H698" s="11"/>
      <c r="I698" s="10" t="s">
        <v>2604</v>
      </c>
      <c r="J698" s="6" t="s">
        <v>2605</v>
      </c>
      <c r="K698" s="12">
        <v>46121.470173611109</v>
      </c>
      <c r="L698" s="6" t="e" cm="1">
        <f t="array" ref="L698">LOOKUP(2^15,SEARCH(Tabela2[Palavras-Chave],Boletim4[[#This Row],[Objeto]],1),Tabela2[Palavras-Chave])</f>
        <v>#N/A</v>
      </c>
    </row>
    <row r="699" spans="1:12" ht="115.2" hidden="1" x14ac:dyDescent="0.3">
      <c r="A699" s="5">
        <v>18779114</v>
      </c>
      <c r="B699" s="6" t="s">
        <v>2606</v>
      </c>
      <c r="C699" s="6" t="s">
        <v>2607</v>
      </c>
      <c r="D699" s="8" t="s">
        <v>81</v>
      </c>
      <c r="E699" s="6" t="s">
        <v>505</v>
      </c>
      <c r="F699" s="6" t="s">
        <v>95</v>
      </c>
      <c r="G699" s="11">
        <v>46135.374305555553</v>
      </c>
      <c r="H699" s="11"/>
      <c r="I699" s="10" t="s">
        <v>2608</v>
      </c>
      <c r="J699" s="6" t="s">
        <v>2609</v>
      </c>
      <c r="K699" s="12">
        <v>46121.564618055556</v>
      </c>
      <c r="L699" s="6" t="e" cm="1">
        <f t="array" ref="L699">LOOKUP(2^15,SEARCH(Tabela2[Palavras-Chave],Boletim4[[#This Row],[Objeto]],1),Tabela2[Palavras-Chave])</f>
        <v>#N/A</v>
      </c>
    </row>
    <row r="700" spans="1:12" ht="115.2" hidden="1" x14ac:dyDescent="0.3">
      <c r="A700" s="5">
        <v>18770175</v>
      </c>
      <c r="B700" s="6" t="s">
        <v>2610</v>
      </c>
      <c r="C700" s="6" t="s">
        <v>2611</v>
      </c>
      <c r="D700" s="8" t="s">
        <v>81</v>
      </c>
      <c r="E700" s="6" t="s">
        <v>126</v>
      </c>
      <c r="F700" s="6" t="s">
        <v>95</v>
      </c>
      <c r="G700" s="11">
        <v>46136.347222222219</v>
      </c>
      <c r="H700" s="11"/>
      <c r="I700" s="10" t="s">
        <v>2612</v>
      </c>
      <c r="J700" s="6" t="s">
        <v>2613</v>
      </c>
      <c r="K700" s="12">
        <v>46121.582905092589</v>
      </c>
      <c r="L700" s="6" t="e" cm="1">
        <f t="array" ref="L700">LOOKUP(2^15,SEARCH(Tabela2[Palavras-Chave],Boletim4[[#This Row],[Objeto]],1),Tabela2[Palavras-Chave])</f>
        <v>#N/A</v>
      </c>
    </row>
    <row r="701" spans="1:12" ht="288" hidden="1" x14ac:dyDescent="0.3">
      <c r="A701" s="5">
        <v>18789248</v>
      </c>
      <c r="B701" s="6" t="s">
        <v>2186</v>
      </c>
      <c r="C701" s="6" t="s">
        <v>2187</v>
      </c>
      <c r="D701" s="8" t="s">
        <v>81</v>
      </c>
      <c r="E701" s="6" t="s">
        <v>135</v>
      </c>
      <c r="F701" s="6" t="s">
        <v>95</v>
      </c>
      <c r="G701" s="11" t="s">
        <v>56</v>
      </c>
      <c r="H701" s="11"/>
      <c r="I701" s="10" t="s">
        <v>2614</v>
      </c>
      <c r="J701" s="6" t="s">
        <v>2615</v>
      </c>
      <c r="K701" s="12">
        <v>46121.671863425923</v>
      </c>
      <c r="L701" s="6" t="e" cm="1">
        <f t="array" ref="L701">LOOKUP(2^15,SEARCH(Tabela2[Palavras-Chave],Boletim4[[#This Row],[Objeto]],1),Tabela2[Palavras-Chave])</f>
        <v>#N/A</v>
      </c>
    </row>
    <row r="702" spans="1:12" ht="100.8" hidden="1" x14ac:dyDescent="0.3">
      <c r="A702" s="5">
        <v>18795523</v>
      </c>
      <c r="B702" s="6" t="s">
        <v>579</v>
      </c>
      <c r="C702" s="6" t="s">
        <v>580</v>
      </c>
      <c r="D702" s="8" t="s">
        <v>93</v>
      </c>
      <c r="E702" s="6" t="s">
        <v>115</v>
      </c>
      <c r="F702" s="6" t="s">
        <v>95</v>
      </c>
      <c r="G702" s="11" t="s">
        <v>56</v>
      </c>
      <c r="H702" s="11"/>
      <c r="I702" s="10" t="s">
        <v>581</v>
      </c>
      <c r="J702" s="6" t="s">
        <v>582</v>
      </c>
      <c r="K702" s="12">
        <v>46121.38821759259</v>
      </c>
      <c r="L702" s="6" t="e" cm="1">
        <f t="array" ref="L702">LOOKUP(2^15,SEARCH(Tabela2[Palavras-Chave],Boletim4[[#This Row],[Objeto]],1),Tabela2[Palavras-Chave])</f>
        <v>#N/A</v>
      </c>
    </row>
    <row r="703" spans="1:12" ht="100.8" hidden="1" x14ac:dyDescent="0.3">
      <c r="A703" s="5">
        <v>18709929</v>
      </c>
      <c r="B703" s="6" t="s">
        <v>74</v>
      </c>
      <c r="C703" s="6" t="s">
        <v>160</v>
      </c>
      <c r="D703" s="8" t="s">
        <v>93</v>
      </c>
      <c r="E703" s="6" t="s">
        <v>2472</v>
      </c>
      <c r="F703" s="6" t="s">
        <v>95</v>
      </c>
      <c r="G703" s="11" t="s">
        <v>56</v>
      </c>
      <c r="H703" s="11"/>
      <c r="I703" s="10" t="s">
        <v>2473</v>
      </c>
      <c r="J703" s="6" t="s">
        <v>2474</v>
      </c>
      <c r="K703" s="12">
        <v>46121.439664351848</v>
      </c>
      <c r="L703" s="6" t="e" cm="1">
        <f t="array" ref="L703">LOOKUP(2^15,SEARCH(Tabela2[Palavras-Chave],Boletim4[[#This Row],[Objeto]],1),Tabela2[Palavras-Chave])</f>
        <v>#N/A</v>
      </c>
    </row>
    <row r="704" spans="1:12" ht="100.8" hidden="1" x14ac:dyDescent="0.3">
      <c r="A704" s="5">
        <v>18715366</v>
      </c>
      <c r="B704" s="6" t="s">
        <v>74</v>
      </c>
      <c r="C704" s="6" t="s">
        <v>160</v>
      </c>
      <c r="D704" s="8" t="s">
        <v>93</v>
      </c>
      <c r="E704" s="6" t="s">
        <v>2475</v>
      </c>
      <c r="F704" s="6" t="s">
        <v>95</v>
      </c>
      <c r="G704" s="11" t="s">
        <v>56</v>
      </c>
      <c r="H704" s="11"/>
      <c r="I704" s="10" t="s">
        <v>2476</v>
      </c>
      <c r="J704" s="6" t="s">
        <v>2477</v>
      </c>
      <c r="K704" s="12">
        <v>46121.439722222225</v>
      </c>
      <c r="L704" s="6" t="e" cm="1">
        <f t="array" ref="L704">LOOKUP(2^15,SEARCH(Tabela2[Palavras-Chave],Boletim4[[#This Row],[Objeto]],1),Tabela2[Palavras-Chave])</f>
        <v>#N/A</v>
      </c>
    </row>
    <row r="705" spans="1:12" ht="100.8" hidden="1" x14ac:dyDescent="0.3">
      <c r="A705" s="5">
        <v>18657365</v>
      </c>
      <c r="B705" s="6" t="s">
        <v>2616</v>
      </c>
      <c r="C705" s="6" t="s">
        <v>2617</v>
      </c>
      <c r="D705" s="8" t="s">
        <v>93</v>
      </c>
      <c r="E705" s="6" t="s">
        <v>117</v>
      </c>
      <c r="F705" s="6" t="s">
        <v>95</v>
      </c>
      <c r="G705" s="11" t="s">
        <v>56</v>
      </c>
      <c r="H705" s="11"/>
      <c r="I705" s="10" t="s">
        <v>2618</v>
      </c>
      <c r="J705" s="6" t="s">
        <v>2619</v>
      </c>
      <c r="K705" s="12">
        <v>46121.466423611113</v>
      </c>
      <c r="L705" s="6" t="e" cm="1">
        <f t="array" ref="L705">LOOKUP(2^15,SEARCH(Tabela2[Palavras-Chave],Boletim4[[#This Row],[Objeto]],1),Tabela2[Palavras-Chave])</f>
        <v>#N/A</v>
      </c>
    </row>
    <row r="706" spans="1:12" ht="72" hidden="1" x14ac:dyDescent="0.3">
      <c r="A706" s="5">
        <v>18520560</v>
      </c>
      <c r="B706" s="6" t="s">
        <v>74</v>
      </c>
      <c r="C706" s="6" t="s">
        <v>83</v>
      </c>
      <c r="D706" s="8" t="s">
        <v>82</v>
      </c>
      <c r="E706" s="6" t="s">
        <v>2576</v>
      </c>
      <c r="F706" s="6" t="s">
        <v>95</v>
      </c>
      <c r="G706" s="11" t="s">
        <v>56</v>
      </c>
      <c r="H706" s="11"/>
      <c r="I706" s="10" t="s">
        <v>2577</v>
      </c>
      <c r="J706" s="6" t="s">
        <v>2578</v>
      </c>
      <c r="K706" s="12">
        <v>46121.438935185186</v>
      </c>
      <c r="L706" s="6" t="e" cm="1">
        <f t="array" ref="L706">LOOKUP(2^15,SEARCH(Tabela2[Palavras-Chave],Boletim4[[#This Row],[Objeto]],1),Tabela2[Palavras-Chave])</f>
        <v>#N/A</v>
      </c>
    </row>
    <row r="707" spans="1:12" ht="100.8" hidden="1" x14ac:dyDescent="0.3">
      <c r="A707" s="5">
        <v>18709931</v>
      </c>
      <c r="B707" s="6" t="s">
        <v>74</v>
      </c>
      <c r="C707" s="6" t="s">
        <v>83</v>
      </c>
      <c r="D707" s="8" t="s">
        <v>82</v>
      </c>
      <c r="E707" s="6" t="s">
        <v>2472</v>
      </c>
      <c r="F707" s="6" t="s">
        <v>95</v>
      </c>
      <c r="G707" s="11" t="s">
        <v>56</v>
      </c>
      <c r="H707" s="11"/>
      <c r="I707" s="10" t="s">
        <v>2473</v>
      </c>
      <c r="J707" s="6" t="s">
        <v>2474</v>
      </c>
      <c r="K707" s="12">
        <v>46121.439675925925</v>
      </c>
      <c r="L707" s="6" t="e" cm="1">
        <f t="array" ref="L707">LOOKUP(2^15,SEARCH(Tabela2[Palavras-Chave],Boletim4[[#This Row],[Objeto]],1),Tabela2[Palavras-Chave])</f>
        <v>#N/A</v>
      </c>
    </row>
    <row r="708" spans="1:12" ht="100.8" hidden="1" x14ac:dyDescent="0.3">
      <c r="A708" s="5">
        <v>18715368</v>
      </c>
      <c r="B708" s="6" t="s">
        <v>74</v>
      </c>
      <c r="C708" s="6" t="s">
        <v>83</v>
      </c>
      <c r="D708" s="8" t="s">
        <v>82</v>
      </c>
      <c r="E708" s="6" t="s">
        <v>2475</v>
      </c>
      <c r="F708" s="6" t="s">
        <v>95</v>
      </c>
      <c r="G708" s="11" t="s">
        <v>56</v>
      </c>
      <c r="H708" s="11"/>
      <c r="I708" s="10" t="s">
        <v>2476</v>
      </c>
      <c r="J708" s="6" t="s">
        <v>2477</v>
      </c>
      <c r="K708" s="12">
        <v>46121.439722222225</v>
      </c>
      <c r="L708" s="6" t="e" cm="1">
        <f t="array" ref="L708">LOOKUP(2^15,SEARCH(Tabela2[Palavras-Chave],Boletim4[[#This Row],[Objeto]],1),Tabela2[Palavras-Chave])</f>
        <v>#N/A</v>
      </c>
    </row>
    <row r="709" spans="1:12" ht="72" hidden="1" x14ac:dyDescent="0.3">
      <c r="A709" s="5">
        <v>18770026</v>
      </c>
      <c r="B709" s="6" t="s">
        <v>74</v>
      </c>
      <c r="C709" s="6" t="s">
        <v>83</v>
      </c>
      <c r="D709" s="8" t="s">
        <v>82</v>
      </c>
      <c r="E709" s="6" t="s">
        <v>2579</v>
      </c>
      <c r="F709" s="6" t="s">
        <v>95</v>
      </c>
      <c r="G709" s="11" t="s">
        <v>56</v>
      </c>
      <c r="H709" s="11"/>
      <c r="I709" s="10" t="s">
        <v>2580</v>
      </c>
      <c r="J709" s="6" t="s">
        <v>2581</v>
      </c>
      <c r="K709" s="12">
        <v>46121.441006944442</v>
      </c>
      <c r="L709" s="6" t="e" cm="1">
        <f t="array" ref="L709">LOOKUP(2^15,SEARCH(Tabela2[Palavras-Chave],Boletim4[[#This Row],[Objeto]],1),Tabela2[Palavras-Chave])</f>
        <v>#N/A</v>
      </c>
    </row>
    <row r="710" spans="1:12" ht="72" hidden="1" x14ac:dyDescent="0.3">
      <c r="A710" s="5">
        <v>18790079</v>
      </c>
      <c r="B710" s="6" t="s">
        <v>74</v>
      </c>
      <c r="C710" s="6" t="s">
        <v>83</v>
      </c>
      <c r="D710" s="8" t="s">
        <v>82</v>
      </c>
      <c r="E710" s="6" t="s">
        <v>2492</v>
      </c>
      <c r="F710" s="6" t="s">
        <v>95</v>
      </c>
      <c r="G710" s="11" t="s">
        <v>56</v>
      </c>
      <c r="H710" s="11"/>
      <c r="I710" s="10" t="s">
        <v>2493</v>
      </c>
      <c r="J710" s="6" t="s">
        <v>2494</v>
      </c>
      <c r="K710" s="12">
        <v>46121.441030092596</v>
      </c>
      <c r="L710" s="6" t="e" cm="1">
        <f t="array" ref="L710">LOOKUP(2^15,SEARCH(Tabela2[Palavras-Chave],Boletim4[[#This Row],[Objeto]],1),Tabela2[Palavras-Chave])</f>
        <v>#N/A</v>
      </c>
    </row>
    <row r="711" spans="1:12" ht="100.8" hidden="1" x14ac:dyDescent="0.3">
      <c r="A711" s="5">
        <v>18660046</v>
      </c>
      <c r="B711" s="6" t="s">
        <v>2620</v>
      </c>
      <c r="C711" s="6" t="s">
        <v>2621</v>
      </c>
      <c r="D711" s="8" t="s">
        <v>82</v>
      </c>
      <c r="E711" s="6" t="s">
        <v>152</v>
      </c>
      <c r="F711" s="6" t="s">
        <v>95</v>
      </c>
      <c r="G711" s="11" t="s">
        <v>56</v>
      </c>
      <c r="H711" s="11"/>
      <c r="I711" s="10" t="s">
        <v>2622</v>
      </c>
      <c r="J711" s="6" t="s">
        <v>2623</v>
      </c>
      <c r="K711" s="12">
        <v>46121.575775462959</v>
      </c>
      <c r="L711" s="6" t="e" cm="1">
        <f t="array" ref="L711">LOOKUP(2^15,SEARCH(Tabela2[Palavras-Chave],Boletim4[[#This Row],[Objeto]],1),Tabela2[Palavras-Chave])</f>
        <v>#N/A</v>
      </c>
    </row>
    <row r="712" spans="1:12" ht="100.8" hidden="1" x14ac:dyDescent="0.3">
      <c r="A712" s="5">
        <v>18769849</v>
      </c>
      <c r="B712" s="6" t="s">
        <v>2624</v>
      </c>
      <c r="C712" s="6" t="s">
        <v>2625</v>
      </c>
      <c r="D712" s="8" t="s">
        <v>82</v>
      </c>
      <c r="E712" s="6" t="s">
        <v>240</v>
      </c>
      <c r="F712" s="6" t="s">
        <v>95</v>
      </c>
      <c r="G712" s="11" t="s">
        <v>56</v>
      </c>
      <c r="H712" s="11"/>
      <c r="I712" s="10" t="s">
        <v>2626</v>
      </c>
      <c r="J712" s="6" t="s">
        <v>2627</v>
      </c>
      <c r="K712" s="12">
        <v>46121.727824074071</v>
      </c>
      <c r="L712" s="6" t="e" cm="1">
        <f t="array" ref="L712">LOOKUP(2^15,SEARCH(Tabela2[Palavras-Chave],Boletim4[[#This Row],[Objeto]],1),Tabela2[Palavras-Chave])</f>
        <v>#N/A</v>
      </c>
    </row>
    <row r="713" spans="1:12" ht="100.8" hidden="1" x14ac:dyDescent="0.3">
      <c r="A713" s="5">
        <v>18736762</v>
      </c>
      <c r="B713" s="6" t="s">
        <v>2628</v>
      </c>
      <c r="C713" s="6" t="s">
        <v>2629</v>
      </c>
      <c r="D713" s="8" t="s">
        <v>82</v>
      </c>
      <c r="E713" s="6" t="s">
        <v>117</v>
      </c>
      <c r="F713" s="6" t="s">
        <v>95</v>
      </c>
      <c r="G713" s="11" t="s">
        <v>56</v>
      </c>
      <c r="H713" s="11"/>
      <c r="I713" s="10" t="s">
        <v>2630</v>
      </c>
      <c r="J713" s="6" t="s">
        <v>2631</v>
      </c>
      <c r="K713" s="12">
        <v>46121.73201388889</v>
      </c>
      <c r="L713" s="6" t="e" cm="1">
        <f t="array" ref="L713">LOOKUP(2^15,SEARCH(Tabela2[Palavras-Chave],Boletim4[[#This Row],[Objeto]],1),Tabela2[Palavras-Chave])</f>
        <v>#N/A</v>
      </c>
    </row>
    <row r="714" spans="1:12" ht="100.8" hidden="1" x14ac:dyDescent="0.3">
      <c r="A714" s="5">
        <v>18789900</v>
      </c>
      <c r="B714" s="6" t="s">
        <v>2632</v>
      </c>
      <c r="C714" s="6" t="s">
        <v>2633</v>
      </c>
      <c r="D714" s="8" t="s">
        <v>82</v>
      </c>
      <c r="E714" s="6" t="s">
        <v>441</v>
      </c>
      <c r="F714" s="6" t="s">
        <v>95</v>
      </c>
      <c r="G714" s="11" t="s">
        <v>56</v>
      </c>
      <c r="H714" s="11"/>
      <c r="I714" s="10" t="s">
        <v>2634</v>
      </c>
      <c r="J714" s="6" t="s">
        <v>2635</v>
      </c>
      <c r="K714" s="12">
        <v>46121.816574074073</v>
      </c>
      <c r="L714" s="6" t="e" cm="1">
        <f t="array" ref="L714">LOOKUP(2^15,SEARCH(Tabela2[Palavras-Chave],Boletim4[[#This Row],[Objeto]],1),Tabela2[Palavras-Chave])</f>
        <v>#N/A</v>
      </c>
    </row>
    <row r="715" spans="1:12" ht="43.2" hidden="1" x14ac:dyDescent="0.3">
      <c r="A715" s="5">
        <v>18806301</v>
      </c>
      <c r="B715" s="6" t="s">
        <v>251</v>
      </c>
      <c r="C715" s="6" t="s">
        <v>252</v>
      </c>
      <c r="D715" s="8" t="s">
        <v>82</v>
      </c>
      <c r="E715" s="6" t="s">
        <v>108</v>
      </c>
      <c r="F715" s="6" t="s">
        <v>95</v>
      </c>
      <c r="G715" s="11">
        <v>46181.375</v>
      </c>
      <c r="H715" s="11"/>
      <c r="I715" s="10" t="s">
        <v>384</v>
      </c>
      <c r="J715" s="6" t="s">
        <v>385</v>
      </c>
      <c r="K715" s="12">
        <v>46121.858564814815</v>
      </c>
      <c r="L715" s="6" t="e" cm="1">
        <f t="array" ref="L715">LOOKUP(2^15,SEARCH(Tabela2[Palavras-Chave],Boletim4[[#This Row],[Objeto]],1),Tabela2[Palavras-Chave])</f>
        <v>#N/A</v>
      </c>
    </row>
    <row r="716" spans="1:12" ht="100.8" hidden="1" x14ac:dyDescent="0.3">
      <c r="A716" s="5">
        <v>18709932</v>
      </c>
      <c r="B716" s="6" t="s">
        <v>74</v>
      </c>
      <c r="C716" s="6" t="s">
        <v>2429</v>
      </c>
      <c r="D716" s="8" t="s">
        <v>84</v>
      </c>
      <c r="E716" s="6" t="s">
        <v>2472</v>
      </c>
      <c r="F716" s="6" t="s">
        <v>95</v>
      </c>
      <c r="G716" s="11" t="s">
        <v>56</v>
      </c>
      <c r="H716" s="11"/>
      <c r="I716" s="10" t="s">
        <v>2473</v>
      </c>
      <c r="J716" s="6" t="s">
        <v>2474</v>
      </c>
      <c r="K716" s="12">
        <v>46121.439675925925</v>
      </c>
      <c r="L716" s="6" t="e" cm="1">
        <f t="array" ref="L716">LOOKUP(2^15,SEARCH(Tabela2[Palavras-Chave],Boletim4[[#This Row],[Objeto]],1),Tabela2[Palavras-Chave])</f>
        <v>#N/A</v>
      </c>
    </row>
    <row r="717" spans="1:12" ht="100.8" hidden="1" x14ac:dyDescent="0.3">
      <c r="A717" s="5">
        <v>18715369</v>
      </c>
      <c r="B717" s="6" t="s">
        <v>74</v>
      </c>
      <c r="C717" s="6" t="s">
        <v>2429</v>
      </c>
      <c r="D717" s="8" t="s">
        <v>84</v>
      </c>
      <c r="E717" s="6" t="s">
        <v>2475</v>
      </c>
      <c r="F717" s="6" t="s">
        <v>95</v>
      </c>
      <c r="G717" s="11" t="s">
        <v>56</v>
      </c>
      <c r="H717" s="11"/>
      <c r="I717" s="10" t="s">
        <v>2476</v>
      </c>
      <c r="J717" s="6" t="s">
        <v>2477</v>
      </c>
      <c r="K717" s="12">
        <v>46121.439722222225</v>
      </c>
      <c r="L717" s="6" t="e" cm="1">
        <f t="array" ref="L717">LOOKUP(2^15,SEARCH(Tabela2[Palavras-Chave],Boletim4[[#This Row],[Objeto]],1),Tabela2[Palavras-Chave])</f>
        <v>#N/A</v>
      </c>
    </row>
    <row r="718" spans="1:12" ht="100.8" hidden="1" x14ac:dyDescent="0.3">
      <c r="A718" s="5">
        <v>18768720</v>
      </c>
      <c r="B718" s="6" t="s">
        <v>2636</v>
      </c>
      <c r="C718" s="6" t="s">
        <v>2637</v>
      </c>
      <c r="D718" s="8" t="s">
        <v>64</v>
      </c>
      <c r="E718" s="6" t="s">
        <v>307</v>
      </c>
      <c r="F718" s="6" t="s">
        <v>184</v>
      </c>
      <c r="G718" s="11">
        <v>46134.334027777775</v>
      </c>
      <c r="H718" s="11"/>
      <c r="I718" s="10" t="s">
        <v>2638</v>
      </c>
      <c r="J718" s="6" t="s">
        <v>2639</v>
      </c>
      <c r="K718" s="12">
        <v>46121.575729166667</v>
      </c>
      <c r="L718" s="6" t="e" cm="1">
        <f t="array" ref="L718">LOOKUP(2^15,SEARCH(Tabela2[Palavras-Chave],Boletim4[[#This Row],[Objeto]],1),Tabela2[Palavras-Chave])</f>
        <v>#N/A</v>
      </c>
    </row>
    <row r="719" spans="1:12" ht="158.4" hidden="1" x14ac:dyDescent="0.3">
      <c r="A719" s="5">
        <v>18761147</v>
      </c>
      <c r="B719" s="6" t="s">
        <v>2640</v>
      </c>
      <c r="C719" s="6" t="s">
        <v>194</v>
      </c>
      <c r="D719" s="8" t="s">
        <v>66</v>
      </c>
      <c r="E719" s="6" t="s">
        <v>2641</v>
      </c>
      <c r="F719" s="6" t="s">
        <v>184</v>
      </c>
      <c r="G719" s="11">
        <v>46139.333333333336</v>
      </c>
      <c r="H719" s="11"/>
      <c r="I719" s="10" t="s">
        <v>2642</v>
      </c>
      <c r="J719" s="6" t="s">
        <v>2643</v>
      </c>
      <c r="K719" s="12">
        <v>46121.534085648149</v>
      </c>
      <c r="L719" s="6" t="e" cm="1">
        <f t="array" ref="L719">LOOKUP(2^15,SEARCH(Tabela2[Palavras-Chave],Boletim4[[#This Row],[Objeto]],1),Tabela2[Palavras-Chave])</f>
        <v>#N/A</v>
      </c>
    </row>
    <row r="720" spans="1:12" ht="115.2" hidden="1" x14ac:dyDescent="0.3">
      <c r="A720" s="5">
        <v>18806966</v>
      </c>
      <c r="B720" s="6" t="s">
        <v>2644</v>
      </c>
      <c r="C720" s="6" t="s">
        <v>2645</v>
      </c>
      <c r="D720" s="8" t="s">
        <v>77</v>
      </c>
      <c r="E720" s="6" t="s">
        <v>135</v>
      </c>
      <c r="F720" s="6" t="s">
        <v>184</v>
      </c>
      <c r="G720" s="11">
        <v>46134.333333333336</v>
      </c>
      <c r="H720" s="11"/>
      <c r="I720" s="10" t="s">
        <v>2646</v>
      </c>
      <c r="J720" s="6" t="s">
        <v>2647</v>
      </c>
      <c r="K720" s="12">
        <v>46121.583425925928</v>
      </c>
      <c r="L720" s="6" t="e" cm="1">
        <f t="array" ref="L720">LOOKUP(2^15,SEARCH(Tabela2[Palavras-Chave],Boletim4[[#This Row],[Objeto]],1),Tabela2[Palavras-Chave])</f>
        <v>#N/A</v>
      </c>
    </row>
    <row r="721" spans="1:12" ht="129.6" hidden="1" x14ac:dyDescent="0.3">
      <c r="A721" s="5">
        <v>18780924</v>
      </c>
      <c r="B721" s="6" t="s">
        <v>2648</v>
      </c>
      <c r="C721" s="6" t="s">
        <v>2649</v>
      </c>
      <c r="D721" s="8" t="s">
        <v>82</v>
      </c>
      <c r="E721" s="6" t="s">
        <v>202</v>
      </c>
      <c r="F721" s="6" t="s">
        <v>184</v>
      </c>
      <c r="G721" s="11">
        <v>46129.354166666664</v>
      </c>
      <c r="H721" s="11"/>
      <c r="I721" s="10" t="s">
        <v>2650</v>
      </c>
      <c r="J721" s="6" t="s">
        <v>2651</v>
      </c>
      <c r="K721" s="12">
        <v>46121.635474537034</v>
      </c>
      <c r="L721" s="6" t="e" cm="1">
        <f t="array" ref="L721">LOOKUP(2^15,SEARCH(Tabela2[Palavras-Chave],Boletim4[[#This Row],[Objeto]],1),Tabela2[Palavras-Chave])</f>
        <v>#N/A</v>
      </c>
    </row>
    <row r="722" spans="1:12" ht="259.2" hidden="1" x14ac:dyDescent="0.3">
      <c r="A722" s="5">
        <v>18734079</v>
      </c>
      <c r="B722" s="6" t="s">
        <v>197</v>
      </c>
      <c r="C722" s="6" t="s">
        <v>198</v>
      </c>
      <c r="D722" s="8" t="s">
        <v>64</v>
      </c>
      <c r="E722" s="6" t="s">
        <v>450</v>
      </c>
      <c r="F722" s="6" t="s">
        <v>96</v>
      </c>
      <c r="G722" s="11" t="s">
        <v>56</v>
      </c>
      <c r="H722" s="11"/>
      <c r="I722" s="10" t="s">
        <v>2652</v>
      </c>
      <c r="J722" s="6" t="s">
        <v>2653</v>
      </c>
      <c r="K722" s="12">
        <v>46121.615347222221</v>
      </c>
      <c r="L722" s="6" t="e" cm="1">
        <f t="array" ref="L722">LOOKUP(2^15,SEARCH(Tabela2[Palavras-Chave],Boletim4[[#This Row],[Objeto]],1),Tabela2[Palavras-Chave])</f>
        <v>#N/A</v>
      </c>
    </row>
    <row r="723" spans="1:12" ht="158.4" hidden="1" x14ac:dyDescent="0.3">
      <c r="A723" s="5">
        <v>18756821</v>
      </c>
      <c r="B723" s="6" t="s">
        <v>2654</v>
      </c>
      <c r="C723" s="6" t="s">
        <v>2655</v>
      </c>
      <c r="D723" s="8" t="s">
        <v>66</v>
      </c>
      <c r="E723" s="6" t="s">
        <v>451</v>
      </c>
      <c r="F723" s="6" t="s">
        <v>96</v>
      </c>
      <c r="G723" s="11">
        <v>46140.416666666664</v>
      </c>
      <c r="H723" s="11"/>
      <c r="I723" s="10" t="s">
        <v>2656</v>
      </c>
      <c r="J723" s="6" t="s">
        <v>2657</v>
      </c>
      <c r="K723" s="12">
        <v>46121.534062500003</v>
      </c>
      <c r="L723" s="6" t="e" cm="1">
        <f t="array" ref="L723">LOOKUP(2^15,SEARCH(Tabela2[Palavras-Chave],Boletim4[[#This Row],[Objeto]],1),Tabela2[Palavras-Chave])</f>
        <v>#N/A</v>
      </c>
    </row>
    <row r="724" spans="1:12" ht="230.4" hidden="1" x14ac:dyDescent="0.3">
      <c r="A724" s="5">
        <v>18733827</v>
      </c>
      <c r="B724" s="6" t="s">
        <v>2658</v>
      </c>
      <c r="C724" s="6" t="s">
        <v>130</v>
      </c>
      <c r="D724" s="8" t="s">
        <v>68</v>
      </c>
      <c r="E724" s="6" t="s">
        <v>2659</v>
      </c>
      <c r="F724" s="6" t="s">
        <v>96</v>
      </c>
      <c r="G724" s="11" t="s">
        <v>56</v>
      </c>
      <c r="H724" s="11"/>
      <c r="I724" s="10" t="s">
        <v>2660</v>
      </c>
      <c r="J724" s="6" t="s">
        <v>2661</v>
      </c>
      <c r="K724" s="12">
        <v>46121.761840277781</v>
      </c>
      <c r="L724" s="6" t="e" cm="1">
        <f t="array" ref="L724">LOOKUP(2^15,SEARCH(Tabela2[Palavras-Chave],Boletim4[[#This Row],[Objeto]],1),Tabela2[Palavras-Chave])</f>
        <v>#N/A</v>
      </c>
    </row>
    <row r="725" spans="1:12" ht="409.6" hidden="1" x14ac:dyDescent="0.3">
      <c r="A725" s="5">
        <v>18685585</v>
      </c>
      <c r="B725" s="6" t="s">
        <v>2662</v>
      </c>
      <c r="C725" s="6" t="s">
        <v>136</v>
      </c>
      <c r="D725" s="8" t="s">
        <v>78</v>
      </c>
      <c r="E725" s="6" t="s">
        <v>2663</v>
      </c>
      <c r="F725" s="6" t="s">
        <v>96</v>
      </c>
      <c r="G725" s="11">
        <v>46139.416666666664</v>
      </c>
      <c r="H725" s="11"/>
      <c r="I725" s="10" t="s">
        <v>2664</v>
      </c>
      <c r="J725" s="6" t="s">
        <v>2665</v>
      </c>
      <c r="K725" s="12">
        <v>46121.569537037038</v>
      </c>
      <c r="L725" s="6" t="e" cm="1">
        <f t="array" ref="L725">LOOKUP(2^15,SEARCH(Tabela2[Palavras-Chave],Boletim4[[#This Row],[Objeto]],1),Tabela2[Palavras-Chave])</f>
        <v>#N/A</v>
      </c>
    </row>
    <row r="726" spans="1:12" ht="302.39999999999998" hidden="1" x14ac:dyDescent="0.3">
      <c r="A726" s="5">
        <v>18466690</v>
      </c>
      <c r="B726" s="6" t="s">
        <v>2666</v>
      </c>
      <c r="C726" s="6" t="s">
        <v>2667</v>
      </c>
      <c r="D726" s="8" t="s">
        <v>78</v>
      </c>
      <c r="E726" s="6" t="s">
        <v>2668</v>
      </c>
      <c r="F726" s="6" t="s">
        <v>96</v>
      </c>
      <c r="G726" s="11">
        <v>46139.375</v>
      </c>
      <c r="H726" s="11"/>
      <c r="I726" s="10" t="s">
        <v>2669</v>
      </c>
      <c r="J726" s="6" t="s">
        <v>2670</v>
      </c>
      <c r="K726" s="12">
        <v>46121.571504629632</v>
      </c>
      <c r="L726" s="6" t="e" cm="1">
        <f t="array" ref="L726">LOOKUP(2^15,SEARCH(Tabela2[Palavras-Chave],Boletim4[[#This Row],[Objeto]],1),Tabela2[Palavras-Chave])</f>
        <v>#N/A</v>
      </c>
    </row>
    <row r="727" spans="1:12" ht="43.2" hidden="1" x14ac:dyDescent="0.3">
      <c r="A727" s="5">
        <v>18452732</v>
      </c>
      <c r="B727" s="6" t="s">
        <v>2671</v>
      </c>
      <c r="C727" s="6" t="s">
        <v>297</v>
      </c>
      <c r="D727" s="8" t="s">
        <v>81</v>
      </c>
      <c r="E727" s="6" t="s">
        <v>2672</v>
      </c>
      <c r="F727" s="6" t="s">
        <v>96</v>
      </c>
      <c r="G727" s="11">
        <v>46134.375</v>
      </c>
      <c r="H727" s="11"/>
      <c r="I727" s="10" t="s">
        <v>2673</v>
      </c>
      <c r="J727" s="6" t="s">
        <v>2674</v>
      </c>
      <c r="K727" s="12">
        <v>46121.618275462963</v>
      </c>
      <c r="L727" s="6" t="str" cm="1">
        <f t="array" ref="L727">LOOKUP(2^15,SEARCH(Tabela2[Palavras-Chave],Boletim4[[#This Row],[Objeto]],1),Tabela2[Palavras-Chave])</f>
        <v>EM LINHA</v>
      </c>
    </row>
    <row r="728" spans="1:12" ht="187.2" hidden="1" x14ac:dyDescent="0.3">
      <c r="A728" s="5">
        <v>18401139</v>
      </c>
      <c r="B728" s="6" t="s">
        <v>2675</v>
      </c>
      <c r="C728" s="6" t="s">
        <v>2676</v>
      </c>
      <c r="D728" s="8" t="s">
        <v>82</v>
      </c>
      <c r="E728" s="6" t="s">
        <v>2677</v>
      </c>
      <c r="F728" s="6" t="s">
        <v>168</v>
      </c>
      <c r="G728" s="11" t="s">
        <v>56</v>
      </c>
      <c r="H728" s="11"/>
      <c r="I728" s="10" t="s">
        <v>2678</v>
      </c>
      <c r="J728" s="6" t="s">
        <v>2679</v>
      </c>
      <c r="K728" s="12">
        <v>46121.681817129633</v>
      </c>
      <c r="L728" s="6" t="e" cm="1">
        <f t="array" ref="L728">LOOKUP(2^15,SEARCH(Tabela2[Palavras-Chave],Boletim4[[#This Row],[Objeto]],1),Tabela2[Palavras-Chave])</f>
        <v>#N/A</v>
      </c>
    </row>
    <row r="729" spans="1:12" ht="172.8" hidden="1" x14ac:dyDescent="0.3">
      <c r="A729" s="5">
        <v>18629841</v>
      </c>
      <c r="B729" s="6" t="s">
        <v>2680</v>
      </c>
      <c r="C729" s="6" t="s">
        <v>352</v>
      </c>
      <c r="D729" s="8" t="s">
        <v>76</v>
      </c>
      <c r="E729" s="6" t="s">
        <v>105</v>
      </c>
      <c r="F729" s="6" t="s">
        <v>2681</v>
      </c>
      <c r="G729" s="11" t="s">
        <v>56</v>
      </c>
      <c r="H729" s="11"/>
      <c r="I729" s="10" t="s">
        <v>2682</v>
      </c>
      <c r="J729" s="6" t="s">
        <v>2683</v>
      </c>
      <c r="K729" s="12">
        <v>46121.828993055555</v>
      </c>
      <c r="L729" s="6" t="e" cm="1">
        <f t="array" ref="L729">LOOKUP(2^15,SEARCH(Tabela2[Palavras-Chave],Boletim4[[#This Row],[Objeto]],1),Tabela2[Palavras-Chave])</f>
        <v>#N/A</v>
      </c>
    </row>
    <row r="730" spans="1:12" ht="172.8" hidden="1" x14ac:dyDescent="0.3">
      <c r="A730" s="5">
        <v>18795663</v>
      </c>
      <c r="B730" s="6" t="s">
        <v>2684</v>
      </c>
      <c r="C730" s="6" t="s">
        <v>2685</v>
      </c>
      <c r="D730" s="8" t="s">
        <v>54</v>
      </c>
      <c r="E730" s="6" t="s">
        <v>179</v>
      </c>
      <c r="F730" s="6" t="s">
        <v>97</v>
      </c>
      <c r="G730" s="11" t="s">
        <v>56</v>
      </c>
      <c r="H730" s="11"/>
      <c r="I730" s="10" t="s">
        <v>2686</v>
      </c>
      <c r="J730" s="6" t="s">
        <v>2687</v>
      </c>
      <c r="K730" s="12">
        <v>46121.56013888889</v>
      </c>
      <c r="L730" s="6" t="e" cm="1">
        <f t="array" ref="L730">LOOKUP(2^15,SEARCH(Tabela2[Palavras-Chave],Boletim4[[#This Row],[Objeto]],1),Tabela2[Palavras-Chave])</f>
        <v>#N/A</v>
      </c>
    </row>
    <row r="731" spans="1:12" ht="72" hidden="1" x14ac:dyDescent="0.3">
      <c r="A731" s="5">
        <v>18761167</v>
      </c>
      <c r="B731" s="6" t="s">
        <v>423</v>
      </c>
      <c r="C731" s="6" t="s">
        <v>61</v>
      </c>
      <c r="D731" s="8" t="s">
        <v>62</v>
      </c>
      <c r="E731" s="6" t="s">
        <v>220</v>
      </c>
      <c r="F731" s="6" t="s">
        <v>97</v>
      </c>
      <c r="G731" s="11" t="s">
        <v>56</v>
      </c>
      <c r="H731" s="11"/>
      <c r="I731" s="10" t="s">
        <v>2688</v>
      </c>
      <c r="J731" s="6" t="s">
        <v>2689</v>
      </c>
      <c r="K731" s="12">
        <v>46121.616562499999</v>
      </c>
      <c r="L731" s="6" t="e" cm="1">
        <f t="array" ref="L731">LOOKUP(2^15,SEARCH(Tabela2[Palavras-Chave],Boletim4[[#This Row],[Objeto]],1),Tabela2[Palavras-Chave])</f>
        <v>#N/A</v>
      </c>
    </row>
    <row r="732" spans="1:12" ht="201.6" hidden="1" x14ac:dyDescent="0.3">
      <c r="A732" s="5">
        <v>18772414</v>
      </c>
      <c r="B732" s="6" t="s">
        <v>2690</v>
      </c>
      <c r="C732" s="6" t="s">
        <v>2691</v>
      </c>
      <c r="D732" s="8" t="s">
        <v>67</v>
      </c>
      <c r="E732" s="6" t="s">
        <v>142</v>
      </c>
      <c r="F732" s="6" t="s">
        <v>97</v>
      </c>
      <c r="G732" s="11" t="s">
        <v>56</v>
      </c>
      <c r="H732" s="11"/>
      <c r="I732" s="10" t="s">
        <v>2692</v>
      </c>
      <c r="J732" s="6" t="s">
        <v>2693</v>
      </c>
      <c r="K732" s="12">
        <v>46121.769594907404</v>
      </c>
      <c r="L732" s="6" t="e" cm="1">
        <f t="array" ref="L732">LOOKUP(2^15,SEARCH(Tabela2[Palavras-Chave],Boletim4[[#This Row],[Objeto]],1),Tabela2[Palavras-Chave])</f>
        <v>#N/A</v>
      </c>
    </row>
    <row r="733" spans="1:12" ht="144" hidden="1" x14ac:dyDescent="0.3">
      <c r="A733" s="5">
        <v>18797534</v>
      </c>
      <c r="B733" s="6" t="s">
        <v>2694</v>
      </c>
      <c r="C733" s="6" t="s">
        <v>111</v>
      </c>
      <c r="D733" s="8" t="s">
        <v>91</v>
      </c>
      <c r="E733" s="6" t="s">
        <v>2695</v>
      </c>
      <c r="F733" s="6" t="s">
        <v>97</v>
      </c>
      <c r="G733" s="11" t="s">
        <v>56</v>
      </c>
      <c r="H733" s="11"/>
      <c r="I733" s="10" t="s">
        <v>2696</v>
      </c>
      <c r="J733" s="6" t="s">
        <v>2697</v>
      </c>
      <c r="K733" s="12">
        <v>46121.513495370367</v>
      </c>
      <c r="L733" s="6" t="e" cm="1">
        <f t="array" ref="L733">LOOKUP(2^15,SEARCH(Tabela2[Palavras-Chave],Boletim4[[#This Row],[Objeto]],1),Tabela2[Palavras-Chave])</f>
        <v>#N/A</v>
      </c>
    </row>
    <row r="734" spans="1:12" ht="144" hidden="1" x14ac:dyDescent="0.3">
      <c r="A734" s="5">
        <v>18724697</v>
      </c>
      <c r="B734" s="6" t="s">
        <v>2698</v>
      </c>
      <c r="C734" s="6" t="s">
        <v>2699</v>
      </c>
      <c r="D734" s="8" t="s">
        <v>91</v>
      </c>
      <c r="E734" s="6" t="s">
        <v>211</v>
      </c>
      <c r="F734" s="6" t="s">
        <v>97</v>
      </c>
      <c r="G734" s="11" t="s">
        <v>56</v>
      </c>
      <c r="H734" s="11"/>
      <c r="I734" s="10" t="s">
        <v>2700</v>
      </c>
      <c r="J734" s="6" t="s">
        <v>2701</v>
      </c>
      <c r="K734" s="12">
        <v>46121.606631944444</v>
      </c>
      <c r="L734" s="6" t="e" cm="1">
        <f t="array" ref="L734">LOOKUP(2^15,SEARCH(Tabela2[Palavras-Chave],Boletim4[[#This Row],[Objeto]],1),Tabela2[Palavras-Chave])</f>
        <v>#N/A</v>
      </c>
    </row>
    <row r="735" spans="1:12" ht="172.8" hidden="1" x14ac:dyDescent="0.3">
      <c r="A735" s="5">
        <v>18509744</v>
      </c>
      <c r="B735" s="6" t="s">
        <v>2702</v>
      </c>
      <c r="C735" s="6" t="s">
        <v>73</v>
      </c>
      <c r="D735" s="8" t="s">
        <v>72</v>
      </c>
      <c r="E735" s="6" t="s">
        <v>2703</v>
      </c>
      <c r="F735" s="6" t="s">
        <v>97</v>
      </c>
      <c r="G735" s="11" t="s">
        <v>56</v>
      </c>
      <c r="H735" s="11"/>
      <c r="I735" s="10" t="s">
        <v>2704</v>
      </c>
      <c r="J735" s="6" t="s">
        <v>2705</v>
      </c>
      <c r="K735" s="12">
        <v>46121.490324074075</v>
      </c>
      <c r="L735" s="6" t="e" cm="1">
        <f t="array" ref="L735">LOOKUP(2^15,SEARCH(Tabela2[Palavras-Chave],Boletim4[[#This Row],[Objeto]],1),Tabela2[Palavras-Chave])</f>
        <v>#N/A</v>
      </c>
    </row>
    <row r="736" spans="1:12" ht="72" hidden="1" x14ac:dyDescent="0.3">
      <c r="A736" s="5">
        <v>18761403</v>
      </c>
      <c r="B736" s="6" t="s">
        <v>2706</v>
      </c>
      <c r="C736" s="6" t="s">
        <v>2707</v>
      </c>
      <c r="D736" s="8" t="s">
        <v>80</v>
      </c>
      <c r="E736" s="6" t="s">
        <v>2708</v>
      </c>
      <c r="F736" s="6" t="s">
        <v>97</v>
      </c>
      <c r="G736" s="11" t="s">
        <v>56</v>
      </c>
      <c r="H736" s="11"/>
      <c r="I736" s="10" t="s">
        <v>2709</v>
      </c>
      <c r="J736" s="6" t="s">
        <v>2710</v>
      </c>
      <c r="K736" s="12">
        <v>46121.615474537037</v>
      </c>
      <c r="L736" s="6" t="e" cm="1">
        <f t="array" ref="L736">LOOKUP(2^15,SEARCH(Tabela2[Palavras-Chave],Boletim4[[#This Row],[Objeto]],1),Tabela2[Palavras-Chave])</f>
        <v>#N/A</v>
      </c>
    </row>
    <row r="737" spans="1:12" ht="273.60000000000002" x14ac:dyDescent="0.3">
      <c r="A737" s="5">
        <v>18770385</v>
      </c>
      <c r="B737" s="6" t="s">
        <v>2711</v>
      </c>
      <c r="C737" s="6" t="s">
        <v>104</v>
      </c>
      <c r="D737" s="8" t="s">
        <v>81</v>
      </c>
      <c r="E737" s="6" t="s">
        <v>218</v>
      </c>
      <c r="F737" s="6" t="s">
        <v>97</v>
      </c>
      <c r="G737" s="11" t="s">
        <v>56</v>
      </c>
      <c r="H737" s="11"/>
      <c r="I737" s="10" t="s">
        <v>2712</v>
      </c>
      <c r="J737" s="6" t="s">
        <v>2713</v>
      </c>
      <c r="K737" s="12">
        <v>46121.634432870371</v>
      </c>
      <c r="L737" s="6" t="str" cm="1">
        <f t="array" ref="L737">LOOKUP(2^15,SEARCH(Tabela2[Palavras-Chave],Boletim4[[#This Row],[Objeto]],1),Tabela2[Palavras-Chave])</f>
        <v>EFICIÊNCIA</v>
      </c>
    </row>
    <row r="738" spans="1:12" ht="144" hidden="1" x14ac:dyDescent="0.3">
      <c r="A738" s="5">
        <v>18509839</v>
      </c>
      <c r="B738" s="6" t="s">
        <v>2714</v>
      </c>
      <c r="C738" s="6" t="s">
        <v>551</v>
      </c>
      <c r="D738" s="8" t="s">
        <v>82</v>
      </c>
      <c r="E738" s="6" t="s">
        <v>2715</v>
      </c>
      <c r="F738" s="6" t="s">
        <v>97</v>
      </c>
      <c r="G738" s="11" t="s">
        <v>56</v>
      </c>
      <c r="H738" s="11"/>
      <c r="I738" s="10" t="s">
        <v>2716</v>
      </c>
      <c r="J738" s="6" t="s">
        <v>2717</v>
      </c>
      <c r="K738" s="12">
        <v>46121.834305555552</v>
      </c>
      <c r="L738" s="6" t="e" cm="1">
        <f t="array" ref="L738">LOOKUP(2^15,SEARCH(Tabela2[Palavras-Chave],Boletim4[[#This Row],[Objeto]],1),Tabela2[Palavras-Chave])</f>
        <v>#N/A</v>
      </c>
    </row>
    <row r="739" spans="1:12" ht="409.6" hidden="1" x14ac:dyDescent="0.3">
      <c r="A739" s="5">
        <v>18579878</v>
      </c>
      <c r="B739" s="6" t="s">
        <v>2718</v>
      </c>
      <c r="C739" s="6" t="s">
        <v>2719</v>
      </c>
      <c r="D739" s="8" t="s">
        <v>54</v>
      </c>
      <c r="E739" s="6" t="s">
        <v>145</v>
      </c>
      <c r="F739" s="6" t="s">
        <v>98</v>
      </c>
      <c r="G739" s="11" t="s">
        <v>56</v>
      </c>
      <c r="H739" s="11"/>
      <c r="I739" s="10" t="s">
        <v>2720</v>
      </c>
      <c r="J739" s="6" t="s">
        <v>2721</v>
      </c>
      <c r="K739" s="12">
        <v>46121.607175925928</v>
      </c>
      <c r="L739" s="6" t="e" cm="1">
        <f t="array" ref="L739">LOOKUP(2^15,SEARCH(Tabela2[Palavras-Chave],Boletim4[[#This Row],[Objeto]],1),Tabela2[Palavras-Chave])</f>
        <v>#N/A</v>
      </c>
    </row>
    <row r="740" spans="1:12" ht="129.6" hidden="1" x14ac:dyDescent="0.3">
      <c r="A740" s="5">
        <v>18756105</v>
      </c>
      <c r="B740" s="6" t="s">
        <v>614</v>
      </c>
      <c r="C740" s="6" t="s">
        <v>615</v>
      </c>
      <c r="D740" s="8" t="s">
        <v>54</v>
      </c>
      <c r="E740" s="6" t="s">
        <v>135</v>
      </c>
      <c r="F740" s="6" t="s">
        <v>98</v>
      </c>
      <c r="G740" s="11" t="s">
        <v>56</v>
      </c>
      <c r="H740" s="11"/>
      <c r="I740" s="10" t="s">
        <v>2722</v>
      </c>
      <c r="J740" s="6" t="s">
        <v>2723</v>
      </c>
      <c r="K740" s="12">
        <v>46121.60733796296</v>
      </c>
      <c r="L740" s="6" t="e" cm="1">
        <f t="array" ref="L740">LOOKUP(2^15,SEARCH(Tabela2[Palavras-Chave],Boletim4[[#This Row],[Objeto]],1),Tabela2[Palavras-Chave])</f>
        <v>#N/A</v>
      </c>
    </row>
    <row r="741" spans="1:12" ht="100.8" hidden="1" x14ac:dyDescent="0.3">
      <c r="A741" s="5">
        <v>18168769</v>
      </c>
      <c r="B741" s="6" t="s">
        <v>2724</v>
      </c>
      <c r="C741" s="6" t="s">
        <v>2725</v>
      </c>
      <c r="D741" s="8" t="s">
        <v>72</v>
      </c>
      <c r="E741" s="6" t="s">
        <v>2726</v>
      </c>
      <c r="F741" s="6" t="s">
        <v>98</v>
      </c>
      <c r="G741" s="11" t="s">
        <v>56</v>
      </c>
      <c r="H741" s="11"/>
      <c r="I741" s="10" t="s">
        <v>2727</v>
      </c>
      <c r="J741" s="6" t="s">
        <v>2728</v>
      </c>
      <c r="K741" s="12">
        <v>46121.807152777779</v>
      </c>
      <c r="L741" s="6" t="e" cm="1">
        <f t="array" ref="L741">LOOKUP(2^15,SEARCH(Tabela2[Palavras-Chave],Boletim4[[#This Row],[Objeto]],1),Tabela2[Palavras-Chave])</f>
        <v>#N/A</v>
      </c>
    </row>
    <row r="742" spans="1:12" ht="187.2" hidden="1" x14ac:dyDescent="0.3">
      <c r="A742" s="5">
        <v>18719707</v>
      </c>
      <c r="B742" s="6" t="s">
        <v>2729</v>
      </c>
      <c r="C742" s="6" t="s">
        <v>2730</v>
      </c>
      <c r="D742" s="8" t="s">
        <v>64</v>
      </c>
      <c r="E742" s="6" t="s">
        <v>135</v>
      </c>
      <c r="F742" s="6" t="s">
        <v>257</v>
      </c>
      <c r="G742" s="11" t="s">
        <v>56</v>
      </c>
      <c r="H742" s="11"/>
      <c r="I742" s="10" t="s">
        <v>2731</v>
      </c>
      <c r="J742" s="6" t="s">
        <v>2732</v>
      </c>
      <c r="K742" s="12">
        <v>46121.852638888886</v>
      </c>
      <c r="L742" s="6" t="e" cm="1">
        <f t="array" ref="L742">LOOKUP(2^15,SEARCH(Tabela2[Palavras-Chave],Boletim4[[#This Row],[Objeto]],1),Tabela2[Palavras-Chave])</f>
        <v>#N/A</v>
      </c>
    </row>
    <row r="743" spans="1:12" ht="129.6" hidden="1" x14ac:dyDescent="0.3">
      <c r="A743" s="5">
        <v>18357317</v>
      </c>
      <c r="B743" s="6" t="s">
        <v>712</v>
      </c>
      <c r="C743" s="6" t="s">
        <v>87</v>
      </c>
      <c r="D743" s="8" t="s">
        <v>86</v>
      </c>
      <c r="E743" s="6" t="s">
        <v>713</v>
      </c>
      <c r="F743" s="6" t="s">
        <v>258</v>
      </c>
      <c r="G743" s="11">
        <v>46142.333333333336</v>
      </c>
      <c r="H743" s="11"/>
      <c r="I743" s="10" t="s">
        <v>714</v>
      </c>
      <c r="J743" s="6" t="s">
        <v>715</v>
      </c>
      <c r="K743" s="12">
        <v>46121.554895833331</v>
      </c>
      <c r="L743" s="6" t="e" cm="1">
        <f t="array" ref="L743">LOOKUP(2^15,SEARCH(Tabela2[Palavras-Chave],Boletim4[[#This Row],[Objeto]],1),Tabela2[Palavras-Chave])</f>
        <v>#N/A</v>
      </c>
    </row>
    <row r="744" spans="1:12" ht="115.2" hidden="1" x14ac:dyDescent="0.3">
      <c r="A744" s="5">
        <v>18802524</v>
      </c>
      <c r="B744" s="6" t="s">
        <v>625</v>
      </c>
      <c r="C744" s="6" t="s">
        <v>88</v>
      </c>
      <c r="D744" s="8" t="s">
        <v>63</v>
      </c>
      <c r="E744" s="6" t="s">
        <v>245</v>
      </c>
      <c r="F744" s="6" t="s">
        <v>258</v>
      </c>
      <c r="G744" s="11">
        <v>46127.583333333336</v>
      </c>
      <c r="H744" s="11"/>
      <c r="I744" s="10" t="s">
        <v>626</v>
      </c>
      <c r="J744" s="6" t="s">
        <v>627</v>
      </c>
      <c r="K744" s="12">
        <v>46121.548645833333</v>
      </c>
      <c r="L744" s="6" t="e" cm="1">
        <f t="array" ref="L744">LOOKUP(2^15,SEARCH(Tabela2[Palavras-Chave],Boletim4[[#This Row],[Objeto]],1),Tabela2[Palavras-Chave])</f>
        <v>#N/A</v>
      </c>
    </row>
    <row r="745" spans="1:12" ht="57.6" hidden="1" x14ac:dyDescent="0.3">
      <c r="A745" s="5">
        <v>18803760</v>
      </c>
      <c r="B745" s="6" t="s">
        <v>628</v>
      </c>
      <c r="C745" s="6" t="s">
        <v>629</v>
      </c>
      <c r="D745" s="8" t="s">
        <v>63</v>
      </c>
      <c r="E745" s="6" t="s">
        <v>630</v>
      </c>
      <c r="F745" s="6" t="s">
        <v>258</v>
      </c>
      <c r="G745" s="11">
        <v>46136.354166666664</v>
      </c>
      <c r="H745" s="11"/>
      <c r="I745" s="10" t="s">
        <v>631</v>
      </c>
      <c r="J745" s="6" t="s">
        <v>632</v>
      </c>
      <c r="K745" s="12">
        <v>46121.81045138889</v>
      </c>
      <c r="L745" s="6" t="e" cm="1">
        <f t="array" ref="L745">LOOKUP(2^15,SEARCH(Tabela2[Palavras-Chave],Boletim4[[#This Row],[Objeto]],1),Tabela2[Palavras-Chave])</f>
        <v>#N/A</v>
      </c>
    </row>
    <row r="746" spans="1:12" ht="28.8" hidden="1" x14ac:dyDescent="0.3">
      <c r="A746" s="5">
        <v>18799085</v>
      </c>
      <c r="B746" s="6" t="s">
        <v>436</v>
      </c>
      <c r="C746" s="6" t="s">
        <v>437</v>
      </c>
      <c r="D746" s="8" t="s">
        <v>64</v>
      </c>
      <c r="E746" s="6" t="s">
        <v>2733</v>
      </c>
      <c r="F746" s="6" t="s">
        <v>258</v>
      </c>
      <c r="G746" s="11">
        <v>46122.333333333336</v>
      </c>
      <c r="H746" s="11"/>
      <c r="I746" s="10" t="s">
        <v>2734</v>
      </c>
      <c r="J746" s="6" t="s">
        <v>2735</v>
      </c>
      <c r="K746" s="12">
        <v>46121.481319444443</v>
      </c>
      <c r="L746" s="6" t="e" cm="1">
        <f t="array" ref="L746">LOOKUP(2^15,SEARCH(Tabela2[Palavras-Chave],Boletim4[[#This Row],[Objeto]],1),Tabela2[Palavras-Chave])</f>
        <v>#N/A</v>
      </c>
    </row>
    <row r="747" spans="1:12" ht="115.2" hidden="1" x14ac:dyDescent="0.3">
      <c r="A747" s="5">
        <v>18804625</v>
      </c>
      <c r="B747" s="6" t="s">
        <v>639</v>
      </c>
      <c r="C747" s="6" t="s">
        <v>159</v>
      </c>
      <c r="D747" s="8" t="s">
        <v>89</v>
      </c>
      <c r="E747" s="6" t="s">
        <v>643</v>
      </c>
      <c r="F747" s="6" t="s">
        <v>258</v>
      </c>
      <c r="G747" s="11">
        <v>46146.385416666664</v>
      </c>
      <c r="H747" s="11"/>
      <c r="I747" s="10" t="s">
        <v>644</v>
      </c>
      <c r="J747" s="6" t="s">
        <v>645</v>
      </c>
      <c r="K747" s="12">
        <v>46121.552812499998</v>
      </c>
      <c r="L747" s="6" t="e" cm="1">
        <f t="array" ref="L747">LOOKUP(2^15,SEARCH(Tabela2[Palavras-Chave],Boletim4[[#This Row],[Objeto]],1),Tabela2[Palavras-Chave])</f>
        <v>#N/A</v>
      </c>
    </row>
    <row r="748" spans="1:12" ht="115.2" hidden="1" x14ac:dyDescent="0.3">
      <c r="A748" s="5">
        <v>18804624</v>
      </c>
      <c r="B748" s="6" t="s">
        <v>639</v>
      </c>
      <c r="C748" s="6" t="s">
        <v>159</v>
      </c>
      <c r="D748" s="8" t="s">
        <v>89</v>
      </c>
      <c r="E748" s="6" t="s">
        <v>640</v>
      </c>
      <c r="F748" s="6" t="s">
        <v>258</v>
      </c>
      <c r="G748" s="11">
        <v>46135.385416666664</v>
      </c>
      <c r="H748" s="11"/>
      <c r="I748" s="10" t="s">
        <v>641</v>
      </c>
      <c r="J748" s="6" t="s">
        <v>642</v>
      </c>
      <c r="K748" s="12">
        <v>46121.56045138889</v>
      </c>
      <c r="L748" s="6" t="e" cm="1">
        <f t="array" ref="L748">LOOKUP(2^15,SEARCH(Tabela2[Palavras-Chave],Boletim4[[#This Row],[Objeto]],1),Tabela2[Palavras-Chave])</f>
        <v>#N/A</v>
      </c>
    </row>
    <row r="749" spans="1:12" ht="144" hidden="1" x14ac:dyDescent="0.3">
      <c r="A749" s="5">
        <v>18791091</v>
      </c>
      <c r="B749" s="6" t="s">
        <v>583</v>
      </c>
      <c r="C749" s="6" t="s">
        <v>159</v>
      </c>
      <c r="D749" s="8" t="s">
        <v>89</v>
      </c>
      <c r="E749" s="6" t="s">
        <v>2736</v>
      </c>
      <c r="F749" s="6" t="s">
        <v>258</v>
      </c>
      <c r="G749" s="11">
        <v>46213.375</v>
      </c>
      <c r="H749" s="11"/>
      <c r="I749" s="10" t="s">
        <v>2737</v>
      </c>
      <c r="J749" s="6" t="s">
        <v>2738</v>
      </c>
      <c r="K749" s="12">
        <v>46121.669479166667</v>
      </c>
      <c r="L749" s="6" t="e" cm="1">
        <f t="array" ref="L749">LOOKUP(2^15,SEARCH(Tabela2[Palavras-Chave],Boletim4[[#This Row],[Objeto]],1),Tabela2[Palavras-Chave])</f>
        <v>#N/A</v>
      </c>
    </row>
    <row r="750" spans="1:12" ht="115.2" hidden="1" x14ac:dyDescent="0.3">
      <c r="A750" s="5">
        <v>18807326</v>
      </c>
      <c r="B750" s="6" t="s">
        <v>2739</v>
      </c>
      <c r="C750" s="6" t="s">
        <v>123</v>
      </c>
      <c r="D750" s="8" t="s">
        <v>67</v>
      </c>
      <c r="E750" s="6" t="s">
        <v>620</v>
      </c>
      <c r="F750" s="6" t="s">
        <v>258</v>
      </c>
      <c r="G750" s="11">
        <v>46147.59375</v>
      </c>
      <c r="H750" s="11"/>
      <c r="I750" s="10" t="s">
        <v>2740</v>
      </c>
      <c r="J750" s="6" t="s">
        <v>2741</v>
      </c>
      <c r="K750" s="12">
        <v>46121.557685185187</v>
      </c>
      <c r="L750" s="6" t="e" cm="1">
        <f t="array" ref="L750">LOOKUP(2^15,SEARCH(Tabela2[Palavras-Chave],Boletim4[[#This Row],[Objeto]],1),Tabela2[Palavras-Chave])</f>
        <v>#N/A</v>
      </c>
    </row>
    <row r="751" spans="1:12" ht="129.6" hidden="1" x14ac:dyDescent="0.3">
      <c r="A751" s="5">
        <v>18603403</v>
      </c>
      <c r="B751" s="6" t="s">
        <v>2739</v>
      </c>
      <c r="C751" s="6" t="s">
        <v>123</v>
      </c>
      <c r="D751" s="8" t="s">
        <v>67</v>
      </c>
      <c r="E751" s="6" t="s">
        <v>158</v>
      </c>
      <c r="F751" s="6" t="s">
        <v>258</v>
      </c>
      <c r="G751" s="11">
        <v>46135.395833333336</v>
      </c>
      <c r="H751" s="11"/>
      <c r="I751" s="10" t="s">
        <v>2742</v>
      </c>
      <c r="J751" s="6" t="s">
        <v>2743</v>
      </c>
      <c r="K751" s="12">
        <v>46121.561851851853</v>
      </c>
      <c r="L751" s="6" t="e" cm="1">
        <f t="array" ref="L751">LOOKUP(2^15,SEARCH(Tabela2[Palavras-Chave],Boletim4[[#This Row],[Objeto]],1),Tabela2[Palavras-Chave])</f>
        <v>#N/A</v>
      </c>
    </row>
    <row r="752" spans="1:12" ht="158.4" x14ac:dyDescent="0.3">
      <c r="A752" s="5">
        <v>18804619</v>
      </c>
      <c r="B752" s="6" t="s">
        <v>454</v>
      </c>
      <c r="C752" s="6" t="s">
        <v>455</v>
      </c>
      <c r="D752" s="8" t="s">
        <v>91</v>
      </c>
      <c r="E752" s="6" t="s">
        <v>143</v>
      </c>
      <c r="F752" s="6" t="s">
        <v>258</v>
      </c>
      <c r="G752" s="11">
        <v>46134.354166666664</v>
      </c>
      <c r="H752" s="11"/>
      <c r="I752" s="10" t="s">
        <v>456</v>
      </c>
      <c r="J752" s="6" t="s">
        <v>457</v>
      </c>
      <c r="K752" s="12">
        <v>46121.553506944445</v>
      </c>
      <c r="L752" s="6" t="str" cm="1">
        <f t="array" ref="L752">LOOKUP(2^15,SEARCH(Tabela2[Palavras-Chave],Boletim4[[#This Row],[Objeto]],1),Tabela2[Palavras-Chave])</f>
        <v>DIAGNÓSTICO</v>
      </c>
    </row>
    <row r="753" spans="1:12" ht="129.6" hidden="1" x14ac:dyDescent="0.3">
      <c r="A753" s="5">
        <v>18744500</v>
      </c>
      <c r="B753" s="6" t="s">
        <v>465</v>
      </c>
      <c r="C753" s="6" t="s">
        <v>69</v>
      </c>
      <c r="D753" s="8" t="s">
        <v>70</v>
      </c>
      <c r="E753" s="6" t="s">
        <v>2744</v>
      </c>
      <c r="F753" s="6" t="s">
        <v>258</v>
      </c>
      <c r="G753" s="11">
        <v>46127.375</v>
      </c>
      <c r="H753" s="11"/>
      <c r="I753" s="10" t="s">
        <v>2745</v>
      </c>
      <c r="J753" s="6" t="s">
        <v>2746</v>
      </c>
      <c r="K753" s="12">
        <v>46121.538969907408</v>
      </c>
      <c r="L753" s="6" t="e" cm="1">
        <f t="array" ref="L753">LOOKUP(2^15,SEARCH(Tabela2[Palavras-Chave],Boletim4[[#This Row],[Objeto]],1),Tabela2[Palavras-Chave])</f>
        <v>#N/A</v>
      </c>
    </row>
    <row r="754" spans="1:12" ht="187.2" hidden="1" x14ac:dyDescent="0.3">
      <c r="A754" s="5">
        <v>18788361</v>
      </c>
      <c r="B754" s="6" t="s">
        <v>2747</v>
      </c>
      <c r="C754" s="6" t="s">
        <v>2748</v>
      </c>
      <c r="D754" s="8" t="s">
        <v>72</v>
      </c>
      <c r="E754" s="6" t="s">
        <v>119</v>
      </c>
      <c r="F754" s="6" t="s">
        <v>258</v>
      </c>
      <c r="G754" s="11" t="s">
        <v>56</v>
      </c>
      <c r="H754" s="11"/>
      <c r="I754" s="10" t="s">
        <v>2749</v>
      </c>
      <c r="J754" s="6" t="s">
        <v>2750</v>
      </c>
      <c r="K754" s="12">
        <v>46121.482673611114</v>
      </c>
      <c r="L754" s="6" t="e" cm="1">
        <f t="array" ref="L754">LOOKUP(2^15,SEARCH(Tabela2[Palavras-Chave],Boletim4[[#This Row],[Objeto]],1),Tabela2[Palavras-Chave])</f>
        <v>#N/A</v>
      </c>
    </row>
    <row r="755" spans="1:12" ht="86.4" hidden="1" x14ac:dyDescent="0.3">
      <c r="A755" s="5">
        <v>18798289</v>
      </c>
      <c r="B755" s="6" t="s">
        <v>156</v>
      </c>
      <c r="C755" s="6" t="s">
        <v>73</v>
      </c>
      <c r="D755" s="8" t="s">
        <v>72</v>
      </c>
      <c r="E755" s="6" t="s">
        <v>2751</v>
      </c>
      <c r="F755" s="6" t="s">
        <v>258</v>
      </c>
      <c r="G755" s="11">
        <v>46146.375</v>
      </c>
      <c r="H755" s="11"/>
      <c r="I755" s="10" t="s">
        <v>2752</v>
      </c>
      <c r="J755" s="6" t="s">
        <v>2753</v>
      </c>
      <c r="K755" s="12">
        <v>46121.554212962961</v>
      </c>
      <c r="L755" s="6" t="e" cm="1">
        <f t="array" ref="L755">LOOKUP(2^15,SEARCH(Tabela2[Palavras-Chave],Boletim4[[#This Row],[Objeto]],1),Tabela2[Palavras-Chave])</f>
        <v>#N/A</v>
      </c>
    </row>
    <row r="756" spans="1:12" ht="129.6" hidden="1" x14ac:dyDescent="0.3">
      <c r="A756" s="5">
        <v>18699805</v>
      </c>
      <c r="B756" s="6" t="s">
        <v>156</v>
      </c>
      <c r="C756" s="6" t="s">
        <v>73</v>
      </c>
      <c r="D756" s="8" t="s">
        <v>72</v>
      </c>
      <c r="E756" s="6" t="s">
        <v>602</v>
      </c>
      <c r="F756" s="6" t="s">
        <v>258</v>
      </c>
      <c r="G756" s="11">
        <v>46122.458333333336</v>
      </c>
      <c r="H756" s="11"/>
      <c r="I756" s="10" t="s">
        <v>603</v>
      </c>
      <c r="J756" s="6" t="s">
        <v>604</v>
      </c>
      <c r="K756" s="12">
        <v>46121.556967592594</v>
      </c>
      <c r="L756" s="6" t="e" cm="1">
        <f t="array" ref="L756">LOOKUP(2^15,SEARCH(Tabela2[Palavras-Chave],Boletim4[[#This Row],[Objeto]],1),Tabela2[Palavras-Chave])</f>
        <v>#N/A</v>
      </c>
    </row>
    <row r="757" spans="1:12" ht="129.6" hidden="1" x14ac:dyDescent="0.3">
      <c r="A757" s="5">
        <v>18799748</v>
      </c>
      <c r="B757" s="6" t="s">
        <v>2754</v>
      </c>
      <c r="C757" s="6" t="s">
        <v>83</v>
      </c>
      <c r="D757" s="8" t="s">
        <v>82</v>
      </c>
      <c r="E757" s="6" t="s">
        <v>2755</v>
      </c>
      <c r="F757" s="6" t="s">
        <v>258</v>
      </c>
      <c r="G757" s="11">
        <v>46122.416666666664</v>
      </c>
      <c r="H757" s="11"/>
      <c r="I757" s="10" t="s">
        <v>2756</v>
      </c>
      <c r="J757" s="6" t="s">
        <v>2757</v>
      </c>
      <c r="K757" s="12">
        <v>46121.544490740744</v>
      </c>
      <c r="L757" s="6" t="e" cm="1">
        <f t="array" ref="L757">LOOKUP(2^15,SEARCH(Tabela2[Palavras-Chave],Boletim4[[#This Row],[Objeto]],1),Tabela2[Palavras-Chave])</f>
        <v>#N/A</v>
      </c>
    </row>
    <row r="758" spans="1:12" ht="115.2" hidden="1" x14ac:dyDescent="0.3">
      <c r="A758" s="5">
        <v>18804686</v>
      </c>
      <c r="B758" s="6" t="s">
        <v>253</v>
      </c>
      <c r="C758" s="6" t="s">
        <v>164</v>
      </c>
      <c r="D758" s="8" t="s">
        <v>82</v>
      </c>
      <c r="E758" s="6" t="s">
        <v>294</v>
      </c>
      <c r="F758" s="6" t="s">
        <v>258</v>
      </c>
      <c r="G758" s="11">
        <v>46134.333333333336</v>
      </c>
      <c r="H758" s="11"/>
      <c r="I758" s="10" t="s">
        <v>703</v>
      </c>
      <c r="J758" s="6" t="s">
        <v>704</v>
      </c>
      <c r="K758" s="12">
        <v>46121.545173611114</v>
      </c>
      <c r="L758" s="6" t="e" cm="1">
        <f t="array" ref="L758">LOOKUP(2^15,SEARCH(Tabela2[Palavras-Chave],Boletim4[[#This Row],[Objeto]],1),Tabela2[Palavras-Chave])</f>
        <v>#N/A</v>
      </c>
    </row>
    <row r="759" spans="1:12" ht="115.2" hidden="1" x14ac:dyDescent="0.3">
      <c r="A759" s="5">
        <v>18804621</v>
      </c>
      <c r="B759" s="6" t="s">
        <v>253</v>
      </c>
      <c r="C759" s="6" t="s">
        <v>164</v>
      </c>
      <c r="D759" s="8" t="s">
        <v>82</v>
      </c>
      <c r="E759" s="6" t="s">
        <v>545</v>
      </c>
      <c r="F759" s="6" t="s">
        <v>258</v>
      </c>
      <c r="G759" s="11">
        <v>46136.333333333336</v>
      </c>
      <c r="H759" s="11"/>
      <c r="I759" s="10" t="s">
        <v>546</v>
      </c>
      <c r="J759" s="6" t="s">
        <v>547</v>
      </c>
      <c r="K759" s="12">
        <v>46121.554884259262</v>
      </c>
      <c r="L759" s="6" t="e" cm="1">
        <f t="array" ref="L759">LOOKUP(2^15,SEARCH(Tabela2[Palavras-Chave],Boletim4[[#This Row],[Objeto]],1),Tabela2[Palavras-Chave])</f>
        <v>#N/A</v>
      </c>
    </row>
    <row r="760" spans="1:12" hidden="1" x14ac:dyDescent="0.3">
      <c r="B760" s="6" t="s">
        <v>36</v>
      </c>
      <c r="C760" s="6" t="s">
        <v>37</v>
      </c>
      <c r="D760" s="8" t="s">
        <v>38</v>
      </c>
      <c r="E760" s="6" t="s">
        <v>39</v>
      </c>
      <c r="F760" s="6" t="s">
        <v>40</v>
      </c>
      <c r="G760" s="11" t="s">
        <v>41</v>
      </c>
      <c r="H760" s="11"/>
      <c r="I760" s="10" t="s">
        <v>42</v>
      </c>
      <c r="J760" s="6" t="s">
        <v>44</v>
      </c>
      <c r="K760" s="12"/>
      <c r="L760" s="6" t="e" cm="1">
        <f t="array" ref="L760">LOOKUP(2^15,SEARCH(Tabela2[Palavras-Chave],Boletim4[[#This Row],[Objeto]],1),Tabela2[Palavras-Chave])</f>
        <v>#N/A</v>
      </c>
    </row>
    <row r="761" spans="1:12" ht="100.8" x14ac:dyDescent="0.3">
      <c r="A761" s="5">
        <v>18810867</v>
      </c>
      <c r="B761" s="6" t="s">
        <v>725</v>
      </c>
      <c r="C761" s="6" t="s">
        <v>87</v>
      </c>
      <c r="D761" s="8" t="s">
        <v>86</v>
      </c>
      <c r="E761" s="6" t="s">
        <v>726</v>
      </c>
      <c r="F761" s="6" t="s">
        <v>51</v>
      </c>
      <c r="G761" s="11">
        <v>46129.499305555553</v>
      </c>
      <c r="H761" s="11"/>
      <c r="I761" s="10" t="s">
        <v>727</v>
      </c>
      <c r="J761" s="6" t="s">
        <v>728</v>
      </c>
      <c r="K761" s="12">
        <v>46121.76662037037</v>
      </c>
      <c r="L761" s="6" t="str" cm="1">
        <f t="array" ref="L761">LOOKUP(2^15,SEARCH(Tabela2[Palavras-Chave],Boletim4[[#This Row],[Objeto]],1),Tabela2[Palavras-Chave])</f>
        <v>RESERVAT</v>
      </c>
    </row>
    <row r="762" spans="1:12" ht="100.8" hidden="1" x14ac:dyDescent="0.3">
      <c r="A762" s="5">
        <v>18806649</v>
      </c>
      <c r="B762" s="6" t="s">
        <v>729</v>
      </c>
      <c r="C762" s="6" t="s">
        <v>52</v>
      </c>
      <c r="D762" s="8" t="s">
        <v>50</v>
      </c>
      <c r="E762" s="6" t="s">
        <v>118</v>
      </c>
      <c r="F762" s="6" t="s">
        <v>51</v>
      </c>
      <c r="G762" s="11">
        <v>46127.333333333336</v>
      </c>
      <c r="H762" s="11"/>
      <c r="I762" s="10" t="s">
        <v>730</v>
      </c>
      <c r="J762" s="6" t="s">
        <v>731</v>
      </c>
      <c r="K762" s="12">
        <v>46121.435347222221</v>
      </c>
      <c r="L762" s="6" t="e" cm="1">
        <f t="array" ref="L762">LOOKUP(2^15,SEARCH(Tabela2[Palavras-Chave],Boletim4[[#This Row],[Objeto]],1),Tabela2[Palavras-Chave])</f>
        <v>#N/A</v>
      </c>
    </row>
    <row r="763" spans="1:12" ht="100.8" hidden="1" x14ac:dyDescent="0.3">
      <c r="A763" s="5">
        <v>18806669</v>
      </c>
      <c r="B763" s="6" t="s">
        <v>729</v>
      </c>
      <c r="C763" s="6" t="s">
        <v>52</v>
      </c>
      <c r="D763" s="8" t="s">
        <v>50</v>
      </c>
      <c r="E763" s="6" t="s">
        <v>105</v>
      </c>
      <c r="F763" s="6" t="s">
        <v>51</v>
      </c>
      <c r="G763" s="11">
        <v>46126.333333333336</v>
      </c>
      <c r="H763" s="11"/>
      <c r="I763" s="10" t="s">
        <v>732</v>
      </c>
      <c r="J763" s="6" t="s">
        <v>733</v>
      </c>
      <c r="K763" s="12">
        <v>46121.436388888891</v>
      </c>
      <c r="L763" s="6" t="e" cm="1">
        <f t="array" ref="L763">LOOKUP(2^15,SEARCH(Tabela2[Palavras-Chave],Boletim4[[#This Row],[Objeto]],1),Tabela2[Palavras-Chave])</f>
        <v>#N/A</v>
      </c>
    </row>
    <row r="764" spans="1:12" ht="72" hidden="1" x14ac:dyDescent="0.3">
      <c r="A764" s="5">
        <v>18769997</v>
      </c>
      <c r="B764" s="6" t="s">
        <v>74</v>
      </c>
      <c r="C764" s="6" t="s">
        <v>52</v>
      </c>
      <c r="D764" s="8" t="s">
        <v>50</v>
      </c>
      <c r="E764" s="6" t="s">
        <v>734</v>
      </c>
      <c r="F764" s="6" t="s">
        <v>51</v>
      </c>
      <c r="G764" s="11" t="s">
        <v>56</v>
      </c>
      <c r="H764" s="11"/>
      <c r="I764" s="10" t="s">
        <v>735</v>
      </c>
      <c r="J764" s="6" t="s">
        <v>736</v>
      </c>
      <c r="K764" s="12">
        <v>46121.440335648149</v>
      </c>
      <c r="L764" s="6" t="e" cm="1">
        <f t="array" ref="L764">LOOKUP(2^15,SEARCH(Tabela2[Palavras-Chave],Boletim4[[#This Row],[Objeto]],1),Tabela2[Palavras-Chave])</f>
        <v>#N/A</v>
      </c>
    </row>
    <row r="765" spans="1:12" ht="72" hidden="1" x14ac:dyDescent="0.3">
      <c r="A765" s="5">
        <v>18770046</v>
      </c>
      <c r="B765" s="6" t="s">
        <v>74</v>
      </c>
      <c r="C765" s="6" t="s">
        <v>52</v>
      </c>
      <c r="D765" s="8" t="s">
        <v>50</v>
      </c>
      <c r="E765" s="6" t="s">
        <v>737</v>
      </c>
      <c r="F765" s="6" t="s">
        <v>51</v>
      </c>
      <c r="G765" s="11" t="s">
        <v>56</v>
      </c>
      <c r="H765" s="11"/>
      <c r="I765" s="10" t="s">
        <v>738</v>
      </c>
      <c r="J765" s="6" t="s">
        <v>739</v>
      </c>
      <c r="K765" s="12">
        <v>46121.443090277775</v>
      </c>
      <c r="L765" s="6" t="e" cm="1">
        <f t="array" ref="L765">LOOKUP(2^15,SEARCH(Tabela2[Palavras-Chave],Boletim4[[#This Row],[Objeto]],1),Tabela2[Palavras-Chave])</f>
        <v>#N/A</v>
      </c>
    </row>
    <row r="766" spans="1:12" ht="72" hidden="1" x14ac:dyDescent="0.3">
      <c r="A766" s="5">
        <v>18769998</v>
      </c>
      <c r="B766" s="6" t="s">
        <v>74</v>
      </c>
      <c r="C766" s="6" t="s">
        <v>53</v>
      </c>
      <c r="D766" s="8" t="s">
        <v>54</v>
      </c>
      <c r="E766" s="6" t="s">
        <v>734</v>
      </c>
      <c r="F766" s="6" t="s">
        <v>51</v>
      </c>
      <c r="G766" s="11" t="s">
        <v>56</v>
      </c>
      <c r="H766" s="11"/>
      <c r="I766" s="10" t="s">
        <v>735</v>
      </c>
      <c r="J766" s="6" t="s">
        <v>736</v>
      </c>
      <c r="K766" s="12">
        <v>46121.440335648149</v>
      </c>
      <c r="L766" s="6" t="e" cm="1">
        <f t="array" ref="L766">LOOKUP(2^15,SEARCH(Tabela2[Palavras-Chave],Boletim4[[#This Row],[Objeto]],1),Tabela2[Palavras-Chave])</f>
        <v>#N/A</v>
      </c>
    </row>
    <row r="767" spans="1:12" ht="158.4" hidden="1" x14ac:dyDescent="0.3">
      <c r="A767" s="5">
        <v>18807634</v>
      </c>
      <c r="B767" s="6" t="s">
        <v>269</v>
      </c>
      <c r="C767" s="6" t="s">
        <v>53</v>
      </c>
      <c r="D767" s="8" t="s">
        <v>54</v>
      </c>
      <c r="E767" s="6" t="s">
        <v>55</v>
      </c>
      <c r="F767" s="6" t="s">
        <v>51</v>
      </c>
      <c r="G767" s="11" t="s">
        <v>56</v>
      </c>
      <c r="H767" s="11"/>
      <c r="I767" s="10" t="s">
        <v>740</v>
      </c>
      <c r="J767" s="6" t="s">
        <v>741</v>
      </c>
      <c r="K767" s="12">
        <v>46121.468124999999</v>
      </c>
      <c r="L767" s="6" t="e" cm="1">
        <f t="array" ref="L767">LOOKUP(2^15,SEARCH(Tabela2[Palavras-Chave],Boletim4[[#This Row],[Objeto]],1),Tabela2[Palavras-Chave])</f>
        <v>#N/A</v>
      </c>
    </row>
    <row r="768" spans="1:12" ht="43.2" hidden="1" x14ac:dyDescent="0.3">
      <c r="A768" s="5">
        <v>18807238</v>
      </c>
      <c r="B768" s="6" t="s">
        <v>2758</v>
      </c>
      <c r="C768" s="6" t="s">
        <v>2759</v>
      </c>
      <c r="D768" s="8" t="s">
        <v>54</v>
      </c>
      <c r="E768" s="6" t="s">
        <v>55</v>
      </c>
      <c r="F768" s="6" t="s">
        <v>51</v>
      </c>
      <c r="G768" s="11" t="s">
        <v>56</v>
      </c>
      <c r="H768" s="11"/>
      <c r="I768" s="10" t="s">
        <v>2760</v>
      </c>
      <c r="J768" s="6" t="s">
        <v>90</v>
      </c>
      <c r="K768" s="12">
        <v>46121.474606481483</v>
      </c>
      <c r="L768" s="6" t="e" cm="1">
        <f t="array" ref="L768">LOOKUP(2^15,SEARCH(Tabela2[Palavras-Chave],Boletim4[[#This Row],[Objeto]],1),Tabela2[Palavras-Chave])</f>
        <v>#N/A</v>
      </c>
    </row>
    <row r="769" spans="1:12" ht="172.8" hidden="1" x14ac:dyDescent="0.3">
      <c r="A769" s="5">
        <v>18807658</v>
      </c>
      <c r="B769" s="6" t="s">
        <v>264</v>
      </c>
      <c r="C769" s="6" t="s">
        <v>268</v>
      </c>
      <c r="D769" s="8" t="s">
        <v>54</v>
      </c>
      <c r="E769" s="6" t="s">
        <v>55</v>
      </c>
      <c r="F769" s="6" t="s">
        <v>51</v>
      </c>
      <c r="G769" s="11" t="s">
        <v>56</v>
      </c>
      <c r="H769" s="11"/>
      <c r="I769" s="10" t="s">
        <v>742</v>
      </c>
      <c r="J769" s="6" t="s">
        <v>743</v>
      </c>
      <c r="K769" s="12">
        <v>46121.52615740741</v>
      </c>
      <c r="L769" s="6" t="e" cm="1">
        <f t="array" ref="L769">LOOKUP(2^15,SEARCH(Tabela2[Palavras-Chave],Boletim4[[#This Row],[Objeto]],1),Tabela2[Palavras-Chave])</f>
        <v>#N/A</v>
      </c>
    </row>
    <row r="770" spans="1:12" ht="72" hidden="1" x14ac:dyDescent="0.3">
      <c r="A770" s="5">
        <v>18809422</v>
      </c>
      <c r="B770" s="6" t="s">
        <v>150</v>
      </c>
      <c r="C770" s="6" t="s">
        <v>57</v>
      </c>
      <c r="D770" s="8" t="s">
        <v>54</v>
      </c>
      <c r="E770" s="6" t="s">
        <v>744</v>
      </c>
      <c r="F770" s="6" t="s">
        <v>51</v>
      </c>
      <c r="G770" s="11" t="s">
        <v>56</v>
      </c>
      <c r="H770" s="11"/>
      <c r="I770" s="10" t="s">
        <v>745</v>
      </c>
      <c r="J770" s="6" t="s">
        <v>746</v>
      </c>
      <c r="K770" s="12">
        <v>46121.603842592594</v>
      </c>
      <c r="L770" s="6" t="e" cm="1">
        <f t="array" ref="L770">LOOKUP(2^15,SEARCH(Tabela2[Palavras-Chave],Boletim4[[#This Row],[Objeto]],1),Tabela2[Palavras-Chave])</f>
        <v>#N/A</v>
      </c>
    </row>
    <row r="771" spans="1:12" ht="172.8" hidden="1" x14ac:dyDescent="0.3">
      <c r="A771" s="5">
        <v>18809159</v>
      </c>
      <c r="B771" s="6" t="s">
        <v>267</v>
      </c>
      <c r="C771" s="6" t="s">
        <v>308</v>
      </c>
      <c r="D771" s="8" t="s">
        <v>54</v>
      </c>
      <c r="E771" s="6" t="s">
        <v>55</v>
      </c>
      <c r="F771" s="6" t="s">
        <v>51</v>
      </c>
      <c r="G771" s="11" t="s">
        <v>56</v>
      </c>
      <c r="H771" s="11"/>
      <c r="I771" s="10" t="s">
        <v>747</v>
      </c>
      <c r="J771" s="6" t="s">
        <v>748</v>
      </c>
      <c r="K771" s="12">
        <v>46121.606990740744</v>
      </c>
      <c r="L771" s="6" t="e" cm="1">
        <f t="array" ref="L771">LOOKUP(2^15,SEARCH(Tabela2[Palavras-Chave],Boletim4[[#This Row],[Objeto]],1),Tabela2[Palavras-Chave])</f>
        <v>#N/A</v>
      </c>
    </row>
    <row r="772" spans="1:12" ht="158.4" hidden="1" x14ac:dyDescent="0.3">
      <c r="A772" s="5">
        <v>18807638</v>
      </c>
      <c r="B772" s="6" t="s">
        <v>749</v>
      </c>
      <c r="C772" s="6" t="s">
        <v>53</v>
      </c>
      <c r="D772" s="8" t="s">
        <v>54</v>
      </c>
      <c r="E772" s="6" t="s">
        <v>55</v>
      </c>
      <c r="F772" s="6" t="s">
        <v>51</v>
      </c>
      <c r="G772" s="11" t="s">
        <v>56</v>
      </c>
      <c r="H772" s="11"/>
      <c r="I772" s="10" t="s">
        <v>750</v>
      </c>
      <c r="J772" s="6" t="s">
        <v>751</v>
      </c>
      <c r="K772" s="12">
        <v>46121.663541666669</v>
      </c>
      <c r="L772" s="6" t="e" cm="1">
        <f t="array" ref="L772">LOOKUP(2^15,SEARCH(Tabela2[Palavras-Chave],Boletim4[[#This Row],[Objeto]],1),Tabela2[Palavras-Chave])</f>
        <v>#N/A</v>
      </c>
    </row>
    <row r="773" spans="1:12" ht="57.6" hidden="1" x14ac:dyDescent="0.3">
      <c r="A773" s="5">
        <v>18648867</v>
      </c>
      <c r="B773" s="6" t="s">
        <v>2761</v>
      </c>
      <c r="C773" s="6" t="s">
        <v>182</v>
      </c>
      <c r="D773" s="8" t="s">
        <v>54</v>
      </c>
      <c r="E773" s="6" t="s">
        <v>55</v>
      </c>
      <c r="F773" s="6" t="s">
        <v>51</v>
      </c>
      <c r="G773" s="11" t="s">
        <v>56</v>
      </c>
      <c r="H773" s="11"/>
      <c r="I773" s="10" t="s">
        <v>2762</v>
      </c>
      <c r="J773" s="6" t="s">
        <v>138</v>
      </c>
      <c r="K773" s="12">
        <v>46121.686886574076</v>
      </c>
      <c r="L773" s="6" t="e" cm="1">
        <f t="array" ref="L773">LOOKUP(2^15,SEARCH(Tabela2[Palavras-Chave],Boletim4[[#This Row],[Objeto]],1),Tabela2[Palavras-Chave])</f>
        <v>#N/A</v>
      </c>
    </row>
    <row r="774" spans="1:12" ht="172.8" hidden="1" x14ac:dyDescent="0.3">
      <c r="A774" s="5">
        <v>18807665</v>
      </c>
      <c r="B774" s="6" t="s">
        <v>214</v>
      </c>
      <c r="C774" s="6" t="s">
        <v>53</v>
      </c>
      <c r="D774" s="8" t="s">
        <v>54</v>
      </c>
      <c r="E774" s="6" t="s">
        <v>55</v>
      </c>
      <c r="F774" s="6" t="s">
        <v>51</v>
      </c>
      <c r="G774" s="11" t="s">
        <v>56</v>
      </c>
      <c r="H774" s="11"/>
      <c r="I774" s="10" t="s">
        <v>752</v>
      </c>
      <c r="J774" s="6" t="s">
        <v>753</v>
      </c>
      <c r="K774" s="12">
        <v>46121.702291666668</v>
      </c>
      <c r="L774" s="6" t="e" cm="1">
        <f t="array" ref="L774">LOOKUP(2^15,SEARCH(Tabela2[Palavras-Chave],Boletim4[[#This Row],[Objeto]],1),Tabela2[Palavras-Chave])</f>
        <v>#N/A</v>
      </c>
    </row>
    <row r="775" spans="1:12" ht="72" hidden="1" x14ac:dyDescent="0.3">
      <c r="A775" s="5">
        <v>18809425</v>
      </c>
      <c r="B775" s="6" t="s">
        <v>150</v>
      </c>
      <c r="C775" s="6" t="s">
        <v>57</v>
      </c>
      <c r="D775" s="8" t="s">
        <v>54</v>
      </c>
      <c r="E775" s="6" t="s">
        <v>754</v>
      </c>
      <c r="F775" s="6" t="s">
        <v>51</v>
      </c>
      <c r="G775" s="11" t="s">
        <v>56</v>
      </c>
      <c r="H775" s="11"/>
      <c r="I775" s="10" t="s">
        <v>755</v>
      </c>
      <c r="J775" s="6" t="s">
        <v>756</v>
      </c>
      <c r="K775" s="12">
        <v>46121.70648148148</v>
      </c>
      <c r="L775" s="6" t="e" cm="1">
        <f t="array" ref="L775">LOOKUP(2^15,SEARCH(Tabela2[Palavras-Chave],Boletim4[[#This Row],[Objeto]],1),Tabela2[Palavras-Chave])</f>
        <v>#N/A</v>
      </c>
    </row>
    <row r="776" spans="1:12" ht="72" hidden="1" x14ac:dyDescent="0.3">
      <c r="A776" s="5">
        <v>18809421</v>
      </c>
      <c r="B776" s="6" t="s">
        <v>58</v>
      </c>
      <c r="C776" s="6" t="s">
        <v>53</v>
      </c>
      <c r="D776" s="8" t="s">
        <v>54</v>
      </c>
      <c r="E776" s="6" t="s">
        <v>757</v>
      </c>
      <c r="F776" s="6" t="s">
        <v>51</v>
      </c>
      <c r="G776" s="11" t="s">
        <v>56</v>
      </c>
      <c r="H776" s="11"/>
      <c r="I776" s="10" t="s">
        <v>758</v>
      </c>
      <c r="J776" s="6" t="s">
        <v>759</v>
      </c>
      <c r="K776" s="12">
        <v>46121.707812499997</v>
      </c>
      <c r="L776" s="6" t="e" cm="1">
        <f t="array" ref="L776">LOOKUP(2^15,SEARCH(Tabela2[Palavras-Chave],Boletim4[[#This Row],[Objeto]],1),Tabela2[Palavras-Chave])</f>
        <v>#N/A</v>
      </c>
    </row>
    <row r="777" spans="1:12" ht="172.8" hidden="1" x14ac:dyDescent="0.3">
      <c r="A777" s="5">
        <v>18810229</v>
      </c>
      <c r="B777" s="6" t="s">
        <v>760</v>
      </c>
      <c r="C777" s="6" t="s">
        <v>53</v>
      </c>
      <c r="D777" s="8" t="s">
        <v>54</v>
      </c>
      <c r="E777" s="6" t="s">
        <v>55</v>
      </c>
      <c r="F777" s="6" t="s">
        <v>51</v>
      </c>
      <c r="G777" s="11" t="s">
        <v>56</v>
      </c>
      <c r="H777" s="11"/>
      <c r="I777" s="10" t="s">
        <v>761</v>
      </c>
      <c r="J777" s="6" t="s">
        <v>762</v>
      </c>
      <c r="K777" s="12">
        <v>46121.729270833333</v>
      </c>
      <c r="L777" s="6" t="e" cm="1">
        <f t="array" ref="L777">LOOKUP(2^15,SEARCH(Tabela2[Palavras-Chave],Boletim4[[#This Row],[Objeto]],1),Tabela2[Palavras-Chave])</f>
        <v>#N/A</v>
      </c>
    </row>
    <row r="778" spans="1:12" ht="158.4" hidden="1" x14ac:dyDescent="0.3">
      <c r="A778" s="5">
        <v>18810234</v>
      </c>
      <c r="B778" s="6" t="s">
        <v>320</v>
      </c>
      <c r="C778" s="6" t="s">
        <v>53</v>
      </c>
      <c r="D778" s="8" t="s">
        <v>54</v>
      </c>
      <c r="E778" s="6" t="s">
        <v>55</v>
      </c>
      <c r="F778" s="6" t="s">
        <v>51</v>
      </c>
      <c r="G778" s="11" t="s">
        <v>56</v>
      </c>
      <c r="H778" s="11"/>
      <c r="I778" s="10" t="s">
        <v>763</v>
      </c>
      <c r="J778" s="6" t="s">
        <v>764</v>
      </c>
      <c r="K778" s="12">
        <v>46121.729270833333</v>
      </c>
      <c r="L778" s="6" t="e" cm="1">
        <f t="array" ref="L778">LOOKUP(2^15,SEARCH(Tabela2[Palavras-Chave],Boletim4[[#This Row],[Objeto]],1),Tabela2[Palavras-Chave])</f>
        <v>#N/A</v>
      </c>
    </row>
    <row r="779" spans="1:12" ht="144" hidden="1" x14ac:dyDescent="0.3">
      <c r="A779" s="5">
        <v>18810189</v>
      </c>
      <c r="B779" s="6" t="s">
        <v>765</v>
      </c>
      <c r="C779" s="6" t="s">
        <v>53</v>
      </c>
      <c r="D779" s="8" t="s">
        <v>54</v>
      </c>
      <c r="E779" s="6" t="s">
        <v>55</v>
      </c>
      <c r="F779" s="6" t="s">
        <v>51</v>
      </c>
      <c r="G779" s="11" t="s">
        <v>56</v>
      </c>
      <c r="H779" s="11"/>
      <c r="I779" s="10" t="s">
        <v>766</v>
      </c>
      <c r="J779" s="6" t="s">
        <v>767</v>
      </c>
      <c r="K779" s="12">
        <v>46121.732025462959</v>
      </c>
      <c r="L779" s="6" t="e" cm="1">
        <f t="array" ref="L779">LOOKUP(2^15,SEARCH(Tabela2[Palavras-Chave],Boletim4[[#This Row],[Objeto]],1),Tabela2[Palavras-Chave])</f>
        <v>#N/A</v>
      </c>
    </row>
    <row r="780" spans="1:12" ht="158.4" hidden="1" x14ac:dyDescent="0.3">
      <c r="A780" s="5">
        <v>18810201</v>
      </c>
      <c r="B780" s="6" t="s">
        <v>768</v>
      </c>
      <c r="C780" s="6" t="s">
        <v>53</v>
      </c>
      <c r="D780" s="8" t="s">
        <v>54</v>
      </c>
      <c r="E780" s="6" t="s">
        <v>55</v>
      </c>
      <c r="F780" s="6" t="s">
        <v>51</v>
      </c>
      <c r="G780" s="11" t="s">
        <v>56</v>
      </c>
      <c r="H780" s="11"/>
      <c r="I780" s="10" t="s">
        <v>769</v>
      </c>
      <c r="J780" s="6" t="s">
        <v>770</v>
      </c>
      <c r="K780" s="12">
        <v>46121.732685185183</v>
      </c>
      <c r="L780" s="6" t="e" cm="1">
        <f t="array" ref="L780">LOOKUP(2^15,SEARCH(Tabela2[Palavras-Chave],Boletim4[[#This Row],[Objeto]],1),Tabela2[Palavras-Chave])</f>
        <v>#N/A</v>
      </c>
    </row>
    <row r="781" spans="1:12" ht="158.4" hidden="1" x14ac:dyDescent="0.3">
      <c r="A781" s="5">
        <v>18810194</v>
      </c>
      <c r="B781" s="6" t="s">
        <v>320</v>
      </c>
      <c r="C781" s="6" t="s">
        <v>53</v>
      </c>
      <c r="D781" s="8" t="s">
        <v>54</v>
      </c>
      <c r="E781" s="6" t="s">
        <v>55</v>
      </c>
      <c r="F781" s="6" t="s">
        <v>51</v>
      </c>
      <c r="G781" s="11" t="s">
        <v>56</v>
      </c>
      <c r="H781" s="11"/>
      <c r="I781" s="10" t="s">
        <v>771</v>
      </c>
      <c r="J781" s="6" t="s">
        <v>772</v>
      </c>
      <c r="K781" s="12">
        <v>46121.733391203707</v>
      </c>
      <c r="L781" s="6" t="e" cm="1">
        <f t="array" ref="L781">LOOKUP(2^15,SEARCH(Tabela2[Palavras-Chave],Boletim4[[#This Row],[Objeto]],1),Tabela2[Palavras-Chave])</f>
        <v>#N/A</v>
      </c>
    </row>
    <row r="782" spans="1:12" ht="158.4" hidden="1" x14ac:dyDescent="0.3">
      <c r="A782" s="5">
        <v>18810191</v>
      </c>
      <c r="B782" s="6" t="s">
        <v>773</v>
      </c>
      <c r="C782" s="6" t="s">
        <v>53</v>
      </c>
      <c r="D782" s="8" t="s">
        <v>54</v>
      </c>
      <c r="E782" s="6" t="s">
        <v>55</v>
      </c>
      <c r="F782" s="6" t="s">
        <v>51</v>
      </c>
      <c r="G782" s="11" t="s">
        <v>56</v>
      </c>
      <c r="H782" s="11"/>
      <c r="I782" s="10" t="s">
        <v>774</v>
      </c>
      <c r="J782" s="6" t="s">
        <v>775</v>
      </c>
      <c r="K782" s="12">
        <v>46121.733402777776</v>
      </c>
      <c r="L782" s="6" t="e" cm="1">
        <f t="array" ref="L782">LOOKUP(2^15,SEARCH(Tabela2[Palavras-Chave],Boletim4[[#This Row],[Objeto]],1),Tabela2[Palavras-Chave])</f>
        <v>#N/A</v>
      </c>
    </row>
    <row r="783" spans="1:12" ht="72" hidden="1" x14ac:dyDescent="0.3">
      <c r="A783" s="5">
        <v>18809427</v>
      </c>
      <c r="B783" s="6" t="s">
        <v>153</v>
      </c>
      <c r="C783" s="6" t="s">
        <v>53</v>
      </c>
      <c r="D783" s="8" t="s">
        <v>54</v>
      </c>
      <c r="E783" s="6" t="s">
        <v>2763</v>
      </c>
      <c r="F783" s="6" t="s">
        <v>51</v>
      </c>
      <c r="G783" s="11" t="s">
        <v>56</v>
      </c>
      <c r="H783" s="11"/>
      <c r="I783" s="10" t="s">
        <v>2764</v>
      </c>
      <c r="J783" s="6" t="s">
        <v>2765</v>
      </c>
      <c r="K783" s="12">
        <v>46121.735127314816</v>
      </c>
      <c r="L783" s="6" t="e" cm="1">
        <f t="array" ref="L783">LOOKUP(2^15,SEARCH(Tabela2[Palavras-Chave],Boletim4[[#This Row],[Objeto]],1),Tabela2[Palavras-Chave])</f>
        <v>#N/A</v>
      </c>
    </row>
    <row r="784" spans="1:12" ht="72" hidden="1" x14ac:dyDescent="0.3">
      <c r="A784" s="5">
        <v>18809438</v>
      </c>
      <c r="B784" s="6" t="s">
        <v>58</v>
      </c>
      <c r="C784" s="6" t="s">
        <v>53</v>
      </c>
      <c r="D784" s="8" t="s">
        <v>54</v>
      </c>
      <c r="E784" s="6" t="s">
        <v>2766</v>
      </c>
      <c r="F784" s="6" t="s">
        <v>51</v>
      </c>
      <c r="G784" s="11" t="s">
        <v>56</v>
      </c>
      <c r="H784" s="11"/>
      <c r="I784" s="10" t="s">
        <v>2767</v>
      </c>
      <c r="J784" s="6" t="s">
        <v>2768</v>
      </c>
      <c r="K784" s="12">
        <v>46121.742627314816</v>
      </c>
      <c r="L784" s="6" t="e" cm="1">
        <f t="array" ref="L784">LOOKUP(2^15,SEARCH(Tabela2[Palavras-Chave],Boletim4[[#This Row],[Objeto]],1),Tabela2[Palavras-Chave])</f>
        <v>#N/A</v>
      </c>
    </row>
    <row r="785" spans="1:12" ht="72" hidden="1" x14ac:dyDescent="0.3">
      <c r="A785" s="5">
        <v>18809444</v>
      </c>
      <c r="B785" s="6" t="s">
        <v>150</v>
      </c>
      <c r="C785" s="6" t="s">
        <v>57</v>
      </c>
      <c r="D785" s="8" t="s">
        <v>54</v>
      </c>
      <c r="E785" s="6" t="s">
        <v>2769</v>
      </c>
      <c r="F785" s="6" t="s">
        <v>51</v>
      </c>
      <c r="G785" s="11" t="s">
        <v>56</v>
      </c>
      <c r="H785" s="11"/>
      <c r="I785" s="10" t="s">
        <v>2770</v>
      </c>
      <c r="J785" s="6" t="s">
        <v>2771</v>
      </c>
      <c r="K785" s="12">
        <v>46121.763391203705</v>
      </c>
      <c r="L785" s="6" t="e" cm="1">
        <f t="array" ref="L785">LOOKUP(2^15,SEARCH(Tabela2[Palavras-Chave],Boletim4[[#This Row],[Objeto]],1),Tabela2[Palavras-Chave])</f>
        <v>#N/A</v>
      </c>
    </row>
    <row r="786" spans="1:12" ht="86.4" hidden="1" x14ac:dyDescent="0.3">
      <c r="A786" s="5">
        <v>18776658</v>
      </c>
      <c r="B786" s="6" t="s">
        <v>150</v>
      </c>
      <c r="C786" s="6" t="s">
        <v>57</v>
      </c>
      <c r="D786" s="8" t="s">
        <v>54</v>
      </c>
      <c r="E786" s="6" t="s">
        <v>776</v>
      </c>
      <c r="F786" s="6" t="s">
        <v>51</v>
      </c>
      <c r="G786" s="11" t="s">
        <v>56</v>
      </c>
      <c r="H786" s="11"/>
      <c r="I786" s="10" t="s">
        <v>777</v>
      </c>
      <c r="J786" s="6" t="s">
        <v>778</v>
      </c>
      <c r="K786" s="12">
        <v>46121.79178240741</v>
      </c>
      <c r="L786" s="6" t="e" cm="1">
        <f t="array" ref="L786">LOOKUP(2^15,SEARCH(Tabela2[Palavras-Chave],Boletim4[[#This Row],[Objeto]],1),Tabela2[Palavras-Chave])</f>
        <v>#N/A</v>
      </c>
    </row>
    <row r="787" spans="1:12" ht="86.4" hidden="1" x14ac:dyDescent="0.3">
      <c r="A787" s="5">
        <v>18735264</v>
      </c>
      <c r="B787" s="6" t="s">
        <v>150</v>
      </c>
      <c r="C787" s="6" t="s">
        <v>57</v>
      </c>
      <c r="D787" s="8" t="s">
        <v>54</v>
      </c>
      <c r="E787" s="6" t="s">
        <v>584</v>
      </c>
      <c r="F787" s="6" t="s">
        <v>51</v>
      </c>
      <c r="G787" s="11" t="s">
        <v>56</v>
      </c>
      <c r="H787" s="11"/>
      <c r="I787" s="10" t="s">
        <v>585</v>
      </c>
      <c r="J787" s="6" t="s">
        <v>2772</v>
      </c>
      <c r="K787" s="12">
        <v>46121.809756944444</v>
      </c>
      <c r="L787" s="6" t="e" cm="1">
        <f t="array" ref="L787">LOOKUP(2^15,SEARCH(Tabela2[Palavras-Chave],Boletim4[[#This Row],[Objeto]],1),Tabela2[Palavras-Chave])</f>
        <v>#N/A</v>
      </c>
    </row>
    <row r="788" spans="1:12" ht="86.4" x14ac:dyDescent="0.3">
      <c r="A788" s="5">
        <v>18803784</v>
      </c>
      <c r="B788" s="6" t="s">
        <v>187</v>
      </c>
      <c r="C788" s="6" t="s">
        <v>266</v>
      </c>
      <c r="D788" s="8" t="s">
        <v>54</v>
      </c>
      <c r="E788" s="6" t="s">
        <v>588</v>
      </c>
      <c r="F788" s="6" t="s">
        <v>51</v>
      </c>
      <c r="G788" s="11" t="s">
        <v>56</v>
      </c>
      <c r="H788" s="11"/>
      <c r="I788" s="10" t="s">
        <v>589</v>
      </c>
      <c r="J788" s="6" t="s">
        <v>2773</v>
      </c>
      <c r="K788" s="12">
        <v>46121.812650462962</v>
      </c>
      <c r="L788" s="6" t="str" cm="1">
        <f t="array" ref="L788">LOOKUP(2^15,SEARCH(Tabela2[Palavras-Chave],Boletim4[[#This Row],[Objeto]],1),Tabela2[Palavras-Chave])</f>
        <v>MEDIÇÃO</v>
      </c>
    </row>
    <row r="789" spans="1:12" ht="86.4" hidden="1" x14ac:dyDescent="0.3">
      <c r="A789" s="5">
        <v>18788589</v>
      </c>
      <c r="B789" s="6" t="s">
        <v>58</v>
      </c>
      <c r="C789" s="6" t="s">
        <v>53</v>
      </c>
      <c r="D789" s="8" t="s">
        <v>54</v>
      </c>
      <c r="E789" s="6" t="s">
        <v>2774</v>
      </c>
      <c r="F789" s="6" t="s">
        <v>51</v>
      </c>
      <c r="G789" s="11" t="s">
        <v>56</v>
      </c>
      <c r="H789" s="11"/>
      <c r="I789" s="10" t="s">
        <v>2775</v>
      </c>
      <c r="J789" s="6" t="s">
        <v>2776</v>
      </c>
      <c r="K789" s="12">
        <v>46121.813240740739</v>
      </c>
      <c r="L789" s="6" t="e" cm="1">
        <f t="array" ref="L789">LOOKUP(2^15,SEARCH(Tabela2[Palavras-Chave],Boletim4[[#This Row],[Objeto]],1),Tabela2[Palavras-Chave])</f>
        <v>#N/A</v>
      </c>
    </row>
    <row r="790" spans="1:12" ht="86.4" hidden="1" x14ac:dyDescent="0.3">
      <c r="A790" s="5">
        <v>18729395</v>
      </c>
      <c r="B790" s="6" t="s">
        <v>58</v>
      </c>
      <c r="C790" s="6" t="s">
        <v>53</v>
      </c>
      <c r="D790" s="8" t="s">
        <v>54</v>
      </c>
      <c r="E790" s="6" t="s">
        <v>2777</v>
      </c>
      <c r="F790" s="6" t="s">
        <v>51</v>
      </c>
      <c r="G790" s="11" t="s">
        <v>56</v>
      </c>
      <c r="H790" s="11"/>
      <c r="I790" s="10" t="s">
        <v>2778</v>
      </c>
      <c r="J790" s="6" t="s">
        <v>2779</v>
      </c>
      <c r="K790" s="12">
        <v>46121.81287037037</v>
      </c>
      <c r="L790" s="6" t="e" cm="1">
        <f t="array" ref="L790">LOOKUP(2^15,SEARCH(Tabela2[Palavras-Chave],Boletim4[[#This Row],[Objeto]],1),Tabela2[Palavras-Chave])</f>
        <v>#N/A</v>
      </c>
    </row>
    <row r="791" spans="1:12" ht="86.4" hidden="1" x14ac:dyDescent="0.3">
      <c r="A791" s="5">
        <v>18786778</v>
      </c>
      <c r="B791" s="6" t="s">
        <v>150</v>
      </c>
      <c r="C791" s="6" t="s">
        <v>57</v>
      </c>
      <c r="D791" s="8" t="s">
        <v>54</v>
      </c>
      <c r="E791" s="6" t="s">
        <v>779</v>
      </c>
      <c r="F791" s="6" t="s">
        <v>51</v>
      </c>
      <c r="G791" s="11" t="s">
        <v>56</v>
      </c>
      <c r="H791" s="11"/>
      <c r="I791" s="10" t="s">
        <v>780</v>
      </c>
      <c r="J791" s="6" t="s">
        <v>781</v>
      </c>
      <c r="K791" s="12">
        <v>46121.830590277779</v>
      </c>
      <c r="L791" s="6" t="e" cm="1">
        <f t="array" ref="L791">LOOKUP(2^15,SEARCH(Tabela2[Palavras-Chave],Boletim4[[#This Row],[Objeto]],1),Tabela2[Palavras-Chave])</f>
        <v>#N/A</v>
      </c>
    </row>
    <row r="792" spans="1:12" ht="72" x14ac:dyDescent="0.3">
      <c r="A792" s="5">
        <v>18811316</v>
      </c>
      <c r="B792" s="6" t="s">
        <v>150</v>
      </c>
      <c r="C792" s="6" t="s">
        <v>57</v>
      </c>
      <c r="D792" s="8" t="s">
        <v>54</v>
      </c>
      <c r="E792" s="6" t="s">
        <v>782</v>
      </c>
      <c r="F792" s="6" t="s">
        <v>51</v>
      </c>
      <c r="G792" s="11" t="s">
        <v>56</v>
      </c>
      <c r="H792" s="11"/>
      <c r="I792" s="10" t="s">
        <v>783</v>
      </c>
      <c r="J792" s="6" t="s">
        <v>784</v>
      </c>
      <c r="K792" s="12">
        <v>46121.836157407408</v>
      </c>
      <c r="L792" s="6" t="str" cm="1">
        <f t="array" ref="L792">LOOKUP(2^15,SEARCH(Tabela2[Palavras-Chave],Boletim4[[#This Row],[Objeto]],1),Tabela2[Palavras-Chave])</f>
        <v>TANQUE</v>
      </c>
    </row>
    <row r="793" spans="1:12" ht="86.4" hidden="1" x14ac:dyDescent="0.3">
      <c r="A793" s="5">
        <v>18769631</v>
      </c>
      <c r="B793" s="6" t="s">
        <v>153</v>
      </c>
      <c r="C793" s="6" t="s">
        <v>53</v>
      </c>
      <c r="D793" s="8" t="s">
        <v>54</v>
      </c>
      <c r="E793" s="6" t="s">
        <v>785</v>
      </c>
      <c r="F793" s="6" t="s">
        <v>51</v>
      </c>
      <c r="G793" s="11" t="s">
        <v>56</v>
      </c>
      <c r="H793" s="11"/>
      <c r="I793" s="10" t="s">
        <v>786</v>
      </c>
      <c r="J793" s="6" t="s">
        <v>787</v>
      </c>
      <c r="K793" s="12">
        <v>46121.838229166664</v>
      </c>
      <c r="L793" s="6" t="e" cm="1">
        <f t="array" ref="L793">LOOKUP(2^15,SEARCH(Tabela2[Palavras-Chave],Boletim4[[#This Row],[Objeto]],1),Tabela2[Palavras-Chave])</f>
        <v>#N/A</v>
      </c>
    </row>
    <row r="794" spans="1:12" ht="72" hidden="1" x14ac:dyDescent="0.3">
      <c r="A794" s="5">
        <v>18807306</v>
      </c>
      <c r="B794" s="6" t="s">
        <v>58</v>
      </c>
      <c r="C794" s="6" t="s">
        <v>319</v>
      </c>
      <c r="D794" s="8" t="s">
        <v>54</v>
      </c>
      <c r="E794" s="6" t="s">
        <v>788</v>
      </c>
      <c r="F794" s="6" t="s">
        <v>51</v>
      </c>
      <c r="G794" s="11" t="s">
        <v>56</v>
      </c>
      <c r="H794" s="11"/>
      <c r="I794" s="10" t="s">
        <v>789</v>
      </c>
      <c r="J794" s="6" t="s">
        <v>790</v>
      </c>
      <c r="K794" s="12">
        <v>46121.836435185185</v>
      </c>
      <c r="L794" s="6" t="e" cm="1">
        <f t="array" ref="L794">LOOKUP(2^15,SEARCH(Tabela2[Palavras-Chave],Boletim4[[#This Row],[Objeto]],1),Tabela2[Palavras-Chave])</f>
        <v>#N/A</v>
      </c>
    </row>
    <row r="795" spans="1:12" ht="72" hidden="1" x14ac:dyDescent="0.3">
      <c r="A795" s="5">
        <v>18811332</v>
      </c>
      <c r="B795" s="6" t="s">
        <v>58</v>
      </c>
      <c r="C795" s="6" t="s">
        <v>53</v>
      </c>
      <c r="D795" s="8" t="s">
        <v>54</v>
      </c>
      <c r="E795" s="6" t="s">
        <v>791</v>
      </c>
      <c r="F795" s="6" t="s">
        <v>51</v>
      </c>
      <c r="G795" s="11" t="s">
        <v>56</v>
      </c>
      <c r="H795" s="11"/>
      <c r="I795" s="10" t="s">
        <v>792</v>
      </c>
      <c r="J795" s="6" t="s">
        <v>793</v>
      </c>
      <c r="K795" s="12">
        <v>46121.838946759257</v>
      </c>
      <c r="L795" s="6" t="e" cm="1">
        <f t="array" ref="L795">LOOKUP(2^15,SEARCH(Tabela2[Palavras-Chave],Boletim4[[#This Row],[Objeto]],1),Tabela2[Palavras-Chave])</f>
        <v>#N/A</v>
      </c>
    </row>
    <row r="796" spans="1:12" ht="86.4" hidden="1" x14ac:dyDescent="0.3">
      <c r="A796" s="5">
        <v>18776645</v>
      </c>
      <c r="B796" s="6" t="s">
        <v>58</v>
      </c>
      <c r="C796" s="6" t="s">
        <v>53</v>
      </c>
      <c r="D796" s="8" t="s">
        <v>54</v>
      </c>
      <c r="E796" s="6" t="s">
        <v>586</v>
      </c>
      <c r="F796" s="6" t="s">
        <v>51</v>
      </c>
      <c r="G796" s="11" t="s">
        <v>56</v>
      </c>
      <c r="H796" s="11"/>
      <c r="I796" s="10" t="s">
        <v>587</v>
      </c>
      <c r="J796" s="6" t="s">
        <v>794</v>
      </c>
      <c r="K796" s="12">
        <v>46121.845879629633</v>
      </c>
      <c r="L796" s="6" t="e" cm="1">
        <f t="array" ref="L796">LOOKUP(2^15,SEARCH(Tabela2[Palavras-Chave],Boletim4[[#This Row],[Objeto]],1),Tabela2[Palavras-Chave])</f>
        <v>#N/A</v>
      </c>
    </row>
    <row r="797" spans="1:12" ht="86.4" hidden="1" x14ac:dyDescent="0.3">
      <c r="A797" s="5">
        <v>18799162</v>
      </c>
      <c r="B797" s="6" t="s">
        <v>150</v>
      </c>
      <c r="C797" s="6" t="s">
        <v>57</v>
      </c>
      <c r="D797" s="8" t="s">
        <v>54</v>
      </c>
      <c r="E797" s="6" t="s">
        <v>795</v>
      </c>
      <c r="F797" s="6" t="s">
        <v>51</v>
      </c>
      <c r="G797" s="11" t="s">
        <v>56</v>
      </c>
      <c r="H797" s="11"/>
      <c r="I797" s="10" t="s">
        <v>796</v>
      </c>
      <c r="J797" s="6" t="s">
        <v>797</v>
      </c>
      <c r="K797" s="12">
        <v>46121.847951388889</v>
      </c>
      <c r="L797" s="6" t="e" cm="1">
        <f t="array" ref="L797">LOOKUP(2^15,SEARCH(Tabela2[Palavras-Chave],Boletim4[[#This Row],[Objeto]],1),Tabela2[Palavras-Chave])</f>
        <v>#N/A</v>
      </c>
    </row>
    <row r="798" spans="1:12" ht="72" hidden="1" x14ac:dyDescent="0.3">
      <c r="A798" s="5">
        <v>18811376</v>
      </c>
      <c r="B798" s="6" t="s">
        <v>58</v>
      </c>
      <c r="C798" s="6" t="s">
        <v>53</v>
      </c>
      <c r="D798" s="8" t="s">
        <v>54</v>
      </c>
      <c r="E798" s="6" t="s">
        <v>798</v>
      </c>
      <c r="F798" s="6" t="s">
        <v>51</v>
      </c>
      <c r="G798" s="11" t="s">
        <v>56</v>
      </c>
      <c r="H798" s="11"/>
      <c r="I798" s="10" t="s">
        <v>799</v>
      </c>
      <c r="J798" s="6" t="s">
        <v>800</v>
      </c>
      <c r="K798" s="12">
        <v>46121.846562500003</v>
      </c>
      <c r="L798" s="6" t="e" cm="1">
        <f t="array" ref="L798">LOOKUP(2^15,SEARCH(Tabela2[Palavras-Chave],Boletim4[[#This Row],[Objeto]],1),Tabela2[Palavras-Chave])</f>
        <v>#N/A</v>
      </c>
    </row>
    <row r="799" spans="1:12" ht="86.4" hidden="1" x14ac:dyDescent="0.3">
      <c r="A799" s="5">
        <v>18799172</v>
      </c>
      <c r="B799" s="6" t="s">
        <v>150</v>
      </c>
      <c r="C799" s="6" t="s">
        <v>57</v>
      </c>
      <c r="D799" s="8" t="s">
        <v>54</v>
      </c>
      <c r="E799" s="6" t="s">
        <v>2780</v>
      </c>
      <c r="F799" s="6" t="s">
        <v>51</v>
      </c>
      <c r="G799" s="11" t="s">
        <v>56</v>
      </c>
      <c r="H799" s="11"/>
      <c r="I799" s="10" t="s">
        <v>2781</v>
      </c>
      <c r="J799" s="6" t="s">
        <v>2782</v>
      </c>
      <c r="K799" s="12">
        <v>46121.851412037038</v>
      </c>
      <c r="L799" s="6" t="e" cm="1">
        <f t="array" ref="L799">LOOKUP(2^15,SEARCH(Tabela2[Palavras-Chave],Boletim4[[#This Row],[Objeto]],1),Tabela2[Palavras-Chave])</f>
        <v>#N/A</v>
      </c>
    </row>
    <row r="800" spans="1:12" ht="86.4" hidden="1" x14ac:dyDescent="0.3">
      <c r="A800" s="5">
        <v>18708832</v>
      </c>
      <c r="B800" s="6" t="s">
        <v>58</v>
      </c>
      <c r="C800" s="6" t="s">
        <v>53</v>
      </c>
      <c r="D800" s="8" t="s">
        <v>54</v>
      </c>
      <c r="E800" s="6" t="s">
        <v>801</v>
      </c>
      <c r="F800" s="6" t="s">
        <v>51</v>
      </c>
      <c r="G800" s="11" t="s">
        <v>56</v>
      </c>
      <c r="H800" s="11"/>
      <c r="I800" s="10" t="s">
        <v>802</v>
      </c>
      <c r="J800" s="6" t="s">
        <v>803</v>
      </c>
      <c r="K800" s="12">
        <v>46121.856412037036</v>
      </c>
      <c r="L800" s="6" t="e" cm="1">
        <f t="array" ref="L800">LOOKUP(2^15,SEARCH(Tabela2[Palavras-Chave],Boletim4[[#This Row],[Objeto]],1),Tabela2[Palavras-Chave])</f>
        <v>#N/A</v>
      </c>
    </row>
    <row r="801" spans="1:12" ht="72" hidden="1" x14ac:dyDescent="0.3">
      <c r="A801" s="5">
        <v>18809954</v>
      </c>
      <c r="B801" s="6" t="s">
        <v>58</v>
      </c>
      <c r="C801" s="6" t="s">
        <v>53</v>
      </c>
      <c r="D801" s="8" t="s">
        <v>54</v>
      </c>
      <c r="E801" s="6" t="s">
        <v>804</v>
      </c>
      <c r="F801" s="6" t="s">
        <v>51</v>
      </c>
      <c r="G801" s="11" t="s">
        <v>56</v>
      </c>
      <c r="H801" s="11"/>
      <c r="I801" s="10" t="s">
        <v>805</v>
      </c>
      <c r="J801" s="6" t="s">
        <v>806</v>
      </c>
      <c r="K801" s="12">
        <v>46121.867465277777</v>
      </c>
      <c r="L801" s="6" t="e" cm="1">
        <f t="array" ref="L801">LOOKUP(2^15,SEARCH(Tabela2[Palavras-Chave],Boletim4[[#This Row],[Objeto]],1),Tabela2[Palavras-Chave])</f>
        <v>#N/A</v>
      </c>
    </row>
    <row r="802" spans="1:12" ht="86.4" hidden="1" x14ac:dyDescent="0.3">
      <c r="A802" s="5">
        <v>18805878</v>
      </c>
      <c r="B802" s="6" t="s">
        <v>330</v>
      </c>
      <c r="C802" s="6" t="s">
        <v>331</v>
      </c>
      <c r="D802" s="8" t="s">
        <v>60</v>
      </c>
      <c r="E802" s="6" t="s">
        <v>332</v>
      </c>
      <c r="F802" s="6" t="s">
        <v>51</v>
      </c>
      <c r="G802" s="11">
        <v>46126.583333333336</v>
      </c>
      <c r="H802" s="11"/>
      <c r="I802" s="10" t="s">
        <v>333</v>
      </c>
      <c r="J802" s="6" t="s">
        <v>334</v>
      </c>
      <c r="K802" s="12">
        <v>46121.409062500003</v>
      </c>
      <c r="L802" s="6" t="e" cm="1">
        <f t="array" ref="L802">LOOKUP(2^15,SEARCH(Tabela2[Palavras-Chave],Boletim4[[#This Row],[Objeto]],1),Tabela2[Palavras-Chave])</f>
        <v>#N/A</v>
      </c>
    </row>
    <row r="803" spans="1:12" ht="86.4" hidden="1" x14ac:dyDescent="0.3">
      <c r="A803" s="5">
        <v>18806765</v>
      </c>
      <c r="B803" s="6" t="s">
        <v>807</v>
      </c>
      <c r="C803" s="6" t="s">
        <v>808</v>
      </c>
      <c r="D803" s="8" t="s">
        <v>60</v>
      </c>
      <c r="E803" s="6" t="s">
        <v>809</v>
      </c>
      <c r="F803" s="6" t="s">
        <v>51</v>
      </c>
      <c r="G803" s="11">
        <v>46126.333333333336</v>
      </c>
      <c r="H803" s="11"/>
      <c r="I803" s="10" t="s">
        <v>810</v>
      </c>
      <c r="J803" s="6" t="s">
        <v>811</v>
      </c>
      <c r="K803" s="12">
        <v>46121.445393518516</v>
      </c>
      <c r="L803" s="6" t="e" cm="1">
        <f t="array" ref="L803">LOOKUP(2^15,SEARCH(Tabela2[Palavras-Chave],Boletim4[[#This Row],[Objeto]],1),Tabela2[Palavras-Chave])</f>
        <v>#N/A</v>
      </c>
    </row>
    <row r="804" spans="1:12" ht="244.8" hidden="1" x14ac:dyDescent="0.3">
      <c r="A804" s="5">
        <v>18807169</v>
      </c>
      <c r="B804" s="6" t="s">
        <v>812</v>
      </c>
      <c r="C804" s="6" t="s">
        <v>59</v>
      </c>
      <c r="D804" s="8" t="s">
        <v>60</v>
      </c>
      <c r="E804" s="6" t="s">
        <v>283</v>
      </c>
      <c r="F804" s="6" t="s">
        <v>51</v>
      </c>
      <c r="G804" s="11" t="s">
        <v>56</v>
      </c>
      <c r="H804" s="11"/>
      <c r="I804" s="10" t="s">
        <v>813</v>
      </c>
      <c r="J804" s="6" t="s">
        <v>814</v>
      </c>
      <c r="K804" s="12">
        <v>46121.451226851852</v>
      </c>
      <c r="L804" s="6" t="e" cm="1">
        <f t="array" ref="L804">LOOKUP(2^15,SEARCH(Tabela2[Palavras-Chave],Boletim4[[#This Row],[Objeto]],1),Tabela2[Palavras-Chave])</f>
        <v>#N/A</v>
      </c>
    </row>
    <row r="805" spans="1:12" ht="86.4" hidden="1" x14ac:dyDescent="0.3">
      <c r="A805" s="5">
        <v>18806657</v>
      </c>
      <c r="B805" s="6" t="s">
        <v>815</v>
      </c>
      <c r="C805" s="6" t="s">
        <v>816</v>
      </c>
      <c r="D805" s="8" t="s">
        <v>60</v>
      </c>
      <c r="E805" s="6" t="s">
        <v>817</v>
      </c>
      <c r="F805" s="6" t="s">
        <v>51</v>
      </c>
      <c r="G805" s="11">
        <v>46126.416666666664</v>
      </c>
      <c r="H805" s="11"/>
      <c r="I805" s="10" t="s">
        <v>818</v>
      </c>
      <c r="J805" s="6" t="s">
        <v>819</v>
      </c>
      <c r="K805" s="12">
        <v>46121.456932870373</v>
      </c>
      <c r="L805" s="6" t="e" cm="1">
        <f t="array" ref="L805">LOOKUP(2^15,SEARCH(Tabela2[Palavras-Chave],Boletim4[[#This Row],[Objeto]],1),Tabela2[Palavras-Chave])</f>
        <v>#N/A</v>
      </c>
    </row>
    <row r="806" spans="1:12" ht="115.2" hidden="1" x14ac:dyDescent="0.3">
      <c r="A806" s="5">
        <v>18806747</v>
      </c>
      <c r="B806" s="6" t="s">
        <v>820</v>
      </c>
      <c r="C806" s="6" t="s">
        <v>821</v>
      </c>
      <c r="D806" s="8" t="s">
        <v>60</v>
      </c>
      <c r="E806" s="6" t="s">
        <v>822</v>
      </c>
      <c r="F806" s="6" t="s">
        <v>51</v>
      </c>
      <c r="G806" s="11">
        <v>46125.666666666664</v>
      </c>
      <c r="H806" s="11"/>
      <c r="I806" s="10" t="s">
        <v>823</v>
      </c>
      <c r="J806" s="6" t="s">
        <v>824</v>
      </c>
      <c r="K806" s="12">
        <v>46121.472048611111</v>
      </c>
      <c r="L806" s="6" t="e" cm="1">
        <f t="array" ref="L806">LOOKUP(2^15,SEARCH(Tabela2[Palavras-Chave],Boletim4[[#This Row],[Objeto]],1),Tabela2[Palavras-Chave])</f>
        <v>#N/A</v>
      </c>
    </row>
    <row r="807" spans="1:12" ht="201.6" x14ac:dyDescent="0.3">
      <c r="A807" s="5">
        <v>18807168</v>
      </c>
      <c r="B807" s="6" t="s">
        <v>812</v>
      </c>
      <c r="C807" s="6" t="s">
        <v>59</v>
      </c>
      <c r="D807" s="8" t="s">
        <v>60</v>
      </c>
      <c r="E807" s="6" t="s">
        <v>825</v>
      </c>
      <c r="F807" s="6" t="s">
        <v>51</v>
      </c>
      <c r="G807" s="11" t="s">
        <v>56</v>
      </c>
      <c r="H807" s="11"/>
      <c r="I807" s="10" t="s">
        <v>826</v>
      </c>
      <c r="J807" s="6" t="s">
        <v>814</v>
      </c>
      <c r="K807" s="12">
        <v>46121.473495370374</v>
      </c>
      <c r="L807" s="6" t="str" cm="1">
        <f t="array" ref="L807">LOOKUP(2^15,SEARCH(Tabela2[Palavras-Chave],Boletim4[[#This Row],[Objeto]],1),Tabela2[Palavras-Chave])</f>
        <v>INOX</v>
      </c>
    </row>
    <row r="808" spans="1:12" ht="100.8" hidden="1" x14ac:dyDescent="0.3">
      <c r="A808" s="5">
        <v>18806582</v>
      </c>
      <c r="B808" s="6" t="s">
        <v>827</v>
      </c>
      <c r="C808" s="6" t="s">
        <v>828</v>
      </c>
      <c r="D808" s="8" t="s">
        <v>60</v>
      </c>
      <c r="E808" s="6" t="s">
        <v>829</v>
      </c>
      <c r="F808" s="6" t="s">
        <v>51</v>
      </c>
      <c r="G808" s="11">
        <v>46125.729166666664</v>
      </c>
      <c r="H808" s="11"/>
      <c r="I808" s="10" t="s">
        <v>322</v>
      </c>
      <c r="J808" s="6" t="s">
        <v>830</v>
      </c>
      <c r="K808" s="12">
        <v>46121.523773148147</v>
      </c>
      <c r="L808" s="6" t="e" cm="1">
        <f t="array" ref="L808">LOOKUP(2^15,SEARCH(Tabela2[Palavras-Chave],Boletim4[[#This Row],[Objeto]],1),Tabela2[Palavras-Chave])</f>
        <v>#N/A</v>
      </c>
    </row>
    <row r="809" spans="1:12" ht="86.4" hidden="1" x14ac:dyDescent="0.3">
      <c r="A809" s="5">
        <v>18808135</v>
      </c>
      <c r="B809" s="6" t="s">
        <v>831</v>
      </c>
      <c r="C809" s="6" t="s">
        <v>331</v>
      </c>
      <c r="D809" s="8" t="s">
        <v>60</v>
      </c>
      <c r="E809" s="6" t="s">
        <v>832</v>
      </c>
      <c r="F809" s="6" t="s">
        <v>51</v>
      </c>
      <c r="G809" s="11">
        <v>46125.666666666664</v>
      </c>
      <c r="H809" s="11"/>
      <c r="I809" s="10" t="s">
        <v>833</v>
      </c>
      <c r="J809" s="6" t="s">
        <v>834</v>
      </c>
      <c r="K809" s="12">
        <v>46121.526226851849</v>
      </c>
      <c r="L809" s="6" t="e" cm="1">
        <f t="array" ref="L809">LOOKUP(2^15,SEARCH(Tabela2[Palavras-Chave],Boletim4[[#This Row],[Objeto]],1),Tabela2[Palavras-Chave])</f>
        <v>#N/A</v>
      </c>
    </row>
    <row r="810" spans="1:12" ht="86.4" hidden="1" x14ac:dyDescent="0.3">
      <c r="A810" s="5">
        <v>18806675</v>
      </c>
      <c r="B810" s="6" t="s">
        <v>835</v>
      </c>
      <c r="C810" s="6" t="s">
        <v>836</v>
      </c>
      <c r="D810" s="8" t="s">
        <v>60</v>
      </c>
      <c r="E810" s="6" t="s">
        <v>837</v>
      </c>
      <c r="F810" s="6" t="s">
        <v>51</v>
      </c>
      <c r="G810" s="11">
        <v>46126.333333333336</v>
      </c>
      <c r="H810" s="11"/>
      <c r="I810" s="10" t="s">
        <v>322</v>
      </c>
      <c r="J810" s="6" t="s">
        <v>838</v>
      </c>
      <c r="K810" s="12">
        <v>46121.526539351849</v>
      </c>
      <c r="L810" s="6" t="e" cm="1">
        <f t="array" ref="L810">LOOKUP(2^15,SEARCH(Tabela2[Palavras-Chave],Boletim4[[#This Row],[Objeto]],1),Tabela2[Palavras-Chave])</f>
        <v>#N/A</v>
      </c>
    </row>
    <row r="811" spans="1:12" ht="86.4" hidden="1" x14ac:dyDescent="0.3">
      <c r="A811" s="5">
        <v>18806588</v>
      </c>
      <c r="B811" s="6" t="s">
        <v>839</v>
      </c>
      <c r="C811" s="6" t="s">
        <v>59</v>
      </c>
      <c r="D811" s="8" t="s">
        <v>60</v>
      </c>
      <c r="E811" s="6" t="s">
        <v>840</v>
      </c>
      <c r="F811" s="6" t="s">
        <v>51</v>
      </c>
      <c r="G811" s="11">
        <v>46125.75</v>
      </c>
      <c r="H811" s="11"/>
      <c r="I811" s="10" t="s">
        <v>841</v>
      </c>
      <c r="J811" s="6" t="s">
        <v>842</v>
      </c>
      <c r="K811" s="12">
        <v>46121.526585648149</v>
      </c>
      <c r="L811" s="6" t="e" cm="1">
        <f t="array" ref="L811">LOOKUP(2^15,SEARCH(Tabela2[Palavras-Chave],Boletim4[[#This Row],[Objeto]],1),Tabela2[Palavras-Chave])</f>
        <v>#N/A</v>
      </c>
    </row>
    <row r="812" spans="1:12" ht="115.2" hidden="1" x14ac:dyDescent="0.3">
      <c r="A812" s="5">
        <v>18806572</v>
      </c>
      <c r="B812" s="6" t="s">
        <v>843</v>
      </c>
      <c r="C812" s="6" t="s">
        <v>844</v>
      </c>
      <c r="D812" s="8" t="s">
        <v>60</v>
      </c>
      <c r="E812" s="6" t="s">
        <v>845</v>
      </c>
      <c r="F812" s="6" t="s">
        <v>51</v>
      </c>
      <c r="G812" s="11">
        <v>46125.729166666664</v>
      </c>
      <c r="H812" s="11"/>
      <c r="I812" s="10" t="s">
        <v>846</v>
      </c>
      <c r="J812" s="6" t="s">
        <v>847</v>
      </c>
      <c r="K812" s="12">
        <v>46121.611481481479</v>
      </c>
      <c r="L812" s="6" t="e" cm="1">
        <f t="array" ref="L812">LOOKUP(2^15,SEARCH(Tabela2[Palavras-Chave],Boletim4[[#This Row],[Objeto]],1),Tabela2[Palavras-Chave])</f>
        <v>#N/A</v>
      </c>
    </row>
    <row r="813" spans="1:12" ht="187.2" hidden="1" x14ac:dyDescent="0.3">
      <c r="A813" s="5">
        <v>18805914</v>
      </c>
      <c r="B813" s="6" t="s">
        <v>325</v>
      </c>
      <c r="C813" s="6" t="s">
        <v>59</v>
      </c>
      <c r="D813" s="8" t="s">
        <v>60</v>
      </c>
      <c r="E813" s="6" t="s">
        <v>326</v>
      </c>
      <c r="F813" s="6" t="s">
        <v>51</v>
      </c>
      <c r="G813" s="11">
        <v>46128.333333333336</v>
      </c>
      <c r="H813" s="11"/>
      <c r="I813" s="10" t="s">
        <v>327</v>
      </c>
      <c r="J813" s="6" t="s">
        <v>328</v>
      </c>
      <c r="K813" s="12">
        <v>46121.659074074072</v>
      </c>
      <c r="L813" s="6" t="e" cm="1">
        <f t="array" ref="L813">LOOKUP(2^15,SEARCH(Tabela2[Palavras-Chave],Boletim4[[#This Row],[Objeto]],1),Tabela2[Palavras-Chave])</f>
        <v>#N/A</v>
      </c>
    </row>
    <row r="814" spans="1:12" ht="28.8" hidden="1" x14ac:dyDescent="0.3">
      <c r="A814" s="5">
        <v>18779909</v>
      </c>
      <c r="B814" s="6" t="s">
        <v>189</v>
      </c>
      <c r="C814" s="6" t="s">
        <v>59</v>
      </c>
      <c r="D814" s="8" t="s">
        <v>60</v>
      </c>
      <c r="E814" s="6" t="s">
        <v>2783</v>
      </c>
      <c r="F814" s="6" t="s">
        <v>51</v>
      </c>
      <c r="G814" s="11" t="s">
        <v>56</v>
      </c>
      <c r="H814" s="11"/>
      <c r="I814" s="10" t="s">
        <v>2784</v>
      </c>
      <c r="J814" s="6" t="s">
        <v>138</v>
      </c>
      <c r="K814" s="12">
        <v>46121.692199074074</v>
      </c>
      <c r="L814" s="6" t="e" cm="1">
        <f t="array" ref="L814">LOOKUP(2^15,SEARCH(Tabela2[Palavras-Chave],Boletim4[[#This Row],[Objeto]],1),Tabela2[Palavras-Chave])</f>
        <v>#N/A</v>
      </c>
    </row>
    <row r="815" spans="1:12" ht="28.8" hidden="1" x14ac:dyDescent="0.3">
      <c r="A815" s="5">
        <v>18801859</v>
      </c>
      <c r="B815" s="6" t="s">
        <v>189</v>
      </c>
      <c r="C815" s="6" t="s">
        <v>59</v>
      </c>
      <c r="D815" s="8" t="s">
        <v>60</v>
      </c>
      <c r="E815" s="6" t="s">
        <v>590</v>
      </c>
      <c r="F815" s="6" t="s">
        <v>51</v>
      </c>
      <c r="G815" s="11" t="s">
        <v>56</v>
      </c>
      <c r="H815" s="11"/>
      <c r="I815" s="10" t="s">
        <v>591</v>
      </c>
      <c r="J815" s="6" t="s">
        <v>138</v>
      </c>
      <c r="K815" s="12">
        <v>46121.695173611108</v>
      </c>
      <c r="L815" s="6" t="e" cm="1">
        <f t="array" ref="L815">LOOKUP(2^15,SEARCH(Tabela2[Palavras-Chave],Boletim4[[#This Row],[Objeto]],1),Tabela2[Palavras-Chave])</f>
        <v>#N/A</v>
      </c>
    </row>
    <row r="816" spans="1:12" ht="100.8" hidden="1" x14ac:dyDescent="0.3">
      <c r="A816" s="5">
        <v>18806793</v>
      </c>
      <c r="B816" s="6" t="s">
        <v>848</v>
      </c>
      <c r="C816" s="6" t="s">
        <v>59</v>
      </c>
      <c r="D816" s="8" t="s">
        <v>60</v>
      </c>
      <c r="E816" s="6" t="s">
        <v>849</v>
      </c>
      <c r="F816" s="6" t="s">
        <v>51</v>
      </c>
      <c r="G816" s="11">
        <v>46125.635416666664</v>
      </c>
      <c r="H816" s="11"/>
      <c r="I816" s="10" t="s">
        <v>850</v>
      </c>
      <c r="J816" s="6" t="s">
        <v>851</v>
      </c>
      <c r="K816" s="12">
        <v>46121.701516203706</v>
      </c>
      <c r="L816" s="6" t="e" cm="1">
        <f t="array" ref="L816">LOOKUP(2^15,SEARCH(Tabela2[Palavras-Chave],Boletim4[[#This Row],[Objeto]],1),Tabela2[Palavras-Chave])</f>
        <v>#N/A</v>
      </c>
    </row>
    <row r="817" spans="1:12" ht="100.8" hidden="1" x14ac:dyDescent="0.3">
      <c r="A817" s="5">
        <v>18809866</v>
      </c>
      <c r="B817" s="6" t="s">
        <v>321</v>
      </c>
      <c r="C817" s="6" t="s">
        <v>270</v>
      </c>
      <c r="D817" s="8" t="s">
        <v>60</v>
      </c>
      <c r="E817" s="6" t="s">
        <v>852</v>
      </c>
      <c r="F817" s="6" t="s">
        <v>51</v>
      </c>
      <c r="G817" s="11">
        <v>46126.4375</v>
      </c>
      <c r="H817" s="11"/>
      <c r="I817" s="10" t="s">
        <v>853</v>
      </c>
      <c r="J817" s="6" t="s">
        <v>854</v>
      </c>
      <c r="K817" s="12">
        <v>46121.763252314813</v>
      </c>
      <c r="L817" s="6" t="e" cm="1">
        <f t="array" ref="L817">LOOKUP(2^15,SEARCH(Tabela2[Palavras-Chave],Boletim4[[#This Row],[Objeto]],1),Tabela2[Palavras-Chave])</f>
        <v>#N/A</v>
      </c>
    </row>
    <row r="818" spans="1:12" ht="86.4" hidden="1" x14ac:dyDescent="0.3">
      <c r="A818" s="5">
        <v>18809320</v>
      </c>
      <c r="B818" s="6" t="s">
        <v>324</v>
      </c>
      <c r="C818" s="6" t="s">
        <v>323</v>
      </c>
      <c r="D818" s="8" t="s">
        <v>60</v>
      </c>
      <c r="E818" s="6" t="s">
        <v>855</v>
      </c>
      <c r="F818" s="6" t="s">
        <v>51</v>
      </c>
      <c r="G818" s="11">
        <v>46126.416666666664</v>
      </c>
      <c r="H818" s="11"/>
      <c r="I818" s="10" t="s">
        <v>856</v>
      </c>
      <c r="J818" s="6" t="s">
        <v>857</v>
      </c>
      <c r="K818" s="12">
        <v>46121.704675925925</v>
      </c>
      <c r="L818" s="6" t="e" cm="1">
        <f t="array" ref="L818">LOOKUP(2^15,SEARCH(Tabela2[Palavras-Chave],Boletim4[[#This Row],[Objeto]],1),Tabela2[Palavras-Chave])</f>
        <v>#N/A</v>
      </c>
    </row>
    <row r="819" spans="1:12" ht="86.4" hidden="1" x14ac:dyDescent="0.3">
      <c r="A819" s="5">
        <v>18806569</v>
      </c>
      <c r="B819" s="6" t="s">
        <v>839</v>
      </c>
      <c r="C819" s="6" t="s">
        <v>59</v>
      </c>
      <c r="D819" s="8" t="s">
        <v>60</v>
      </c>
      <c r="E819" s="6" t="s">
        <v>858</v>
      </c>
      <c r="F819" s="6" t="s">
        <v>51</v>
      </c>
      <c r="G819" s="11">
        <v>46125.75</v>
      </c>
      <c r="H819" s="11"/>
      <c r="I819" s="10" t="s">
        <v>859</v>
      </c>
      <c r="J819" s="6" t="s">
        <v>860</v>
      </c>
      <c r="K819" s="12">
        <v>46121.719606481478</v>
      </c>
      <c r="L819" s="6" t="e" cm="1">
        <f t="array" ref="L819">LOOKUP(2^15,SEARCH(Tabela2[Palavras-Chave],Boletim4[[#This Row],[Objeto]],1),Tabela2[Palavras-Chave])</f>
        <v>#N/A</v>
      </c>
    </row>
    <row r="820" spans="1:12" ht="86.4" hidden="1" x14ac:dyDescent="0.3">
      <c r="A820" s="5">
        <v>18806784</v>
      </c>
      <c r="B820" s="6" t="s">
        <v>2785</v>
      </c>
      <c r="C820" s="6" t="s">
        <v>2786</v>
      </c>
      <c r="D820" s="8" t="s">
        <v>60</v>
      </c>
      <c r="E820" s="6" t="s">
        <v>2787</v>
      </c>
      <c r="F820" s="6" t="s">
        <v>51</v>
      </c>
      <c r="G820" s="11">
        <v>46125.625</v>
      </c>
      <c r="H820" s="11"/>
      <c r="I820" s="10" t="s">
        <v>2788</v>
      </c>
      <c r="J820" s="6" t="s">
        <v>2789</v>
      </c>
      <c r="K820" s="12">
        <v>46121.720879629633</v>
      </c>
      <c r="L820" s="6" t="e" cm="1">
        <f t="array" ref="L820">LOOKUP(2^15,SEARCH(Tabela2[Palavras-Chave],Boletim4[[#This Row],[Objeto]],1),Tabela2[Palavras-Chave])</f>
        <v>#N/A</v>
      </c>
    </row>
    <row r="821" spans="1:12" ht="115.2" hidden="1" x14ac:dyDescent="0.3">
      <c r="A821" s="5">
        <v>18806621</v>
      </c>
      <c r="B821" s="6" t="s">
        <v>861</v>
      </c>
      <c r="C821" s="6" t="s">
        <v>862</v>
      </c>
      <c r="D821" s="8" t="s">
        <v>60</v>
      </c>
      <c r="E821" s="6" t="s">
        <v>863</v>
      </c>
      <c r="F821" s="6" t="s">
        <v>51</v>
      </c>
      <c r="G821" s="11">
        <v>46125.697916666664</v>
      </c>
      <c r="H821" s="11"/>
      <c r="I821" s="10" t="s">
        <v>864</v>
      </c>
      <c r="J821" s="6" t="s">
        <v>865</v>
      </c>
      <c r="K821" s="12">
        <v>46121.721180555556</v>
      </c>
      <c r="L821" s="6" t="e" cm="1">
        <f t="array" ref="L821">LOOKUP(2^15,SEARCH(Tabela2[Palavras-Chave],Boletim4[[#This Row],[Objeto]],1),Tabela2[Palavras-Chave])</f>
        <v>#N/A</v>
      </c>
    </row>
    <row r="822" spans="1:12" ht="100.8" hidden="1" x14ac:dyDescent="0.3">
      <c r="A822" s="5">
        <v>18810793</v>
      </c>
      <c r="B822" s="6" t="s">
        <v>866</v>
      </c>
      <c r="C822" s="6" t="s">
        <v>867</v>
      </c>
      <c r="D822" s="8" t="s">
        <v>60</v>
      </c>
      <c r="E822" s="6" t="s">
        <v>868</v>
      </c>
      <c r="F822" s="6" t="s">
        <v>51</v>
      </c>
      <c r="G822" s="11">
        <v>46126.520833333336</v>
      </c>
      <c r="H822" s="11"/>
      <c r="I822" s="10" t="s">
        <v>869</v>
      </c>
      <c r="J822" s="6" t="s">
        <v>870</v>
      </c>
      <c r="K822" s="12">
        <v>46121.756331018521</v>
      </c>
      <c r="L822" s="6" t="e" cm="1">
        <f t="array" ref="L822">LOOKUP(2^15,SEARCH(Tabela2[Palavras-Chave],Boletim4[[#This Row],[Objeto]],1),Tabela2[Palavras-Chave])</f>
        <v>#N/A</v>
      </c>
    </row>
    <row r="823" spans="1:12" hidden="1" x14ac:dyDescent="0.3">
      <c r="A823" s="5">
        <v>18807300</v>
      </c>
      <c r="B823" s="6" t="s">
        <v>189</v>
      </c>
      <c r="C823" s="6" t="s">
        <v>59</v>
      </c>
      <c r="D823" s="8" t="s">
        <v>60</v>
      </c>
      <c r="E823" s="6" t="s">
        <v>2790</v>
      </c>
      <c r="F823" s="6" t="s">
        <v>51</v>
      </c>
      <c r="G823" s="11" t="s">
        <v>56</v>
      </c>
      <c r="H823" s="11"/>
      <c r="I823" s="10" t="s">
        <v>2791</v>
      </c>
      <c r="J823" s="6" t="s">
        <v>90</v>
      </c>
      <c r="K823" s="12">
        <v>46121.757280092592</v>
      </c>
      <c r="L823" s="6" t="e" cm="1">
        <f t="array" ref="L823">LOOKUP(2^15,SEARCH(Tabela2[Palavras-Chave],Boletim4[[#This Row],[Objeto]],1),Tabela2[Palavras-Chave])</f>
        <v>#N/A</v>
      </c>
    </row>
    <row r="824" spans="1:12" ht="86.4" hidden="1" x14ac:dyDescent="0.3">
      <c r="A824" s="5">
        <v>18809868</v>
      </c>
      <c r="B824" s="6" t="s">
        <v>871</v>
      </c>
      <c r="C824" s="6" t="s">
        <v>872</v>
      </c>
      <c r="D824" s="8" t="s">
        <v>60</v>
      </c>
      <c r="E824" s="6" t="s">
        <v>873</v>
      </c>
      <c r="F824" s="6" t="s">
        <v>51</v>
      </c>
      <c r="G824" s="11">
        <v>46126.5</v>
      </c>
      <c r="H824" s="11"/>
      <c r="I824" s="10" t="s">
        <v>874</v>
      </c>
      <c r="J824" s="6" t="s">
        <v>875</v>
      </c>
      <c r="K824" s="12">
        <v>46121.763252314813</v>
      </c>
      <c r="L824" s="6" t="e" cm="1">
        <f t="array" ref="L824">LOOKUP(2^15,SEARCH(Tabela2[Palavras-Chave],Boletim4[[#This Row],[Objeto]],1),Tabela2[Palavras-Chave])</f>
        <v>#N/A</v>
      </c>
    </row>
    <row r="825" spans="1:12" ht="115.2" hidden="1" x14ac:dyDescent="0.3">
      <c r="A825" s="5">
        <v>18810808</v>
      </c>
      <c r="B825" s="6" t="s">
        <v>876</v>
      </c>
      <c r="C825" s="6" t="s">
        <v>877</v>
      </c>
      <c r="D825" s="8" t="s">
        <v>60</v>
      </c>
      <c r="E825" s="6" t="s">
        <v>878</v>
      </c>
      <c r="F825" s="6" t="s">
        <v>51</v>
      </c>
      <c r="G825" s="11">
        <v>46126.458333333336</v>
      </c>
      <c r="H825" s="11"/>
      <c r="I825" s="10" t="s">
        <v>879</v>
      </c>
      <c r="J825" s="6" t="s">
        <v>880</v>
      </c>
      <c r="K825" s="12">
        <v>46121.761620370373</v>
      </c>
      <c r="L825" s="6" t="e" cm="1">
        <f t="array" ref="L825">LOOKUP(2^15,SEARCH(Tabela2[Palavras-Chave],Boletim4[[#This Row],[Objeto]],1),Tabela2[Palavras-Chave])</f>
        <v>#N/A</v>
      </c>
    </row>
    <row r="826" spans="1:12" ht="100.8" hidden="1" x14ac:dyDescent="0.3">
      <c r="A826" s="5">
        <v>18810830</v>
      </c>
      <c r="B826" s="6" t="s">
        <v>881</v>
      </c>
      <c r="C826" s="6" t="s">
        <v>882</v>
      </c>
      <c r="D826" s="8" t="s">
        <v>60</v>
      </c>
      <c r="E826" s="6" t="s">
        <v>883</v>
      </c>
      <c r="F826" s="6" t="s">
        <v>51</v>
      </c>
      <c r="G826" s="11">
        <v>46126.541666666664</v>
      </c>
      <c r="H826" s="11"/>
      <c r="I826" s="10" t="s">
        <v>884</v>
      </c>
      <c r="J826" s="6" t="s">
        <v>885</v>
      </c>
      <c r="K826" s="12">
        <v>46121.761747685188</v>
      </c>
      <c r="L826" s="6" t="e" cm="1">
        <f t="array" ref="L826">LOOKUP(2^15,SEARCH(Tabela2[Palavras-Chave],Boletim4[[#This Row],[Objeto]],1),Tabela2[Palavras-Chave])</f>
        <v>#N/A</v>
      </c>
    </row>
    <row r="827" spans="1:12" ht="100.8" hidden="1" x14ac:dyDescent="0.3">
      <c r="A827" s="5">
        <v>18810767</v>
      </c>
      <c r="B827" s="6" t="s">
        <v>866</v>
      </c>
      <c r="C827" s="6" t="s">
        <v>867</v>
      </c>
      <c r="D827" s="8" t="s">
        <v>60</v>
      </c>
      <c r="E827" s="6" t="s">
        <v>886</v>
      </c>
      <c r="F827" s="6" t="s">
        <v>51</v>
      </c>
      <c r="G827" s="11">
        <v>46126.520833333336</v>
      </c>
      <c r="H827" s="11"/>
      <c r="I827" s="10" t="s">
        <v>887</v>
      </c>
      <c r="J827" s="6" t="s">
        <v>888</v>
      </c>
      <c r="K827" s="12">
        <v>46121.762175925927</v>
      </c>
      <c r="L827" s="6" t="e" cm="1">
        <f t="array" ref="L827">LOOKUP(2^15,SEARCH(Tabela2[Palavras-Chave],Boletim4[[#This Row],[Objeto]],1),Tabela2[Palavras-Chave])</f>
        <v>#N/A</v>
      </c>
    </row>
    <row r="828" spans="1:12" ht="86.4" hidden="1" x14ac:dyDescent="0.3">
      <c r="A828" s="5">
        <v>18809366</v>
      </c>
      <c r="B828" s="6" t="s">
        <v>889</v>
      </c>
      <c r="C828" s="6" t="s">
        <v>59</v>
      </c>
      <c r="D828" s="8" t="s">
        <v>60</v>
      </c>
      <c r="E828" s="6" t="s">
        <v>890</v>
      </c>
      <c r="F828" s="6" t="s">
        <v>51</v>
      </c>
      <c r="G828" s="11">
        <v>46126.416666666664</v>
      </c>
      <c r="H828" s="11"/>
      <c r="I828" s="10" t="s">
        <v>322</v>
      </c>
      <c r="J828" s="6" t="s">
        <v>891</v>
      </c>
      <c r="K828" s="12">
        <v>46121.767245370371</v>
      </c>
      <c r="L828" s="6" t="e" cm="1">
        <f t="array" ref="L828">LOOKUP(2^15,SEARCH(Tabela2[Palavras-Chave],Boletim4[[#This Row],[Objeto]],1),Tabela2[Palavras-Chave])</f>
        <v>#N/A</v>
      </c>
    </row>
    <row r="829" spans="1:12" ht="86.4" hidden="1" x14ac:dyDescent="0.3">
      <c r="A829" s="5">
        <v>18810961</v>
      </c>
      <c r="B829" s="6" t="s">
        <v>892</v>
      </c>
      <c r="C829" s="6" t="s">
        <v>59</v>
      </c>
      <c r="D829" s="8" t="s">
        <v>60</v>
      </c>
      <c r="E829" s="6" t="s">
        <v>893</v>
      </c>
      <c r="F829" s="6" t="s">
        <v>51</v>
      </c>
      <c r="G829" s="11">
        <v>46125.416666666664</v>
      </c>
      <c r="H829" s="11"/>
      <c r="I829" s="10" t="s">
        <v>894</v>
      </c>
      <c r="J829" s="6" t="s">
        <v>895</v>
      </c>
      <c r="K829" s="12">
        <v>46121.772430555553</v>
      </c>
      <c r="L829" s="6" t="e" cm="1">
        <f t="array" ref="L829">LOOKUP(2^15,SEARCH(Tabela2[Palavras-Chave],Boletim4[[#This Row],[Objeto]],1),Tabela2[Palavras-Chave])</f>
        <v>#N/A</v>
      </c>
    </row>
    <row r="830" spans="1:12" ht="86.4" x14ac:dyDescent="0.3">
      <c r="A830" s="5">
        <v>18810964</v>
      </c>
      <c r="B830" s="6" t="s">
        <v>896</v>
      </c>
      <c r="C830" s="6" t="s">
        <v>59</v>
      </c>
      <c r="D830" s="8" t="s">
        <v>60</v>
      </c>
      <c r="E830" s="6" t="s">
        <v>897</v>
      </c>
      <c r="F830" s="6" t="s">
        <v>51</v>
      </c>
      <c r="G830" s="11">
        <v>46125.416666666664</v>
      </c>
      <c r="H830" s="11"/>
      <c r="I830" s="10" t="s">
        <v>898</v>
      </c>
      <c r="J830" s="6" t="s">
        <v>899</v>
      </c>
      <c r="K830" s="12">
        <v>46121.821805555555</v>
      </c>
      <c r="L830" s="6" t="str" cm="1">
        <f t="array" ref="L830">LOOKUP(2^15,SEARCH(Tabela2[Palavras-Chave],Boletim4[[#This Row],[Objeto]],1),Tabela2[Palavras-Chave])</f>
        <v>abraçadeira</v>
      </c>
    </row>
    <row r="831" spans="1:12" ht="86.4" hidden="1" x14ac:dyDescent="0.3">
      <c r="A831" s="5">
        <v>18810950</v>
      </c>
      <c r="B831" s="6" t="s">
        <v>272</v>
      </c>
      <c r="C831" s="6" t="s">
        <v>59</v>
      </c>
      <c r="D831" s="8" t="s">
        <v>60</v>
      </c>
      <c r="E831" s="6" t="s">
        <v>900</v>
      </c>
      <c r="F831" s="6" t="s">
        <v>51</v>
      </c>
      <c r="G831" s="11">
        <v>46125.416666666664</v>
      </c>
      <c r="H831" s="11"/>
      <c r="I831" s="10" t="s">
        <v>901</v>
      </c>
      <c r="J831" s="6" t="s">
        <v>902</v>
      </c>
      <c r="K831" s="12">
        <v>46121.823912037034</v>
      </c>
      <c r="L831" s="6" t="e" cm="1">
        <f t="array" ref="L831">LOOKUP(2^15,SEARCH(Tabela2[Palavras-Chave],Boletim4[[#This Row],[Objeto]],1),Tabela2[Palavras-Chave])</f>
        <v>#N/A</v>
      </c>
    </row>
    <row r="832" spans="1:12" ht="100.8" hidden="1" x14ac:dyDescent="0.3">
      <c r="A832" s="5">
        <v>18806549</v>
      </c>
      <c r="B832" s="6" t="s">
        <v>903</v>
      </c>
      <c r="C832" s="6" t="s">
        <v>61</v>
      </c>
      <c r="D832" s="8" t="s">
        <v>62</v>
      </c>
      <c r="E832" s="6" t="s">
        <v>904</v>
      </c>
      <c r="F832" s="6" t="s">
        <v>51</v>
      </c>
      <c r="G832" s="11">
        <v>46125.333333333336</v>
      </c>
      <c r="H832" s="11"/>
      <c r="I832" s="10" t="s">
        <v>905</v>
      </c>
      <c r="J832" s="6" t="s">
        <v>906</v>
      </c>
      <c r="K832" s="12">
        <v>46121.48940972222</v>
      </c>
      <c r="L832" s="6" t="e" cm="1">
        <f t="array" ref="L832">LOOKUP(2^15,SEARCH(Tabela2[Palavras-Chave],Boletim4[[#This Row],[Objeto]],1),Tabela2[Palavras-Chave])</f>
        <v>#N/A</v>
      </c>
    </row>
    <row r="833" spans="1:12" ht="57.6" hidden="1" x14ac:dyDescent="0.3">
      <c r="A833" s="5">
        <v>18808130</v>
      </c>
      <c r="B833" s="6" t="s">
        <v>907</v>
      </c>
      <c r="C833" s="6" t="s">
        <v>88</v>
      </c>
      <c r="D833" s="8" t="s">
        <v>63</v>
      </c>
      <c r="E833" s="6" t="s">
        <v>908</v>
      </c>
      <c r="F833" s="6" t="s">
        <v>51</v>
      </c>
      <c r="G833" s="11">
        <v>46125.5</v>
      </c>
      <c r="H833" s="11"/>
      <c r="I833" s="10" t="s">
        <v>909</v>
      </c>
      <c r="J833" s="6" t="s">
        <v>910</v>
      </c>
      <c r="K833" s="12">
        <v>46121.51054398148</v>
      </c>
      <c r="L833" s="6" t="e" cm="1">
        <f t="array" ref="L833">LOOKUP(2^15,SEARCH(Tabela2[Palavras-Chave],Boletim4[[#This Row],[Objeto]],1),Tabela2[Palavras-Chave])</f>
        <v>#N/A</v>
      </c>
    </row>
    <row r="834" spans="1:12" ht="57.6" hidden="1" x14ac:dyDescent="0.3">
      <c r="A834" s="5">
        <v>18808133</v>
      </c>
      <c r="B834" s="6" t="s">
        <v>907</v>
      </c>
      <c r="C834" s="6" t="s">
        <v>88</v>
      </c>
      <c r="D834" s="8" t="s">
        <v>63</v>
      </c>
      <c r="E834" s="6" t="s">
        <v>2792</v>
      </c>
      <c r="F834" s="6" t="s">
        <v>51</v>
      </c>
      <c r="G834" s="11">
        <v>46125.5</v>
      </c>
      <c r="H834" s="11"/>
      <c r="I834" s="10" t="s">
        <v>2793</v>
      </c>
      <c r="J834" s="6" t="s">
        <v>910</v>
      </c>
      <c r="K834" s="12">
        <v>46121.510752314818</v>
      </c>
      <c r="L834" s="6" t="e" cm="1">
        <f t="array" ref="L834">LOOKUP(2^15,SEARCH(Tabela2[Palavras-Chave],Boletim4[[#This Row],[Objeto]],1),Tabela2[Palavras-Chave])</f>
        <v>#N/A</v>
      </c>
    </row>
    <row r="835" spans="1:12" ht="28.8" hidden="1" x14ac:dyDescent="0.3">
      <c r="A835" s="5">
        <v>18807292</v>
      </c>
      <c r="B835" s="6" t="s">
        <v>2794</v>
      </c>
      <c r="C835" s="6" t="s">
        <v>88</v>
      </c>
      <c r="D835" s="8" t="s">
        <v>63</v>
      </c>
      <c r="E835" s="6" t="s">
        <v>2795</v>
      </c>
      <c r="F835" s="6" t="s">
        <v>51</v>
      </c>
      <c r="G835" s="11" t="s">
        <v>56</v>
      </c>
      <c r="H835" s="11"/>
      <c r="I835" s="10" t="s">
        <v>2796</v>
      </c>
      <c r="J835" s="6" t="s">
        <v>90</v>
      </c>
      <c r="K835" s="12">
        <v>46121.673541666663</v>
      </c>
      <c r="L835" s="6" t="e" cm="1">
        <f t="array" ref="L835">LOOKUP(2^15,SEARCH(Tabela2[Palavras-Chave],Boletim4[[#This Row],[Objeto]],1),Tabela2[Palavras-Chave])</f>
        <v>#N/A</v>
      </c>
    </row>
    <row r="836" spans="1:12" ht="100.8" hidden="1" x14ac:dyDescent="0.3">
      <c r="A836" s="5">
        <v>18809313</v>
      </c>
      <c r="B836" s="6" t="s">
        <v>911</v>
      </c>
      <c r="C836" s="6" t="s">
        <v>912</v>
      </c>
      <c r="D836" s="8" t="s">
        <v>63</v>
      </c>
      <c r="E836" s="6" t="s">
        <v>363</v>
      </c>
      <c r="F836" s="6" t="s">
        <v>51</v>
      </c>
      <c r="G836" s="11">
        <v>46134.333333333336</v>
      </c>
      <c r="H836" s="11"/>
      <c r="I836" s="10" t="s">
        <v>913</v>
      </c>
      <c r="J836" s="6" t="s">
        <v>914</v>
      </c>
      <c r="K836" s="12">
        <v>46121.743287037039</v>
      </c>
      <c r="L836" s="6" t="e" cm="1">
        <f t="array" ref="L836">LOOKUP(2^15,SEARCH(Tabela2[Palavras-Chave],Boletim4[[#This Row],[Objeto]],1),Tabela2[Palavras-Chave])</f>
        <v>#N/A</v>
      </c>
    </row>
    <row r="837" spans="1:12" ht="28.8" hidden="1" x14ac:dyDescent="0.3">
      <c r="A837" s="5">
        <v>18811303</v>
      </c>
      <c r="B837" s="6" t="s">
        <v>2797</v>
      </c>
      <c r="C837" s="6" t="s">
        <v>2798</v>
      </c>
      <c r="D837" s="8" t="s">
        <v>63</v>
      </c>
      <c r="E837" s="6" t="s">
        <v>147</v>
      </c>
      <c r="F837" s="6" t="s">
        <v>51</v>
      </c>
      <c r="G837" s="11">
        <v>46128.395138888889</v>
      </c>
      <c r="H837" s="11"/>
      <c r="I837" s="10" t="s">
        <v>2799</v>
      </c>
      <c r="J837" s="6" t="s">
        <v>2800</v>
      </c>
      <c r="K837" s="12">
        <v>46121.838692129626</v>
      </c>
      <c r="L837" s="6" t="e" cm="1">
        <f t="array" ref="L837">LOOKUP(2^15,SEARCH(Tabela2[Palavras-Chave],Boletim4[[#This Row],[Objeto]],1),Tabela2[Palavras-Chave])</f>
        <v>#N/A</v>
      </c>
    </row>
    <row r="838" spans="1:12" ht="100.8" hidden="1" x14ac:dyDescent="0.3">
      <c r="A838" s="5">
        <v>18810778</v>
      </c>
      <c r="B838" s="6" t="s">
        <v>915</v>
      </c>
      <c r="C838" s="6" t="s">
        <v>427</v>
      </c>
      <c r="D838" s="8" t="s">
        <v>63</v>
      </c>
      <c r="E838" s="6" t="s">
        <v>147</v>
      </c>
      <c r="F838" s="6" t="s">
        <v>51</v>
      </c>
      <c r="G838" s="11">
        <v>46136.5</v>
      </c>
      <c r="H838" s="11"/>
      <c r="I838" s="10" t="s">
        <v>916</v>
      </c>
      <c r="J838" s="6" t="s">
        <v>917</v>
      </c>
      <c r="K838" s="12">
        <v>46121.840567129628</v>
      </c>
      <c r="L838" s="6" t="e" cm="1">
        <f t="array" ref="L838">LOOKUP(2^15,SEARCH(Tabela2[Palavras-Chave],Boletim4[[#This Row],[Objeto]],1),Tabela2[Palavras-Chave])</f>
        <v>#N/A</v>
      </c>
    </row>
    <row r="839" spans="1:12" ht="129.6" hidden="1" x14ac:dyDescent="0.3">
      <c r="A839" s="5">
        <v>18806601</v>
      </c>
      <c r="B839" s="6" t="s">
        <v>2801</v>
      </c>
      <c r="C839" s="6" t="s">
        <v>2802</v>
      </c>
      <c r="D839" s="8" t="s">
        <v>64</v>
      </c>
      <c r="E839" s="6" t="s">
        <v>2803</v>
      </c>
      <c r="F839" s="6" t="s">
        <v>51</v>
      </c>
      <c r="G839" s="11">
        <v>46125.708333333336</v>
      </c>
      <c r="H839" s="11"/>
      <c r="I839" s="10" t="s">
        <v>2804</v>
      </c>
      <c r="J839" s="6" t="s">
        <v>2805</v>
      </c>
      <c r="K839" s="12">
        <v>46121.43440972222</v>
      </c>
      <c r="L839" s="6" t="e" cm="1">
        <f t="array" ref="L839">LOOKUP(2^15,SEARCH(Tabela2[Palavras-Chave],Boletim4[[#This Row],[Objeto]],1),Tabela2[Palavras-Chave])</f>
        <v>#N/A</v>
      </c>
    </row>
    <row r="840" spans="1:12" ht="100.8" hidden="1" x14ac:dyDescent="0.3">
      <c r="A840" s="5">
        <v>18806646</v>
      </c>
      <c r="B840" s="6" t="s">
        <v>918</v>
      </c>
      <c r="C840" s="6" t="s">
        <v>919</v>
      </c>
      <c r="D840" s="8" t="s">
        <v>64</v>
      </c>
      <c r="E840" s="6" t="s">
        <v>125</v>
      </c>
      <c r="F840" s="6" t="s">
        <v>51</v>
      </c>
      <c r="G840" s="11">
        <v>46125.999305555553</v>
      </c>
      <c r="H840" s="11"/>
      <c r="I840" s="10" t="s">
        <v>920</v>
      </c>
      <c r="J840" s="6" t="s">
        <v>921</v>
      </c>
      <c r="K840" s="12">
        <v>46121.435127314813</v>
      </c>
      <c r="L840" s="6" t="e" cm="1">
        <f t="array" ref="L840">LOOKUP(2^15,SEARCH(Tabela2[Palavras-Chave],Boletim4[[#This Row],[Objeto]],1),Tabela2[Palavras-Chave])</f>
        <v>#N/A</v>
      </c>
    </row>
    <row r="841" spans="1:12" ht="57.6" hidden="1" x14ac:dyDescent="0.3">
      <c r="A841" s="5">
        <v>18808037</v>
      </c>
      <c r="B841" s="6" t="s">
        <v>907</v>
      </c>
      <c r="C841" s="6" t="s">
        <v>101</v>
      </c>
      <c r="D841" s="8" t="s">
        <v>64</v>
      </c>
      <c r="E841" s="6" t="s">
        <v>908</v>
      </c>
      <c r="F841" s="6" t="s">
        <v>51</v>
      </c>
      <c r="G841" s="11">
        <v>46125.5</v>
      </c>
      <c r="H841" s="11"/>
      <c r="I841" s="10" t="s">
        <v>909</v>
      </c>
      <c r="J841" s="6" t="s">
        <v>910</v>
      </c>
      <c r="K841" s="12">
        <v>46121.51053240741</v>
      </c>
      <c r="L841" s="6" t="e" cm="1">
        <f t="array" ref="L841">LOOKUP(2^15,SEARCH(Tabela2[Palavras-Chave],Boletim4[[#This Row],[Objeto]],1),Tabela2[Palavras-Chave])</f>
        <v>#N/A</v>
      </c>
    </row>
    <row r="842" spans="1:12" ht="57.6" hidden="1" x14ac:dyDescent="0.3">
      <c r="A842" s="5">
        <v>18808036</v>
      </c>
      <c r="B842" s="6" t="s">
        <v>907</v>
      </c>
      <c r="C842" s="6" t="s">
        <v>101</v>
      </c>
      <c r="D842" s="8" t="s">
        <v>64</v>
      </c>
      <c r="E842" s="6" t="s">
        <v>2792</v>
      </c>
      <c r="F842" s="6" t="s">
        <v>51</v>
      </c>
      <c r="G842" s="11">
        <v>46125.5</v>
      </c>
      <c r="H842" s="11"/>
      <c r="I842" s="10" t="s">
        <v>2793</v>
      </c>
      <c r="J842" s="6" t="s">
        <v>910</v>
      </c>
      <c r="K842" s="12">
        <v>46121.510740740741</v>
      </c>
      <c r="L842" s="6" t="e" cm="1">
        <f t="array" ref="L842">LOOKUP(2^15,SEARCH(Tabela2[Palavras-Chave],Boletim4[[#This Row],[Objeto]],1),Tabela2[Palavras-Chave])</f>
        <v>#N/A</v>
      </c>
    </row>
    <row r="843" spans="1:12" ht="259.2" hidden="1" x14ac:dyDescent="0.3">
      <c r="A843" s="5">
        <v>18807037</v>
      </c>
      <c r="B843" s="6" t="s">
        <v>922</v>
      </c>
      <c r="C843" s="6" t="s">
        <v>923</v>
      </c>
      <c r="D843" s="8" t="s">
        <v>64</v>
      </c>
      <c r="E843" s="6" t="s">
        <v>924</v>
      </c>
      <c r="F843" s="6" t="s">
        <v>51</v>
      </c>
      <c r="G843" s="11" t="s">
        <v>56</v>
      </c>
      <c r="H843" s="11"/>
      <c r="I843" s="10" t="s">
        <v>925</v>
      </c>
      <c r="J843" s="6" t="s">
        <v>926</v>
      </c>
      <c r="K843" s="12">
        <v>46121.607731481483</v>
      </c>
      <c r="L843" s="6" t="e" cm="1">
        <f t="array" ref="L843">LOOKUP(2^15,SEARCH(Tabela2[Palavras-Chave],Boletim4[[#This Row],[Objeto]],1),Tabela2[Palavras-Chave])</f>
        <v>#N/A</v>
      </c>
    </row>
    <row r="844" spans="1:12" ht="57.6" hidden="1" x14ac:dyDescent="0.3">
      <c r="A844" s="5">
        <v>18785926</v>
      </c>
      <c r="B844" s="6" t="s">
        <v>927</v>
      </c>
      <c r="C844" s="6" t="s">
        <v>928</v>
      </c>
      <c r="D844" s="8" t="s">
        <v>64</v>
      </c>
      <c r="E844" s="6" t="s">
        <v>929</v>
      </c>
      <c r="F844" s="6" t="s">
        <v>51</v>
      </c>
      <c r="G844" s="11">
        <v>46122</v>
      </c>
      <c r="H844" s="11"/>
      <c r="I844" s="10" t="s">
        <v>930</v>
      </c>
      <c r="J844" s="6" t="s">
        <v>931</v>
      </c>
      <c r="K844" s="12">
        <v>46121.587604166663</v>
      </c>
      <c r="L844" s="6" t="e" cm="1">
        <f t="array" ref="L844">LOOKUP(2^15,SEARCH(Tabela2[Palavras-Chave],Boletim4[[#This Row],[Objeto]],1),Tabela2[Palavras-Chave])</f>
        <v>#N/A</v>
      </c>
    </row>
    <row r="845" spans="1:12" ht="100.8" hidden="1" x14ac:dyDescent="0.3">
      <c r="A845" s="5">
        <v>18809124</v>
      </c>
      <c r="B845" s="6" t="s">
        <v>932</v>
      </c>
      <c r="C845" s="6" t="s">
        <v>933</v>
      </c>
      <c r="D845" s="8" t="s">
        <v>64</v>
      </c>
      <c r="E845" s="6" t="s">
        <v>934</v>
      </c>
      <c r="F845" s="6" t="s">
        <v>51</v>
      </c>
      <c r="G845" s="11">
        <v>46122.625</v>
      </c>
      <c r="H845" s="11"/>
      <c r="I845" s="10" t="s">
        <v>935</v>
      </c>
      <c r="J845" s="6" t="s">
        <v>936</v>
      </c>
      <c r="K845" s="12">
        <v>46121.650185185186</v>
      </c>
      <c r="L845" s="6" t="e" cm="1">
        <f t="array" ref="L845">LOOKUP(2^15,SEARCH(Tabela2[Palavras-Chave],Boletim4[[#This Row],[Objeto]],1),Tabela2[Palavras-Chave])</f>
        <v>#N/A</v>
      </c>
    </row>
    <row r="846" spans="1:12" ht="43.2" hidden="1" x14ac:dyDescent="0.3">
      <c r="A846" s="5">
        <v>18810158</v>
      </c>
      <c r="B846" s="6" t="s">
        <v>2806</v>
      </c>
      <c r="C846" s="6" t="s">
        <v>2807</v>
      </c>
      <c r="D846" s="8" t="s">
        <v>64</v>
      </c>
      <c r="E846" s="6" t="s">
        <v>2808</v>
      </c>
      <c r="F846" s="6" t="s">
        <v>51</v>
      </c>
      <c r="G846" s="11">
        <v>46126.708333333336</v>
      </c>
      <c r="H846" s="11"/>
      <c r="I846" s="10" t="s">
        <v>2809</v>
      </c>
      <c r="J846" s="6" t="s">
        <v>2810</v>
      </c>
      <c r="K846" s="12">
        <v>46121.701342592591</v>
      </c>
      <c r="L846" s="6" t="e" cm="1">
        <f t="array" ref="L846">LOOKUP(2^15,SEARCH(Tabela2[Palavras-Chave],Boletim4[[#This Row],[Objeto]],1),Tabela2[Palavras-Chave])</f>
        <v>#N/A</v>
      </c>
    </row>
    <row r="847" spans="1:12" ht="43.2" hidden="1" x14ac:dyDescent="0.3">
      <c r="A847" s="5">
        <v>18807343</v>
      </c>
      <c r="B847" s="6" t="s">
        <v>937</v>
      </c>
      <c r="C847" s="6" t="s">
        <v>203</v>
      </c>
      <c r="D847" s="8" t="s">
        <v>64</v>
      </c>
      <c r="E847" s="6" t="s">
        <v>938</v>
      </c>
      <c r="F847" s="6" t="s">
        <v>51</v>
      </c>
      <c r="G847" s="11" t="s">
        <v>56</v>
      </c>
      <c r="H847" s="11"/>
      <c r="I847" s="10" t="s">
        <v>939</v>
      </c>
      <c r="J847" s="6" t="s">
        <v>940</v>
      </c>
      <c r="K847" s="12">
        <v>46121.720486111109</v>
      </c>
      <c r="L847" s="6" t="e" cm="1">
        <f t="array" ref="L847">LOOKUP(2^15,SEARCH(Tabela2[Palavras-Chave],Boletim4[[#This Row],[Objeto]],1),Tabela2[Palavras-Chave])</f>
        <v>#N/A</v>
      </c>
    </row>
    <row r="848" spans="1:12" ht="43.2" hidden="1" x14ac:dyDescent="0.3">
      <c r="A848" s="5">
        <v>18810641</v>
      </c>
      <c r="B848" s="6" t="s">
        <v>941</v>
      </c>
      <c r="C848" s="6" t="s">
        <v>942</v>
      </c>
      <c r="D848" s="8" t="s">
        <v>64</v>
      </c>
      <c r="E848" s="6" t="s">
        <v>346</v>
      </c>
      <c r="F848" s="6" t="s">
        <v>51</v>
      </c>
      <c r="G848" s="11" t="s">
        <v>56</v>
      </c>
      <c r="H848" s="11"/>
      <c r="I848" s="10" t="s">
        <v>943</v>
      </c>
      <c r="J848" s="6" t="s">
        <v>944</v>
      </c>
      <c r="K848" s="12">
        <v>46121.743391203701</v>
      </c>
      <c r="L848" s="6" t="e" cm="1">
        <f t="array" ref="L848">LOOKUP(2^15,SEARCH(Tabela2[Palavras-Chave],Boletim4[[#This Row],[Objeto]],1),Tabela2[Palavras-Chave])</f>
        <v>#N/A</v>
      </c>
    </row>
    <row r="849" spans="1:12" ht="144" hidden="1" x14ac:dyDescent="0.3">
      <c r="A849" s="5">
        <v>18810823</v>
      </c>
      <c r="B849" s="6" t="s">
        <v>945</v>
      </c>
      <c r="C849" s="6" t="s">
        <v>946</v>
      </c>
      <c r="D849" s="8" t="s">
        <v>64</v>
      </c>
      <c r="E849" s="6" t="s">
        <v>265</v>
      </c>
      <c r="F849" s="6" t="s">
        <v>51</v>
      </c>
      <c r="G849" s="11">
        <v>46126.708333333336</v>
      </c>
      <c r="H849" s="11"/>
      <c r="I849" s="10" t="s">
        <v>947</v>
      </c>
      <c r="J849" s="6" t="s">
        <v>948</v>
      </c>
      <c r="K849" s="12">
        <v>46121.770775462966</v>
      </c>
      <c r="L849" s="6" t="e" cm="1">
        <f t="array" ref="L849">LOOKUP(2^15,SEARCH(Tabela2[Palavras-Chave],Boletim4[[#This Row],[Objeto]],1),Tabela2[Palavras-Chave])</f>
        <v>#N/A</v>
      </c>
    </row>
    <row r="850" spans="1:12" ht="72" hidden="1" x14ac:dyDescent="0.3">
      <c r="A850" s="5">
        <v>18811387</v>
      </c>
      <c r="B850" s="6" t="s">
        <v>2811</v>
      </c>
      <c r="C850" s="6" t="s">
        <v>2812</v>
      </c>
      <c r="D850" s="8" t="s">
        <v>64</v>
      </c>
      <c r="E850" s="6" t="s">
        <v>116</v>
      </c>
      <c r="F850" s="6" t="s">
        <v>51</v>
      </c>
      <c r="G850" s="11" t="s">
        <v>56</v>
      </c>
      <c r="H850" s="11"/>
      <c r="I850" s="10" t="s">
        <v>2813</v>
      </c>
      <c r="J850" s="6" t="s">
        <v>2814</v>
      </c>
      <c r="K850" s="12">
        <v>46121.848171296297</v>
      </c>
      <c r="L850" s="6" t="e" cm="1">
        <f t="array" ref="L850">LOOKUP(2^15,SEARCH(Tabela2[Palavras-Chave],Boletim4[[#This Row],[Objeto]],1),Tabela2[Palavras-Chave])</f>
        <v>#N/A</v>
      </c>
    </row>
    <row r="851" spans="1:12" ht="100.8" hidden="1" x14ac:dyDescent="0.3">
      <c r="A851" s="5">
        <v>18765970</v>
      </c>
      <c r="B851" s="6" t="s">
        <v>949</v>
      </c>
      <c r="C851" s="6" t="s">
        <v>638</v>
      </c>
      <c r="D851" s="8" t="s">
        <v>89</v>
      </c>
      <c r="E851" s="6" t="s">
        <v>149</v>
      </c>
      <c r="F851" s="6" t="s">
        <v>51</v>
      </c>
      <c r="G851" s="11" t="s">
        <v>56</v>
      </c>
      <c r="H851" s="11"/>
      <c r="I851" s="10" t="s">
        <v>950</v>
      </c>
      <c r="J851" s="6" t="s">
        <v>951</v>
      </c>
      <c r="K851" s="12">
        <v>46121.636516203704</v>
      </c>
      <c r="L851" s="6" t="e" cm="1">
        <f t="array" ref="L851">LOOKUP(2^15,SEARCH(Tabela2[Palavras-Chave],Boletim4[[#This Row],[Objeto]],1),Tabela2[Palavras-Chave])</f>
        <v>#N/A</v>
      </c>
    </row>
    <row r="852" spans="1:12" ht="86.4" hidden="1" x14ac:dyDescent="0.3">
      <c r="A852" s="5">
        <v>18810772</v>
      </c>
      <c r="B852" s="6" t="s">
        <v>952</v>
      </c>
      <c r="C852" s="6" t="s">
        <v>953</v>
      </c>
      <c r="D852" s="8" t="s">
        <v>89</v>
      </c>
      <c r="E852" s="6" t="s">
        <v>227</v>
      </c>
      <c r="F852" s="6" t="s">
        <v>51</v>
      </c>
      <c r="G852" s="11">
        <v>46128.333333333336</v>
      </c>
      <c r="H852" s="11"/>
      <c r="I852" s="10" t="s">
        <v>954</v>
      </c>
      <c r="J852" s="6" t="s">
        <v>955</v>
      </c>
      <c r="K852" s="12">
        <v>46121.792650462965</v>
      </c>
      <c r="L852" s="6" t="e" cm="1">
        <f t="array" ref="L852">LOOKUP(2^15,SEARCH(Tabela2[Palavras-Chave],Boletim4[[#This Row],[Objeto]],1),Tabela2[Palavras-Chave])</f>
        <v>#N/A</v>
      </c>
    </row>
    <row r="853" spans="1:12" ht="100.8" hidden="1" x14ac:dyDescent="0.3">
      <c r="A853" s="5">
        <v>18806534</v>
      </c>
      <c r="B853" s="6" t="s">
        <v>956</v>
      </c>
      <c r="C853" s="6" t="s">
        <v>159</v>
      </c>
      <c r="D853" s="8" t="s">
        <v>89</v>
      </c>
      <c r="E853" s="6" t="s">
        <v>957</v>
      </c>
      <c r="F853" s="6" t="s">
        <v>51</v>
      </c>
      <c r="G853" s="11">
        <v>46125.416666666664</v>
      </c>
      <c r="H853" s="11"/>
      <c r="I853" s="10" t="s">
        <v>958</v>
      </c>
      <c r="J853" s="6" t="s">
        <v>959</v>
      </c>
      <c r="K853" s="12">
        <v>46121.812291666669</v>
      </c>
      <c r="L853" s="6" t="e" cm="1">
        <f t="array" ref="L853">LOOKUP(2^15,SEARCH(Tabela2[Palavras-Chave],Boletim4[[#This Row],[Objeto]],1),Tabela2[Palavras-Chave])</f>
        <v>#N/A</v>
      </c>
    </row>
    <row r="854" spans="1:12" ht="144" hidden="1" x14ac:dyDescent="0.3">
      <c r="A854" s="5">
        <v>18811056</v>
      </c>
      <c r="B854" s="6" t="s">
        <v>2815</v>
      </c>
      <c r="C854" s="6" t="s">
        <v>159</v>
      </c>
      <c r="D854" s="8" t="s">
        <v>89</v>
      </c>
      <c r="E854" s="6" t="s">
        <v>172</v>
      </c>
      <c r="F854" s="6" t="s">
        <v>51</v>
      </c>
      <c r="G854" s="11" t="s">
        <v>56</v>
      </c>
      <c r="H854" s="11"/>
      <c r="I854" s="10" t="s">
        <v>2816</v>
      </c>
      <c r="J854" s="6" t="s">
        <v>2817</v>
      </c>
      <c r="K854" s="12">
        <v>46121.865960648145</v>
      </c>
      <c r="L854" s="6" t="e" cm="1">
        <f t="array" ref="L854">LOOKUP(2^15,SEARCH(Tabela2[Palavras-Chave],Boletim4[[#This Row],[Objeto]],1),Tabela2[Palavras-Chave])</f>
        <v>#N/A</v>
      </c>
    </row>
    <row r="855" spans="1:12" ht="43.2" hidden="1" x14ac:dyDescent="0.3">
      <c r="A855" s="5">
        <v>18803635</v>
      </c>
      <c r="B855" s="6" t="s">
        <v>598</v>
      </c>
      <c r="C855" s="6" t="s">
        <v>599</v>
      </c>
      <c r="D855" s="8" t="s">
        <v>66</v>
      </c>
      <c r="E855" s="6" t="s">
        <v>110</v>
      </c>
      <c r="F855" s="6" t="s">
        <v>51</v>
      </c>
      <c r="G855" s="11">
        <v>46140.5625</v>
      </c>
      <c r="H855" s="11"/>
      <c r="I855" s="10" t="s">
        <v>600</v>
      </c>
      <c r="J855" s="6" t="s">
        <v>601</v>
      </c>
      <c r="K855" s="12">
        <v>46121.419479166667</v>
      </c>
      <c r="L855" s="6" t="e" cm="1">
        <f t="array" ref="L855">LOOKUP(2^15,SEARCH(Tabela2[Palavras-Chave],Boletim4[[#This Row],[Objeto]],1),Tabela2[Palavras-Chave])</f>
        <v>#N/A</v>
      </c>
    </row>
    <row r="856" spans="1:12" ht="28.8" hidden="1" x14ac:dyDescent="0.3">
      <c r="A856" s="5">
        <v>18762606</v>
      </c>
      <c r="B856" s="6" t="s">
        <v>99</v>
      </c>
      <c r="C856" s="6" t="s">
        <v>65</v>
      </c>
      <c r="D856" s="8" t="s">
        <v>66</v>
      </c>
      <c r="E856" s="6" t="s">
        <v>2818</v>
      </c>
      <c r="F856" s="6" t="s">
        <v>51</v>
      </c>
      <c r="G856" s="11" t="s">
        <v>56</v>
      </c>
      <c r="H856" s="11"/>
      <c r="I856" s="10" t="s">
        <v>2819</v>
      </c>
      <c r="J856" s="6" t="s">
        <v>131</v>
      </c>
      <c r="K856" s="12">
        <v>46121.438252314816</v>
      </c>
      <c r="L856" s="6" t="e" cm="1">
        <f t="array" ref="L856">LOOKUP(2^15,SEARCH(Tabela2[Palavras-Chave],Boletim4[[#This Row],[Objeto]],1),Tabela2[Palavras-Chave])</f>
        <v>#N/A</v>
      </c>
    </row>
    <row r="857" spans="1:12" ht="72" hidden="1" x14ac:dyDescent="0.3">
      <c r="A857" s="5">
        <v>18772097</v>
      </c>
      <c r="B857" s="6" t="s">
        <v>74</v>
      </c>
      <c r="C857" s="6" t="s">
        <v>65</v>
      </c>
      <c r="D857" s="8" t="s">
        <v>66</v>
      </c>
      <c r="E857" s="6" t="s">
        <v>960</v>
      </c>
      <c r="F857" s="6" t="s">
        <v>51</v>
      </c>
      <c r="G857" s="11" t="s">
        <v>56</v>
      </c>
      <c r="H857" s="11"/>
      <c r="I857" s="10" t="s">
        <v>961</v>
      </c>
      <c r="J857" s="6" t="s">
        <v>962</v>
      </c>
      <c r="K857" s="12">
        <v>46121.440347222226</v>
      </c>
      <c r="L857" s="6" t="e" cm="1">
        <f t="array" ref="L857">LOOKUP(2^15,SEARCH(Tabela2[Palavras-Chave],Boletim4[[#This Row],[Objeto]],1),Tabela2[Palavras-Chave])</f>
        <v>#N/A</v>
      </c>
    </row>
    <row r="858" spans="1:12" ht="72" hidden="1" x14ac:dyDescent="0.3">
      <c r="A858" s="5">
        <v>18751074</v>
      </c>
      <c r="B858" s="6" t="s">
        <v>74</v>
      </c>
      <c r="C858" s="6" t="s">
        <v>65</v>
      </c>
      <c r="D858" s="8" t="s">
        <v>66</v>
      </c>
      <c r="E858" s="6" t="s">
        <v>963</v>
      </c>
      <c r="F858" s="6" t="s">
        <v>51</v>
      </c>
      <c r="G858" s="11" t="s">
        <v>56</v>
      </c>
      <c r="H858" s="11"/>
      <c r="I858" s="10" t="s">
        <v>964</v>
      </c>
      <c r="J858" s="6" t="s">
        <v>965</v>
      </c>
      <c r="K858" s="12">
        <v>46121.442395833335</v>
      </c>
      <c r="L858" s="6" t="e" cm="1">
        <f t="array" ref="L858">LOOKUP(2^15,SEARCH(Tabela2[Palavras-Chave],Boletim4[[#This Row],[Objeto]],1),Tabela2[Palavras-Chave])</f>
        <v>#N/A</v>
      </c>
    </row>
    <row r="859" spans="1:12" ht="57.6" hidden="1" x14ac:dyDescent="0.3">
      <c r="A859" s="5">
        <v>18807224</v>
      </c>
      <c r="B859" s="6" t="s">
        <v>966</v>
      </c>
      <c r="C859" s="6" t="s">
        <v>65</v>
      </c>
      <c r="D859" s="8" t="s">
        <v>66</v>
      </c>
      <c r="E859" s="6" t="s">
        <v>967</v>
      </c>
      <c r="F859" s="6" t="s">
        <v>51</v>
      </c>
      <c r="G859" s="11" t="s">
        <v>56</v>
      </c>
      <c r="H859" s="11"/>
      <c r="I859" s="10" t="s">
        <v>968</v>
      </c>
      <c r="J859" s="6" t="s">
        <v>969</v>
      </c>
      <c r="K859" s="12">
        <v>46121.450254629628</v>
      </c>
      <c r="L859" s="6" t="e" cm="1">
        <f t="array" ref="L859">LOOKUP(2^15,SEARCH(Tabela2[Palavras-Chave],Boletim4[[#This Row],[Objeto]],1),Tabela2[Palavras-Chave])</f>
        <v>#N/A</v>
      </c>
    </row>
    <row r="860" spans="1:12" ht="57.6" hidden="1" x14ac:dyDescent="0.3">
      <c r="A860" s="5">
        <v>18807215</v>
      </c>
      <c r="B860" s="6" t="s">
        <v>966</v>
      </c>
      <c r="C860" s="6" t="s">
        <v>65</v>
      </c>
      <c r="D860" s="8" t="s">
        <v>66</v>
      </c>
      <c r="E860" s="6" t="s">
        <v>970</v>
      </c>
      <c r="F860" s="6" t="s">
        <v>51</v>
      </c>
      <c r="G860" s="11" t="s">
        <v>56</v>
      </c>
      <c r="H860" s="11"/>
      <c r="I860" s="10" t="s">
        <v>971</v>
      </c>
      <c r="J860" s="6" t="s">
        <v>972</v>
      </c>
      <c r="K860" s="12">
        <v>46121.450300925928</v>
      </c>
      <c r="L860" s="6" t="e" cm="1">
        <f t="array" ref="L860">LOOKUP(2^15,SEARCH(Tabela2[Palavras-Chave],Boletim4[[#This Row],[Objeto]],1),Tabela2[Palavras-Chave])</f>
        <v>#N/A</v>
      </c>
    </row>
    <row r="861" spans="1:12" ht="57.6" hidden="1" x14ac:dyDescent="0.3">
      <c r="A861" s="5">
        <v>18807205</v>
      </c>
      <c r="B861" s="6" t="s">
        <v>966</v>
      </c>
      <c r="C861" s="6" t="s">
        <v>65</v>
      </c>
      <c r="D861" s="8" t="s">
        <v>66</v>
      </c>
      <c r="E861" s="6" t="s">
        <v>973</v>
      </c>
      <c r="F861" s="6" t="s">
        <v>51</v>
      </c>
      <c r="G861" s="11" t="s">
        <v>56</v>
      </c>
      <c r="H861" s="11"/>
      <c r="I861" s="10" t="s">
        <v>974</v>
      </c>
      <c r="J861" s="6" t="s">
        <v>975</v>
      </c>
      <c r="K861" s="12">
        <v>46121.450659722221</v>
      </c>
      <c r="L861" s="6" t="e" cm="1">
        <f t="array" ref="L861">LOOKUP(2^15,SEARCH(Tabela2[Palavras-Chave],Boletim4[[#This Row],[Objeto]],1),Tabela2[Palavras-Chave])</f>
        <v>#N/A</v>
      </c>
    </row>
    <row r="862" spans="1:12" ht="57.6" hidden="1" x14ac:dyDescent="0.3">
      <c r="A862" s="5">
        <v>18807216</v>
      </c>
      <c r="B862" s="6" t="s">
        <v>966</v>
      </c>
      <c r="C862" s="6" t="s">
        <v>65</v>
      </c>
      <c r="D862" s="8" t="s">
        <v>66</v>
      </c>
      <c r="E862" s="6" t="s">
        <v>976</v>
      </c>
      <c r="F862" s="6" t="s">
        <v>51</v>
      </c>
      <c r="G862" s="11" t="s">
        <v>56</v>
      </c>
      <c r="H862" s="11"/>
      <c r="I862" s="10" t="s">
        <v>977</v>
      </c>
      <c r="J862" s="6" t="s">
        <v>978</v>
      </c>
      <c r="K862" s="12">
        <v>46121.451273148145</v>
      </c>
      <c r="L862" s="6" t="e" cm="1">
        <f t="array" ref="L862">LOOKUP(2^15,SEARCH(Tabela2[Palavras-Chave],Boletim4[[#This Row],[Objeto]],1),Tabela2[Palavras-Chave])</f>
        <v>#N/A</v>
      </c>
    </row>
    <row r="863" spans="1:12" ht="28.8" hidden="1" x14ac:dyDescent="0.3">
      <c r="A863" s="5">
        <v>18802252</v>
      </c>
      <c r="B863" s="6" t="s">
        <v>99</v>
      </c>
      <c r="C863" s="6" t="s">
        <v>65</v>
      </c>
      <c r="D863" s="8" t="s">
        <v>66</v>
      </c>
      <c r="E863" s="6" t="s">
        <v>595</v>
      </c>
      <c r="F863" s="6" t="s">
        <v>51</v>
      </c>
      <c r="G863" s="11" t="s">
        <v>56</v>
      </c>
      <c r="H863" s="11"/>
      <c r="I863" s="10" t="s">
        <v>596</v>
      </c>
      <c r="J863" s="6" t="s">
        <v>131</v>
      </c>
      <c r="K863" s="12">
        <v>46121.455590277779</v>
      </c>
      <c r="L863" s="6" t="e" cm="1">
        <f t="array" ref="L863">LOOKUP(2^15,SEARCH(Tabela2[Palavras-Chave],Boletim4[[#This Row],[Objeto]],1),Tabela2[Palavras-Chave])</f>
        <v>#N/A</v>
      </c>
    </row>
    <row r="864" spans="1:12" ht="57.6" x14ac:dyDescent="0.3">
      <c r="A864" s="5">
        <v>18807220</v>
      </c>
      <c r="B864" s="6" t="s">
        <v>979</v>
      </c>
      <c r="C864" s="6" t="s">
        <v>65</v>
      </c>
      <c r="D864" s="8" t="s">
        <v>66</v>
      </c>
      <c r="E864" s="6" t="s">
        <v>980</v>
      </c>
      <c r="F864" s="6" t="s">
        <v>51</v>
      </c>
      <c r="G864" s="11" t="s">
        <v>56</v>
      </c>
      <c r="H864" s="11"/>
      <c r="I864" s="10" t="s">
        <v>981</v>
      </c>
      <c r="J864" s="6" t="s">
        <v>982</v>
      </c>
      <c r="K864" s="12">
        <v>46121.452916666669</v>
      </c>
      <c r="L864" s="6" t="str" cm="1">
        <f t="array" ref="L864">LOOKUP(2^15,SEARCH(Tabela2[Palavras-Chave],Boletim4[[#This Row],[Objeto]],1),Tabela2[Palavras-Chave])</f>
        <v>INOX</v>
      </c>
    </row>
    <row r="865" spans="1:12" ht="28.8" hidden="1" x14ac:dyDescent="0.3">
      <c r="A865" s="5">
        <v>18807602</v>
      </c>
      <c r="B865" s="6" t="s">
        <v>99</v>
      </c>
      <c r="C865" s="6" t="s">
        <v>65</v>
      </c>
      <c r="D865" s="8" t="s">
        <v>66</v>
      </c>
      <c r="E865" s="6" t="s">
        <v>2820</v>
      </c>
      <c r="F865" s="6" t="s">
        <v>51</v>
      </c>
      <c r="G865" s="11" t="s">
        <v>56</v>
      </c>
      <c r="H865" s="11"/>
      <c r="I865" s="10" t="s">
        <v>2821</v>
      </c>
      <c r="J865" s="6" t="s">
        <v>132</v>
      </c>
      <c r="K865" s="12">
        <v>46121.454884259256</v>
      </c>
      <c r="L865" s="6" t="e" cm="1">
        <f t="array" ref="L865">LOOKUP(2^15,SEARCH(Tabela2[Palavras-Chave],Boletim4[[#This Row],[Objeto]],1),Tabela2[Palavras-Chave])</f>
        <v>#N/A</v>
      </c>
    </row>
    <row r="866" spans="1:12" ht="28.8" hidden="1" x14ac:dyDescent="0.3">
      <c r="A866" s="5">
        <v>18807600</v>
      </c>
      <c r="B866" s="6" t="s">
        <v>99</v>
      </c>
      <c r="C866" s="6" t="s">
        <v>65</v>
      </c>
      <c r="D866" s="8" t="s">
        <v>66</v>
      </c>
      <c r="E866" s="6" t="s">
        <v>2822</v>
      </c>
      <c r="F866" s="6" t="s">
        <v>51</v>
      </c>
      <c r="G866" s="11" t="s">
        <v>56</v>
      </c>
      <c r="H866" s="11"/>
      <c r="I866" s="10" t="s">
        <v>2823</v>
      </c>
      <c r="J866" s="6" t="s">
        <v>132</v>
      </c>
      <c r="K866" s="12">
        <v>46121.453912037039</v>
      </c>
      <c r="L866" s="6" t="e" cm="1">
        <f t="array" ref="L866">LOOKUP(2^15,SEARCH(Tabela2[Palavras-Chave],Boletim4[[#This Row],[Objeto]],1),Tabela2[Palavras-Chave])</f>
        <v>#N/A</v>
      </c>
    </row>
    <row r="867" spans="1:12" ht="43.2" hidden="1" x14ac:dyDescent="0.3">
      <c r="A867" s="5">
        <v>18807165</v>
      </c>
      <c r="B867" s="6" t="s">
        <v>99</v>
      </c>
      <c r="C867" s="6" t="s">
        <v>65</v>
      </c>
      <c r="D867" s="8" t="s">
        <v>66</v>
      </c>
      <c r="E867" s="6" t="s">
        <v>983</v>
      </c>
      <c r="F867" s="6" t="s">
        <v>51</v>
      </c>
      <c r="G867" s="11" t="s">
        <v>56</v>
      </c>
      <c r="H867" s="11"/>
      <c r="I867" s="10" t="s">
        <v>984</v>
      </c>
      <c r="J867" s="6" t="s">
        <v>132</v>
      </c>
      <c r="K867" s="12">
        <v>46121.454282407409</v>
      </c>
      <c r="L867" s="6" t="e" cm="1">
        <f t="array" ref="L867">LOOKUP(2^15,SEARCH(Tabela2[Palavras-Chave],Boletim4[[#This Row],[Objeto]],1),Tabela2[Palavras-Chave])</f>
        <v>#N/A</v>
      </c>
    </row>
    <row r="868" spans="1:12" ht="28.8" hidden="1" x14ac:dyDescent="0.3">
      <c r="A868" s="5">
        <v>18795106</v>
      </c>
      <c r="B868" s="6" t="s">
        <v>99</v>
      </c>
      <c r="C868" s="6" t="s">
        <v>65</v>
      </c>
      <c r="D868" s="8" t="s">
        <v>66</v>
      </c>
      <c r="E868" s="6" t="s">
        <v>2824</v>
      </c>
      <c r="F868" s="6" t="s">
        <v>51</v>
      </c>
      <c r="G868" s="11" t="s">
        <v>56</v>
      </c>
      <c r="H868" s="11"/>
      <c r="I868" s="10" t="s">
        <v>2825</v>
      </c>
      <c r="J868" s="6" t="s">
        <v>131</v>
      </c>
      <c r="K868" s="12">
        <v>46121.456585648149</v>
      </c>
      <c r="L868" s="6" t="e" cm="1">
        <f t="array" ref="L868">LOOKUP(2^15,SEARCH(Tabela2[Palavras-Chave],Boletim4[[#This Row],[Objeto]],1),Tabela2[Palavras-Chave])</f>
        <v>#N/A</v>
      </c>
    </row>
    <row r="869" spans="1:12" ht="28.8" hidden="1" x14ac:dyDescent="0.3">
      <c r="A869" s="5">
        <v>18807612</v>
      </c>
      <c r="B869" s="6" t="s">
        <v>99</v>
      </c>
      <c r="C869" s="6" t="s">
        <v>65</v>
      </c>
      <c r="D869" s="8" t="s">
        <v>66</v>
      </c>
      <c r="E869" s="6" t="s">
        <v>2826</v>
      </c>
      <c r="F869" s="6" t="s">
        <v>51</v>
      </c>
      <c r="G869" s="11" t="s">
        <v>56</v>
      </c>
      <c r="H869" s="11"/>
      <c r="I869" s="10" t="s">
        <v>2827</v>
      </c>
      <c r="J869" s="6" t="s">
        <v>132</v>
      </c>
      <c r="K869" s="12">
        <v>46121.467465277776</v>
      </c>
      <c r="L869" s="6" t="e" cm="1">
        <f t="array" ref="L869">LOOKUP(2^15,SEARCH(Tabela2[Palavras-Chave],Boletim4[[#This Row],[Objeto]],1),Tabela2[Palavras-Chave])</f>
        <v>#N/A</v>
      </c>
    </row>
    <row r="870" spans="1:12" ht="57.6" hidden="1" x14ac:dyDescent="0.3">
      <c r="A870" s="5">
        <v>18806984</v>
      </c>
      <c r="B870" s="6" t="s">
        <v>985</v>
      </c>
      <c r="C870" s="6" t="s">
        <v>986</v>
      </c>
      <c r="D870" s="8" t="s">
        <v>66</v>
      </c>
      <c r="E870" s="6" t="s">
        <v>139</v>
      </c>
      <c r="F870" s="6" t="s">
        <v>51</v>
      </c>
      <c r="G870" s="11">
        <v>46125.333333333336</v>
      </c>
      <c r="H870" s="11"/>
      <c r="I870" s="10" t="s">
        <v>987</v>
      </c>
      <c r="J870" s="6" t="s">
        <v>988</v>
      </c>
      <c r="K870" s="12">
        <v>46121.470173611109</v>
      </c>
      <c r="L870" s="6" t="e" cm="1">
        <f t="array" ref="L870">LOOKUP(2^15,SEARCH(Tabela2[Palavras-Chave],Boletim4[[#This Row],[Objeto]],1),Tabela2[Palavras-Chave])</f>
        <v>#N/A</v>
      </c>
    </row>
    <row r="871" spans="1:12" hidden="1" x14ac:dyDescent="0.3">
      <c r="A871" s="5">
        <v>18807163</v>
      </c>
      <c r="B871" s="6" t="s">
        <v>99</v>
      </c>
      <c r="C871" s="6" t="s">
        <v>65</v>
      </c>
      <c r="D871" s="8" t="s">
        <v>66</v>
      </c>
      <c r="E871" s="6" t="s">
        <v>989</v>
      </c>
      <c r="F871" s="6" t="s">
        <v>51</v>
      </c>
      <c r="G871" s="11" t="s">
        <v>56</v>
      </c>
      <c r="H871" s="11"/>
      <c r="I871" s="10" t="s">
        <v>990</v>
      </c>
      <c r="J871" s="6" t="s">
        <v>132</v>
      </c>
      <c r="K871" s="12">
        <v>46121.473078703704</v>
      </c>
      <c r="L871" s="6" t="e" cm="1">
        <f t="array" ref="L871">LOOKUP(2^15,SEARCH(Tabela2[Palavras-Chave],Boletim4[[#This Row],[Objeto]],1),Tabela2[Palavras-Chave])</f>
        <v>#N/A</v>
      </c>
    </row>
    <row r="872" spans="1:12" ht="57.6" hidden="1" x14ac:dyDescent="0.3">
      <c r="A872" s="5">
        <v>18807204</v>
      </c>
      <c r="B872" s="6" t="s">
        <v>966</v>
      </c>
      <c r="C872" s="6" t="s">
        <v>65</v>
      </c>
      <c r="D872" s="8" t="s">
        <v>66</v>
      </c>
      <c r="E872" s="6" t="s">
        <v>991</v>
      </c>
      <c r="F872" s="6" t="s">
        <v>51</v>
      </c>
      <c r="G872" s="11" t="s">
        <v>56</v>
      </c>
      <c r="H872" s="11"/>
      <c r="I872" s="10" t="s">
        <v>992</v>
      </c>
      <c r="J872" s="6" t="s">
        <v>993</v>
      </c>
      <c r="K872" s="12">
        <v>46121.473738425928</v>
      </c>
      <c r="L872" s="6" t="e" cm="1">
        <f t="array" ref="L872">LOOKUP(2^15,SEARCH(Tabela2[Palavras-Chave],Boletim4[[#This Row],[Objeto]],1),Tabela2[Palavras-Chave])</f>
        <v>#N/A</v>
      </c>
    </row>
    <row r="873" spans="1:12" ht="57.6" hidden="1" x14ac:dyDescent="0.3">
      <c r="A873" s="5">
        <v>18807206</v>
      </c>
      <c r="B873" s="6" t="s">
        <v>966</v>
      </c>
      <c r="C873" s="6" t="s">
        <v>65</v>
      </c>
      <c r="D873" s="8" t="s">
        <v>66</v>
      </c>
      <c r="E873" s="6" t="s">
        <v>994</v>
      </c>
      <c r="F873" s="6" t="s">
        <v>51</v>
      </c>
      <c r="G873" s="11" t="s">
        <v>56</v>
      </c>
      <c r="H873" s="11"/>
      <c r="I873" s="10" t="s">
        <v>995</v>
      </c>
      <c r="J873" s="6" t="s">
        <v>996</v>
      </c>
      <c r="K873" s="12">
        <v>46121.47384259259</v>
      </c>
      <c r="L873" s="6" t="e" cm="1">
        <f t="array" ref="L873">LOOKUP(2^15,SEARCH(Tabela2[Palavras-Chave],Boletim4[[#This Row],[Objeto]],1),Tabela2[Palavras-Chave])</f>
        <v>#N/A</v>
      </c>
    </row>
    <row r="874" spans="1:12" ht="72" hidden="1" x14ac:dyDescent="0.3">
      <c r="A874" s="5">
        <v>18807611</v>
      </c>
      <c r="B874" s="6" t="s">
        <v>99</v>
      </c>
      <c r="C874" s="6" t="s">
        <v>65</v>
      </c>
      <c r="D874" s="8" t="s">
        <v>66</v>
      </c>
      <c r="E874" s="6" t="s">
        <v>2828</v>
      </c>
      <c r="F874" s="6" t="s">
        <v>51</v>
      </c>
      <c r="G874" s="11" t="s">
        <v>56</v>
      </c>
      <c r="H874" s="11"/>
      <c r="I874" s="10" t="s">
        <v>2829</v>
      </c>
      <c r="J874" s="6" t="s">
        <v>132</v>
      </c>
      <c r="K874" s="12">
        <v>46121.477152777778</v>
      </c>
      <c r="L874" s="6" t="e" cm="1">
        <f t="array" ref="L874">LOOKUP(2^15,SEARCH(Tabela2[Palavras-Chave],Boletim4[[#This Row],[Objeto]],1),Tabela2[Palavras-Chave])</f>
        <v>#N/A</v>
      </c>
    </row>
    <row r="875" spans="1:12" ht="57.6" hidden="1" x14ac:dyDescent="0.3">
      <c r="A875" s="5">
        <v>18807214</v>
      </c>
      <c r="B875" s="6" t="s">
        <v>979</v>
      </c>
      <c r="C875" s="6" t="s">
        <v>65</v>
      </c>
      <c r="D875" s="8" t="s">
        <v>66</v>
      </c>
      <c r="E875" s="6" t="s">
        <v>997</v>
      </c>
      <c r="F875" s="6" t="s">
        <v>51</v>
      </c>
      <c r="G875" s="11" t="s">
        <v>56</v>
      </c>
      <c r="H875" s="11"/>
      <c r="I875" s="10" t="s">
        <v>998</v>
      </c>
      <c r="J875" s="6" t="s">
        <v>999</v>
      </c>
      <c r="K875" s="12">
        <v>46121.486689814818</v>
      </c>
      <c r="L875" s="6" t="e" cm="1">
        <f t="array" ref="L875">LOOKUP(2^15,SEARCH(Tabela2[Palavras-Chave],Boletim4[[#This Row],[Objeto]],1),Tabela2[Palavras-Chave])</f>
        <v>#N/A</v>
      </c>
    </row>
    <row r="876" spans="1:12" ht="409.6" x14ac:dyDescent="0.3">
      <c r="A876" s="5">
        <v>18807372</v>
      </c>
      <c r="B876" s="6" t="s">
        <v>99</v>
      </c>
      <c r="C876" s="6" t="s">
        <v>65</v>
      </c>
      <c r="D876" s="8" t="s">
        <v>66</v>
      </c>
      <c r="E876" s="6" t="s">
        <v>1000</v>
      </c>
      <c r="F876" s="6" t="s">
        <v>51</v>
      </c>
      <c r="G876" s="11" t="s">
        <v>56</v>
      </c>
      <c r="H876" s="11"/>
      <c r="I876" s="10" t="s">
        <v>1001</v>
      </c>
      <c r="J876" s="6" t="s">
        <v>132</v>
      </c>
      <c r="K876" s="12">
        <v>46121.499768518515</v>
      </c>
      <c r="L876" s="6" t="str" cm="1">
        <f t="array" ref="L876">LOOKUP(2^15,SEARCH(Tabela2[Palavras-Chave],Boletim4[[#This Row],[Objeto]],1),Tabela2[Palavras-Chave])</f>
        <v>JUNTA</v>
      </c>
    </row>
    <row r="877" spans="1:12" ht="28.8" hidden="1" x14ac:dyDescent="0.3">
      <c r="A877" s="5">
        <v>18808186</v>
      </c>
      <c r="B877" s="6" t="s">
        <v>1002</v>
      </c>
      <c r="C877" s="6" t="s">
        <v>1003</v>
      </c>
      <c r="D877" s="8" t="s">
        <v>66</v>
      </c>
      <c r="E877" s="6" t="s">
        <v>1004</v>
      </c>
      <c r="F877" s="6" t="s">
        <v>51</v>
      </c>
      <c r="G877" s="11">
        <v>46126.333333333336</v>
      </c>
      <c r="H877" s="11"/>
      <c r="I877" s="10" t="s">
        <v>1005</v>
      </c>
      <c r="J877" s="6" t="s">
        <v>1006</v>
      </c>
      <c r="K877" s="12">
        <v>46121.52207175926</v>
      </c>
      <c r="L877" s="6" t="e" cm="1">
        <f t="array" ref="L877">LOOKUP(2^15,SEARCH(Tabela2[Palavras-Chave],Boletim4[[#This Row],[Objeto]],1),Tabela2[Palavras-Chave])</f>
        <v>#N/A</v>
      </c>
    </row>
    <row r="878" spans="1:12" ht="302.39999999999998" x14ac:dyDescent="0.3">
      <c r="A878" s="5">
        <v>18808075</v>
      </c>
      <c r="B878" s="6" t="s">
        <v>259</v>
      </c>
      <c r="C878" s="6" t="s">
        <v>260</v>
      </c>
      <c r="D878" s="8" t="s">
        <v>66</v>
      </c>
      <c r="E878" s="6" t="s">
        <v>1007</v>
      </c>
      <c r="F878" s="6" t="s">
        <v>51</v>
      </c>
      <c r="G878" s="11" t="s">
        <v>56</v>
      </c>
      <c r="H878" s="11"/>
      <c r="I878" s="10" t="s">
        <v>1008</v>
      </c>
      <c r="J878" s="6" t="s">
        <v>1009</v>
      </c>
      <c r="K878" s="12">
        <v>46121.541122685187</v>
      </c>
      <c r="L878" s="6" t="str" cm="1">
        <f t="array" ref="L878">LOOKUP(2^15,SEARCH(Tabela2[Palavras-Chave],Boletim4[[#This Row],[Objeto]],1),Tabela2[Palavras-Chave])</f>
        <v>DIAGNÓSTICO</v>
      </c>
    </row>
    <row r="879" spans="1:12" ht="100.8" hidden="1" x14ac:dyDescent="0.3">
      <c r="A879" s="5">
        <v>18807609</v>
      </c>
      <c r="B879" s="6" t="s">
        <v>99</v>
      </c>
      <c r="C879" s="6" t="s">
        <v>65</v>
      </c>
      <c r="D879" s="8" t="s">
        <v>66</v>
      </c>
      <c r="E879" s="6" t="s">
        <v>2830</v>
      </c>
      <c r="F879" s="6" t="s">
        <v>51</v>
      </c>
      <c r="G879" s="11" t="s">
        <v>56</v>
      </c>
      <c r="H879" s="11"/>
      <c r="I879" s="10" t="s">
        <v>2831</v>
      </c>
      <c r="J879" s="6" t="s">
        <v>132</v>
      </c>
      <c r="K879" s="12">
        <v>46121.558564814812</v>
      </c>
      <c r="L879" s="6" t="e" cm="1">
        <f t="array" ref="L879">LOOKUP(2^15,SEARCH(Tabela2[Palavras-Chave],Boletim4[[#This Row],[Objeto]],1),Tabela2[Palavras-Chave])</f>
        <v>#N/A</v>
      </c>
    </row>
    <row r="880" spans="1:12" ht="72" hidden="1" x14ac:dyDescent="0.3">
      <c r="A880" s="5">
        <v>18799534</v>
      </c>
      <c r="B880" s="6" t="s">
        <v>1010</v>
      </c>
      <c r="C880" s="6" t="s">
        <v>447</v>
      </c>
      <c r="D880" s="8" t="s">
        <v>66</v>
      </c>
      <c r="E880" s="6" t="s">
        <v>139</v>
      </c>
      <c r="F880" s="6" t="s">
        <v>51</v>
      </c>
      <c r="G880" s="11">
        <v>46122.375</v>
      </c>
      <c r="H880" s="11"/>
      <c r="I880" s="10" t="s">
        <v>1011</v>
      </c>
      <c r="J880" s="6" t="s">
        <v>1012</v>
      </c>
      <c r="K880" s="12">
        <v>46121.587638888886</v>
      </c>
      <c r="L880" s="6" t="e" cm="1">
        <f t="array" ref="L880">LOOKUP(2^15,SEARCH(Tabela2[Palavras-Chave],Boletim4[[#This Row],[Objeto]],1),Tabela2[Palavras-Chave])</f>
        <v>#N/A</v>
      </c>
    </row>
    <row r="881" spans="1:12" ht="28.8" hidden="1" x14ac:dyDescent="0.3">
      <c r="A881" s="5">
        <v>18807593</v>
      </c>
      <c r="B881" s="6" t="s">
        <v>99</v>
      </c>
      <c r="C881" s="6" t="s">
        <v>65</v>
      </c>
      <c r="D881" s="8" t="s">
        <v>66</v>
      </c>
      <c r="E881" s="6" t="s">
        <v>1013</v>
      </c>
      <c r="F881" s="6" t="s">
        <v>51</v>
      </c>
      <c r="G881" s="11" t="s">
        <v>56</v>
      </c>
      <c r="H881" s="11"/>
      <c r="I881" s="10" t="s">
        <v>338</v>
      </c>
      <c r="J881" s="6" t="s">
        <v>132</v>
      </c>
      <c r="K881" s="12">
        <v>46121.610902777778</v>
      </c>
      <c r="L881" s="6" t="e" cm="1">
        <f t="array" ref="L881">LOOKUP(2^15,SEARCH(Tabela2[Palavras-Chave],Boletim4[[#This Row],[Objeto]],1),Tabela2[Palavras-Chave])</f>
        <v>#N/A</v>
      </c>
    </row>
    <row r="882" spans="1:12" ht="28.8" hidden="1" x14ac:dyDescent="0.3">
      <c r="A882" s="5">
        <v>18807510</v>
      </c>
      <c r="B882" s="6" t="s">
        <v>99</v>
      </c>
      <c r="C882" s="6" t="s">
        <v>65</v>
      </c>
      <c r="D882" s="8" t="s">
        <v>66</v>
      </c>
      <c r="E882" s="6" t="s">
        <v>1014</v>
      </c>
      <c r="F882" s="6" t="s">
        <v>51</v>
      </c>
      <c r="G882" s="11" t="s">
        <v>56</v>
      </c>
      <c r="H882" s="11"/>
      <c r="I882" s="10" t="s">
        <v>338</v>
      </c>
      <c r="J882" s="6" t="s">
        <v>132</v>
      </c>
      <c r="K882" s="12">
        <v>46121.610949074071</v>
      </c>
      <c r="L882" s="6" t="e" cm="1">
        <f t="array" ref="L882">LOOKUP(2^15,SEARCH(Tabela2[Palavras-Chave],Boletim4[[#This Row],[Objeto]],1),Tabela2[Palavras-Chave])</f>
        <v>#N/A</v>
      </c>
    </row>
    <row r="883" spans="1:12" ht="28.8" hidden="1" x14ac:dyDescent="0.3">
      <c r="A883" s="5">
        <v>18808187</v>
      </c>
      <c r="B883" s="6" t="s">
        <v>1015</v>
      </c>
      <c r="C883" s="6" t="s">
        <v>65</v>
      </c>
      <c r="D883" s="8" t="s">
        <v>66</v>
      </c>
      <c r="E883" s="6" t="s">
        <v>1016</v>
      </c>
      <c r="F883" s="6" t="s">
        <v>51</v>
      </c>
      <c r="G883" s="11">
        <v>46126.333333333336</v>
      </c>
      <c r="H883" s="11"/>
      <c r="I883" s="10" t="s">
        <v>1017</v>
      </c>
      <c r="J883" s="6" t="s">
        <v>1018</v>
      </c>
      <c r="K883" s="12">
        <v>46121.614201388889</v>
      </c>
      <c r="L883" s="6" t="e" cm="1">
        <f t="array" ref="L883">LOOKUP(2^15,SEARCH(Tabela2[Palavras-Chave],Boletim4[[#This Row],[Objeto]],1),Tabela2[Palavras-Chave])</f>
        <v>#N/A</v>
      </c>
    </row>
    <row r="884" spans="1:12" ht="28.8" hidden="1" x14ac:dyDescent="0.3">
      <c r="A884" s="5">
        <v>18807375</v>
      </c>
      <c r="B884" s="6" t="s">
        <v>99</v>
      </c>
      <c r="C884" s="6" t="s">
        <v>65</v>
      </c>
      <c r="D884" s="8" t="s">
        <v>66</v>
      </c>
      <c r="E884" s="6" t="s">
        <v>1019</v>
      </c>
      <c r="F884" s="6" t="s">
        <v>51</v>
      </c>
      <c r="G884" s="11" t="s">
        <v>56</v>
      </c>
      <c r="H884" s="11"/>
      <c r="I884" s="10" t="s">
        <v>338</v>
      </c>
      <c r="J884" s="6" t="s">
        <v>132</v>
      </c>
      <c r="K884" s="12">
        <v>46121.615231481483</v>
      </c>
      <c r="L884" s="6" t="e" cm="1">
        <f t="array" ref="L884">LOOKUP(2^15,SEARCH(Tabela2[Palavras-Chave],Boletim4[[#This Row],[Objeto]],1),Tabela2[Palavras-Chave])</f>
        <v>#N/A</v>
      </c>
    </row>
    <row r="885" spans="1:12" ht="28.8" x14ac:dyDescent="0.3">
      <c r="A885" s="5">
        <v>18809789</v>
      </c>
      <c r="B885" s="6" t="s">
        <v>99</v>
      </c>
      <c r="C885" s="6" t="s">
        <v>65</v>
      </c>
      <c r="D885" s="8" t="s">
        <v>66</v>
      </c>
      <c r="E885" s="6" t="s">
        <v>1020</v>
      </c>
      <c r="F885" s="6" t="s">
        <v>51</v>
      </c>
      <c r="G885" s="11" t="s">
        <v>56</v>
      </c>
      <c r="H885" s="11"/>
      <c r="I885" s="10" t="s">
        <v>1021</v>
      </c>
      <c r="J885" s="6" t="s">
        <v>132</v>
      </c>
      <c r="K885" s="12">
        <v>46121.639618055553</v>
      </c>
      <c r="L885" s="6" t="str" cm="1">
        <f t="array" ref="L885">LOOKUP(2^15,SEARCH(Tabela2[Palavras-Chave],Boletim4[[#This Row],[Objeto]],1),Tabela2[Palavras-Chave])</f>
        <v>JUNTA</v>
      </c>
    </row>
    <row r="886" spans="1:12" ht="28.8" hidden="1" x14ac:dyDescent="0.3">
      <c r="A886" s="5">
        <v>18762615</v>
      </c>
      <c r="B886" s="6" t="s">
        <v>99</v>
      </c>
      <c r="C886" s="6" t="s">
        <v>65</v>
      </c>
      <c r="D886" s="8" t="s">
        <v>66</v>
      </c>
      <c r="E886" s="6" t="s">
        <v>1022</v>
      </c>
      <c r="F886" s="6" t="s">
        <v>51</v>
      </c>
      <c r="G886" s="11" t="s">
        <v>56</v>
      </c>
      <c r="H886" s="11"/>
      <c r="I886" s="10" t="s">
        <v>1023</v>
      </c>
      <c r="J886" s="6" t="s">
        <v>131</v>
      </c>
      <c r="K886" s="12">
        <v>46121.676423611112</v>
      </c>
      <c r="L886" s="6" t="e" cm="1">
        <f t="array" ref="L886">LOOKUP(2^15,SEARCH(Tabela2[Palavras-Chave],Boletim4[[#This Row],[Objeto]],1),Tabela2[Palavras-Chave])</f>
        <v>#N/A</v>
      </c>
    </row>
    <row r="887" spans="1:12" ht="28.8" hidden="1" x14ac:dyDescent="0.3">
      <c r="A887" s="5">
        <v>18774643</v>
      </c>
      <c r="B887" s="6" t="s">
        <v>99</v>
      </c>
      <c r="C887" s="6" t="s">
        <v>65</v>
      </c>
      <c r="D887" s="8" t="s">
        <v>66</v>
      </c>
      <c r="E887" s="6" t="s">
        <v>1024</v>
      </c>
      <c r="F887" s="6" t="s">
        <v>51</v>
      </c>
      <c r="G887" s="11" t="s">
        <v>56</v>
      </c>
      <c r="H887" s="11"/>
      <c r="I887" s="10" t="s">
        <v>1025</v>
      </c>
      <c r="J887" s="6" t="s">
        <v>131</v>
      </c>
      <c r="K887" s="12">
        <v>46121.677824074075</v>
      </c>
      <c r="L887" s="6" t="e" cm="1">
        <f t="array" ref="L887">LOOKUP(2^15,SEARCH(Tabela2[Palavras-Chave],Boletim4[[#This Row],[Objeto]],1),Tabela2[Palavras-Chave])</f>
        <v>#N/A</v>
      </c>
    </row>
    <row r="888" spans="1:12" ht="28.8" hidden="1" x14ac:dyDescent="0.3">
      <c r="A888" s="5">
        <v>18789531</v>
      </c>
      <c r="B888" s="6" t="s">
        <v>99</v>
      </c>
      <c r="C888" s="6" t="s">
        <v>65</v>
      </c>
      <c r="D888" s="8" t="s">
        <v>66</v>
      </c>
      <c r="E888" s="6" t="s">
        <v>2832</v>
      </c>
      <c r="F888" s="6" t="s">
        <v>51</v>
      </c>
      <c r="G888" s="11" t="s">
        <v>56</v>
      </c>
      <c r="H888" s="11"/>
      <c r="I888" s="10" t="s">
        <v>2833</v>
      </c>
      <c r="J888" s="6" t="s">
        <v>131</v>
      </c>
      <c r="K888" s="12">
        <v>46121.6878125</v>
      </c>
      <c r="L888" s="6" t="e" cm="1">
        <f t="array" ref="L888">LOOKUP(2^15,SEARCH(Tabela2[Palavras-Chave],Boletim4[[#This Row],[Objeto]],1),Tabela2[Palavras-Chave])</f>
        <v>#N/A</v>
      </c>
    </row>
    <row r="889" spans="1:12" ht="144" x14ac:dyDescent="0.3">
      <c r="A889" s="5">
        <v>18808082</v>
      </c>
      <c r="B889" s="6" t="s">
        <v>259</v>
      </c>
      <c r="C889" s="6" t="s">
        <v>260</v>
      </c>
      <c r="D889" s="8" t="s">
        <v>66</v>
      </c>
      <c r="E889" s="6" t="s">
        <v>1026</v>
      </c>
      <c r="F889" s="6" t="s">
        <v>51</v>
      </c>
      <c r="G889" s="11" t="s">
        <v>56</v>
      </c>
      <c r="H889" s="11"/>
      <c r="I889" s="10" t="s">
        <v>1027</v>
      </c>
      <c r="J889" s="6" t="s">
        <v>1009</v>
      </c>
      <c r="K889" s="12">
        <v>46121.690451388888</v>
      </c>
      <c r="L889" s="6" t="str" cm="1">
        <f t="array" ref="L889">LOOKUP(2^15,SEARCH(Tabela2[Palavras-Chave],Boletim4[[#This Row],[Objeto]],1),Tabela2[Palavras-Chave])</f>
        <v>EFICIÊNCIA</v>
      </c>
    </row>
    <row r="890" spans="1:12" ht="115.2" hidden="1" x14ac:dyDescent="0.3">
      <c r="A890" s="5">
        <v>18806753</v>
      </c>
      <c r="B890" s="6" t="s">
        <v>2834</v>
      </c>
      <c r="C890" s="6" t="s">
        <v>65</v>
      </c>
      <c r="D890" s="8" t="s">
        <v>66</v>
      </c>
      <c r="E890" s="6" t="s">
        <v>2835</v>
      </c>
      <c r="F890" s="6" t="s">
        <v>51</v>
      </c>
      <c r="G890" s="11">
        <v>46126.333333333336</v>
      </c>
      <c r="H890" s="11"/>
      <c r="I890" s="10" t="s">
        <v>2836</v>
      </c>
      <c r="J890" s="6" t="s">
        <v>2837</v>
      </c>
      <c r="K890" s="12">
        <v>46121.702789351853</v>
      </c>
      <c r="L890" s="6" t="e" cm="1">
        <f t="array" ref="L890">LOOKUP(2^15,SEARCH(Tabela2[Palavras-Chave],Boletim4[[#This Row],[Objeto]],1),Tabela2[Palavras-Chave])</f>
        <v>#N/A</v>
      </c>
    </row>
    <row r="891" spans="1:12" ht="100.8" hidden="1" x14ac:dyDescent="0.3">
      <c r="A891" s="5">
        <v>18809987</v>
      </c>
      <c r="B891" s="6" t="s">
        <v>259</v>
      </c>
      <c r="C891" s="6" t="s">
        <v>260</v>
      </c>
      <c r="D891" s="8" t="s">
        <v>66</v>
      </c>
      <c r="E891" s="6" t="s">
        <v>1028</v>
      </c>
      <c r="F891" s="6" t="s">
        <v>51</v>
      </c>
      <c r="G891" s="11" t="s">
        <v>56</v>
      </c>
      <c r="H891" s="11"/>
      <c r="I891" s="10" t="s">
        <v>1029</v>
      </c>
      <c r="J891" s="6" t="s">
        <v>1009</v>
      </c>
      <c r="K891" s="12">
        <v>46121.707870370374</v>
      </c>
      <c r="L891" s="6" t="e" cm="1">
        <f t="array" ref="L891">LOOKUP(2^15,SEARCH(Tabela2[Palavras-Chave],Boletim4[[#This Row],[Objeto]],1),Tabela2[Palavras-Chave])</f>
        <v>#N/A</v>
      </c>
    </row>
    <row r="892" spans="1:12" ht="28.8" hidden="1" x14ac:dyDescent="0.3">
      <c r="A892" s="5">
        <v>18809962</v>
      </c>
      <c r="B892" s="6" t="s">
        <v>99</v>
      </c>
      <c r="C892" s="6" t="s">
        <v>65</v>
      </c>
      <c r="D892" s="8" t="s">
        <v>66</v>
      </c>
      <c r="E892" s="6" t="s">
        <v>2838</v>
      </c>
      <c r="F892" s="6" t="s">
        <v>51</v>
      </c>
      <c r="G892" s="11" t="s">
        <v>56</v>
      </c>
      <c r="H892" s="11"/>
      <c r="I892" s="10" t="s">
        <v>2839</v>
      </c>
      <c r="J892" s="6" t="s">
        <v>1032</v>
      </c>
      <c r="K892" s="12">
        <v>46121.708402777775</v>
      </c>
      <c r="L892" s="6" t="e" cm="1">
        <f t="array" ref="L892">LOOKUP(2^15,SEARCH(Tabela2[Palavras-Chave],Boletim4[[#This Row],[Objeto]],1),Tabela2[Palavras-Chave])</f>
        <v>#N/A</v>
      </c>
    </row>
    <row r="893" spans="1:12" ht="28.8" x14ac:dyDescent="0.3">
      <c r="A893" s="5">
        <v>18809981</v>
      </c>
      <c r="B893" s="6" t="s">
        <v>99</v>
      </c>
      <c r="C893" s="6" t="s">
        <v>65</v>
      </c>
      <c r="D893" s="8" t="s">
        <v>66</v>
      </c>
      <c r="E893" s="6" t="s">
        <v>1030</v>
      </c>
      <c r="F893" s="6" t="s">
        <v>51</v>
      </c>
      <c r="G893" s="11" t="s">
        <v>56</v>
      </c>
      <c r="H893" s="11"/>
      <c r="I893" s="10" t="s">
        <v>1031</v>
      </c>
      <c r="J893" s="6" t="s">
        <v>1032</v>
      </c>
      <c r="K893" s="12">
        <v>46121.708495370367</v>
      </c>
      <c r="L893" s="6" t="str" cm="1">
        <f t="array" ref="L893">LOOKUP(2^15,SEARCH(Tabela2[Palavras-Chave],Boletim4[[#This Row],[Objeto]],1),Tabela2[Palavras-Chave])</f>
        <v>RESERVAT</v>
      </c>
    </row>
    <row r="894" spans="1:12" ht="100.8" hidden="1" x14ac:dyDescent="0.3">
      <c r="A894" s="5">
        <v>18810015</v>
      </c>
      <c r="B894" s="6" t="s">
        <v>2840</v>
      </c>
      <c r="C894" s="6" t="s">
        <v>273</v>
      </c>
      <c r="D894" s="8" t="s">
        <v>66</v>
      </c>
      <c r="E894" s="6" t="s">
        <v>335</v>
      </c>
      <c r="F894" s="6" t="s">
        <v>51</v>
      </c>
      <c r="G894" s="11" t="s">
        <v>56</v>
      </c>
      <c r="H894" s="11"/>
      <c r="I894" s="10" t="s">
        <v>2841</v>
      </c>
      <c r="J894" s="6" t="s">
        <v>2842</v>
      </c>
      <c r="K894" s="12">
        <v>46121.712326388886</v>
      </c>
      <c r="L894" s="6" t="e" cm="1">
        <f t="array" ref="L894">LOOKUP(2^15,SEARCH(Tabela2[Palavras-Chave],Boletim4[[#This Row],[Objeto]],1),Tabela2[Palavras-Chave])</f>
        <v>#N/A</v>
      </c>
    </row>
    <row r="895" spans="1:12" ht="57.6" hidden="1" x14ac:dyDescent="0.3">
      <c r="A895" s="5">
        <v>18808470</v>
      </c>
      <c r="B895" s="6" t="s">
        <v>2843</v>
      </c>
      <c r="C895" s="6" t="s">
        <v>2513</v>
      </c>
      <c r="D895" s="8" t="s">
        <v>66</v>
      </c>
      <c r="E895" s="6" t="s">
        <v>643</v>
      </c>
      <c r="F895" s="6" t="s">
        <v>51</v>
      </c>
      <c r="G895" s="11" t="s">
        <v>56</v>
      </c>
      <c r="H895" s="11"/>
      <c r="I895" s="10" t="s">
        <v>2844</v>
      </c>
      <c r="J895" s="6" t="s">
        <v>2845</v>
      </c>
      <c r="K895" s="12">
        <v>46121.719270833331</v>
      </c>
      <c r="L895" s="6" t="e" cm="1">
        <f t="array" ref="L895">LOOKUP(2^15,SEARCH(Tabela2[Palavras-Chave],Boletim4[[#This Row],[Objeto]],1),Tabela2[Palavras-Chave])</f>
        <v>#N/A</v>
      </c>
    </row>
    <row r="896" spans="1:12" hidden="1" x14ac:dyDescent="0.3">
      <c r="A896" s="5">
        <v>18807592</v>
      </c>
      <c r="B896" s="6" t="s">
        <v>99</v>
      </c>
      <c r="C896" s="6" t="s">
        <v>65</v>
      </c>
      <c r="D896" s="8" t="s">
        <v>66</v>
      </c>
      <c r="E896" s="6" t="s">
        <v>1033</v>
      </c>
      <c r="F896" s="6" t="s">
        <v>51</v>
      </c>
      <c r="G896" s="11" t="s">
        <v>56</v>
      </c>
      <c r="H896" s="11"/>
      <c r="I896" s="10" t="s">
        <v>597</v>
      </c>
      <c r="J896" s="6" t="s">
        <v>132</v>
      </c>
      <c r="K896" s="12">
        <v>46121.722372685188</v>
      </c>
      <c r="L896" s="6" t="e" cm="1">
        <f t="array" ref="L896">LOOKUP(2^15,SEARCH(Tabela2[Palavras-Chave],Boletim4[[#This Row],[Objeto]],1),Tabela2[Palavras-Chave])</f>
        <v>#N/A</v>
      </c>
    </row>
    <row r="897" spans="1:12" hidden="1" x14ac:dyDescent="0.3">
      <c r="A897" s="5">
        <v>18807507</v>
      </c>
      <c r="B897" s="6" t="s">
        <v>99</v>
      </c>
      <c r="C897" s="6" t="s">
        <v>65</v>
      </c>
      <c r="D897" s="8" t="s">
        <v>66</v>
      </c>
      <c r="E897" s="6" t="s">
        <v>1034</v>
      </c>
      <c r="F897" s="6" t="s">
        <v>51</v>
      </c>
      <c r="G897" s="11" t="s">
        <v>56</v>
      </c>
      <c r="H897" s="11"/>
      <c r="I897" s="10" t="s">
        <v>1035</v>
      </c>
      <c r="J897" s="6" t="s">
        <v>132</v>
      </c>
      <c r="K897" s="12">
        <v>46121.725370370368</v>
      </c>
      <c r="L897" s="6" t="e" cm="1">
        <f t="array" ref="L897">LOOKUP(2^15,SEARCH(Tabela2[Palavras-Chave],Boletim4[[#This Row],[Objeto]],1),Tabela2[Palavras-Chave])</f>
        <v>#N/A</v>
      </c>
    </row>
    <row r="898" spans="1:12" hidden="1" x14ac:dyDescent="0.3">
      <c r="A898" s="5">
        <v>18809790</v>
      </c>
      <c r="B898" s="6" t="s">
        <v>99</v>
      </c>
      <c r="C898" s="6" t="s">
        <v>65</v>
      </c>
      <c r="D898" s="8" t="s">
        <v>66</v>
      </c>
      <c r="E898" s="6" t="s">
        <v>2846</v>
      </c>
      <c r="F898" s="6" t="s">
        <v>51</v>
      </c>
      <c r="G898" s="11" t="s">
        <v>56</v>
      </c>
      <c r="H898" s="11"/>
      <c r="I898" s="10" t="s">
        <v>2847</v>
      </c>
      <c r="J898" s="6" t="s">
        <v>132</v>
      </c>
      <c r="K898" s="12">
        <v>46121.734733796293</v>
      </c>
      <c r="L898" s="6" t="e" cm="1">
        <f t="array" ref="L898">LOOKUP(2^15,SEARCH(Tabela2[Palavras-Chave],Boletim4[[#This Row],[Objeto]],1),Tabela2[Palavras-Chave])</f>
        <v>#N/A</v>
      </c>
    </row>
    <row r="899" spans="1:12" ht="403.2" hidden="1" x14ac:dyDescent="0.3">
      <c r="A899" s="5">
        <v>18809774</v>
      </c>
      <c r="B899" s="6" t="s">
        <v>1036</v>
      </c>
      <c r="C899" s="6" t="s">
        <v>440</v>
      </c>
      <c r="D899" s="8" t="s">
        <v>66</v>
      </c>
      <c r="E899" s="6" t="s">
        <v>139</v>
      </c>
      <c r="F899" s="6" t="s">
        <v>51</v>
      </c>
      <c r="G899" s="11">
        <v>46128.333333333336</v>
      </c>
      <c r="H899" s="11"/>
      <c r="I899" s="10" t="s">
        <v>1037</v>
      </c>
      <c r="J899" s="6" t="s">
        <v>1038</v>
      </c>
      <c r="K899" s="12">
        <v>46121.752916666665</v>
      </c>
      <c r="L899" s="6" t="e" cm="1">
        <f t="array" ref="L899">LOOKUP(2^15,SEARCH(Tabela2[Palavras-Chave],Boletim4[[#This Row],[Objeto]],1),Tabela2[Palavras-Chave])</f>
        <v>#N/A</v>
      </c>
    </row>
    <row r="900" spans="1:12" hidden="1" x14ac:dyDescent="0.3">
      <c r="A900" s="5">
        <v>18807886</v>
      </c>
      <c r="B900" s="6" t="s">
        <v>2848</v>
      </c>
      <c r="C900" s="6" t="s">
        <v>2849</v>
      </c>
      <c r="D900" s="8" t="s">
        <v>66</v>
      </c>
      <c r="E900" s="6" t="s">
        <v>315</v>
      </c>
      <c r="F900" s="6" t="s">
        <v>51</v>
      </c>
      <c r="G900" s="11">
        <v>46126.375</v>
      </c>
      <c r="H900" s="11"/>
      <c r="I900" s="10" t="s">
        <v>2850</v>
      </c>
      <c r="J900" s="6" t="s">
        <v>594</v>
      </c>
      <c r="K900" s="12">
        <v>46121.755532407406</v>
      </c>
      <c r="L900" s="6" t="e" cm="1">
        <f t="array" ref="L900">LOOKUP(2^15,SEARCH(Tabela2[Palavras-Chave],Boletim4[[#This Row],[Objeto]],1),Tabela2[Palavras-Chave])</f>
        <v>#N/A</v>
      </c>
    </row>
    <row r="901" spans="1:12" ht="115.2" hidden="1" x14ac:dyDescent="0.3">
      <c r="A901" s="5">
        <v>18791068</v>
      </c>
      <c r="B901" s="6" t="s">
        <v>1039</v>
      </c>
      <c r="C901" s="6" t="s">
        <v>219</v>
      </c>
      <c r="D901" s="8" t="s">
        <v>66</v>
      </c>
      <c r="E901" s="6" t="s">
        <v>1040</v>
      </c>
      <c r="F901" s="6" t="s">
        <v>51</v>
      </c>
      <c r="G901" s="11">
        <v>46125.333333333336</v>
      </c>
      <c r="H901" s="11"/>
      <c r="I901" s="10" t="s">
        <v>1041</v>
      </c>
      <c r="J901" s="6" t="s">
        <v>1042</v>
      </c>
      <c r="K901" s="12">
        <v>46121.758344907408</v>
      </c>
      <c r="L901" s="6" t="e" cm="1">
        <f t="array" ref="L901">LOOKUP(2^15,SEARCH(Tabela2[Palavras-Chave],Boletim4[[#This Row],[Objeto]],1),Tabela2[Palavras-Chave])</f>
        <v>#N/A</v>
      </c>
    </row>
    <row r="902" spans="1:12" hidden="1" x14ac:dyDescent="0.3">
      <c r="A902" s="5">
        <v>18807374</v>
      </c>
      <c r="B902" s="6" t="s">
        <v>99</v>
      </c>
      <c r="C902" s="6" t="s">
        <v>65</v>
      </c>
      <c r="D902" s="8" t="s">
        <v>66</v>
      </c>
      <c r="E902" s="6" t="s">
        <v>1043</v>
      </c>
      <c r="F902" s="6" t="s">
        <v>51</v>
      </c>
      <c r="G902" s="11" t="s">
        <v>56</v>
      </c>
      <c r="H902" s="11"/>
      <c r="I902" s="10" t="s">
        <v>597</v>
      </c>
      <c r="J902" s="6" t="s">
        <v>132</v>
      </c>
      <c r="K902" s="12">
        <v>46121.758819444447</v>
      </c>
      <c r="L902" s="6" t="e" cm="1">
        <f t="array" ref="L902">LOOKUP(2^15,SEARCH(Tabela2[Palavras-Chave],Boletim4[[#This Row],[Objeto]],1),Tabela2[Palavras-Chave])</f>
        <v>#N/A</v>
      </c>
    </row>
    <row r="903" spans="1:12" hidden="1" x14ac:dyDescent="0.3">
      <c r="A903" s="5">
        <v>18807369</v>
      </c>
      <c r="B903" s="6" t="s">
        <v>99</v>
      </c>
      <c r="C903" s="6" t="s">
        <v>65</v>
      </c>
      <c r="D903" s="8" t="s">
        <v>66</v>
      </c>
      <c r="E903" s="6" t="s">
        <v>1044</v>
      </c>
      <c r="F903" s="6" t="s">
        <v>51</v>
      </c>
      <c r="G903" s="11" t="s">
        <v>56</v>
      </c>
      <c r="H903" s="11"/>
      <c r="I903" s="10" t="s">
        <v>597</v>
      </c>
      <c r="J903" s="6" t="s">
        <v>132</v>
      </c>
      <c r="K903" s="12">
        <v>46121.758923611109</v>
      </c>
      <c r="L903" s="6" t="e" cm="1">
        <f t="array" ref="L903">LOOKUP(2^15,SEARCH(Tabela2[Palavras-Chave],Boletim4[[#This Row],[Objeto]],1),Tabela2[Palavras-Chave])</f>
        <v>#N/A</v>
      </c>
    </row>
    <row r="904" spans="1:12" ht="57.6" hidden="1" x14ac:dyDescent="0.3">
      <c r="A904" s="5">
        <v>18807223</v>
      </c>
      <c r="B904" s="6" t="s">
        <v>187</v>
      </c>
      <c r="C904" s="6" t="s">
        <v>65</v>
      </c>
      <c r="D904" s="8" t="s">
        <v>66</v>
      </c>
      <c r="E904" s="6" t="s">
        <v>2851</v>
      </c>
      <c r="F904" s="6" t="s">
        <v>51</v>
      </c>
      <c r="G904" s="11" t="s">
        <v>56</v>
      </c>
      <c r="H904" s="11"/>
      <c r="I904" s="10" t="s">
        <v>2852</v>
      </c>
      <c r="J904" s="6" t="s">
        <v>2853</v>
      </c>
      <c r="K904" s="12">
        <v>46121.773310185185</v>
      </c>
      <c r="L904" s="6" t="e" cm="1">
        <f t="array" ref="L904">LOOKUP(2^15,SEARCH(Tabela2[Palavras-Chave],Boletim4[[#This Row],[Objeto]],1),Tabela2[Palavras-Chave])</f>
        <v>#N/A</v>
      </c>
    </row>
    <row r="905" spans="1:12" ht="86.4" hidden="1" x14ac:dyDescent="0.3">
      <c r="A905" s="5">
        <v>18810848</v>
      </c>
      <c r="B905" s="6" t="s">
        <v>1045</v>
      </c>
      <c r="C905" s="6" t="s">
        <v>1046</v>
      </c>
      <c r="D905" s="8" t="s">
        <v>66</v>
      </c>
      <c r="E905" s="6" t="s">
        <v>607</v>
      </c>
      <c r="F905" s="6" t="s">
        <v>51</v>
      </c>
      <c r="G905" s="11">
        <v>46127.385416666664</v>
      </c>
      <c r="H905" s="11"/>
      <c r="I905" s="10" t="s">
        <v>1047</v>
      </c>
      <c r="J905" s="6" t="s">
        <v>1048</v>
      </c>
      <c r="K905" s="12">
        <v>46121.828993055555</v>
      </c>
      <c r="L905" s="6" t="e" cm="1">
        <f t="array" ref="L905">LOOKUP(2^15,SEARCH(Tabela2[Palavras-Chave],Boletim4[[#This Row],[Objeto]],1),Tabela2[Palavras-Chave])</f>
        <v>#N/A</v>
      </c>
    </row>
    <row r="906" spans="1:12" ht="100.8" hidden="1" x14ac:dyDescent="0.3">
      <c r="A906" s="5">
        <v>18810845</v>
      </c>
      <c r="B906" s="6" t="s">
        <v>1049</v>
      </c>
      <c r="C906" s="6" t="s">
        <v>1050</v>
      </c>
      <c r="D906" s="8" t="s">
        <v>66</v>
      </c>
      <c r="E906" s="6" t="s">
        <v>192</v>
      </c>
      <c r="F906" s="6" t="s">
        <v>51</v>
      </c>
      <c r="G906" s="11">
        <v>46129.333333333336</v>
      </c>
      <c r="H906" s="11"/>
      <c r="I906" s="10" t="s">
        <v>1051</v>
      </c>
      <c r="J906" s="6" t="s">
        <v>1052</v>
      </c>
      <c r="K906" s="12">
        <v>46121.829247685186</v>
      </c>
      <c r="L906" s="6" t="e" cm="1">
        <f t="array" ref="L906">LOOKUP(2^15,SEARCH(Tabela2[Palavras-Chave],Boletim4[[#This Row],[Objeto]],1),Tabela2[Palavras-Chave])</f>
        <v>#N/A</v>
      </c>
    </row>
    <row r="907" spans="1:12" ht="43.2" hidden="1" x14ac:dyDescent="0.3">
      <c r="A907" s="5">
        <v>18810936</v>
      </c>
      <c r="B907" s="6" t="s">
        <v>1053</v>
      </c>
      <c r="C907" s="6" t="s">
        <v>1054</v>
      </c>
      <c r="D907" s="8" t="s">
        <v>66</v>
      </c>
      <c r="E907" s="6" t="s">
        <v>129</v>
      </c>
      <c r="F907" s="6" t="s">
        <v>51</v>
      </c>
      <c r="G907" s="11">
        <v>46126.999305555553</v>
      </c>
      <c r="H907" s="11"/>
      <c r="I907" s="10" t="s">
        <v>1055</v>
      </c>
      <c r="J907" s="6" t="s">
        <v>1056</v>
      </c>
      <c r="K907" s="12">
        <v>46121.840162037035</v>
      </c>
      <c r="L907" s="6" t="e" cm="1">
        <f t="array" ref="L907">LOOKUP(2^15,SEARCH(Tabela2[Palavras-Chave],Boletim4[[#This Row],[Objeto]],1),Tabela2[Palavras-Chave])</f>
        <v>#N/A</v>
      </c>
    </row>
    <row r="908" spans="1:12" ht="43.2" hidden="1" x14ac:dyDescent="0.3">
      <c r="A908" s="5">
        <v>18810935</v>
      </c>
      <c r="B908" s="6" t="s">
        <v>1057</v>
      </c>
      <c r="C908" s="6" t="s">
        <v>1058</v>
      </c>
      <c r="D908" s="8" t="s">
        <v>66</v>
      </c>
      <c r="E908" s="6" t="s">
        <v>118</v>
      </c>
      <c r="F908" s="6" t="s">
        <v>51</v>
      </c>
      <c r="G908" s="11">
        <v>46127.541666666664</v>
      </c>
      <c r="H908" s="11"/>
      <c r="I908" s="10" t="s">
        <v>1059</v>
      </c>
      <c r="J908" s="6" t="s">
        <v>1060</v>
      </c>
      <c r="K908" s="12">
        <v>46121.849502314813</v>
      </c>
      <c r="L908" s="6" t="e" cm="1">
        <f t="array" ref="L908">LOOKUP(2^15,SEARCH(Tabela2[Palavras-Chave],Boletim4[[#This Row],[Objeto]],1),Tabela2[Palavras-Chave])</f>
        <v>#N/A</v>
      </c>
    </row>
    <row r="909" spans="1:12" ht="57.6" hidden="1" x14ac:dyDescent="0.3">
      <c r="A909" s="5">
        <v>18807213</v>
      </c>
      <c r="B909" s="6" t="s">
        <v>966</v>
      </c>
      <c r="C909" s="6" t="s">
        <v>65</v>
      </c>
      <c r="D909" s="8" t="s">
        <v>66</v>
      </c>
      <c r="E909" s="6" t="s">
        <v>1061</v>
      </c>
      <c r="F909" s="6" t="s">
        <v>51</v>
      </c>
      <c r="G909" s="11" t="s">
        <v>56</v>
      </c>
      <c r="H909" s="11"/>
      <c r="I909" s="10" t="s">
        <v>1062</v>
      </c>
      <c r="J909" s="6" t="s">
        <v>1063</v>
      </c>
      <c r="K909" s="12">
        <v>46121.86204861111</v>
      </c>
      <c r="L909" s="6" t="e" cm="1">
        <f t="array" ref="L909">LOOKUP(2^15,SEARCH(Tabela2[Palavras-Chave],Boletim4[[#This Row],[Objeto]],1),Tabela2[Palavras-Chave])</f>
        <v>#N/A</v>
      </c>
    </row>
    <row r="910" spans="1:12" ht="57.6" hidden="1" x14ac:dyDescent="0.3">
      <c r="A910" s="5">
        <v>18811492</v>
      </c>
      <c r="B910" s="6" t="s">
        <v>2854</v>
      </c>
      <c r="C910" s="6" t="s">
        <v>2855</v>
      </c>
      <c r="D910" s="8" t="s">
        <v>66</v>
      </c>
      <c r="E910" s="6" t="s">
        <v>335</v>
      </c>
      <c r="F910" s="6" t="s">
        <v>51</v>
      </c>
      <c r="G910" s="11">
        <v>46125</v>
      </c>
      <c r="H910" s="11"/>
      <c r="I910" s="10" t="s">
        <v>2856</v>
      </c>
      <c r="J910" s="6" t="s">
        <v>2857</v>
      </c>
      <c r="K910" s="12">
        <v>46121.873784722222</v>
      </c>
      <c r="L910" s="6" t="e" cm="1">
        <f t="array" ref="L910">LOOKUP(2^15,SEARCH(Tabela2[Palavras-Chave],Boletim4[[#This Row],[Objeto]],1),Tabela2[Palavras-Chave])</f>
        <v>#N/A</v>
      </c>
    </row>
    <row r="911" spans="1:12" ht="144" hidden="1" x14ac:dyDescent="0.3">
      <c r="A911" s="5">
        <v>18808770</v>
      </c>
      <c r="B911" s="6" t="s">
        <v>344</v>
      </c>
      <c r="C911" s="6" t="s">
        <v>123</v>
      </c>
      <c r="D911" s="8" t="s">
        <v>67</v>
      </c>
      <c r="E911" s="6" t="s">
        <v>2858</v>
      </c>
      <c r="F911" s="6" t="s">
        <v>51</v>
      </c>
      <c r="G911" s="11" t="s">
        <v>56</v>
      </c>
      <c r="H911" s="11"/>
      <c r="I911" s="10" t="s">
        <v>2859</v>
      </c>
      <c r="J911" s="6" t="s">
        <v>2860</v>
      </c>
      <c r="K911" s="12">
        <v>46121.693969907406</v>
      </c>
      <c r="L911" s="6" t="e" cm="1">
        <f t="array" ref="L911">LOOKUP(2^15,SEARCH(Tabela2[Palavras-Chave],Boletim4[[#This Row],[Objeto]],1),Tabela2[Palavras-Chave])</f>
        <v>#N/A</v>
      </c>
    </row>
    <row r="912" spans="1:12" ht="100.8" hidden="1" x14ac:dyDescent="0.3">
      <c r="A912" s="5">
        <v>18808780</v>
      </c>
      <c r="B912" s="6" t="s">
        <v>344</v>
      </c>
      <c r="C912" s="6" t="s">
        <v>123</v>
      </c>
      <c r="D912" s="8" t="s">
        <v>67</v>
      </c>
      <c r="E912" s="6" t="s">
        <v>277</v>
      </c>
      <c r="F912" s="6" t="s">
        <v>51</v>
      </c>
      <c r="G912" s="11" t="s">
        <v>56</v>
      </c>
      <c r="H912" s="11"/>
      <c r="I912" s="10" t="s">
        <v>2861</v>
      </c>
      <c r="J912" s="6" t="s">
        <v>2860</v>
      </c>
      <c r="K912" s="12">
        <v>46121.696331018517</v>
      </c>
      <c r="L912" s="6" t="e" cm="1">
        <f t="array" ref="L912">LOOKUP(2^15,SEARCH(Tabela2[Palavras-Chave],Boletim4[[#This Row],[Objeto]],1),Tabela2[Palavras-Chave])</f>
        <v>#N/A</v>
      </c>
    </row>
    <row r="913" spans="1:12" ht="100.8" hidden="1" x14ac:dyDescent="0.3">
      <c r="A913" s="5">
        <v>18808766</v>
      </c>
      <c r="B913" s="6" t="s">
        <v>344</v>
      </c>
      <c r="C913" s="6" t="s">
        <v>123</v>
      </c>
      <c r="D913" s="8" t="s">
        <v>67</v>
      </c>
      <c r="E913" s="6" t="s">
        <v>1338</v>
      </c>
      <c r="F913" s="6" t="s">
        <v>51</v>
      </c>
      <c r="G913" s="11" t="s">
        <v>56</v>
      </c>
      <c r="H913" s="11"/>
      <c r="I913" s="10" t="s">
        <v>2862</v>
      </c>
      <c r="J913" s="6" t="s">
        <v>2860</v>
      </c>
      <c r="K913" s="12">
        <v>46121.699594907404</v>
      </c>
      <c r="L913" s="6" t="e" cm="1">
        <f t="array" ref="L913">LOOKUP(2^15,SEARCH(Tabela2[Palavras-Chave],Boletim4[[#This Row],[Objeto]],1),Tabela2[Palavras-Chave])</f>
        <v>#N/A</v>
      </c>
    </row>
    <row r="914" spans="1:12" ht="201.6" hidden="1" x14ac:dyDescent="0.3">
      <c r="A914" s="5">
        <v>18810156</v>
      </c>
      <c r="B914" s="6" t="s">
        <v>2863</v>
      </c>
      <c r="C914" s="6" t="s">
        <v>2864</v>
      </c>
      <c r="D914" s="8" t="s">
        <v>67</v>
      </c>
      <c r="E914" s="6" t="s">
        <v>137</v>
      </c>
      <c r="F914" s="6" t="s">
        <v>51</v>
      </c>
      <c r="G914" s="11" t="s">
        <v>56</v>
      </c>
      <c r="H914" s="11"/>
      <c r="I914" s="10" t="s">
        <v>2865</v>
      </c>
      <c r="J914" s="6" t="s">
        <v>2866</v>
      </c>
      <c r="K914" s="12">
        <v>46121.701435185183</v>
      </c>
      <c r="L914" s="6" t="e" cm="1">
        <f t="array" ref="L914">LOOKUP(2^15,SEARCH(Tabela2[Palavras-Chave],Boletim4[[#This Row],[Objeto]],1),Tabela2[Palavras-Chave])</f>
        <v>#N/A</v>
      </c>
    </row>
    <row r="915" spans="1:12" ht="43.2" hidden="1" x14ac:dyDescent="0.3">
      <c r="A915" s="5">
        <v>18807627</v>
      </c>
      <c r="B915" s="6" t="s">
        <v>2867</v>
      </c>
      <c r="C915" s="6" t="s">
        <v>2868</v>
      </c>
      <c r="D915" s="8" t="s">
        <v>91</v>
      </c>
      <c r="E915" s="6" t="s">
        <v>125</v>
      </c>
      <c r="F915" s="6" t="s">
        <v>51</v>
      </c>
      <c r="G915" s="11" t="s">
        <v>56</v>
      </c>
      <c r="H915" s="11"/>
      <c r="I915" s="10" t="s">
        <v>2869</v>
      </c>
      <c r="J915" s="6" t="s">
        <v>186</v>
      </c>
      <c r="K915" s="12">
        <v>46121.459108796298</v>
      </c>
      <c r="L915" s="6" t="e" cm="1">
        <f t="array" ref="L915">LOOKUP(2^15,SEARCH(Tabela2[Palavras-Chave],Boletim4[[#This Row],[Objeto]],1),Tabela2[Palavras-Chave])</f>
        <v>#N/A</v>
      </c>
    </row>
    <row r="916" spans="1:12" ht="43.2" hidden="1" x14ac:dyDescent="0.3">
      <c r="A916" s="5">
        <v>18810058</v>
      </c>
      <c r="B916" s="6" t="s">
        <v>205</v>
      </c>
      <c r="C916" s="6" t="s">
        <v>111</v>
      </c>
      <c r="D916" s="8" t="s">
        <v>91</v>
      </c>
      <c r="E916" s="6" t="s">
        <v>55</v>
      </c>
      <c r="F916" s="6" t="s">
        <v>51</v>
      </c>
      <c r="G916" s="11" t="s">
        <v>56</v>
      </c>
      <c r="H916" s="11"/>
      <c r="I916" s="10" t="s">
        <v>2870</v>
      </c>
      <c r="J916" s="6" t="s">
        <v>169</v>
      </c>
      <c r="K916" s="12">
        <v>46121.699016203704</v>
      </c>
      <c r="L916" s="6" t="e" cm="1">
        <f t="array" ref="L916">LOOKUP(2^15,SEARCH(Tabela2[Palavras-Chave],Boletim4[[#This Row],[Objeto]],1),Tabela2[Palavras-Chave])</f>
        <v>#N/A</v>
      </c>
    </row>
    <row r="917" spans="1:12" ht="72" hidden="1" x14ac:dyDescent="0.3">
      <c r="A917" s="5">
        <v>18810754</v>
      </c>
      <c r="B917" s="6" t="s">
        <v>2871</v>
      </c>
      <c r="C917" s="6" t="s">
        <v>2872</v>
      </c>
      <c r="D917" s="8" t="s">
        <v>91</v>
      </c>
      <c r="E917" s="6" t="s">
        <v>191</v>
      </c>
      <c r="F917" s="6" t="s">
        <v>51</v>
      </c>
      <c r="G917" s="11" t="s">
        <v>56</v>
      </c>
      <c r="H917" s="11"/>
      <c r="I917" s="10" t="s">
        <v>2873</v>
      </c>
      <c r="J917" s="6" t="s">
        <v>2874</v>
      </c>
      <c r="K917" s="12">
        <v>46121.76326388889</v>
      </c>
      <c r="L917" s="6" t="e" cm="1">
        <f t="array" ref="L917">LOOKUP(2^15,SEARCH(Tabela2[Palavras-Chave],Boletim4[[#This Row],[Objeto]],1),Tabela2[Palavras-Chave])</f>
        <v>#N/A</v>
      </c>
    </row>
    <row r="918" spans="1:12" ht="28.8" hidden="1" x14ac:dyDescent="0.3">
      <c r="A918" s="5">
        <v>18808181</v>
      </c>
      <c r="B918" s="6" t="s">
        <v>1064</v>
      </c>
      <c r="C918" s="6" t="s">
        <v>1065</v>
      </c>
      <c r="D918" s="8" t="s">
        <v>91</v>
      </c>
      <c r="E918" s="6" t="s">
        <v>379</v>
      </c>
      <c r="F918" s="6" t="s">
        <v>51</v>
      </c>
      <c r="G918" s="11">
        <v>46136.6875</v>
      </c>
      <c r="H918" s="11"/>
      <c r="I918" s="10" t="s">
        <v>1066</v>
      </c>
      <c r="J918" s="6" t="s">
        <v>1067</v>
      </c>
      <c r="K918" s="12">
        <v>46121.781122685185</v>
      </c>
      <c r="L918" s="6" t="e" cm="1">
        <f t="array" ref="L918">LOOKUP(2^15,SEARCH(Tabela2[Palavras-Chave],Boletim4[[#This Row],[Objeto]],1),Tabela2[Palavras-Chave])</f>
        <v>#N/A</v>
      </c>
    </row>
    <row r="919" spans="1:12" ht="86.4" hidden="1" x14ac:dyDescent="0.3">
      <c r="A919" s="5">
        <v>18811057</v>
      </c>
      <c r="B919" s="6" t="s">
        <v>222</v>
      </c>
      <c r="C919" s="6" t="s">
        <v>215</v>
      </c>
      <c r="D919" s="8" t="s">
        <v>91</v>
      </c>
      <c r="E919" s="6" t="s">
        <v>2875</v>
      </c>
      <c r="F919" s="6" t="s">
        <v>51</v>
      </c>
      <c r="G919" s="11" t="s">
        <v>56</v>
      </c>
      <c r="H919" s="11"/>
      <c r="I919" s="10" t="s">
        <v>2876</v>
      </c>
      <c r="J919" s="6" t="s">
        <v>2877</v>
      </c>
      <c r="K919" s="12">
        <v>46121.815451388888</v>
      </c>
      <c r="L919" s="6" t="e" cm="1">
        <f t="array" ref="L919">LOOKUP(2^15,SEARCH(Tabela2[Palavras-Chave],Boletim4[[#This Row],[Objeto]],1),Tabela2[Palavras-Chave])</f>
        <v>#N/A</v>
      </c>
    </row>
    <row r="920" spans="1:12" ht="86.4" hidden="1" x14ac:dyDescent="0.3">
      <c r="A920" s="5">
        <v>18804496</v>
      </c>
      <c r="B920" s="6" t="s">
        <v>347</v>
      </c>
      <c r="C920" s="6" t="s">
        <v>130</v>
      </c>
      <c r="D920" s="8" t="s">
        <v>68</v>
      </c>
      <c r="E920" s="6" t="s">
        <v>147</v>
      </c>
      <c r="F920" s="6" t="s">
        <v>51</v>
      </c>
      <c r="G920" s="11">
        <v>46126.458333333336</v>
      </c>
      <c r="H920" s="11"/>
      <c r="I920" s="10" t="s">
        <v>348</v>
      </c>
      <c r="J920" s="6" t="s">
        <v>349</v>
      </c>
      <c r="K920" s="12">
        <v>46121.429895833331</v>
      </c>
      <c r="L920" s="6" t="e" cm="1">
        <f t="array" ref="L920">LOOKUP(2^15,SEARCH(Tabela2[Palavras-Chave],Boletim4[[#This Row],[Objeto]],1),Tabela2[Palavras-Chave])</f>
        <v>#N/A</v>
      </c>
    </row>
    <row r="921" spans="1:12" ht="187.2" hidden="1" x14ac:dyDescent="0.3">
      <c r="A921" s="5">
        <v>18809482</v>
      </c>
      <c r="B921" s="6" t="s">
        <v>1068</v>
      </c>
      <c r="C921" s="6" t="s">
        <v>1069</v>
      </c>
      <c r="D921" s="8" t="s">
        <v>68</v>
      </c>
      <c r="E921" s="6" t="s">
        <v>1070</v>
      </c>
      <c r="F921" s="6" t="s">
        <v>51</v>
      </c>
      <c r="G921" s="11" t="s">
        <v>56</v>
      </c>
      <c r="H921" s="11"/>
      <c r="I921" s="10" t="s">
        <v>1071</v>
      </c>
      <c r="J921" s="6" t="s">
        <v>1072</v>
      </c>
      <c r="K921" s="12">
        <v>46121.601817129631</v>
      </c>
      <c r="L921" s="6" t="e" cm="1">
        <f t="array" ref="L921">LOOKUP(2^15,SEARCH(Tabela2[Palavras-Chave],Boletim4[[#This Row],[Objeto]],1),Tabela2[Palavras-Chave])</f>
        <v>#N/A</v>
      </c>
    </row>
    <row r="922" spans="1:12" ht="100.8" hidden="1" x14ac:dyDescent="0.3">
      <c r="A922" s="5">
        <v>18809274</v>
      </c>
      <c r="B922" s="6" t="s">
        <v>1073</v>
      </c>
      <c r="C922" s="6" t="s">
        <v>458</v>
      </c>
      <c r="D922" s="8" t="s">
        <v>68</v>
      </c>
      <c r="E922" s="6" t="s">
        <v>179</v>
      </c>
      <c r="F922" s="6" t="s">
        <v>51</v>
      </c>
      <c r="G922" s="11">
        <v>46125.5</v>
      </c>
      <c r="H922" s="11"/>
      <c r="I922" s="10" t="s">
        <v>1074</v>
      </c>
      <c r="J922" s="6" t="s">
        <v>1075</v>
      </c>
      <c r="K922" s="12">
        <v>46121.690474537034</v>
      </c>
      <c r="L922" s="6" t="e" cm="1">
        <f t="array" ref="L922">LOOKUP(2^15,SEARCH(Tabela2[Palavras-Chave],Boletim4[[#This Row],[Objeto]],1),Tabela2[Palavras-Chave])</f>
        <v>#N/A</v>
      </c>
    </row>
    <row r="923" spans="1:12" ht="100.8" hidden="1" x14ac:dyDescent="0.3">
      <c r="A923" s="5">
        <v>18809336</v>
      </c>
      <c r="B923" s="6" t="s">
        <v>1076</v>
      </c>
      <c r="C923" s="6" t="s">
        <v>130</v>
      </c>
      <c r="D923" s="8" t="s">
        <v>68</v>
      </c>
      <c r="E923" s="6" t="s">
        <v>161</v>
      </c>
      <c r="F923" s="6" t="s">
        <v>51</v>
      </c>
      <c r="G923" s="11">
        <v>46125.361111111109</v>
      </c>
      <c r="H923" s="11"/>
      <c r="I923" s="10" t="s">
        <v>1077</v>
      </c>
      <c r="J923" s="6" t="s">
        <v>1078</v>
      </c>
      <c r="K923" s="12">
        <v>46121.718981481485</v>
      </c>
      <c r="L923" s="6" t="e" cm="1">
        <f t="array" ref="L923">LOOKUP(2^15,SEARCH(Tabela2[Palavras-Chave],Boletim4[[#This Row],[Objeto]],1),Tabela2[Palavras-Chave])</f>
        <v>#N/A</v>
      </c>
    </row>
    <row r="924" spans="1:12" hidden="1" x14ac:dyDescent="0.3">
      <c r="A924" s="5">
        <v>18810119</v>
      </c>
      <c r="B924" s="6" t="s">
        <v>1079</v>
      </c>
      <c r="C924" s="6" t="s">
        <v>130</v>
      </c>
      <c r="D924" s="8" t="s">
        <v>68</v>
      </c>
      <c r="E924" s="6" t="s">
        <v>147</v>
      </c>
      <c r="F924" s="6" t="s">
        <v>51</v>
      </c>
      <c r="G924" s="11">
        <v>46125.354166666664</v>
      </c>
      <c r="H924" s="11"/>
      <c r="I924" s="10" t="s">
        <v>1080</v>
      </c>
      <c r="J924" s="6" t="s">
        <v>1081</v>
      </c>
      <c r="K924" s="12">
        <v>46121.755497685182</v>
      </c>
      <c r="L924" s="6" t="e" cm="1">
        <f t="array" ref="L924">LOOKUP(2^15,SEARCH(Tabela2[Palavras-Chave],Boletim4[[#This Row],[Objeto]],1),Tabela2[Palavras-Chave])</f>
        <v>#N/A</v>
      </c>
    </row>
    <row r="925" spans="1:12" ht="388.8" hidden="1" x14ac:dyDescent="0.3">
      <c r="A925" s="5">
        <v>18808712</v>
      </c>
      <c r="B925" s="6" t="s">
        <v>1082</v>
      </c>
      <c r="C925" s="6" t="s">
        <v>1083</v>
      </c>
      <c r="D925" s="8" t="s">
        <v>70</v>
      </c>
      <c r="E925" s="6" t="s">
        <v>191</v>
      </c>
      <c r="F925" s="6" t="s">
        <v>51</v>
      </c>
      <c r="G925" s="11" t="s">
        <v>56</v>
      </c>
      <c r="H925" s="11"/>
      <c r="I925" s="10" t="s">
        <v>1084</v>
      </c>
      <c r="J925" s="6" t="s">
        <v>1085</v>
      </c>
      <c r="K925" s="12">
        <v>46121.557372685187</v>
      </c>
      <c r="L925" s="6" t="e" cm="1">
        <f t="array" ref="L925">LOOKUP(2^15,SEARCH(Tabela2[Palavras-Chave],Boletim4[[#This Row],[Objeto]],1),Tabela2[Palavras-Chave])</f>
        <v>#N/A</v>
      </c>
    </row>
    <row r="926" spans="1:12" ht="86.4" hidden="1" x14ac:dyDescent="0.3">
      <c r="A926" s="5">
        <v>18806546</v>
      </c>
      <c r="B926" s="6" t="s">
        <v>1086</v>
      </c>
      <c r="C926" s="6" t="s">
        <v>1087</v>
      </c>
      <c r="D926" s="8" t="s">
        <v>70</v>
      </c>
      <c r="E926" s="6" t="s">
        <v>125</v>
      </c>
      <c r="F926" s="6" t="s">
        <v>51</v>
      </c>
      <c r="G926" s="11">
        <v>46125.999305555553</v>
      </c>
      <c r="H926" s="11"/>
      <c r="I926" s="10" t="s">
        <v>1088</v>
      </c>
      <c r="J926" s="6" t="s">
        <v>1089</v>
      </c>
      <c r="K926" s="12">
        <v>46121.581250000003</v>
      </c>
      <c r="L926" s="6" t="e" cm="1">
        <f t="array" ref="L926">LOOKUP(2^15,SEARCH(Tabela2[Palavras-Chave],Boletim4[[#This Row],[Objeto]],1),Tabela2[Palavras-Chave])</f>
        <v>#N/A</v>
      </c>
    </row>
    <row r="927" spans="1:12" ht="100.8" hidden="1" x14ac:dyDescent="0.3">
      <c r="A927" s="5">
        <v>18809104</v>
      </c>
      <c r="B927" s="6" t="s">
        <v>350</v>
      </c>
      <c r="C927" s="6" t="s">
        <v>69</v>
      </c>
      <c r="D927" s="8" t="s">
        <v>70</v>
      </c>
      <c r="E927" s="6" t="s">
        <v>1090</v>
      </c>
      <c r="F927" s="6" t="s">
        <v>51</v>
      </c>
      <c r="G927" s="11">
        <v>46122.597222222219</v>
      </c>
      <c r="H927" s="11"/>
      <c r="I927" s="10" t="s">
        <v>1091</v>
      </c>
      <c r="J927" s="6" t="s">
        <v>1092</v>
      </c>
      <c r="K927" s="12">
        <v>46121.693449074075</v>
      </c>
      <c r="L927" s="6" t="e" cm="1">
        <f t="array" ref="L927">LOOKUP(2^15,SEARCH(Tabela2[Palavras-Chave],Boletim4[[#This Row],[Objeto]],1),Tabela2[Palavras-Chave])</f>
        <v>#N/A</v>
      </c>
    </row>
    <row r="928" spans="1:12" ht="100.8" hidden="1" x14ac:dyDescent="0.3">
      <c r="A928" s="5">
        <v>18807536</v>
      </c>
      <c r="B928" s="6" t="s">
        <v>1093</v>
      </c>
      <c r="C928" s="6" t="s">
        <v>1094</v>
      </c>
      <c r="D928" s="8" t="s">
        <v>71</v>
      </c>
      <c r="E928" s="6" t="s">
        <v>957</v>
      </c>
      <c r="F928" s="6" t="s">
        <v>51</v>
      </c>
      <c r="G928" s="11">
        <v>46125.541666666664</v>
      </c>
      <c r="H928" s="11"/>
      <c r="I928" s="10" t="s">
        <v>1095</v>
      </c>
      <c r="J928" s="6" t="s">
        <v>1096</v>
      </c>
      <c r="K928" s="12">
        <v>46121.509085648147</v>
      </c>
      <c r="L928" s="6" t="e" cm="1">
        <f t="array" ref="L928">LOOKUP(2^15,SEARCH(Tabela2[Palavras-Chave],Boletim4[[#This Row],[Objeto]],1),Tabela2[Palavras-Chave])</f>
        <v>#N/A</v>
      </c>
    </row>
    <row r="929" spans="1:12" ht="100.8" hidden="1" x14ac:dyDescent="0.3">
      <c r="A929" s="5">
        <v>18809261</v>
      </c>
      <c r="B929" s="6" t="s">
        <v>1093</v>
      </c>
      <c r="C929" s="6" t="s">
        <v>1094</v>
      </c>
      <c r="D929" s="8" t="s">
        <v>71</v>
      </c>
      <c r="E929" s="6" t="s">
        <v>139</v>
      </c>
      <c r="F929" s="6" t="s">
        <v>51</v>
      </c>
      <c r="G929" s="11">
        <v>46126.375</v>
      </c>
      <c r="H929" s="11"/>
      <c r="I929" s="10" t="s">
        <v>2878</v>
      </c>
      <c r="J929" s="6" t="s">
        <v>2879</v>
      </c>
      <c r="K929" s="12">
        <v>46121.5937037037</v>
      </c>
      <c r="L929" s="6" t="e" cm="1">
        <f t="array" ref="L929">LOOKUP(2^15,SEARCH(Tabela2[Palavras-Chave],Boletim4[[#This Row],[Objeto]],1),Tabela2[Palavras-Chave])</f>
        <v>#N/A</v>
      </c>
    </row>
    <row r="930" spans="1:12" ht="72" hidden="1" x14ac:dyDescent="0.3">
      <c r="A930" s="5">
        <v>18772098</v>
      </c>
      <c r="B930" s="6" t="s">
        <v>74</v>
      </c>
      <c r="C930" s="6" t="s">
        <v>73</v>
      </c>
      <c r="D930" s="8" t="s">
        <v>72</v>
      </c>
      <c r="E930" s="6" t="s">
        <v>960</v>
      </c>
      <c r="F930" s="6" t="s">
        <v>51</v>
      </c>
      <c r="G930" s="11" t="s">
        <v>56</v>
      </c>
      <c r="H930" s="11"/>
      <c r="I930" s="10" t="s">
        <v>961</v>
      </c>
      <c r="J930" s="6" t="s">
        <v>962</v>
      </c>
      <c r="K930" s="12">
        <v>46121.440347222226</v>
      </c>
      <c r="L930" s="6" t="e" cm="1">
        <f t="array" ref="L930">LOOKUP(2^15,SEARCH(Tabela2[Palavras-Chave],Boletim4[[#This Row],[Objeto]],1),Tabela2[Palavras-Chave])</f>
        <v>#N/A</v>
      </c>
    </row>
    <row r="931" spans="1:12" ht="100.8" hidden="1" x14ac:dyDescent="0.3">
      <c r="A931" s="5">
        <v>18806748</v>
      </c>
      <c r="B931" s="6" t="s">
        <v>1097</v>
      </c>
      <c r="C931" s="6" t="s">
        <v>200</v>
      </c>
      <c r="D931" s="8" t="s">
        <v>72</v>
      </c>
      <c r="E931" s="6" t="s">
        <v>904</v>
      </c>
      <c r="F931" s="6" t="s">
        <v>51</v>
      </c>
      <c r="G931" s="11">
        <v>46125.333333333336</v>
      </c>
      <c r="H931" s="11"/>
      <c r="I931" s="10" t="s">
        <v>1098</v>
      </c>
      <c r="J931" s="6" t="s">
        <v>1099</v>
      </c>
      <c r="K931" s="12">
        <v>46121.575798611113</v>
      </c>
      <c r="L931" s="6" t="e" cm="1">
        <f t="array" ref="L931">LOOKUP(2^15,SEARCH(Tabela2[Palavras-Chave],Boletim4[[#This Row],[Objeto]],1),Tabela2[Palavras-Chave])</f>
        <v>#N/A</v>
      </c>
    </row>
    <row r="932" spans="1:12" ht="216" hidden="1" x14ac:dyDescent="0.3">
      <c r="A932" s="5">
        <v>18809682</v>
      </c>
      <c r="B932" s="6" t="s">
        <v>1100</v>
      </c>
      <c r="C932" s="6" t="s">
        <v>1101</v>
      </c>
      <c r="D932" s="8" t="s">
        <v>72</v>
      </c>
      <c r="E932" s="6" t="s">
        <v>1102</v>
      </c>
      <c r="F932" s="6" t="s">
        <v>51</v>
      </c>
      <c r="G932" s="11" t="s">
        <v>56</v>
      </c>
      <c r="H932" s="11"/>
      <c r="I932" s="10" t="s">
        <v>1103</v>
      </c>
      <c r="J932" s="6" t="s">
        <v>1104</v>
      </c>
      <c r="K932" s="12">
        <v>46121.618136574078</v>
      </c>
      <c r="L932" s="6" t="e" cm="1">
        <f t="array" ref="L932">LOOKUP(2^15,SEARCH(Tabela2[Palavras-Chave],Boletim4[[#This Row],[Objeto]],1),Tabela2[Palavras-Chave])</f>
        <v>#N/A</v>
      </c>
    </row>
    <row r="933" spans="1:12" ht="86.4" hidden="1" x14ac:dyDescent="0.3">
      <c r="A933" s="5">
        <v>18808067</v>
      </c>
      <c r="B933" s="6" t="s">
        <v>2880</v>
      </c>
      <c r="C933" s="6" t="s">
        <v>73</v>
      </c>
      <c r="D933" s="8" t="s">
        <v>72</v>
      </c>
      <c r="E933" s="6" t="s">
        <v>2881</v>
      </c>
      <c r="F933" s="6" t="s">
        <v>51</v>
      </c>
      <c r="G933" s="11" t="s">
        <v>56</v>
      </c>
      <c r="H933" s="11"/>
      <c r="I933" s="10" t="s">
        <v>2882</v>
      </c>
      <c r="J933" s="6" t="s">
        <v>2883</v>
      </c>
      <c r="K933" s="12">
        <v>46121.690196759257</v>
      </c>
      <c r="L933" s="6" t="e" cm="1">
        <f t="array" ref="L933">LOOKUP(2^15,SEARCH(Tabela2[Palavras-Chave],Boletim4[[#This Row],[Objeto]],1),Tabela2[Palavras-Chave])</f>
        <v>#N/A</v>
      </c>
    </row>
    <row r="934" spans="1:12" ht="115.2" hidden="1" x14ac:dyDescent="0.3">
      <c r="A934" s="5">
        <v>18806780</v>
      </c>
      <c r="B934" s="6" t="s">
        <v>1097</v>
      </c>
      <c r="C934" s="6" t="s">
        <v>200</v>
      </c>
      <c r="D934" s="8" t="s">
        <v>72</v>
      </c>
      <c r="E934" s="6" t="s">
        <v>329</v>
      </c>
      <c r="F934" s="6" t="s">
        <v>51</v>
      </c>
      <c r="G934" s="11">
        <v>46125.333333333336</v>
      </c>
      <c r="H934" s="11"/>
      <c r="I934" s="10" t="s">
        <v>1105</v>
      </c>
      <c r="J934" s="6" t="s">
        <v>1106</v>
      </c>
      <c r="K934" s="12">
        <v>46121.775879629633</v>
      </c>
      <c r="L934" s="6" t="e" cm="1">
        <f t="array" ref="L934">LOOKUP(2^15,SEARCH(Tabela2[Palavras-Chave],Boletim4[[#This Row],[Objeto]],1),Tabela2[Palavras-Chave])</f>
        <v>#N/A</v>
      </c>
    </row>
    <row r="935" spans="1:12" ht="115.2" hidden="1" x14ac:dyDescent="0.3">
      <c r="A935" s="5">
        <v>18806085</v>
      </c>
      <c r="B935" s="6" t="s">
        <v>605</v>
      </c>
      <c r="C935" s="6" t="s">
        <v>606</v>
      </c>
      <c r="D935" s="8" t="s">
        <v>72</v>
      </c>
      <c r="E935" s="6" t="s">
        <v>105</v>
      </c>
      <c r="F935" s="6" t="s">
        <v>51</v>
      </c>
      <c r="G935" s="11">
        <v>46125.333333333336</v>
      </c>
      <c r="H935" s="11"/>
      <c r="I935" s="10" t="s">
        <v>1107</v>
      </c>
      <c r="J935" s="6" t="s">
        <v>1108</v>
      </c>
      <c r="K935" s="12">
        <v>46121.821111111109</v>
      </c>
      <c r="L935" s="6" t="e" cm="1">
        <f t="array" ref="L935">LOOKUP(2^15,SEARCH(Tabela2[Palavras-Chave],Boletim4[[#This Row],[Objeto]],1),Tabela2[Palavras-Chave])</f>
        <v>#N/A</v>
      </c>
    </row>
    <row r="936" spans="1:12" ht="316.8" hidden="1" x14ac:dyDescent="0.3">
      <c r="A936" s="5">
        <v>18621908</v>
      </c>
      <c r="B936" s="6" t="s">
        <v>2884</v>
      </c>
      <c r="C936" s="6" t="s">
        <v>477</v>
      </c>
      <c r="D936" s="8" t="s">
        <v>72</v>
      </c>
      <c r="E936" s="6" t="s">
        <v>118</v>
      </c>
      <c r="F936" s="6" t="s">
        <v>51</v>
      </c>
      <c r="G936" s="11" t="s">
        <v>56</v>
      </c>
      <c r="H936" s="11"/>
      <c r="I936" s="10" t="s">
        <v>2885</v>
      </c>
      <c r="J936" s="6" t="s">
        <v>2886</v>
      </c>
      <c r="K936" s="12">
        <v>46121.838009259256</v>
      </c>
      <c r="L936" s="6" t="e" cm="1">
        <f t="array" ref="L936">LOOKUP(2^15,SEARCH(Tabela2[Palavras-Chave],Boletim4[[#This Row],[Objeto]],1),Tabela2[Palavras-Chave])</f>
        <v>#N/A</v>
      </c>
    </row>
    <row r="937" spans="1:12" ht="72" x14ac:dyDescent="0.3">
      <c r="A937" s="5">
        <v>18809979</v>
      </c>
      <c r="B937" s="6" t="s">
        <v>2880</v>
      </c>
      <c r="C937" s="6" t="s">
        <v>73</v>
      </c>
      <c r="D937" s="8" t="s">
        <v>72</v>
      </c>
      <c r="E937" s="6" t="s">
        <v>2887</v>
      </c>
      <c r="F937" s="6" t="s">
        <v>51</v>
      </c>
      <c r="G937" s="11" t="s">
        <v>56</v>
      </c>
      <c r="H937" s="11"/>
      <c r="I937" s="10" t="s">
        <v>2888</v>
      </c>
      <c r="J937" s="6" t="s">
        <v>2889</v>
      </c>
      <c r="K937" s="12">
        <v>46121.84002314815</v>
      </c>
      <c r="L937" s="6" t="str" cm="1">
        <f t="array" ref="L937">LOOKUP(2^15,SEARCH(Tabela2[Palavras-Chave],Boletim4[[#This Row],[Objeto]],1),Tabela2[Palavras-Chave])</f>
        <v>INOX</v>
      </c>
    </row>
    <row r="938" spans="1:12" ht="43.2" hidden="1" x14ac:dyDescent="0.3">
      <c r="A938" s="5">
        <v>18746604</v>
      </c>
      <c r="B938" s="6" t="s">
        <v>74</v>
      </c>
      <c r="C938" s="6" t="s">
        <v>75</v>
      </c>
      <c r="D938" s="8" t="s">
        <v>76</v>
      </c>
      <c r="E938" s="6" t="s">
        <v>1109</v>
      </c>
      <c r="F938" s="6" t="s">
        <v>51</v>
      </c>
      <c r="G938" s="11" t="s">
        <v>56</v>
      </c>
      <c r="H938" s="11"/>
      <c r="I938" s="10" t="s">
        <v>1110</v>
      </c>
      <c r="J938" s="6" t="s">
        <v>1111</v>
      </c>
      <c r="K938" s="12">
        <v>46121.436145833337</v>
      </c>
      <c r="L938" s="6" t="e" cm="1">
        <f t="array" ref="L938">LOOKUP(2^15,SEARCH(Tabela2[Palavras-Chave],Boletim4[[#This Row],[Objeto]],1),Tabela2[Palavras-Chave])</f>
        <v>#N/A</v>
      </c>
    </row>
    <row r="939" spans="1:12" ht="43.2" hidden="1" x14ac:dyDescent="0.3">
      <c r="A939" s="5">
        <v>18726123</v>
      </c>
      <c r="B939" s="6" t="s">
        <v>74</v>
      </c>
      <c r="C939" s="6" t="s">
        <v>75</v>
      </c>
      <c r="D939" s="8" t="s">
        <v>76</v>
      </c>
      <c r="E939" s="6" t="s">
        <v>1112</v>
      </c>
      <c r="F939" s="6" t="s">
        <v>51</v>
      </c>
      <c r="G939" s="11" t="s">
        <v>56</v>
      </c>
      <c r="H939" s="11"/>
      <c r="I939" s="10" t="s">
        <v>1113</v>
      </c>
      <c r="J939" s="6" t="s">
        <v>1114</v>
      </c>
      <c r="K939" s="12">
        <v>46121.437569444446</v>
      </c>
      <c r="L939" s="6" t="e" cm="1">
        <f t="array" ref="L939">LOOKUP(2^15,SEARCH(Tabela2[Palavras-Chave],Boletim4[[#This Row],[Objeto]],1),Tabela2[Palavras-Chave])</f>
        <v>#N/A</v>
      </c>
    </row>
    <row r="940" spans="1:12" ht="100.8" hidden="1" x14ac:dyDescent="0.3">
      <c r="A940" s="5">
        <v>18806660</v>
      </c>
      <c r="B940" s="6" t="s">
        <v>1115</v>
      </c>
      <c r="C940" s="6" t="s">
        <v>190</v>
      </c>
      <c r="D940" s="8" t="s">
        <v>76</v>
      </c>
      <c r="E940" s="6" t="s">
        <v>1116</v>
      </c>
      <c r="F940" s="6" t="s">
        <v>51</v>
      </c>
      <c r="G940" s="11">
        <v>46126.333333333336</v>
      </c>
      <c r="H940" s="11"/>
      <c r="I940" s="10" t="s">
        <v>1117</v>
      </c>
      <c r="J940" s="6" t="s">
        <v>1118</v>
      </c>
      <c r="K940" s="12">
        <v>46121.435740740744</v>
      </c>
      <c r="L940" s="6" t="e" cm="1">
        <f t="array" ref="L940">LOOKUP(2^15,SEARCH(Tabela2[Palavras-Chave],Boletim4[[#This Row],[Objeto]],1),Tabela2[Palavras-Chave])</f>
        <v>#N/A</v>
      </c>
    </row>
    <row r="941" spans="1:12" ht="100.8" hidden="1" x14ac:dyDescent="0.3">
      <c r="A941" s="5">
        <v>18806662</v>
      </c>
      <c r="B941" s="6" t="s">
        <v>2582</v>
      </c>
      <c r="C941" s="6" t="s">
        <v>75</v>
      </c>
      <c r="D941" s="8" t="s">
        <v>76</v>
      </c>
      <c r="E941" s="6" t="s">
        <v>335</v>
      </c>
      <c r="F941" s="6" t="s">
        <v>51</v>
      </c>
      <c r="G941" s="11">
        <v>46126.333333333336</v>
      </c>
      <c r="H941" s="11"/>
      <c r="I941" s="10" t="s">
        <v>2890</v>
      </c>
      <c r="J941" s="6" t="s">
        <v>2891</v>
      </c>
      <c r="K941" s="12">
        <v>46121.435914351852</v>
      </c>
      <c r="L941" s="6" t="e" cm="1">
        <f t="array" ref="L941">LOOKUP(2^15,SEARCH(Tabela2[Palavras-Chave],Boletim4[[#This Row],[Objeto]],1),Tabela2[Palavras-Chave])</f>
        <v>#N/A</v>
      </c>
    </row>
    <row r="942" spans="1:12" ht="72" hidden="1" x14ac:dyDescent="0.3">
      <c r="A942" s="5">
        <v>18551795</v>
      </c>
      <c r="B942" s="6" t="s">
        <v>176</v>
      </c>
      <c r="C942" s="6" t="s">
        <v>75</v>
      </c>
      <c r="D942" s="8" t="s">
        <v>76</v>
      </c>
      <c r="E942" s="6" t="s">
        <v>2892</v>
      </c>
      <c r="F942" s="6" t="s">
        <v>51</v>
      </c>
      <c r="G942" s="11" t="s">
        <v>56</v>
      </c>
      <c r="H942" s="11"/>
      <c r="I942" s="10" t="s">
        <v>2893</v>
      </c>
      <c r="J942" s="6" t="s">
        <v>2894</v>
      </c>
      <c r="K942" s="12">
        <v>46121.436840277776</v>
      </c>
      <c r="L942" s="6" t="e" cm="1">
        <f t="array" ref="L942">LOOKUP(2^15,SEARCH(Tabela2[Palavras-Chave],Boletim4[[#This Row],[Objeto]],1),Tabela2[Palavras-Chave])</f>
        <v>#N/A</v>
      </c>
    </row>
    <row r="943" spans="1:12" ht="72" x14ac:dyDescent="0.3">
      <c r="A943" s="5">
        <v>18730553</v>
      </c>
      <c r="B943" s="6" t="s">
        <v>74</v>
      </c>
      <c r="C943" s="6" t="s">
        <v>75</v>
      </c>
      <c r="D943" s="8" t="s">
        <v>76</v>
      </c>
      <c r="E943" s="6" t="s">
        <v>1119</v>
      </c>
      <c r="F943" s="6" t="s">
        <v>51</v>
      </c>
      <c r="G943" s="11" t="s">
        <v>56</v>
      </c>
      <c r="H943" s="11"/>
      <c r="I943" s="10" t="s">
        <v>1120</v>
      </c>
      <c r="J943" s="6" t="s">
        <v>1121</v>
      </c>
      <c r="K943" s="12">
        <v>46121.438240740739</v>
      </c>
      <c r="L943" s="6" t="str" cm="1">
        <f t="array" ref="L943">LOOKUP(2^15,SEARCH(Tabela2[Palavras-Chave],Boletim4[[#This Row],[Objeto]],1),Tabela2[Palavras-Chave])</f>
        <v>TANQUE</v>
      </c>
    </row>
    <row r="944" spans="1:12" ht="72" hidden="1" x14ac:dyDescent="0.3">
      <c r="A944" s="5">
        <v>18755506</v>
      </c>
      <c r="B944" s="6" t="s">
        <v>74</v>
      </c>
      <c r="C944" s="6" t="s">
        <v>75</v>
      </c>
      <c r="D944" s="8" t="s">
        <v>76</v>
      </c>
      <c r="E944" s="6" t="s">
        <v>1122</v>
      </c>
      <c r="F944" s="6" t="s">
        <v>51</v>
      </c>
      <c r="G944" s="11" t="s">
        <v>56</v>
      </c>
      <c r="H944" s="11"/>
      <c r="I944" s="10" t="s">
        <v>1123</v>
      </c>
      <c r="J944" s="6" t="s">
        <v>1124</v>
      </c>
      <c r="K944" s="12">
        <v>46121.437638888892</v>
      </c>
      <c r="L944" s="6" t="e" cm="1">
        <f t="array" ref="L944">LOOKUP(2^15,SEARCH(Tabela2[Palavras-Chave],Boletim4[[#This Row],[Objeto]],1),Tabela2[Palavras-Chave])</f>
        <v>#N/A</v>
      </c>
    </row>
    <row r="945" spans="1:12" ht="72" hidden="1" x14ac:dyDescent="0.3">
      <c r="A945" s="5">
        <v>18769996</v>
      </c>
      <c r="B945" s="6" t="s">
        <v>74</v>
      </c>
      <c r="C945" s="6" t="s">
        <v>75</v>
      </c>
      <c r="D945" s="8" t="s">
        <v>76</v>
      </c>
      <c r="E945" s="6" t="s">
        <v>734</v>
      </c>
      <c r="F945" s="6" t="s">
        <v>51</v>
      </c>
      <c r="G945" s="11" t="s">
        <v>56</v>
      </c>
      <c r="H945" s="11"/>
      <c r="I945" s="10" t="s">
        <v>735</v>
      </c>
      <c r="J945" s="6" t="s">
        <v>736</v>
      </c>
      <c r="K945" s="12">
        <v>46121.437743055554</v>
      </c>
      <c r="L945" s="6" t="e" cm="1">
        <f t="array" ref="L945">LOOKUP(2^15,SEARCH(Tabela2[Palavras-Chave],Boletim4[[#This Row],[Objeto]],1),Tabela2[Palavras-Chave])</f>
        <v>#N/A</v>
      </c>
    </row>
    <row r="946" spans="1:12" ht="72" hidden="1" x14ac:dyDescent="0.3">
      <c r="A946" s="5">
        <v>18772095</v>
      </c>
      <c r="B946" s="6" t="s">
        <v>74</v>
      </c>
      <c r="C946" s="6" t="s">
        <v>75</v>
      </c>
      <c r="D946" s="8" t="s">
        <v>76</v>
      </c>
      <c r="E946" s="6" t="s">
        <v>960</v>
      </c>
      <c r="F946" s="6" t="s">
        <v>51</v>
      </c>
      <c r="G946" s="11" t="s">
        <v>56</v>
      </c>
      <c r="H946" s="11"/>
      <c r="I946" s="10" t="s">
        <v>961</v>
      </c>
      <c r="J946" s="6" t="s">
        <v>962</v>
      </c>
      <c r="K946" s="12">
        <v>46121.438217592593</v>
      </c>
      <c r="L946" s="6" t="e" cm="1">
        <f t="array" ref="L946">LOOKUP(2^15,SEARCH(Tabela2[Palavras-Chave],Boletim4[[#This Row],[Objeto]],1),Tabela2[Palavras-Chave])</f>
        <v>#N/A</v>
      </c>
    </row>
    <row r="947" spans="1:12" ht="72" hidden="1" x14ac:dyDescent="0.3">
      <c r="A947" s="5">
        <v>18775137</v>
      </c>
      <c r="B947" s="6" t="s">
        <v>74</v>
      </c>
      <c r="C947" s="6" t="s">
        <v>75</v>
      </c>
      <c r="D947" s="8" t="s">
        <v>76</v>
      </c>
      <c r="E947" s="6" t="s">
        <v>1125</v>
      </c>
      <c r="F947" s="6" t="s">
        <v>51</v>
      </c>
      <c r="G947" s="11" t="s">
        <v>56</v>
      </c>
      <c r="H947" s="11"/>
      <c r="I947" s="10" t="s">
        <v>1126</v>
      </c>
      <c r="J947" s="6" t="s">
        <v>1127</v>
      </c>
      <c r="K947" s="12">
        <v>46121.43822916667</v>
      </c>
      <c r="L947" s="6" t="e" cm="1">
        <f t="array" ref="L947">LOOKUP(2^15,SEARCH(Tabela2[Palavras-Chave],Boletim4[[#This Row],[Objeto]],1),Tabela2[Palavras-Chave])</f>
        <v>#N/A</v>
      </c>
    </row>
    <row r="948" spans="1:12" ht="43.2" hidden="1" x14ac:dyDescent="0.3">
      <c r="A948" s="5">
        <v>18780366</v>
      </c>
      <c r="B948" s="6" t="s">
        <v>74</v>
      </c>
      <c r="C948" s="6" t="s">
        <v>75</v>
      </c>
      <c r="D948" s="8" t="s">
        <v>76</v>
      </c>
      <c r="E948" s="6" t="s">
        <v>1128</v>
      </c>
      <c r="F948" s="6" t="s">
        <v>51</v>
      </c>
      <c r="G948" s="11" t="s">
        <v>56</v>
      </c>
      <c r="H948" s="11"/>
      <c r="I948" s="10" t="s">
        <v>1129</v>
      </c>
      <c r="J948" s="6" t="s">
        <v>1114</v>
      </c>
      <c r="K948" s="12">
        <v>46121.441006944442</v>
      </c>
      <c r="L948" s="6" t="e" cm="1">
        <f t="array" ref="L948">LOOKUP(2^15,SEARCH(Tabela2[Palavras-Chave],Boletim4[[#This Row],[Objeto]],1),Tabela2[Palavras-Chave])</f>
        <v>#N/A</v>
      </c>
    </row>
    <row r="949" spans="1:12" ht="72" hidden="1" x14ac:dyDescent="0.3">
      <c r="A949" s="5">
        <v>18780361</v>
      </c>
      <c r="B949" s="6" t="s">
        <v>74</v>
      </c>
      <c r="C949" s="6" t="s">
        <v>75</v>
      </c>
      <c r="D949" s="8" t="s">
        <v>76</v>
      </c>
      <c r="E949" s="6" t="s">
        <v>1130</v>
      </c>
      <c r="F949" s="6" t="s">
        <v>51</v>
      </c>
      <c r="G949" s="11" t="s">
        <v>56</v>
      </c>
      <c r="H949" s="11"/>
      <c r="I949" s="10" t="s">
        <v>1131</v>
      </c>
      <c r="J949" s="6" t="s">
        <v>1132</v>
      </c>
      <c r="K949" s="12">
        <v>46121.438935185186</v>
      </c>
      <c r="L949" s="6" t="e" cm="1">
        <f t="array" ref="L949">LOOKUP(2^15,SEARCH(Tabela2[Palavras-Chave],Boletim4[[#This Row],[Objeto]],1),Tabela2[Palavras-Chave])</f>
        <v>#N/A</v>
      </c>
    </row>
    <row r="950" spans="1:12" ht="43.2" hidden="1" x14ac:dyDescent="0.3">
      <c r="A950" s="5">
        <v>18784599</v>
      </c>
      <c r="B950" s="6" t="s">
        <v>74</v>
      </c>
      <c r="C950" s="6" t="s">
        <v>75</v>
      </c>
      <c r="D950" s="8" t="s">
        <v>76</v>
      </c>
      <c r="E950" s="6" t="s">
        <v>1133</v>
      </c>
      <c r="F950" s="6" t="s">
        <v>51</v>
      </c>
      <c r="G950" s="11" t="s">
        <v>56</v>
      </c>
      <c r="H950" s="11"/>
      <c r="I950" s="10" t="s">
        <v>1134</v>
      </c>
      <c r="J950" s="6" t="s">
        <v>1135</v>
      </c>
      <c r="K950" s="12">
        <v>46121.438923611109</v>
      </c>
      <c r="L950" s="6" t="e" cm="1">
        <f t="array" ref="L950">LOOKUP(2^15,SEARCH(Tabela2[Palavras-Chave],Boletim4[[#This Row],[Objeto]],1),Tabela2[Palavras-Chave])</f>
        <v>#N/A</v>
      </c>
    </row>
    <row r="951" spans="1:12" ht="72" hidden="1" x14ac:dyDescent="0.3">
      <c r="A951" s="5">
        <v>18751072</v>
      </c>
      <c r="B951" s="6" t="s">
        <v>74</v>
      </c>
      <c r="C951" s="6" t="s">
        <v>75</v>
      </c>
      <c r="D951" s="8" t="s">
        <v>76</v>
      </c>
      <c r="E951" s="6" t="s">
        <v>963</v>
      </c>
      <c r="F951" s="6" t="s">
        <v>51</v>
      </c>
      <c r="G951" s="11" t="s">
        <v>56</v>
      </c>
      <c r="H951" s="11"/>
      <c r="I951" s="10" t="s">
        <v>964</v>
      </c>
      <c r="J951" s="6" t="s">
        <v>965</v>
      </c>
      <c r="K951" s="12">
        <v>46121.441018518519</v>
      </c>
      <c r="L951" s="6" t="e" cm="1">
        <f t="array" ref="L951">LOOKUP(2^15,SEARCH(Tabela2[Palavras-Chave],Boletim4[[#This Row],[Objeto]],1),Tabela2[Palavras-Chave])</f>
        <v>#N/A</v>
      </c>
    </row>
    <row r="952" spans="1:12" ht="72" hidden="1" x14ac:dyDescent="0.3">
      <c r="A952" s="5">
        <v>18760222</v>
      </c>
      <c r="B952" s="6" t="s">
        <v>74</v>
      </c>
      <c r="C952" s="6" t="s">
        <v>75</v>
      </c>
      <c r="D952" s="8" t="s">
        <v>76</v>
      </c>
      <c r="E952" s="6" t="s">
        <v>1136</v>
      </c>
      <c r="F952" s="6" t="s">
        <v>51</v>
      </c>
      <c r="G952" s="11" t="s">
        <v>56</v>
      </c>
      <c r="H952" s="11"/>
      <c r="I952" s="10" t="s">
        <v>1137</v>
      </c>
      <c r="J952" s="6" t="s">
        <v>1138</v>
      </c>
      <c r="K952" s="12">
        <v>46121.441030092596</v>
      </c>
      <c r="L952" s="6" t="e" cm="1">
        <f t="array" ref="L952">LOOKUP(2^15,SEARCH(Tabela2[Palavras-Chave],Boletim4[[#This Row],[Objeto]],1),Tabela2[Palavras-Chave])</f>
        <v>#N/A</v>
      </c>
    </row>
    <row r="953" spans="1:12" ht="72" hidden="1" x14ac:dyDescent="0.3">
      <c r="A953" s="5">
        <v>18770042</v>
      </c>
      <c r="B953" s="6" t="s">
        <v>74</v>
      </c>
      <c r="C953" s="6" t="s">
        <v>75</v>
      </c>
      <c r="D953" s="8" t="s">
        <v>76</v>
      </c>
      <c r="E953" s="6" t="s">
        <v>737</v>
      </c>
      <c r="F953" s="6" t="s">
        <v>51</v>
      </c>
      <c r="G953" s="11" t="s">
        <v>56</v>
      </c>
      <c r="H953" s="11"/>
      <c r="I953" s="10" t="s">
        <v>738</v>
      </c>
      <c r="J953" s="6" t="s">
        <v>739</v>
      </c>
      <c r="K953" s="12">
        <v>46121.441006944442</v>
      </c>
      <c r="L953" s="6" t="e" cm="1">
        <f t="array" ref="L953">LOOKUP(2^15,SEARCH(Tabela2[Palavras-Chave],Boletim4[[#This Row],[Objeto]],1),Tabela2[Palavras-Chave])</f>
        <v>#N/A</v>
      </c>
    </row>
    <row r="954" spans="1:12" ht="100.8" hidden="1" x14ac:dyDescent="0.3">
      <c r="A954" s="5">
        <v>18806627</v>
      </c>
      <c r="B954" s="6" t="s">
        <v>1115</v>
      </c>
      <c r="C954" s="6" t="s">
        <v>190</v>
      </c>
      <c r="D954" s="8" t="s">
        <v>76</v>
      </c>
      <c r="E954" s="6" t="s">
        <v>1139</v>
      </c>
      <c r="F954" s="6" t="s">
        <v>51</v>
      </c>
      <c r="G954" s="11">
        <v>46125.333333333336</v>
      </c>
      <c r="H954" s="11"/>
      <c r="I954" s="10" t="s">
        <v>1140</v>
      </c>
      <c r="J954" s="6" t="s">
        <v>1141</v>
      </c>
      <c r="K954" s="12">
        <v>46121.452627314815</v>
      </c>
      <c r="L954" s="6" t="e" cm="1">
        <f t="array" ref="L954">LOOKUP(2^15,SEARCH(Tabela2[Palavras-Chave],Boletim4[[#This Row],[Objeto]],1),Tabela2[Palavras-Chave])</f>
        <v>#N/A</v>
      </c>
    </row>
    <row r="955" spans="1:12" ht="57.6" hidden="1" x14ac:dyDescent="0.3">
      <c r="A955" s="5">
        <v>18807242</v>
      </c>
      <c r="B955" s="6" t="s">
        <v>234</v>
      </c>
      <c r="C955" s="6" t="s">
        <v>75</v>
      </c>
      <c r="D955" s="8" t="s">
        <v>76</v>
      </c>
      <c r="E955" s="6" t="s">
        <v>55</v>
      </c>
      <c r="F955" s="6" t="s">
        <v>51</v>
      </c>
      <c r="G955" s="11" t="s">
        <v>56</v>
      </c>
      <c r="H955" s="11"/>
      <c r="I955" s="10" t="s">
        <v>1142</v>
      </c>
      <c r="J955" s="6" t="s">
        <v>1143</v>
      </c>
      <c r="K955" s="12">
        <v>46121.475046296298</v>
      </c>
      <c r="L955" s="6" t="e" cm="1">
        <f t="array" ref="L955">LOOKUP(2^15,SEARCH(Tabela2[Palavras-Chave],Boletim4[[#This Row],[Objeto]],1),Tabela2[Palavras-Chave])</f>
        <v>#N/A</v>
      </c>
    </row>
    <row r="956" spans="1:12" ht="28.8" hidden="1" x14ac:dyDescent="0.3">
      <c r="A956" s="5">
        <v>18537155</v>
      </c>
      <c r="B956" s="6" t="s">
        <v>1144</v>
      </c>
      <c r="C956" s="6" t="s">
        <v>75</v>
      </c>
      <c r="D956" s="8" t="s">
        <v>76</v>
      </c>
      <c r="E956" s="6" t="s">
        <v>119</v>
      </c>
      <c r="F956" s="6" t="s">
        <v>51</v>
      </c>
      <c r="G956" s="11">
        <v>46125.375</v>
      </c>
      <c r="H956" s="11"/>
      <c r="I956" s="10" t="s">
        <v>1145</v>
      </c>
      <c r="J956" s="6" t="s">
        <v>1146</v>
      </c>
      <c r="K956" s="12">
        <v>46121.497546296298</v>
      </c>
      <c r="L956" s="6" t="e" cm="1">
        <f t="array" ref="L956">LOOKUP(2^15,SEARCH(Tabela2[Palavras-Chave],Boletim4[[#This Row],[Objeto]],1),Tabela2[Palavras-Chave])</f>
        <v>#N/A</v>
      </c>
    </row>
    <row r="957" spans="1:12" ht="28.8" hidden="1" x14ac:dyDescent="0.3">
      <c r="A957" s="5">
        <v>18803657</v>
      </c>
      <c r="B957" s="6" t="s">
        <v>359</v>
      </c>
      <c r="C957" s="6" t="s">
        <v>75</v>
      </c>
      <c r="D957" s="8" t="s">
        <v>76</v>
      </c>
      <c r="E957" s="6" t="s">
        <v>110</v>
      </c>
      <c r="F957" s="6" t="s">
        <v>51</v>
      </c>
      <c r="G957" s="11">
        <v>46125.375</v>
      </c>
      <c r="H957" s="11"/>
      <c r="I957" s="10" t="s">
        <v>1147</v>
      </c>
      <c r="J957" s="6" t="s">
        <v>1148</v>
      </c>
      <c r="K957" s="12">
        <v>46121.498738425929</v>
      </c>
      <c r="L957" s="6" t="e" cm="1">
        <f t="array" ref="L957">LOOKUP(2^15,SEARCH(Tabela2[Palavras-Chave],Boletim4[[#This Row],[Objeto]],1),Tabela2[Palavras-Chave])</f>
        <v>#N/A</v>
      </c>
    </row>
    <row r="958" spans="1:12" ht="28.8" hidden="1" x14ac:dyDescent="0.3">
      <c r="A958" s="5">
        <v>18786761</v>
      </c>
      <c r="B958" s="6" t="s">
        <v>2895</v>
      </c>
      <c r="C958" s="6" t="s">
        <v>75</v>
      </c>
      <c r="D958" s="8" t="s">
        <v>76</v>
      </c>
      <c r="E958" s="6" t="s">
        <v>2896</v>
      </c>
      <c r="F958" s="6" t="s">
        <v>51</v>
      </c>
      <c r="G958" s="11" t="s">
        <v>56</v>
      </c>
      <c r="H958" s="11"/>
      <c r="I958" s="10" t="s">
        <v>2897</v>
      </c>
      <c r="J958" s="6" t="s">
        <v>138</v>
      </c>
      <c r="K958" s="12">
        <v>46121.516388888886</v>
      </c>
      <c r="L958" s="6" t="e" cm="1">
        <f t="array" ref="L958">LOOKUP(2^15,SEARCH(Tabela2[Palavras-Chave],Boletim4[[#This Row],[Objeto]],1),Tabela2[Palavras-Chave])</f>
        <v>#N/A</v>
      </c>
    </row>
    <row r="959" spans="1:12" ht="57.6" hidden="1" x14ac:dyDescent="0.3">
      <c r="A959" s="5">
        <v>18807247</v>
      </c>
      <c r="B959" s="6" t="s">
        <v>1149</v>
      </c>
      <c r="C959" s="6" t="s">
        <v>312</v>
      </c>
      <c r="D959" s="8" t="s">
        <v>76</v>
      </c>
      <c r="E959" s="6" t="s">
        <v>1150</v>
      </c>
      <c r="F959" s="6" t="s">
        <v>51</v>
      </c>
      <c r="G959" s="11" t="s">
        <v>56</v>
      </c>
      <c r="H959" s="11"/>
      <c r="I959" s="10" t="s">
        <v>1151</v>
      </c>
      <c r="J959" s="6" t="s">
        <v>1152</v>
      </c>
      <c r="K959" s="12">
        <v>46121.536145833335</v>
      </c>
      <c r="L959" s="6" t="e" cm="1">
        <f t="array" ref="L959">LOOKUP(2^15,SEARCH(Tabela2[Palavras-Chave],Boletim4[[#This Row],[Objeto]],1),Tabela2[Palavras-Chave])</f>
        <v>#N/A</v>
      </c>
    </row>
    <row r="960" spans="1:12" ht="100.8" hidden="1" x14ac:dyDescent="0.3">
      <c r="A960" s="5">
        <v>18806827</v>
      </c>
      <c r="B960" s="6" t="s">
        <v>2898</v>
      </c>
      <c r="C960" s="6" t="s">
        <v>75</v>
      </c>
      <c r="D960" s="8" t="s">
        <v>76</v>
      </c>
      <c r="E960" s="6" t="s">
        <v>2899</v>
      </c>
      <c r="F960" s="6" t="s">
        <v>51</v>
      </c>
      <c r="G960" s="11">
        <v>46126.333333333336</v>
      </c>
      <c r="H960" s="11"/>
      <c r="I960" s="10" t="s">
        <v>2900</v>
      </c>
      <c r="J960" s="6" t="s">
        <v>2901</v>
      </c>
      <c r="K960" s="12">
        <v>46121.555358796293</v>
      </c>
      <c r="L960" s="6" t="e" cm="1">
        <f t="array" ref="L960">LOOKUP(2^15,SEARCH(Tabela2[Palavras-Chave],Boletim4[[#This Row],[Objeto]],1),Tabela2[Palavras-Chave])</f>
        <v>#N/A</v>
      </c>
    </row>
    <row r="961" spans="1:12" ht="100.8" hidden="1" x14ac:dyDescent="0.3">
      <c r="A961" s="5">
        <v>18539292</v>
      </c>
      <c r="B961" s="6" t="s">
        <v>1153</v>
      </c>
      <c r="C961" s="6" t="s">
        <v>75</v>
      </c>
      <c r="D961" s="8" t="s">
        <v>76</v>
      </c>
      <c r="E961" s="6" t="s">
        <v>119</v>
      </c>
      <c r="F961" s="6" t="s">
        <v>51</v>
      </c>
      <c r="G961" s="11">
        <v>46125.374305555553</v>
      </c>
      <c r="H961" s="11"/>
      <c r="I961" s="10" t="s">
        <v>1154</v>
      </c>
      <c r="J961" s="6" t="s">
        <v>1155</v>
      </c>
      <c r="K961" s="12">
        <v>46121.602268518516</v>
      </c>
      <c r="L961" s="6" t="e" cm="1">
        <f t="array" ref="L961">LOOKUP(2^15,SEARCH(Tabela2[Palavras-Chave],Boletim4[[#This Row],[Objeto]],1),Tabela2[Palavras-Chave])</f>
        <v>#N/A</v>
      </c>
    </row>
    <row r="962" spans="1:12" ht="43.2" hidden="1" x14ac:dyDescent="0.3">
      <c r="A962" s="5">
        <v>18774692</v>
      </c>
      <c r="B962" s="6" t="s">
        <v>1156</v>
      </c>
      <c r="C962" s="6" t="s">
        <v>75</v>
      </c>
      <c r="D962" s="8" t="s">
        <v>76</v>
      </c>
      <c r="E962" s="6" t="s">
        <v>55</v>
      </c>
      <c r="F962" s="6" t="s">
        <v>51</v>
      </c>
      <c r="G962" s="11" t="s">
        <v>56</v>
      </c>
      <c r="H962" s="11"/>
      <c r="I962" s="10" t="s">
        <v>1157</v>
      </c>
      <c r="J962" s="6" t="s">
        <v>138</v>
      </c>
      <c r="K962" s="12">
        <v>46121.604895833334</v>
      </c>
      <c r="L962" s="6" t="e" cm="1">
        <f t="array" ref="L962">LOOKUP(2^15,SEARCH(Tabela2[Palavras-Chave],Boletim4[[#This Row],[Objeto]],1),Tabela2[Palavras-Chave])</f>
        <v>#N/A</v>
      </c>
    </row>
    <row r="963" spans="1:12" ht="100.8" hidden="1" x14ac:dyDescent="0.3">
      <c r="A963" s="5">
        <v>18806786</v>
      </c>
      <c r="B963" s="6" t="s">
        <v>1158</v>
      </c>
      <c r="C963" s="6" t="s">
        <v>75</v>
      </c>
      <c r="D963" s="8" t="s">
        <v>76</v>
      </c>
      <c r="E963" s="6" t="s">
        <v>1159</v>
      </c>
      <c r="F963" s="6" t="s">
        <v>51</v>
      </c>
      <c r="G963" s="11">
        <v>46125.333333333336</v>
      </c>
      <c r="H963" s="11"/>
      <c r="I963" s="10" t="s">
        <v>1160</v>
      </c>
      <c r="J963" s="6" t="s">
        <v>1161</v>
      </c>
      <c r="K963" s="12">
        <v>46121.615324074075</v>
      </c>
      <c r="L963" s="6" t="e" cm="1">
        <f t="array" ref="L963">LOOKUP(2^15,SEARCH(Tabela2[Palavras-Chave],Boletim4[[#This Row],[Objeto]],1),Tabela2[Palavras-Chave])</f>
        <v>#N/A</v>
      </c>
    </row>
    <row r="964" spans="1:12" ht="43.2" hidden="1" x14ac:dyDescent="0.3">
      <c r="A964" s="5">
        <v>18809092</v>
      </c>
      <c r="B964" s="6" t="s">
        <v>234</v>
      </c>
      <c r="C964" s="6" t="s">
        <v>75</v>
      </c>
      <c r="D964" s="8" t="s">
        <v>76</v>
      </c>
      <c r="E964" s="6" t="s">
        <v>1162</v>
      </c>
      <c r="F964" s="6" t="s">
        <v>51</v>
      </c>
      <c r="G964" s="11">
        <v>46122.666666666664</v>
      </c>
      <c r="H964" s="11"/>
      <c r="I964" s="10" t="s">
        <v>1163</v>
      </c>
      <c r="J964" s="6" t="s">
        <v>169</v>
      </c>
      <c r="K964" s="12">
        <v>46121.650462962964</v>
      </c>
      <c r="L964" s="6" t="e" cm="1">
        <f t="array" ref="L964">LOOKUP(2^15,SEARCH(Tabela2[Palavras-Chave],Boletim4[[#This Row],[Objeto]],1),Tabela2[Palavras-Chave])</f>
        <v>#N/A</v>
      </c>
    </row>
    <row r="965" spans="1:12" ht="72" hidden="1" x14ac:dyDescent="0.3">
      <c r="A965" s="5">
        <v>18712474</v>
      </c>
      <c r="B965" s="6" t="s">
        <v>74</v>
      </c>
      <c r="C965" s="6" t="s">
        <v>75</v>
      </c>
      <c r="D965" s="8" t="s">
        <v>76</v>
      </c>
      <c r="E965" s="6" t="s">
        <v>1164</v>
      </c>
      <c r="F965" s="6" t="s">
        <v>51</v>
      </c>
      <c r="G965" s="11" t="s">
        <v>56</v>
      </c>
      <c r="H965" s="11"/>
      <c r="I965" s="10" t="s">
        <v>1165</v>
      </c>
      <c r="J965" s="6" t="s">
        <v>1166</v>
      </c>
      <c r="K965" s="12">
        <v>46121.681377314817</v>
      </c>
      <c r="L965" s="6" t="e" cm="1">
        <f t="array" ref="L965">LOOKUP(2^15,SEARCH(Tabela2[Palavras-Chave],Boletim4[[#This Row],[Objeto]],1),Tabela2[Palavras-Chave])</f>
        <v>#N/A</v>
      </c>
    </row>
    <row r="966" spans="1:12" ht="72" hidden="1" x14ac:dyDescent="0.3">
      <c r="A966" s="5">
        <v>18722561</v>
      </c>
      <c r="B966" s="6" t="s">
        <v>74</v>
      </c>
      <c r="C966" s="6" t="s">
        <v>75</v>
      </c>
      <c r="D966" s="8" t="s">
        <v>76</v>
      </c>
      <c r="E966" s="6" t="s">
        <v>1167</v>
      </c>
      <c r="F966" s="6" t="s">
        <v>51</v>
      </c>
      <c r="G966" s="11" t="s">
        <v>56</v>
      </c>
      <c r="H966" s="11"/>
      <c r="I966" s="10" t="s">
        <v>1168</v>
      </c>
      <c r="J966" s="6" t="s">
        <v>1169</v>
      </c>
      <c r="K966" s="12">
        <v>46121.684062499997</v>
      </c>
      <c r="L966" s="6" t="e" cm="1">
        <f t="array" ref="L966">LOOKUP(2^15,SEARCH(Tabela2[Palavras-Chave],Boletim4[[#This Row],[Objeto]],1),Tabela2[Palavras-Chave])</f>
        <v>#N/A</v>
      </c>
    </row>
    <row r="967" spans="1:12" hidden="1" x14ac:dyDescent="0.3">
      <c r="A967" s="5">
        <v>18810061</v>
      </c>
      <c r="B967" s="6" t="s">
        <v>354</v>
      </c>
      <c r="C967" s="6" t="s">
        <v>75</v>
      </c>
      <c r="D967" s="8" t="s">
        <v>76</v>
      </c>
      <c r="E967" s="6" t="s">
        <v>1170</v>
      </c>
      <c r="F967" s="6" t="s">
        <v>51</v>
      </c>
      <c r="G967" s="11" t="s">
        <v>56</v>
      </c>
      <c r="H967" s="11"/>
      <c r="I967" s="10" t="s">
        <v>1171</v>
      </c>
      <c r="J967" s="6" t="s">
        <v>186</v>
      </c>
      <c r="K967" s="12">
        <v>46121.704050925924</v>
      </c>
      <c r="L967" s="6" t="e" cm="1">
        <f t="array" ref="L967">LOOKUP(2^15,SEARCH(Tabela2[Palavras-Chave],Boletim4[[#This Row],[Objeto]],1),Tabela2[Palavras-Chave])</f>
        <v>#N/A</v>
      </c>
    </row>
    <row r="968" spans="1:12" ht="28.8" hidden="1" x14ac:dyDescent="0.3">
      <c r="A968" s="5">
        <v>18810053</v>
      </c>
      <c r="B968" s="6" t="s">
        <v>354</v>
      </c>
      <c r="C968" s="6" t="s">
        <v>75</v>
      </c>
      <c r="D968" s="8" t="s">
        <v>76</v>
      </c>
      <c r="E968" s="6" t="s">
        <v>343</v>
      </c>
      <c r="F968" s="6" t="s">
        <v>51</v>
      </c>
      <c r="G968" s="11" t="s">
        <v>56</v>
      </c>
      <c r="H968" s="11"/>
      <c r="I968" s="10" t="s">
        <v>2902</v>
      </c>
      <c r="J968" s="6" t="s">
        <v>186</v>
      </c>
      <c r="K968" s="12">
        <v>46121.704606481479</v>
      </c>
      <c r="L968" s="6" t="e" cm="1">
        <f t="array" ref="L968">LOOKUP(2^15,SEARCH(Tabela2[Palavras-Chave],Boletim4[[#This Row],[Objeto]],1),Tabela2[Palavras-Chave])</f>
        <v>#N/A</v>
      </c>
    </row>
    <row r="969" spans="1:12" ht="57.6" hidden="1" x14ac:dyDescent="0.3">
      <c r="A969" s="5">
        <v>18807245</v>
      </c>
      <c r="B969" s="6" t="s">
        <v>2903</v>
      </c>
      <c r="C969" s="6" t="s">
        <v>403</v>
      </c>
      <c r="D969" s="8" t="s">
        <v>76</v>
      </c>
      <c r="E969" s="6" t="s">
        <v>2904</v>
      </c>
      <c r="F969" s="6" t="s">
        <v>51</v>
      </c>
      <c r="G969" s="11" t="s">
        <v>56</v>
      </c>
      <c r="H969" s="11"/>
      <c r="I969" s="10" t="s">
        <v>2905</v>
      </c>
      <c r="J969" s="6" t="s">
        <v>2906</v>
      </c>
      <c r="K969" s="12">
        <v>46121.730729166666</v>
      </c>
      <c r="L969" s="6" t="e" cm="1">
        <f t="array" ref="L969">LOOKUP(2^15,SEARCH(Tabela2[Palavras-Chave],Boletim4[[#This Row],[Objeto]],1),Tabela2[Palavras-Chave])</f>
        <v>#N/A</v>
      </c>
    </row>
    <row r="970" spans="1:12" ht="57.6" hidden="1" x14ac:dyDescent="0.3">
      <c r="A970" s="5">
        <v>18807246</v>
      </c>
      <c r="B970" s="6" t="s">
        <v>1149</v>
      </c>
      <c r="C970" s="6" t="s">
        <v>312</v>
      </c>
      <c r="D970" s="8" t="s">
        <v>76</v>
      </c>
      <c r="E970" s="6" t="s">
        <v>2907</v>
      </c>
      <c r="F970" s="6" t="s">
        <v>51</v>
      </c>
      <c r="G970" s="11" t="s">
        <v>56</v>
      </c>
      <c r="H970" s="11"/>
      <c r="I970" s="10" t="s">
        <v>2908</v>
      </c>
      <c r="J970" s="6" t="s">
        <v>2909</v>
      </c>
      <c r="K970" s="12">
        <v>46121.756018518521</v>
      </c>
      <c r="L970" s="6" t="e" cm="1">
        <f t="array" ref="L970">LOOKUP(2^15,SEARCH(Tabela2[Palavras-Chave],Boletim4[[#This Row],[Objeto]],1),Tabela2[Palavras-Chave])</f>
        <v>#N/A</v>
      </c>
    </row>
    <row r="971" spans="1:12" ht="100.8" hidden="1" x14ac:dyDescent="0.3">
      <c r="A971" s="5">
        <v>18810878</v>
      </c>
      <c r="B971" s="6" t="s">
        <v>1172</v>
      </c>
      <c r="C971" s="6" t="s">
        <v>1173</v>
      </c>
      <c r="D971" s="8" t="s">
        <v>76</v>
      </c>
      <c r="E971" s="6" t="s">
        <v>141</v>
      </c>
      <c r="F971" s="6" t="s">
        <v>51</v>
      </c>
      <c r="G971" s="11">
        <v>46127.333333333336</v>
      </c>
      <c r="H971" s="11"/>
      <c r="I971" s="10" t="s">
        <v>1174</v>
      </c>
      <c r="J971" s="6" t="s">
        <v>1175</v>
      </c>
      <c r="K971" s="12">
        <v>46121.757928240739</v>
      </c>
      <c r="L971" s="6" t="e" cm="1">
        <f t="array" ref="L971">LOOKUP(2^15,SEARCH(Tabela2[Palavras-Chave],Boletim4[[#This Row],[Objeto]],1),Tabela2[Palavras-Chave])</f>
        <v>#N/A</v>
      </c>
    </row>
    <row r="972" spans="1:12" ht="86.4" hidden="1" x14ac:dyDescent="0.3">
      <c r="A972" s="5">
        <v>18810827</v>
      </c>
      <c r="B972" s="6" t="s">
        <v>1176</v>
      </c>
      <c r="C972" s="6" t="s">
        <v>75</v>
      </c>
      <c r="D972" s="8" t="s">
        <v>76</v>
      </c>
      <c r="E972" s="6" t="s">
        <v>279</v>
      </c>
      <c r="F972" s="6" t="s">
        <v>51</v>
      </c>
      <c r="G972" s="11">
        <v>46126.333333333336</v>
      </c>
      <c r="H972" s="11"/>
      <c r="I972" s="10" t="s">
        <v>1177</v>
      </c>
      <c r="J972" s="6" t="s">
        <v>1178</v>
      </c>
      <c r="K972" s="12">
        <v>46121.769525462965</v>
      </c>
      <c r="L972" s="6" t="e" cm="1">
        <f t="array" ref="L972">LOOKUP(2^15,SEARCH(Tabela2[Palavras-Chave],Boletim4[[#This Row],[Objeto]],1),Tabela2[Palavras-Chave])</f>
        <v>#N/A</v>
      </c>
    </row>
    <row r="973" spans="1:12" ht="129.6" hidden="1" x14ac:dyDescent="0.3">
      <c r="A973" s="5">
        <v>18806733</v>
      </c>
      <c r="B973" s="6" t="s">
        <v>1179</v>
      </c>
      <c r="C973" s="6" t="s">
        <v>75</v>
      </c>
      <c r="D973" s="8" t="s">
        <v>76</v>
      </c>
      <c r="E973" s="6" t="s">
        <v>340</v>
      </c>
      <c r="F973" s="6" t="s">
        <v>51</v>
      </c>
      <c r="G973" s="11">
        <v>46125.333333333336</v>
      </c>
      <c r="H973" s="11"/>
      <c r="I973" s="10" t="s">
        <v>1180</v>
      </c>
      <c r="J973" s="6" t="s">
        <v>1181</v>
      </c>
      <c r="K973" s="12">
        <v>46121.7891087963</v>
      </c>
      <c r="L973" s="6" t="e" cm="1">
        <f t="array" ref="L973">LOOKUP(2^15,SEARCH(Tabela2[Palavras-Chave],Boletim4[[#This Row],[Objeto]],1),Tabela2[Palavras-Chave])</f>
        <v>#N/A</v>
      </c>
    </row>
    <row r="974" spans="1:12" ht="100.8" hidden="1" x14ac:dyDescent="0.3">
      <c r="A974" s="5">
        <v>18810865</v>
      </c>
      <c r="B974" s="6" t="s">
        <v>353</v>
      </c>
      <c r="C974" s="6" t="s">
        <v>75</v>
      </c>
      <c r="D974" s="8" t="s">
        <v>76</v>
      </c>
      <c r="E974" s="6" t="s">
        <v>1182</v>
      </c>
      <c r="F974" s="6" t="s">
        <v>51</v>
      </c>
      <c r="G974" s="11">
        <v>46126.333333333336</v>
      </c>
      <c r="H974" s="11"/>
      <c r="I974" s="10" t="s">
        <v>1183</v>
      </c>
      <c r="J974" s="6" t="s">
        <v>1184</v>
      </c>
      <c r="K974" s="12">
        <v>46121.828449074077</v>
      </c>
      <c r="L974" s="6" t="e" cm="1">
        <f t="array" ref="L974">LOOKUP(2^15,SEARCH(Tabela2[Palavras-Chave],Boletim4[[#This Row],[Objeto]],1),Tabela2[Palavras-Chave])</f>
        <v>#N/A</v>
      </c>
    </row>
    <row r="975" spans="1:12" ht="244.8" hidden="1" x14ac:dyDescent="0.3">
      <c r="A975" s="5">
        <v>18810844</v>
      </c>
      <c r="B975" s="6" t="s">
        <v>353</v>
      </c>
      <c r="C975" s="6" t="s">
        <v>75</v>
      </c>
      <c r="D975" s="8" t="s">
        <v>76</v>
      </c>
      <c r="E975" s="6" t="s">
        <v>274</v>
      </c>
      <c r="F975" s="6" t="s">
        <v>51</v>
      </c>
      <c r="G975" s="11">
        <v>46126.333333333336</v>
      </c>
      <c r="H975" s="11"/>
      <c r="I975" s="10" t="s">
        <v>1185</v>
      </c>
      <c r="J975" s="6" t="s">
        <v>1186</v>
      </c>
      <c r="K975" s="12">
        <v>46121.829386574071</v>
      </c>
      <c r="L975" s="6" t="e" cm="1">
        <f t="array" ref="L975">LOOKUP(2^15,SEARCH(Tabela2[Palavras-Chave],Boletim4[[#This Row],[Objeto]],1),Tabela2[Palavras-Chave])</f>
        <v>#N/A</v>
      </c>
    </row>
    <row r="976" spans="1:12" ht="86.4" hidden="1" x14ac:dyDescent="0.3">
      <c r="A976" s="5">
        <v>18809310</v>
      </c>
      <c r="B976" s="6" t="s">
        <v>353</v>
      </c>
      <c r="C976" s="6" t="s">
        <v>75</v>
      </c>
      <c r="D976" s="8" t="s">
        <v>76</v>
      </c>
      <c r="E976" s="6" t="s">
        <v>364</v>
      </c>
      <c r="F976" s="6" t="s">
        <v>51</v>
      </c>
      <c r="G976" s="11">
        <v>46127.333333333336</v>
      </c>
      <c r="H976" s="11"/>
      <c r="I976" s="10" t="s">
        <v>2910</v>
      </c>
      <c r="J976" s="6" t="s">
        <v>2911</v>
      </c>
      <c r="K976" s="12">
        <v>46121.860543981478</v>
      </c>
      <c r="L976" s="6" t="e" cm="1">
        <f t="array" ref="L976">LOOKUP(2^15,SEARCH(Tabela2[Palavras-Chave],Boletim4[[#This Row],[Objeto]],1),Tabela2[Palavras-Chave])</f>
        <v>#N/A</v>
      </c>
    </row>
    <row r="977" spans="1:12" ht="187.2" hidden="1" x14ac:dyDescent="0.3">
      <c r="A977" s="5">
        <v>18808826</v>
      </c>
      <c r="B977" s="6" t="s">
        <v>246</v>
      </c>
      <c r="C977" s="6" t="s">
        <v>102</v>
      </c>
      <c r="D977" s="8" t="s">
        <v>77</v>
      </c>
      <c r="E977" s="6" t="s">
        <v>1187</v>
      </c>
      <c r="F977" s="6" t="s">
        <v>51</v>
      </c>
      <c r="G977" s="11" t="s">
        <v>56</v>
      </c>
      <c r="H977" s="11"/>
      <c r="I977" s="10" t="s">
        <v>1188</v>
      </c>
      <c r="J977" s="6" t="s">
        <v>1189</v>
      </c>
      <c r="K977" s="12">
        <v>46121.709039351852</v>
      </c>
      <c r="L977" s="6" t="e" cm="1">
        <f t="array" ref="L977">LOOKUP(2^15,SEARCH(Tabela2[Palavras-Chave],Boletim4[[#This Row],[Objeto]],1),Tabela2[Palavras-Chave])</f>
        <v>#N/A</v>
      </c>
    </row>
    <row r="978" spans="1:12" ht="187.2" hidden="1" x14ac:dyDescent="0.3">
      <c r="A978" s="5">
        <v>18809018</v>
      </c>
      <c r="B978" s="6" t="s">
        <v>246</v>
      </c>
      <c r="C978" s="6" t="s">
        <v>102</v>
      </c>
      <c r="D978" s="8" t="s">
        <v>77</v>
      </c>
      <c r="E978" s="6" t="s">
        <v>2912</v>
      </c>
      <c r="F978" s="6" t="s">
        <v>51</v>
      </c>
      <c r="G978" s="11" t="s">
        <v>56</v>
      </c>
      <c r="H978" s="11"/>
      <c r="I978" s="10" t="s">
        <v>2913</v>
      </c>
      <c r="J978" s="6" t="s">
        <v>2914</v>
      </c>
      <c r="K978" s="12">
        <v>46121.744247685187</v>
      </c>
      <c r="L978" s="6" t="e" cm="1">
        <f t="array" ref="L978">LOOKUP(2^15,SEARCH(Tabela2[Palavras-Chave],Boletim4[[#This Row],[Objeto]],1),Tabela2[Palavras-Chave])</f>
        <v>#N/A</v>
      </c>
    </row>
    <row r="979" spans="1:12" ht="100.8" hidden="1" x14ac:dyDescent="0.3">
      <c r="A979" s="5">
        <v>18806635</v>
      </c>
      <c r="B979" s="6" t="s">
        <v>1190</v>
      </c>
      <c r="C979" s="6" t="s">
        <v>102</v>
      </c>
      <c r="D979" s="8" t="s">
        <v>77</v>
      </c>
      <c r="E979" s="6" t="s">
        <v>1191</v>
      </c>
      <c r="F979" s="6" t="s">
        <v>51</v>
      </c>
      <c r="G979" s="11">
        <v>46126.333333333336</v>
      </c>
      <c r="H979" s="11"/>
      <c r="I979" s="10" t="s">
        <v>1192</v>
      </c>
      <c r="J979" s="6" t="s">
        <v>1193</v>
      </c>
      <c r="K979" s="12">
        <v>46121.74796296296</v>
      </c>
      <c r="L979" s="6" t="e" cm="1">
        <f t="array" ref="L979">LOOKUP(2^15,SEARCH(Tabela2[Palavras-Chave],Boletim4[[#This Row],[Objeto]],1),Tabela2[Palavras-Chave])</f>
        <v>#N/A</v>
      </c>
    </row>
    <row r="980" spans="1:12" ht="86.4" hidden="1" x14ac:dyDescent="0.3">
      <c r="A980" s="5">
        <v>18810853</v>
      </c>
      <c r="B980" s="6" t="s">
        <v>1194</v>
      </c>
      <c r="C980" s="6" t="s">
        <v>102</v>
      </c>
      <c r="D980" s="8" t="s">
        <v>77</v>
      </c>
      <c r="E980" s="6" t="s">
        <v>288</v>
      </c>
      <c r="F980" s="6" t="s">
        <v>51</v>
      </c>
      <c r="G980" s="11">
        <v>46126.458333333336</v>
      </c>
      <c r="H980" s="11"/>
      <c r="I980" s="10" t="s">
        <v>1195</v>
      </c>
      <c r="J980" s="6" t="s">
        <v>1196</v>
      </c>
      <c r="K980" s="12">
        <v>46121.772928240738</v>
      </c>
      <c r="L980" s="6" t="e" cm="1">
        <f t="array" ref="L980">LOOKUP(2^15,SEARCH(Tabela2[Palavras-Chave],Boletim4[[#This Row],[Objeto]],1),Tabela2[Palavras-Chave])</f>
        <v>#N/A</v>
      </c>
    </row>
    <row r="981" spans="1:12" hidden="1" x14ac:dyDescent="0.3">
      <c r="A981" s="5">
        <v>18808749</v>
      </c>
      <c r="B981" s="6" t="s">
        <v>2915</v>
      </c>
      <c r="C981" s="6" t="s">
        <v>2916</v>
      </c>
      <c r="D981" s="8" t="s">
        <v>78</v>
      </c>
      <c r="E981" s="6" t="s">
        <v>2917</v>
      </c>
      <c r="F981" s="6" t="s">
        <v>51</v>
      </c>
      <c r="G981" s="11" t="s">
        <v>56</v>
      </c>
      <c r="H981" s="11"/>
      <c r="I981" s="10" t="s">
        <v>2918</v>
      </c>
      <c r="J981" s="6" t="s">
        <v>2919</v>
      </c>
      <c r="K981" s="12">
        <v>46121.563935185186</v>
      </c>
      <c r="L981" s="6" t="e" cm="1">
        <f t="array" ref="L981">LOOKUP(2^15,SEARCH(Tabela2[Palavras-Chave],Boletim4[[#This Row],[Objeto]],1),Tabela2[Palavras-Chave])</f>
        <v>#N/A</v>
      </c>
    </row>
    <row r="982" spans="1:12" ht="28.8" hidden="1" x14ac:dyDescent="0.3">
      <c r="A982" s="5">
        <v>18808741</v>
      </c>
      <c r="B982" s="6" t="s">
        <v>2920</v>
      </c>
      <c r="C982" s="6" t="s">
        <v>2921</v>
      </c>
      <c r="D982" s="8" t="s">
        <v>78</v>
      </c>
      <c r="E982" s="6" t="s">
        <v>2922</v>
      </c>
      <c r="F982" s="6" t="s">
        <v>51</v>
      </c>
      <c r="G982" s="11" t="s">
        <v>56</v>
      </c>
      <c r="H982" s="11"/>
      <c r="I982" s="10" t="s">
        <v>2923</v>
      </c>
      <c r="J982" s="6" t="s">
        <v>2924</v>
      </c>
      <c r="K982" s="12">
        <v>46121.719212962962</v>
      </c>
      <c r="L982" s="6" t="e" cm="1">
        <f t="array" ref="L982">LOOKUP(2^15,SEARCH(Tabela2[Palavras-Chave],Boletim4[[#This Row],[Objeto]],1),Tabela2[Palavras-Chave])</f>
        <v>#N/A</v>
      </c>
    </row>
    <row r="983" spans="1:12" ht="100.8" hidden="1" x14ac:dyDescent="0.3">
      <c r="A983" s="5">
        <v>18810822</v>
      </c>
      <c r="B983" s="6" t="s">
        <v>482</v>
      </c>
      <c r="C983" s="6" t="s">
        <v>313</v>
      </c>
      <c r="D983" s="8" t="s">
        <v>78</v>
      </c>
      <c r="E983" s="6" t="s">
        <v>364</v>
      </c>
      <c r="F983" s="6" t="s">
        <v>51</v>
      </c>
      <c r="G983" s="11">
        <v>46134.354166666664</v>
      </c>
      <c r="H983" s="11"/>
      <c r="I983" s="10" t="s">
        <v>1197</v>
      </c>
      <c r="J983" s="6" t="s">
        <v>1198</v>
      </c>
      <c r="K983" s="12">
        <v>46121.773425925923</v>
      </c>
      <c r="L983" s="6" t="e" cm="1">
        <f t="array" ref="L983">LOOKUP(2^15,SEARCH(Tabela2[Palavras-Chave],Boletim4[[#This Row],[Objeto]],1),Tabela2[Palavras-Chave])</f>
        <v>#N/A</v>
      </c>
    </row>
    <row r="984" spans="1:12" ht="100.8" hidden="1" x14ac:dyDescent="0.3">
      <c r="A984" s="5">
        <v>18806685</v>
      </c>
      <c r="B984" s="6" t="s">
        <v>2925</v>
      </c>
      <c r="C984" s="6" t="s">
        <v>360</v>
      </c>
      <c r="D984" s="8" t="s">
        <v>80</v>
      </c>
      <c r="E984" s="6" t="s">
        <v>2926</v>
      </c>
      <c r="F984" s="6" t="s">
        <v>51</v>
      </c>
      <c r="G984" s="11">
        <v>46125.416666666664</v>
      </c>
      <c r="H984" s="11"/>
      <c r="I984" s="10" t="s">
        <v>2927</v>
      </c>
      <c r="J984" s="6" t="s">
        <v>2928</v>
      </c>
      <c r="K984" s="12">
        <v>46121.436550925922</v>
      </c>
      <c r="L984" s="6" t="e" cm="1">
        <f t="array" ref="L984">LOOKUP(2^15,SEARCH(Tabela2[Palavras-Chave],Boletim4[[#This Row],[Objeto]],1),Tabela2[Palavras-Chave])</f>
        <v>#N/A</v>
      </c>
    </row>
    <row r="985" spans="1:12" ht="72" x14ac:dyDescent="0.3">
      <c r="A985" s="5">
        <v>18730561</v>
      </c>
      <c r="B985" s="6" t="s">
        <v>74</v>
      </c>
      <c r="C985" s="6" t="s">
        <v>79</v>
      </c>
      <c r="D985" s="8" t="s">
        <v>80</v>
      </c>
      <c r="E985" s="6" t="s">
        <v>1119</v>
      </c>
      <c r="F985" s="6" t="s">
        <v>51</v>
      </c>
      <c r="G985" s="11" t="s">
        <v>56</v>
      </c>
      <c r="H985" s="11"/>
      <c r="I985" s="10" t="s">
        <v>1120</v>
      </c>
      <c r="J985" s="6" t="s">
        <v>1121</v>
      </c>
      <c r="K985" s="12">
        <v>46121.439722222225</v>
      </c>
      <c r="L985" s="6" t="str" cm="1">
        <f t="array" ref="L985">LOOKUP(2^15,SEARCH(Tabela2[Palavras-Chave],Boletim4[[#This Row],[Objeto]],1),Tabela2[Palavras-Chave])</f>
        <v>TANQUE</v>
      </c>
    </row>
    <row r="986" spans="1:12" ht="72" hidden="1" x14ac:dyDescent="0.3">
      <c r="A986" s="5">
        <v>18780362</v>
      </c>
      <c r="B986" s="6" t="s">
        <v>74</v>
      </c>
      <c r="C986" s="6" t="s">
        <v>79</v>
      </c>
      <c r="D986" s="8" t="s">
        <v>80</v>
      </c>
      <c r="E986" s="6" t="s">
        <v>1130</v>
      </c>
      <c r="F986" s="6" t="s">
        <v>51</v>
      </c>
      <c r="G986" s="11" t="s">
        <v>56</v>
      </c>
      <c r="H986" s="11"/>
      <c r="I986" s="10" t="s">
        <v>1131</v>
      </c>
      <c r="J986" s="6" t="s">
        <v>1132</v>
      </c>
      <c r="K986" s="12">
        <v>46121.441018518519</v>
      </c>
      <c r="L986" s="6" t="e" cm="1">
        <f t="array" ref="L986">LOOKUP(2^15,SEARCH(Tabela2[Palavras-Chave],Boletim4[[#This Row],[Objeto]],1),Tabela2[Palavras-Chave])</f>
        <v>#N/A</v>
      </c>
    </row>
    <row r="987" spans="1:12" ht="57.6" hidden="1" x14ac:dyDescent="0.3">
      <c r="A987" s="5">
        <v>18807234</v>
      </c>
      <c r="B987" s="6" t="s">
        <v>261</v>
      </c>
      <c r="C987" s="6" t="s">
        <v>79</v>
      </c>
      <c r="D987" s="8" t="s">
        <v>80</v>
      </c>
      <c r="E987" s="6" t="s">
        <v>1199</v>
      </c>
      <c r="F987" s="6" t="s">
        <v>51</v>
      </c>
      <c r="G987" s="11" t="s">
        <v>56</v>
      </c>
      <c r="H987" s="11"/>
      <c r="I987" s="10" t="s">
        <v>1200</v>
      </c>
      <c r="J987" s="6" t="s">
        <v>1201</v>
      </c>
      <c r="K987" s="12">
        <v>46121.449976851851</v>
      </c>
      <c r="L987" s="6" t="e" cm="1">
        <f t="array" ref="L987">LOOKUP(2^15,SEARCH(Tabela2[Palavras-Chave],Boletim4[[#This Row],[Objeto]],1),Tabela2[Palavras-Chave])</f>
        <v>#N/A</v>
      </c>
    </row>
    <row r="988" spans="1:12" ht="100.8" hidden="1" x14ac:dyDescent="0.3">
      <c r="A988" s="5">
        <v>18809295</v>
      </c>
      <c r="B988" s="6" t="s">
        <v>1202</v>
      </c>
      <c r="C988" s="6" t="s">
        <v>1203</v>
      </c>
      <c r="D988" s="8" t="s">
        <v>80</v>
      </c>
      <c r="E988" s="6" t="s">
        <v>1204</v>
      </c>
      <c r="F988" s="6" t="s">
        <v>51</v>
      </c>
      <c r="G988" s="11">
        <v>46125.333333333336</v>
      </c>
      <c r="H988" s="11"/>
      <c r="I988" s="10" t="s">
        <v>1205</v>
      </c>
      <c r="J988" s="6" t="s">
        <v>1206</v>
      </c>
      <c r="K988" s="12">
        <v>46121.706863425927</v>
      </c>
      <c r="L988" s="6" t="e" cm="1">
        <f t="array" ref="L988">LOOKUP(2^15,SEARCH(Tabela2[Palavras-Chave],Boletim4[[#This Row],[Objeto]],1),Tabela2[Palavras-Chave])</f>
        <v>#N/A</v>
      </c>
    </row>
    <row r="989" spans="1:12" ht="57.6" hidden="1" x14ac:dyDescent="0.3">
      <c r="A989" s="5">
        <v>18798837</v>
      </c>
      <c r="B989" s="6" t="s">
        <v>248</v>
      </c>
      <c r="C989" s="6" t="s">
        <v>79</v>
      </c>
      <c r="D989" s="8" t="s">
        <v>80</v>
      </c>
      <c r="E989" s="6" t="s">
        <v>2929</v>
      </c>
      <c r="F989" s="6" t="s">
        <v>51</v>
      </c>
      <c r="G989" s="11">
        <v>46126.586805555555</v>
      </c>
      <c r="H989" s="11"/>
      <c r="I989" s="10" t="s">
        <v>2930</v>
      </c>
      <c r="J989" s="6" t="s">
        <v>2931</v>
      </c>
      <c r="K989" s="12">
        <v>46121.75818287037</v>
      </c>
      <c r="L989" s="6" t="e" cm="1">
        <f t="array" ref="L989">LOOKUP(2^15,SEARCH(Tabela2[Palavras-Chave],Boletim4[[#This Row],[Objeto]],1),Tabela2[Palavras-Chave])</f>
        <v>#N/A</v>
      </c>
    </row>
    <row r="990" spans="1:12" ht="86.4" hidden="1" x14ac:dyDescent="0.3">
      <c r="A990" s="5">
        <v>18810803</v>
      </c>
      <c r="B990" s="6" t="s">
        <v>1207</v>
      </c>
      <c r="C990" s="6" t="s">
        <v>79</v>
      </c>
      <c r="D990" s="8" t="s">
        <v>80</v>
      </c>
      <c r="E990" s="6" t="s">
        <v>1139</v>
      </c>
      <c r="F990" s="6" t="s">
        <v>51</v>
      </c>
      <c r="G990" s="11">
        <v>46127.333333333336</v>
      </c>
      <c r="H990" s="11"/>
      <c r="I990" s="10" t="s">
        <v>1208</v>
      </c>
      <c r="J990" s="6" t="s">
        <v>1209</v>
      </c>
      <c r="K990" s="12">
        <v>46121.764305555553</v>
      </c>
      <c r="L990" s="6" t="e" cm="1">
        <f t="array" ref="L990">LOOKUP(2^15,SEARCH(Tabela2[Palavras-Chave],Boletim4[[#This Row],[Objeto]],1),Tabela2[Palavras-Chave])</f>
        <v>#N/A</v>
      </c>
    </row>
    <row r="991" spans="1:12" ht="316.8" x14ac:dyDescent="0.3">
      <c r="A991" s="5">
        <v>18806709</v>
      </c>
      <c r="B991" s="6" t="s">
        <v>1210</v>
      </c>
      <c r="C991" s="6" t="s">
        <v>79</v>
      </c>
      <c r="D991" s="8" t="s">
        <v>80</v>
      </c>
      <c r="E991" s="6" t="s">
        <v>208</v>
      </c>
      <c r="F991" s="6" t="s">
        <v>51</v>
      </c>
      <c r="G991" s="11">
        <v>46125.333333333336</v>
      </c>
      <c r="H991" s="11"/>
      <c r="I991" s="10" t="s">
        <v>1211</v>
      </c>
      <c r="J991" s="6" t="s">
        <v>1212</v>
      </c>
      <c r="K991" s="12">
        <v>46121.777905092589</v>
      </c>
      <c r="L991" s="6" t="str" cm="1">
        <f t="array" ref="L991">LOOKUP(2^15,SEARCH(Tabela2[Palavras-Chave],Boletim4[[#This Row],[Objeto]],1),Tabela2[Palavras-Chave])</f>
        <v>RESERVAT</v>
      </c>
    </row>
    <row r="992" spans="1:12" ht="100.8" x14ac:dyDescent="0.3">
      <c r="A992" s="5">
        <v>18810864</v>
      </c>
      <c r="B992" s="6" t="s">
        <v>1213</v>
      </c>
      <c r="C992" s="6" t="s">
        <v>79</v>
      </c>
      <c r="D992" s="8" t="s">
        <v>80</v>
      </c>
      <c r="E992" s="6" t="s">
        <v>1214</v>
      </c>
      <c r="F992" s="6" t="s">
        <v>51</v>
      </c>
      <c r="G992" s="11">
        <v>46125.333333333336</v>
      </c>
      <c r="H992" s="11"/>
      <c r="I992" s="10" t="s">
        <v>1215</v>
      </c>
      <c r="J992" s="6" t="s">
        <v>1216</v>
      </c>
      <c r="K992" s="12">
        <v>46121.782743055555</v>
      </c>
      <c r="L992" s="6" t="str" cm="1">
        <f t="array" ref="L992">LOOKUP(2^15,SEARCH(Tabela2[Palavras-Chave],Boletim4[[#This Row],[Objeto]],1),Tabela2[Palavras-Chave])</f>
        <v>INOX</v>
      </c>
    </row>
    <row r="993" spans="1:12" ht="100.8" hidden="1" x14ac:dyDescent="0.3">
      <c r="A993" s="5">
        <v>18810813</v>
      </c>
      <c r="B993" s="6" t="s">
        <v>1217</v>
      </c>
      <c r="C993" s="6" t="s">
        <v>1218</v>
      </c>
      <c r="D993" s="8" t="s">
        <v>80</v>
      </c>
      <c r="E993" s="6" t="s">
        <v>1191</v>
      </c>
      <c r="F993" s="6" t="s">
        <v>51</v>
      </c>
      <c r="G993" s="11">
        <v>46127.5</v>
      </c>
      <c r="H993" s="11"/>
      <c r="I993" s="10" t="s">
        <v>1219</v>
      </c>
      <c r="J993" s="6" t="s">
        <v>1220</v>
      </c>
      <c r="K993" s="12">
        <v>46121.783935185187</v>
      </c>
      <c r="L993" s="6" t="e" cm="1">
        <f t="array" ref="L993">LOOKUP(2^15,SEARCH(Tabela2[Palavras-Chave],Boletim4[[#This Row],[Objeto]],1),Tabela2[Palavras-Chave])</f>
        <v>#N/A</v>
      </c>
    </row>
    <row r="994" spans="1:12" ht="57.6" hidden="1" x14ac:dyDescent="0.3">
      <c r="A994" s="5">
        <v>18811014</v>
      </c>
      <c r="B994" s="6" t="s">
        <v>688</v>
      </c>
      <c r="C994" s="6" t="s">
        <v>689</v>
      </c>
      <c r="D994" s="8" t="s">
        <v>80</v>
      </c>
      <c r="E994" s="6" t="s">
        <v>2932</v>
      </c>
      <c r="F994" s="6" t="s">
        <v>51</v>
      </c>
      <c r="G994" s="11" t="s">
        <v>56</v>
      </c>
      <c r="H994" s="11"/>
      <c r="I994" s="10" t="s">
        <v>2933</v>
      </c>
      <c r="J994" s="6" t="s">
        <v>2934</v>
      </c>
      <c r="K994" s="12">
        <v>46121.823252314818</v>
      </c>
      <c r="L994" s="6" t="e" cm="1">
        <f t="array" ref="L994">LOOKUP(2^15,SEARCH(Tabela2[Palavras-Chave],Boletim4[[#This Row],[Objeto]],1),Tabela2[Palavras-Chave])</f>
        <v>#N/A</v>
      </c>
    </row>
    <row r="995" spans="1:12" ht="86.4" hidden="1" x14ac:dyDescent="0.3">
      <c r="A995" s="5">
        <v>18806637</v>
      </c>
      <c r="B995" s="6" t="s">
        <v>1221</v>
      </c>
      <c r="C995" s="6" t="s">
        <v>104</v>
      </c>
      <c r="D995" s="8" t="s">
        <v>81</v>
      </c>
      <c r="E995" s="6" t="s">
        <v>191</v>
      </c>
      <c r="F995" s="6" t="s">
        <v>51</v>
      </c>
      <c r="G995" s="11">
        <v>46126.333333333336</v>
      </c>
      <c r="H995" s="11"/>
      <c r="I995" s="10" t="s">
        <v>1222</v>
      </c>
      <c r="J995" s="6" t="s">
        <v>1223</v>
      </c>
      <c r="K995" s="12">
        <v>46121.435011574074</v>
      </c>
      <c r="L995" s="6" t="e" cm="1">
        <f t="array" ref="L995">LOOKUP(2^15,SEARCH(Tabela2[Palavras-Chave],Boletim4[[#This Row],[Objeto]],1),Tabela2[Palavras-Chave])</f>
        <v>#N/A</v>
      </c>
    </row>
    <row r="996" spans="1:12" ht="86.4" hidden="1" x14ac:dyDescent="0.3">
      <c r="A996" s="5">
        <v>18806716</v>
      </c>
      <c r="B996" s="6" t="s">
        <v>1221</v>
      </c>
      <c r="C996" s="6" t="s">
        <v>104</v>
      </c>
      <c r="D996" s="8" t="s">
        <v>81</v>
      </c>
      <c r="E996" s="6" t="s">
        <v>370</v>
      </c>
      <c r="F996" s="6" t="s">
        <v>51</v>
      </c>
      <c r="G996" s="11">
        <v>46126.333333333336</v>
      </c>
      <c r="H996" s="11"/>
      <c r="I996" s="10" t="s">
        <v>1224</v>
      </c>
      <c r="J996" s="6" t="s">
        <v>1225</v>
      </c>
      <c r="K996" s="12">
        <v>46121.451203703706</v>
      </c>
      <c r="L996" s="6" t="e" cm="1">
        <f t="array" ref="L996">LOOKUP(2^15,SEARCH(Tabela2[Palavras-Chave],Boletim4[[#This Row],[Objeto]],1),Tabela2[Palavras-Chave])</f>
        <v>#N/A</v>
      </c>
    </row>
    <row r="997" spans="1:12" ht="259.2" hidden="1" x14ac:dyDescent="0.3">
      <c r="A997" s="5">
        <v>18800118</v>
      </c>
      <c r="B997" s="6" t="s">
        <v>1226</v>
      </c>
      <c r="C997" s="6" t="s">
        <v>1227</v>
      </c>
      <c r="D997" s="8" t="s">
        <v>81</v>
      </c>
      <c r="E997" s="6" t="s">
        <v>904</v>
      </c>
      <c r="F997" s="6" t="s">
        <v>51</v>
      </c>
      <c r="G997" s="11" t="s">
        <v>56</v>
      </c>
      <c r="H997" s="11"/>
      <c r="I997" s="10" t="s">
        <v>1228</v>
      </c>
      <c r="J997" s="6" t="s">
        <v>1229</v>
      </c>
      <c r="K997" s="12">
        <v>46121.587569444448</v>
      </c>
      <c r="L997" s="6" t="e" cm="1">
        <f t="array" ref="L997">LOOKUP(2^15,SEARCH(Tabela2[Palavras-Chave],Boletim4[[#This Row],[Objeto]],1),Tabela2[Palavras-Chave])</f>
        <v>#N/A</v>
      </c>
    </row>
    <row r="998" spans="1:12" ht="57.6" hidden="1" x14ac:dyDescent="0.3">
      <c r="A998" s="5">
        <v>18811019</v>
      </c>
      <c r="B998" s="6" t="s">
        <v>609</v>
      </c>
      <c r="C998" s="6" t="s">
        <v>610</v>
      </c>
      <c r="D998" s="8" t="s">
        <v>81</v>
      </c>
      <c r="E998" s="6" t="s">
        <v>265</v>
      </c>
      <c r="F998" s="6" t="s">
        <v>51</v>
      </c>
      <c r="G998" s="11" t="s">
        <v>56</v>
      </c>
      <c r="H998" s="11"/>
      <c r="I998" s="10" t="s">
        <v>2935</v>
      </c>
      <c r="J998" s="6" t="s">
        <v>2936</v>
      </c>
      <c r="K998" s="12">
        <v>46121.783125000002</v>
      </c>
      <c r="L998" s="6" t="e" cm="1">
        <f t="array" ref="L998">LOOKUP(2^15,SEARCH(Tabela2[Palavras-Chave],Boletim4[[#This Row],[Objeto]],1),Tabela2[Palavras-Chave])</f>
        <v>#N/A</v>
      </c>
    </row>
    <row r="999" spans="1:12" ht="57.6" hidden="1" x14ac:dyDescent="0.3">
      <c r="A999" s="5">
        <v>18811039</v>
      </c>
      <c r="B999" s="6" t="s">
        <v>1230</v>
      </c>
      <c r="C999" s="6" t="s">
        <v>1231</v>
      </c>
      <c r="D999" s="8" t="s">
        <v>81</v>
      </c>
      <c r="E999" s="6" t="s">
        <v>281</v>
      </c>
      <c r="F999" s="6" t="s">
        <v>51</v>
      </c>
      <c r="G999" s="11" t="s">
        <v>56</v>
      </c>
      <c r="H999" s="11"/>
      <c r="I999" s="10" t="s">
        <v>1232</v>
      </c>
      <c r="J999" s="6" t="s">
        <v>1233</v>
      </c>
      <c r="K999" s="12">
        <v>46121.783495370371</v>
      </c>
      <c r="L999" s="6" t="e" cm="1">
        <f t="array" ref="L999">LOOKUP(2^15,SEARCH(Tabela2[Palavras-Chave],Boletim4[[#This Row],[Objeto]],1),Tabela2[Palavras-Chave])</f>
        <v>#N/A</v>
      </c>
    </row>
    <row r="1000" spans="1:12" ht="57.6" hidden="1" x14ac:dyDescent="0.3">
      <c r="A1000" s="5">
        <v>18811025</v>
      </c>
      <c r="B1000" s="6" t="s">
        <v>254</v>
      </c>
      <c r="C1000" s="6" t="s">
        <v>255</v>
      </c>
      <c r="D1000" s="8" t="s">
        <v>81</v>
      </c>
      <c r="E1000" s="6" t="s">
        <v>105</v>
      </c>
      <c r="F1000" s="6" t="s">
        <v>51</v>
      </c>
      <c r="G1000" s="11" t="s">
        <v>56</v>
      </c>
      <c r="H1000" s="11"/>
      <c r="I1000" s="10" t="s">
        <v>1234</v>
      </c>
      <c r="J1000" s="6" t="s">
        <v>1235</v>
      </c>
      <c r="K1000" s="12">
        <v>46121.823067129626</v>
      </c>
      <c r="L1000" s="6" t="e" cm="1">
        <f t="array" ref="L1000">LOOKUP(2^15,SEARCH(Tabela2[Palavras-Chave],Boletim4[[#This Row],[Objeto]],1),Tabela2[Palavras-Chave])</f>
        <v>#N/A</v>
      </c>
    </row>
    <row r="1001" spans="1:12" ht="57.6" hidden="1" x14ac:dyDescent="0.3">
      <c r="A1001" s="5">
        <v>18811021</v>
      </c>
      <c r="B1001" s="6" t="s">
        <v>609</v>
      </c>
      <c r="C1001" s="6" t="s">
        <v>610</v>
      </c>
      <c r="D1001" s="8" t="s">
        <v>81</v>
      </c>
      <c r="E1001" s="6" t="s">
        <v>2937</v>
      </c>
      <c r="F1001" s="6" t="s">
        <v>51</v>
      </c>
      <c r="G1001" s="11" t="s">
        <v>56</v>
      </c>
      <c r="H1001" s="11"/>
      <c r="I1001" s="10" t="s">
        <v>2938</v>
      </c>
      <c r="J1001" s="6" t="s">
        <v>2939</v>
      </c>
      <c r="K1001" s="12">
        <v>46121.823113425926</v>
      </c>
      <c r="L1001" s="6" t="e" cm="1">
        <f t="array" ref="L1001">LOOKUP(2^15,SEARCH(Tabela2[Palavras-Chave],Boletim4[[#This Row],[Objeto]],1),Tabela2[Palavras-Chave])</f>
        <v>#N/A</v>
      </c>
    </row>
    <row r="1002" spans="1:12" ht="72" hidden="1" x14ac:dyDescent="0.3">
      <c r="A1002" s="5">
        <v>18811390</v>
      </c>
      <c r="B1002" s="6" t="s">
        <v>2940</v>
      </c>
      <c r="C1002" s="6" t="s">
        <v>2941</v>
      </c>
      <c r="D1002" s="8" t="s">
        <v>81</v>
      </c>
      <c r="E1002" s="6" t="s">
        <v>238</v>
      </c>
      <c r="F1002" s="6" t="s">
        <v>51</v>
      </c>
      <c r="G1002" s="11" t="s">
        <v>56</v>
      </c>
      <c r="H1002" s="11"/>
      <c r="I1002" s="10" t="s">
        <v>2942</v>
      </c>
      <c r="J1002" s="6" t="s">
        <v>2943</v>
      </c>
      <c r="K1002" s="12">
        <v>46121.847766203704</v>
      </c>
      <c r="L1002" s="6" t="e" cm="1">
        <f t="array" ref="L1002">LOOKUP(2^15,SEARCH(Tabela2[Palavras-Chave],Boletim4[[#This Row],[Objeto]],1),Tabela2[Palavras-Chave])</f>
        <v>#N/A</v>
      </c>
    </row>
    <row r="1003" spans="1:12" ht="72" hidden="1" x14ac:dyDescent="0.3">
      <c r="A1003" s="5">
        <v>18769999</v>
      </c>
      <c r="B1003" s="6" t="s">
        <v>74</v>
      </c>
      <c r="C1003" s="6" t="s">
        <v>160</v>
      </c>
      <c r="D1003" s="8" t="s">
        <v>93</v>
      </c>
      <c r="E1003" s="6" t="s">
        <v>734</v>
      </c>
      <c r="F1003" s="6" t="s">
        <v>51</v>
      </c>
      <c r="G1003" s="11" t="s">
        <v>56</v>
      </c>
      <c r="H1003" s="11"/>
      <c r="I1003" s="10" t="s">
        <v>735</v>
      </c>
      <c r="J1003" s="6" t="s">
        <v>736</v>
      </c>
      <c r="K1003" s="12">
        <v>46121.440335648149</v>
      </c>
      <c r="L1003" s="6" t="e" cm="1">
        <f t="array" ref="L1003">LOOKUP(2^15,SEARCH(Tabela2[Palavras-Chave],Boletim4[[#This Row],[Objeto]],1),Tabela2[Palavras-Chave])</f>
        <v>#N/A</v>
      </c>
    </row>
    <row r="1004" spans="1:12" ht="72" hidden="1" x14ac:dyDescent="0.3">
      <c r="A1004" s="5">
        <v>18551796</v>
      </c>
      <c r="B1004" s="6" t="s">
        <v>176</v>
      </c>
      <c r="C1004" s="6" t="s">
        <v>83</v>
      </c>
      <c r="D1004" s="8" t="s">
        <v>82</v>
      </c>
      <c r="E1004" s="6" t="s">
        <v>2892</v>
      </c>
      <c r="F1004" s="6" t="s">
        <v>51</v>
      </c>
      <c r="G1004" s="11" t="s">
        <v>56</v>
      </c>
      <c r="H1004" s="11"/>
      <c r="I1004" s="10" t="s">
        <v>2893</v>
      </c>
      <c r="J1004" s="6" t="s">
        <v>2894</v>
      </c>
      <c r="K1004" s="12">
        <v>46121.439606481479</v>
      </c>
      <c r="L1004" s="6" t="e" cm="1">
        <f t="array" ref="L1004">LOOKUP(2^15,SEARCH(Tabela2[Palavras-Chave],Boletim4[[#This Row],[Objeto]],1),Tabela2[Palavras-Chave])</f>
        <v>#N/A</v>
      </c>
    </row>
    <row r="1005" spans="1:12" ht="72" x14ac:dyDescent="0.3">
      <c r="A1005" s="5">
        <v>18730562</v>
      </c>
      <c r="B1005" s="6" t="s">
        <v>74</v>
      </c>
      <c r="C1005" s="6" t="s">
        <v>83</v>
      </c>
      <c r="D1005" s="8" t="s">
        <v>82</v>
      </c>
      <c r="E1005" s="6" t="s">
        <v>1119</v>
      </c>
      <c r="F1005" s="6" t="s">
        <v>51</v>
      </c>
      <c r="G1005" s="11" t="s">
        <v>56</v>
      </c>
      <c r="H1005" s="11"/>
      <c r="I1005" s="10" t="s">
        <v>1120</v>
      </c>
      <c r="J1005" s="6" t="s">
        <v>1121</v>
      </c>
      <c r="K1005" s="12">
        <v>46121.439722222225</v>
      </c>
      <c r="L1005" s="6" t="str" cm="1">
        <f t="array" ref="L1005">LOOKUP(2^15,SEARCH(Tabela2[Palavras-Chave],Boletim4[[#This Row],[Objeto]],1),Tabela2[Palavras-Chave])</f>
        <v>TANQUE</v>
      </c>
    </row>
    <row r="1006" spans="1:12" ht="72" hidden="1" x14ac:dyDescent="0.3">
      <c r="A1006" s="5">
        <v>18755507</v>
      </c>
      <c r="B1006" s="6" t="s">
        <v>74</v>
      </c>
      <c r="C1006" s="6" t="s">
        <v>83</v>
      </c>
      <c r="D1006" s="8" t="s">
        <v>82</v>
      </c>
      <c r="E1006" s="6" t="s">
        <v>1122</v>
      </c>
      <c r="F1006" s="6" t="s">
        <v>51</v>
      </c>
      <c r="G1006" s="11" t="s">
        <v>56</v>
      </c>
      <c r="H1006" s="11"/>
      <c r="I1006" s="10" t="s">
        <v>1123</v>
      </c>
      <c r="J1006" s="6" t="s">
        <v>1124</v>
      </c>
      <c r="K1006" s="12">
        <v>46121.440300925926</v>
      </c>
      <c r="L1006" s="6" t="e" cm="1">
        <f t="array" ref="L1006">LOOKUP(2^15,SEARCH(Tabela2[Palavras-Chave],Boletim4[[#This Row],[Objeto]],1),Tabela2[Palavras-Chave])</f>
        <v>#N/A</v>
      </c>
    </row>
    <row r="1007" spans="1:12" ht="72" hidden="1" x14ac:dyDescent="0.3">
      <c r="A1007" s="5">
        <v>18772099</v>
      </c>
      <c r="B1007" s="6" t="s">
        <v>74</v>
      </c>
      <c r="C1007" s="6" t="s">
        <v>83</v>
      </c>
      <c r="D1007" s="8" t="s">
        <v>82</v>
      </c>
      <c r="E1007" s="6" t="s">
        <v>960</v>
      </c>
      <c r="F1007" s="6" t="s">
        <v>51</v>
      </c>
      <c r="G1007" s="11" t="s">
        <v>56</v>
      </c>
      <c r="H1007" s="11"/>
      <c r="I1007" s="10" t="s">
        <v>961</v>
      </c>
      <c r="J1007" s="6" t="s">
        <v>962</v>
      </c>
      <c r="K1007" s="12">
        <v>46121.440347222226</v>
      </c>
      <c r="L1007" s="6" t="e" cm="1">
        <f t="array" ref="L1007">LOOKUP(2^15,SEARCH(Tabela2[Palavras-Chave],Boletim4[[#This Row],[Objeto]],1),Tabela2[Palavras-Chave])</f>
        <v>#N/A</v>
      </c>
    </row>
    <row r="1008" spans="1:12" ht="72" hidden="1" x14ac:dyDescent="0.3">
      <c r="A1008" s="5">
        <v>18775139</v>
      </c>
      <c r="B1008" s="6" t="s">
        <v>74</v>
      </c>
      <c r="C1008" s="6" t="s">
        <v>83</v>
      </c>
      <c r="D1008" s="8" t="s">
        <v>82</v>
      </c>
      <c r="E1008" s="6" t="s">
        <v>1125</v>
      </c>
      <c r="F1008" s="6" t="s">
        <v>51</v>
      </c>
      <c r="G1008" s="11" t="s">
        <v>56</v>
      </c>
      <c r="H1008" s="11"/>
      <c r="I1008" s="10" t="s">
        <v>1126</v>
      </c>
      <c r="J1008" s="6" t="s">
        <v>1127</v>
      </c>
      <c r="K1008" s="12">
        <v>46121.440347222226</v>
      </c>
      <c r="L1008" s="6" t="e" cm="1">
        <f t="array" ref="L1008">LOOKUP(2^15,SEARCH(Tabela2[Palavras-Chave],Boletim4[[#This Row],[Objeto]],1),Tabela2[Palavras-Chave])</f>
        <v>#N/A</v>
      </c>
    </row>
    <row r="1009" spans="1:12" ht="72" hidden="1" x14ac:dyDescent="0.3">
      <c r="A1009" s="5">
        <v>18751075</v>
      </c>
      <c r="B1009" s="6" t="s">
        <v>74</v>
      </c>
      <c r="C1009" s="6" t="s">
        <v>83</v>
      </c>
      <c r="D1009" s="8" t="s">
        <v>82</v>
      </c>
      <c r="E1009" s="6" t="s">
        <v>963</v>
      </c>
      <c r="F1009" s="6" t="s">
        <v>51</v>
      </c>
      <c r="G1009" s="11" t="s">
        <v>56</v>
      </c>
      <c r="H1009" s="11"/>
      <c r="I1009" s="10" t="s">
        <v>964</v>
      </c>
      <c r="J1009" s="6" t="s">
        <v>965</v>
      </c>
      <c r="K1009" s="12">
        <v>46121.442395833335</v>
      </c>
      <c r="L1009" s="6" t="e" cm="1">
        <f t="array" ref="L1009">LOOKUP(2^15,SEARCH(Tabela2[Palavras-Chave],Boletim4[[#This Row],[Objeto]],1),Tabela2[Palavras-Chave])</f>
        <v>#N/A</v>
      </c>
    </row>
    <row r="1010" spans="1:12" ht="72" hidden="1" x14ac:dyDescent="0.3">
      <c r="A1010" s="5">
        <v>18760223</v>
      </c>
      <c r="B1010" s="6" t="s">
        <v>74</v>
      </c>
      <c r="C1010" s="6" t="s">
        <v>83</v>
      </c>
      <c r="D1010" s="8" t="s">
        <v>82</v>
      </c>
      <c r="E1010" s="6" t="s">
        <v>1136</v>
      </c>
      <c r="F1010" s="6" t="s">
        <v>51</v>
      </c>
      <c r="G1010" s="11" t="s">
        <v>56</v>
      </c>
      <c r="H1010" s="11"/>
      <c r="I1010" s="10" t="s">
        <v>1137</v>
      </c>
      <c r="J1010" s="6" t="s">
        <v>1138</v>
      </c>
      <c r="K1010" s="12">
        <v>46121.442395833335</v>
      </c>
      <c r="L1010" s="6" t="e" cm="1">
        <f t="array" ref="L1010">LOOKUP(2^15,SEARCH(Tabela2[Palavras-Chave],Boletim4[[#This Row],[Objeto]],1),Tabela2[Palavras-Chave])</f>
        <v>#N/A</v>
      </c>
    </row>
    <row r="1011" spans="1:12" ht="100.8" hidden="1" x14ac:dyDescent="0.3">
      <c r="A1011" s="5">
        <v>18806695</v>
      </c>
      <c r="B1011" s="6" t="s">
        <v>1236</v>
      </c>
      <c r="C1011" s="6" t="s">
        <v>1237</v>
      </c>
      <c r="D1011" s="8" t="s">
        <v>82</v>
      </c>
      <c r="E1011" s="6" t="s">
        <v>351</v>
      </c>
      <c r="F1011" s="6" t="s">
        <v>51</v>
      </c>
      <c r="G1011" s="11">
        <v>46128.375</v>
      </c>
      <c r="H1011" s="11"/>
      <c r="I1011" s="10" t="s">
        <v>1238</v>
      </c>
      <c r="J1011" s="6" t="s">
        <v>1239</v>
      </c>
      <c r="K1011" s="12">
        <v>46121.442800925928</v>
      </c>
      <c r="L1011" s="6" t="e" cm="1">
        <f t="array" ref="L1011">LOOKUP(2^15,SEARCH(Tabela2[Palavras-Chave],Boletim4[[#This Row],[Objeto]],1),Tabela2[Palavras-Chave])</f>
        <v>#N/A</v>
      </c>
    </row>
    <row r="1012" spans="1:12" ht="100.8" hidden="1" x14ac:dyDescent="0.3">
      <c r="A1012" s="5">
        <v>18806585</v>
      </c>
      <c r="B1012" s="6" t="s">
        <v>1240</v>
      </c>
      <c r="C1012" s="6" t="s">
        <v>164</v>
      </c>
      <c r="D1012" s="8" t="s">
        <v>82</v>
      </c>
      <c r="E1012" s="6" t="s">
        <v>1241</v>
      </c>
      <c r="F1012" s="6" t="s">
        <v>51</v>
      </c>
      <c r="G1012" s="11">
        <v>46127.333333333336</v>
      </c>
      <c r="H1012" s="11"/>
      <c r="I1012" s="10" t="s">
        <v>1242</v>
      </c>
      <c r="J1012" s="6" t="s">
        <v>1243</v>
      </c>
      <c r="K1012" s="12">
        <v>46121.448206018518</v>
      </c>
      <c r="L1012" s="6" t="e" cm="1">
        <f t="array" ref="L1012">LOOKUP(2^15,SEARCH(Tabela2[Palavras-Chave],Boletim4[[#This Row],[Objeto]],1),Tabela2[Palavras-Chave])</f>
        <v>#N/A</v>
      </c>
    </row>
    <row r="1013" spans="1:12" ht="100.8" hidden="1" x14ac:dyDescent="0.3">
      <c r="A1013" s="5">
        <v>18806633</v>
      </c>
      <c r="B1013" s="6" t="s">
        <v>1244</v>
      </c>
      <c r="C1013" s="6" t="s">
        <v>1245</v>
      </c>
      <c r="D1013" s="8" t="s">
        <v>82</v>
      </c>
      <c r="E1013" s="6" t="s">
        <v>1139</v>
      </c>
      <c r="F1013" s="6" t="s">
        <v>51</v>
      </c>
      <c r="G1013" s="11">
        <v>46126.333333333336</v>
      </c>
      <c r="H1013" s="11"/>
      <c r="I1013" s="10" t="s">
        <v>1246</v>
      </c>
      <c r="J1013" s="6" t="s">
        <v>1247</v>
      </c>
      <c r="K1013" s="12">
        <v>46121.45107638889</v>
      </c>
      <c r="L1013" s="6" t="e" cm="1">
        <f t="array" ref="L1013">LOOKUP(2^15,SEARCH(Tabela2[Palavras-Chave],Boletim4[[#This Row],[Objeto]],1),Tabela2[Palavras-Chave])</f>
        <v>#N/A</v>
      </c>
    </row>
    <row r="1014" spans="1:12" ht="115.2" hidden="1" x14ac:dyDescent="0.3">
      <c r="A1014" s="5">
        <v>18806759</v>
      </c>
      <c r="B1014" s="6" t="s">
        <v>380</v>
      </c>
      <c r="C1014" s="6" t="s">
        <v>83</v>
      </c>
      <c r="D1014" s="8" t="s">
        <v>82</v>
      </c>
      <c r="E1014" s="6" t="s">
        <v>1248</v>
      </c>
      <c r="F1014" s="6" t="s">
        <v>51</v>
      </c>
      <c r="G1014" s="11">
        <v>46139.333333333336</v>
      </c>
      <c r="H1014" s="11"/>
      <c r="I1014" s="10" t="s">
        <v>1249</v>
      </c>
      <c r="J1014" s="6" t="s">
        <v>1250</v>
      </c>
      <c r="K1014" s="12">
        <v>46121.452766203707</v>
      </c>
      <c r="L1014" s="6" t="e" cm="1">
        <f t="array" ref="L1014">LOOKUP(2^15,SEARCH(Tabela2[Palavras-Chave],Boletim4[[#This Row],[Objeto]],1),Tabela2[Palavras-Chave])</f>
        <v>#N/A</v>
      </c>
    </row>
    <row r="1015" spans="1:12" ht="72" hidden="1" x14ac:dyDescent="0.3">
      <c r="A1015" s="5">
        <v>18807919</v>
      </c>
      <c r="B1015" s="6" t="s">
        <v>180</v>
      </c>
      <c r="C1015" s="6" t="s">
        <v>181</v>
      </c>
      <c r="D1015" s="8" t="s">
        <v>82</v>
      </c>
      <c r="E1015" s="6" t="s">
        <v>1251</v>
      </c>
      <c r="F1015" s="6" t="s">
        <v>51</v>
      </c>
      <c r="G1015" s="11" t="s">
        <v>56</v>
      </c>
      <c r="H1015" s="11"/>
      <c r="I1015" s="10" t="s">
        <v>1252</v>
      </c>
      <c r="J1015" s="6" t="s">
        <v>1253</v>
      </c>
      <c r="K1015" s="12">
        <v>46121.496516203704</v>
      </c>
      <c r="L1015" s="6" t="e" cm="1">
        <f t="array" ref="L1015">LOOKUP(2^15,SEARCH(Tabela2[Palavras-Chave],Boletim4[[#This Row],[Objeto]],1),Tabela2[Palavras-Chave])</f>
        <v>#N/A</v>
      </c>
    </row>
    <row r="1016" spans="1:12" ht="273.60000000000002" hidden="1" x14ac:dyDescent="0.3">
      <c r="A1016" s="5">
        <v>18807904</v>
      </c>
      <c r="B1016" s="6" t="s">
        <v>612</v>
      </c>
      <c r="C1016" s="6" t="s">
        <v>613</v>
      </c>
      <c r="D1016" s="8" t="s">
        <v>82</v>
      </c>
      <c r="E1016" s="6" t="s">
        <v>2944</v>
      </c>
      <c r="F1016" s="6" t="s">
        <v>51</v>
      </c>
      <c r="G1016" s="11" t="s">
        <v>56</v>
      </c>
      <c r="H1016" s="11"/>
      <c r="I1016" s="10" t="s">
        <v>2945</v>
      </c>
      <c r="J1016" s="6" t="s">
        <v>2946</v>
      </c>
      <c r="K1016" s="12">
        <v>46121.526689814818</v>
      </c>
      <c r="L1016" s="6" t="e" cm="1">
        <f t="array" ref="L1016">LOOKUP(2^15,SEARCH(Tabela2[Palavras-Chave],Boletim4[[#This Row],[Objeto]],1),Tabela2[Palavras-Chave])</f>
        <v>#N/A</v>
      </c>
    </row>
    <row r="1017" spans="1:12" ht="28.8" hidden="1" x14ac:dyDescent="0.3">
      <c r="A1017" s="5">
        <v>18808454</v>
      </c>
      <c r="B1017" s="6" t="s">
        <v>206</v>
      </c>
      <c r="C1017" s="6" t="s">
        <v>154</v>
      </c>
      <c r="D1017" s="8" t="s">
        <v>82</v>
      </c>
      <c r="E1017" s="6" t="s">
        <v>2947</v>
      </c>
      <c r="F1017" s="6" t="s">
        <v>51</v>
      </c>
      <c r="G1017" s="11" t="s">
        <v>56</v>
      </c>
      <c r="H1017" s="11"/>
      <c r="I1017" s="10" t="s">
        <v>2948</v>
      </c>
      <c r="J1017" s="6" t="s">
        <v>207</v>
      </c>
      <c r="K1017" s="12">
        <v>46121.531076388892</v>
      </c>
      <c r="L1017" s="6" t="e" cm="1">
        <f t="array" ref="L1017">LOOKUP(2^15,SEARCH(Tabela2[Palavras-Chave],Boletim4[[#This Row],[Objeto]],1),Tabela2[Palavras-Chave])</f>
        <v>#N/A</v>
      </c>
    </row>
    <row r="1018" spans="1:12" ht="28.8" hidden="1" x14ac:dyDescent="0.3">
      <c r="A1018" s="5">
        <v>18808447</v>
      </c>
      <c r="B1018" s="6" t="s">
        <v>206</v>
      </c>
      <c r="C1018" s="6" t="s">
        <v>154</v>
      </c>
      <c r="D1018" s="8" t="s">
        <v>82</v>
      </c>
      <c r="E1018" s="6" t="s">
        <v>2949</v>
      </c>
      <c r="F1018" s="6" t="s">
        <v>51</v>
      </c>
      <c r="G1018" s="11" t="s">
        <v>56</v>
      </c>
      <c r="H1018" s="11"/>
      <c r="I1018" s="10" t="s">
        <v>2950</v>
      </c>
      <c r="J1018" s="6" t="s">
        <v>207</v>
      </c>
      <c r="K1018" s="12">
        <v>46121.531284722223</v>
      </c>
      <c r="L1018" s="6" t="e" cm="1">
        <f t="array" ref="L1018">LOOKUP(2^15,SEARCH(Tabela2[Palavras-Chave],Boletim4[[#This Row],[Objeto]],1),Tabela2[Palavras-Chave])</f>
        <v>#N/A</v>
      </c>
    </row>
    <row r="1019" spans="1:12" ht="244.8" x14ac:dyDescent="0.3">
      <c r="A1019" s="5">
        <v>18806740</v>
      </c>
      <c r="B1019" s="6" t="s">
        <v>2951</v>
      </c>
      <c r="C1019" s="6" t="s">
        <v>83</v>
      </c>
      <c r="D1019" s="8" t="s">
        <v>82</v>
      </c>
      <c r="E1019" s="6" t="s">
        <v>608</v>
      </c>
      <c r="F1019" s="6" t="s">
        <v>51</v>
      </c>
      <c r="G1019" s="11">
        <v>46125.374305555553</v>
      </c>
      <c r="H1019" s="11"/>
      <c r="I1019" s="10" t="s">
        <v>2952</v>
      </c>
      <c r="J1019" s="6" t="s">
        <v>2953</v>
      </c>
      <c r="K1019" s="12">
        <v>46121.581435185188</v>
      </c>
      <c r="L1019" s="6" t="str" cm="1">
        <f t="array" ref="L1019">LOOKUP(2^15,SEARCH(Tabela2[Palavras-Chave],Boletim4[[#This Row],[Objeto]],1),Tabela2[Palavras-Chave])</f>
        <v>INOX</v>
      </c>
    </row>
    <row r="1020" spans="1:12" ht="100.8" hidden="1" x14ac:dyDescent="0.3">
      <c r="A1020" s="5">
        <v>18705632</v>
      </c>
      <c r="B1020" s="6" t="s">
        <v>180</v>
      </c>
      <c r="C1020" s="6" t="s">
        <v>181</v>
      </c>
      <c r="D1020" s="8" t="s">
        <v>82</v>
      </c>
      <c r="E1020" s="6" t="s">
        <v>1254</v>
      </c>
      <c r="F1020" s="6" t="s">
        <v>51</v>
      </c>
      <c r="G1020" s="11" t="s">
        <v>56</v>
      </c>
      <c r="H1020" s="11"/>
      <c r="I1020" s="10" t="s">
        <v>1255</v>
      </c>
      <c r="J1020" s="6" t="s">
        <v>1256</v>
      </c>
      <c r="K1020" s="12">
        <v>46121.582708333335</v>
      </c>
      <c r="L1020" s="6" t="e" cm="1">
        <f t="array" ref="L1020">LOOKUP(2^15,SEARCH(Tabela2[Palavras-Chave],Boletim4[[#This Row],[Objeto]],1),Tabela2[Palavras-Chave])</f>
        <v>#N/A</v>
      </c>
    </row>
    <row r="1021" spans="1:12" ht="100.8" hidden="1" x14ac:dyDescent="0.3">
      <c r="A1021" s="5">
        <v>18784545</v>
      </c>
      <c r="B1021" s="6" t="s">
        <v>180</v>
      </c>
      <c r="C1021" s="6" t="s">
        <v>181</v>
      </c>
      <c r="D1021" s="8" t="s">
        <v>82</v>
      </c>
      <c r="E1021" s="6" t="s">
        <v>1257</v>
      </c>
      <c r="F1021" s="6" t="s">
        <v>51</v>
      </c>
      <c r="G1021" s="11" t="s">
        <v>56</v>
      </c>
      <c r="H1021" s="11"/>
      <c r="I1021" s="10" t="s">
        <v>1258</v>
      </c>
      <c r="J1021" s="6" t="s">
        <v>1259</v>
      </c>
      <c r="K1021" s="12">
        <v>46121.582928240743</v>
      </c>
      <c r="L1021" s="6" t="e" cm="1">
        <f t="array" ref="L1021">LOOKUP(2^15,SEARCH(Tabela2[Palavras-Chave],Boletim4[[#This Row],[Objeto]],1),Tabela2[Palavras-Chave])</f>
        <v>#N/A</v>
      </c>
    </row>
    <row r="1022" spans="1:12" ht="28.8" hidden="1" x14ac:dyDescent="0.3">
      <c r="A1022" s="5">
        <v>18801521</v>
      </c>
      <c r="B1022" s="6" t="s">
        <v>365</v>
      </c>
      <c r="C1022" s="6" t="s">
        <v>366</v>
      </c>
      <c r="D1022" s="8" t="s">
        <v>82</v>
      </c>
      <c r="E1022" s="6" t="s">
        <v>314</v>
      </c>
      <c r="F1022" s="6" t="s">
        <v>51</v>
      </c>
      <c r="G1022" s="11">
        <v>46122.708333333336</v>
      </c>
      <c r="H1022" s="11"/>
      <c r="I1022" s="10" t="s">
        <v>367</v>
      </c>
      <c r="J1022" s="6" t="s">
        <v>368</v>
      </c>
      <c r="K1022" s="12">
        <v>46121.586921296293</v>
      </c>
      <c r="L1022" s="6" t="e" cm="1">
        <f t="array" ref="L1022">LOOKUP(2^15,SEARCH(Tabela2[Palavras-Chave],Boletim4[[#This Row],[Objeto]],1),Tabela2[Palavras-Chave])</f>
        <v>#N/A</v>
      </c>
    </row>
    <row r="1023" spans="1:12" ht="57.6" x14ac:dyDescent="0.3">
      <c r="A1023" s="5">
        <v>18801515</v>
      </c>
      <c r="B1023" s="6" t="s">
        <v>365</v>
      </c>
      <c r="C1023" s="6" t="s">
        <v>366</v>
      </c>
      <c r="D1023" s="8" t="s">
        <v>82</v>
      </c>
      <c r="E1023" s="6" t="s">
        <v>371</v>
      </c>
      <c r="F1023" s="6" t="s">
        <v>51</v>
      </c>
      <c r="G1023" s="11">
        <v>46122.725694444445</v>
      </c>
      <c r="H1023" s="11"/>
      <c r="I1023" s="10" t="s">
        <v>372</v>
      </c>
      <c r="J1023" s="6" t="s">
        <v>373</v>
      </c>
      <c r="K1023" s="12">
        <v>46121.58693287037</v>
      </c>
      <c r="L1023" s="6" t="str" cm="1">
        <f t="array" ref="L1023">LOOKUP(2^15,SEARCH(Tabela2[Palavras-Chave],Boletim4[[#This Row],[Objeto]],1),Tabela2[Palavras-Chave])</f>
        <v>RESERVAT</v>
      </c>
    </row>
    <row r="1024" spans="1:12" ht="115.2" hidden="1" x14ac:dyDescent="0.3">
      <c r="A1024" s="5">
        <v>18809559</v>
      </c>
      <c r="B1024" s="6" t="s">
        <v>217</v>
      </c>
      <c r="C1024" s="6" t="s">
        <v>216</v>
      </c>
      <c r="D1024" s="8" t="s">
        <v>82</v>
      </c>
      <c r="E1024" s="6" t="s">
        <v>1260</v>
      </c>
      <c r="F1024" s="6" t="s">
        <v>51</v>
      </c>
      <c r="G1024" s="11">
        <v>46126.332638888889</v>
      </c>
      <c r="H1024" s="11"/>
      <c r="I1024" s="10" t="s">
        <v>1261</v>
      </c>
      <c r="J1024" s="6" t="s">
        <v>1262</v>
      </c>
      <c r="K1024" s="12">
        <v>46121.619780092595</v>
      </c>
      <c r="L1024" s="6" t="e" cm="1">
        <f t="array" ref="L1024">LOOKUP(2^15,SEARCH(Tabela2[Palavras-Chave],Boletim4[[#This Row],[Objeto]],1),Tabela2[Palavras-Chave])</f>
        <v>#N/A</v>
      </c>
    </row>
    <row r="1025" spans="1:12" ht="86.4" hidden="1" x14ac:dyDescent="0.3">
      <c r="A1025" s="5">
        <v>18806690</v>
      </c>
      <c r="B1025" s="6" t="s">
        <v>1263</v>
      </c>
      <c r="C1025" s="6" t="s">
        <v>280</v>
      </c>
      <c r="D1025" s="8" t="s">
        <v>82</v>
      </c>
      <c r="E1025" s="6" t="s">
        <v>228</v>
      </c>
      <c r="F1025" s="6" t="s">
        <v>51</v>
      </c>
      <c r="G1025" s="11">
        <v>46125.632638888892</v>
      </c>
      <c r="H1025" s="11"/>
      <c r="I1025" s="10" t="s">
        <v>1264</v>
      </c>
      <c r="J1025" s="6" t="s">
        <v>1265</v>
      </c>
      <c r="K1025" s="12">
        <v>46121.623888888891</v>
      </c>
      <c r="L1025" s="6" t="e" cm="1">
        <f t="array" ref="L1025">LOOKUP(2^15,SEARCH(Tabela2[Palavras-Chave],Boletim4[[#This Row],[Objeto]],1),Tabela2[Palavras-Chave])</f>
        <v>#N/A</v>
      </c>
    </row>
    <row r="1026" spans="1:12" ht="201.6" hidden="1" x14ac:dyDescent="0.3">
      <c r="A1026" s="5">
        <v>18807266</v>
      </c>
      <c r="B1026" s="6" t="s">
        <v>1266</v>
      </c>
      <c r="C1026" s="6" t="s">
        <v>1267</v>
      </c>
      <c r="D1026" s="8" t="s">
        <v>82</v>
      </c>
      <c r="E1026" s="6" t="s">
        <v>185</v>
      </c>
      <c r="F1026" s="6" t="s">
        <v>51</v>
      </c>
      <c r="G1026" s="11">
        <v>46121.875</v>
      </c>
      <c r="H1026" s="11"/>
      <c r="I1026" s="10" t="s">
        <v>1268</v>
      </c>
      <c r="J1026" s="6" t="s">
        <v>1269</v>
      </c>
      <c r="K1026" s="12">
        <v>46121.645254629628</v>
      </c>
      <c r="L1026" s="6" t="e" cm="1">
        <f t="array" ref="L1026">LOOKUP(2^15,SEARCH(Tabela2[Palavras-Chave],Boletim4[[#This Row],[Objeto]],1),Tabela2[Palavras-Chave])</f>
        <v>#N/A</v>
      </c>
    </row>
    <row r="1027" spans="1:12" ht="86.4" hidden="1" x14ac:dyDescent="0.3">
      <c r="A1027" s="5">
        <v>18809064</v>
      </c>
      <c r="B1027" s="6" t="s">
        <v>377</v>
      </c>
      <c r="C1027" s="6" t="s">
        <v>378</v>
      </c>
      <c r="D1027" s="8" t="s">
        <v>82</v>
      </c>
      <c r="E1027" s="6" t="s">
        <v>1270</v>
      </c>
      <c r="F1027" s="6" t="s">
        <v>51</v>
      </c>
      <c r="G1027" s="11">
        <v>46126.583333333336</v>
      </c>
      <c r="H1027" s="11"/>
      <c r="I1027" s="10" t="s">
        <v>1271</v>
      </c>
      <c r="J1027" s="6" t="s">
        <v>1272</v>
      </c>
      <c r="K1027" s="12">
        <v>46121.701215277775</v>
      </c>
      <c r="L1027" s="6" t="e" cm="1">
        <f t="array" ref="L1027">LOOKUP(2^15,SEARCH(Tabela2[Palavras-Chave],Boletim4[[#This Row],[Objeto]],1),Tabela2[Palavras-Chave])</f>
        <v>#N/A</v>
      </c>
    </row>
    <row r="1028" spans="1:12" ht="100.8" hidden="1" x14ac:dyDescent="0.3">
      <c r="A1028" s="5">
        <v>18806785</v>
      </c>
      <c r="B1028" s="6" t="s">
        <v>1273</v>
      </c>
      <c r="C1028" s="6" t="s">
        <v>83</v>
      </c>
      <c r="D1028" s="8" t="s">
        <v>82</v>
      </c>
      <c r="E1028" s="6" t="s">
        <v>192</v>
      </c>
      <c r="F1028" s="6" t="s">
        <v>51</v>
      </c>
      <c r="G1028" s="11">
        <v>46127.333333333336</v>
      </c>
      <c r="H1028" s="11"/>
      <c r="I1028" s="10" t="s">
        <v>1274</v>
      </c>
      <c r="J1028" s="6" t="s">
        <v>1275</v>
      </c>
      <c r="K1028" s="12">
        <v>46121.701261574075</v>
      </c>
      <c r="L1028" s="6" t="e" cm="1">
        <f t="array" ref="L1028">LOOKUP(2^15,SEARCH(Tabela2[Palavras-Chave],Boletim4[[#This Row],[Objeto]],1),Tabela2[Palavras-Chave])</f>
        <v>#N/A</v>
      </c>
    </row>
    <row r="1029" spans="1:12" ht="57.6" hidden="1" x14ac:dyDescent="0.3">
      <c r="A1029" s="5">
        <v>18807901</v>
      </c>
      <c r="B1029" s="6" t="s">
        <v>1276</v>
      </c>
      <c r="C1029" s="6" t="s">
        <v>1277</v>
      </c>
      <c r="D1029" s="8" t="s">
        <v>82</v>
      </c>
      <c r="E1029" s="6" t="s">
        <v>370</v>
      </c>
      <c r="F1029" s="6" t="s">
        <v>51</v>
      </c>
      <c r="G1029" s="11">
        <v>46125.333333333336</v>
      </c>
      <c r="H1029" s="11"/>
      <c r="I1029" s="10" t="s">
        <v>1278</v>
      </c>
      <c r="J1029" s="6" t="s">
        <v>1279</v>
      </c>
      <c r="K1029" s="12">
        <v>46121.706550925926</v>
      </c>
      <c r="L1029" s="6" t="e" cm="1">
        <f t="array" ref="L1029">LOOKUP(2^15,SEARCH(Tabela2[Palavras-Chave],Boletim4[[#This Row],[Objeto]],1),Tabela2[Palavras-Chave])</f>
        <v>#N/A</v>
      </c>
    </row>
    <row r="1030" spans="1:12" ht="43.2" hidden="1" x14ac:dyDescent="0.3">
      <c r="A1030" s="5">
        <v>18809901</v>
      </c>
      <c r="B1030" s="6" t="s">
        <v>365</v>
      </c>
      <c r="C1030" s="6" t="s">
        <v>366</v>
      </c>
      <c r="D1030" s="8" t="s">
        <v>82</v>
      </c>
      <c r="E1030" s="6" t="s">
        <v>1280</v>
      </c>
      <c r="F1030" s="6" t="s">
        <v>51</v>
      </c>
      <c r="G1030" s="11">
        <v>46126.708333333336</v>
      </c>
      <c r="H1030" s="11"/>
      <c r="I1030" s="10" t="s">
        <v>1281</v>
      </c>
      <c r="J1030" s="6" t="s">
        <v>1282</v>
      </c>
      <c r="K1030" s="12">
        <v>46121.709236111114</v>
      </c>
      <c r="L1030" s="6" t="str" cm="1">
        <f t="array" ref="L1030">LOOKUP(2^15,SEARCH(Tabela2[Palavras-Chave],Boletim4[[#This Row],[Objeto]],1),Tabela2[Palavras-Chave])</f>
        <v>ACOPLAMENTO</v>
      </c>
    </row>
    <row r="1031" spans="1:12" ht="100.8" hidden="1" x14ac:dyDescent="0.3">
      <c r="A1031" s="5">
        <v>18806663</v>
      </c>
      <c r="B1031" s="6" t="s">
        <v>1283</v>
      </c>
      <c r="C1031" s="6" t="s">
        <v>382</v>
      </c>
      <c r="D1031" s="8" t="s">
        <v>82</v>
      </c>
      <c r="E1031" s="6" t="s">
        <v>1284</v>
      </c>
      <c r="F1031" s="6" t="s">
        <v>51</v>
      </c>
      <c r="G1031" s="11">
        <v>46127.374305555553</v>
      </c>
      <c r="H1031" s="11"/>
      <c r="I1031" s="10" t="s">
        <v>1285</v>
      </c>
      <c r="J1031" s="6" t="s">
        <v>1286</v>
      </c>
      <c r="K1031" s="12">
        <v>46121.71534722222</v>
      </c>
      <c r="L1031" s="6" t="e" cm="1">
        <f t="array" ref="L1031">LOOKUP(2^15,SEARCH(Tabela2[Palavras-Chave],Boletim4[[#This Row],[Objeto]],1),Tabela2[Palavras-Chave])</f>
        <v>#N/A</v>
      </c>
    </row>
    <row r="1032" spans="1:12" ht="100.8" hidden="1" x14ac:dyDescent="0.3">
      <c r="A1032" s="5">
        <v>18806711</v>
      </c>
      <c r="B1032" s="6" t="s">
        <v>2954</v>
      </c>
      <c r="C1032" s="6" t="s">
        <v>369</v>
      </c>
      <c r="D1032" s="8" t="s">
        <v>82</v>
      </c>
      <c r="E1032" s="6" t="s">
        <v>239</v>
      </c>
      <c r="F1032" s="6" t="s">
        <v>51</v>
      </c>
      <c r="G1032" s="11">
        <v>46126.333333333336</v>
      </c>
      <c r="H1032" s="11"/>
      <c r="I1032" s="10" t="s">
        <v>2955</v>
      </c>
      <c r="J1032" s="6" t="s">
        <v>2956</v>
      </c>
      <c r="K1032" s="12">
        <v>46121.721041666664</v>
      </c>
      <c r="L1032" s="6" t="e" cm="1">
        <f t="array" ref="L1032">LOOKUP(2^15,SEARCH(Tabela2[Palavras-Chave],Boletim4[[#This Row],[Objeto]],1),Tabela2[Palavras-Chave])</f>
        <v>#N/A</v>
      </c>
    </row>
    <row r="1033" spans="1:12" ht="115.2" hidden="1" x14ac:dyDescent="0.3">
      <c r="A1033" s="5">
        <v>18793036</v>
      </c>
      <c r="B1033" s="6" t="s">
        <v>1287</v>
      </c>
      <c r="C1033" s="6" t="s">
        <v>375</v>
      </c>
      <c r="D1033" s="8" t="s">
        <v>82</v>
      </c>
      <c r="E1033" s="6" t="s">
        <v>208</v>
      </c>
      <c r="F1033" s="6" t="s">
        <v>51</v>
      </c>
      <c r="G1033" s="11">
        <v>46125.375</v>
      </c>
      <c r="H1033" s="11"/>
      <c r="I1033" s="10" t="s">
        <v>1288</v>
      </c>
      <c r="J1033" s="6" t="s">
        <v>1289</v>
      </c>
      <c r="K1033" s="12">
        <v>46121.741759259261</v>
      </c>
      <c r="L1033" s="6" t="e" cm="1">
        <f t="array" ref="L1033">LOOKUP(2^15,SEARCH(Tabela2[Palavras-Chave],Boletim4[[#This Row],[Objeto]],1),Tabela2[Palavras-Chave])</f>
        <v>#N/A</v>
      </c>
    </row>
    <row r="1034" spans="1:12" ht="57.6" hidden="1" x14ac:dyDescent="0.3">
      <c r="A1034" s="5">
        <v>18810666</v>
      </c>
      <c r="B1034" s="6" t="s">
        <v>611</v>
      </c>
      <c r="C1034" s="6" t="s">
        <v>226</v>
      </c>
      <c r="D1034" s="8" t="s">
        <v>82</v>
      </c>
      <c r="E1034" s="6" t="s">
        <v>116</v>
      </c>
      <c r="F1034" s="6" t="s">
        <v>51</v>
      </c>
      <c r="G1034" s="11">
        <v>46121</v>
      </c>
      <c r="H1034" s="11"/>
      <c r="I1034" s="10" t="s">
        <v>2957</v>
      </c>
      <c r="J1034" s="6" t="s">
        <v>2958</v>
      </c>
      <c r="K1034" s="12">
        <v>46121.742731481485</v>
      </c>
      <c r="L1034" s="6" t="e" cm="1">
        <f t="array" ref="L1034">LOOKUP(2^15,SEARCH(Tabela2[Palavras-Chave],Boletim4[[#This Row],[Objeto]],1),Tabela2[Palavras-Chave])</f>
        <v>#N/A</v>
      </c>
    </row>
    <row r="1035" spans="1:12" ht="273.60000000000002" hidden="1" x14ac:dyDescent="0.3">
      <c r="A1035" s="5">
        <v>18808010</v>
      </c>
      <c r="B1035" s="6" t="s">
        <v>1290</v>
      </c>
      <c r="C1035" s="6" t="s">
        <v>1291</v>
      </c>
      <c r="D1035" s="8" t="s">
        <v>82</v>
      </c>
      <c r="E1035" s="6" t="s">
        <v>1292</v>
      </c>
      <c r="F1035" s="6" t="s">
        <v>51</v>
      </c>
      <c r="G1035" s="11" t="s">
        <v>56</v>
      </c>
      <c r="H1035" s="11"/>
      <c r="I1035" s="10" t="s">
        <v>1293</v>
      </c>
      <c r="J1035" s="6" t="s">
        <v>1294</v>
      </c>
      <c r="K1035" s="12">
        <v>46121.755439814813</v>
      </c>
      <c r="L1035" s="6" t="e" cm="1">
        <f t="array" ref="L1035">LOOKUP(2^15,SEARCH(Tabela2[Palavras-Chave],Boletim4[[#This Row],[Objeto]],1),Tabela2[Palavras-Chave])</f>
        <v>#N/A</v>
      </c>
    </row>
    <row r="1036" spans="1:12" ht="259.2" hidden="1" x14ac:dyDescent="0.3">
      <c r="A1036" s="5">
        <v>18807978</v>
      </c>
      <c r="B1036" s="6" t="s">
        <v>1290</v>
      </c>
      <c r="C1036" s="6" t="s">
        <v>1291</v>
      </c>
      <c r="D1036" s="8" t="s">
        <v>82</v>
      </c>
      <c r="E1036" s="6" t="s">
        <v>726</v>
      </c>
      <c r="F1036" s="6" t="s">
        <v>51</v>
      </c>
      <c r="G1036" s="11" t="s">
        <v>56</v>
      </c>
      <c r="H1036" s="11"/>
      <c r="I1036" s="10" t="s">
        <v>2959</v>
      </c>
      <c r="J1036" s="6" t="s">
        <v>2960</v>
      </c>
      <c r="K1036" s="12">
        <v>46121.777731481481</v>
      </c>
      <c r="L1036" s="6" t="e" cm="1">
        <f t="array" ref="L1036">LOOKUP(2^15,SEARCH(Tabela2[Palavras-Chave],Boletim4[[#This Row],[Objeto]],1),Tabela2[Palavras-Chave])</f>
        <v>#N/A</v>
      </c>
    </row>
    <row r="1037" spans="1:12" ht="100.8" hidden="1" x14ac:dyDescent="0.3">
      <c r="A1037" s="5">
        <v>18810783</v>
      </c>
      <c r="B1037" s="6" t="s">
        <v>1295</v>
      </c>
      <c r="C1037" s="6" t="s">
        <v>83</v>
      </c>
      <c r="D1037" s="8" t="s">
        <v>82</v>
      </c>
      <c r="E1037" s="6" t="s">
        <v>381</v>
      </c>
      <c r="F1037" s="6" t="s">
        <v>51</v>
      </c>
      <c r="G1037" s="11">
        <v>46125.333333333336</v>
      </c>
      <c r="H1037" s="11"/>
      <c r="I1037" s="10" t="s">
        <v>1296</v>
      </c>
      <c r="J1037" s="6" t="s">
        <v>1297</v>
      </c>
      <c r="K1037" s="12">
        <v>46121.782951388886</v>
      </c>
      <c r="L1037" s="6" t="e" cm="1">
        <f t="array" ref="L1037">LOOKUP(2^15,SEARCH(Tabela2[Palavras-Chave],Boletim4[[#This Row],[Objeto]],1),Tabela2[Palavras-Chave])</f>
        <v>#N/A</v>
      </c>
    </row>
    <row r="1038" spans="1:12" ht="144" hidden="1" x14ac:dyDescent="0.3">
      <c r="A1038" s="5">
        <v>18810846</v>
      </c>
      <c r="B1038" s="6" t="s">
        <v>1298</v>
      </c>
      <c r="C1038" s="6" t="s">
        <v>1299</v>
      </c>
      <c r="D1038" s="8" t="s">
        <v>82</v>
      </c>
      <c r="E1038" s="6" t="s">
        <v>1300</v>
      </c>
      <c r="F1038" s="6" t="s">
        <v>51</v>
      </c>
      <c r="G1038" s="11">
        <v>46126.333333333336</v>
      </c>
      <c r="H1038" s="11"/>
      <c r="I1038" s="10" t="s">
        <v>1301</v>
      </c>
      <c r="J1038" s="6" t="s">
        <v>1302</v>
      </c>
      <c r="K1038" s="12">
        <v>46121.783668981479</v>
      </c>
      <c r="L1038" s="6" t="e" cm="1">
        <f t="array" ref="L1038">LOOKUP(2^15,SEARCH(Tabela2[Palavras-Chave],Boletim4[[#This Row],[Objeto]],1),Tabela2[Palavras-Chave])</f>
        <v>#N/A</v>
      </c>
    </row>
    <row r="1039" spans="1:12" ht="100.8" hidden="1" x14ac:dyDescent="0.3">
      <c r="A1039" s="5">
        <v>18809281</v>
      </c>
      <c r="B1039" s="6" t="s">
        <v>1303</v>
      </c>
      <c r="C1039" s="6" t="s">
        <v>83</v>
      </c>
      <c r="D1039" s="8" t="s">
        <v>82</v>
      </c>
      <c r="E1039" s="6" t="s">
        <v>1304</v>
      </c>
      <c r="F1039" s="6" t="s">
        <v>51</v>
      </c>
      <c r="G1039" s="11">
        <v>46127.354166666664</v>
      </c>
      <c r="H1039" s="11"/>
      <c r="I1039" s="10" t="s">
        <v>1305</v>
      </c>
      <c r="J1039" s="6" t="s">
        <v>1306</v>
      </c>
      <c r="K1039" s="12">
        <v>46121.784016203703</v>
      </c>
      <c r="L1039" s="6" t="e" cm="1">
        <f t="array" ref="L1039">LOOKUP(2^15,SEARCH(Tabela2[Palavras-Chave],Boletim4[[#This Row],[Objeto]],1),Tabela2[Palavras-Chave])</f>
        <v>#N/A</v>
      </c>
    </row>
    <row r="1040" spans="1:12" ht="100.8" hidden="1" x14ac:dyDescent="0.3">
      <c r="A1040" s="5">
        <v>18809342</v>
      </c>
      <c r="B1040" s="6" t="s">
        <v>1307</v>
      </c>
      <c r="C1040" s="6" t="s">
        <v>1308</v>
      </c>
      <c r="D1040" s="8" t="s">
        <v>82</v>
      </c>
      <c r="E1040" s="6" t="s">
        <v>275</v>
      </c>
      <c r="F1040" s="6" t="s">
        <v>51</v>
      </c>
      <c r="G1040" s="11">
        <v>46127.333333333336</v>
      </c>
      <c r="H1040" s="11"/>
      <c r="I1040" s="10" t="s">
        <v>1309</v>
      </c>
      <c r="J1040" s="6" t="s">
        <v>1310</v>
      </c>
      <c r="K1040" s="12">
        <v>46121.790497685186</v>
      </c>
      <c r="L1040" s="6" t="e" cm="1">
        <f t="array" ref="L1040">LOOKUP(2^15,SEARCH(Tabela2[Palavras-Chave],Boletim4[[#This Row],[Objeto]],1),Tabela2[Palavras-Chave])</f>
        <v>#N/A</v>
      </c>
    </row>
    <row r="1041" spans="1:12" ht="273.60000000000002" hidden="1" x14ac:dyDescent="0.3">
      <c r="A1041" s="5">
        <v>18811328</v>
      </c>
      <c r="B1041" s="6" t="s">
        <v>1290</v>
      </c>
      <c r="C1041" s="6" t="s">
        <v>1291</v>
      </c>
      <c r="D1041" s="8" t="s">
        <v>82</v>
      </c>
      <c r="E1041" s="6" t="s">
        <v>1311</v>
      </c>
      <c r="F1041" s="6" t="s">
        <v>51</v>
      </c>
      <c r="G1041" s="11" t="s">
        <v>56</v>
      </c>
      <c r="H1041" s="11"/>
      <c r="I1041" s="10" t="s">
        <v>1312</v>
      </c>
      <c r="J1041" s="6" t="s">
        <v>1313</v>
      </c>
      <c r="K1041" s="12">
        <v>46121.838912037034</v>
      </c>
      <c r="L1041" s="6" t="e" cm="1">
        <f t="array" ref="L1041">LOOKUP(2^15,SEARCH(Tabela2[Palavras-Chave],Boletim4[[#This Row],[Objeto]],1),Tabela2[Palavras-Chave])</f>
        <v>#N/A</v>
      </c>
    </row>
    <row r="1042" spans="1:12" ht="273.60000000000002" hidden="1" x14ac:dyDescent="0.3">
      <c r="A1042" s="5">
        <v>18811340</v>
      </c>
      <c r="B1042" s="6" t="s">
        <v>1290</v>
      </c>
      <c r="C1042" s="6" t="s">
        <v>1291</v>
      </c>
      <c r="D1042" s="8" t="s">
        <v>82</v>
      </c>
      <c r="E1042" s="6" t="s">
        <v>281</v>
      </c>
      <c r="F1042" s="6" t="s">
        <v>51</v>
      </c>
      <c r="G1042" s="11" t="s">
        <v>56</v>
      </c>
      <c r="H1042" s="11"/>
      <c r="I1042" s="10" t="s">
        <v>1314</v>
      </c>
      <c r="J1042" s="6" t="s">
        <v>1315</v>
      </c>
      <c r="K1042" s="12">
        <v>46121.839629629627</v>
      </c>
      <c r="L1042" s="6" t="e" cm="1">
        <f t="array" ref="L1042">LOOKUP(2^15,SEARCH(Tabela2[Palavras-Chave],Boletim4[[#This Row],[Objeto]],1),Tabela2[Palavras-Chave])</f>
        <v>#N/A</v>
      </c>
    </row>
    <row r="1043" spans="1:12" ht="28.8" hidden="1" x14ac:dyDescent="0.3">
      <c r="A1043" s="5">
        <v>18811406</v>
      </c>
      <c r="B1043" s="6" t="s">
        <v>376</v>
      </c>
      <c r="C1043" s="6" t="s">
        <v>250</v>
      </c>
      <c r="D1043" s="8" t="s">
        <v>82</v>
      </c>
      <c r="E1043" s="6" t="s">
        <v>116</v>
      </c>
      <c r="F1043" s="6" t="s">
        <v>51</v>
      </c>
      <c r="G1043" s="11" t="s">
        <v>56</v>
      </c>
      <c r="H1043" s="11"/>
      <c r="I1043" s="10" t="s">
        <v>2961</v>
      </c>
      <c r="J1043" s="6" t="s">
        <v>2962</v>
      </c>
      <c r="K1043" s="12">
        <v>46121.849618055552</v>
      </c>
      <c r="L1043" s="6" t="e" cm="1">
        <f t="array" ref="L1043">LOOKUP(2^15,SEARCH(Tabela2[Palavras-Chave],Boletim4[[#This Row],[Objeto]],1),Tabela2[Palavras-Chave])</f>
        <v>#N/A</v>
      </c>
    </row>
    <row r="1044" spans="1:12" ht="115.2" hidden="1" x14ac:dyDescent="0.3">
      <c r="A1044" s="5">
        <v>18811499</v>
      </c>
      <c r="B1044" s="6" t="s">
        <v>2963</v>
      </c>
      <c r="C1044" s="6" t="s">
        <v>2964</v>
      </c>
      <c r="D1044" s="8" t="s">
        <v>82</v>
      </c>
      <c r="E1044" s="6" t="s">
        <v>2965</v>
      </c>
      <c r="F1044" s="6" t="s">
        <v>51</v>
      </c>
      <c r="G1044" s="11" t="s">
        <v>56</v>
      </c>
      <c r="H1044" s="11"/>
      <c r="I1044" s="10" t="s">
        <v>2966</v>
      </c>
      <c r="J1044" s="6" t="s">
        <v>2967</v>
      </c>
      <c r="K1044" s="12">
        <v>46121.87222222222</v>
      </c>
      <c r="L1044" s="6" t="e" cm="1">
        <f t="array" ref="L1044">LOOKUP(2^15,SEARCH(Tabela2[Palavras-Chave],Boletim4[[#This Row],[Objeto]],1),Tabela2[Palavras-Chave])</f>
        <v>#N/A</v>
      </c>
    </row>
    <row r="1045" spans="1:12" ht="158.4" hidden="1" x14ac:dyDescent="0.3">
      <c r="A1045" s="5">
        <v>18797542</v>
      </c>
      <c r="B1045" s="6" t="s">
        <v>566</v>
      </c>
      <c r="C1045" s="6" t="s">
        <v>567</v>
      </c>
      <c r="D1045" s="8" t="s">
        <v>66</v>
      </c>
      <c r="E1045" s="6" t="s">
        <v>1316</v>
      </c>
      <c r="F1045" s="6" t="s">
        <v>85</v>
      </c>
      <c r="G1045" s="11" t="s">
        <v>56</v>
      </c>
      <c r="H1045" s="11"/>
      <c r="I1045" s="10" t="s">
        <v>1317</v>
      </c>
      <c r="J1045" s="6" t="s">
        <v>1318</v>
      </c>
      <c r="K1045" s="12">
        <v>46121.412858796299</v>
      </c>
      <c r="L1045" s="6" t="e" cm="1">
        <f t="array" ref="L1045">LOOKUP(2^15,SEARCH(Tabela2[Palavras-Chave],Boletim4[[#This Row],[Objeto]],1),Tabela2[Palavras-Chave])</f>
        <v>#N/A</v>
      </c>
    </row>
    <row r="1046" spans="1:12" ht="72" hidden="1" x14ac:dyDescent="0.3">
      <c r="A1046" s="5">
        <v>18758652</v>
      </c>
      <c r="B1046" s="6" t="s">
        <v>2968</v>
      </c>
      <c r="C1046" s="6" t="s">
        <v>2969</v>
      </c>
      <c r="D1046" s="8" t="s">
        <v>72</v>
      </c>
      <c r="E1046" s="6" t="s">
        <v>2858</v>
      </c>
      <c r="F1046" s="6" t="s">
        <v>85</v>
      </c>
      <c r="G1046" s="11" t="s">
        <v>56</v>
      </c>
      <c r="H1046" s="11"/>
      <c r="I1046" s="10" t="s">
        <v>2970</v>
      </c>
      <c r="J1046" s="6" t="s">
        <v>2971</v>
      </c>
      <c r="K1046" s="12">
        <v>46121.584745370368</v>
      </c>
      <c r="L1046" s="6" t="e" cm="1">
        <f t="array" ref="L1046">LOOKUP(2^15,SEARCH(Tabela2[Palavras-Chave],Boletim4[[#This Row],[Objeto]],1),Tabela2[Palavras-Chave])</f>
        <v>#N/A</v>
      </c>
    </row>
    <row r="1047" spans="1:12" ht="100.8" hidden="1" x14ac:dyDescent="0.3">
      <c r="A1047" s="5">
        <v>18807427</v>
      </c>
      <c r="B1047" s="6" t="s">
        <v>74</v>
      </c>
      <c r="C1047" s="6" t="s">
        <v>162</v>
      </c>
      <c r="D1047" s="8" t="s">
        <v>144</v>
      </c>
      <c r="E1047" s="6" t="s">
        <v>1319</v>
      </c>
      <c r="F1047" s="6" t="s">
        <v>85</v>
      </c>
      <c r="G1047" s="11" t="s">
        <v>56</v>
      </c>
      <c r="H1047" s="11"/>
      <c r="I1047" s="10" t="s">
        <v>1320</v>
      </c>
      <c r="J1047" s="6" t="s">
        <v>1321</v>
      </c>
      <c r="K1047" s="12">
        <v>46121.447256944448</v>
      </c>
      <c r="L1047" s="6" t="e" cm="1">
        <f t="array" ref="L1047">LOOKUP(2^15,SEARCH(Tabela2[Palavras-Chave],Boletim4[[#This Row],[Objeto]],1),Tabela2[Palavras-Chave])</f>
        <v>#N/A</v>
      </c>
    </row>
    <row r="1048" spans="1:12" ht="100.8" hidden="1" x14ac:dyDescent="0.3">
      <c r="A1048" s="5">
        <v>18807564</v>
      </c>
      <c r="B1048" s="6" t="s">
        <v>74</v>
      </c>
      <c r="C1048" s="6" t="s">
        <v>162</v>
      </c>
      <c r="D1048" s="8" t="s">
        <v>144</v>
      </c>
      <c r="E1048" s="6" t="s">
        <v>2972</v>
      </c>
      <c r="F1048" s="6" t="s">
        <v>85</v>
      </c>
      <c r="G1048" s="11" t="s">
        <v>56</v>
      </c>
      <c r="H1048" s="11"/>
      <c r="I1048" s="10" t="s">
        <v>2973</v>
      </c>
      <c r="J1048" s="6" t="s">
        <v>1321</v>
      </c>
      <c r="K1048" s="12">
        <v>46121.450046296297</v>
      </c>
      <c r="L1048" s="6" t="e" cm="1">
        <f t="array" ref="L1048">LOOKUP(2^15,SEARCH(Tabela2[Palavras-Chave],Boletim4[[#This Row],[Objeto]],1),Tabela2[Palavras-Chave])</f>
        <v>#N/A</v>
      </c>
    </row>
    <row r="1049" spans="1:12" ht="409.6" x14ac:dyDescent="0.3">
      <c r="A1049" s="5">
        <v>18807909</v>
      </c>
      <c r="B1049" s="6" t="s">
        <v>1322</v>
      </c>
      <c r="C1049" s="6" t="s">
        <v>162</v>
      </c>
      <c r="D1049" s="8" t="s">
        <v>144</v>
      </c>
      <c r="E1049" s="6" t="s">
        <v>110</v>
      </c>
      <c r="F1049" s="6" t="s">
        <v>85</v>
      </c>
      <c r="G1049" s="11" t="s">
        <v>56</v>
      </c>
      <c r="H1049" s="11"/>
      <c r="I1049" s="10" t="s">
        <v>1323</v>
      </c>
      <c r="J1049" s="6" t="s">
        <v>1324</v>
      </c>
      <c r="K1049" s="12">
        <v>46121.523125</v>
      </c>
      <c r="L1049" s="6" t="str" cm="1">
        <f t="array" ref="L1049">LOOKUP(2^15,SEARCH(Tabela2[Palavras-Chave],Boletim4[[#This Row],[Objeto]],1),Tabela2[Palavras-Chave])</f>
        <v>INOX</v>
      </c>
    </row>
    <row r="1050" spans="1:12" ht="409.6" hidden="1" x14ac:dyDescent="0.3">
      <c r="A1050" s="5">
        <v>18807689</v>
      </c>
      <c r="B1050" s="6" t="s">
        <v>2974</v>
      </c>
      <c r="C1050" s="6" t="s">
        <v>162</v>
      </c>
      <c r="D1050" s="8" t="s">
        <v>144</v>
      </c>
      <c r="E1050" s="6" t="s">
        <v>172</v>
      </c>
      <c r="F1050" s="6" t="s">
        <v>85</v>
      </c>
      <c r="G1050" s="11" t="s">
        <v>56</v>
      </c>
      <c r="H1050" s="11"/>
      <c r="I1050" s="10" t="s">
        <v>2975</v>
      </c>
      <c r="J1050" s="6" t="s">
        <v>2976</v>
      </c>
      <c r="K1050" s="12">
        <v>46121.724212962959</v>
      </c>
      <c r="L1050" s="6" t="e" cm="1">
        <f t="array" ref="L1050">LOOKUP(2^15,SEARCH(Tabela2[Palavras-Chave],Boletim4[[#This Row],[Objeto]],1),Tabela2[Palavras-Chave])</f>
        <v>#N/A</v>
      </c>
    </row>
    <row r="1051" spans="1:12" ht="115.2" hidden="1" x14ac:dyDescent="0.3">
      <c r="A1051" s="5">
        <v>18808262</v>
      </c>
      <c r="B1051" s="6" t="s">
        <v>1325</v>
      </c>
      <c r="C1051" s="6" t="s">
        <v>162</v>
      </c>
      <c r="D1051" s="8" t="s">
        <v>144</v>
      </c>
      <c r="E1051" s="6" t="s">
        <v>1326</v>
      </c>
      <c r="F1051" s="6" t="s">
        <v>85</v>
      </c>
      <c r="G1051" s="11" t="s">
        <v>56</v>
      </c>
      <c r="H1051" s="11"/>
      <c r="I1051" s="10" t="s">
        <v>1327</v>
      </c>
      <c r="J1051" s="6" t="s">
        <v>1328</v>
      </c>
      <c r="K1051" s="12">
        <v>46121.745509259257</v>
      </c>
      <c r="L1051" s="6" t="e" cm="1">
        <f t="array" ref="L1051">LOOKUP(2^15,SEARCH(Tabela2[Palavras-Chave],Boletim4[[#This Row],[Objeto]],1),Tabela2[Palavras-Chave])</f>
        <v>#N/A</v>
      </c>
    </row>
    <row r="1052" spans="1:12" ht="72" hidden="1" x14ac:dyDescent="0.3">
      <c r="A1052" s="5">
        <v>18810333</v>
      </c>
      <c r="B1052" s="6" t="s">
        <v>2977</v>
      </c>
      <c r="C1052" s="6" t="s">
        <v>2978</v>
      </c>
      <c r="D1052" s="8" t="s">
        <v>144</v>
      </c>
      <c r="E1052" s="6" t="s">
        <v>173</v>
      </c>
      <c r="F1052" s="6" t="s">
        <v>85</v>
      </c>
      <c r="G1052" s="11">
        <v>46139.375</v>
      </c>
      <c r="H1052" s="11"/>
      <c r="I1052" s="10" t="s">
        <v>2979</v>
      </c>
      <c r="J1052" s="6" t="s">
        <v>2980</v>
      </c>
      <c r="K1052" s="12">
        <v>46121.853032407409</v>
      </c>
      <c r="L1052" s="6" t="e" cm="1">
        <f t="array" ref="L1052">LOOKUP(2^15,SEARCH(Tabela2[Palavras-Chave],Boletim4[[#This Row],[Objeto]],1),Tabela2[Palavras-Chave])</f>
        <v>#N/A</v>
      </c>
    </row>
    <row r="1053" spans="1:12" ht="100.8" hidden="1" x14ac:dyDescent="0.3">
      <c r="A1053" s="5">
        <v>18807429</v>
      </c>
      <c r="B1053" s="6" t="s">
        <v>74</v>
      </c>
      <c r="C1053" s="6" t="s">
        <v>87</v>
      </c>
      <c r="D1053" s="8" t="s">
        <v>86</v>
      </c>
      <c r="E1053" s="6" t="s">
        <v>1319</v>
      </c>
      <c r="F1053" s="6" t="s">
        <v>85</v>
      </c>
      <c r="G1053" s="11" t="s">
        <v>56</v>
      </c>
      <c r="H1053" s="11"/>
      <c r="I1053" s="10" t="s">
        <v>1320</v>
      </c>
      <c r="J1053" s="6" t="s">
        <v>1321</v>
      </c>
      <c r="K1053" s="12">
        <v>46121.447268518517</v>
      </c>
      <c r="L1053" s="6" t="e" cm="1">
        <f t="array" ref="L1053">LOOKUP(2^15,SEARCH(Tabela2[Palavras-Chave],Boletim4[[#This Row],[Objeto]],1),Tabela2[Palavras-Chave])</f>
        <v>#N/A</v>
      </c>
    </row>
    <row r="1054" spans="1:12" ht="100.8" hidden="1" x14ac:dyDescent="0.3">
      <c r="A1054" s="5">
        <v>18807565</v>
      </c>
      <c r="B1054" s="6" t="s">
        <v>74</v>
      </c>
      <c r="C1054" s="6" t="s">
        <v>87</v>
      </c>
      <c r="D1054" s="8" t="s">
        <v>86</v>
      </c>
      <c r="E1054" s="6" t="s">
        <v>2972</v>
      </c>
      <c r="F1054" s="6" t="s">
        <v>85</v>
      </c>
      <c r="G1054" s="11" t="s">
        <v>56</v>
      </c>
      <c r="H1054" s="11"/>
      <c r="I1054" s="10" t="s">
        <v>2973</v>
      </c>
      <c r="J1054" s="6" t="s">
        <v>1321</v>
      </c>
      <c r="K1054" s="12">
        <v>46121.450046296297</v>
      </c>
      <c r="L1054" s="6" t="e" cm="1">
        <f t="array" ref="L1054">LOOKUP(2^15,SEARCH(Tabela2[Palavras-Chave],Boletim4[[#This Row],[Objeto]],1),Tabela2[Palavras-Chave])</f>
        <v>#N/A</v>
      </c>
    </row>
    <row r="1055" spans="1:12" ht="244.8" hidden="1" x14ac:dyDescent="0.3">
      <c r="A1055" s="5">
        <v>18807118</v>
      </c>
      <c r="B1055" s="6" t="s">
        <v>1329</v>
      </c>
      <c r="C1055" s="6" t="s">
        <v>1330</v>
      </c>
      <c r="D1055" s="8" t="s">
        <v>86</v>
      </c>
      <c r="E1055" s="6" t="s">
        <v>115</v>
      </c>
      <c r="F1055" s="6" t="s">
        <v>85</v>
      </c>
      <c r="G1055" s="11" t="s">
        <v>56</v>
      </c>
      <c r="H1055" s="11"/>
      <c r="I1055" s="10" t="s">
        <v>1331</v>
      </c>
      <c r="J1055" s="6" t="s">
        <v>1332</v>
      </c>
      <c r="K1055" s="12">
        <v>46121.503460648149</v>
      </c>
      <c r="L1055" s="6" t="e" cm="1">
        <f t="array" ref="L1055">LOOKUP(2^15,SEARCH(Tabela2[Palavras-Chave],Boletim4[[#This Row],[Objeto]],1),Tabela2[Palavras-Chave])</f>
        <v>#N/A</v>
      </c>
    </row>
    <row r="1056" spans="1:12" ht="43.2" hidden="1" x14ac:dyDescent="0.3">
      <c r="A1056" s="5">
        <v>18808197</v>
      </c>
      <c r="B1056" s="6" t="s">
        <v>2981</v>
      </c>
      <c r="C1056" s="6" t="s">
        <v>87</v>
      </c>
      <c r="D1056" s="8" t="s">
        <v>86</v>
      </c>
      <c r="E1056" s="6" t="s">
        <v>2982</v>
      </c>
      <c r="F1056" s="6" t="s">
        <v>85</v>
      </c>
      <c r="G1056" s="11">
        <v>46141.375</v>
      </c>
      <c r="H1056" s="11"/>
      <c r="I1056" s="10" t="s">
        <v>2983</v>
      </c>
      <c r="J1056" s="6" t="s">
        <v>2984</v>
      </c>
      <c r="K1056" s="12">
        <v>46121.554027777776</v>
      </c>
      <c r="L1056" s="6" t="e" cm="1">
        <f t="array" ref="L1056">LOOKUP(2^15,SEARCH(Tabela2[Palavras-Chave],Boletim4[[#This Row],[Objeto]],1),Tabela2[Palavras-Chave])</f>
        <v>#N/A</v>
      </c>
    </row>
    <row r="1057" spans="1:12" ht="115.2" hidden="1" x14ac:dyDescent="0.3">
      <c r="A1057" s="5">
        <v>18808234</v>
      </c>
      <c r="B1057" s="6" t="s">
        <v>1333</v>
      </c>
      <c r="C1057" s="6" t="s">
        <v>1334</v>
      </c>
      <c r="D1057" s="8" t="s">
        <v>86</v>
      </c>
      <c r="E1057" s="6" t="s">
        <v>152</v>
      </c>
      <c r="F1057" s="6" t="s">
        <v>85</v>
      </c>
      <c r="G1057" s="11" t="s">
        <v>56</v>
      </c>
      <c r="H1057" s="11"/>
      <c r="I1057" s="10" t="s">
        <v>1335</v>
      </c>
      <c r="J1057" s="6" t="s">
        <v>1336</v>
      </c>
      <c r="K1057" s="12">
        <v>46121.680150462962</v>
      </c>
      <c r="L1057" s="6" t="e" cm="1">
        <f t="array" ref="L1057">LOOKUP(2^15,SEARCH(Tabela2[Palavras-Chave],Boletim4[[#This Row],[Objeto]],1),Tabela2[Palavras-Chave])</f>
        <v>#N/A</v>
      </c>
    </row>
    <row r="1058" spans="1:12" ht="72" hidden="1" x14ac:dyDescent="0.3">
      <c r="A1058" s="5">
        <v>18792816</v>
      </c>
      <c r="B1058" s="6" t="s">
        <v>1337</v>
      </c>
      <c r="C1058" s="6" t="s">
        <v>87</v>
      </c>
      <c r="D1058" s="8" t="s">
        <v>86</v>
      </c>
      <c r="E1058" s="6" t="s">
        <v>1338</v>
      </c>
      <c r="F1058" s="6" t="s">
        <v>85</v>
      </c>
      <c r="G1058" s="11">
        <v>46141</v>
      </c>
      <c r="H1058" s="11"/>
      <c r="I1058" s="10" t="s">
        <v>1339</v>
      </c>
      <c r="J1058" s="6" t="s">
        <v>1340</v>
      </c>
      <c r="K1058" s="12">
        <v>46121.698645833334</v>
      </c>
      <c r="L1058" s="6" t="e" cm="1">
        <f t="array" ref="L1058">LOOKUP(2^15,SEARCH(Tabela2[Palavras-Chave],Boletim4[[#This Row],[Objeto]],1),Tabela2[Palavras-Chave])</f>
        <v>#N/A</v>
      </c>
    </row>
    <row r="1059" spans="1:12" ht="28.8" hidden="1" x14ac:dyDescent="0.3">
      <c r="A1059" s="5">
        <v>18808671</v>
      </c>
      <c r="B1059" s="6" t="s">
        <v>205</v>
      </c>
      <c r="C1059" s="6" t="s">
        <v>87</v>
      </c>
      <c r="D1059" s="8" t="s">
        <v>86</v>
      </c>
      <c r="E1059" s="6" t="s">
        <v>1341</v>
      </c>
      <c r="F1059" s="6" t="s">
        <v>85</v>
      </c>
      <c r="G1059" s="11">
        <v>46134.375</v>
      </c>
      <c r="H1059" s="11"/>
      <c r="I1059" s="10" t="s">
        <v>1342</v>
      </c>
      <c r="J1059" s="6" t="s">
        <v>1343</v>
      </c>
      <c r="K1059" s="12">
        <v>46121.721053240741</v>
      </c>
      <c r="L1059" s="6" t="e" cm="1">
        <f t="array" ref="L1059">LOOKUP(2^15,SEARCH(Tabela2[Palavras-Chave],Boletim4[[#This Row],[Objeto]],1),Tabela2[Palavras-Chave])</f>
        <v>#N/A</v>
      </c>
    </row>
    <row r="1060" spans="1:12" ht="244.8" hidden="1" x14ac:dyDescent="0.3">
      <c r="A1060" s="5">
        <v>18809238</v>
      </c>
      <c r="B1060" s="6" t="s">
        <v>1344</v>
      </c>
      <c r="C1060" s="6" t="s">
        <v>1345</v>
      </c>
      <c r="D1060" s="8" t="s">
        <v>86</v>
      </c>
      <c r="E1060" s="6" t="s">
        <v>146</v>
      </c>
      <c r="F1060" s="6" t="s">
        <v>85</v>
      </c>
      <c r="G1060" s="11" t="s">
        <v>56</v>
      </c>
      <c r="H1060" s="11"/>
      <c r="I1060" s="10" t="s">
        <v>1346</v>
      </c>
      <c r="J1060" s="6" t="s">
        <v>1347</v>
      </c>
      <c r="K1060" s="12">
        <v>46121.728576388887</v>
      </c>
      <c r="L1060" s="6" t="e" cm="1">
        <f t="array" ref="L1060">LOOKUP(2^15,SEARCH(Tabela2[Palavras-Chave],Boletim4[[#This Row],[Objeto]],1),Tabela2[Palavras-Chave])</f>
        <v>#N/A</v>
      </c>
    </row>
    <row r="1061" spans="1:12" ht="244.8" hidden="1" x14ac:dyDescent="0.3">
      <c r="A1061" s="5">
        <v>18811189</v>
      </c>
      <c r="B1061" s="6" t="s">
        <v>1348</v>
      </c>
      <c r="C1061" s="6" t="s">
        <v>1349</v>
      </c>
      <c r="D1061" s="8" t="s">
        <v>86</v>
      </c>
      <c r="E1061" s="6" t="s">
        <v>142</v>
      </c>
      <c r="F1061" s="6" t="s">
        <v>85</v>
      </c>
      <c r="G1061" s="11" t="s">
        <v>56</v>
      </c>
      <c r="H1061" s="11"/>
      <c r="I1061" s="10" t="s">
        <v>1350</v>
      </c>
      <c r="J1061" s="6" t="s">
        <v>1351</v>
      </c>
      <c r="K1061" s="12">
        <v>46121.81559027778</v>
      </c>
      <c r="L1061" s="6" t="e" cm="1">
        <f t="array" ref="L1061">LOOKUP(2^15,SEARCH(Tabela2[Palavras-Chave],Boletim4[[#This Row],[Objeto]],1),Tabela2[Palavras-Chave])</f>
        <v>#N/A</v>
      </c>
    </row>
    <row r="1062" spans="1:12" ht="129.6" hidden="1" x14ac:dyDescent="0.3">
      <c r="A1062" s="5">
        <v>18807290</v>
      </c>
      <c r="B1062" s="6" t="s">
        <v>1352</v>
      </c>
      <c r="C1062" s="6" t="s">
        <v>87</v>
      </c>
      <c r="D1062" s="8" t="s">
        <v>86</v>
      </c>
      <c r="E1062" s="6" t="s">
        <v>1341</v>
      </c>
      <c r="F1062" s="6" t="s">
        <v>85</v>
      </c>
      <c r="G1062" s="11">
        <v>46134</v>
      </c>
      <c r="H1062" s="11"/>
      <c r="I1062" s="10" t="s">
        <v>1353</v>
      </c>
      <c r="J1062" s="6" t="s">
        <v>1354</v>
      </c>
      <c r="K1062" s="12">
        <v>46121.838159722225</v>
      </c>
      <c r="L1062" s="6" t="e" cm="1">
        <f t="array" ref="L1062">LOOKUP(2^15,SEARCH(Tabela2[Palavras-Chave],Boletim4[[#This Row],[Objeto]],1),Tabela2[Palavras-Chave])</f>
        <v>#N/A</v>
      </c>
    </row>
    <row r="1063" spans="1:12" ht="100.8" hidden="1" x14ac:dyDescent="0.3">
      <c r="A1063" s="5">
        <v>18807431</v>
      </c>
      <c r="B1063" s="6" t="s">
        <v>74</v>
      </c>
      <c r="C1063" s="6" t="s">
        <v>52</v>
      </c>
      <c r="D1063" s="8" t="s">
        <v>50</v>
      </c>
      <c r="E1063" s="6" t="s">
        <v>1319</v>
      </c>
      <c r="F1063" s="6" t="s">
        <v>85</v>
      </c>
      <c r="G1063" s="11" t="s">
        <v>56</v>
      </c>
      <c r="H1063" s="11"/>
      <c r="I1063" s="10" t="s">
        <v>1320</v>
      </c>
      <c r="J1063" s="6" t="s">
        <v>1321</v>
      </c>
      <c r="K1063" s="12">
        <v>46121.447268518517</v>
      </c>
      <c r="L1063" s="6" t="e" cm="1">
        <f t="array" ref="L1063">LOOKUP(2^15,SEARCH(Tabela2[Palavras-Chave],Boletim4[[#This Row],[Objeto]],1),Tabela2[Palavras-Chave])</f>
        <v>#N/A</v>
      </c>
    </row>
    <row r="1064" spans="1:12" ht="100.8" hidden="1" x14ac:dyDescent="0.3">
      <c r="A1064" s="5">
        <v>18807566</v>
      </c>
      <c r="B1064" s="6" t="s">
        <v>74</v>
      </c>
      <c r="C1064" s="6" t="s">
        <v>52</v>
      </c>
      <c r="D1064" s="8" t="s">
        <v>50</v>
      </c>
      <c r="E1064" s="6" t="s">
        <v>2972</v>
      </c>
      <c r="F1064" s="6" t="s">
        <v>85</v>
      </c>
      <c r="G1064" s="11" t="s">
        <v>56</v>
      </c>
      <c r="H1064" s="11"/>
      <c r="I1064" s="10" t="s">
        <v>2973</v>
      </c>
      <c r="J1064" s="6" t="s">
        <v>1321</v>
      </c>
      <c r="K1064" s="12">
        <v>46121.450046296297</v>
      </c>
      <c r="L1064" s="6" t="e" cm="1">
        <f t="array" ref="L1064">LOOKUP(2^15,SEARCH(Tabela2[Palavras-Chave],Boletim4[[#This Row],[Objeto]],1),Tabela2[Palavras-Chave])</f>
        <v>#N/A</v>
      </c>
    </row>
    <row r="1065" spans="1:12" ht="72" hidden="1" x14ac:dyDescent="0.3">
      <c r="A1065" s="5">
        <v>18807455</v>
      </c>
      <c r="B1065" s="6" t="s">
        <v>74</v>
      </c>
      <c r="C1065" s="6" t="s">
        <v>52</v>
      </c>
      <c r="D1065" s="8" t="s">
        <v>50</v>
      </c>
      <c r="E1065" s="6" t="s">
        <v>1355</v>
      </c>
      <c r="F1065" s="6" t="s">
        <v>85</v>
      </c>
      <c r="G1065" s="11" t="s">
        <v>56</v>
      </c>
      <c r="H1065" s="11"/>
      <c r="I1065" s="10" t="s">
        <v>1356</v>
      </c>
      <c r="J1065" s="6" t="s">
        <v>1357</v>
      </c>
      <c r="K1065" s="12">
        <v>46121.458402777775</v>
      </c>
      <c r="L1065" s="6" t="e" cm="1">
        <f t="array" ref="L1065">LOOKUP(2^15,SEARCH(Tabela2[Palavras-Chave],Boletim4[[#This Row],[Objeto]],1),Tabela2[Palavras-Chave])</f>
        <v>#N/A</v>
      </c>
    </row>
    <row r="1066" spans="1:12" ht="100.8" hidden="1" x14ac:dyDescent="0.3">
      <c r="A1066" s="5">
        <v>18807522</v>
      </c>
      <c r="B1066" s="6" t="s">
        <v>2985</v>
      </c>
      <c r="C1066" s="6" t="s">
        <v>2986</v>
      </c>
      <c r="D1066" s="8" t="s">
        <v>50</v>
      </c>
      <c r="E1066" s="6" t="s">
        <v>124</v>
      </c>
      <c r="F1066" s="6" t="s">
        <v>85</v>
      </c>
      <c r="G1066" s="11">
        <v>46132.395138888889</v>
      </c>
      <c r="H1066" s="11"/>
      <c r="I1066" s="10" t="s">
        <v>2987</v>
      </c>
      <c r="J1066" s="6" t="s">
        <v>2988</v>
      </c>
      <c r="K1066" s="12">
        <v>46121.702048611114</v>
      </c>
      <c r="L1066" s="6" t="e" cm="1">
        <f t="array" ref="L1066">LOOKUP(2^15,SEARCH(Tabela2[Palavras-Chave],Boletim4[[#This Row],[Objeto]],1),Tabela2[Palavras-Chave])</f>
        <v>#N/A</v>
      </c>
    </row>
    <row r="1067" spans="1:12" ht="115.2" hidden="1" x14ac:dyDescent="0.3">
      <c r="A1067" s="5">
        <v>18808238</v>
      </c>
      <c r="B1067" s="6" t="s">
        <v>1358</v>
      </c>
      <c r="C1067" s="6" t="s">
        <v>1359</v>
      </c>
      <c r="D1067" s="8" t="s">
        <v>50</v>
      </c>
      <c r="E1067" s="6" t="s">
        <v>212</v>
      </c>
      <c r="F1067" s="6" t="s">
        <v>85</v>
      </c>
      <c r="G1067" s="11" t="s">
        <v>56</v>
      </c>
      <c r="H1067" s="11"/>
      <c r="I1067" s="10" t="s">
        <v>1360</v>
      </c>
      <c r="J1067" s="6" t="s">
        <v>1361</v>
      </c>
      <c r="K1067" s="12">
        <v>46121.720057870371</v>
      </c>
      <c r="L1067" s="6" t="e" cm="1">
        <f t="array" ref="L1067">LOOKUP(2^15,SEARCH(Tabela2[Palavras-Chave],Boletim4[[#This Row],[Objeto]],1),Tabela2[Palavras-Chave])</f>
        <v>#N/A</v>
      </c>
    </row>
    <row r="1068" spans="1:12" ht="100.8" hidden="1" x14ac:dyDescent="0.3">
      <c r="A1068" s="5">
        <v>18807532</v>
      </c>
      <c r="B1068" s="6" t="s">
        <v>1362</v>
      </c>
      <c r="C1068" s="6" t="s">
        <v>1363</v>
      </c>
      <c r="D1068" s="8" t="s">
        <v>50</v>
      </c>
      <c r="E1068" s="6" t="s">
        <v>115</v>
      </c>
      <c r="F1068" s="6" t="s">
        <v>85</v>
      </c>
      <c r="G1068" s="11">
        <v>46132.582638888889</v>
      </c>
      <c r="H1068" s="11"/>
      <c r="I1068" s="10" t="s">
        <v>1364</v>
      </c>
      <c r="J1068" s="6" t="s">
        <v>1365</v>
      </c>
      <c r="K1068" s="12">
        <v>46121.729895833334</v>
      </c>
      <c r="L1068" s="6" t="e" cm="1">
        <f t="array" ref="L1068">LOOKUP(2^15,SEARCH(Tabela2[Palavras-Chave],Boletim4[[#This Row],[Objeto]],1),Tabela2[Palavras-Chave])</f>
        <v>#N/A</v>
      </c>
    </row>
    <row r="1069" spans="1:12" ht="100.8" hidden="1" x14ac:dyDescent="0.3">
      <c r="A1069" s="5">
        <v>18809038</v>
      </c>
      <c r="B1069" s="6" t="s">
        <v>2989</v>
      </c>
      <c r="C1069" s="6" t="s">
        <v>2990</v>
      </c>
      <c r="D1069" s="8" t="s">
        <v>50</v>
      </c>
      <c r="E1069" s="6" t="s">
        <v>115</v>
      </c>
      <c r="F1069" s="6" t="s">
        <v>85</v>
      </c>
      <c r="G1069" s="11" t="s">
        <v>56</v>
      </c>
      <c r="H1069" s="11"/>
      <c r="I1069" s="10" t="s">
        <v>2991</v>
      </c>
      <c r="J1069" s="6" t="s">
        <v>2992</v>
      </c>
      <c r="K1069" s="12">
        <v>46121.829293981478</v>
      </c>
      <c r="L1069" s="6" t="e" cm="1">
        <f t="array" ref="L1069">LOOKUP(2^15,SEARCH(Tabela2[Palavras-Chave],Boletim4[[#This Row],[Objeto]],1),Tabela2[Palavras-Chave])</f>
        <v>#N/A</v>
      </c>
    </row>
    <row r="1070" spans="1:12" ht="43.2" hidden="1" x14ac:dyDescent="0.3">
      <c r="A1070" s="5">
        <v>18811424</v>
      </c>
      <c r="B1070" s="6" t="s">
        <v>2993</v>
      </c>
      <c r="C1070" s="6" t="s">
        <v>2994</v>
      </c>
      <c r="D1070" s="8" t="s">
        <v>50</v>
      </c>
      <c r="E1070" s="6" t="s">
        <v>113</v>
      </c>
      <c r="F1070" s="6" t="s">
        <v>85</v>
      </c>
      <c r="G1070" s="11">
        <v>46141.4375</v>
      </c>
      <c r="H1070" s="11"/>
      <c r="I1070" s="10" t="s">
        <v>2995</v>
      </c>
      <c r="J1070" s="6" t="s">
        <v>2996</v>
      </c>
      <c r="K1070" s="12">
        <v>46121.860243055555</v>
      </c>
      <c r="L1070" s="6" t="e" cm="1">
        <f t="array" ref="L1070">LOOKUP(2^15,SEARCH(Tabela2[Palavras-Chave],Boletim4[[#This Row],[Objeto]],1),Tabela2[Palavras-Chave])</f>
        <v>#N/A</v>
      </c>
    </row>
    <row r="1071" spans="1:12" ht="57.6" hidden="1" x14ac:dyDescent="0.3">
      <c r="A1071" s="5">
        <v>18811508</v>
      </c>
      <c r="B1071" s="6" t="s">
        <v>2997</v>
      </c>
      <c r="C1071" s="6" t="s">
        <v>2998</v>
      </c>
      <c r="D1071" s="8" t="s">
        <v>50</v>
      </c>
      <c r="E1071" s="6" t="s">
        <v>113</v>
      </c>
      <c r="F1071" s="6" t="s">
        <v>85</v>
      </c>
      <c r="G1071" s="11" t="s">
        <v>56</v>
      </c>
      <c r="H1071" s="11"/>
      <c r="I1071" s="10" t="s">
        <v>2999</v>
      </c>
      <c r="J1071" s="6" t="s">
        <v>3000</v>
      </c>
      <c r="K1071" s="12">
        <v>46121.880266203705</v>
      </c>
      <c r="L1071" s="6" t="e" cm="1">
        <f t="array" ref="L1071">LOOKUP(2^15,SEARCH(Tabela2[Palavras-Chave],Boletim4[[#This Row],[Objeto]],1),Tabela2[Palavras-Chave])</f>
        <v>#N/A</v>
      </c>
    </row>
    <row r="1072" spans="1:12" ht="100.8" hidden="1" x14ac:dyDescent="0.3">
      <c r="A1072" s="5">
        <v>18807432</v>
      </c>
      <c r="B1072" s="6" t="s">
        <v>74</v>
      </c>
      <c r="C1072" s="6" t="s">
        <v>1366</v>
      </c>
      <c r="D1072" s="8" t="s">
        <v>1367</v>
      </c>
      <c r="E1072" s="6" t="s">
        <v>1319</v>
      </c>
      <c r="F1072" s="6" t="s">
        <v>85</v>
      </c>
      <c r="G1072" s="11" t="s">
        <v>56</v>
      </c>
      <c r="H1072" s="11"/>
      <c r="I1072" s="10" t="s">
        <v>1320</v>
      </c>
      <c r="J1072" s="6" t="s">
        <v>1321</v>
      </c>
      <c r="K1072" s="12">
        <v>46121.447280092594</v>
      </c>
      <c r="L1072" s="6" t="e" cm="1">
        <f t="array" ref="L1072">LOOKUP(2^15,SEARCH(Tabela2[Palavras-Chave],Boletim4[[#This Row],[Objeto]],1),Tabela2[Palavras-Chave])</f>
        <v>#N/A</v>
      </c>
    </row>
    <row r="1073" spans="1:12" ht="100.8" hidden="1" x14ac:dyDescent="0.3">
      <c r="A1073" s="5">
        <v>18807567</v>
      </c>
      <c r="B1073" s="6" t="s">
        <v>74</v>
      </c>
      <c r="C1073" s="6" t="s">
        <v>1366</v>
      </c>
      <c r="D1073" s="8" t="s">
        <v>1367</v>
      </c>
      <c r="E1073" s="6" t="s">
        <v>2972</v>
      </c>
      <c r="F1073" s="6" t="s">
        <v>85</v>
      </c>
      <c r="G1073" s="11" t="s">
        <v>56</v>
      </c>
      <c r="H1073" s="11"/>
      <c r="I1073" s="10" t="s">
        <v>2973</v>
      </c>
      <c r="J1073" s="6" t="s">
        <v>1321</v>
      </c>
      <c r="K1073" s="12">
        <v>46121.450057870374</v>
      </c>
      <c r="L1073" s="6" t="e" cm="1">
        <f t="array" ref="L1073">LOOKUP(2^15,SEARCH(Tabela2[Palavras-Chave],Boletim4[[#This Row],[Objeto]],1),Tabela2[Palavras-Chave])</f>
        <v>#N/A</v>
      </c>
    </row>
    <row r="1074" spans="1:12" ht="187.2" hidden="1" x14ac:dyDescent="0.3">
      <c r="A1074" s="5">
        <v>18802512</v>
      </c>
      <c r="B1074" s="6" t="s">
        <v>163</v>
      </c>
      <c r="C1074" s="6" t="s">
        <v>53</v>
      </c>
      <c r="D1074" s="8" t="s">
        <v>54</v>
      </c>
      <c r="E1074" s="6" t="s">
        <v>409</v>
      </c>
      <c r="F1074" s="6" t="s">
        <v>85</v>
      </c>
      <c r="G1074" s="11">
        <v>46146.583333333336</v>
      </c>
      <c r="H1074" s="11"/>
      <c r="I1074" s="10" t="s">
        <v>410</v>
      </c>
      <c r="J1074" s="6" t="s">
        <v>411</v>
      </c>
      <c r="K1074" s="12">
        <v>46121.389062499999</v>
      </c>
      <c r="L1074" s="6" t="e" cm="1">
        <f t="array" ref="L1074">LOOKUP(2^15,SEARCH(Tabela2[Palavras-Chave],Boletim4[[#This Row],[Objeto]],1),Tabela2[Palavras-Chave])</f>
        <v>#N/A</v>
      </c>
    </row>
    <row r="1075" spans="1:12" ht="144" hidden="1" x14ac:dyDescent="0.3">
      <c r="A1075" s="5">
        <v>18802511</v>
      </c>
      <c r="B1075" s="6" t="s">
        <v>163</v>
      </c>
      <c r="C1075" s="6" t="s">
        <v>53</v>
      </c>
      <c r="D1075" s="8" t="s">
        <v>54</v>
      </c>
      <c r="E1075" s="6" t="s">
        <v>295</v>
      </c>
      <c r="F1075" s="6" t="s">
        <v>85</v>
      </c>
      <c r="G1075" s="11" t="s">
        <v>56</v>
      </c>
      <c r="H1075" s="11"/>
      <c r="I1075" s="10" t="s">
        <v>396</v>
      </c>
      <c r="J1075" s="6" t="s">
        <v>397</v>
      </c>
      <c r="K1075" s="12">
        <v>46121.496087962965</v>
      </c>
      <c r="L1075" s="6" t="e" cm="1">
        <f t="array" ref="L1075">LOOKUP(2^15,SEARCH(Tabela2[Palavras-Chave],Boletim4[[#This Row],[Objeto]],1),Tabela2[Palavras-Chave])</f>
        <v>#N/A</v>
      </c>
    </row>
    <row r="1076" spans="1:12" ht="187.2" hidden="1" x14ac:dyDescent="0.3">
      <c r="A1076" s="5">
        <v>18802505</v>
      </c>
      <c r="B1076" s="6" t="s">
        <v>163</v>
      </c>
      <c r="C1076" s="6" t="s">
        <v>53</v>
      </c>
      <c r="D1076" s="8" t="s">
        <v>54</v>
      </c>
      <c r="E1076" s="6" t="s">
        <v>406</v>
      </c>
      <c r="F1076" s="6" t="s">
        <v>85</v>
      </c>
      <c r="G1076" s="11" t="s">
        <v>56</v>
      </c>
      <c r="H1076" s="11"/>
      <c r="I1076" s="10" t="s">
        <v>407</v>
      </c>
      <c r="J1076" s="6" t="s">
        <v>408</v>
      </c>
      <c r="K1076" s="12">
        <v>46121.389062499999</v>
      </c>
      <c r="L1076" s="6" t="e" cm="1">
        <f t="array" ref="L1076">LOOKUP(2^15,SEARCH(Tabela2[Palavras-Chave],Boletim4[[#This Row],[Objeto]],1),Tabela2[Palavras-Chave])</f>
        <v>#N/A</v>
      </c>
    </row>
    <row r="1077" spans="1:12" ht="187.2" hidden="1" x14ac:dyDescent="0.3">
      <c r="A1077" s="5">
        <v>18802509</v>
      </c>
      <c r="B1077" s="6" t="s">
        <v>163</v>
      </c>
      <c r="C1077" s="6" t="s">
        <v>53</v>
      </c>
      <c r="D1077" s="8" t="s">
        <v>54</v>
      </c>
      <c r="E1077" s="6" t="s">
        <v>398</v>
      </c>
      <c r="F1077" s="6" t="s">
        <v>85</v>
      </c>
      <c r="G1077" s="11" t="s">
        <v>56</v>
      </c>
      <c r="H1077" s="11"/>
      <c r="I1077" s="10" t="s">
        <v>399</v>
      </c>
      <c r="J1077" s="6" t="s">
        <v>400</v>
      </c>
      <c r="K1077" s="12">
        <v>46121.389062499999</v>
      </c>
      <c r="L1077" s="6" t="e" cm="1">
        <f t="array" ref="L1077">LOOKUP(2^15,SEARCH(Tabela2[Palavras-Chave],Boletim4[[#This Row],[Objeto]],1),Tabela2[Palavras-Chave])</f>
        <v>#N/A</v>
      </c>
    </row>
    <row r="1078" spans="1:12" ht="57.6" hidden="1" x14ac:dyDescent="0.3">
      <c r="A1078" s="5">
        <v>18805619</v>
      </c>
      <c r="B1078" s="6" t="s">
        <v>616</v>
      </c>
      <c r="C1078" s="6" t="s">
        <v>617</v>
      </c>
      <c r="D1078" s="8" t="s">
        <v>54</v>
      </c>
      <c r="E1078" s="6" t="s">
        <v>113</v>
      </c>
      <c r="F1078" s="6" t="s">
        <v>85</v>
      </c>
      <c r="G1078" s="11">
        <v>46135.416666666664</v>
      </c>
      <c r="H1078" s="11"/>
      <c r="I1078" s="10" t="s">
        <v>618</v>
      </c>
      <c r="J1078" s="6" t="s">
        <v>619</v>
      </c>
      <c r="K1078" s="12">
        <v>46121.409050925926</v>
      </c>
      <c r="L1078" s="6" t="e" cm="1">
        <f t="array" ref="L1078">LOOKUP(2^15,SEARCH(Tabela2[Palavras-Chave],Boletim4[[#This Row],[Objeto]],1),Tabela2[Palavras-Chave])</f>
        <v>#N/A</v>
      </c>
    </row>
    <row r="1079" spans="1:12" ht="115.2" hidden="1" x14ac:dyDescent="0.3">
      <c r="A1079" s="5">
        <v>18802563</v>
      </c>
      <c r="B1079" s="6" t="s">
        <v>392</v>
      </c>
      <c r="C1079" s="6" t="s">
        <v>393</v>
      </c>
      <c r="D1079" s="8" t="s">
        <v>54</v>
      </c>
      <c r="E1079" s="6" t="s">
        <v>175</v>
      </c>
      <c r="F1079" s="6" t="s">
        <v>85</v>
      </c>
      <c r="G1079" s="11" t="s">
        <v>56</v>
      </c>
      <c r="H1079" s="11"/>
      <c r="I1079" s="10" t="s">
        <v>394</v>
      </c>
      <c r="J1079" s="6" t="s">
        <v>395</v>
      </c>
      <c r="K1079" s="12">
        <v>46121.409062500003</v>
      </c>
      <c r="L1079" s="6" t="e" cm="1">
        <f t="array" ref="L1079">LOOKUP(2^15,SEARCH(Tabela2[Palavras-Chave],Boletim4[[#This Row],[Objeto]],1),Tabela2[Palavras-Chave])</f>
        <v>#N/A</v>
      </c>
    </row>
    <row r="1080" spans="1:12" ht="100.8" hidden="1" x14ac:dyDescent="0.3">
      <c r="A1080" s="5">
        <v>18807433</v>
      </c>
      <c r="B1080" s="6" t="s">
        <v>74</v>
      </c>
      <c r="C1080" s="6" t="s">
        <v>53</v>
      </c>
      <c r="D1080" s="8" t="s">
        <v>54</v>
      </c>
      <c r="E1080" s="6" t="s">
        <v>1319</v>
      </c>
      <c r="F1080" s="6" t="s">
        <v>85</v>
      </c>
      <c r="G1080" s="11" t="s">
        <v>56</v>
      </c>
      <c r="H1080" s="11"/>
      <c r="I1080" s="10" t="s">
        <v>1320</v>
      </c>
      <c r="J1080" s="6" t="s">
        <v>1321</v>
      </c>
      <c r="K1080" s="12">
        <v>46121.447280092594</v>
      </c>
      <c r="L1080" s="6" t="e" cm="1">
        <f t="array" ref="L1080">LOOKUP(2^15,SEARCH(Tabela2[Palavras-Chave],Boletim4[[#This Row],[Objeto]],1),Tabela2[Palavras-Chave])</f>
        <v>#N/A</v>
      </c>
    </row>
    <row r="1081" spans="1:12" ht="244.8" hidden="1" x14ac:dyDescent="0.3">
      <c r="A1081" s="5">
        <v>18807133</v>
      </c>
      <c r="B1081" s="6" t="s">
        <v>1368</v>
      </c>
      <c r="C1081" s="6" t="s">
        <v>1369</v>
      </c>
      <c r="D1081" s="8" t="s">
        <v>54</v>
      </c>
      <c r="E1081" s="6" t="s">
        <v>114</v>
      </c>
      <c r="F1081" s="6" t="s">
        <v>85</v>
      </c>
      <c r="G1081" s="11" t="s">
        <v>56</v>
      </c>
      <c r="H1081" s="11"/>
      <c r="I1081" s="10" t="s">
        <v>1370</v>
      </c>
      <c r="J1081" s="6" t="s">
        <v>1371</v>
      </c>
      <c r="K1081" s="12">
        <v>46121.446631944447</v>
      </c>
      <c r="L1081" s="6" t="e" cm="1">
        <f t="array" ref="L1081">LOOKUP(2^15,SEARCH(Tabela2[Palavras-Chave],Boletim4[[#This Row],[Objeto]],1),Tabela2[Palavras-Chave])</f>
        <v>#N/A</v>
      </c>
    </row>
    <row r="1082" spans="1:12" ht="100.8" hidden="1" x14ac:dyDescent="0.3">
      <c r="A1082" s="5">
        <v>18807568</v>
      </c>
      <c r="B1082" s="6" t="s">
        <v>74</v>
      </c>
      <c r="C1082" s="6" t="s">
        <v>53</v>
      </c>
      <c r="D1082" s="8" t="s">
        <v>54</v>
      </c>
      <c r="E1082" s="6" t="s">
        <v>2972</v>
      </c>
      <c r="F1082" s="6" t="s">
        <v>85</v>
      </c>
      <c r="G1082" s="11" t="s">
        <v>56</v>
      </c>
      <c r="H1082" s="11"/>
      <c r="I1082" s="10" t="s">
        <v>2973</v>
      </c>
      <c r="J1082" s="6" t="s">
        <v>1321</v>
      </c>
      <c r="K1082" s="12">
        <v>46121.450057870374</v>
      </c>
      <c r="L1082" s="6" t="e" cm="1">
        <f t="array" ref="L1082">LOOKUP(2^15,SEARCH(Tabela2[Palavras-Chave],Boletim4[[#This Row],[Objeto]],1),Tabela2[Palavras-Chave])</f>
        <v>#N/A</v>
      </c>
    </row>
    <row r="1083" spans="1:12" ht="259.2" hidden="1" x14ac:dyDescent="0.3">
      <c r="A1083" s="5">
        <v>18807094</v>
      </c>
      <c r="B1083" s="6" t="s">
        <v>1372</v>
      </c>
      <c r="C1083" s="6" t="s">
        <v>1373</v>
      </c>
      <c r="D1083" s="8" t="s">
        <v>54</v>
      </c>
      <c r="E1083" s="6" t="s">
        <v>106</v>
      </c>
      <c r="F1083" s="6" t="s">
        <v>85</v>
      </c>
      <c r="G1083" s="11" t="s">
        <v>56</v>
      </c>
      <c r="H1083" s="11"/>
      <c r="I1083" s="10" t="s">
        <v>1374</v>
      </c>
      <c r="J1083" s="6" t="s">
        <v>1375</v>
      </c>
      <c r="K1083" s="12">
        <v>46121.481307870374</v>
      </c>
      <c r="L1083" s="6" t="e" cm="1">
        <f t="array" ref="L1083">LOOKUP(2^15,SEARCH(Tabela2[Palavras-Chave],Boletim4[[#This Row],[Objeto]],1),Tabela2[Palavras-Chave])</f>
        <v>#N/A</v>
      </c>
    </row>
    <row r="1084" spans="1:12" ht="57.6" hidden="1" x14ac:dyDescent="0.3">
      <c r="A1084" s="5">
        <v>18807287</v>
      </c>
      <c r="B1084" s="6" t="s">
        <v>1376</v>
      </c>
      <c r="C1084" s="6" t="s">
        <v>1377</v>
      </c>
      <c r="D1084" s="8" t="s">
        <v>54</v>
      </c>
      <c r="E1084" s="6" t="s">
        <v>262</v>
      </c>
      <c r="F1084" s="6" t="s">
        <v>85</v>
      </c>
      <c r="G1084" s="11">
        <v>46142</v>
      </c>
      <c r="H1084" s="11"/>
      <c r="I1084" s="10" t="s">
        <v>1378</v>
      </c>
      <c r="J1084" s="6" t="s">
        <v>1379</v>
      </c>
      <c r="K1084" s="12">
        <v>46121.509328703702</v>
      </c>
      <c r="L1084" s="6" t="e" cm="1">
        <f t="array" ref="L1084">LOOKUP(2^15,SEARCH(Tabela2[Palavras-Chave],Boletim4[[#This Row],[Objeto]],1),Tabela2[Palavras-Chave])</f>
        <v>#N/A</v>
      </c>
    </row>
    <row r="1085" spans="1:12" ht="244.8" hidden="1" x14ac:dyDescent="0.3">
      <c r="A1085" s="5">
        <v>18807876</v>
      </c>
      <c r="B1085" s="6" t="s">
        <v>1380</v>
      </c>
      <c r="C1085" s="6" t="s">
        <v>1381</v>
      </c>
      <c r="D1085" s="8" t="s">
        <v>54</v>
      </c>
      <c r="E1085" s="6" t="s">
        <v>124</v>
      </c>
      <c r="F1085" s="6" t="s">
        <v>85</v>
      </c>
      <c r="G1085" s="11" t="s">
        <v>56</v>
      </c>
      <c r="H1085" s="11"/>
      <c r="I1085" s="10" t="s">
        <v>1382</v>
      </c>
      <c r="J1085" s="6" t="s">
        <v>1383</v>
      </c>
      <c r="K1085" s="12">
        <v>46121.526273148149</v>
      </c>
      <c r="L1085" s="6" t="e" cm="1">
        <f t="array" ref="L1085">LOOKUP(2^15,SEARCH(Tabela2[Palavras-Chave],Boletim4[[#This Row],[Objeto]],1),Tabela2[Palavras-Chave])</f>
        <v>#N/A</v>
      </c>
    </row>
    <row r="1086" spans="1:12" ht="244.8" hidden="1" x14ac:dyDescent="0.3">
      <c r="A1086" s="5">
        <v>18809456</v>
      </c>
      <c r="B1086" s="6" t="s">
        <v>404</v>
      </c>
      <c r="C1086" s="6" t="s">
        <v>405</v>
      </c>
      <c r="D1086" s="8" t="s">
        <v>54</v>
      </c>
      <c r="E1086" s="6" t="s">
        <v>108</v>
      </c>
      <c r="F1086" s="6" t="s">
        <v>85</v>
      </c>
      <c r="G1086" s="11" t="s">
        <v>56</v>
      </c>
      <c r="H1086" s="11"/>
      <c r="I1086" s="10" t="s">
        <v>1384</v>
      </c>
      <c r="J1086" s="6" t="s">
        <v>1385</v>
      </c>
      <c r="K1086" s="12">
        <v>46121.602129629631</v>
      </c>
      <c r="L1086" s="6" t="e" cm="1">
        <f t="array" ref="L1086">LOOKUP(2^15,SEARCH(Tabela2[Palavras-Chave],Boletim4[[#This Row],[Objeto]],1),Tabela2[Palavras-Chave])</f>
        <v>#N/A</v>
      </c>
    </row>
    <row r="1087" spans="1:12" ht="100.8" hidden="1" x14ac:dyDescent="0.3">
      <c r="A1087" s="5">
        <v>18806852</v>
      </c>
      <c r="B1087" s="6" t="s">
        <v>412</v>
      </c>
      <c r="C1087" s="6" t="s">
        <v>413</v>
      </c>
      <c r="D1087" s="8" t="s">
        <v>54</v>
      </c>
      <c r="E1087" s="6" t="s">
        <v>122</v>
      </c>
      <c r="F1087" s="6" t="s">
        <v>85</v>
      </c>
      <c r="G1087" s="11" t="s">
        <v>56</v>
      </c>
      <c r="H1087" s="11"/>
      <c r="I1087" s="10" t="s">
        <v>1386</v>
      </c>
      <c r="J1087" s="6" t="s">
        <v>1387</v>
      </c>
      <c r="K1087" s="12">
        <v>46121.613159722219</v>
      </c>
      <c r="L1087" s="6" t="e" cm="1">
        <f t="array" ref="L1087">LOOKUP(2^15,SEARCH(Tabela2[Palavras-Chave],Boletim4[[#This Row],[Objeto]],1),Tabela2[Palavras-Chave])</f>
        <v>#N/A</v>
      </c>
    </row>
    <row r="1088" spans="1:12" ht="172.8" hidden="1" x14ac:dyDescent="0.3">
      <c r="A1088" s="5">
        <v>18809768</v>
      </c>
      <c r="B1088" s="6" t="s">
        <v>1388</v>
      </c>
      <c r="C1088" s="6" t="s">
        <v>53</v>
      </c>
      <c r="D1088" s="8" t="s">
        <v>54</v>
      </c>
      <c r="E1088" s="6" t="s">
        <v>1389</v>
      </c>
      <c r="F1088" s="6" t="s">
        <v>85</v>
      </c>
      <c r="G1088" s="11" t="s">
        <v>56</v>
      </c>
      <c r="H1088" s="11"/>
      <c r="I1088" s="10" t="s">
        <v>1390</v>
      </c>
      <c r="J1088" s="6" t="s">
        <v>1391</v>
      </c>
      <c r="K1088" s="12">
        <v>46121.636828703704</v>
      </c>
      <c r="L1088" s="6" t="e" cm="1">
        <f t="array" ref="L1088">LOOKUP(2^15,SEARCH(Tabela2[Palavras-Chave],Boletim4[[#This Row],[Objeto]],1),Tabela2[Palavras-Chave])</f>
        <v>#N/A</v>
      </c>
    </row>
    <row r="1089" spans="1:12" ht="259.2" hidden="1" x14ac:dyDescent="0.3">
      <c r="A1089" s="5">
        <v>18809732</v>
      </c>
      <c r="B1089" s="6" t="s">
        <v>1392</v>
      </c>
      <c r="C1089" s="6" t="s">
        <v>1393</v>
      </c>
      <c r="D1089" s="8" t="s">
        <v>54</v>
      </c>
      <c r="E1089" s="6" t="s">
        <v>1394</v>
      </c>
      <c r="F1089" s="6" t="s">
        <v>85</v>
      </c>
      <c r="G1089" s="11" t="s">
        <v>56</v>
      </c>
      <c r="H1089" s="11"/>
      <c r="I1089" s="10" t="s">
        <v>1395</v>
      </c>
      <c r="J1089" s="6" t="s">
        <v>1396</v>
      </c>
      <c r="K1089" s="12">
        <v>46121.665034722224</v>
      </c>
      <c r="L1089" s="6" t="e" cm="1">
        <f t="array" ref="L1089">LOOKUP(2^15,SEARCH(Tabela2[Palavras-Chave],Boletim4[[#This Row],[Objeto]],1),Tabela2[Palavras-Chave])</f>
        <v>#N/A</v>
      </c>
    </row>
    <row r="1090" spans="1:12" ht="57.6" hidden="1" x14ac:dyDescent="0.3">
      <c r="A1090" s="5">
        <v>18809599</v>
      </c>
      <c r="B1090" s="6" t="s">
        <v>284</v>
      </c>
      <c r="C1090" s="6" t="s">
        <v>285</v>
      </c>
      <c r="D1090" s="8" t="s">
        <v>54</v>
      </c>
      <c r="E1090" s="6" t="s">
        <v>165</v>
      </c>
      <c r="F1090" s="6" t="s">
        <v>85</v>
      </c>
      <c r="G1090" s="11">
        <v>46135.354166666664</v>
      </c>
      <c r="H1090" s="11"/>
      <c r="I1090" s="10" t="s">
        <v>1397</v>
      </c>
      <c r="J1090" s="6" t="s">
        <v>1398</v>
      </c>
      <c r="K1090" s="12">
        <v>46121.675462962965</v>
      </c>
      <c r="L1090" s="6" t="e" cm="1">
        <f t="array" ref="L1090">LOOKUP(2^15,SEARCH(Tabela2[Palavras-Chave],Boletim4[[#This Row],[Objeto]],1),Tabela2[Palavras-Chave])</f>
        <v>#N/A</v>
      </c>
    </row>
    <row r="1091" spans="1:12" ht="201.6" hidden="1" x14ac:dyDescent="0.3">
      <c r="A1091" s="5">
        <v>18807737</v>
      </c>
      <c r="B1091" s="6" t="s">
        <v>3001</v>
      </c>
      <c r="C1091" s="6" t="s">
        <v>53</v>
      </c>
      <c r="D1091" s="8" t="s">
        <v>54</v>
      </c>
      <c r="E1091" s="6" t="s">
        <v>122</v>
      </c>
      <c r="F1091" s="6" t="s">
        <v>85</v>
      </c>
      <c r="G1091" s="11">
        <v>46148.416666666664</v>
      </c>
      <c r="H1091" s="11"/>
      <c r="I1091" s="10" t="s">
        <v>3002</v>
      </c>
      <c r="J1091" s="6" t="s">
        <v>3003</v>
      </c>
      <c r="K1091" s="12">
        <v>46121.693530092591</v>
      </c>
      <c r="L1091" s="6" t="e" cm="1">
        <f t="array" ref="L1091">LOOKUP(2^15,SEARCH(Tabela2[Palavras-Chave],Boletim4[[#This Row],[Objeto]],1),Tabela2[Palavras-Chave])</f>
        <v>#N/A</v>
      </c>
    </row>
    <row r="1092" spans="1:12" ht="57.6" hidden="1" x14ac:dyDescent="0.3">
      <c r="A1092" s="5">
        <v>18809626</v>
      </c>
      <c r="B1092" s="6" t="s">
        <v>1399</v>
      </c>
      <c r="C1092" s="6" t="s">
        <v>1400</v>
      </c>
      <c r="D1092" s="8" t="s">
        <v>54</v>
      </c>
      <c r="E1092" s="6" t="s">
        <v>450</v>
      </c>
      <c r="F1092" s="6" t="s">
        <v>85</v>
      </c>
      <c r="G1092" s="11" t="s">
        <v>56</v>
      </c>
      <c r="H1092" s="11"/>
      <c r="I1092" s="10" t="s">
        <v>1401</v>
      </c>
      <c r="J1092" s="6" t="s">
        <v>1402</v>
      </c>
      <c r="K1092" s="12">
        <v>46121.742395833331</v>
      </c>
      <c r="L1092" s="6" t="e" cm="1">
        <f t="array" ref="L1092">LOOKUP(2^15,SEARCH(Tabela2[Palavras-Chave],Boletim4[[#This Row],[Objeto]],1),Tabela2[Palavras-Chave])</f>
        <v>#N/A</v>
      </c>
    </row>
    <row r="1093" spans="1:12" ht="115.2" hidden="1" x14ac:dyDescent="0.3">
      <c r="A1093" s="5">
        <v>18809968</v>
      </c>
      <c r="B1093" s="6" t="s">
        <v>3004</v>
      </c>
      <c r="C1093" s="6" t="s">
        <v>3005</v>
      </c>
      <c r="D1093" s="8" t="s">
        <v>54</v>
      </c>
      <c r="E1093" s="6" t="s">
        <v>126</v>
      </c>
      <c r="F1093" s="6" t="s">
        <v>85</v>
      </c>
      <c r="G1093" s="11">
        <v>46135.354166666664</v>
      </c>
      <c r="H1093" s="11"/>
      <c r="I1093" s="10" t="s">
        <v>3006</v>
      </c>
      <c r="J1093" s="6" t="s">
        <v>3007</v>
      </c>
      <c r="K1093" s="12">
        <v>46121.702916666669</v>
      </c>
      <c r="L1093" s="6" t="e" cm="1">
        <f t="array" ref="L1093">LOOKUP(2^15,SEARCH(Tabela2[Palavras-Chave],Boletim4[[#This Row],[Objeto]],1),Tabela2[Palavras-Chave])</f>
        <v>#N/A</v>
      </c>
    </row>
    <row r="1094" spans="1:12" ht="86.4" hidden="1" x14ac:dyDescent="0.3">
      <c r="A1094" s="5">
        <v>18808994</v>
      </c>
      <c r="B1094" s="6" t="s">
        <v>1403</v>
      </c>
      <c r="C1094" s="6" t="s">
        <v>1404</v>
      </c>
      <c r="D1094" s="8" t="s">
        <v>54</v>
      </c>
      <c r="E1094" s="6" t="s">
        <v>441</v>
      </c>
      <c r="F1094" s="6" t="s">
        <v>85</v>
      </c>
      <c r="G1094" s="11" t="s">
        <v>56</v>
      </c>
      <c r="H1094" s="11"/>
      <c r="I1094" s="10" t="s">
        <v>1405</v>
      </c>
      <c r="J1094" s="6" t="s">
        <v>1406</v>
      </c>
      <c r="K1094" s="12">
        <v>46121.704305555555</v>
      </c>
      <c r="L1094" s="6" t="e" cm="1">
        <f t="array" ref="L1094">LOOKUP(2^15,SEARCH(Tabela2[Palavras-Chave],Boletim4[[#This Row],[Objeto]],1),Tabela2[Palavras-Chave])</f>
        <v>#N/A</v>
      </c>
    </row>
    <row r="1095" spans="1:12" ht="115.2" hidden="1" x14ac:dyDescent="0.3">
      <c r="A1095" s="5">
        <v>18808268</v>
      </c>
      <c r="B1095" s="6" t="s">
        <v>614</v>
      </c>
      <c r="C1095" s="6" t="s">
        <v>615</v>
      </c>
      <c r="D1095" s="8" t="s">
        <v>54</v>
      </c>
      <c r="E1095" s="6" t="s">
        <v>1316</v>
      </c>
      <c r="F1095" s="6" t="s">
        <v>85</v>
      </c>
      <c r="G1095" s="11" t="s">
        <v>56</v>
      </c>
      <c r="H1095" s="11"/>
      <c r="I1095" s="10" t="s">
        <v>1407</v>
      </c>
      <c r="J1095" s="6" t="s">
        <v>1408</v>
      </c>
      <c r="K1095" s="12">
        <v>46121.719050925924</v>
      </c>
      <c r="L1095" s="6" t="e" cm="1">
        <f t="array" ref="L1095">LOOKUP(2^15,SEARCH(Tabela2[Palavras-Chave],Boletim4[[#This Row],[Objeto]],1),Tabela2[Palavras-Chave])</f>
        <v>#N/A</v>
      </c>
    </row>
    <row r="1096" spans="1:12" ht="100.8" hidden="1" x14ac:dyDescent="0.3">
      <c r="A1096" s="5">
        <v>18806843</v>
      </c>
      <c r="B1096" s="6" t="s">
        <v>3008</v>
      </c>
      <c r="C1096" s="6" t="s">
        <v>3009</v>
      </c>
      <c r="D1096" s="8" t="s">
        <v>54</v>
      </c>
      <c r="E1096" s="6" t="s">
        <v>106</v>
      </c>
      <c r="F1096" s="6" t="s">
        <v>85</v>
      </c>
      <c r="G1096" s="11" t="s">
        <v>56</v>
      </c>
      <c r="H1096" s="11"/>
      <c r="I1096" s="10" t="s">
        <v>3010</v>
      </c>
      <c r="J1096" s="6" t="s">
        <v>3011</v>
      </c>
      <c r="K1096" s="12">
        <v>46121.756898148145</v>
      </c>
      <c r="L1096" s="6" t="e" cm="1">
        <f t="array" ref="L1096">LOOKUP(2^15,SEARCH(Tabela2[Palavras-Chave],Boletim4[[#This Row],[Objeto]],1),Tabela2[Palavras-Chave])</f>
        <v>#N/A</v>
      </c>
    </row>
    <row r="1097" spans="1:12" ht="187.2" hidden="1" x14ac:dyDescent="0.3">
      <c r="A1097" s="5">
        <v>18811198</v>
      </c>
      <c r="B1097" s="6" t="s">
        <v>1409</v>
      </c>
      <c r="C1097" s="6" t="s">
        <v>1410</v>
      </c>
      <c r="D1097" s="8" t="s">
        <v>54</v>
      </c>
      <c r="E1097" s="6" t="s">
        <v>148</v>
      </c>
      <c r="F1097" s="6" t="s">
        <v>85</v>
      </c>
      <c r="G1097" s="11" t="s">
        <v>56</v>
      </c>
      <c r="H1097" s="11"/>
      <c r="I1097" s="10" t="s">
        <v>1411</v>
      </c>
      <c r="J1097" s="6" t="s">
        <v>1412</v>
      </c>
      <c r="K1097" s="12">
        <v>46121.813078703701</v>
      </c>
      <c r="L1097" s="6" t="e" cm="1">
        <f t="array" ref="L1097">LOOKUP(2^15,SEARCH(Tabela2[Palavras-Chave],Boletim4[[#This Row],[Objeto]],1),Tabela2[Palavras-Chave])</f>
        <v>#N/A</v>
      </c>
    </row>
    <row r="1098" spans="1:12" ht="244.8" hidden="1" x14ac:dyDescent="0.3">
      <c r="A1098" s="5">
        <v>18810364</v>
      </c>
      <c r="B1098" s="6" t="s">
        <v>1413</v>
      </c>
      <c r="C1098" s="6" t="s">
        <v>1414</v>
      </c>
      <c r="D1098" s="8" t="s">
        <v>54</v>
      </c>
      <c r="E1098" s="6" t="s">
        <v>127</v>
      </c>
      <c r="F1098" s="6" t="s">
        <v>85</v>
      </c>
      <c r="G1098" s="11" t="s">
        <v>56</v>
      </c>
      <c r="H1098" s="11"/>
      <c r="I1098" s="10" t="s">
        <v>1415</v>
      </c>
      <c r="J1098" s="6" t="s">
        <v>1416</v>
      </c>
      <c r="K1098" s="12">
        <v>46121.871759259258</v>
      </c>
      <c r="L1098" s="6" t="e" cm="1">
        <f t="array" ref="L1098">LOOKUP(2^15,SEARCH(Tabela2[Palavras-Chave],Boletim4[[#This Row],[Objeto]],1),Tabela2[Palavras-Chave])</f>
        <v>#N/A</v>
      </c>
    </row>
    <row r="1099" spans="1:12" ht="201.6" hidden="1" x14ac:dyDescent="0.3">
      <c r="A1099" s="5">
        <v>18804345</v>
      </c>
      <c r="B1099" s="6" t="s">
        <v>621</v>
      </c>
      <c r="C1099" s="6" t="s">
        <v>622</v>
      </c>
      <c r="D1099" s="8" t="s">
        <v>60</v>
      </c>
      <c r="E1099" s="6" t="s">
        <v>127</v>
      </c>
      <c r="F1099" s="6" t="s">
        <v>85</v>
      </c>
      <c r="G1099" s="11" t="s">
        <v>56</v>
      </c>
      <c r="H1099" s="11"/>
      <c r="I1099" s="10" t="s">
        <v>623</v>
      </c>
      <c r="J1099" s="6" t="s">
        <v>624</v>
      </c>
      <c r="K1099" s="12">
        <v>46121.450752314813</v>
      </c>
      <c r="L1099" s="6" t="e" cm="1">
        <f t="array" ref="L1099">LOOKUP(2^15,SEARCH(Tabela2[Palavras-Chave],Boletim4[[#This Row],[Objeto]],1),Tabela2[Palavras-Chave])</f>
        <v>#N/A</v>
      </c>
    </row>
    <row r="1100" spans="1:12" ht="86.4" hidden="1" x14ac:dyDescent="0.3">
      <c r="A1100" s="5">
        <v>18807302</v>
      </c>
      <c r="B1100" s="6" t="s">
        <v>3012</v>
      </c>
      <c r="C1100" s="6" t="s">
        <v>3013</v>
      </c>
      <c r="D1100" s="8" t="s">
        <v>60</v>
      </c>
      <c r="E1100" s="6" t="s">
        <v>707</v>
      </c>
      <c r="F1100" s="6" t="s">
        <v>85</v>
      </c>
      <c r="G1100" s="11" t="s">
        <v>56</v>
      </c>
      <c r="H1100" s="11"/>
      <c r="I1100" s="10" t="s">
        <v>3014</v>
      </c>
      <c r="J1100" s="6" t="s">
        <v>3015</v>
      </c>
      <c r="K1100" s="12">
        <v>46121.44059027778</v>
      </c>
      <c r="L1100" s="6" t="e" cm="1">
        <f t="array" ref="L1100">LOOKUP(2^15,SEARCH(Tabela2[Palavras-Chave],Boletim4[[#This Row],[Objeto]],1),Tabela2[Palavras-Chave])</f>
        <v>#N/A</v>
      </c>
    </row>
    <row r="1101" spans="1:12" ht="100.8" hidden="1" x14ac:dyDescent="0.3">
      <c r="A1101" s="5">
        <v>18807434</v>
      </c>
      <c r="B1101" s="6" t="s">
        <v>74</v>
      </c>
      <c r="C1101" s="6" t="s">
        <v>59</v>
      </c>
      <c r="D1101" s="8" t="s">
        <v>60</v>
      </c>
      <c r="E1101" s="6" t="s">
        <v>1319</v>
      </c>
      <c r="F1101" s="6" t="s">
        <v>85</v>
      </c>
      <c r="G1101" s="11" t="s">
        <v>56</v>
      </c>
      <c r="H1101" s="11"/>
      <c r="I1101" s="10" t="s">
        <v>1320</v>
      </c>
      <c r="J1101" s="6" t="s">
        <v>1321</v>
      </c>
      <c r="K1101" s="12">
        <v>46121.447280092594</v>
      </c>
      <c r="L1101" s="6" t="e" cm="1">
        <f t="array" ref="L1101">LOOKUP(2^15,SEARCH(Tabela2[Palavras-Chave],Boletim4[[#This Row],[Objeto]],1),Tabela2[Palavras-Chave])</f>
        <v>#N/A</v>
      </c>
    </row>
    <row r="1102" spans="1:12" ht="100.8" hidden="1" x14ac:dyDescent="0.3">
      <c r="A1102" s="5">
        <v>18807569</v>
      </c>
      <c r="B1102" s="6" t="s">
        <v>74</v>
      </c>
      <c r="C1102" s="6" t="s">
        <v>59</v>
      </c>
      <c r="D1102" s="8" t="s">
        <v>60</v>
      </c>
      <c r="E1102" s="6" t="s">
        <v>2972</v>
      </c>
      <c r="F1102" s="6" t="s">
        <v>85</v>
      </c>
      <c r="G1102" s="11" t="s">
        <v>56</v>
      </c>
      <c r="H1102" s="11"/>
      <c r="I1102" s="10" t="s">
        <v>2973</v>
      </c>
      <c r="J1102" s="6" t="s">
        <v>1321</v>
      </c>
      <c r="K1102" s="12">
        <v>46121.450057870374</v>
      </c>
      <c r="L1102" s="6" t="e" cm="1">
        <f t="array" ref="L1102">LOOKUP(2^15,SEARCH(Tabela2[Palavras-Chave],Boletim4[[#This Row],[Objeto]],1),Tabela2[Palavras-Chave])</f>
        <v>#N/A</v>
      </c>
    </row>
    <row r="1103" spans="1:12" ht="57.6" hidden="1" x14ac:dyDescent="0.3">
      <c r="A1103" s="5">
        <v>18802425</v>
      </c>
      <c r="B1103" s="6" t="s">
        <v>414</v>
      </c>
      <c r="C1103" s="6" t="s">
        <v>415</v>
      </c>
      <c r="D1103" s="8" t="s">
        <v>60</v>
      </c>
      <c r="E1103" s="6" t="s">
        <v>416</v>
      </c>
      <c r="F1103" s="6" t="s">
        <v>85</v>
      </c>
      <c r="G1103" s="11">
        <v>46135.375</v>
      </c>
      <c r="H1103" s="11"/>
      <c r="I1103" s="10" t="s">
        <v>417</v>
      </c>
      <c r="J1103" s="6" t="s">
        <v>418</v>
      </c>
      <c r="K1103" s="12">
        <v>46121.450729166667</v>
      </c>
      <c r="L1103" s="6" t="e" cm="1">
        <f t="array" ref="L1103">LOOKUP(2^15,SEARCH(Tabela2[Palavras-Chave],Boletim4[[#This Row],[Objeto]],1),Tabela2[Palavras-Chave])</f>
        <v>#N/A</v>
      </c>
    </row>
    <row r="1104" spans="1:12" ht="86.4" hidden="1" x14ac:dyDescent="0.3">
      <c r="A1104" s="5">
        <v>18795757</v>
      </c>
      <c r="B1104" s="6" t="s">
        <v>3012</v>
      </c>
      <c r="C1104" s="6" t="s">
        <v>3013</v>
      </c>
      <c r="D1104" s="8" t="s">
        <v>60</v>
      </c>
      <c r="E1104" s="6" t="s">
        <v>201</v>
      </c>
      <c r="F1104" s="6" t="s">
        <v>85</v>
      </c>
      <c r="G1104" s="11" t="s">
        <v>56</v>
      </c>
      <c r="H1104" s="11"/>
      <c r="I1104" s="10" t="s">
        <v>3016</v>
      </c>
      <c r="J1104" s="6" t="s">
        <v>3017</v>
      </c>
      <c r="K1104" s="12">
        <v>46121.450740740744</v>
      </c>
      <c r="L1104" s="6" t="e" cm="1">
        <f t="array" ref="L1104">LOOKUP(2^15,SEARCH(Tabela2[Palavras-Chave],Boletim4[[#This Row],[Objeto]],1),Tabela2[Palavras-Chave])</f>
        <v>#N/A</v>
      </c>
    </row>
    <row r="1105" spans="1:12" ht="259.2" hidden="1" x14ac:dyDescent="0.3">
      <c r="A1105" s="5">
        <v>18806079</v>
      </c>
      <c r="B1105" s="6" t="s">
        <v>419</v>
      </c>
      <c r="C1105" s="6" t="s">
        <v>271</v>
      </c>
      <c r="D1105" s="8" t="s">
        <v>60</v>
      </c>
      <c r="E1105" s="6" t="s">
        <v>420</v>
      </c>
      <c r="F1105" s="6" t="s">
        <v>85</v>
      </c>
      <c r="G1105" s="11" t="s">
        <v>56</v>
      </c>
      <c r="H1105" s="11"/>
      <c r="I1105" s="10" t="s">
        <v>421</v>
      </c>
      <c r="J1105" s="6" t="s">
        <v>422</v>
      </c>
      <c r="K1105" s="12">
        <v>46121.450740740744</v>
      </c>
      <c r="L1105" s="6" t="e" cm="1">
        <f t="array" ref="L1105">LOOKUP(2^15,SEARCH(Tabela2[Palavras-Chave],Boletim4[[#This Row],[Objeto]],1),Tabela2[Palavras-Chave])</f>
        <v>#N/A</v>
      </c>
    </row>
    <row r="1106" spans="1:12" ht="57.6" hidden="1" x14ac:dyDescent="0.3">
      <c r="A1106" s="5">
        <v>18807989</v>
      </c>
      <c r="B1106" s="6" t="s">
        <v>1417</v>
      </c>
      <c r="C1106" s="6" t="s">
        <v>1418</v>
      </c>
      <c r="D1106" s="8" t="s">
        <v>60</v>
      </c>
      <c r="E1106" s="6" t="s">
        <v>1419</v>
      </c>
      <c r="F1106" s="6" t="s">
        <v>85</v>
      </c>
      <c r="G1106" s="11">
        <v>46135.375</v>
      </c>
      <c r="H1106" s="11"/>
      <c r="I1106" s="10" t="s">
        <v>1420</v>
      </c>
      <c r="J1106" s="6" t="s">
        <v>1421</v>
      </c>
      <c r="K1106" s="12">
        <v>46121.518854166665</v>
      </c>
      <c r="L1106" s="6" t="e" cm="1">
        <f t="array" ref="L1106">LOOKUP(2^15,SEARCH(Tabela2[Palavras-Chave],Boletim4[[#This Row],[Objeto]],1),Tabela2[Palavras-Chave])</f>
        <v>#N/A</v>
      </c>
    </row>
    <row r="1107" spans="1:12" ht="129.6" hidden="1" x14ac:dyDescent="0.3">
      <c r="A1107" s="5">
        <v>18808250</v>
      </c>
      <c r="B1107" s="6" t="s">
        <v>151</v>
      </c>
      <c r="C1107" s="6" t="s">
        <v>59</v>
      </c>
      <c r="D1107" s="8" t="s">
        <v>60</v>
      </c>
      <c r="E1107" s="6" t="s">
        <v>1422</v>
      </c>
      <c r="F1107" s="6" t="s">
        <v>85</v>
      </c>
      <c r="G1107" s="11" t="s">
        <v>56</v>
      </c>
      <c r="H1107" s="11"/>
      <c r="I1107" s="10" t="s">
        <v>1423</v>
      </c>
      <c r="J1107" s="6" t="s">
        <v>1424</v>
      </c>
      <c r="K1107" s="12">
        <v>46121.694849537038</v>
      </c>
      <c r="L1107" s="6" t="e" cm="1">
        <f t="array" ref="L1107">LOOKUP(2^15,SEARCH(Tabela2[Palavras-Chave],Boletim4[[#This Row],[Objeto]],1),Tabela2[Palavras-Chave])</f>
        <v>#N/A</v>
      </c>
    </row>
    <row r="1108" spans="1:12" ht="115.2" hidden="1" x14ac:dyDescent="0.3">
      <c r="A1108" s="5">
        <v>18808582</v>
      </c>
      <c r="B1108" s="6" t="s">
        <v>1425</v>
      </c>
      <c r="C1108" s="6" t="s">
        <v>1426</v>
      </c>
      <c r="D1108" s="8" t="s">
        <v>60</v>
      </c>
      <c r="E1108" s="6" t="s">
        <v>1427</v>
      </c>
      <c r="F1108" s="6" t="s">
        <v>85</v>
      </c>
      <c r="G1108" s="11">
        <v>46135.395833333336</v>
      </c>
      <c r="H1108" s="11"/>
      <c r="I1108" s="10" t="s">
        <v>1428</v>
      </c>
      <c r="J1108" s="6" t="s">
        <v>1429</v>
      </c>
      <c r="K1108" s="12">
        <v>46121.702106481483</v>
      </c>
      <c r="L1108" s="6" t="e" cm="1">
        <f t="array" ref="L1108">LOOKUP(2^15,SEARCH(Tabela2[Palavras-Chave],Boletim4[[#This Row],[Objeto]],1),Tabela2[Palavras-Chave])</f>
        <v>#N/A</v>
      </c>
    </row>
    <row r="1109" spans="1:12" ht="72" hidden="1" x14ac:dyDescent="0.3">
      <c r="A1109" s="5">
        <v>18808008</v>
      </c>
      <c r="B1109" s="6" t="s">
        <v>1417</v>
      </c>
      <c r="C1109" s="6" t="s">
        <v>1418</v>
      </c>
      <c r="D1109" s="8" t="s">
        <v>60</v>
      </c>
      <c r="E1109" s="6" t="s">
        <v>117</v>
      </c>
      <c r="F1109" s="6" t="s">
        <v>85</v>
      </c>
      <c r="G1109" s="11">
        <v>46134.333333333336</v>
      </c>
      <c r="H1109" s="11"/>
      <c r="I1109" s="10" t="s">
        <v>1430</v>
      </c>
      <c r="J1109" s="6" t="s">
        <v>1431</v>
      </c>
      <c r="K1109" s="12">
        <v>46121.703865740739</v>
      </c>
      <c r="L1109" s="6" t="e" cm="1">
        <f t="array" ref="L1109">LOOKUP(2^15,SEARCH(Tabela2[Palavras-Chave],Boletim4[[#This Row],[Objeto]],1),Tabela2[Palavras-Chave])</f>
        <v>#N/A</v>
      </c>
    </row>
    <row r="1110" spans="1:12" ht="43.2" hidden="1" x14ac:dyDescent="0.3">
      <c r="A1110" s="5">
        <v>18808002</v>
      </c>
      <c r="B1110" s="6" t="s">
        <v>3018</v>
      </c>
      <c r="C1110" s="6" t="s">
        <v>233</v>
      </c>
      <c r="D1110" s="8" t="s">
        <v>60</v>
      </c>
      <c r="E1110" s="6" t="s">
        <v>3019</v>
      </c>
      <c r="F1110" s="6" t="s">
        <v>85</v>
      </c>
      <c r="G1110" s="11">
        <v>46135.375</v>
      </c>
      <c r="H1110" s="11"/>
      <c r="I1110" s="10" t="s">
        <v>3020</v>
      </c>
      <c r="J1110" s="6" t="s">
        <v>3021</v>
      </c>
      <c r="K1110" s="12">
        <v>46121.73128472222</v>
      </c>
      <c r="L1110" s="6" t="e" cm="1">
        <f t="array" ref="L1110">LOOKUP(2^15,SEARCH(Tabela2[Palavras-Chave],Boletim4[[#This Row],[Objeto]],1),Tabela2[Palavras-Chave])</f>
        <v>#N/A</v>
      </c>
    </row>
    <row r="1111" spans="1:12" ht="115.2" hidden="1" x14ac:dyDescent="0.3">
      <c r="A1111" s="5">
        <v>18810389</v>
      </c>
      <c r="B1111" s="6" t="s">
        <v>1432</v>
      </c>
      <c r="C1111" s="6" t="s">
        <v>59</v>
      </c>
      <c r="D1111" s="8" t="s">
        <v>60</v>
      </c>
      <c r="E1111" s="6" t="s">
        <v>175</v>
      </c>
      <c r="F1111" s="6" t="s">
        <v>85</v>
      </c>
      <c r="G1111" s="11" t="s">
        <v>56</v>
      </c>
      <c r="H1111" s="11"/>
      <c r="I1111" s="10" t="s">
        <v>1433</v>
      </c>
      <c r="J1111" s="6" t="s">
        <v>1434</v>
      </c>
      <c r="K1111" s="12">
        <v>46121.737384259257</v>
      </c>
      <c r="L1111" s="6" t="e" cm="1">
        <f t="array" ref="L1111">LOOKUP(2^15,SEARCH(Tabela2[Palavras-Chave],Boletim4[[#This Row],[Objeto]],1),Tabela2[Palavras-Chave])</f>
        <v>#N/A</v>
      </c>
    </row>
    <row r="1112" spans="1:12" ht="244.8" hidden="1" x14ac:dyDescent="0.3">
      <c r="A1112" s="5">
        <v>18811178</v>
      </c>
      <c r="B1112" s="6" t="s">
        <v>719</v>
      </c>
      <c r="C1112" s="6" t="s">
        <v>720</v>
      </c>
      <c r="D1112" s="8" t="s">
        <v>60</v>
      </c>
      <c r="E1112" s="6" t="s">
        <v>3022</v>
      </c>
      <c r="F1112" s="6" t="s">
        <v>85</v>
      </c>
      <c r="G1112" s="11">
        <v>46136.354166666664</v>
      </c>
      <c r="H1112" s="11"/>
      <c r="I1112" s="10" t="s">
        <v>3023</v>
      </c>
      <c r="J1112" s="6" t="s">
        <v>3024</v>
      </c>
      <c r="K1112" s="12">
        <v>46121.81318287037</v>
      </c>
      <c r="L1112" s="6" t="e" cm="1">
        <f t="array" ref="L1112">LOOKUP(2^15,SEARCH(Tabela2[Palavras-Chave],Boletim4[[#This Row],[Objeto]],1),Tabela2[Palavras-Chave])</f>
        <v>#N/A</v>
      </c>
    </row>
    <row r="1113" spans="1:12" ht="100.8" hidden="1" x14ac:dyDescent="0.3">
      <c r="A1113" s="5">
        <v>18807436</v>
      </c>
      <c r="B1113" s="6" t="s">
        <v>74</v>
      </c>
      <c r="C1113" s="6" t="s">
        <v>61</v>
      </c>
      <c r="D1113" s="8" t="s">
        <v>62</v>
      </c>
      <c r="E1113" s="6" t="s">
        <v>1319</v>
      </c>
      <c r="F1113" s="6" t="s">
        <v>85</v>
      </c>
      <c r="G1113" s="11" t="s">
        <v>56</v>
      </c>
      <c r="H1113" s="11"/>
      <c r="I1113" s="10" t="s">
        <v>1320</v>
      </c>
      <c r="J1113" s="6" t="s">
        <v>1321</v>
      </c>
      <c r="K1113" s="12">
        <v>46121.447280092594</v>
      </c>
      <c r="L1113" s="6" t="e" cm="1">
        <f t="array" ref="L1113">LOOKUP(2^15,SEARCH(Tabela2[Palavras-Chave],Boletim4[[#This Row],[Objeto]],1),Tabela2[Palavras-Chave])</f>
        <v>#N/A</v>
      </c>
    </row>
    <row r="1114" spans="1:12" ht="100.8" hidden="1" x14ac:dyDescent="0.3">
      <c r="A1114" s="5">
        <v>18807570</v>
      </c>
      <c r="B1114" s="6" t="s">
        <v>74</v>
      </c>
      <c r="C1114" s="6" t="s">
        <v>61</v>
      </c>
      <c r="D1114" s="8" t="s">
        <v>62</v>
      </c>
      <c r="E1114" s="6" t="s">
        <v>2972</v>
      </c>
      <c r="F1114" s="6" t="s">
        <v>85</v>
      </c>
      <c r="G1114" s="11" t="s">
        <v>56</v>
      </c>
      <c r="H1114" s="11"/>
      <c r="I1114" s="10" t="s">
        <v>2973</v>
      </c>
      <c r="J1114" s="6" t="s">
        <v>1321</v>
      </c>
      <c r="K1114" s="12">
        <v>46121.450057870374</v>
      </c>
      <c r="L1114" s="6" t="e" cm="1">
        <f t="array" ref="L1114">LOOKUP(2^15,SEARCH(Tabela2[Palavras-Chave],Boletim4[[#This Row],[Objeto]],1),Tabela2[Palavras-Chave])</f>
        <v>#N/A</v>
      </c>
    </row>
    <row r="1115" spans="1:12" ht="409.6" hidden="1" x14ac:dyDescent="0.3">
      <c r="A1115" s="5">
        <v>18781119</v>
      </c>
      <c r="B1115" s="6" t="s">
        <v>425</v>
      </c>
      <c r="C1115" s="6" t="s">
        <v>61</v>
      </c>
      <c r="D1115" s="8" t="s">
        <v>62</v>
      </c>
      <c r="E1115" s="6" t="s">
        <v>1435</v>
      </c>
      <c r="F1115" s="6" t="s">
        <v>85</v>
      </c>
      <c r="G1115" s="11" t="s">
        <v>56</v>
      </c>
      <c r="H1115" s="11"/>
      <c r="I1115" s="10" t="s">
        <v>1436</v>
      </c>
      <c r="J1115" s="6" t="s">
        <v>1437</v>
      </c>
      <c r="K1115" s="12">
        <v>46121.491423611114</v>
      </c>
      <c r="L1115" s="6" t="e" cm="1">
        <f t="array" ref="L1115">LOOKUP(2^15,SEARCH(Tabela2[Palavras-Chave],Boletim4[[#This Row],[Objeto]],1),Tabela2[Palavras-Chave])</f>
        <v>#N/A</v>
      </c>
    </row>
    <row r="1116" spans="1:12" ht="115.2" hidden="1" x14ac:dyDescent="0.3">
      <c r="A1116" s="5">
        <v>18808277</v>
      </c>
      <c r="B1116" s="6" t="s">
        <v>339</v>
      </c>
      <c r="C1116" s="6" t="s">
        <v>61</v>
      </c>
      <c r="D1116" s="8" t="s">
        <v>62</v>
      </c>
      <c r="E1116" s="6" t="s">
        <v>157</v>
      </c>
      <c r="F1116" s="6" t="s">
        <v>85</v>
      </c>
      <c r="G1116" s="11" t="s">
        <v>56</v>
      </c>
      <c r="H1116" s="11"/>
      <c r="I1116" s="10" t="s">
        <v>1438</v>
      </c>
      <c r="J1116" s="6" t="s">
        <v>1439</v>
      </c>
      <c r="K1116" s="12">
        <v>46121.529953703706</v>
      </c>
      <c r="L1116" s="6" t="e" cm="1">
        <f t="array" ref="L1116">LOOKUP(2^15,SEARCH(Tabela2[Palavras-Chave],Boletim4[[#This Row],[Objeto]],1),Tabela2[Palavras-Chave])</f>
        <v>#N/A</v>
      </c>
    </row>
    <row r="1117" spans="1:12" ht="115.2" hidden="1" x14ac:dyDescent="0.3">
      <c r="A1117" s="5">
        <v>18809905</v>
      </c>
      <c r="B1117" s="6" t="s">
        <v>425</v>
      </c>
      <c r="C1117" s="6" t="s">
        <v>61</v>
      </c>
      <c r="D1117" s="8" t="s">
        <v>62</v>
      </c>
      <c r="E1117" s="6" t="s">
        <v>1440</v>
      </c>
      <c r="F1117" s="6" t="s">
        <v>85</v>
      </c>
      <c r="G1117" s="11">
        <v>46140.374305555553</v>
      </c>
      <c r="H1117" s="11"/>
      <c r="I1117" s="10" t="s">
        <v>1441</v>
      </c>
      <c r="J1117" s="6" t="s">
        <v>1442</v>
      </c>
      <c r="K1117" s="12">
        <v>46121.659212962964</v>
      </c>
      <c r="L1117" s="6" t="e" cm="1">
        <f t="array" ref="L1117">LOOKUP(2^15,SEARCH(Tabela2[Palavras-Chave],Boletim4[[#This Row],[Objeto]],1),Tabela2[Palavras-Chave])</f>
        <v>#N/A</v>
      </c>
    </row>
    <row r="1118" spans="1:12" ht="43.2" hidden="1" x14ac:dyDescent="0.3">
      <c r="A1118" s="5">
        <v>18808092</v>
      </c>
      <c r="B1118" s="6" t="s">
        <v>3025</v>
      </c>
      <c r="C1118" s="6" t="s">
        <v>61</v>
      </c>
      <c r="D1118" s="8" t="s">
        <v>62</v>
      </c>
      <c r="E1118" s="6" t="s">
        <v>3026</v>
      </c>
      <c r="F1118" s="6" t="s">
        <v>85</v>
      </c>
      <c r="G1118" s="11" t="s">
        <v>56</v>
      </c>
      <c r="H1118" s="11"/>
      <c r="I1118" s="10" t="s">
        <v>3027</v>
      </c>
      <c r="J1118" s="6" t="s">
        <v>3028</v>
      </c>
      <c r="K1118" s="12">
        <v>46121.690636574072</v>
      </c>
      <c r="L1118" s="6" t="e" cm="1">
        <f t="array" ref="L1118">LOOKUP(2^15,SEARCH(Tabela2[Palavras-Chave],Boletim4[[#This Row],[Objeto]],1),Tabela2[Palavras-Chave])</f>
        <v>#N/A</v>
      </c>
    </row>
    <row r="1119" spans="1:12" ht="115.2" hidden="1" x14ac:dyDescent="0.3">
      <c r="A1119" s="5">
        <v>18810377</v>
      </c>
      <c r="B1119" s="6" t="s">
        <v>1443</v>
      </c>
      <c r="C1119" s="6" t="s">
        <v>61</v>
      </c>
      <c r="D1119" s="8" t="s">
        <v>62</v>
      </c>
      <c r="E1119" s="6" t="s">
        <v>424</v>
      </c>
      <c r="F1119" s="6" t="s">
        <v>85</v>
      </c>
      <c r="G1119" s="11" t="s">
        <v>56</v>
      </c>
      <c r="H1119" s="11"/>
      <c r="I1119" s="10" t="s">
        <v>1444</v>
      </c>
      <c r="J1119" s="6" t="s">
        <v>1445</v>
      </c>
      <c r="K1119" s="12">
        <v>46121.745335648149</v>
      </c>
      <c r="L1119" s="6" t="e" cm="1">
        <f t="array" ref="L1119">LOOKUP(2^15,SEARCH(Tabela2[Palavras-Chave],Boletim4[[#This Row],[Objeto]],1),Tabela2[Palavras-Chave])</f>
        <v>#N/A</v>
      </c>
    </row>
    <row r="1120" spans="1:12" ht="115.2" hidden="1" x14ac:dyDescent="0.3">
      <c r="A1120" s="5">
        <v>18808348</v>
      </c>
      <c r="B1120" s="6" t="s">
        <v>1446</v>
      </c>
      <c r="C1120" s="6" t="s">
        <v>61</v>
      </c>
      <c r="D1120" s="8" t="s">
        <v>62</v>
      </c>
      <c r="E1120" s="6" t="s">
        <v>183</v>
      </c>
      <c r="F1120" s="6" t="s">
        <v>85</v>
      </c>
      <c r="G1120" s="11" t="s">
        <v>56</v>
      </c>
      <c r="H1120" s="11"/>
      <c r="I1120" s="10" t="s">
        <v>1447</v>
      </c>
      <c r="J1120" s="6" t="s">
        <v>1448</v>
      </c>
      <c r="K1120" s="12">
        <v>46121.758726851855</v>
      </c>
      <c r="L1120" s="6" t="e" cm="1">
        <f t="array" ref="L1120">LOOKUP(2^15,SEARCH(Tabela2[Palavras-Chave],Boletim4[[#This Row],[Objeto]],1),Tabela2[Palavras-Chave])</f>
        <v>#N/A</v>
      </c>
    </row>
    <row r="1121" spans="1:12" ht="115.2" hidden="1" x14ac:dyDescent="0.3">
      <c r="A1121" s="5">
        <v>18809907</v>
      </c>
      <c r="B1121" s="6" t="s">
        <v>425</v>
      </c>
      <c r="C1121" s="6" t="s">
        <v>61</v>
      </c>
      <c r="D1121" s="8" t="s">
        <v>62</v>
      </c>
      <c r="E1121" s="6" t="s">
        <v>1449</v>
      </c>
      <c r="F1121" s="6" t="s">
        <v>85</v>
      </c>
      <c r="G1121" s="11">
        <v>46139.374305555553</v>
      </c>
      <c r="H1121" s="11"/>
      <c r="I1121" s="10" t="s">
        <v>1450</v>
      </c>
      <c r="J1121" s="6" t="s">
        <v>1451</v>
      </c>
      <c r="K1121" s="12">
        <v>46121.853506944448</v>
      </c>
      <c r="L1121" s="6" t="e" cm="1">
        <f t="array" ref="L1121">LOOKUP(2^15,SEARCH(Tabela2[Palavras-Chave],Boletim4[[#This Row],[Objeto]],1),Tabela2[Palavras-Chave])</f>
        <v>#N/A</v>
      </c>
    </row>
    <row r="1122" spans="1:12" ht="259.2" hidden="1" x14ac:dyDescent="0.3">
      <c r="A1122" s="5">
        <v>18809729</v>
      </c>
      <c r="B1122" s="6" t="s">
        <v>1452</v>
      </c>
      <c r="C1122" s="6" t="s">
        <v>61</v>
      </c>
      <c r="D1122" s="8" t="s">
        <v>62</v>
      </c>
      <c r="E1122" s="6" t="s">
        <v>1453</v>
      </c>
      <c r="F1122" s="6" t="s">
        <v>85</v>
      </c>
      <c r="G1122" s="11" t="s">
        <v>56</v>
      </c>
      <c r="H1122" s="11"/>
      <c r="I1122" s="10" t="s">
        <v>1454</v>
      </c>
      <c r="J1122" s="6" t="s">
        <v>1455</v>
      </c>
      <c r="K1122" s="12">
        <v>46121.854930555557</v>
      </c>
      <c r="L1122" s="6" t="e" cm="1">
        <f t="array" ref="L1122">LOOKUP(2^15,SEARCH(Tabela2[Palavras-Chave],Boletim4[[#This Row],[Objeto]],1),Tabela2[Palavras-Chave])</f>
        <v>#N/A</v>
      </c>
    </row>
    <row r="1123" spans="1:12" ht="100.8" hidden="1" x14ac:dyDescent="0.3">
      <c r="A1123" s="5">
        <v>18807437</v>
      </c>
      <c r="B1123" s="6" t="s">
        <v>74</v>
      </c>
      <c r="C1123" s="6" t="s">
        <v>88</v>
      </c>
      <c r="D1123" s="8" t="s">
        <v>63</v>
      </c>
      <c r="E1123" s="6" t="s">
        <v>1319</v>
      </c>
      <c r="F1123" s="6" t="s">
        <v>85</v>
      </c>
      <c r="G1123" s="11" t="s">
        <v>56</v>
      </c>
      <c r="H1123" s="11"/>
      <c r="I1123" s="10" t="s">
        <v>1320</v>
      </c>
      <c r="J1123" s="6" t="s">
        <v>1321</v>
      </c>
      <c r="K1123" s="12">
        <v>46121.447291666664</v>
      </c>
      <c r="L1123" s="6" t="e" cm="1">
        <f t="array" ref="L1123">LOOKUP(2^15,SEARCH(Tabela2[Palavras-Chave],Boletim4[[#This Row],[Objeto]],1),Tabela2[Palavras-Chave])</f>
        <v>#N/A</v>
      </c>
    </row>
    <row r="1124" spans="1:12" ht="100.8" hidden="1" x14ac:dyDescent="0.3">
      <c r="A1124" s="5">
        <v>18807571</v>
      </c>
      <c r="B1124" s="6" t="s">
        <v>74</v>
      </c>
      <c r="C1124" s="6" t="s">
        <v>88</v>
      </c>
      <c r="D1124" s="8" t="s">
        <v>63</v>
      </c>
      <c r="E1124" s="6" t="s">
        <v>2972</v>
      </c>
      <c r="F1124" s="6" t="s">
        <v>85</v>
      </c>
      <c r="G1124" s="11" t="s">
        <v>56</v>
      </c>
      <c r="H1124" s="11"/>
      <c r="I1124" s="10" t="s">
        <v>2973</v>
      </c>
      <c r="J1124" s="6" t="s">
        <v>1321</v>
      </c>
      <c r="K1124" s="12">
        <v>46121.450069444443</v>
      </c>
      <c r="L1124" s="6" t="e" cm="1">
        <f t="array" ref="L1124">LOOKUP(2^15,SEARCH(Tabela2[Palavras-Chave],Boletim4[[#This Row],[Objeto]],1),Tabela2[Palavras-Chave])</f>
        <v>#N/A</v>
      </c>
    </row>
    <row r="1125" spans="1:12" ht="100.8" hidden="1" x14ac:dyDescent="0.3">
      <c r="A1125" s="5">
        <v>18807406</v>
      </c>
      <c r="B1125" s="6" t="s">
        <v>1456</v>
      </c>
      <c r="C1125" s="6" t="s">
        <v>1457</v>
      </c>
      <c r="D1125" s="8" t="s">
        <v>63</v>
      </c>
      <c r="E1125" s="6" t="s">
        <v>108</v>
      </c>
      <c r="F1125" s="6" t="s">
        <v>85</v>
      </c>
      <c r="G1125" s="11">
        <v>46140.333333333336</v>
      </c>
      <c r="H1125" s="11"/>
      <c r="I1125" s="10" t="s">
        <v>1458</v>
      </c>
      <c r="J1125" s="6" t="s">
        <v>1459</v>
      </c>
      <c r="K1125" s="12">
        <v>46121.534050925926</v>
      </c>
      <c r="L1125" s="6" t="e" cm="1">
        <f t="array" ref="L1125">LOOKUP(2^15,SEARCH(Tabela2[Palavras-Chave],Boletim4[[#This Row],[Objeto]],1),Tabela2[Palavras-Chave])</f>
        <v>#N/A</v>
      </c>
    </row>
    <row r="1126" spans="1:12" ht="172.8" hidden="1" x14ac:dyDescent="0.3">
      <c r="A1126" s="5">
        <v>18808388</v>
      </c>
      <c r="B1126" s="6" t="s">
        <v>1460</v>
      </c>
      <c r="C1126" s="6" t="s">
        <v>1461</v>
      </c>
      <c r="D1126" s="8" t="s">
        <v>63</v>
      </c>
      <c r="E1126" s="6" t="s">
        <v>209</v>
      </c>
      <c r="F1126" s="6" t="s">
        <v>85</v>
      </c>
      <c r="G1126" s="11" t="s">
        <v>56</v>
      </c>
      <c r="H1126" s="11"/>
      <c r="I1126" s="10" t="s">
        <v>1462</v>
      </c>
      <c r="J1126" s="6" t="s">
        <v>1463</v>
      </c>
      <c r="K1126" s="12">
        <v>46121.544849537036</v>
      </c>
      <c r="L1126" s="6" t="e" cm="1">
        <f t="array" ref="L1126">LOOKUP(2^15,SEARCH(Tabela2[Palavras-Chave],Boletim4[[#This Row],[Objeto]],1),Tabela2[Palavras-Chave])</f>
        <v>#N/A</v>
      </c>
    </row>
    <row r="1127" spans="1:12" ht="28.8" hidden="1" x14ac:dyDescent="0.3">
      <c r="A1127" s="5">
        <v>18808120</v>
      </c>
      <c r="B1127" s="6" t="s">
        <v>1464</v>
      </c>
      <c r="C1127" s="6" t="s">
        <v>88</v>
      </c>
      <c r="D1127" s="8" t="s">
        <v>63</v>
      </c>
      <c r="E1127" s="6" t="s">
        <v>224</v>
      </c>
      <c r="F1127" s="6" t="s">
        <v>85</v>
      </c>
      <c r="G1127" s="11">
        <v>46140.416666666664</v>
      </c>
      <c r="H1127" s="11"/>
      <c r="I1127" s="10" t="s">
        <v>1465</v>
      </c>
      <c r="J1127" s="6" t="s">
        <v>1466</v>
      </c>
      <c r="K1127" s="12">
        <v>46121.548425925925</v>
      </c>
      <c r="L1127" s="6" t="e" cm="1">
        <f t="array" ref="L1127">LOOKUP(2^15,SEARCH(Tabela2[Palavras-Chave],Boletim4[[#This Row],[Objeto]],1),Tabela2[Palavras-Chave])</f>
        <v>#N/A</v>
      </c>
    </row>
    <row r="1128" spans="1:12" ht="115.2" hidden="1" x14ac:dyDescent="0.3">
      <c r="A1128" s="5">
        <v>18807675</v>
      </c>
      <c r="B1128" s="6" t="s">
        <v>625</v>
      </c>
      <c r="C1128" s="6" t="s">
        <v>88</v>
      </c>
      <c r="D1128" s="8" t="s">
        <v>63</v>
      </c>
      <c r="E1128" s="6" t="s">
        <v>498</v>
      </c>
      <c r="F1128" s="6" t="s">
        <v>85</v>
      </c>
      <c r="G1128" s="11">
        <v>46128.583333333336</v>
      </c>
      <c r="H1128" s="11"/>
      <c r="I1128" s="10" t="s">
        <v>1467</v>
      </c>
      <c r="J1128" s="6" t="s">
        <v>1468</v>
      </c>
      <c r="K1128" s="12">
        <v>46121.566018518519</v>
      </c>
      <c r="L1128" s="6" t="e" cm="1">
        <f t="array" ref="L1128">LOOKUP(2^15,SEARCH(Tabela2[Palavras-Chave],Boletim4[[#This Row],[Objeto]],1),Tabela2[Palavras-Chave])</f>
        <v>#N/A</v>
      </c>
    </row>
    <row r="1129" spans="1:12" ht="100.8" hidden="1" x14ac:dyDescent="0.3">
      <c r="A1129" s="5">
        <v>18809542</v>
      </c>
      <c r="B1129" s="6" t="s">
        <v>1469</v>
      </c>
      <c r="C1129" s="6" t="s">
        <v>1470</v>
      </c>
      <c r="D1129" s="8" t="s">
        <v>63</v>
      </c>
      <c r="E1129" s="6" t="s">
        <v>107</v>
      </c>
      <c r="F1129" s="6" t="s">
        <v>85</v>
      </c>
      <c r="G1129" s="11">
        <v>46136.332638888889</v>
      </c>
      <c r="H1129" s="11"/>
      <c r="I1129" s="10" t="s">
        <v>1471</v>
      </c>
      <c r="J1129" s="6" t="s">
        <v>1472</v>
      </c>
      <c r="K1129" s="12">
        <v>46121.611875000002</v>
      </c>
      <c r="L1129" s="6" t="e" cm="1">
        <f t="array" ref="L1129">LOOKUP(2^15,SEARCH(Tabela2[Palavras-Chave],Boletim4[[#This Row],[Objeto]],1),Tabela2[Palavras-Chave])</f>
        <v>#N/A</v>
      </c>
    </row>
    <row r="1130" spans="1:12" ht="144" hidden="1" x14ac:dyDescent="0.3">
      <c r="A1130" s="5">
        <v>18806863</v>
      </c>
      <c r="B1130" s="6" t="s">
        <v>1473</v>
      </c>
      <c r="C1130" s="6" t="s">
        <v>1474</v>
      </c>
      <c r="D1130" s="8" t="s">
        <v>63</v>
      </c>
      <c r="E1130" s="6" t="s">
        <v>134</v>
      </c>
      <c r="F1130" s="6" t="s">
        <v>85</v>
      </c>
      <c r="G1130" s="11" t="s">
        <v>56</v>
      </c>
      <c r="H1130" s="11"/>
      <c r="I1130" s="10" t="s">
        <v>1475</v>
      </c>
      <c r="J1130" s="6" t="s">
        <v>1476</v>
      </c>
      <c r="K1130" s="12">
        <v>46121.6174537037</v>
      </c>
      <c r="L1130" s="6" t="e" cm="1">
        <f t="array" ref="L1130">LOOKUP(2^15,SEARCH(Tabela2[Palavras-Chave],Boletim4[[#This Row],[Objeto]],1),Tabela2[Palavras-Chave])</f>
        <v>#N/A</v>
      </c>
    </row>
    <row r="1131" spans="1:12" ht="273.60000000000002" hidden="1" x14ac:dyDescent="0.3">
      <c r="A1131" s="5">
        <v>18808456</v>
      </c>
      <c r="B1131" s="6" t="s">
        <v>1477</v>
      </c>
      <c r="C1131" s="6" t="s">
        <v>629</v>
      </c>
      <c r="D1131" s="8" t="s">
        <v>63</v>
      </c>
      <c r="E1131" s="6" t="s">
        <v>108</v>
      </c>
      <c r="F1131" s="6" t="s">
        <v>85</v>
      </c>
      <c r="G1131" s="11" t="s">
        <v>56</v>
      </c>
      <c r="H1131" s="11"/>
      <c r="I1131" s="10" t="s">
        <v>1478</v>
      </c>
      <c r="J1131" s="6" t="s">
        <v>1479</v>
      </c>
      <c r="K1131" s="12">
        <v>46121.660810185182</v>
      </c>
      <c r="L1131" s="6" t="e" cm="1">
        <f t="array" ref="L1131">LOOKUP(2^15,SEARCH(Tabela2[Palavras-Chave],Boletim4[[#This Row],[Objeto]],1),Tabela2[Palavras-Chave])</f>
        <v>#N/A</v>
      </c>
    </row>
    <row r="1132" spans="1:12" ht="115.2" hidden="1" x14ac:dyDescent="0.3">
      <c r="A1132" s="5">
        <v>18808274</v>
      </c>
      <c r="B1132" s="6" t="s">
        <v>1480</v>
      </c>
      <c r="C1132" s="6" t="s">
        <v>426</v>
      </c>
      <c r="D1132" s="8" t="s">
        <v>63</v>
      </c>
      <c r="E1132" s="6" t="s">
        <v>1481</v>
      </c>
      <c r="F1132" s="6" t="s">
        <v>85</v>
      </c>
      <c r="G1132" s="11" t="s">
        <v>56</v>
      </c>
      <c r="H1132" s="11"/>
      <c r="I1132" s="10" t="s">
        <v>1482</v>
      </c>
      <c r="J1132" s="6" t="s">
        <v>1483</v>
      </c>
      <c r="K1132" s="12">
        <v>46121.667523148149</v>
      </c>
      <c r="L1132" s="6" t="e" cm="1">
        <f t="array" ref="L1132">LOOKUP(2^15,SEARCH(Tabela2[Palavras-Chave],Boletim4[[#This Row],[Objeto]],1),Tabela2[Palavras-Chave])</f>
        <v>#N/A</v>
      </c>
    </row>
    <row r="1133" spans="1:12" ht="244.8" hidden="1" x14ac:dyDescent="0.3">
      <c r="A1133" s="5">
        <v>18810342</v>
      </c>
      <c r="B1133" s="6" t="s">
        <v>428</v>
      </c>
      <c r="C1133" s="6" t="s">
        <v>427</v>
      </c>
      <c r="D1133" s="8" t="s">
        <v>63</v>
      </c>
      <c r="E1133" s="6" t="s">
        <v>464</v>
      </c>
      <c r="F1133" s="6" t="s">
        <v>85</v>
      </c>
      <c r="G1133" s="11" t="s">
        <v>56</v>
      </c>
      <c r="H1133" s="11"/>
      <c r="I1133" s="10" t="s">
        <v>1484</v>
      </c>
      <c r="J1133" s="6" t="s">
        <v>1485</v>
      </c>
      <c r="K1133" s="12">
        <v>46121.721956018519</v>
      </c>
      <c r="L1133" s="6" t="e" cm="1">
        <f t="array" ref="L1133">LOOKUP(2^15,SEARCH(Tabela2[Palavras-Chave],Boletim4[[#This Row],[Objeto]],1),Tabela2[Palavras-Chave])</f>
        <v>#N/A</v>
      </c>
    </row>
    <row r="1134" spans="1:12" ht="244.8" hidden="1" x14ac:dyDescent="0.3">
      <c r="A1134" s="5">
        <v>18809396</v>
      </c>
      <c r="B1134" s="6" t="s">
        <v>628</v>
      </c>
      <c r="C1134" s="6" t="s">
        <v>629</v>
      </c>
      <c r="D1134" s="8" t="s">
        <v>63</v>
      </c>
      <c r="E1134" s="6" t="s">
        <v>108</v>
      </c>
      <c r="F1134" s="6" t="s">
        <v>85</v>
      </c>
      <c r="G1134" s="11" t="s">
        <v>56</v>
      </c>
      <c r="H1134" s="11"/>
      <c r="I1134" s="10" t="s">
        <v>3029</v>
      </c>
      <c r="J1134" s="6" t="s">
        <v>3030</v>
      </c>
      <c r="K1134" s="12">
        <v>46121.729780092595</v>
      </c>
      <c r="L1134" s="6" t="e" cm="1">
        <f t="array" ref="L1134">LOOKUP(2^15,SEARCH(Tabela2[Palavras-Chave],Boletim4[[#This Row],[Objeto]],1),Tabela2[Palavras-Chave])</f>
        <v>#N/A</v>
      </c>
    </row>
    <row r="1135" spans="1:12" ht="144" hidden="1" x14ac:dyDescent="0.3">
      <c r="A1135" s="5">
        <v>18810399</v>
      </c>
      <c r="B1135" s="6" t="s">
        <v>428</v>
      </c>
      <c r="C1135" s="6" t="s">
        <v>427</v>
      </c>
      <c r="D1135" s="8" t="s">
        <v>63</v>
      </c>
      <c r="E1135" s="6" t="s">
        <v>464</v>
      </c>
      <c r="F1135" s="6" t="s">
        <v>85</v>
      </c>
      <c r="G1135" s="11" t="s">
        <v>56</v>
      </c>
      <c r="H1135" s="11"/>
      <c r="I1135" s="10" t="s">
        <v>1486</v>
      </c>
      <c r="J1135" s="6" t="s">
        <v>1487</v>
      </c>
      <c r="K1135" s="12">
        <v>46121.732673611114</v>
      </c>
      <c r="L1135" s="6" t="e" cm="1">
        <f t="array" ref="L1135">LOOKUP(2^15,SEARCH(Tabela2[Palavras-Chave],Boletim4[[#This Row],[Objeto]],1),Tabela2[Palavras-Chave])</f>
        <v>#N/A</v>
      </c>
    </row>
    <row r="1136" spans="1:12" ht="28.8" hidden="1" x14ac:dyDescent="0.3">
      <c r="A1136" s="5">
        <v>18810601</v>
      </c>
      <c r="B1136" s="6" t="s">
        <v>1488</v>
      </c>
      <c r="C1136" s="6" t="s">
        <v>1489</v>
      </c>
      <c r="D1136" s="8" t="s">
        <v>63</v>
      </c>
      <c r="E1136" s="6" t="s">
        <v>120</v>
      </c>
      <c r="F1136" s="6" t="s">
        <v>85</v>
      </c>
      <c r="G1136" s="11">
        <v>46140.5</v>
      </c>
      <c r="H1136" s="11"/>
      <c r="I1136" s="10" t="s">
        <v>1490</v>
      </c>
      <c r="J1136" s="6" t="s">
        <v>1491</v>
      </c>
      <c r="K1136" s="12">
        <v>46121.743449074071</v>
      </c>
      <c r="L1136" s="6" t="e" cm="1">
        <f t="array" ref="L1136">LOOKUP(2^15,SEARCH(Tabela2[Palavras-Chave],Boletim4[[#This Row],[Objeto]],1),Tabela2[Palavras-Chave])</f>
        <v>#N/A</v>
      </c>
    </row>
    <row r="1137" spans="1:12" ht="100.8" hidden="1" x14ac:dyDescent="0.3">
      <c r="A1137" s="5">
        <v>18809509</v>
      </c>
      <c r="B1137" s="6" t="s">
        <v>1492</v>
      </c>
      <c r="C1137" s="6" t="s">
        <v>1493</v>
      </c>
      <c r="D1137" s="8" t="s">
        <v>63</v>
      </c>
      <c r="E1137" s="6" t="s">
        <v>142</v>
      </c>
      <c r="F1137" s="6" t="s">
        <v>85</v>
      </c>
      <c r="G1137" s="11">
        <v>46140.354166666664</v>
      </c>
      <c r="H1137" s="11"/>
      <c r="I1137" s="10" t="s">
        <v>1494</v>
      </c>
      <c r="J1137" s="6" t="s">
        <v>1495</v>
      </c>
      <c r="K1137" s="12">
        <v>46121.763877314814</v>
      </c>
      <c r="L1137" s="6" t="e" cm="1">
        <f t="array" ref="L1137">LOOKUP(2^15,SEARCH(Tabela2[Palavras-Chave],Boletim4[[#This Row],[Objeto]],1),Tabela2[Palavras-Chave])</f>
        <v>#N/A</v>
      </c>
    </row>
    <row r="1138" spans="1:12" ht="86.4" hidden="1" x14ac:dyDescent="0.3">
      <c r="A1138" s="5">
        <v>18811069</v>
      </c>
      <c r="B1138" s="6" t="s">
        <v>428</v>
      </c>
      <c r="C1138" s="6" t="s">
        <v>427</v>
      </c>
      <c r="D1138" s="8" t="s">
        <v>63</v>
      </c>
      <c r="E1138" s="6" t="s">
        <v>536</v>
      </c>
      <c r="F1138" s="6" t="s">
        <v>85</v>
      </c>
      <c r="G1138" s="11" t="s">
        <v>56</v>
      </c>
      <c r="H1138" s="11"/>
      <c r="I1138" s="10" t="s">
        <v>1496</v>
      </c>
      <c r="J1138" s="6" t="s">
        <v>1497</v>
      </c>
      <c r="K1138" s="12">
        <v>46121.788263888891</v>
      </c>
      <c r="L1138" s="6" t="e" cm="1">
        <f t="array" ref="L1138">LOOKUP(2^15,SEARCH(Tabela2[Palavras-Chave],Boletim4[[#This Row],[Objeto]],1),Tabela2[Palavras-Chave])</f>
        <v>#N/A</v>
      </c>
    </row>
    <row r="1139" spans="1:12" ht="115.2" hidden="1" x14ac:dyDescent="0.3">
      <c r="A1139" s="5">
        <v>18810020</v>
      </c>
      <c r="B1139" s="6" t="s">
        <v>1498</v>
      </c>
      <c r="C1139" s="6" t="s">
        <v>88</v>
      </c>
      <c r="D1139" s="8" t="s">
        <v>63</v>
      </c>
      <c r="E1139" s="6" t="s">
        <v>450</v>
      </c>
      <c r="F1139" s="6" t="s">
        <v>85</v>
      </c>
      <c r="G1139" s="11">
        <v>46136.364583333336</v>
      </c>
      <c r="H1139" s="11"/>
      <c r="I1139" s="10" t="s">
        <v>1499</v>
      </c>
      <c r="J1139" s="6" t="s">
        <v>1500</v>
      </c>
      <c r="K1139" s="12">
        <v>46121.866087962961</v>
      </c>
      <c r="L1139" s="6" t="e" cm="1">
        <f t="array" ref="L1139">LOOKUP(2^15,SEARCH(Tabela2[Palavras-Chave],Boletim4[[#This Row],[Objeto]],1),Tabela2[Palavras-Chave])</f>
        <v>#N/A</v>
      </c>
    </row>
    <row r="1140" spans="1:12" ht="100.8" hidden="1" x14ac:dyDescent="0.3">
      <c r="A1140" s="5">
        <v>18807439</v>
      </c>
      <c r="B1140" s="6" t="s">
        <v>74</v>
      </c>
      <c r="C1140" s="6" t="s">
        <v>101</v>
      </c>
      <c r="D1140" s="8" t="s">
        <v>64</v>
      </c>
      <c r="E1140" s="6" t="s">
        <v>1319</v>
      </c>
      <c r="F1140" s="6" t="s">
        <v>85</v>
      </c>
      <c r="G1140" s="11" t="s">
        <v>56</v>
      </c>
      <c r="H1140" s="11"/>
      <c r="I1140" s="10" t="s">
        <v>1320</v>
      </c>
      <c r="J1140" s="6" t="s">
        <v>1321</v>
      </c>
      <c r="K1140" s="12">
        <v>46121.447291666664</v>
      </c>
      <c r="L1140" s="6" t="e" cm="1">
        <f t="array" ref="L1140">LOOKUP(2^15,SEARCH(Tabela2[Palavras-Chave],Boletim4[[#This Row],[Objeto]],1),Tabela2[Palavras-Chave])</f>
        <v>#N/A</v>
      </c>
    </row>
    <row r="1141" spans="1:12" ht="100.8" hidden="1" x14ac:dyDescent="0.3">
      <c r="A1141" s="5">
        <v>18807572</v>
      </c>
      <c r="B1141" s="6" t="s">
        <v>74</v>
      </c>
      <c r="C1141" s="6" t="s">
        <v>101</v>
      </c>
      <c r="D1141" s="8" t="s">
        <v>64</v>
      </c>
      <c r="E1141" s="6" t="s">
        <v>2972</v>
      </c>
      <c r="F1141" s="6" t="s">
        <v>85</v>
      </c>
      <c r="G1141" s="11" t="s">
        <v>56</v>
      </c>
      <c r="H1141" s="11"/>
      <c r="I1141" s="10" t="s">
        <v>2973</v>
      </c>
      <c r="J1141" s="6" t="s">
        <v>1321</v>
      </c>
      <c r="K1141" s="12">
        <v>46121.450069444443</v>
      </c>
      <c r="L1141" s="6" t="e" cm="1">
        <f t="array" ref="L1141">LOOKUP(2^15,SEARCH(Tabela2[Palavras-Chave],Boletim4[[#This Row],[Objeto]],1),Tabela2[Palavras-Chave])</f>
        <v>#N/A</v>
      </c>
    </row>
    <row r="1142" spans="1:12" ht="172.8" hidden="1" x14ac:dyDescent="0.3">
      <c r="A1142" s="5">
        <v>18806870</v>
      </c>
      <c r="B1142" s="6" t="s">
        <v>438</v>
      </c>
      <c r="C1142" s="6" t="s">
        <v>439</v>
      </c>
      <c r="D1142" s="8" t="s">
        <v>64</v>
      </c>
      <c r="E1142" s="6" t="s">
        <v>143</v>
      </c>
      <c r="F1142" s="6" t="s">
        <v>85</v>
      </c>
      <c r="G1142" s="11" t="s">
        <v>56</v>
      </c>
      <c r="H1142" s="11"/>
      <c r="I1142" s="10" t="s">
        <v>1501</v>
      </c>
      <c r="J1142" s="6" t="s">
        <v>1502</v>
      </c>
      <c r="K1142" s="12">
        <v>46121.448599537034</v>
      </c>
      <c r="L1142" s="6" t="e" cm="1">
        <f t="array" ref="L1142">LOOKUP(2^15,SEARCH(Tabela2[Palavras-Chave],Boletim4[[#This Row],[Objeto]],1),Tabela2[Palavras-Chave])</f>
        <v>#N/A</v>
      </c>
    </row>
    <row r="1143" spans="1:12" ht="57.6" hidden="1" x14ac:dyDescent="0.3">
      <c r="A1143" s="5">
        <v>18808734</v>
      </c>
      <c r="B1143" s="6" t="s">
        <v>1503</v>
      </c>
      <c r="C1143" s="6" t="s">
        <v>1504</v>
      </c>
      <c r="D1143" s="8" t="s">
        <v>64</v>
      </c>
      <c r="E1143" s="6" t="s">
        <v>291</v>
      </c>
      <c r="F1143" s="6" t="s">
        <v>85</v>
      </c>
      <c r="G1143" s="11">
        <v>46136.375</v>
      </c>
      <c r="H1143" s="11"/>
      <c r="I1143" s="10" t="s">
        <v>1505</v>
      </c>
      <c r="J1143" s="6" t="s">
        <v>1506</v>
      </c>
      <c r="K1143" s="12">
        <v>46121.60769675926</v>
      </c>
      <c r="L1143" s="6" t="e" cm="1">
        <f t="array" ref="L1143">LOOKUP(2^15,SEARCH(Tabela2[Palavras-Chave],Boletim4[[#This Row],[Objeto]],1),Tabela2[Palavras-Chave])</f>
        <v>#N/A</v>
      </c>
    </row>
    <row r="1144" spans="1:12" ht="259.2" hidden="1" x14ac:dyDescent="0.3">
      <c r="A1144" s="5">
        <v>18801587</v>
      </c>
      <c r="B1144" s="6" t="s">
        <v>432</v>
      </c>
      <c r="C1144" s="6" t="s">
        <v>433</v>
      </c>
      <c r="D1144" s="8" t="s">
        <v>64</v>
      </c>
      <c r="E1144" s="6" t="s">
        <v>124</v>
      </c>
      <c r="F1144" s="6" t="s">
        <v>85</v>
      </c>
      <c r="G1144" s="11" t="s">
        <v>56</v>
      </c>
      <c r="H1144" s="11"/>
      <c r="I1144" s="10" t="s">
        <v>434</v>
      </c>
      <c r="J1144" s="6" t="s">
        <v>435</v>
      </c>
      <c r="K1144" s="12">
        <v>46121.607743055552</v>
      </c>
      <c r="L1144" s="6" t="e" cm="1">
        <f t="array" ref="L1144">LOOKUP(2^15,SEARCH(Tabela2[Palavras-Chave],Boletim4[[#This Row],[Objeto]],1),Tabela2[Palavras-Chave])</f>
        <v>#N/A</v>
      </c>
    </row>
    <row r="1145" spans="1:12" ht="43.2" hidden="1" x14ac:dyDescent="0.3">
      <c r="A1145" s="5">
        <v>18806382</v>
      </c>
      <c r="B1145" s="6" t="s">
        <v>633</v>
      </c>
      <c r="C1145" s="6" t="s">
        <v>634</v>
      </c>
      <c r="D1145" s="8" t="s">
        <v>64</v>
      </c>
      <c r="E1145" s="6" t="s">
        <v>142</v>
      </c>
      <c r="F1145" s="6" t="s">
        <v>85</v>
      </c>
      <c r="G1145" s="11">
        <v>46134.416666666664</v>
      </c>
      <c r="H1145" s="11"/>
      <c r="I1145" s="10" t="s">
        <v>636</v>
      </c>
      <c r="J1145" s="6" t="s">
        <v>637</v>
      </c>
      <c r="K1145" s="12">
        <v>46121.607766203706</v>
      </c>
      <c r="L1145" s="6" t="e" cm="1">
        <f t="array" ref="L1145">LOOKUP(2^15,SEARCH(Tabela2[Palavras-Chave],Boletim4[[#This Row],[Objeto]],1),Tabela2[Palavras-Chave])</f>
        <v>#N/A</v>
      </c>
    </row>
    <row r="1146" spans="1:12" ht="28.8" hidden="1" x14ac:dyDescent="0.3">
      <c r="A1146" s="5">
        <v>18809638</v>
      </c>
      <c r="B1146" s="6" t="s">
        <v>317</v>
      </c>
      <c r="C1146" s="6" t="s">
        <v>101</v>
      </c>
      <c r="D1146" s="8" t="s">
        <v>64</v>
      </c>
      <c r="E1146" s="6" t="s">
        <v>165</v>
      </c>
      <c r="F1146" s="6" t="s">
        <v>85</v>
      </c>
      <c r="G1146" s="11">
        <v>46129.395833333336</v>
      </c>
      <c r="H1146" s="11"/>
      <c r="I1146" s="10" t="s">
        <v>1507</v>
      </c>
      <c r="J1146" s="6" t="s">
        <v>90</v>
      </c>
      <c r="K1146" s="12">
        <v>46121.613923611112</v>
      </c>
      <c r="L1146" s="6" t="e" cm="1">
        <f t="array" ref="L1146">LOOKUP(2^15,SEARCH(Tabela2[Palavras-Chave],Boletim4[[#This Row],[Objeto]],1),Tabela2[Palavras-Chave])</f>
        <v>#N/A</v>
      </c>
    </row>
    <row r="1147" spans="1:12" ht="28.8" hidden="1" x14ac:dyDescent="0.3">
      <c r="A1147" s="5">
        <v>18810008</v>
      </c>
      <c r="B1147" s="6" t="s">
        <v>1508</v>
      </c>
      <c r="C1147" s="6" t="s">
        <v>1509</v>
      </c>
      <c r="D1147" s="8" t="s">
        <v>64</v>
      </c>
      <c r="E1147" s="6" t="s">
        <v>106</v>
      </c>
      <c r="F1147" s="6" t="s">
        <v>85</v>
      </c>
      <c r="G1147" s="11">
        <v>46140.375</v>
      </c>
      <c r="H1147" s="11"/>
      <c r="I1147" s="10" t="s">
        <v>1510</v>
      </c>
      <c r="J1147" s="6" t="s">
        <v>1511</v>
      </c>
      <c r="K1147" s="12">
        <v>46121.711157407408</v>
      </c>
      <c r="L1147" s="6" t="e" cm="1">
        <f t="array" ref="L1147">LOOKUP(2^15,SEARCH(Tabela2[Palavras-Chave],Boletim4[[#This Row],[Objeto]],1),Tabela2[Palavras-Chave])</f>
        <v>#N/A</v>
      </c>
    </row>
    <row r="1148" spans="1:12" ht="86.4" hidden="1" x14ac:dyDescent="0.3">
      <c r="A1148" s="5">
        <v>18807011</v>
      </c>
      <c r="B1148" s="6" t="s">
        <v>430</v>
      </c>
      <c r="C1148" s="6" t="s">
        <v>431</v>
      </c>
      <c r="D1148" s="8" t="s">
        <v>64</v>
      </c>
      <c r="E1148" s="6" t="s">
        <v>113</v>
      </c>
      <c r="F1148" s="6" t="s">
        <v>85</v>
      </c>
      <c r="G1148" s="11">
        <v>46140</v>
      </c>
      <c r="H1148" s="11"/>
      <c r="I1148" s="10" t="s">
        <v>3031</v>
      </c>
      <c r="J1148" s="6" t="s">
        <v>3032</v>
      </c>
      <c r="K1148" s="12">
        <v>46121.742569444446</v>
      </c>
      <c r="L1148" s="6" t="e" cm="1">
        <f t="array" ref="L1148">LOOKUP(2^15,SEARCH(Tabela2[Palavras-Chave],Boletim4[[#This Row],[Objeto]],1),Tabela2[Palavras-Chave])</f>
        <v>#N/A</v>
      </c>
    </row>
    <row r="1149" spans="1:12" ht="115.2" hidden="1" x14ac:dyDescent="0.3">
      <c r="A1149" s="5">
        <v>18809496</v>
      </c>
      <c r="B1149" s="6" t="s">
        <v>1512</v>
      </c>
      <c r="C1149" s="6" t="s">
        <v>635</v>
      </c>
      <c r="D1149" s="8" t="s">
        <v>64</v>
      </c>
      <c r="E1149" s="6" t="s">
        <v>1513</v>
      </c>
      <c r="F1149" s="6" t="s">
        <v>85</v>
      </c>
      <c r="G1149" s="11">
        <v>46150.354166666664</v>
      </c>
      <c r="H1149" s="11"/>
      <c r="I1149" s="10" t="s">
        <v>1514</v>
      </c>
      <c r="J1149" s="6" t="s">
        <v>1515</v>
      </c>
      <c r="K1149" s="12">
        <v>46121.768414351849</v>
      </c>
      <c r="L1149" s="6" t="e" cm="1">
        <f t="array" ref="L1149">LOOKUP(2^15,SEARCH(Tabela2[Palavras-Chave],Boletim4[[#This Row],[Objeto]],1),Tabela2[Palavras-Chave])</f>
        <v>#N/A</v>
      </c>
    </row>
    <row r="1150" spans="1:12" ht="57.6" hidden="1" x14ac:dyDescent="0.3">
      <c r="A1150" s="5">
        <v>18811498</v>
      </c>
      <c r="B1150" s="6" t="s">
        <v>3033</v>
      </c>
      <c r="C1150" s="6" t="s">
        <v>101</v>
      </c>
      <c r="D1150" s="8" t="s">
        <v>64</v>
      </c>
      <c r="E1150" s="6" t="s">
        <v>2917</v>
      </c>
      <c r="F1150" s="6" t="s">
        <v>85</v>
      </c>
      <c r="G1150" s="11">
        <v>46163.333333333336</v>
      </c>
      <c r="H1150" s="11"/>
      <c r="I1150" s="10" t="s">
        <v>3034</v>
      </c>
      <c r="J1150" s="6" t="s">
        <v>3035</v>
      </c>
      <c r="K1150" s="12">
        <v>46121.872384259259</v>
      </c>
      <c r="L1150" s="6" t="e" cm="1">
        <f t="array" ref="L1150">LOOKUP(2^15,SEARCH(Tabela2[Palavras-Chave],Boletim4[[#This Row],[Objeto]],1),Tabela2[Palavras-Chave])</f>
        <v>#N/A</v>
      </c>
    </row>
    <row r="1151" spans="1:12" ht="187.2" hidden="1" x14ac:dyDescent="0.3">
      <c r="A1151" s="5">
        <v>18791164</v>
      </c>
      <c r="B1151" s="6" t="s">
        <v>583</v>
      </c>
      <c r="C1151" s="6" t="s">
        <v>159</v>
      </c>
      <c r="D1151" s="8" t="s">
        <v>89</v>
      </c>
      <c r="E1151" s="6" t="s">
        <v>3036</v>
      </c>
      <c r="F1151" s="6" t="s">
        <v>85</v>
      </c>
      <c r="G1151" s="11">
        <v>46213.395833333336</v>
      </c>
      <c r="H1151" s="11"/>
      <c r="I1151" s="10" t="s">
        <v>3037</v>
      </c>
      <c r="J1151" s="6" t="s">
        <v>3038</v>
      </c>
      <c r="K1151" s="12">
        <v>46121.389050925929</v>
      </c>
      <c r="L1151" s="6" t="e" cm="1">
        <f t="array" ref="L1151">LOOKUP(2^15,SEARCH(Tabela2[Palavras-Chave],Boletim4[[#This Row],[Objeto]],1),Tabela2[Palavras-Chave])</f>
        <v>#N/A</v>
      </c>
    </row>
    <row r="1152" spans="1:12" ht="129.6" hidden="1" x14ac:dyDescent="0.3">
      <c r="A1152" s="5">
        <v>18791179</v>
      </c>
      <c r="B1152" s="6" t="s">
        <v>583</v>
      </c>
      <c r="C1152" s="6" t="s">
        <v>159</v>
      </c>
      <c r="D1152" s="8" t="s">
        <v>89</v>
      </c>
      <c r="E1152" s="6" t="s">
        <v>3039</v>
      </c>
      <c r="F1152" s="6" t="s">
        <v>85</v>
      </c>
      <c r="G1152" s="11">
        <v>46213.416666666664</v>
      </c>
      <c r="H1152" s="11"/>
      <c r="I1152" s="10" t="s">
        <v>3040</v>
      </c>
      <c r="J1152" s="6" t="s">
        <v>3041</v>
      </c>
      <c r="K1152" s="12">
        <v>46121.389050925929</v>
      </c>
      <c r="L1152" s="6" t="e" cm="1">
        <f t="array" ref="L1152">LOOKUP(2^15,SEARCH(Tabela2[Palavras-Chave],Boletim4[[#This Row],[Objeto]],1),Tabela2[Palavras-Chave])</f>
        <v>#N/A</v>
      </c>
    </row>
    <row r="1153" spans="1:12" ht="158.4" hidden="1" x14ac:dyDescent="0.3">
      <c r="A1153" s="5">
        <v>18791181</v>
      </c>
      <c r="B1153" s="6" t="s">
        <v>583</v>
      </c>
      <c r="C1153" s="6" t="s">
        <v>159</v>
      </c>
      <c r="D1153" s="8" t="s">
        <v>89</v>
      </c>
      <c r="E1153" s="6" t="s">
        <v>3042</v>
      </c>
      <c r="F1153" s="6" t="s">
        <v>85</v>
      </c>
      <c r="G1153" s="11">
        <v>46213.4375</v>
      </c>
      <c r="H1153" s="11"/>
      <c r="I1153" s="10" t="s">
        <v>3043</v>
      </c>
      <c r="J1153" s="6" t="s">
        <v>3044</v>
      </c>
      <c r="K1153" s="12">
        <v>46121.389050925929</v>
      </c>
      <c r="L1153" s="6" t="e" cm="1">
        <f t="array" ref="L1153">LOOKUP(2^15,SEARCH(Tabela2[Palavras-Chave],Boletim4[[#This Row],[Objeto]],1),Tabela2[Palavras-Chave])</f>
        <v>#N/A</v>
      </c>
    </row>
    <row r="1154" spans="1:12" ht="100.8" hidden="1" x14ac:dyDescent="0.3">
      <c r="A1154" s="5">
        <v>18807440</v>
      </c>
      <c r="B1154" s="6" t="s">
        <v>74</v>
      </c>
      <c r="C1154" s="6" t="s">
        <v>159</v>
      </c>
      <c r="D1154" s="8" t="s">
        <v>89</v>
      </c>
      <c r="E1154" s="6" t="s">
        <v>1319</v>
      </c>
      <c r="F1154" s="6" t="s">
        <v>85</v>
      </c>
      <c r="G1154" s="11" t="s">
        <v>56</v>
      </c>
      <c r="H1154" s="11"/>
      <c r="I1154" s="10" t="s">
        <v>1320</v>
      </c>
      <c r="J1154" s="6" t="s">
        <v>1321</v>
      </c>
      <c r="K1154" s="12">
        <v>46121.447291666664</v>
      </c>
      <c r="L1154" s="6" t="e" cm="1">
        <f t="array" ref="L1154">LOOKUP(2^15,SEARCH(Tabela2[Palavras-Chave],Boletim4[[#This Row],[Objeto]],1),Tabela2[Palavras-Chave])</f>
        <v>#N/A</v>
      </c>
    </row>
    <row r="1155" spans="1:12" ht="100.8" hidden="1" x14ac:dyDescent="0.3">
      <c r="A1155" s="5">
        <v>18807573</v>
      </c>
      <c r="B1155" s="6" t="s">
        <v>74</v>
      </c>
      <c r="C1155" s="6" t="s">
        <v>159</v>
      </c>
      <c r="D1155" s="8" t="s">
        <v>89</v>
      </c>
      <c r="E1155" s="6" t="s">
        <v>2972</v>
      </c>
      <c r="F1155" s="6" t="s">
        <v>85</v>
      </c>
      <c r="G1155" s="11" t="s">
        <v>56</v>
      </c>
      <c r="H1155" s="11"/>
      <c r="I1155" s="10" t="s">
        <v>2973</v>
      </c>
      <c r="J1155" s="6" t="s">
        <v>1321</v>
      </c>
      <c r="K1155" s="12">
        <v>46121.450069444443</v>
      </c>
      <c r="L1155" s="6" t="e" cm="1">
        <f t="array" ref="L1155">LOOKUP(2^15,SEARCH(Tabela2[Palavras-Chave],Boletim4[[#This Row],[Objeto]],1),Tabela2[Palavras-Chave])</f>
        <v>#N/A</v>
      </c>
    </row>
    <row r="1156" spans="1:12" ht="72" hidden="1" x14ac:dyDescent="0.3">
      <c r="A1156" s="5">
        <v>18795516</v>
      </c>
      <c r="B1156" s="6" t="s">
        <v>1516</v>
      </c>
      <c r="C1156" s="6" t="s">
        <v>1517</v>
      </c>
      <c r="D1156" s="8" t="s">
        <v>89</v>
      </c>
      <c r="E1156" s="6" t="s">
        <v>113</v>
      </c>
      <c r="F1156" s="6" t="s">
        <v>85</v>
      </c>
      <c r="G1156" s="11">
        <v>46141.416666666664</v>
      </c>
      <c r="H1156" s="11"/>
      <c r="I1156" s="10" t="s">
        <v>1518</v>
      </c>
      <c r="J1156" s="6" t="s">
        <v>1519</v>
      </c>
      <c r="K1156" s="12">
        <v>46121.57571759259</v>
      </c>
      <c r="L1156" s="6" t="e" cm="1">
        <f t="array" ref="L1156">LOOKUP(2^15,SEARCH(Tabela2[Palavras-Chave],Boletim4[[#This Row],[Objeto]],1),Tabela2[Palavras-Chave])</f>
        <v>#N/A</v>
      </c>
    </row>
    <row r="1157" spans="1:12" ht="28.8" hidden="1" x14ac:dyDescent="0.3">
      <c r="A1157" s="5">
        <v>18809958</v>
      </c>
      <c r="B1157" s="6" t="s">
        <v>3045</v>
      </c>
      <c r="C1157" s="6" t="s">
        <v>3046</v>
      </c>
      <c r="D1157" s="8" t="s">
        <v>89</v>
      </c>
      <c r="E1157" s="6" t="s">
        <v>108</v>
      </c>
      <c r="F1157" s="6" t="s">
        <v>85</v>
      </c>
      <c r="G1157" s="11">
        <v>46141.333333333336</v>
      </c>
      <c r="H1157" s="11"/>
      <c r="I1157" s="10" t="s">
        <v>3047</v>
      </c>
      <c r="J1157" s="6" t="s">
        <v>3048</v>
      </c>
      <c r="K1157" s="12">
        <v>46121.729629629626</v>
      </c>
      <c r="L1157" s="6" t="e" cm="1">
        <f t="array" ref="L1157">LOOKUP(2^15,SEARCH(Tabela2[Palavras-Chave],Boletim4[[#This Row],[Objeto]],1),Tabela2[Palavras-Chave])</f>
        <v>#N/A</v>
      </c>
    </row>
    <row r="1158" spans="1:12" ht="115.2" hidden="1" x14ac:dyDescent="0.3">
      <c r="A1158" s="5">
        <v>18810651</v>
      </c>
      <c r="B1158" s="6" t="s">
        <v>1520</v>
      </c>
      <c r="C1158" s="6" t="s">
        <v>1521</v>
      </c>
      <c r="D1158" s="8" t="s">
        <v>89</v>
      </c>
      <c r="E1158" s="6" t="s">
        <v>115</v>
      </c>
      <c r="F1158" s="6" t="s">
        <v>85</v>
      </c>
      <c r="G1158" s="11">
        <v>46139.375</v>
      </c>
      <c r="H1158" s="11"/>
      <c r="I1158" s="10" t="s">
        <v>1522</v>
      </c>
      <c r="J1158" s="6" t="s">
        <v>1523</v>
      </c>
      <c r="K1158" s="12">
        <v>46121.79451388889</v>
      </c>
      <c r="L1158" s="6" t="e" cm="1">
        <f t="array" ref="L1158">LOOKUP(2^15,SEARCH(Tabela2[Palavras-Chave],Boletim4[[#This Row],[Objeto]],1),Tabela2[Palavras-Chave])</f>
        <v>#N/A</v>
      </c>
    </row>
    <row r="1159" spans="1:12" ht="100.8" hidden="1" x14ac:dyDescent="0.3">
      <c r="A1159" s="5">
        <v>18810561</v>
      </c>
      <c r="B1159" s="6" t="s">
        <v>3049</v>
      </c>
      <c r="C1159" s="6" t="s">
        <v>3050</v>
      </c>
      <c r="D1159" s="8" t="s">
        <v>89</v>
      </c>
      <c r="E1159" s="6" t="s">
        <v>474</v>
      </c>
      <c r="F1159" s="6" t="s">
        <v>85</v>
      </c>
      <c r="G1159" s="11" t="s">
        <v>56</v>
      </c>
      <c r="H1159" s="11"/>
      <c r="I1159" s="10" t="s">
        <v>3051</v>
      </c>
      <c r="J1159" s="6" t="s">
        <v>3052</v>
      </c>
      <c r="K1159" s="12">
        <v>46121.742812500001</v>
      </c>
      <c r="L1159" s="6" t="e" cm="1">
        <f t="array" ref="L1159">LOOKUP(2^15,SEARCH(Tabela2[Palavras-Chave],Boletim4[[#This Row],[Objeto]],1),Tabela2[Palavras-Chave])</f>
        <v>#N/A</v>
      </c>
    </row>
    <row r="1160" spans="1:12" ht="86.4" hidden="1" x14ac:dyDescent="0.3">
      <c r="A1160" s="5">
        <v>18809632</v>
      </c>
      <c r="B1160" s="6" t="s">
        <v>1524</v>
      </c>
      <c r="C1160" s="6" t="s">
        <v>1525</v>
      </c>
      <c r="D1160" s="8" t="s">
        <v>89</v>
      </c>
      <c r="E1160" s="6" t="s">
        <v>126</v>
      </c>
      <c r="F1160" s="6" t="s">
        <v>85</v>
      </c>
      <c r="G1160" s="11" t="s">
        <v>56</v>
      </c>
      <c r="H1160" s="11"/>
      <c r="I1160" s="10" t="s">
        <v>1526</v>
      </c>
      <c r="J1160" s="6" t="s">
        <v>1527</v>
      </c>
      <c r="K1160" s="12">
        <v>46121.743807870371</v>
      </c>
      <c r="L1160" s="6" t="e" cm="1">
        <f t="array" ref="L1160">LOOKUP(2^15,SEARCH(Tabela2[Palavras-Chave],Boletim4[[#This Row],[Objeto]],1),Tabela2[Palavras-Chave])</f>
        <v>#N/A</v>
      </c>
    </row>
    <row r="1161" spans="1:12" ht="72" hidden="1" x14ac:dyDescent="0.3">
      <c r="A1161" s="5">
        <v>18809053</v>
      </c>
      <c r="B1161" s="6" t="s">
        <v>3053</v>
      </c>
      <c r="C1161" s="6" t="s">
        <v>3054</v>
      </c>
      <c r="D1161" s="8" t="s">
        <v>89</v>
      </c>
      <c r="E1161" s="6" t="s">
        <v>155</v>
      </c>
      <c r="F1161" s="6" t="s">
        <v>85</v>
      </c>
      <c r="G1161" s="11" t="s">
        <v>56</v>
      </c>
      <c r="H1161" s="11"/>
      <c r="I1161" s="10" t="s">
        <v>3055</v>
      </c>
      <c r="J1161" s="6" t="s">
        <v>3056</v>
      </c>
      <c r="K1161" s="12">
        <v>46121.755925925929</v>
      </c>
      <c r="L1161" s="6" t="e" cm="1">
        <f t="array" ref="L1161">LOOKUP(2^15,SEARCH(Tabela2[Palavras-Chave],Boletim4[[#This Row],[Objeto]],1),Tabela2[Palavras-Chave])</f>
        <v>#N/A</v>
      </c>
    </row>
    <row r="1162" spans="1:12" ht="86.4" hidden="1" x14ac:dyDescent="0.3">
      <c r="A1162" s="5">
        <v>18811068</v>
      </c>
      <c r="B1162" s="6" t="s">
        <v>646</v>
      </c>
      <c r="C1162" s="6" t="s">
        <v>647</v>
      </c>
      <c r="D1162" s="8" t="s">
        <v>89</v>
      </c>
      <c r="E1162" s="6" t="s">
        <v>128</v>
      </c>
      <c r="F1162" s="6" t="s">
        <v>85</v>
      </c>
      <c r="G1162" s="11" t="s">
        <v>56</v>
      </c>
      <c r="H1162" s="11"/>
      <c r="I1162" s="10" t="s">
        <v>1528</v>
      </c>
      <c r="J1162" s="6" t="s">
        <v>1529</v>
      </c>
      <c r="K1162" s="12">
        <v>46121.820949074077</v>
      </c>
      <c r="L1162" s="6" t="e" cm="1">
        <f t="array" ref="L1162">LOOKUP(2^15,SEARCH(Tabela2[Palavras-Chave],Boletim4[[#This Row],[Objeto]],1),Tabela2[Palavras-Chave])</f>
        <v>#N/A</v>
      </c>
    </row>
    <row r="1163" spans="1:12" ht="144" hidden="1" x14ac:dyDescent="0.3">
      <c r="A1163" s="5">
        <v>18779276</v>
      </c>
      <c r="B1163" s="6" t="s">
        <v>1530</v>
      </c>
      <c r="C1163" s="6" t="s">
        <v>1531</v>
      </c>
      <c r="D1163" s="8" t="s">
        <v>66</v>
      </c>
      <c r="E1163" s="6" t="s">
        <v>114</v>
      </c>
      <c r="F1163" s="6" t="s">
        <v>85</v>
      </c>
      <c r="G1163" s="11">
        <v>46211</v>
      </c>
      <c r="H1163" s="11"/>
      <c r="I1163" s="10" t="s">
        <v>1532</v>
      </c>
      <c r="J1163" s="6" t="s">
        <v>1533</v>
      </c>
      <c r="K1163" s="12">
        <v>46121.388969907406</v>
      </c>
      <c r="L1163" s="6" t="e" cm="1">
        <f t="array" ref="L1163">LOOKUP(2^15,SEARCH(Tabela2[Palavras-Chave],Boletim4[[#This Row],[Objeto]],1),Tabela2[Palavras-Chave])</f>
        <v>#N/A</v>
      </c>
    </row>
    <row r="1164" spans="1:12" ht="28.8" hidden="1" x14ac:dyDescent="0.3">
      <c r="A1164" s="5">
        <v>18806236</v>
      </c>
      <c r="B1164" s="6" t="s">
        <v>448</v>
      </c>
      <c r="C1164" s="6" t="s">
        <v>449</v>
      </c>
      <c r="D1164" s="8" t="s">
        <v>66</v>
      </c>
      <c r="E1164" s="6" t="s">
        <v>155</v>
      </c>
      <c r="F1164" s="6" t="s">
        <v>85</v>
      </c>
      <c r="G1164" s="11">
        <v>46136.333333333336</v>
      </c>
      <c r="H1164" s="11"/>
      <c r="I1164" s="10" t="s">
        <v>651</v>
      </c>
      <c r="J1164" s="6" t="s">
        <v>652</v>
      </c>
      <c r="K1164" s="12">
        <v>46121.419479166667</v>
      </c>
      <c r="L1164" s="6" t="e" cm="1">
        <f t="array" ref="L1164">LOOKUP(2^15,SEARCH(Tabela2[Palavras-Chave],Boletim4[[#This Row],[Objeto]],1),Tabela2[Palavras-Chave])</f>
        <v>#N/A</v>
      </c>
    </row>
    <row r="1165" spans="1:12" ht="86.4" hidden="1" x14ac:dyDescent="0.3">
      <c r="A1165" s="5">
        <v>18800236</v>
      </c>
      <c r="B1165" s="6" t="s">
        <v>1534</v>
      </c>
      <c r="C1165" s="6" t="s">
        <v>1535</v>
      </c>
      <c r="D1165" s="8" t="s">
        <v>66</v>
      </c>
      <c r="E1165" s="6" t="s">
        <v>498</v>
      </c>
      <c r="F1165" s="6" t="s">
        <v>85</v>
      </c>
      <c r="G1165" s="11">
        <v>46136.354166666664</v>
      </c>
      <c r="H1165" s="11"/>
      <c r="I1165" s="10" t="s">
        <v>1536</v>
      </c>
      <c r="J1165" s="6" t="s">
        <v>1537</v>
      </c>
      <c r="K1165" s="12">
        <v>46121.419490740744</v>
      </c>
      <c r="L1165" s="6" t="e" cm="1">
        <f t="array" ref="L1165">LOOKUP(2^15,SEARCH(Tabela2[Palavras-Chave],Boletim4[[#This Row],[Objeto]],1),Tabela2[Palavras-Chave])</f>
        <v>#N/A</v>
      </c>
    </row>
    <row r="1166" spans="1:12" ht="259.2" hidden="1" x14ac:dyDescent="0.3">
      <c r="A1166" s="5">
        <v>18807051</v>
      </c>
      <c r="B1166" s="6" t="s">
        <v>1538</v>
      </c>
      <c r="C1166" s="6" t="s">
        <v>1539</v>
      </c>
      <c r="D1166" s="8" t="s">
        <v>66</v>
      </c>
      <c r="E1166" s="6" t="s">
        <v>117</v>
      </c>
      <c r="F1166" s="6" t="s">
        <v>85</v>
      </c>
      <c r="G1166" s="11" t="s">
        <v>56</v>
      </c>
      <c r="H1166" s="11"/>
      <c r="I1166" s="10" t="s">
        <v>1540</v>
      </c>
      <c r="J1166" s="6" t="s">
        <v>1541</v>
      </c>
      <c r="K1166" s="12">
        <v>46121.443530092591</v>
      </c>
      <c r="L1166" s="6" t="e" cm="1">
        <f t="array" ref="L1166">LOOKUP(2^15,SEARCH(Tabela2[Palavras-Chave],Boletim4[[#This Row],[Objeto]],1),Tabela2[Palavras-Chave])</f>
        <v>#N/A</v>
      </c>
    </row>
    <row r="1167" spans="1:12" ht="100.8" hidden="1" x14ac:dyDescent="0.3">
      <c r="A1167" s="5">
        <v>18807441</v>
      </c>
      <c r="B1167" s="6" t="s">
        <v>74</v>
      </c>
      <c r="C1167" s="6" t="s">
        <v>65</v>
      </c>
      <c r="D1167" s="8" t="s">
        <v>66</v>
      </c>
      <c r="E1167" s="6" t="s">
        <v>1319</v>
      </c>
      <c r="F1167" s="6" t="s">
        <v>85</v>
      </c>
      <c r="G1167" s="11" t="s">
        <v>56</v>
      </c>
      <c r="H1167" s="11"/>
      <c r="I1167" s="10" t="s">
        <v>1320</v>
      </c>
      <c r="J1167" s="6" t="s">
        <v>1321</v>
      </c>
      <c r="K1167" s="12">
        <v>46121.447291666664</v>
      </c>
      <c r="L1167" s="6" t="e" cm="1">
        <f t="array" ref="L1167">LOOKUP(2^15,SEARCH(Tabela2[Palavras-Chave],Boletim4[[#This Row],[Objeto]],1),Tabela2[Palavras-Chave])</f>
        <v>#N/A</v>
      </c>
    </row>
    <row r="1168" spans="1:12" ht="100.8" hidden="1" x14ac:dyDescent="0.3">
      <c r="A1168" s="5">
        <v>18807574</v>
      </c>
      <c r="B1168" s="6" t="s">
        <v>74</v>
      </c>
      <c r="C1168" s="6" t="s">
        <v>65</v>
      </c>
      <c r="D1168" s="8" t="s">
        <v>66</v>
      </c>
      <c r="E1168" s="6" t="s">
        <v>2972</v>
      </c>
      <c r="F1168" s="6" t="s">
        <v>85</v>
      </c>
      <c r="G1168" s="11" t="s">
        <v>56</v>
      </c>
      <c r="H1168" s="11"/>
      <c r="I1168" s="10" t="s">
        <v>2973</v>
      </c>
      <c r="J1168" s="6" t="s">
        <v>1321</v>
      </c>
      <c r="K1168" s="12">
        <v>46121.450069444443</v>
      </c>
      <c r="L1168" s="6" t="e" cm="1">
        <f t="array" ref="L1168">LOOKUP(2^15,SEARCH(Tabela2[Palavras-Chave],Boletim4[[#This Row],[Objeto]],1),Tabela2[Palavras-Chave])</f>
        <v>#N/A</v>
      </c>
    </row>
    <row r="1169" spans="1:12" ht="86.4" hidden="1" x14ac:dyDescent="0.3">
      <c r="A1169" s="5">
        <v>18806878</v>
      </c>
      <c r="B1169" s="6" t="s">
        <v>1542</v>
      </c>
      <c r="C1169" s="6" t="s">
        <v>221</v>
      </c>
      <c r="D1169" s="8" t="s">
        <v>66</v>
      </c>
      <c r="E1169" s="6" t="s">
        <v>127</v>
      </c>
      <c r="F1169" s="6" t="s">
        <v>85</v>
      </c>
      <c r="G1169" s="11" t="s">
        <v>56</v>
      </c>
      <c r="H1169" s="11"/>
      <c r="I1169" s="10" t="s">
        <v>1543</v>
      </c>
      <c r="J1169" s="6" t="s">
        <v>1544</v>
      </c>
      <c r="K1169" s="12">
        <v>46121.447951388887</v>
      </c>
      <c r="L1169" s="6" t="e" cm="1">
        <f t="array" ref="L1169">LOOKUP(2^15,SEARCH(Tabela2[Palavras-Chave],Boletim4[[#This Row],[Objeto]],1),Tabela2[Palavras-Chave])</f>
        <v>#N/A</v>
      </c>
    </row>
    <row r="1170" spans="1:12" ht="288" hidden="1" x14ac:dyDescent="0.3">
      <c r="A1170" s="5">
        <v>18807145</v>
      </c>
      <c r="B1170" s="6" t="s">
        <v>1545</v>
      </c>
      <c r="C1170" s="6" t="s">
        <v>1546</v>
      </c>
      <c r="D1170" s="8" t="s">
        <v>66</v>
      </c>
      <c r="E1170" s="6" t="s">
        <v>135</v>
      </c>
      <c r="F1170" s="6" t="s">
        <v>85</v>
      </c>
      <c r="G1170" s="11" t="s">
        <v>56</v>
      </c>
      <c r="H1170" s="11"/>
      <c r="I1170" s="10" t="s">
        <v>1547</v>
      </c>
      <c r="J1170" s="6" t="s">
        <v>1548</v>
      </c>
      <c r="K1170" s="12">
        <v>46121.452476851853</v>
      </c>
      <c r="L1170" s="6" t="e" cm="1">
        <f t="array" ref="L1170">LOOKUP(2^15,SEARCH(Tabela2[Palavras-Chave],Boletim4[[#This Row],[Objeto]],1),Tabela2[Palavras-Chave])</f>
        <v>#N/A</v>
      </c>
    </row>
    <row r="1171" spans="1:12" ht="244.8" hidden="1" x14ac:dyDescent="0.3">
      <c r="A1171" s="5">
        <v>18807692</v>
      </c>
      <c r="B1171" s="6" t="s">
        <v>1549</v>
      </c>
      <c r="C1171" s="6" t="s">
        <v>1550</v>
      </c>
      <c r="D1171" s="8" t="s">
        <v>66</v>
      </c>
      <c r="E1171" s="6" t="s">
        <v>134</v>
      </c>
      <c r="F1171" s="6" t="s">
        <v>85</v>
      </c>
      <c r="G1171" s="11" t="s">
        <v>56</v>
      </c>
      <c r="H1171" s="11"/>
      <c r="I1171" s="10" t="s">
        <v>1551</v>
      </c>
      <c r="J1171" s="6" t="s">
        <v>1552</v>
      </c>
      <c r="K1171" s="12">
        <v>46121.467395833337</v>
      </c>
      <c r="L1171" s="6" t="e" cm="1">
        <f t="array" ref="L1171">LOOKUP(2^15,SEARCH(Tabela2[Palavras-Chave],Boletim4[[#This Row],[Objeto]],1),Tabela2[Palavras-Chave])</f>
        <v>#N/A</v>
      </c>
    </row>
    <row r="1172" spans="1:12" ht="43.2" hidden="1" x14ac:dyDescent="0.3">
      <c r="A1172" s="5">
        <v>18806982</v>
      </c>
      <c r="B1172" s="6" t="s">
        <v>1553</v>
      </c>
      <c r="C1172" s="6" t="s">
        <v>1554</v>
      </c>
      <c r="D1172" s="8" t="s">
        <v>66</v>
      </c>
      <c r="E1172" s="6" t="s">
        <v>146</v>
      </c>
      <c r="F1172" s="6" t="s">
        <v>85</v>
      </c>
      <c r="G1172" s="11">
        <v>46140.333333333336</v>
      </c>
      <c r="H1172" s="11"/>
      <c r="I1172" s="10" t="s">
        <v>1555</v>
      </c>
      <c r="J1172" s="6" t="s">
        <v>1556</v>
      </c>
      <c r="K1172" s="12">
        <v>46121.488009259258</v>
      </c>
      <c r="L1172" s="6" t="e" cm="1">
        <f t="array" ref="L1172">LOOKUP(2^15,SEARCH(Tabela2[Palavras-Chave],Boletim4[[#This Row],[Objeto]],1),Tabela2[Palavras-Chave])</f>
        <v>#N/A</v>
      </c>
    </row>
    <row r="1173" spans="1:12" ht="28.8" hidden="1" x14ac:dyDescent="0.3">
      <c r="A1173" s="5">
        <v>18808174</v>
      </c>
      <c r="B1173" s="6" t="s">
        <v>653</v>
      </c>
      <c r="C1173" s="6" t="s">
        <v>65</v>
      </c>
      <c r="D1173" s="8" t="s">
        <v>66</v>
      </c>
      <c r="E1173" s="6" t="s">
        <v>1557</v>
      </c>
      <c r="F1173" s="6" t="s">
        <v>85</v>
      </c>
      <c r="G1173" s="11" t="s">
        <v>56</v>
      </c>
      <c r="H1173" s="11"/>
      <c r="I1173" s="10" t="s">
        <v>1558</v>
      </c>
      <c r="J1173" s="6" t="s">
        <v>1559</v>
      </c>
      <c r="K1173" s="12">
        <v>46121.523634259262</v>
      </c>
      <c r="L1173" s="6" t="e" cm="1">
        <f t="array" ref="L1173">LOOKUP(2^15,SEARCH(Tabela2[Palavras-Chave],Boletim4[[#This Row],[Objeto]],1),Tabela2[Palavras-Chave])</f>
        <v>#N/A</v>
      </c>
    </row>
    <row r="1174" spans="1:12" ht="115.2" hidden="1" x14ac:dyDescent="0.3">
      <c r="A1174" s="5">
        <v>18808473</v>
      </c>
      <c r="B1174" s="6" t="s">
        <v>1560</v>
      </c>
      <c r="C1174" s="6" t="s">
        <v>1561</v>
      </c>
      <c r="D1174" s="8" t="s">
        <v>66</v>
      </c>
      <c r="E1174" s="6" t="s">
        <v>211</v>
      </c>
      <c r="F1174" s="6" t="s">
        <v>85</v>
      </c>
      <c r="G1174" s="11">
        <v>46134.368055555555</v>
      </c>
      <c r="H1174" s="11"/>
      <c r="I1174" s="10" t="s">
        <v>1562</v>
      </c>
      <c r="J1174" s="6" t="s">
        <v>1563</v>
      </c>
      <c r="K1174" s="12">
        <v>46121.533784722225</v>
      </c>
      <c r="L1174" s="6" t="e" cm="1">
        <f t="array" ref="L1174">LOOKUP(2^15,SEARCH(Tabela2[Palavras-Chave],Boletim4[[#This Row],[Objeto]],1),Tabela2[Palavras-Chave])</f>
        <v>#N/A</v>
      </c>
    </row>
    <row r="1175" spans="1:12" ht="57.6" hidden="1" x14ac:dyDescent="0.3">
      <c r="A1175" s="5">
        <v>18808159</v>
      </c>
      <c r="B1175" s="6" t="s">
        <v>1564</v>
      </c>
      <c r="C1175" s="6" t="s">
        <v>1565</v>
      </c>
      <c r="D1175" s="8" t="s">
        <v>66</v>
      </c>
      <c r="E1175" s="6" t="s">
        <v>113</v>
      </c>
      <c r="F1175" s="6" t="s">
        <v>85</v>
      </c>
      <c r="G1175" s="11" t="s">
        <v>56</v>
      </c>
      <c r="H1175" s="11"/>
      <c r="I1175" s="10" t="s">
        <v>1566</v>
      </c>
      <c r="J1175" s="6" t="s">
        <v>1567</v>
      </c>
      <c r="K1175" s="12">
        <v>46121.545289351852</v>
      </c>
      <c r="L1175" s="6" t="e" cm="1">
        <f t="array" ref="L1175">LOOKUP(2^15,SEARCH(Tabela2[Palavras-Chave],Boletim4[[#This Row],[Objeto]],1),Tabela2[Palavras-Chave])</f>
        <v>#N/A</v>
      </c>
    </row>
    <row r="1176" spans="1:12" ht="115.2" hidden="1" x14ac:dyDescent="0.3">
      <c r="A1176" s="5">
        <v>18808291</v>
      </c>
      <c r="B1176" s="6" t="s">
        <v>1568</v>
      </c>
      <c r="C1176" s="6" t="s">
        <v>1569</v>
      </c>
      <c r="D1176" s="8" t="s">
        <v>66</v>
      </c>
      <c r="E1176" s="6" t="s">
        <v>441</v>
      </c>
      <c r="F1176" s="6" t="s">
        <v>85</v>
      </c>
      <c r="G1176" s="11" t="s">
        <v>56</v>
      </c>
      <c r="H1176" s="11"/>
      <c r="I1176" s="10" t="s">
        <v>1570</v>
      </c>
      <c r="J1176" s="6" t="s">
        <v>1571</v>
      </c>
      <c r="K1176" s="12">
        <v>46121.596574074072</v>
      </c>
      <c r="L1176" s="6" t="e" cm="1">
        <f t="array" ref="L1176">LOOKUP(2^15,SEARCH(Tabela2[Palavras-Chave],Boletim4[[#This Row],[Objeto]],1),Tabela2[Palavras-Chave])</f>
        <v>#N/A</v>
      </c>
    </row>
    <row r="1177" spans="1:12" ht="129.6" hidden="1" x14ac:dyDescent="0.3">
      <c r="A1177" s="5">
        <v>18804818</v>
      </c>
      <c r="B1177" s="6" t="s">
        <v>648</v>
      </c>
      <c r="C1177" s="6" t="s">
        <v>65</v>
      </c>
      <c r="D1177" s="8" t="s">
        <v>66</v>
      </c>
      <c r="E1177" s="6" t="s">
        <v>299</v>
      </c>
      <c r="F1177" s="6" t="s">
        <v>85</v>
      </c>
      <c r="G1177" s="11">
        <v>46147.375</v>
      </c>
      <c r="H1177" s="11"/>
      <c r="I1177" s="10" t="s">
        <v>649</v>
      </c>
      <c r="J1177" s="6" t="s">
        <v>650</v>
      </c>
      <c r="K1177" s="12">
        <v>46121.558368055557</v>
      </c>
      <c r="L1177" s="6" t="e" cm="1">
        <f t="array" ref="L1177">LOOKUP(2^15,SEARCH(Tabela2[Palavras-Chave],Boletim4[[#This Row],[Objeto]],1),Tabela2[Palavras-Chave])</f>
        <v>#N/A</v>
      </c>
    </row>
    <row r="1178" spans="1:12" ht="43.2" hidden="1" x14ac:dyDescent="0.3">
      <c r="A1178" s="5">
        <v>18807839</v>
      </c>
      <c r="B1178" s="6" t="s">
        <v>1572</v>
      </c>
      <c r="C1178" s="6" t="s">
        <v>1573</v>
      </c>
      <c r="D1178" s="8" t="s">
        <v>66</v>
      </c>
      <c r="E1178" s="6" t="s">
        <v>446</v>
      </c>
      <c r="F1178" s="6" t="s">
        <v>85</v>
      </c>
      <c r="G1178" s="11">
        <v>46140.541666666664</v>
      </c>
      <c r="H1178" s="11"/>
      <c r="I1178" s="10" t="s">
        <v>1574</v>
      </c>
      <c r="J1178" s="6" t="s">
        <v>1575</v>
      </c>
      <c r="K1178" s="12">
        <v>46121.561921296299</v>
      </c>
      <c r="L1178" s="6" t="e" cm="1">
        <f t="array" ref="L1178">LOOKUP(2^15,SEARCH(Tabela2[Palavras-Chave],Boletim4[[#This Row],[Objeto]],1),Tabela2[Palavras-Chave])</f>
        <v>#N/A</v>
      </c>
    </row>
    <row r="1179" spans="1:12" ht="43.2" hidden="1" x14ac:dyDescent="0.3">
      <c r="A1179" s="5">
        <v>18808791</v>
      </c>
      <c r="B1179" s="6" t="s">
        <v>3057</v>
      </c>
      <c r="C1179" s="6" t="s">
        <v>3058</v>
      </c>
      <c r="D1179" s="8" t="s">
        <v>66</v>
      </c>
      <c r="E1179" s="6" t="s">
        <v>113</v>
      </c>
      <c r="F1179" s="6" t="s">
        <v>85</v>
      </c>
      <c r="G1179" s="11">
        <v>46142.395833333336</v>
      </c>
      <c r="H1179" s="11"/>
      <c r="I1179" s="10" t="s">
        <v>3059</v>
      </c>
      <c r="J1179" s="6" t="s">
        <v>3060</v>
      </c>
      <c r="K1179" s="12">
        <v>46121.568449074075</v>
      </c>
      <c r="L1179" s="6" t="e" cm="1">
        <f t="array" ref="L1179">LOOKUP(2^15,SEARCH(Tabela2[Palavras-Chave],Boletim4[[#This Row],[Objeto]],1),Tabela2[Palavras-Chave])</f>
        <v>#N/A</v>
      </c>
    </row>
    <row r="1180" spans="1:12" ht="115.2" hidden="1" x14ac:dyDescent="0.3">
      <c r="A1180" s="5">
        <v>18808311</v>
      </c>
      <c r="B1180" s="6" t="s">
        <v>289</v>
      </c>
      <c r="C1180" s="6" t="s">
        <v>290</v>
      </c>
      <c r="D1180" s="8" t="s">
        <v>66</v>
      </c>
      <c r="E1180" s="6" t="s">
        <v>249</v>
      </c>
      <c r="F1180" s="6" t="s">
        <v>85</v>
      </c>
      <c r="G1180" s="11" t="s">
        <v>56</v>
      </c>
      <c r="H1180" s="11"/>
      <c r="I1180" s="10" t="s">
        <v>1576</v>
      </c>
      <c r="J1180" s="6" t="s">
        <v>1577</v>
      </c>
      <c r="K1180" s="12">
        <v>46121.574594907404</v>
      </c>
      <c r="L1180" s="6" t="e" cm="1">
        <f t="array" ref="L1180">LOOKUP(2^15,SEARCH(Tabela2[Palavras-Chave],Boletim4[[#This Row],[Objeto]],1),Tabela2[Palavras-Chave])</f>
        <v>#N/A</v>
      </c>
    </row>
    <row r="1181" spans="1:12" ht="259.2" hidden="1" x14ac:dyDescent="0.3">
      <c r="A1181" s="5">
        <v>18752729</v>
      </c>
      <c r="B1181" s="6" t="s">
        <v>1578</v>
      </c>
      <c r="C1181" s="6" t="s">
        <v>1579</v>
      </c>
      <c r="D1181" s="8" t="s">
        <v>66</v>
      </c>
      <c r="E1181" s="6" t="s">
        <v>113</v>
      </c>
      <c r="F1181" s="6" t="s">
        <v>85</v>
      </c>
      <c r="G1181" s="11" t="s">
        <v>56</v>
      </c>
      <c r="H1181" s="11"/>
      <c r="I1181" s="10" t="s">
        <v>1580</v>
      </c>
      <c r="J1181" s="6" t="s">
        <v>1581</v>
      </c>
      <c r="K1181" s="12">
        <v>46121.577175925922</v>
      </c>
      <c r="L1181" s="6" t="e" cm="1">
        <f t="array" ref="L1181">LOOKUP(2^15,SEARCH(Tabela2[Palavras-Chave],Boletim4[[#This Row],[Objeto]],1),Tabela2[Palavras-Chave])</f>
        <v>#N/A</v>
      </c>
    </row>
    <row r="1182" spans="1:12" ht="57.6" hidden="1" x14ac:dyDescent="0.3">
      <c r="A1182" s="5">
        <v>18804220</v>
      </c>
      <c r="B1182" s="6" t="s">
        <v>657</v>
      </c>
      <c r="C1182" s="6" t="s">
        <v>658</v>
      </c>
      <c r="D1182" s="8" t="s">
        <v>66</v>
      </c>
      <c r="E1182" s="6" t="s">
        <v>126</v>
      </c>
      <c r="F1182" s="6" t="s">
        <v>85</v>
      </c>
      <c r="G1182" s="11">
        <v>46139.354166666664</v>
      </c>
      <c r="H1182" s="11"/>
      <c r="I1182" s="10" t="s">
        <v>659</v>
      </c>
      <c r="J1182" s="6" t="s">
        <v>660</v>
      </c>
      <c r="K1182" s="12">
        <v>46121.586921296293</v>
      </c>
      <c r="L1182" s="6" t="e" cm="1">
        <f t="array" ref="L1182">LOOKUP(2^15,SEARCH(Tabela2[Palavras-Chave],Boletim4[[#This Row],[Objeto]],1),Tabela2[Palavras-Chave])</f>
        <v>#N/A</v>
      </c>
    </row>
    <row r="1183" spans="1:12" ht="115.2" hidden="1" x14ac:dyDescent="0.3">
      <c r="A1183" s="5">
        <v>18800561</v>
      </c>
      <c r="B1183" s="6" t="s">
        <v>1582</v>
      </c>
      <c r="C1183" s="6" t="s">
        <v>310</v>
      </c>
      <c r="D1183" s="8" t="s">
        <v>66</v>
      </c>
      <c r="E1183" s="6" t="s">
        <v>117</v>
      </c>
      <c r="F1183" s="6" t="s">
        <v>85</v>
      </c>
      <c r="G1183" s="11">
        <v>46134.375</v>
      </c>
      <c r="H1183" s="11"/>
      <c r="I1183" s="10" t="s">
        <v>1583</v>
      </c>
      <c r="J1183" s="6" t="s">
        <v>1584</v>
      </c>
      <c r="K1183" s="12">
        <v>46121.58699074074</v>
      </c>
      <c r="L1183" s="6" t="e" cm="1">
        <f t="array" ref="L1183">LOOKUP(2^15,SEARCH(Tabela2[Palavras-Chave],Boletim4[[#This Row],[Objeto]],1),Tabela2[Palavras-Chave])</f>
        <v>#N/A</v>
      </c>
    </row>
    <row r="1184" spans="1:12" ht="57.6" hidden="1" x14ac:dyDescent="0.3">
      <c r="A1184" s="5">
        <v>18798866</v>
      </c>
      <c r="B1184" s="6" t="s">
        <v>657</v>
      </c>
      <c r="C1184" s="6" t="s">
        <v>658</v>
      </c>
      <c r="D1184" s="8" t="s">
        <v>66</v>
      </c>
      <c r="E1184" s="6" t="s">
        <v>128</v>
      </c>
      <c r="F1184" s="6" t="s">
        <v>85</v>
      </c>
      <c r="G1184" s="11">
        <v>46136.354166666664</v>
      </c>
      <c r="H1184" s="11"/>
      <c r="I1184" s="10" t="s">
        <v>1585</v>
      </c>
      <c r="J1184" s="6" t="s">
        <v>1586</v>
      </c>
      <c r="K1184" s="12">
        <v>46121.587592592594</v>
      </c>
      <c r="L1184" s="6" t="e" cm="1">
        <f t="array" ref="L1184">LOOKUP(2^15,SEARCH(Tabela2[Palavras-Chave],Boletim4[[#This Row],[Objeto]],1),Tabela2[Palavras-Chave])</f>
        <v>#N/A</v>
      </c>
    </row>
    <row r="1185" spans="1:12" ht="57.6" hidden="1" x14ac:dyDescent="0.3">
      <c r="A1185" s="5">
        <v>18801222</v>
      </c>
      <c r="B1185" s="6" t="s">
        <v>1587</v>
      </c>
      <c r="C1185" s="6" t="s">
        <v>1588</v>
      </c>
      <c r="D1185" s="8" t="s">
        <v>66</v>
      </c>
      <c r="E1185" s="6" t="s">
        <v>107</v>
      </c>
      <c r="F1185" s="6" t="s">
        <v>85</v>
      </c>
      <c r="G1185" s="11">
        <v>46140.395833333336</v>
      </c>
      <c r="H1185" s="11"/>
      <c r="I1185" s="10" t="s">
        <v>1589</v>
      </c>
      <c r="J1185" s="6" t="s">
        <v>1590</v>
      </c>
      <c r="K1185" s="12">
        <v>46121.587604166663</v>
      </c>
      <c r="L1185" s="6" t="e" cm="1">
        <f t="array" ref="L1185">LOOKUP(2^15,SEARCH(Tabela2[Palavras-Chave],Boletim4[[#This Row],[Objeto]],1),Tabela2[Palavras-Chave])</f>
        <v>#N/A</v>
      </c>
    </row>
    <row r="1186" spans="1:12" ht="43.2" hidden="1" x14ac:dyDescent="0.3">
      <c r="A1186" s="5">
        <v>18797428</v>
      </c>
      <c r="B1186" s="6" t="s">
        <v>309</v>
      </c>
      <c r="C1186" s="6" t="s">
        <v>310</v>
      </c>
      <c r="D1186" s="8" t="s">
        <v>66</v>
      </c>
      <c r="E1186" s="6" t="s">
        <v>240</v>
      </c>
      <c r="F1186" s="6" t="s">
        <v>85</v>
      </c>
      <c r="G1186" s="11">
        <v>46139.375</v>
      </c>
      <c r="H1186" s="11"/>
      <c r="I1186" s="10" t="s">
        <v>1591</v>
      </c>
      <c r="J1186" s="6" t="s">
        <v>1592</v>
      </c>
      <c r="K1186" s="12">
        <v>46121.587638888886</v>
      </c>
      <c r="L1186" s="6" t="e" cm="1">
        <f t="array" ref="L1186">LOOKUP(2^15,SEARCH(Tabela2[Palavras-Chave],Boletim4[[#This Row],[Objeto]],1),Tabela2[Palavras-Chave])</f>
        <v>#N/A</v>
      </c>
    </row>
    <row r="1187" spans="1:12" ht="72" hidden="1" x14ac:dyDescent="0.3">
      <c r="A1187" s="5">
        <v>18808724</v>
      </c>
      <c r="B1187" s="6" t="s">
        <v>592</v>
      </c>
      <c r="C1187" s="6" t="s">
        <v>593</v>
      </c>
      <c r="D1187" s="8" t="s">
        <v>66</v>
      </c>
      <c r="E1187" s="6" t="s">
        <v>113</v>
      </c>
      <c r="F1187" s="6" t="s">
        <v>85</v>
      </c>
      <c r="G1187" s="11">
        <v>46142.333333333336</v>
      </c>
      <c r="H1187" s="11"/>
      <c r="I1187" s="10" t="s">
        <v>3061</v>
      </c>
      <c r="J1187" s="6" t="s">
        <v>3062</v>
      </c>
      <c r="K1187" s="12">
        <v>46121.589282407411</v>
      </c>
      <c r="L1187" s="6" t="e" cm="1">
        <f t="array" ref="L1187">LOOKUP(2^15,SEARCH(Tabela2[Palavras-Chave],Boletim4[[#This Row],[Objeto]],1),Tabela2[Palavras-Chave])</f>
        <v>#N/A</v>
      </c>
    </row>
    <row r="1188" spans="1:12" ht="86.4" hidden="1" x14ac:dyDescent="0.3">
      <c r="A1188" s="5">
        <v>18809055</v>
      </c>
      <c r="B1188" s="6" t="s">
        <v>1593</v>
      </c>
      <c r="C1188" s="6" t="s">
        <v>1594</v>
      </c>
      <c r="D1188" s="8" t="s">
        <v>66</v>
      </c>
      <c r="E1188" s="6" t="s">
        <v>1595</v>
      </c>
      <c r="F1188" s="6" t="s">
        <v>85</v>
      </c>
      <c r="G1188" s="11" t="s">
        <v>56</v>
      </c>
      <c r="H1188" s="11"/>
      <c r="I1188" s="10" t="s">
        <v>1596</v>
      </c>
      <c r="J1188" s="6" t="s">
        <v>1597</v>
      </c>
      <c r="K1188" s="12">
        <v>46121.602858796294</v>
      </c>
      <c r="L1188" s="6" t="e" cm="1">
        <f t="array" ref="L1188">LOOKUP(2^15,SEARCH(Tabela2[Palavras-Chave],Boletim4[[#This Row],[Objeto]],1),Tabela2[Palavras-Chave])</f>
        <v>#N/A</v>
      </c>
    </row>
    <row r="1189" spans="1:12" ht="43.2" hidden="1" x14ac:dyDescent="0.3">
      <c r="A1189" s="5">
        <v>18792658</v>
      </c>
      <c r="B1189" s="6" t="s">
        <v>1598</v>
      </c>
      <c r="C1189" s="6" t="s">
        <v>1599</v>
      </c>
      <c r="D1189" s="8" t="s">
        <v>66</v>
      </c>
      <c r="E1189" s="6" t="s">
        <v>450</v>
      </c>
      <c r="F1189" s="6" t="s">
        <v>85</v>
      </c>
      <c r="G1189" s="11">
        <v>46136.375</v>
      </c>
      <c r="H1189" s="11"/>
      <c r="I1189" s="10" t="s">
        <v>1600</v>
      </c>
      <c r="J1189" s="6" t="s">
        <v>1601</v>
      </c>
      <c r="K1189" s="12">
        <v>46121.607037037036</v>
      </c>
      <c r="L1189" s="6" t="e" cm="1">
        <f t="array" ref="L1189">LOOKUP(2^15,SEARCH(Tabela2[Palavras-Chave],Boletim4[[#This Row],[Objeto]],1),Tabela2[Palavras-Chave])</f>
        <v>#N/A</v>
      </c>
    </row>
    <row r="1190" spans="1:12" ht="100.8" hidden="1" x14ac:dyDescent="0.3">
      <c r="A1190" s="5">
        <v>18809532</v>
      </c>
      <c r="B1190" s="6" t="s">
        <v>341</v>
      </c>
      <c r="C1190" s="6" t="s">
        <v>342</v>
      </c>
      <c r="D1190" s="8" t="s">
        <v>66</v>
      </c>
      <c r="E1190" s="6" t="s">
        <v>171</v>
      </c>
      <c r="F1190" s="6" t="s">
        <v>85</v>
      </c>
      <c r="G1190" s="11">
        <v>46139.375</v>
      </c>
      <c r="H1190" s="11"/>
      <c r="I1190" s="10" t="s">
        <v>1602</v>
      </c>
      <c r="J1190" s="6" t="s">
        <v>1603</v>
      </c>
      <c r="K1190" s="12">
        <v>46121.607789351852</v>
      </c>
      <c r="L1190" s="6" t="e" cm="1">
        <f t="array" ref="L1190">LOOKUP(2^15,SEARCH(Tabela2[Palavras-Chave],Boletim4[[#This Row],[Objeto]],1),Tabela2[Palavras-Chave])</f>
        <v>#N/A</v>
      </c>
    </row>
    <row r="1191" spans="1:12" ht="57.6" hidden="1" x14ac:dyDescent="0.3">
      <c r="A1191" s="5">
        <v>18808593</v>
      </c>
      <c r="B1191" s="6" t="s">
        <v>3063</v>
      </c>
      <c r="C1191" s="6" t="s">
        <v>3064</v>
      </c>
      <c r="D1191" s="8" t="s">
        <v>66</v>
      </c>
      <c r="E1191" s="6" t="s">
        <v>142</v>
      </c>
      <c r="F1191" s="6" t="s">
        <v>85</v>
      </c>
      <c r="G1191" s="11">
        <v>46135.375</v>
      </c>
      <c r="H1191" s="11"/>
      <c r="I1191" s="10" t="s">
        <v>3065</v>
      </c>
      <c r="J1191" s="6" t="s">
        <v>3066</v>
      </c>
      <c r="K1191" s="12">
        <v>46121.615081018521</v>
      </c>
      <c r="L1191" s="6" t="e" cm="1">
        <f t="array" ref="L1191">LOOKUP(2^15,SEARCH(Tabela2[Palavras-Chave],Boletim4[[#This Row],[Objeto]],1),Tabela2[Palavras-Chave])</f>
        <v>#N/A</v>
      </c>
    </row>
    <row r="1192" spans="1:12" ht="28.8" hidden="1" x14ac:dyDescent="0.3">
      <c r="A1192" s="5">
        <v>18808176</v>
      </c>
      <c r="B1192" s="6" t="s">
        <v>1604</v>
      </c>
      <c r="C1192" s="6" t="s">
        <v>194</v>
      </c>
      <c r="D1192" s="8" t="s">
        <v>66</v>
      </c>
      <c r="E1192" s="6" t="s">
        <v>498</v>
      </c>
      <c r="F1192" s="6" t="s">
        <v>85</v>
      </c>
      <c r="G1192" s="11">
        <v>46139.375</v>
      </c>
      <c r="H1192" s="11"/>
      <c r="I1192" s="10" t="s">
        <v>1605</v>
      </c>
      <c r="J1192" s="6" t="s">
        <v>1606</v>
      </c>
      <c r="K1192" s="12">
        <v>46121.62195601852</v>
      </c>
      <c r="L1192" s="6" t="e" cm="1">
        <f t="array" ref="L1192">LOOKUP(2^15,SEARCH(Tabela2[Palavras-Chave],Boletim4[[#This Row],[Objeto]],1),Tabela2[Palavras-Chave])</f>
        <v>#N/A</v>
      </c>
    </row>
    <row r="1193" spans="1:12" ht="28.8" hidden="1" x14ac:dyDescent="0.3">
      <c r="A1193" s="5">
        <v>18809693</v>
      </c>
      <c r="B1193" s="6" t="s">
        <v>339</v>
      </c>
      <c r="C1193" s="6" t="s">
        <v>65</v>
      </c>
      <c r="D1193" s="8" t="s">
        <v>66</v>
      </c>
      <c r="E1193" s="6" t="s">
        <v>165</v>
      </c>
      <c r="F1193" s="6" t="s">
        <v>85</v>
      </c>
      <c r="G1193" s="11" t="s">
        <v>56</v>
      </c>
      <c r="H1193" s="11"/>
      <c r="I1193" s="10" t="s">
        <v>3067</v>
      </c>
      <c r="J1193" s="6" t="s">
        <v>3068</v>
      </c>
      <c r="K1193" s="12">
        <v>46121.647314814814</v>
      </c>
      <c r="L1193" s="6" t="e" cm="1">
        <f t="array" ref="L1193">LOOKUP(2^15,SEARCH(Tabela2[Palavras-Chave],Boletim4[[#This Row],[Objeto]],1),Tabela2[Palavras-Chave])</f>
        <v>#N/A</v>
      </c>
    </row>
    <row r="1194" spans="1:12" ht="244.8" hidden="1" x14ac:dyDescent="0.3">
      <c r="A1194" s="5">
        <v>18809229</v>
      </c>
      <c r="B1194" s="6" t="s">
        <v>1607</v>
      </c>
      <c r="C1194" s="6" t="s">
        <v>1608</v>
      </c>
      <c r="D1194" s="8" t="s">
        <v>66</v>
      </c>
      <c r="E1194" s="6" t="s">
        <v>441</v>
      </c>
      <c r="F1194" s="6" t="s">
        <v>85</v>
      </c>
      <c r="G1194" s="11" t="s">
        <v>56</v>
      </c>
      <c r="H1194" s="11"/>
      <c r="I1194" s="10" t="s">
        <v>1609</v>
      </c>
      <c r="J1194" s="6" t="s">
        <v>1610</v>
      </c>
      <c r="K1194" s="12">
        <v>46121.659594907411</v>
      </c>
      <c r="L1194" s="6" t="e" cm="1">
        <f t="array" ref="L1194">LOOKUP(2^15,SEARCH(Tabela2[Palavras-Chave],Boletim4[[#This Row],[Objeto]],1),Tabela2[Palavras-Chave])</f>
        <v>#N/A</v>
      </c>
    </row>
    <row r="1195" spans="1:12" ht="86.4" hidden="1" x14ac:dyDescent="0.3">
      <c r="A1195" s="5">
        <v>18806902</v>
      </c>
      <c r="B1195" s="6" t="s">
        <v>1611</v>
      </c>
      <c r="C1195" s="6" t="s">
        <v>1612</v>
      </c>
      <c r="D1195" s="8" t="s">
        <v>66</v>
      </c>
      <c r="E1195" s="6" t="s">
        <v>120</v>
      </c>
      <c r="F1195" s="6" t="s">
        <v>85</v>
      </c>
      <c r="G1195" s="11" t="s">
        <v>56</v>
      </c>
      <c r="H1195" s="11"/>
      <c r="I1195" s="10" t="s">
        <v>1613</v>
      </c>
      <c r="J1195" s="6" t="s">
        <v>1614</v>
      </c>
      <c r="K1195" s="12">
        <v>46121.664282407408</v>
      </c>
      <c r="L1195" s="6" t="e" cm="1">
        <f t="array" ref="L1195">LOOKUP(2^15,SEARCH(Tabela2[Palavras-Chave],Boletim4[[#This Row],[Objeto]],1),Tabela2[Palavras-Chave])</f>
        <v>#N/A</v>
      </c>
    </row>
    <row r="1196" spans="1:12" ht="86.4" hidden="1" x14ac:dyDescent="0.3">
      <c r="A1196" s="5">
        <v>18806898</v>
      </c>
      <c r="B1196" s="6" t="s">
        <v>1615</v>
      </c>
      <c r="C1196" s="6" t="s">
        <v>1616</v>
      </c>
      <c r="D1196" s="8" t="s">
        <v>66</v>
      </c>
      <c r="E1196" s="6" t="s">
        <v>1617</v>
      </c>
      <c r="F1196" s="6" t="s">
        <v>85</v>
      </c>
      <c r="G1196" s="11" t="s">
        <v>56</v>
      </c>
      <c r="H1196" s="11"/>
      <c r="I1196" s="10" t="s">
        <v>1618</v>
      </c>
      <c r="J1196" s="6" t="s">
        <v>1619</v>
      </c>
      <c r="K1196" s="12">
        <v>46121.664618055554</v>
      </c>
      <c r="L1196" s="6" t="e" cm="1">
        <f t="array" ref="L1196">LOOKUP(2^15,SEARCH(Tabela2[Palavras-Chave],Boletim4[[#This Row],[Objeto]],1),Tabela2[Palavras-Chave])</f>
        <v>#N/A</v>
      </c>
    </row>
    <row r="1197" spans="1:12" ht="43.2" hidden="1" x14ac:dyDescent="0.3">
      <c r="A1197" s="5">
        <v>18808175</v>
      </c>
      <c r="B1197" s="6" t="s">
        <v>1620</v>
      </c>
      <c r="C1197" s="6" t="s">
        <v>65</v>
      </c>
      <c r="D1197" s="8" t="s">
        <v>66</v>
      </c>
      <c r="E1197" s="6" t="s">
        <v>1621</v>
      </c>
      <c r="F1197" s="6" t="s">
        <v>85</v>
      </c>
      <c r="G1197" s="11" t="s">
        <v>56</v>
      </c>
      <c r="H1197" s="11"/>
      <c r="I1197" s="10" t="s">
        <v>1622</v>
      </c>
      <c r="J1197" s="6" t="s">
        <v>1623</v>
      </c>
      <c r="K1197" s="12">
        <v>46121.69253472222</v>
      </c>
      <c r="L1197" s="6" t="e" cm="1">
        <f t="array" ref="L1197">LOOKUP(2^15,SEARCH(Tabela2[Palavras-Chave],Boletim4[[#This Row],[Objeto]],1),Tabela2[Palavras-Chave])</f>
        <v>#N/A</v>
      </c>
    </row>
    <row r="1198" spans="1:12" ht="144" hidden="1" x14ac:dyDescent="0.3">
      <c r="A1198" s="5">
        <v>18808293</v>
      </c>
      <c r="B1198" s="6" t="s">
        <v>1624</v>
      </c>
      <c r="C1198" s="6" t="s">
        <v>65</v>
      </c>
      <c r="D1198" s="8" t="s">
        <v>66</v>
      </c>
      <c r="E1198" s="6" t="s">
        <v>183</v>
      </c>
      <c r="F1198" s="6" t="s">
        <v>85</v>
      </c>
      <c r="G1198" s="11" t="s">
        <v>56</v>
      </c>
      <c r="H1198" s="11"/>
      <c r="I1198" s="10" t="s">
        <v>1625</v>
      </c>
      <c r="J1198" s="6" t="s">
        <v>1626</v>
      </c>
      <c r="K1198" s="12">
        <v>46121.697916666664</v>
      </c>
      <c r="L1198" s="6" t="e" cm="1">
        <f t="array" ref="L1198">LOOKUP(2^15,SEARCH(Tabela2[Palavras-Chave],Boletim4[[#This Row],[Objeto]],1),Tabela2[Palavras-Chave])</f>
        <v>#N/A</v>
      </c>
    </row>
    <row r="1199" spans="1:12" ht="86.4" hidden="1" x14ac:dyDescent="0.3">
      <c r="A1199" s="5">
        <v>18809060</v>
      </c>
      <c r="B1199" s="6" t="s">
        <v>1627</v>
      </c>
      <c r="C1199" s="6" t="s">
        <v>65</v>
      </c>
      <c r="D1199" s="8" t="s">
        <v>66</v>
      </c>
      <c r="E1199" s="6" t="s">
        <v>1628</v>
      </c>
      <c r="F1199" s="6" t="s">
        <v>85</v>
      </c>
      <c r="G1199" s="11" t="s">
        <v>56</v>
      </c>
      <c r="H1199" s="11"/>
      <c r="I1199" s="10" t="s">
        <v>1629</v>
      </c>
      <c r="J1199" s="6" t="s">
        <v>1630</v>
      </c>
      <c r="K1199" s="12">
        <v>46121.702962962961</v>
      </c>
      <c r="L1199" s="6" t="e" cm="1">
        <f t="array" ref="L1199">LOOKUP(2^15,SEARCH(Tabela2[Palavras-Chave],Boletim4[[#This Row],[Objeto]],1),Tabela2[Palavras-Chave])</f>
        <v>#N/A</v>
      </c>
    </row>
    <row r="1200" spans="1:12" ht="100.8" hidden="1" x14ac:dyDescent="0.3">
      <c r="A1200" s="5">
        <v>18807682</v>
      </c>
      <c r="B1200" s="6" t="s">
        <v>570</v>
      </c>
      <c r="C1200" s="6" t="s">
        <v>571</v>
      </c>
      <c r="D1200" s="8" t="s">
        <v>66</v>
      </c>
      <c r="E1200" s="6" t="s">
        <v>109</v>
      </c>
      <c r="F1200" s="6" t="s">
        <v>85</v>
      </c>
      <c r="G1200" s="11" t="s">
        <v>56</v>
      </c>
      <c r="H1200" s="11"/>
      <c r="I1200" s="10" t="s">
        <v>1631</v>
      </c>
      <c r="J1200" s="6" t="s">
        <v>1632</v>
      </c>
      <c r="K1200" s="12">
        <v>46121.706597222219</v>
      </c>
      <c r="L1200" s="6" t="e" cm="1">
        <f t="array" ref="L1200">LOOKUP(2^15,SEARCH(Tabela2[Palavras-Chave],Boletim4[[#This Row],[Objeto]],1),Tabela2[Palavras-Chave])</f>
        <v>#N/A</v>
      </c>
    </row>
    <row r="1201" spans="1:12" ht="57.6" hidden="1" x14ac:dyDescent="0.3">
      <c r="A1201" s="5">
        <v>18809999</v>
      </c>
      <c r="B1201" s="6" t="s">
        <v>1633</v>
      </c>
      <c r="C1201" s="6" t="s">
        <v>1634</v>
      </c>
      <c r="D1201" s="8" t="s">
        <v>66</v>
      </c>
      <c r="E1201" s="6" t="s">
        <v>135</v>
      </c>
      <c r="F1201" s="6" t="s">
        <v>85</v>
      </c>
      <c r="G1201" s="11">
        <v>46136.333333333336</v>
      </c>
      <c r="H1201" s="11"/>
      <c r="I1201" s="10" t="s">
        <v>1635</v>
      </c>
      <c r="J1201" s="6" t="s">
        <v>1636</v>
      </c>
      <c r="K1201" s="12">
        <v>46121.714606481481</v>
      </c>
      <c r="L1201" s="6" t="e" cm="1">
        <f t="array" ref="L1201">LOOKUP(2^15,SEARCH(Tabela2[Palavras-Chave],Boletim4[[#This Row],[Objeto]],1),Tabela2[Palavras-Chave])</f>
        <v>#N/A</v>
      </c>
    </row>
    <row r="1202" spans="1:12" ht="129.6" hidden="1" x14ac:dyDescent="0.3">
      <c r="A1202" s="5">
        <v>18809998</v>
      </c>
      <c r="B1202" s="6" t="s">
        <v>3069</v>
      </c>
      <c r="C1202" s="6" t="s">
        <v>3070</v>
      </c>
      <c r="D1202" s="8" t="s">
        <v>66</v>
      </c>
      <c r="E1202" s="6" t="s">
        <v>114</v>
      </c>
      <c r="F1202" s="6" t="s">
        <v>85</v>
      </c>
      <c r="G1202" s="11">
        <v>46149.375</v>
      </c>
      <c r="H1202" s="11"/>
      <c r="I1202" s="10" t="s">
        <v>3071</v>
      </c>
      <c r="J1202" s="6" t="s">
        <v>3072</v>
      </c>
      <c r="K1202" s="12">
        <v>46121.717557870368</v>
      </c>
      <c r="L1202" s="6" t="str" cm="1">
        <f t="array" ref="L1202">LOOKUP(2^15,SEARCH(Tabela2[Palavras-Chave],Boletim4[[#This Row],[Objeto]],1),Tabela2[Palavras-Chave])</f>
        <v>UNIÃO</v>
      </c>
    </row>
    <row r="1203" spans="1:12" ht="129.6" hidden="1" x14ac:dyDescent="0.3">
      <c r="A1203" s="5">
        <v>18808465</v>
      </c>
      <c r="B1203" s="6" t="s">
        <v>1637</v>
      </c>
      <c r="C1203" s="6" t="s">
        <v>194</v>
      </c>
      <c r="D1203" s="8" t="s">
        <v>66</v>
      </c>
      <c r="E1203" s="6" t="s">
        <v>146</v>
      </c>
      <c r="F1203" s="6" t="s">
        <v>85</v>
      </c>
      <c r="G1203" s="11">
        <v>46134.371527777781</v>
      </c>
      <c r="H1203" s="11"/>
      <c r="I1203" s="10" t="s">
        <v>1638</v>
      </c>
      <c r="J1203" s="6" t="s">
        <v>1639</v>
      </c>
      <c r="K1203" s="12">
        <v>46121.719490740739</v>
      </c>
      <c r="L1203" s="6" t="e" cm="1">
        <f t="array" ref="L1203">LOOKUP(2^15,SEARCH(Tabela2[Palavras-Chave],Boletim4[[#This Row],[Objeto]],1),Tabela2[Palavras-Chave])</f>
        <v>#N/A</v>
      </c>
    </row>
    <row r="1204" spans="1:12" ht="115.2" hidden="1" x14ac:dyDescent="0.3">
      <c r="A1204" s="5">
        <v>18806897</v>
      </c>
      <c r="B1204" s="6" t="s">
        <v>1640</v>
      </c>
      <c r="C1204" s="6" t="s">
        <v>1641</v>
      </c>
      <c r="D1204" s="8" t="s">
        <v>66</v>
      </c>
      <c r="E1204" s="6" t="s">
        <v>134</v>
      </c>
      <c r="F1204" s="6" t="s">
        <v>85</v>
      </c>
      <c r="G1204" s="11" t="s">
        <v>56</v>
      </c>
      <c r="H1204" s="11"/>
      <c r="I1204" s="10" t="s">
        <v>1642</v>
      </c>
      <c r="J1204" s="6" t="s">
        <v>1643</v>
      </c>
      <c r="K1204" s="12">
        <v>46121.720729166664</v>
      </c>
      <c r="L1204" s="6" t="e" cm="1">
        <f t="array" ref="L1204">LOOKUP(2^15,SEARCH(Tabela2[Palavras-Chave],Boletim4[[#This Row],[Objeto]],1),Tabela2[Palavras-Chave])</f>
        <v>#N/A</v>
      </c>
    </row>
    <row r="1205" spans="1:12" ht="100.8" hidden="1" x14ac:dyDescent="0.3">
      <c r="A1205" s="5">
        <v>18809505</v>
      </c>
      <c r="B1205" s="6" t="s">
        <v>336</v>
      </c>
      <c r="C1205" s="6" t="s">
        <v>337</v>
      </c>
      <c r="D1205" s="8" t="s">
        <v>66</v>
      </c>
      <c r="E1205" s="6" t="s">
        <v>188</v>
      </c>
      <c r="F1205" s="6" t="s">
        <v>85</v>
      </c>
      <c r="G1205" s="11">
        <v>46140.354166666664</v>
      </c>
      <c r="H1205" s="11"/>
      <c r="I1205" s="10" t="s">
        <v>1644</v>
      </c>
      <c r="J1205" s="6" t="s">
        <v>1645</v>
      </c>
      <c r="K1205" s="12">
        <v>46121.723402777781</v>
      </c>
      <c r="L1205" s="6" t="e" cm="1">
        <f t="array" ref="L1205">LOOKUP(2^15,SEARCH(Tabela2[Palavras-Chave],Boletim4[[#This Row],[Objeto]],1),Tabela2[Palavras-Chave])</f>
        <v>#N/A</v>
      </c>
    </row>
    <row r="1206" spans="1:12" ht="86.4" hidden="1" x14ac:dyDescent="0.3">
      <c r="A1206" s="5">
        <v>18807753</v>
      </c>
      <c r="B1206" s="6" t="s">
        <v>3073</v>
      </c>
      <c r="C1206" s="6" t="s">
        <v>3074</v>
      </c>
      <c r="D1206" s="8" t="s">
        <v>66</v>
      </c>
      <c r="E1206" s="6" t="s">
        <v>108</v>
      </c>
      <c r="F1206" s="6" t="s">
        <v>85</v>
      </c>
      <c r="G1206" s="11" t="s">
        <v>56</v>
      </c>
      <c r="H1206" s="11"/>
      <c r="I1206" s="10" t="s">
        <v>3075</v>
      </c>
      <c r="J1206" s="6" t="s">
        <v>3076</v>
      </c>
      <c r="K1206" s="12">
        <v>46121.723680555559</v>
      </c>
      <c r="L1206" s="6" t="e" cm="1">
        <f t="array" ref="L1206">LOOKUP(2^15,SEARCH(Tabela2[Palavras-Chave],Boletim4[[#This Row],[Objeto]],1),Tabela2[Palavras-Chave])</f>
        <v>#N/A</v>
      </c>
    </row>
    <row r="1207" spans="1:12" ht="72" hidden="1" x14ac:dyDescent="0.3">
      <c r="A1207" s="5">
        <v>18809419</v>
      </c>
      <c r="B1207" s="6" t="s">
        <v>3077</v>
      </c>
      <c r="C1207" s="6" t="s">
        <v>442</v>
      </c>
      <c r="D1207" s="8" t="s">
        <v>66</v>
      </c>
      <c r="E1207" s="6" t="s">
        <v>474</v>
      </c>
      <c r="F1207" s="6" t="s">
        <v>85</v>
      </c>
      <c r="G1207" s="11">
        <v>46139.333333333336</v>
      </c>
      <c r="H1207" s="11"/>
      <c r="I1207" s="10" t="s">
        <v>3078</v>
      </c>
      <c r="J1207" s="6" t="s">
        <v>3079</v>
      </c>
      <c r="K1207" s="12">
        <v>46121.732407407406</v>
      </c>
      <c r="L1207" s="6" t="e" cm="1">
        <f t="array" ref="L1207">LOOKUP(2^15,SEARCH(Tabela2[Palavras-Chave],Boletim4[[#This Row],[Objeto]],1),Tabela2[Palavras-Chave])</f>
        <v>#N/A</v>
      </c>
    </row>
    <row r="1208" spans="1:12" ht="115.2" hidden="1" x14ac:dyDescent="0.3">
      <c r="A1208" s="5">
        <v>18810409</v>
      </c>
      <c r="B1208" s="6" t="s">
        <v>445</v>
      </c>
      <c r="C1208" s="6" t="s">
        <v>221</v>
      </c>
      <c r="D1208" s="8" t="s">
        <v>66</v>
      </c>
      <c r="E1208" s="6" t="s">
        <v>183</v>
      </c>
      <c r="F1208" s="6" t="s">
        <v>85</v>
      </c>
      <c r="G1208" s="11" t="s">
        <v>56</v>
      </c>
      <c r="H1208" s="11"/>
      <c r="I1208" s="10" t="s">
        <v>1646</v>
      </c>
      <c r="J1208" s="6" t="s">
        <v>1647</v>
      </c>
      <c r="K1208" s="12">
        <v>46121.736145833333</v>
      </c>
      <c r="L1208" s="6" t="e" cm="1">
        <f t="array" ref="L1208">LOOKUP(2^15,SEARCH(Tabela2[Palavras-Chave],Boletim4[[#This Row],[Objeto]],1),Tabela2[Palavras-Chave])</f>
        <v>#N/A</v>
      </c>
    </row>
    <row r="1209" spans="1:12" ht="57.6" hidden="1" x14ac:dyDescent="0.3">
      <c r="A1209" s="5">
        <v>18810655</v>
      </c>
      <c r="B1209" s="6" t="s">
        <v>1648</v>
      </c>
      <c r="C1209" s="6" t="s">
        <v>1649</v>
      </c>
      <c r="D1209" s="8" t="s">
        <v>66</v>
      </c>
      <c r="E1209" s="6" t="s">
        <v>202</v>
      </c>
      <c r="F1209" s="6" t="s">
        <v>85</v>
      </c>
      <c r="G1209" s="11">
        <v>46147.395833333336</v>
      </c>
      <c r="H1209" s="11"/>
      <c r="I1209" s="10" t="s">
        <v>1650</v>
      </c>
      <c r="J1209" s="6" t="s">
        <v>1651</v>
      </c>
      <c r="K1209" s="12">
        <v>46121.740914351853</v>
      </c>
      <c r="L1209" s="6" t="e" cm="1">
        <f t="array" ref="L1209">LOOKUP(2^15,SEARCH(Tabela2[Palavras-Chave],Boletim4[[#This Row],[Objeto]],1),Tabela2[Palavras-Chave])</f>
        <v>#N/A</v>
      </c>
    </row>
    <row r="1210" spans="1:12" ht="100.8" x14ac:dyDescent="0.3">
      <c r="A1210" s="5">
        <v>18810639</v>
      </c>
      <c r="B1210" s="6" t="s">
        <v>1652</v>
      </c>
      <c r="C1210" s="6" t="s">
        <v>1653</v>
      </c>
      <c r="D1210" s="8" t="s">
        <v>66</v>
      </c>
      <c r="E1210" s="6" t="s">
        <v>139</v>
      </c>
      <c r="F1210" s="6" t="s">
        <v>85</v>
      </c>
      <c r="G1210" s="11" t="s">
        <v>56</v>
      </c>
      <c r="H1210" s="11"/>
      <c r="I1210" s="10" t="s">
        <v>1654</v>
      </c>
      <c r="J1210" s="6" t="s">
        <v>1655</v>
      </c>
      <c r="K1210" s="12">
        <v>46121.747986111113</v>
      </c>
      <c r="L1210" s="6" t="str" cm="1">
        <f t="array" ref="L1210">LOOKUP(2^15,SEARCH(Tabela2[Palavras-Chave],Boletim4[[#This Row],[Objeto]],1),Tabela2[Palavras-Chave])</f>
        <v>EFICIÊNCIA</v>
      </c>
    </row>
    <row r="1211" spans="1:12" hidden="1" x14ac:dyDescent="0.3">
      <c r="A1211" s="5">
        <v>18804640</v>
      </c>
      <c r="B1211" s="6" t="s">
        <v>653</v>
      </c>
      <c r="C1211" s="6" t="s">
        <v>65</v>
      </c>
      <c r="D1211" s="8" t="s">
        <v>66</v>
      </c>
      <c r="E1211" s="6" t="s">
        <v>654</v>
      </c>
      <c r="F1211" s="6" t="s">
        <v>85</v>
      </c>
      <c r="G1211" s="11" t="s">
        <v>56</v>
      </c>
      <c r="H1211" s="11"/>
      <c r="I1211" s="10" t="s">
        <v>655</v>
      </c>
      <c r="J1211" s="6" t="s">
        <v>656</v>
      </c>
      <c r="K1211" s="12">
        <v>46121.749699074076</v>
      </c>
      <c r="L1211" s="6" t="e" cm="1">
        <f t="array" ref="L1211">LOOKUP(2^15,SEARCH(Tabela2[Palavras-Chave],Boletim4[[#This Row],[Objeto]],1),Tabela2[Palavras-Chave])</f>
        <v>#N/A</v>
      </c>
    </row>
    <row r="1212" spans="1:12" ht="86.4" hidden="1" x14ac:dyDescent="0.3">
      <c r="A1212" s="5">
        <v>18810414</v>
      </c>
      <c r="B1212" s="6" t="s">
        <v>1656</v>
      </c>
      <c r="C1212" s="6" t="s">
        <v>1657</v>
      </c>
      <c r="D1212" s="8" t="s">
        <v>66</v>
      </c>
      <c r="E1212" s="6" t="s">
        <v>114</v>
      </c>
      <c r="F1212" s="6" t="s">
        <v>85</v>
      </c>
      <c r="G1212" s="11" t="s">
        <v>56</v>
      </c>
      <c r="H1212" s="11"/>
      <c r="I1212" s="10" t="s">
        <v>1658</v>
      </c>
      <c r="J1212" s="6" t="s">
        <v>1659</v>
      </c>
      <c r="K1212" s="12">
        <v>46121.753101851849</v>
      </c>
      <c r="L1212" s="6" t="e" cm="1">
        <f t="array" ref="L1212">LOOKUP(2^15,SEARCH(Tabela2[Palavras-Chave],Boletim4[[#This Row],[Objeto]],1),Tabela2[Palavras-Chave])</f>
        <v>#N/A</v>
      </c>
    </row>
    <row r="1213" spans="1:12" ht="57.6" hidden="1" x14ac:dyDescent="0.3">
      <c r="A1213" s="5">
        <v>18810657</v>
      </c>
      <c r="B1213" s="6" t="s">
        <v>1660</v>
      </c>
      <c r="C1213" s="6" t="s">
        <v>1661</v>
      </c>
      <c r="D1213" s="8" t="s">
        <v>66</v>
      </c>
      <c r="E1213" s="6" t="s">
        <v>126</v>
      </c>
      <c r="F1213" s="6" t="s">
        <v>85</v>
      </c>
      <c r="G1213" s="11">
        <v>46139.354166666664</v>
      </c>
      <c r="H1213" s="11"/>
      <c r="I1213" s="10" t="s">
        <v>1662</v>
      </c>
      <c r="J1213" s="6" t="s">
        <v>1663</v>
      </c>
      <c r="K1213" s="12">
        <v>46121.754386574074</v>
      </c>
      <c r="L1213" s="6" t="e" cm="1">
        <f t="array" ref="L1213">LOOKUP(2^15,SEARCH(Tabela2[Palavras-Chave],Boletim4[[#This Row],[Objeto]],1),Tabela2[Palavras-Chave])</f>
        <v>#N/A</v>
      </c>
    </row>
    <row r="1214" spans="1:12" ht="100.8" hidden="1" x14ac:dyDescent="0.3">
      <c r="A1214" s="5">
        <v>18809561</v>
      </c>
      <c r="B1214" s="6" t="s">
        <v>1036</v>
      </c>
      <c r="C1214" s="6" t="s">
        <v>440</v>
      </c>
      <c r="D1214" s="8" t="s">
        <v>66</v>
      </c>
      <c r="E1214" s="6" t="s">
        <v>141</v>
      </c>
      <c r="F1214" s="6" t="s">
        <v>85</v>
      </c>
      <c r="G1214" s="11">
        <v>46127.333333333336</v>
      </c>
      <c r="H1214" s="11"/>
      <c r="I1214" s="10" t="s">
        <v>1664</v>
      </c>
      <c r="J1214" s="6" t="s">
        <v>1665</v>
      </c>
      <c r="K1214" s="12">
        <v>46121.755335648151</v>
      </c>
      <c r="L1214" s="6" t="e" cm="1">
        <f t="array" ref="L1214">LOOKUP(2^15,SEARCH(Tabela2[Palavras-Chave],Boletim4[[#This Row],[Objeto]],1),Tabela2[Palavras-Chave])</f>
        <v>#N/A</v>
      </c>
    </row>
    <row r="1215" spans="1:12" ht="57.6" hidden="1" x14ac:dyDescent="0.3">
      <c r="A1215" s="5">
        <v>18810624</v>
      </c>
      <c r="B1215" s="6" t="s">
        <v>1719</v>
      </c>
      <c r="C1215" s="6" t="s">
        <v>1720</v>
      </c>
      <c r="D1215" s="8" t="s">
        <v>66</v>
      </c>
      <c r="E1215" s="6" t="s">
        <v>119</v>
      </c>
      <c r="F1215" s="6" t="s">
        <v>85</v>
      </c>
      <c r="G1215" s="11" t="s">
        <v>56</v>
      </c>
      <c r="H1215" s="11"/>
      <c r="I1215" s="10" t="s">
        <v>3080</v>
      </c>
      <c r="J1215" s="6" t="s">
        <v>3081</v>
      </c>
      <c r="K1215" s="12">
        <v>46121.762650462966</v>
      </c>
      <c r="L1215" s="6" t="e" cm="1">
        <f t="array" ref="L1215">LOOKUP(2^15,SEARCH(Tabela2[Palavras-Chave],Boletim4[[#This Row],[Objeto]],1),Tabela2[Palavras-Chave])</f>
        <v>#N/A</v>
      </c>
    </row>
    <row r="1216" spans="1:12" ht="86.4" hidden="1" x14ac:dyDescent="0.3">
      <c r="A1216" s="5">
        <v>18809091</v>
      </c>
      <c r="B1216" s="6" t="s">
        <v>1666</v>
      </c>
      <c r="C1216" s="6" t="s">
        <v>1667</v>
      </c>
      <c r="D1216" s="8" t="s">
        <v>66</v>
      </c>
      <c r="E1216" s="6" t="s">
        <v>202</v>
      </c>
      <c r="F1216" s="6" t="s">
        <v>85</v>
      </c>
      <c r="G1216" s="11" t="s">
        <v>56</v>
      </c>
      <c r="H1216" s="11"/>
      <c r="I1216" s="10" t="s">
        <v>1668</v>
      </c>
      <c r="J1216" s="6" t="s">
        <v>1669</v>
      </c>
      <c r="K1216" s="12">
        <v>46121.768472222226</v>
      </c>
      <c r="L1216" s="6" t="e" cm="1">
        <f t="array" ref="L1216">LOOKUP(2^15,SEARCH(Tabela2[Palavras-Chave],Boletim4[[#This Row],[Objeto]],1),Tabela2[Palavras-Chave])</f>
        <v>#N/A</v>
      </c>
    </row>
    <row r="1217" spans="1:12" ht="28.8" hidden="1" x14ac:dyDescent="0.3">
      <c r="A1217" s="5">
        <v>18810983</v>
      </c>
      <c r="B1217" s="6" t="s">
        <v>1670</v>
      </c>
      <c r="C1217" s="6" t="s">
        <v>1671</v>
      </c>
      <c r="D1217" s="8" t="s">
        <v>66</v>
      </c>
      <c r="E1217" s="6" t="s">
        <v>441</v>
      </c>
      <c r="F1217" s="6" t="s">
        <v>85</v>
      </c>
      <c r="G1217" s="11">
        <v>46140.375</v>
      </c>
      <c r="H1217" s="11"/>
      <c r="I1217" s="10" t="s">
        <v>1672</v>
      </c>
      <c r="J1217" s="6" t="s">
        <v>90</v>
      </c>
      <c r="K1217" s="12">
        <v>46121.794502314813</v>
      </c>
      <c r="L1217" s="6" t="e" cm="1">
        <f t="array" ref="L1217">LOOKUP(2^15,SEARCH(Tabela2[Palavras-Chave],Boletim4[[#This Row],[Objeto]],1),Tabela2[Palavras-Chave])</f>
        <v>#N/A</v>
      </c>
    </row>
    <row r="1218" spans="1:12" ht="100.8" hidden="1" x14ac:dyDescent="0.3">
      <c r="A1218" s="5">
        <v>18810932</v>
      </c>
      <c r="B1218" s="6" t="s">
        <v>3082</v>
      </c>
      <c r="C1218" s="6" t="s">
        <v>3083</v>
      </c>
      <c r="D1218" s="8" t="s">
        <v>66</v>
      </c>
      <c r="E1218" s="6" t="s">
        <v>108</v>
      </c>
      <c r="F1218" s="6" t="s">
        <v>85</v>
      </c>
      <c r="G1218" s="11">
        <v>46146.385416666664</v>
      </c>
      <c r="H1218" s="11"/>
      <c r="I1218" s="10" t="s">
        <v>3084</v>
      </c>
      <c r="J1218" s="6" t="s">
        <v>3085</v>
      </c>
      <c r="K1218" s="12">
        <v>46121.78025462963</v>
      </c>
      <c r="L1218" s="6" t="e" cm="1">
        <f t="array" ref="L1218">LOOKUP(2^15,SEARCH(Tabela2[Palavras-Chave],Boletim4[[#This Row],[Objeto]],1),Tabela2[Palavras-Chave])</f>
        <v>#N/A</v>
      </c>
    </row>
    <row r="1219" spans="1:12" ht="129.6" hidden="1" x14ac:dyDescent="0.3">
      <c r="A1219" s="5">
        <v>18811020</v>
      </c>
      <c r="B1219" s="6" t="s">
        <v>3086</v>
      </c>
      <c r="C1219" s="6" t="s">
        <v>3087</v>
      </c>
      <c r="D1219" s="8" t="s">
        <v>66</v>
      </c>
      <c r="E1219" s="6" t="s">
        <v>277</v>
      </c>
      <c r="F1219" s="6" t="s">
        <v>85</v>
      </c>
      <c r="G1219" s="11" t="s">
        <v>56</v>
      </c>
      <c r="H1219" s="11"/>
      <c r="I1219" s="10" t="s">
        <v>3088</v>
      </c>
      <c r="J1219" s="6" t="s">
        <v>3089</v>
      </c>
      <c r="K1219" s="12">
        <v>46121.782546296294</v>
      </c>
      <c r="L1219" s="6" t="e" cm="1">
        <f t="array" ref="L1219">LOOKUP(2^15,SEARCH(Tabela2[Palavras-Chave],Boletim4[[#This Row],[Objeto]],1),Tabela2[Palavras-Chave])</f>
        <v>#N/A</v>
      </c>
    </row>
    <row r="1220" spans="1:12" ht="43.2" hidden="1" x14ac:dyDescent="0.3">
      <c r="A1220" s="5">
        <v>18810944</v>
      </c>
      <c r="B1220" s="6" t="s">
        <v>3090</v>
      </c>
      <c r="C1220" s="6" t="s">
        <v>194</v>
      </c>
      <c r="D1220" s="8" t="s">
        <v>66</v>
      </c>
      <c r="E1220" s="6" t="s">
        <v>120</v>
      </c>
      <c r="F1220" s="6" t="s">
        <v>85</v>
      </c>
      <c r="G1220" s="11" t="s">
        <v>56</v>
      </c>
      <c r="H1220" s="11"/>
      <c r="I1220" s="10" t="s">
        <v>3091</v>
      </c>
      <c r="J1220" s="6" t="s">
        <v>3092</v>
      </c>
      <c r="K1220" s="12">
        <v>46121.783078703702</v>
      </c>
      <c r="L1220" s="6" t="e" cm="1">
        <f t="array" ref="L1220">LOOKUP(2^15,SEARCH(Tabela2[Palavras-Chave],Boletim4[[#This Row],[Objeto]],1),Tabela2[Palavras-Chave])</f>
        <v>#N/A</v>
      </c>
    </row>
    <row r="1221" spans="1:12" ht="115.2" hidden="1" x14ac:dyDescent="0.3">
      <c r="A1221" s="5">
        <v>18810406</v>
      </c>
      <c r="B1221" s="6" t="s">
        <v>445</v>
      </c>
      <c r="C1221" s="6" t="s">
        <v>221</v>
      </c>
      <c r="D1221" s="8" t="s">
        <v>66</v>
      </c>
      <c r="E1221" s="6" t="s">
        <v>152</v>
      </c>
      <c r="F1221" s="6" t="s">
        <v>85</v>
      </c>
      <c r="G1221" s="11" t="s">
        <v>56</v>
      </c>
      <c r="H1221" s="11"/>
      <c r="I1221" s="10" t="s">
        <v>1673</v>
      </c>
      <c r="J1221" s="6" t="s">
        <v>1674</v>
      </c>
      <c r="K1221" s="12">
        <v>46121.78733796296</v>
      </c>
      <c r="L1221" s="6" t="e" cm="1">
        <f t="array" ref="L1221">LOOKUP(2^15,SEARCH(Tabela2[Palavras-Chave],Boletim4[[#This Row],[Objeto]],1),Tabela2[Palavras-Chave])</f>
        <v>#N/A</v>
      </c>
    </row>
    <row r="1222" spans="1:12" ht="158.4" hidden="1" x14ac:dyDescent="0.3">
      <c r="A1222" s="5">
        <v>18811084</v>
      </c>
      <c r="B1222" s="6" t="s">
        <v>1675</v>
      </c>
      <c r="C1222" s="6" t="s">
        <v>1676</v>
      </c>
      <c r="D1222" s="8" t="s">
        <v>66</v>
      </c>
      <c r="E1222" s="6" t="s">
        <v>148</v>
      </c>
      <c r="F1222" s="6" t="s">
        <v>85</v>
      </c>
      <c r="G1222" s="11" t="s">
        <v>56</v>
      </c>
      <c r="H1222" s="11"/>
      <c r="I1222" s="10" t="s">
        <v>1677</v>
      </c>
      <c r="J1222" s="6" t="s">
        <v>1678</v>
      </c>
      <c r="K1222" s="12">
        <v>46121.790219907409</v>
      </c>
      <c r="L1222" s="6" t="e" cm="1">
        <f t="array" ref="L1222">LOOKUP(2^15,SEARCH(Tabela2[Palavras-Chave],Boletim4[[#This Row],[Objeto]],1),Tabela2[Palavras-Chave])</f>
        <v>#N/A</v>
      </c>
    </row>
    <row r="1223" spans="1:12" ht="259.2" hidden="1" x14ac:dyDescent="0.3">
      <c r="A1223" s="5">
        <v>18810274</v>
      </c>
      <c r="B1223" s="6" t="s">
        <v>1679</v>
      </c>
      <c r="C1223" s="6" t="s">
        <v>1680</v>
      </c>
      <c r="D1223" s="8" t="s">
        <v>66</v>
      </c>
      <c r="E1223" s="6" t="s">
        <v>165</v>
      </c>
      <c r="F1223" s="6" t="s">
        <v>85</v>
      </c>
      <c r="G1223" s="11" t="s">
        <v>56</v>
      </c>
      <c r="H1223" s="11"/>
      <c r="I1223" s="10" t="s">
        <v>1681</v>
      </c>
      <c r="J1223" s="6" t="s">
        <v>1682</v>
      </c>
      <c r="K1223" s="12">
        <v>46121.791215277779</v>
      </c>
      <c r="L1223" s="6" t="e" cm="1">
        <f t="array" ref="L1223">LOOKUP(2^15,SEARCH(Tabela2[Palavras-Chave],Boletim4[[#This Row],[Objeto]],1),Tabela2[Palavras-Chave])</f>
        <v>#N/A</v>
      </c>
    </row>
    <row r="1224" spans="1:12" ht="43.2" hidden="1" x14ac:dyDescent="0.3">
      <c r="A1224" s="5">
        <v>18811015</v>
      </c>
      <c r="B1224" s="6" t="s">
        <v>1683</v>
      </c>
      <c r="C1224" s="6" t="s">
        <v>1684</v>
      </c>
      <c r="D1224" s="8" t="s">
        <v>66</v>
      </c>
      <c r="E1224" s="6" t="s">
        <v>450</v>
      </c>
      <c r="F1224" s="6" t="s">
        <v>85</v>
      </c>
      <c r="G1224" s="11">
        <v>46136.374305555553</v>
      </c>
      <c r="H1224" s="11"/>
      <c r="I1224" s="10" t="s">
        <v>1685</v>
      </c>
      <c r="J1224" s="6" t="s">
        <v>1686</v>
      </c>
      <c r="K1224" s="12">
        <v>46121.791261574072</v>
      </c>
      <c r="L1224" s="6" t="e" cm="1">
        <f t="array" ref="L1224">LOOKUP(2^15,SEARCH(Tabela2[Palavras-Chave],Boletim4[[#This Row],[Objeto]],1),Tabela2[Palavras-Chave])</f>
        <v>#N/A</v>
      </c>
    </row>
    <row r="1225" spans="1:12" ht="72" hidden="1" x14ac:dyDescent="0.3">
      <c r="A1225" s="5">
        <v>18811036</v>
      </c>
      <c r="B1225" s="6" t="s">
        <v>3077</v>
      </c>
      <c r="C1225" s="6" t="s">
        <v>442</v>
      </c>
      <c r="D1225" s="8" t="s">
        <v>66</v>
      </c>
      <c r="E1225" s="6" t="s">
        <v>293</v>
      </c>
      <c r="F1225" s="6" t="s">
        <v>85</v>
      </c>
      <c r="G1225" s="11" t="s">
        <v>56</v>
      </c>
      <c r="H1225" s="11"/>
      <c r="I1225" s="10" t="s">
        <v>3093</v>
      </c>
      <c r="J1225" s="6" t="s">
        <v>3094</v>
      </c>
      <c r="K1225" s="12">
        <v>46121.794374999998</v>
      </c>
      <c r="L1225" s="6" t="e" cm="1">
        <f t="array" ref="L1225">LOOKUP(2^15,SEARCH(Tabela2[Palavras-Chave],Boletim4[[#This Row],[Objeto]],1),Tabela2[Palavras-Chave])</f>
        <v>#N/A</v>
      </c>
    </row>
    <row r="1226" spans="1:12" ht="72" hidden="1" x14ac:dyDescent="0.3">
      <c r="A1226" s="5">
        <v>18811040</v>
      </c>
      <c r="B1226" s="6" t="s">
        <v>1687</v>
      </c>
      <c r="C1226" s="6" t="s">
        <v>1688</v>
      </c>
      <c r="D1226" s="8" t="s">
        <v>66</v>
      </c>
      <c r="E1226" s="6" t="s">
        <v>318</v>
      </c>
      <c r="F1226" s="6" t="s">
        <v>85</v>
      </c>
      <c r="G1226" s="11" t="s">
        <v>56</v>
      </c>
      <c r="H1226" s="11"/>
      <c r="I1226" s="10" t="s">
        <v>1689</v>
      </c>
      <c r="J1226" s="6" t="s">
        <v>1690</v>
      </c>
      <c r="K1226" s="12">
        <v>46121.795312499999</v>
      </c>
      <c r="L1226" s="6" t="e" cm="1">
        <f t="array" ref="L1226">LOOKUP(2^15,SEARCH(Tabela2[Palavras-Chave],Boletim4[[#This Row],[Objeto]],1),Tabela2[Palavras-Chave])</f>
        <v>#N/A</v>
      </c>
    </row>
    <row r="1227" spans="1:12" ht="43.2" hidden="1" x14ac:dyDescent="0.3">
      <c r="A1227" s="5">
        <v>18811250</v>
      </c>
      <c r="B1227" s="6" t="s">
        <v>1691</v>
      </c>
      <c r="C1227" s="6" t="s">
        <v>1692</v>
      </c>
      <c r="D1227" s="8" t="s">
        <v>66</v>
      </c>
      <c r="E1227" s="6" t="s">
        <v>429</v>
      </c>
      <c r="F1227" s="6" t="s">
        <v>85</v>
      </c>
      <c r="G1227" s="11">
        <v>46142.375</v>
      </c>
      <c r="H1227" s="11"/>
      <c r="I1227" s="10" t="s">
        <v>1693</v>
      </c>
      <c r="J1227" s="6" t="s">
        <v>1694</v>
      </c>
      <c r="K1227" s="12">
        <v>46121.820185185185</v>
      </c>
      <c r="L1227" s="6" t="e" cm="1">
        <f t="array" ref="L1227">LOOKUP(2^15,SEARCH(Tabela2[Palavras-Chave],Boletim4[[#This Row],[Objeto]],1),Tabela2[Palavras-Chave])</f>
        <v>#N/A</v>
      </c>
    </row>
    <row r="1228" spans="1:12" ht="129.6" hidden="1" x14ac:dyDescent="0.3">
      <c r="A1228" s="5">
        <v>18811295</v>
      </c>
      <c r="B1228" s="6" t="s">
        <v>3095</v>
      </c>
      <c r="C1228" s="6" t="s">
        <v>1616</v>
      </c>
      <c r="D1228" s="8" t="s">
        <v>66</v>
      </c>
      <c r="E1228" s="6" t="s">
        <v>121</v>
      </c>
      <c r="F1228" s="6" t="s">
        <v>85</v>
      </c>
      <c r="G1228" s="11" t="s">
        <v>56</v>
      </c>
      <c r="H1228" s="11"/>
      <c r="I1228" s="10" t="s">
        <v>3096</v>
      </c>
      <c r="J1228" s="6" t="s">
        <v>3097</v>
      </c>
      <c r="K1228" s="12">
        <v>46121.829583333332</v>
      </c>
      <c r="L1228" s="6" t="e" cm="1">
        <f t="array" ref="L1228">LOOKUP(2^15,SEARCH(Tabela2[Palavras-Chave],Boletim4[[#This Row],[Objeto]],1),Tabela2[Palavras-Chave])</f>
        <v>#N/A</v>
      </c>
    </row>
    <row r="1229" spans="1:12" hidden="1" x14ac:dyDescent="0.3">
      <c r="A1229" s="5">
        <v>18811301</v>
      </c>
      <c r="B1229" s="6" t="s">
        <v>3098</v>
      </c>
      <c r="C1229" s="6" t="s">
        <v>65</v>
      </c>
      <c r="D1229" s="8" t="s">
        <v>66</v>
      </c>
      <c r="E1229" s="6" t="s">
        <v>3099</v>
      </c>
      <c r="F1229" s="6" t="s">
        <v>85</v>
      </c>
      <c r="G1229" s="11" t="s">
        <v>56</v>
      </c>
      <c r="H1229" s="11"/>
      <c r="I1229" s="10" t="s">
        <v>3100</v>
      </c>
      <c r="J1229" s="6" t="s">
        <v>3101</v>
      </c>
      <c r="K1229" s="12">
        <v>46121.838726851849</v>
      </c>
      <c r="L1229" s="6" t="e" cm="1">
        <f t="array" ref="L1229">LOOKUP(2^15,SEARCH(Tabela2[Palavras-Chave],Boletim4[[#This Row],[Objeto]],1),Tabela2[Palavras-Chave])</f>
        <v>#N/A</v>
      </c>
    </row>
    <row r="1230" spans="1:12" ht="259.2" hidden="1" x14ac:dyDescent="0.3">
      <c r="A1230" s="5">
        <v>18810276</v>
      </c>
      <c r="B1230" s="6" t="s">
        <v>1679</v>
      </c>
      <c r="C1230" s="6" t="s">
        <v>1680</v>
      </c>
      <c r="D1230" s="8" t="s">
        <v>66</v>
      </c>
      <c r="E1230" s="6" t="s">
        <v>155</v>
      </c>
      <c r="F1230" s="6" t="s">
        <v>85</v>
      </c>
      <c r="G1230" s="11" t="s">
        <v>56</v>
      </c>
      <c r="H1230" s="11"/>
      <c r="I1230" s="10" t="s">
        <v>1695</v>
      </c>
      <c r="J1230" s="6" t="s">
        <v>1696</v>
      </c>
      <c r="K1230" s="12">
        <v>46121.839918981481</v>
      </c>
      <c r="L1230" s="6" t="e" cm="1">
        <f t="array" ref="L1230">LOOKUP(2^15,SEARCH(Tabela2[Palavras-Chave],Boletim4[[#This Row],[Objeto]],1),Tabela2[Palavras-Chave])</f>
        <v>#N/A</v>
      </c>
    </row>
    <row r="1231" spans="1:12" ht="115.2" hidden="1" x14ac:dyDescent="0.3">
      <c r="A1231" s="5">
        <v>18807483</v>
      </c>
      <c r="B1231" s="6" t="s">
        <v>1697</v>
      </c>
      <c r="C1231" s="6" t="s">
        <v>1698</v>
      </c>
      <c r="D1231" s="8" t="s">
        <v>66</v>
      </c>
      <c r="E1231" s="6" t="s">
        <v>121</v>
      </c>
      <c r="F1231" s="6" t="s">
        <v>85</v>
      </c>
      <c r="G1231" s="11">
        <v>46139.333333333336</v>
      </c>
      <c r="H1231" s="11"/>
      <c r="I1231" s="10" t="s">
        <v>1699</v>
      </c>
      <c r="J1231" s="6" t="s">
        <v>1700</v>
      </c>
      <c r="K1231" s="12">
        <v>46121.844050925924</v>
      </c>
      <c r="L1231" s="6" t="e" cm="1">
        <f t="array" ref="L1231">LOOKUP(2^15,SEARCH(Tabela2[Palavras-Chave],Boletim4[[#This Row],[Objeto]],1),Tabela2[Palavras-Chave])</f>
        <v>#N/A</v>
      </c>
    </row>
    <row r="1232" spans="1:12" ht="86.4" hidden="1" x14ac:dyDescent="0.3">
      <c r="A1232" s="5">
        <v>18811219</v>
      </c>
      <c r="B1232" s="6" t="s">
        <v>576</v>
      </c>
      <c r="C1232" s="6" t="s">
        <v>577</v>
      </c>
      <c r="D1232" s="8" t="s">
        <v>66</v>
      </c>
      <c r="E1232" s="6" t="s">
        <v>240</v>
      </c>
      <c r="F1232" s="6" t="s">
        <v>85</v>
      </c>
      <c r="G1232" s="11" t="s">
        <v>56</v>
      </c>
      <c r="H1232" s="11"/>
      <c r="I1232" s="10" t="s">
        <v>1701</v>
      </c>
      <c r="J1232" s="6" t="s">
        <v>1702</v>
      </c>
      <c r="K1232" s="12">
        <v>46121.846851851849</v>
      </c>
      <c r="L1232" s="6" t="e" cm="1">
        <f t="array" ref="L1232">LOOKUP(2^15,SEARCH(Tabela2[Palavras-Chave],Boletim4[[#This Row],[Objeto]],1),Tabela2[Palavras-Chave])</f>
        <v>#N/A</v>
      </c>
    </row>
    <row r="1233" spans="1:12" ht="100.8" hidden="1" x14ac:dyDescent="0.3">
      <c r="A1233" s="5">
        <v>18809546</v>
      </c>
      <c r="B1233" s="6" t="s">
        <v>443</v>
      </c>
      <c r="C1233" s="6" t="s">
        <v>444</v>
      </c>
      <c r="D1233" s="8" t="s">
        <v>66</v>
      </c>
      <c r="E1233" s="6" t="s">
        <v>166</v>
      </c>
      <c r="F1233" s="6" t="s">
        <v>85</v>
      </c>
      <c r="G1233" s="11">
        <v>46135.415972222225</v>
      </c>
      <c r="H1233" s="11"/>
      <c r="I1233" s="10" t="s">
        <v>1703</v>
      </c>
      <c r="J1233" s="6" t="s">
        <v>1704</v>
      </c>
      <c r="K1233" s="12">
        <v>46121.848715277774</v>
      </c>
      <c r="L1233" s="6" t="e" cm="1">
        <f t="array" ref="L1233">LOOKUP(2^15,SEARCH(Tabela2[Palavras-Chave],Boletim4[[#This Row],[Objeto]],1),Tabela2[Palavras-Chave])</f>
        <v>#N/A</v>
      </c>
    </row>
    <row r="1234" spans="1:12" ht="72" hidden="1" x14ac:dyDescent="0.3">
      <c r="A1234" s="5">
        <v>18811396</v>
      </c>
      <c r="B1234" s="6" t="s">
        <v>99</v>
      </c>
      <c r="C1234" s="6" t="s">
        <v>65</v>
      </c>
      <c r="D1234" s="8" t="s">
        <v>66</v>
      </c>
      <c r="E1234" s="6" t="s">
        <v>3102</v>
      </c>
      <c r="F1234" s="6" t="s">
        <v>85</v>
      </c>
      <c r="G1234" s="11" t="s">
        <v>56</v>
      </c>
      <c r="H1234" s="11"/>
      <c r="I1234" s="10" t="s">
        <v>3103</v>
      </c>
      <c r="J1234" s="6" t="s">
        <v>3104</v>
      </c>
      <c r="K1234" s="12">
        <v>46121.848923611113</v>
      </c>
      <c r="L1234" s="6" t="e" cm="1">
        <f t="array" ref="L1234">LOOKUP(2^15,SEARCH(Tabela2[Palavras-Chave],Boletim4[[#This Row],[Objeto]],1),Tabela2[Palavras-Chave])</f>
        <v>#N/A</v>
      </c>
    </row>
    <row r="1235" spans="1:12" ht="115.2" hidden="1" x14ac:dyDescent="0.3">
      <c r="A1235" s="5">
        <v>18811245</v>
      </c>
      <c r="B1235" s="6" t="s">
        <v>1705</v>
      </c>
      <c r="C1235" s="6" t="s">
        <v>311</v>
      </c>
      <c r="D1235" s="8" t="s">
        <v>66</v>
      </c>
      <c r="E1235" s="6" t="s">
        <v>107</v>
      </c>
      <c r="F1235" s="6" t="s">
        <v>85</v>
      </c>
      <c r="G1235" s="11">
        <v>46134.541666666664</v>
      </c>
      <c r="H1235" s="11"/>
      <c r="I1235" s="10" t="s">
        <v>1706</v>
      </c>
      <c r="J1235" s="6" t="s">
        <v>1707</v>
      </c>
      <c r="K1235" s="12">
        <v>46121.850983796299</v>
      </c>
      <c r="L1235" s="6" t="e" cm="1">
        <f t="array" ref="L1235">LOOKUP(2^15,SEARCH(Tabela2[Palavras-Chave],Boletim4[[#This Row],[Objeto]],1),Tabela2[Palavras-Chave])</f>
        <v>#N/A</v>
      </c>
    </row>
    <row r="1236" spans="1:12" ht="259.2" hidden="1" x14ac:dyDescent="0.3">
      <c r="A1236" s="5">
        <v>18807034</v>
      </c>
      <c r="B1236" s="6" t="s">
        <v>3105</v>
      </c>
      <c r="C1236" s="6" t="s">
        <v>3106</v>
      </c>
      <c r="D1236" s="8" t="s">
        <v>67</v>
      </c>
      <c r="E1236" s="6" t="s">
        <v>148</v>
      </c>
      <c r="F1236" s="6" t="s">
        <v>85</v>
      </c>
      <c r="G1236" s="11" t="s">
        <v>56</v>
      </c>
      <c r="H1236" s="11"/>
      <c r="I1236" s="10" t="s">
        <v>3107</v>
      </c>
      <c r="J1236" s="6" t="s">
        <v>3108</v>
      </c>
      <c r="K1236" s="12">
        <v>46121.443402777775</v>
      </c>
      <c r="L1236" s="6" t="e" cm="1">
        <f t="array" ref="L1236">LOOKUP(2^15,SEARCH(Tabela2[Palavras-Chave],Boletim4[[#This Row],[Objeto]],1),Tabela2[Palavras-Chave])</f>
        <v>#N/A</v>
      </c>
    </row>
    <row r="1237" spans="1:12" ht="100.8" hidden="1" x14ac:dyDescent="0.3">
      <c r="A1237" s="5">
        <v>18807443</v>
      </c>
      <c r="B1237" s="6" t="s">
        <v>74</v>
      </c>
      <c r="C1237" s="6" t="s">
        <v>123</v>
      </c>
      <c r="D1237" s="8" t="s">
        <v>67</v>
      </c>
      <c r="E1237" s="6" t="s">
        <v>1319</v>
      </c>
      <c r="F1237" s="6" t="s">
        <v>85</v>
      </c>
      <c r="G1237" s="11" t="s">
        <v>56</v>
      </c>
      <c r="H1237" s="11"/>
      <c r="I1237" s="10" t="s">
        <v>1320</v>
      </c>
      <c r="J1237" s="6" t="s">
        <v>1321</v>
      </c>
      <c r="K1237" s="12">
        <v>46121.447291666664</v>
      </c>
      <c r="L1237" s="6" t="e" cm="1">
        <f t="array" ref="L1237">LOOKUP(2^15,SEARCH(Tabela2[Palavras-Chave],Boletim4[[#This Row],[Objeto]],1),Tabela2[Palavras-Chave])</f>
        <v>#N/A</v>
      </c>
    </row>
    <row r="1238" spans="1:12" ht="43.2" hidden="1" x14ac:dyDescent="0.3">
      <c r="A1238" s="5">
        <v>18807283</v>
      </c>
      <c r="B1238" s="6" t="s">
        <v>3109</v>
      </c>
      <c r="C1238" s="6" t="s">
        <v>123</v>
      </c>
      <c r="D1238" s="8" t="s">
        <v>67</v>
      </c>
      <c r="E1238" s="6" t="s">
        <v>113</v>
      </c>
      <c r="F1238" s="6" t="s">
        <v>85</v>
      </c>
      <c r="G1238" s="11">
        <v>46139.364583333336</v>
      </c>
      <c r="H1238" s="11"/>
      <c r="I1238" s="10" t="s">
        <v>3110</v>
      </c>
      <c r="J1238" s="6" t="s">
        <v>3111</v>
      </c>
      <c r="K1238" s="12">
        <v>46121.446979166663</v>
      </c>
      <c r="L1238" s="6" t="e" cm="1">
        <f t="array" ref="L1238">LOOKUP(2^15,SEARCH(Tabela2[Palavras-Chave],Boletim4[[#This Row],[Objeto]],1),Tabela2[Palavras-Chave])</f>
        <v>#N/A</v>
      </c>
    </row>
    <row r="1239" spans="1:12" ht="100.8" hidden="1" x14ac:dyDescent="0.3">
      <c r="A1239" s="5">
        <v>18807575</v>
      </c>
      <c r="B1239" s="6" t="s">
        <v>74</v>
      </c>
      <c r="C1239" s="6" t="s">
        <v>123</v>
      </c>
      <c r="D1239" s="8" t="s">
        <v>67</v>
      </c>
      <c r="E1239" s="6" t="s">
        <v>2972</v>
      </c>
      <c r="F1239" s="6" t="s">
        <v>85</v>
      </c>
      <c r="G1239" s="11" t="s">
        <v>56</v>
      </c>
      <c r="H1239" s="11"/>
      <c r="I1239" s="10" t="s">
        <v>2973</v>
      </c>
      <c r="J1239" s="6" t="s">
        <v>1321</v>
      </c>
      <c r="K1239" s="12">
        <v>46121.450069444443</v>
      </c>
      <c r="L1239" s="6" t="e" cm="1">
        <f t="array" ref="L1239">LOOKUP(2^15,SEARCH(Tabela2[Palavras-Chave],Boletim4[[#This Row],[Objeto]],1),Tabela2[Palavras-Chave])</f>
        <v>#N/A</v>
      </c>
    </row>
    <row r="1240" spans="1:12" ht="72" hidden="1" x14ac:dyDescent="0.3">
      <c r="A1240" s="5">
        <v>18810040</v>
      </c>
      <c r="B1240" s="6" t="s">
        <v>1708</v>
      </c>
      <c r="C1240" s="6" t="s">
        <v>1709</v>
      </c>
      <c r="D1240" s="8" t="s">
        <v>67</v>
      </c>
      <c r="E1240" s="6" t="s">
        <v>124</v>
      </c>
      <c r="F1240" s="6" t="s">
        <v>85</v>
      </c>
      <c r="G1240" s="11">
        <v>46141.375</v>
      </c>
      <c r="H1240" s="11"/>
      <c r="I1240" s="10" t="s">
        <v>1710</v>
      </c>
      <c r="J1240" s="6" t="s">
        <v>90</v>
      </c>
      <c r="K1240" s="12">
        <v>46121.704479166663</v>
      </c>
      <c r="L1240" s="6" t="e" cm="1">
        <f t="array" ref="L1240">LOOKUP(2^15,SEARCH(Tabela2[Palavras-Chave],Boletim4[[#This Row],[Objeto]],1),Tabela2[Palavras-Chave])</f>
        <v>#N/A</v>
      </c>
    </row>
    <row r="1241" spans="1:12" ht="100.8" hidden="1" x14ac:dyDescent="0.3">
      <c r="A1241" s="5">
        <v>18809923</v>
      </c>
      <c r="B1241" s="6" t="s">
        <v>1708</v>
      </c>
      <c r="C1241" s="6" t="s">
        <v>1709</v>
      </c>
      <c r="D1241" s="8" t="s">
        <v>67</v>
      </c>
      <c r="E1241" s="6" t="s">
        <v>113</v>
      </c>
      <c r="F1241" s="6" t="s">
        <v>85</v>
      </c>
      <c r="G1241" s="11">
        <v>46140.375</v>
      </c>
      <c r="H1241" s="11"/>
      <c r="I1241" s="10" t="s">
        <v>1711</v>
      </c>
      <c r="J1241" s="6" t="s">
        <v>90</v>
      </c>
      <c r="K1241" s="12">
        <v>46121.717650462961</v>
      </c>
      <c r="L1241" s="6" t="e" cm="1">
        <f t="array" ref="L1241">LOOKUP(2^15,SEARCH(Tabela2[Palavras-Chave],Boletim4[[#This Row],[Objeto]],1),Tabela2[Palavras-Chave])</f>
        <v>#N/A</v>
      </c>
    </row>
    <row r="1242" spans="1:12" ht="100.8" hidden="1" x14ac:dyDescent="0.3">
      <c r="A1242" s="5">
        <v>18810391</v>
      </c>
      <c r="B1242" s="6" t="s">
        <v>3112</v>
      </c>
      <c r="C1242" s="6" t="s">
        <v>123</v>
      </c>
      <c r="D1242" s="8" t="s">
        <v>67</v>
      </c>
      <c r="E1242" s="6" t="s">
        <v>721</v>
      </c>
      <c r="F1242" s="6" t="s">
        <v>85</v>
      </c>
      <c r="G1242" s="11" t="s">
        <v>56</v>
      </c>
      <c r="H1242" s="11"/>
      <c r="I1242" s="10" t="s">
        <v>3113</v>
      </c>
      <c r="J1242" s="6" t="s">
        <v>3114</v>
      </c>
      <c r="K1242" s="12">
        <v>46121.723680555559</v>
      </c>
      <c r="L1242" s="6" t="e" cm="1">
        <f t="array" ref="L1242">LOOKUP(2^15,SEARCH(Tabela2[Palavras-Chave],Boletim4[[#This Row],[Objeto]],1),Tabela2[Palavras-Chave])</f>
        <v>#N/A</v>
      </c>
    </row>
    <row r="1243" spans="1:12" ht="100.8" hidden="1" x14ac:dyDescent="0.3">
      <c r="A1243" s="5">
        <v>18810400</v>
      </c>
      <c r="B1243" s="6" t="s">
        <v>3112</v>
      </c>
      <c r="C1243" s="6" t="s">
        <v>123</v>
      </c>
      <c r="D1243" s="8" t="s">
        <v>67</v>
      </c>
      <c r="E1243" s="6" t="s">
        <v>662</v>
      </c>
      <c r="F1243" s="6" t="s">
        <v>85</v>
      </c>
      <c r="G1243" s="11" t="s">
        <v>56</v>
      </c>
      <c r="H1243" s="11"/>
      <c r="I1243" s="10" t="s">
        <v>3115</v>
      </c>
      <c r="J1243" s="6" t="s">
        <v>3116</v>
      </c>
      <c r="K1243" s="12">
        <v>46121.742615740739</v>
      </c>
      <c r="L1243" s="6" t="e" cm="1">
        <f t="array" ref="L1243">LOOKUP(2^15,SEARCH(Tabela2[Palavras-Chave],Boletim4[[#This Row],[Objeto]],1),Tabela2[Palavras-Chave])</f>
        <v>#N/A</v>
      </c>
    </row>
    <row r="1244" spans="1:12" ht="100.8" hidden="1" x14ac:dyDescent="0.3">
      <c r="A1244" s="5">
        <v>18810401</v>
      </c>
      <c r="B1244" s="6" t="s">
        <v>3112</v>
      </c>
      <c r="C1244" s="6" t="s">
        <v>123</v>
      </c>
      <c r="D1244" s="8" t="s">
        <v>67</v>
      </c>
      <c r="E1244" s="6" t="s">
        <v>3117</v>
      </c>
      <c r="F1244" s="6" t="s">
        <v>85</v>
      </c>
      <c r="G1244" s="11" t="s">
        <v>56</v>
      </c>
      <c r="H1244" s="11"/>
      <c r="I1244" s="10" t="s">
        <v>3118</v>
      </c>
      <c r="J1244" s="6" t="s">
        <v>3119</v>
      </c>
      <c r="K1244" s="12">
        <v>46121.742650462962</v>
      </c>
      <c r="L1244" s="6" t="e" cm="1">
        <f t="array" ref="L1244">LOOKUP(2^15,SEARCH(Tabela2[Palavras-Chave],Boletim4[[#This Row],[Objeto]],1),Tabela2[Palavras-Chave])</f>
        <v>#N/A</v>
      </c>
    </row>
    <row r="1245" spans="1:12" ht="100.8" hidden="1" x14ac:dyDescent="0.3">
      <c r="A1245" s="5">
        <v>18810395</v>
      </c>
      <c r="B1245" s="6" t="s">
        <v>3112</v>
      </c>
      <c r="C1245" s="6" t="s">
        <v>123</v>
      </c>
      <c r="D1245" s="8" t="s">
        <v>67</v>
      </c>
      <c r="E1245" s="6" t="s">
        <v>3120</v>
      </c>
      <c r="F1245" s="6" t="s">
        <v>85</v>
      </c>
      <c r="G1245" s="11" t="s">
        <v>56</v>
      </c>
      <c r="H1245" s="11"/>
      <c r="I1245" s="10" t="s">
        <v>3121</v>
      </c>
      <c r="J1245" s="6" t="s">
        <v>3122</v>
      </c>
      <c r="K1245" s="12">
        <v>46121.838784722226</v>
      </c>
      <c r="L1245" s="6" t="e" cm="1">
        <f t="array" ref="L1245">LOOKUP(2^15,SEARCH(Tabela2[Palavras-Chave],Boletim4[[#This Row],[Objeto]],1),Tabela2[Palavras-Chave])</f>
        <v>#N/A</v>
      </c>
    </row>
    <row r="1246" spans="1:12" ht="115.2" hidden="1" x14ac:dyDescent="0.3">
      <c r="A1246" s="5">
        <v>18810422</v>
      </c>
      <c r="B1246" s="6" t="s">
        <v>1712</v>
      </c>
      <c r="C1246" s="6" t="s">
        <v>123</v>
      </c>
      <c r="D1246" s="8" t="s">
        <v>67</v>
      </c>
      <c r="E1246" s="6" t="s">
        <v>112</v>
      </c>
      <c r="F1246" s="6" t="s">
        <v>85</v>
      </c>
      <c r="G1246" s="11" t="s">
        <v>56</v>
      </c>
      <c r="H1246" s="11"/>
      <c r="I1246" s="10" t="s">
        <v>1713</v>
      </c>
      <c r="J1246" s="6" t="s">
        <v>1714</v>
      </c>
      <c r="K1246" s="12">
        <v>46121.853784722225</v>
      </c>
      <c r="L1246" s="6" t="e" cm="1">
        <f t="array" ref="L1246">LOOKUP(2^15,SEARCH(Tabela2[Palavras-Chave],Boletim4[[#This Row],[Objeto]],1),Tabela2[Palavras-Chave])</f>
        <v>#N/A</v>
      </c>
    </row>
    <row r="1247" spans="1:12" ht="100.8" hidden="1" x14ac:dyDescent="0.3">
      <c r="A1247" s="5">
        <v>18807445</v>
      </c>
      <c r="B1247" s="6" t="s">
        <v>74</v>
      </c>
      <c r="C1247" s="6" t="s">
        <v>111</v>
      </c>
      <c r="D1247" s="8" t="s">
        <v>91</v>
      </c>
      <c r="E1247" s="6" t="s">
        <v>1319</v>
      </c>
      <c r="F1247" s="6" t="s">
        <v>85</v>
      </c>
      <c r="G1247" s="11" t="s">
        <v>56</v>
      </c>
      <c r="H1247" s="11"/>
      <c r="I1247" s="10" t="s">
        <v>1320</v>
      </c>
      <c r="J1247" s="6" t="s">
        <v>1321</v>
      </c>
      <c r="K1247" s="12">
        <v>46121.447291666664</v>
      </c>
      <c r="L1247" s="6" t="e" cm="1">
        <f t="array" ref="L1247">LOOKUP(2^15,SEARCH(Tabela2[Palavras-Chave],Boletim4[[#This Row],[Objeto]],1),Tabela2[Palavras-Chave])</f>
        <v>#N/A</v>
      </c>
    </row>
    <row r="1248" spans="1:12" ht="100.8" hidden="1" x14ac:dyDescent="0.3">
      <c r="A1248" s="5">
        <v>18807576</v>
      </c>
      <c r="B1248" s="6" t="s">
        <v>74</v>
      </c>
      <c r="C1248" s="6" t="s">
        <v>111</v>
      </c>
      <c r="D1248" s="8" t="s">
        <v>91</v>
      </c>
      <c r="E1248" s="6" t="s">
        <v>2972</v>
      </c>
      <c r="F1248" s="6" t="s">
        <v>85</v>
      </c>
      <c r="G1248" s="11" t="s">
        <v>56</v>
      </c>
      <c r="H1248" s="11"/>
      <c r="I1248" s="10" t="s">
        <v>2973</v>
      </c>
      <c r="J1248" s="6" t="s">
        <v>1321</v>
      </c>
      <c r="K1248" s="12">
        <v>46121.450069444443</v>
      </c>
      <c r="L1248" s="6" t="e" cm="1">
        <f t="array" ref="L1248">LOOKUP(2^15,SEARCH(Tabela2[Palavras-Chave],Boletim4[[#This Row],[Objeto]],1),Tabela2[Palavras-Chave])</f>
        <v>#N/A</v>
      </c>
    </row>
    <row r="1249" spans="1:12" ht="259.2" hidden="1" x14ac:dyDescent="0.3">
      <c r="A1249" s="5">
        <v>18808479</v>
      </c>
      <c r="B1249" s="6" t="s">
        <v>1715</v>
      </c>
      <c r="C1249" s="6" t="s">
        <v>1716</v>
      </c>
      <c r="D1249" s="8" t="s">
        <v>91</v>
      </c>
      <c r="E1249" s="6" t="s">
        <v>124</v>
      </c>
      <c r="F1249" s="6" t="s">
        <v>85</v>
      </c>
      <c r="G1249" s="11" t="s">
        <v>56</v>
      </c>
      <c r="H1249" s="11"/>
      <c r="I1249" s="10" t="s">
        <v>1717</v>
      </c>
      <c r="J1249" s="6" t="s">
        <v>1718</v>
      </c>
      <c r="K1249" s="12">
        <v>46121.534050925926</v>
      </c>
      <c r="L1249" s="6" t="e" cm="1">
        <f t="array" ref="L1249">LOOKUP(2^15,SEARCH(Tabela2[Palavras-Chave],Boletim4[[#This Row],[Objeto]],1),Tabela2[Palavras-Chave])</f>
        <v>#N/A</v>
      </c>
    </row>
    <row r="1250" spans="1:12" ht="172.8" hidden="1" x14ac:dyDescent="0.3">
      <c r="A1250" s="5">
        <v>18798053</v>
      </c>
      <c r="B1250" s="6" t="s">
        <v>661</v>
      </c>
      <c r="C1250" s="6" t="s">
        <v>111</v>
      </c>
      <c r="D1250" s="8" t="s">
        <v>91</v>
      </c>
      <c r="E1250" s="6" t="s">
        <v>722</v>
      </c>
      <c r="F1250" s="6" t="s">
        <v>85</v>
      </c>
      <c r="G1250" s="11">
        <v>46160.375</v>
      </c>
      <c r="H1250" s="11"/>
      <c r="I1250" s="10" t="s">
        <v>3123</v>
      </c>
      <c r="J1250" s="6" t="s">
        <v>3124</v>
      </c>
      <c r="K1250" s="12">
        <v>46121.587604166663</v>
      </c>
      <c r="L1250" s="6" t="e" cm="1">
        <f t="array" ref="L1250">LOOKUP(2^15,SEARCH(Tabela2[Palavras-Chave],Boletim4[[#This Row],[Objeto]],1),Tabela2[Palavras-Chave])</f>
        <v>#N/A</v>
      </c>
    </row>
    <row r="1251" spans="1:12" ht="259.2" hidden="1" x14ac:dyDescent="0.3">
      <c r="A1251" s="5">
        <v>18809187</v>
      </c>
      <c r="B1251" s="6" t="s">
        <v>1719</v>
      </c>
      <c r="C1251" s="6" t="s">
        <v>1720</v>
      </c>
      <c r="D1251" s="8" t="s">
        <v>91</v>
      </c>
      <c r="E1251" s="6" t="s">
        <v>122</v>
      </c>
      <c r="F1251" s="6" t="s">
        <v>85</v>
      </c>
      <c r="G1251" s="11" t="s">
        <v>56</v>
      </c>
      <c r="H1251" s="11"/>
      <c r="I1251" s="10" t="s">
        <v>1721</v>
      </c>
      <c r="J1251" s="6" t="s">
        <v>1722</v>
      </c>
      <c r="K1251" s="12">
        <v>46121.612222222226</v>
      </c>
      <c r="L1251" s="6" t="e" cm="1">
        <f t="array" ref="L1251">LOOKUP(2^15,SEARCH(Tabela2[Palavras-Chave],Boletim4[[#This Row],[Objeto]],1),Tabela2[Palavras-Chave])</f>
        <v>#N/A</v>
      </c>
    </row>
    <row r="1252" spans="1:12" ht="100.8" hidden="1" x14ac:dyDescent="0.3">
      <c r="A1252" s="5">
        <v>18810083</v>
      </c>
      <c r="B1252" s="6" t="s">
        <v>1723</v>
      </c>
      <c r="C1252" s="6" t="s">
        <v>1065</v>
      </c>
      <c r="D1252" s="8" t="s">
        <v>91</v>
      </c>
      <c r="E1252" s="6" t="s">
        <v>142</v>
      </c>
      <c r="F1252" s="6" t="s">
        <v>85</v>
      </c>
      <c r="G1252" s="11">
        <v>46139.375</v>
      </c>
      <c r="H1252" s="11"/>
      <c r="I1252" s="10" t="s">
        <v>1724</v>
      </c>
      <c r="J1252" s="6" t="s">
        <v>1725</v>
      </c>
      <c r="K1252" s="12">
        <v>46121.704965277779</v>
      </c>
      <c r="L1252" s="6" t="e" cm="1">
        <f t="array" ref="L1252">LOOKUP(2^15,SEARCH(Tabela2[Palavras-Chave],Boletim4[[#This Row],[Objeto]],1),Tabela2[Palavras-Chave])</f>
        <v>#N/A</v>
      </c>
    </row>
    <row r="1253" spans="1:12" ht="259.2" hidden="1" x14ac:dyDescent="0.3">
      <c r="A1253" s="5">
        <v>18810291</v>
      </c>
      <c r="B1253" s="6" t="s">
        <v>1726</v>
      </c>
      <c r="C1253" s="6" t="s">
        <v>1727</v>
      </c>
      <c r="D1253" s="8" t="s">
        <v>91</v>
      </c>
      <c r="E1253" s="6" t="s">
        <v>135</v>
      </c>
      <c r="F1253" s="6" t="s">
        <v>85</v>
      </c>
      <c r="G1253" s="11" t="s">
        <v>56</v>
      </c>
      <c r="H1253" s="11"/>
      <c r="I1253" s="10" t="s">
        <v>1728</v>
      </c>
      <c r="J1253" s="6" t="s">
        <v>1729</v>
      </c>
      <c r="K1253" s="12">
        <v>46121.72552083333</v>
      </c>
      <c r="L1253" s="6" t="e" cm="1">
        <f t="array" ref="L1253">LOOKUP(2^15,SEARCH(Tabela2[Palavras-Chave],Boletim4[[#This Row],[Objeto]],1),Tabela2[Palavras-Chave])</f>
        <v>#N/A</v>
      </c>
    </row>
    <row r="1254" spans="1:12" ht="115.2" hidden="1" x14ac:dyDescent="0.3">
      <c r="A1254" s="5">
        <v>18809959</v>
      </c>
      <c r="B1254" s="6" t="s">
        <v>1730</v>
      </c>
      <c r="C1254" s="6" t="s">
        <v>345</v>
      </c>
      <c r="D1254" s="8" t="s">
        <v>91</v>
      </c>
      <c r="E1254" s="6" t="s">
        <v>1731</v>
      </c>
      <c r="F1254" s="6" t="s">
        <v>85</v>
      </c>
      <c r="G1254" s="11" t="s">
        <v>56</v>
      </c>
      <c r="H1254" s="11"/>
      <c r="I1254" s="10" t="s">
        <v>1732</v>
      </c>
      <c r="J1254" s="6" t="s">
        <v>1733</v>
      </c>
      <c r="K1254" s="12">
        <v>46121.735717592594</v>
      </c>
      <c r="L1254" s="6" t="e" cm="1">
        <f t="array" ref="L1254">LOOKUP(2^15,SEARCH(Tabela2[Palavras-Chave],Boletim4[[#This Row],[Objeto]],1),Tabela2[Palavras-Chave])</f>
        <v>#N/A</v>
      </c>
    </row>
    <row r="1255" spans="1:12" ht="259.2" hidden="1" x14ac:dyDescent="0.3">
      <c r="A1255" s="5">
        <v>18807063</v>
      </c>
      <c r="B1255" s="6" t="s">
        <v>452</v>
      </c>
      <c r="C1255" s="6" t="s">
        <v>453</v>
      </c>
      <c r="D1255" s="8" t="s">
        <v>91</v>
      </c>
      <c r="E1255" s="6" t="s">
        <v>106</v>
      </c>
      <c r="F1255" s="6" t="s">
        <v>85</v>
      </c>
      <c r="G1255" s="11" t="s">
        <v>56</v>
      </c>
      <c r="H1255" s="11"/>
      <c r="I1255" s="10" t="s">
        <v>1734</v>
      </c>
      <c r="J1255" s="6" t="s">
        <v>1735</v>
      </c>
      <c r="K1255" s="12">
        <v>46121.76358796296</v>
      </c>
      <c r="L1255" s="6" t="e" cm="1">
        <f t="array" ref="L1255">LOOKUP(2^15,SEARCH(Tabela2[Palavras-Chave],Boletim4[[#This Row],[Objeto]],1),Tabela2[Palavras-Chave])</f>
        <v>#N/A</v>
      </c>
    </row>
    <row r="1256" spans="1:12" ht="115.2" hidden="1" x14ac:dyDescent="0.3">
      <c r="A1256" s="5">
        <v>18802016</v>
      </c>
      <c r="B1256" s="6" t="s">
        <v>459</v>
      </c>
      <c r="C1256" s="6" t="s">
        <v>458</v>
      </c>
      <c r="D1256" s="8" t="s">
        <v>68</v>
      </c>
      <c r="E1256" s="6" t="s">
        <v>117</v>
      </c>
      <c r="F1256" s="6" t="s">
        <v>85</v>
      </c>
      <c r="G1256" s="11">
        <v>46134.374305555553</v>
      </c>
      <c r="H1256" s="11"/>
      <c r="I1256" s="10" t="s">
        <v>460</v>
      </c>
      <c r="J1256" s="6" t="s">
        <v>461</v>
      </c>
      <c r="K1256" s="12">
        <v>46121.3987037037</v>
      </c>
      <c r="L1256" s="6" t="e" cm="1">
        <f t="array" ref="L1256">LOOKUP(2^15,SEARCH(Tabela2[Palavras-Chave],Boletim4[[#This Row],[Objeto]],1),Tabela2[Palavras-Chave])</f>
        <v>#N/A</v>
      </c>
    </row>
    <row r="1257" spans="1:12" ht="100.8" hidden="1" x14ac:dyDescent="0.3">
      <c r="A1257" s="5">
        <v>18807446</v>
      </c>
      <c r="B1257" s="6" t="s">
        <v>74</v>
      </c>
      <c r="C1257" s="6" t="s">
        <v>130</v>
      </c>
      <c r="D1257" s="8" t="s">
        <v>68</v>
      </c>
      <c r="E1257" s="6" t="s">
        <v>1319</v>
      </c>
      <c r="F1257" s="6" t="s">
        <v>85</v>
      </c>
      <c r="G1257" s="11" t="s">
        <v>56</v>
      </c>
      <c r="H1257" s="11"/>
      <c r="I1257" s="10" t="s">
        <v>1320</v>
      </c>
      <c r="J1257" s="6" t="s">
        <v>1321</v>
      </c>
      <c r="K1257" s="12">
        <v>46121.447291666664</v>
      </c>
      <c r="L1257" s="6" t="e" cm="1">
        <f t="array" ref="L1257">LOOKUP(2^15,SEARCH(Tabela2[Palavras-Chave],Boletim4[[#This Row],[Objeto]],1),Tabela2[Palavras-Chave])</f>
        <v>#N/A</v>
      </c>
    </row>
    <row r="1258" spans="1:12" ht="100.8" hidden="1" x14ac:dyDescent="0.3">
      <c r="A1258" s="5">
        <v>18807577</v>
      </c>
      <c r="B1258" s="6" t="s">
        <v>74</v>
      </c>
      <c r="C1258" s="6" t="s">
        <v>130</v>
      </c>
      <c r="D1258" s="8" t="s">
        <v>68</v>
      </c>
      <c r="E1258" s="6" t="s">
        <v>2972</v>
      </c>
      <c r="F1258" s="6" t="s">
        <v>85</v>
      </c>
      <c r="G1258" s="11" t="s">
        <v>56</v>
      </c>
      <c r="H1258" s="11"/>
      <c r="I1258" s="10" t="s">
        <v>2973</v>
      </c>
      <c r="J1258" s="6" t="s">
        <v>1321</v>
      </c>
      <c r="K1258" s="12">
        <v>46121.450069444443</v>
      </c>
      <c r="L1258" s="6" t="e" cm="1">
        <f t="array" ref="L1258">LOOKUP(2^15,SEARCH(Tabela2[Palavras-Chave],Boletim4[[#This Row],[Objeto]],1),Tabela2[Palavras-Chave])</f>
        <v>#N/A</v>
      </c>
    </row>
    <row r="1259" spans="1:12" ht="57.6" hidden="1" x14ac:dyDescent="0.3">
      <c r="A1259" s="5">
        <v>18806394</v>
      </c>
      <c r="B1259" s="6" t="s">
        <v>663</v>
      </c>
      <c r="C1259" s="6" t="s">
        <v>664</v>
      </c>
      <c r="D1259" s="8" t="s">
        <v>68</v>
      </c>
      <c r="E1259" s="6" t="s">
        <v>135</v>
      </c>
      <c r="F1259" s="6" t="s">
        <v>85</v>
      </c>
      <c r="G1259" s="11">
        <v>46132.416666666664</v>
      </c>
      <c r="H1259" s="11"/>
      <c r="I1259" s="10" t="s">
        <v>665</v>
      </c>
      <c r="J1259" s="6" t="s">
        <v>666</v>
      </c>
      <c r="K1259" s="12">
        <v>46121.45076388889</v>
      </c>
      <c r="L1259" s="6" t="e" cm="1">
        <f t="array" ref="L1259">LOOKUP(2^15,SEARCH(Tabela2[Palavras-Chave],Boletim4[[#This Row],[Objeto]],1),Tabela2[Palavras-Chave])</f>
        <v>#N/A</v>
      </c>
    </row>
    <row r="1260" spans="1:12" ht="144" x14ac:dyDescent="0.3">
      <c r="A1260" s="5">
        <v>18808523</v>
      </c>
      <c r="B1260" s="6" t="s">
        <v>1736</v>
      </c>
      <c r="C1260" s="6" t="s">
        <v>130</v>
      </c>
      <c r="D1260" s="8" t="s">
        <v>68</v>
      </c>
      <c r="E1260" s="6" t="s">
        <v>183</v>
      </c>
      <c r="F1260" s="6" t="s">
        <v>85</v>
      </c>
      <c r="G1260" s="11" t="s">
        <v>56</v>
      </c>
      <c r="H1260" s="11"/>
      <c r="I1260" s="10" t="s">
        <v>1737</v>
      </c>
      <c r="J1260" s="6" t="s">
        <v>1738</v>
      </c>
      <c r="K1260" s="12">
        <v>46121.753125000003</v>
      </c>
      <c r="L1260" s="6" t="str" cm="1">
        <f t="array" ref="L1260">LOOKUP(2^15,SEARCH(Tabela2[Palavras-Chave],Boletim4[[#This Row],[Objeto]],1),Tabela2[Palavras-Chave])</f>
        <v>TANQUE</v>
      </c>
    </row>
    <row r="1261" spans="1:12" ht="57.6" hidden="1" x14ac:dyDescent="0.3">
      <c r="A1261" s="5">
        <v>18810223</v>
      </c>
      <c r="B1261" s="6" t="s">
        <v>1739</v>
      </c>
      <c r="C1261" s="6" t="s">
        <v>1740</v>
      </c>
      <c r="D1261" s="8" t="s">
        <v>68</v>
      </c>
      <c r="E1261" s="6" t="s">
        <v>1741</v>
      </c>
      <c r="F1261" s="6" t="s">
        <v>85</v>
      </c>
      <c r="G1261" s="11">
        <v>46132.375</v>
      </c>
      <c r="H1261" s="11"/>
      <c r="I1261" s="10" t="s">
        <v>1742</v>
      </c>
      <c r="J1261" s="6" t="s">
        <v>1743</v>
      </c>
      <c r="K1261" s="12">
        <v>46121.757361111115</v>
      </c>
      <c r="L1261" s="6" t="e" cm="1">
        <f t="array" ref="L1261">LOOKUP(2^15,SEARCH(Tabela2[Palavras-Chave],Boletim4[[#This Row],[Objeto]],1),Tabela2[Palavras-Chave])</f>
        <v>#N/A</v>
      </c>
    </row>
    <row r="1262" spans="1:12" ht="100.8" hidden="1" x14ac:dyDescent="0.3">
      <c r="A1262" s="5">
        <v>18810506</v>
      </c>
      <c r="B1262" s="6" t="s">
        <v>462</v>
      </c>
      <c r="C1262" s="6" t="s">
        <v>463</v>
      </c>
      <c r="D1262" s="8" t="s">
        <v>68</v>
      </c>
      <c r="E1262" s="6" t="s">
        <v>390</v>
      </c>
      <c r="F1262" s="6" t="s">
        <v>85</v>
      </c>
      <c r="G1262" s="11">
        <v>46134.333333333336</v>
      </c>
      <c r="H1262" s="11"/>
      <c r="I1262" s="10" t="s">
        <v>1744</v>
      </c>
      <c r="J1262" s="6" t="s">
        <v>1745</v>
      </c>
      <c r="K1262" s="12">
        <v>46121.765393518515</v>
      </c>
      <c r="L1262" s="6" t="e" cm="1">
        <f t="array" ref="L1262">LOOKUP(2^15,SEARCH(Tabela2[Palavras-Chave],Boletim4[[#This Row],[Objeto]],1),Tabela2[Palavras-Chave])</f>
        <v>#N/A</v>
      </c>
    </row>
    <row r="1263" spans="1:12" ht="100.8" hidden="1" x14ac:dyDescent="0.3">
      <c r="A1263" s="5">
        <v>18807418</v>
      </c>
      <c r="B1263" s="6" t="s">
        <v>1746</v>
      </c>
      <c r="C1263" s="6" t="s">
        <v>1747</v>
      </c>
      <c r="D1263" s="8" t="s">
        <v>92</v>
      </c>
      <c r="E1263" s="6" t="s">
        <v>149</v>
      </c>
      <c r="F1263" s="6" t="s">
        <v>85</v>
      </c>
      <c r="G1263" s="11">
        <v>46135.583333333336</v>
      </c>
      <c r="H1263" s="11"/>
      <c r="I1263" s="10" t="s">
        <v>1748</v>
      </c>
      <c r="J1263" s="6" t="s">
        <v>1749</v>
      </c>
      <c r="K1263" s="12">
        <v>46121.444490740738</v>
      </c>
      <c r="L1263" s="6" t="e" cm="1">
        <f t="array" ref="L1263">LOOKUP(2^15,SEARCH(Tabela2[Palavras-Chave],Boletim4[[#This Row],[Objeto]],1),Tabela2[Palavras-Chave])</f>
        <v>#N/A</v>
      </c>
    </row>
    <row r="1264" spans="1:12" ht="100.8" hidden="1" x14ac:dyDescent="0.3">
      <c r="A1264" s="5">
        <v>18807448</v>
      </c>
      <c r="B1264" s="6" t="s">
        <v>74</v>
      </c>
      <c r="C1264" s="6" t="s">
        <v>100</v>
      </c>
      <c r="D1264" s="8" t="s">
        <v>92</v>
      </c>
      <c r="E1264" s="6" t="s">
        <v>1319</v>
      </c>
      <c r="F1264" s="6" t="s">
        <v>85</v>
      </c>
      <c r="G1264" s="11" t="s">
        <v>56</v>
      </c>
      <c r="H1264" s="11"/>
      <c r="I1264" s="10" t="s">
        <v>1320</v>
      </c>
      <c r="J1264" s="6" t="s">
        <v>1321</v>
      </c>
      <c r="K1264" s="12">
        <v>46121.44730324074</v>
      </c>
      <c r="L1264" s="6" t="e" cm="1">
        <f t="array" ref="L1264">LOOKUP(2^15,SEARCH(Tabela2[Palavras-Chave],Boletim4[[#This Row],[Objeto]],1),Tabela2[Palavras-Chave])</f>
        <v>#N/A</v>
      </c>
    </row>
    <row r="1265" spans="1:12" ht="100.8" hidden="1" x14ac:dyDescent="0.3">
      <c r="A1265" s="5">
        <v>18807389</v>
      </c>
      <c r="B1265" s="6" t="s">
        <v>1750</v>
      </c>
      <c r="C1265" s="6" t="s">
        <v>1751</v>
      </c>
      <c r="D1265" s="8" t="s">
        <v>92</v>
      </c>
      <c r="E1265" s="6" t="s">
        <v>127</v>
      </c>
      <c r="F1265" s="6" t="s">
        <v>85</v>
      </c>
      <c r="G1265" s="11">
        <v>46141.332638888889</v>
      </c>
      <c r="H1265" s="11"/>
      <c r="I1265" s="10" t="s">
        <v>1752</v>
      </c>
      <c r="J1265" s="6" t="s">
        <v>1753</v>
      </c>
      <c r="K1265" s="12">
        <v>46121.444664351853</v>
      </c>
      <c r="L1265" s="6" t="e" cm="1">
        <f t="array" ref="L1265">LOOKUP(2^15,SEARCH(Tabela2[Palavras-Chave],Boletim4[[#This Row],[Objeto]],1),Tabela2[Palavras-Chave])</f>
        <v>#N/A</v>
      </c>
    </row>
    <row r="1266" spans="1:12" ht="100.8" hidden="1" x14ac:dyDescent="0.3">
      <c r="A1266" s="5">
        <v>18807578</v>
      </c>
      <c r="B1266" s="6" t="s">
        <v>74</v>
      </c>
      <c r="C1266" s="6" t="s">
        <v>100</v>
      </c>
      <c r="D1266" s="8" t="s">
        <v>92</v>
      </c>
      <c r="E1266" s="6" t="s">
        <v>2972</v>
      </c>
      <c r="F1266" s="6" t="s">
        <v>85</v>
      </c>
      <c r="G1266" s="11" t="s">
        <v>56</v>
      </c>
      <c r="H1266" s="11"/>
      <c r="I1266" s="10" t="s">
        <v>2973</v>
      </c>
      <c r="J1266" s="6" t="s">
        <v>1321</v>
      </c>
      <c r="K1266" s="12">
        <v>46121.45008101852</v>
      </c>
      <c r="L1266" s="6" t="e" cm="1">
        <f t="array" ref="L1266">LOOKUP(2^15,SEARCH(Tabela2[Palavras-Chave],Boletim4[[#This Row],[Objeto]],1),Tabela2[Palavras-Chave])</f>
        <v>#N/A</v>
      </c>
    </row>
    <row r="1267" spans="1:12" ht="86.4" hidden="1" x14ac:dyDescent="0.3">
      <c r="A1267" s="5">
        <v>18804276</v>
      </c>
      <c r="B1267" s="6" t="s">
        <v>667</v>
      </c>
      <c r="C1267" s="6" t="s">
        <v>668</v>
      </c>
      <c r="D1267" s="8" t="s">
        <v>92</v>
      </c>
      <c r="E1267" s="6" t="s">
        <v>120</v>
      </c>
      <c r="F1267" s="6" t="s">
        <v>85</v>
      </c>
      <c r="G1267" s="11" t="s">
        <v>56</v>
      </c>
      <c r="H1267" s="11"/>
      <c r="I1267" s="10" t="s">
        <v>669</v>
      </c>
      <c r="J1267" s="6" t="s">
        <v>670</v>
      </c>
      <c r="K1267" s="12">
        <v>46121.450775462959</v>
      </c>
      <c r="L1267" s="6" t="e" cm="1">
        <f t="array" ref="L1267">LOOKUP(2^15,SEARCH(Tabela2[Palavras-Chave],Boletim4[[#This Row],[Objeto]],1),Tabela2[Palavras-Chave])</f>
        <v>#N/A</v>
      </c>
    </row>
    <row r="1268" spans="1:12" ht="86.4" hidden="1" x14ac:dyDescent="0.3">
      <c r="A1268" s="5">
        <v>18806911</v>
      </c>
      <c r="B1268" s="6" t="s">
        <v>1754</v>
      </c>
      <c r="C1268" s="6" t="s">
        <v>1755</v>
      </c>
      <c r="D1268" s="8" t="s">
        <v>92</v>
      </c>
      <c r="E1268" s="6" t="s">
        <v>142</v>
      </c>
      <c r="F1268" s="6" t="s">
        <v>85</v>
      </c>
      <c r="G1268" s="11" t="s">
        <v>56</v>
      </c>
      <c r="H1268" s="11"/>
      <c r="I1268" s="10" t="s">
        <v>1756</v>
      </c>
      <c r="J1268" s="6" t="s">
        <v>1757</v>
      </c>
      <c r="K1268" s="12">
        <v>46121.48065972222</v>
      </c>
      <c r="L1268" s="6" t="e" cm="1">
        <f t="array" ref="L1268">LOOKUP(2^15,SEARCH(Tabela2[Palavras-Chave],Boletim4[[#This Row],[Objeto]],1),Tabela2[Palavras-Chave])</f>
        <v>#N/A</v>
      </c>
    </row>
    <row r="1269" spans="1:12" ht="100.8" hidden="1" x14ac:dyDescent="0.3">
      <c r="A1269" s="5">
        <v>18807509</v>
      </c>
      <c r="B1269" s="6" t="s">
        <v>1758</v>
      </c>
      <c r="C1269" s="6" t="s">
        <v>1759</v>
      </c>
      <c r="D1269" s="8" t="s">
        <v>92</v>
      </c>
      <c r="E1269" s="6" t="s">
        <v>126</v>
      </c>
      <c r="F1269" s="6" t="s">
        <v>85</v>
      </c>
      <c r="G1269" s="11">
        <v>46134.4375</v>
      </c>
      <c r="H1269" s="11"/>
      <c r="I1269" s="10" t="s">
        <v>1760</v>
      </c>
      <c r="J1269" s="6" t="s">
        <v>1761</v>
      </c>
      <c r="K1269" s="12">
        <v>46121.486932870372</v>
      </c>
      <c r="L1269" s="6" t="e" cm="1">
        <f t="array" ref="L1269">LOOKUP(2^15,SEARCH(Tabela2[Palavras-Chave],Boletim4[[#This Row],[Objeto]],1),Tabela2[Palavras-Chave])</f>
        <v>#N/A</v>
      </c>
    </row>
    <row r="1270" spans="1:12" ht="100.8" hidden="1" x14ac:dyDescent="0.3">
      <c r="A1270" s="5">
        <v>18809535</v>
      </c>
      <c r="B1270" s="6" t="s">
        <v>1762</v>
      </c>
      <c r="C1270" s="6" t="s">
        <v>1763</v>
      </c>
      <c r="D1270" s="8" t="s">
        <v>92</v>
      </c>
      <c r="E1270" s="6" t="s">
        <v>707</v>
      </c>
      <c r="F1270" s="6" t="s">
        <v>85</v>
      </c>
      <c r="G1270" s="11">
        <v>46139.375</v>
      </c>
      <c r="H1270" s="11"/>
      <c r="I1270" s="10" t="s">
        <v>1764</v>
      </c>
      <c r="J1270" s="6" t="s">
        <v>1765</v>
      </c>
      <c r="K1270" s="12">
        <v>46121.607789351852</v>
      </c>
      <c r="L1270" s="6" t="e" cm="1">
        <f t="array" ref="L1270">LOOKUP(2^15,SEARCH(Tabela2[Palavras-Chave],Boletim4[[#This Row],[Objeto]],1),Tabela2[Palavras-Chave])</f>
        <v>#N/A</v>
      </c>
    </row>
    <row r="1271" spans="1:12" ht="129.6" hidden="1" x14ac:dyDescent="0.3">
      <c r="A1271" s="5">
        <v>18808833</v>
      </c>
      <c r="B1271" s="6" t="s">
        <v>1766</v>
      </c>
      <c r="C1271" s="6" t="s">
        <v>1767</v>
      </c>
      <c r="D1271" s="8" t="s">
        <v>92</v>
      </c>
      <c r="E1271" s="6" t="s">
        <v>140</v>
      </c>
      <c r="F1271" s="6" t="s">
        <v>85</v>
      </c>
      <c r="G1271" s="11" t="s">
        <v>56</v>
      </c>
      <c r="H1271" s="11"/>
      <c r="I1271" s="10" t="s">
        <v>1768</v>
      </c>
      <c r="J1271" s="6" t="s">
        <v>1769</v>
      </c>
      <c r="K1271" s="12">
        <v>46121.640219907407</v>
      </c>
      <c r="L1271" s="6" t="e" cm="1">
        <f t="array" ref="L1271">LOOKUP(2^15,SEARCH(Tabela2[Palavras-Chave],Boletim4[[#This Row],[Objeto]],1),Tabela2[Palavras-Chave])</f>
        <v>#N/A</v>
      </c>
    </row>
    <row r="1272" spans="1:12" ht="100.8" hidden="1" x14ac:dyDescent="0.3">
      <c r="A1272" s="5">
        <v>18810087</v>
      </c>
      <c r="B1272" s="6" t="s">
        <v>1770</v>
      </c>
      <c r="C1272" s="6" t="s">
        <v>1771</v>
      </c>
      <c r="D1272" s="8" t="s">
        <v>92</v>
      </c>
      <c r="E1272" s="6" t="s">
        <v>142</v>
      </c>
      <c r="F1272" s="6" t="s">
        <v>85</v>
      </c>
      <c r="G1272" s="11">
        <v>46135.374305555553</v>
      </c>
      <c r="H1272" s="11"/>
      <c r="I1272" s="10" t="s">
        <v>1772</v>
      </c>
      <c r="J1272" s="6" t="s">
        <v>1773</v>
      </c>
      <c r="K1272" s="12">
        <v>46121.707245370373</v>
      </c>
      <c r="L1272" s="6" t="e" cm="1">
        <f t="array" ref="L1272">LOOKUP(2^15,SEARCH(Tabela2[Palavras-Chave],Boletim4[[#This Row],[Objeto]],1),Tabela2[Palavras-Chave])</f>
        <v>#N/A</v>
      </c>
    </row>
    <row r="1273" spans="1:12" ht="129.6" hidden="1" x14ac:dyDescent="0.3">
      <c r="A1273" s="5">
        <v>18810024</v>
      </c>
      <c r="B1273" s="6" t="s">
        <v>232</v>
      </c>
      <c r="C1273" s="6" t="s">
        <v>100</v>
      </c>
      <c r="D1273" s="8" t="s">
        <v>92</v>
      </c>
      <c r="E1273" s="6" t="s">
        <v>2659</v>
      </c>
      <c r="F1273" s="6" t="s">
        <v>85</v>
      </c>
      <c r="G1273" s="11">
        <v>46148.333333333336</v>
      </c>
      <c r="H1273" s="11"/>
      <c r="I1273" s="10" t="s">
        <v>3125</v>
      </c>
      <c r="J1273" s="6" t="s">
        <v>3126</v>
      </c>
      <c r="K1273" s="12">
        <v>46121.717453703706</v>
      </c>
      <c r="L1273" s="6" t="e" cm="1">
        <f t="array" ref="L1273">LOOKUP(2^15,SEARCH(Tabela2[Palavras-Chave],Boletim4[[#This Row],[Objeto]],1),Tabela2[Palavras-Chave])</f>
        <v>#N/A</v>
      </c>
    </row>
    <row r="1274" spans="1:12" ht="115.2" hidden="1" x14ac:dyDescent="0.3">
      <c r="A1274" s="5">
        <v>18809969</v>
      </c>
      <c r="B1274" s="6" t="s">
        <v>232</v>
      </c>
      <c r="C1274" s="6" t="s">
        <v>100</v>
      </c>
      <c r="D1274" s="8" t="s">
        <v>92</v>
      </c>
      <c r="E1274" s="6" t="s">
        <v>640</v>
      </c>
      <c r="F1274" s="6" t="s">
        <v>85</v>
      </c>
      <c r="G1274" s="11">
        <v>46154.333333333336</v>
      </c>
      <c r="H1274" s="11"/>
      <c r="I1274" s="10" t="s">
        <v>3127</v>
      </c>
      <c r="J1274" s="6" t="s">
        <v>3128</v>
      </c>
      <c r="K1274" s="12">
        <v>46121.717592592591</v>
      </c>
      <c r="L1274" s="6" t="e" cm="1">
        <f t="array" ref="L1274">LOOKUP(2^15,SEARCH(Tabela2[Palavras-Chave],Boletim4[[#This Row],[Objeto]],1),Tabela2[Palavras-Chave])</f>
        <v>#N/A</v>
      </c>
    </row>
    <row r="1275" spans="1:12" ht="115.2" hidden="1" x14ac:dyDescent="0.3">
      <c r="A1275" s="5">
        <v>18809972</v>
      </c>
      <c r="B1275" s="6" t="s">
        <v>232</v>
      </c>
      <c r="C1275" s="6" t="s">
        <v>100</v>
      </c>
      <c r="D1275" s="8" t="s">
        <v>92</v>
      </c>
      <c r="E1275" s="6" t="s">
        <v>2240</v>
      </c>
      <c r="F1275" s="6" t="s">
        <v>85</v>
      </c>
      <c r="G1275" s="11">
        <v>46149.333333333336</v>
      </c>
      <c r="H1275" s="11"/>
      <c r="I1275" s="10" t="s">
        <v>3129</v>
      </c>
      <c r="J1275" s="6" t="s">
        <v>3130</v>
      </c>
      <c r="K1275" s="12">
        <v>46121.722858796296</v>
      </c>
      <c r="L1275" s="6" t="e" cm="1">
        <f t="array" ref="L1275">LOOKUP(2^15,SEARCH(Tabela2[Palavras-Chave],Boletim4[[#This Row],[Objeto]],1),Tabela2[Palavras-Chave])</f>
        <v>#N/A</v>
      </c>
    </row>
    <row r="1276" spans="1:12" ht="115.2" x14ac:dyDescent="0.3">
      <c r="A1276" s="5">
        <v>18810025</v>
      </c>
      <c r="B1276" s="6" t="s">
        <v>232</v>
      </c>
      <c r="C1276" s="6" t="s">
        <v>100</v>
      </c>
      <c r="D1276" s="8" t="s">
        <v>92</v>
      </c>
      <c r="E1276" s="6" t="s">
        <v>1774</v>
      </c>
      <c r="F1276" s="6" t="s">
        <v>85</v>
      </c>
      <c r="G1276" s="11">
        <v>46149.333333333336</v>
      </c>
      <c r="H1276" s="11"/>
      <c r="I1276" s="10" t="s">
        <v>1775</v>
      </c>
      <c r="J1276" s="6" t="s">
        <v>1776</v>
      </c>
      <c r="K1276" s="12">
        <v>46121.732314814813</v>
      </c>
      <c r="L1276" s="6" t="str" cm="1">
        <f t="array" ref="L1276">LOOKUP(2^15,SEARCH(Tabela2[Palavras-Chave],Boletim4[[#This Row],[Objeto]],1),Tabela2[Palavras-Chave])</f>
        <v>RESERVAT</v>
      </c>
    </row>
    <row r="1277" spans="1:12" ht="100.8" hidden="1" x14ac:dyDescent="0.3">
      <c r="A1277" s="5">
        <v>18810097</v>
      </c>
      <c r="B1277" s="6" t="s">
        <v>1777</v>
      </c>
      <c r="C1277" s="6" t="s">
        <v>1778</v>
      </c>
      <c r="D1277" s="8" t="s">
        <v>92</v>
      </c>
      <c r="E1277" s="6" t="s">
        <v>122</v>
      </c>
      <c r="F1277" s="6" t="s">
        <v>85</v>
      </c>
      <c r="G1277" s="11">
        <v>46134.333333333336</v>
      </c>
      <c r="H1277" s="11"/>
      <c r="I1277" s="10" t="s">
        <v>1779</v>
      </c>
      <c r="J1277" s="6" t="s">
        <v>1780</v>
      </c>
      <c r="K1277" s="12">
        <v>46121.754745370374</v>
      </c>
      <c r="L1277" s="6" t="e" cm="1">
        <f t="array" ref="L1277">LOOKUP(2^15,SEARCH(Tabela2[Palavras-Chave],Boletim4[[#This Row],[Objeto]],1),Tabela2[Palavras-Chave])</f>
        <v>#N/A</v>
      </c>
    </row>
    <row r="1278" spans="1:12" ht="115.2" hidden="1" x14ac:dyDescent="0.3">
      <c r="A1278" s="5">
        <v>18804111</v>
      </c>
      <c r="B1278" s="6" t="s">
        <v>3131</v>
      </c>
      <c r="C1278" s="6" t="s">
        <v>3132</v>
      </c>
      <c r="D1278" s="8" t="s">
        <v>92</v>
      </c>
      <c r="E1278" s="6" t="s">
        <v>1731</v>
      </c>
      <c r="F1278" s="6" t="s">
        <v>85</v>
      </c>
      <c r="G1278" s="11">
        <v>46136.354166666664</v>
      </c>
      <c r="H1278" s="11"/>
      <c r="I1278" s="10" t="s">
        <v>3133</v>
      </c>
      <c r="J1278" s="6" t="s">
        <v>3134</v>
      </c>
      <c r="K1278" s="12">
        <v>46121.869074074071</v>
      </c>
      <c r="L1278" s="6" t="e" cm="1">
        <f t="array" ref="L1278">LOOKUP(2^15,SEARCH(Tabela2[Palavras-Chave],Boletim4[[#This Row],[Objeto]],1),Tabela2[Palavras-Chave])</f>
        <v>#N/A</v>
      </c>
    </row>
    <row r="1279" spans="1:12" ht="158.4" hidden="1" x14ac:dyDescent="0.3">
      <c r="A1279" s="5">
        <v>18803438</v>
      </c>
      <c r="B1279" s="6" t="s">
        <v>276</v>
      </c>
      <c r="C1279" s="6" t="s">
        <v>69</v>
      </c>
      <c r="D1279" s="8" t="s">
        <v>70</v>
      </c>
      <c r="E1279" s="6" t="s">
        <v>262</v>
      </c>
      <c r="F1279" s="6" t="s">
        <v>85</v>
      </c>
      <c r="G1279" s="11">
        <v>46162.458333333336</v>
      </c>
      <c r="H1279" s="11"/>
      <c r="I1279" s="10" t="s">
        <v>673</v>
      </c>
      <c r="J1279" s="6" t="s">
        <v>674</v>
      </c>
      <c r="K1279" s="12">
        <v>46121.420868055553</v>
      </c>
      <c r="L1279" s="6" t="e" cm="1">
        <f t="array" ref="L1279">LOOKUP(2^15,SEARCH(Tabela2[Palavras-Chave],Boletim4[[#This Row],[Objeto]],1),Tabela2[Palavras-Chave])</f>
        <v>#N/A</v>
      </c>
    </row>
    <row r="1280" spans="1:12" ht="100.8" hidden="1" x14ac:dyDescent="0.3">
      <c r="A1280" s="5">
        <v>18807449</v>
      </c>
      <c r="B1280" s="6" t="s">
        <v>74</v>
      </c>
      <c r="C1280" s="6" t="s">
        <v>69</v>
      </c>
      <c r="D1280" s="8" t="s">
        <v>70</v>
      </c>
      <c r="E1280" s="6" t="s">
        <v>1319</v>
      </c>
      <c r="F1280" s="6" t="s">
        <v>85</v>
      </c>
      <c r="G1280" s="11" t="s">
        <v>56</v>
      </c>
      <c r="H1280" s="11"/>
      <c r="I1280" s="10" t="s">
        <v>1320</v>
      </c>
      <c r="J1280" s="6" t="s">
        <v>1321</v>
      </c>
      <c r="K1280" s="12">
        <v>46121.44730324074</v>
      </c>
      <c r="L1280" s="6" t="e" cm="1">
        <f t="array" ref="L1280">LOOKUP(2^15,SEARCH(Tabela2[Palavras-Chave],Boletim4[[#This Row],[Objeto]],1),Tabela2[Palavras-Chave])</f>
        <v>#N/A</v>
      </c>
    </row>
    <row r="1281" spans="1:12" ht="100.8" hidden="1" x14ac:dyDescent="0.3">
      <c r="A1281" s="5">
        <v>18807579</v>
      </c>
      <c r="B1281" s="6" t="s">
        <v>74</v>
      </c>
      <c r="C1281" s="6" t="s">
        <v>69</v>
      </c>
      <c r="D1281" s="8" t="s">
        <v>70</v>
      </c>
      <c r="E1281" s="6" t="s">
        <v>2972</v>
      </c>
      <c r="F1281" s="6" t="s">
        <v>85</v>
      </c>
      <c r="G1281" s="11" t="s">
        <v>56</v>
      </c>
      <c r="H1281" s="11"/>
      <c r="I1281" s="10" t="s">
        <v>2973</v>
      </c>
      <c r="J1281" s="6" t="s">
        <v>1321</v>
      </c>
      <c r="K1281" s="12">
        <v>46121.45008101852</v>
      </c>
      <c r="L1281" s="6" t="e" cm="1">
        <f t="array" ref="L1281">LOOKUP(2^15,SEARCH(Tabela2[Palavras-Chave],Boletim4[[#This Row],[Objeto]],1),Tabela2[Palavras-Chave])</f>
        <v>#N/A</v>
      </c>
    </row>
    <row r="1282" spans="1:12" ht="259.2" hidden="1" x14ac:dyDescent="0.3">
      <c r="A1282" s="5">
        <v>18807132</v>
      </c>
      <c r="B1282" s="6" t="s">
        <v>1781</v>
      </c>
      <c r="C1282" s="6" t="s">
        <v>1782</v>
      </c>
      <c r="D1282" s="8" t="s">
        <v>70</v>
      </c>
      <c r="E1282" s="6" t="s">
        <v>148</v>
      </c>
      <c r="F1282" s="6" t="s">
        <v>85</v>
      </c>
      <c r="G1282" s="11" t="s">
        <v>56</v>
      </c>
      <c r="H1282" s="11"/>
      <c r="I1282" s="10" t="s">
        <v>1783</v>
      </c>
      <c r="J1282" s="6" t="s">
        <v>1784</v>
      </c>
      <c r="K1282" s="12">
        <v>46121.47320601852</v>
      </c>
      <c r="L1282" s="6" t="e" cm="1">
        <f t="array" ref="L1282">LOOKUP(2^15,SEARCH(Tabela2[Palavras-Chave],Boletim4[[#This Row],[Objeto]],1),Tabela2[Palavras-Chave])</f>
        <v>#N/A</v>
      </c>
    </row>
    <row r="1283" spans="1:12" ht="144" x14ac:dyDescent="0.3">
      <c r="A1283" s="5">
        <v>18802437</v>
      </c>
      <c r="B1283" s="6" t="s">
        <v>465</v>
      </c>
      <c r="C1283" s="6" t="s">
        <v>69</v>
      </c>
      <c r="D1283" s="8" t="s">
        <v>70</v>
      </c>
      <c r="E1283" s="6" t="s">
        <v>466</v>
      </c>
      <c r="F1283" s="6" t="s">
        <v>85</v>
      </c>
      <c r="G1283" s="11">
        <v>46128.375</v>
      </c>
      <c r="H1283" s="11"/>
      <c r="I1283" s="10" t="s">
        <v>467</v>
      </c>
      <c r="J1283" s="6" t="s">
        <v>468</v>
      </c>
      <c r="K1283" s="12">
        <v>46121.552812499998</v>
      </c>
      <c r="L1283" s="6" t="str" cm="1">
        <f t="array" ref="L1283">LOOKUP(2^15,SEARCH(Tabela2[Palavras-Chave],Boletim4[[#This Row],[Objeto]],1),Tabela2[Palavras-Chave])</f>
        <v>BOOSTER</v>
      </c>
    </row>
    <row r="1284" spans="1:12" ht="244.8" hidden="1" x14ac:dyDescent="0.3">
      <c r="A1284" s="5">
        <v>18809687</v>
      </c>
      <c r="B1284" s="6" t="s">
        <v>1785</v>
      </c>
      <c r="C1284" s="6" t="s">
        <v>1786</v>
      </c>
      <c r="D1284" s="8" t="s">
        <v>70</v>
      </c>
      <c r="E1284" s="6" t="s">
        <v>115</v>
      </c>
      <c r="F1284" s="6" t="s">
        <v>85</v>
      </c>
      <c r="G1284" s="11" t="s">
        <v>56</v>
      </c>
      <c r="H1284" s="11"/>
      <c r="I1284" s="10" t="s">
        <v>1787</v>
      </c>
      <c r="J1284" s="6" t="s">
        <v>1788</v>
      </c>
      <c r="K1284" s="12">
        <v>46121.623425925929</v>
      </c>
      <c r="L1284" s="6" t="e" cm="1">
        <f t="array" ref="L1284">LOOKUP(2^15,SEARCH(Tabela2[Palavras-Chave],Boletim4[[#This Row],[Objeto]],1),Tabela2[Palavras-Chave])</f>
        <v>#N/A</v>
      </c>
    </row>
    <row r="1285" spans="1:12" ht="244.8" hidden="1" x14ac:dyDescent="0.3">
      <c r="A1285" s="5">
        <v>18807707</v>
      </c>
      <c r="B1285" s="6" t="s">
        <v>1789</v>
      </c>
      <c r="C1285" s="6" t="s">
        <v>1790</v>
      </c>
      <c r="D1285" s="8" t="s">
        <v>70</v>
      </c>
      <c r="E1285" s="6" t="s">
        <v>114</v>
      </c>
      <c r="F1285" s="6" t="s">
        <v>85</v>
      </c>
      <c r="G1285" s="11" t="s">
        <v>56</v>
      </c>
      <c r="H1285" s="11"/>
      <c r="I1285" s="10" t="s">
        <v>1791</v>
      </c>
      <c r="J1285" s="6" t="s">
        <v>1792</v>
      </c>
      <c r="K1285" s="12">
        <v>46121.695856481485</v>
      </c>
      <c r="L1285" s="6" t="e" cm="1">
        <f t="array" ref="L1285">LOOKUP(2^15,SEARCH(Tabela2[Palavras-Chave],Boletim4[[#This Row],[Objeto]],1),Tabela2[Palavras-Chave])</f>
        <v>#N/A</v>
      </c>
    </row>
    <row r="1286" spans="1:12" ht="158.4" hidden="1" x14ac:dyDescent="0.3">
      <c r="A1286" s="5">
        <v>18808551</v>
      </c>
      <c r="B1286" s="6" t="s">
        <v>1793</v>
      </c>
      <c r="C1286" s="6" t="s">
        <v>1794</v>
      </c>
      <c r="D1286" s="8" t="s">
        <v>70</v>
      </c>
      <c r="E1286" s="6" t="s">
        <v>140</v>
      </c>
      <c r="F1286" s="6" t="s">
        <v>85</v>
      </c>
      <c r="G1286" s="11" t="s">
        <v>56</v>
      </c>
      <c r="H1286" s="11"/>
      <c r="I1286" s="10" t="s">
        <v>1795</v>
      </c>
      <c r="J1286" s="6" t="s">
        <v>1796</v>
      </c>
      <c r="K1286" s="12">
        <v>46121.699444444443</v>
      </c>
      <c r="L1286" s="6" t="e" cm="1">
        <f t="array" ref="L1286">LOOKUP(2^15,SEARCH(Tabela2[Palavras-Chave],Boletim4[[#This Row],[Objeto]],1),Tabela2[Palavras-Chave])</f>
        <v>#N/A</v>
      </c>
    </row>
    <row r="1287" spans="1:12" ht="244.8" hidden="1" x14ac:dyDescent="0.3">
      <c r="A1287" s="5">
        <v>18809223</v>
      </c>
      <c r="B1287" s="6" t="s">
        <v>1797</v>
      </c>
      <c r="C1287" s="6" t="s">
        <v>1798</v>
      </c>
      <c r="D1287" s="8" t="s">
        <v>70</v>
      </c>
      <c r="E1287" s="6" t="s">
        <v>115</v>
      </c>
      <c r="F1287" s="6" t="s">
        <v>85</v>
      </c>
      <c r="G1287" s="11" t="s">
        <v>56</v>
      </c>
      <c r="H1287" s="11"/>
      <c r="I1287" s="10" t="s">
        <v>1799</v>
      </c>
      <c r="J1287" s="6" t="s">
        <v>1800</v>
      </c>
      <c r="K1287" s="12">
        <v>46121.703159722223</v>
      </c>
      <c r="L1287" s="6" t="e" cm="1">
        <f t="array" ref="L1287">LOOKUP(2^15,SEARCH(Tabela2[Palavras-Chave],Boletim4[[#This Row],[Objeto]],1),Tabela2[Palavras-Chave])</f>
        <v>#N/A</v>
      </c>
    </row>
    <row r="1288" spans="1:12" ht="187.2" hidden="1" x14ac:dyDescent="0.3">
      <c r="A1288" s="5">
        <v>18803431</v>
      </c>
      <c r="B1288" s="6" t="s">
        <v>276</v>
      </c>
      <c r="C1288" s="6" t="s">
        <v>69</v>
      </c>
      <c r="D1288" s="8" t="s">
        <v>70</v>
      </c>
      <c r="E1288" s="6" t="s">
        <v>170</v>
      </c>
      <c r="F1288" s="6" t="s">
        <v>85</v>
      </c>
      <c r="G1288" s="11">
        <v>46156.458333333336</v>
      </c>
      <c r="H1288" s="11"/>
      <c r="I1288" s="10" t="s">
        <v>671</v>
      </c>
      <c r="J1288" s="6" t="s">
        <v>672</v>
      </c>
      <c r="K1288" s="12">
        <v>46121.720173611109</v>
      </c>
      <c r="L1288" s="6" t="e" cm="1">
        <f t="array" ref="L1288">LOOKUP(2^15,SEARCH(Tabela2[Palavras-Chave],Boletim4[[#This Row],[Objeto]],1),Tabela2[Palavras-Chave])</f>
        <v>#N/A</v>
      </c>
    </row>
    <row r="1289" spans="1:12" ht="115.2" hidden="1" x14ac:dyDescent="0.3">
      <c r="A1289" s="5">
        <v>18807520</v>
      </c>
      <c r="B1289" s="6" t="s">
        <v>3135</v>
      </c>
      <c r="C1289" s="6" t="s">
        <v>3136</v>
      </c>
      <c r="D1289" s="8" t="s">
        <v>70</v>
      </c>
      <c r="E1289" s="6" t="s">
        <v>165</v>
      </c>
      <c r="F1289" s="6" t="s">
        <v>85</v>
      </c>
      <c r="G1289" s="11">
        <v>46134.3125</v>
      </c>
      <c r="H1289" s="11"/>
      <c r="I1289" s="10" t="s">
        <v>3137</v>
      </c>
      <c r="J1289" s="6" t="s">
        <v>3138</v>
      </c>
      <c r="K1289" s="12">
        <v>46121.720138888886</v>
      </c>
      <c r="L1289" s="6" t="e" cm="1">
        <f t="array" ref="L1289">LOOKUP(2^15,SEARCH(Tabela2[Palavras-Chave],Boletim4[[#This Row],[Objeto]],1),Tabela2[Palavras-Chave])</f>
        <v>#N/A</v>
      </c>
    </row>
    <row r="1290" spans="1:12" ht="100.8" hidden="1" x14ac:dyDescent="0.3">
      <c r="A1290" s="5">
        <v>18807508</v>
      </c>
      <c r="B1290" s="6" t="s">
        <v>3139</v>
      </c>
      <c r="C1290" s="6" t="s">
        <v>3140</v>
      </c>
      <c r="D1290" s="8" t="s">
        <v>70</v>
      </c>
      <c r="E1290" s="6" t="s">
        <v>121</v>
      </c>
      <c r="F1290" s="6" t="s">
        <v>85</v>
      </c>
      <c r="G1290" s="11">
        <v>46134.416666666664</v>
      </c>
      <c r="H1290" s="11"/>
      <c r="I1290" s="10" t="s">
        <v>3141</v>
      </c>
      <c r="J1290" s="6" t="s">
        <v>3142</v>
      </c>
      <c r="K1290" s="12">
        <v>46121.720254629632</v>
      </c>
      <c r="L1290" s="6" t="e" cm="1">
        <f t="array" ref="L1290">LOOKUP(2^15,SEARCH(Tabela2[Palavras-Chave],Boletim4[[#This Row],[Objeto]],1),Tabela2[Palavras-Chave])</f>
        <v>#N/A</v>
      </c>
    </row>
    <row r="1291" spans="1:12" ht="115.2" hidden="1" x14ac:dyDescent="0.3">
      <c r="A1291" s="5">
        <v>18809967</v>
      </c>
      <c r="B1291" s="6" t="s">
        <v>465</v>
      </c>
      <c r="C1291" s="6" t="s">
        <v>69</v>
      </c>
      <c r="D1291" s="8" t="s">
        <v>70</v>
      </c>
      <c r="E1291" s="6" t="s">
        <v>3143</v>
      </c>
      <c r="F1291" s="6" t="s">
        <v>85</v>
      </c>
      <c r="G1291" s="11">
        <v>46129.375</v>
      </c>
      <c r="H1291" s="11"/>
      <c r="I1291" s="10" t="s">
        <v>3144</v>
      </c>
      <c r="J1291" s="6" t="s">
        <v>3145</v>
      </c>
      <c r="K1291" s="12">
        <v>46121.785173611112</v>
      </c>
      <c r="L1291" s="6" t="e" cm="1">
        <f t="array" ref="L1291">LOOKUP(2^15,SEARCH(Tabela2[Palavras-Chave],Boletim4[[#This Row],[Objeto]],1),Tabela2[Palavras-Chave])</f>
        <v>#N/A</v>
      </c>
    </row>
    <row r="1292" spans="1:12" ht="244.8" hidden="1" x14ac:dyDescent="0.3">
      <c r="A1292" s="5">
        <v>18811176</v>
      </c>
      <c r="B1292" s="6" t="s">
        <v>1801</v>
      </c>
      <c r="C1292" s="6" t="s">
        <v>1802</v>
      </c>
      <c r="D1292" s="8" t="s">
        <v>70</v>
      </c>
      <c r="E1292" s="6" t="s">
        <v>115</v>
      </c>
      <c r="F1292" s="6" t="s">
        <v>85</v>
      </c>
      <c r="G1292" s="11" t="s">
        <v>56</v>
      </c>
      <c r="H1292" s="11"/>
      <c r="I1292" s="10" t="s">
        <v>1803</v>
      </c>
      <c r="J1292" s="6" t="s">
        <v>1804</v>
      </c>
      <c r="K1292" s="12">
        <v>46121.79241898148</v>
      </c>
      <c r="L1292" s="6" t="e" cm="1">
        <f t="array" ref="L1292">LOOKUP(2^15,SEARCH(Tabela2[Palavras-Chave],Boletim4[[#This Row],[Objeto]],1),Tabela2[Palavras-Chave])</f>
        <v>#N/A</v>
      </c>
    </row>
    <row r="1293" spans="1:12" ht="72" hidden="1" x14ac:dyDescent="0.3">
      <c r="A1293" s="5">
        <v>18811443</v>
      </c>
      <c r="B1293" s="6" t="s">
        <v>3146</v>
      </c>
      <c r="C1293" s="6" t="s">
        <v>3147</v>
      </c>
      <c r="D1293" s="8" t="s">
        <v>70</v>
      </c>
      <c r="E1293" s="6" t="s">
        <v>172</v>
      </c>
      <c r="F1293" s="6" t="s">
        <v>85</v>
      </c>
      <c r="G1293" s="11" t="s">
        <v>56</v>
      </c>
      <c r="H1293" s="11"/>
      <c r="I1293" s="10" t="s">
        <v>3148</v>
      </c>
      <c r="J1293" s="6" t="s">
        <v>3149</v>
      </c>
      <c r="K1293" s="12">
        <v>46121.872187499997</v>
      </c>
      <c r="L1293" s="6" t="e" cm="1">
        <f t="array" ref="L1293">LOOKUP(2^15,SEARCH(Tabela2[Palavras-Chave],Boletim4[[#This Row],[Objeto]],1),Tabela2[Palavras-Chave])</f>
        <v>#N/A</v>
      </c>
    </row>
    <row r="1294" spans="1:12" ht="72" hidden="1" x14ac:dyDescent="0.3">
      <c r="A1294" s="5">
        <v>18790707</v>
      </c>
      <c r="B1294" s="6" t="s">
        <v>3150</v>
      </c>
      <c r="C1294" s="6" t="s">
        <v>3151</v>
      </c>
      <c r="D1294" s="8" t="s">
        <v>71</v>
      </c>
      <c r="E1294" s="6" t="s">
        <v>128</v>
      </c>
      <c r="F1294" s="6" t="s">
        <v>85</v>
      </c>
      <c r="G1294" s="11">
        <v>46132.333333333336</v>
      </c>
      <c r="H1294" s="11"/>
      <c r="I1294" s="10" t="s">
        <v>3152</v>
      </c>
      <c r="J1294" s="6" t="s">
        <v>3153</v>
      </c>
      <c r="K1294" s="12">
        <v>46121.389050925929</v>
      </c>
      <c r="L1294" s="6" t="e" cm="1">
        <f t="array" ref="L1294">LOOKUP(2^15,SEARCH(Tabela2[Palavras-Chave],Boletim4[[#This Row],[Objeto]],1),Tabela2[Palavras-Chave])</f>
        <v>#N/A</v>
      </c>
    </row>
    <row r="1295" spans="1:12" ht="100.8" hidden="1" x14ac:dyDescent="0.3">
      <c r="A1295" s="5">
        <v>18807451</v>
      </c>
      <c r="B1295" s="6" t="s">
        <v>74</v>
      </c>
      <c r="C1295" s="6" t="s">
        <v>133</v>
      </c>
      <c r="D1295" s="8" t="s">
        <v>71</v>
      </c>
      <c r="E1295" s="6" t="s">
        <v>1319</v>
      </c>
      <c r="F1295" s="6" t="s">
        <v>85</v>
      </c>
      <c r="G1295" s="11" t="s">
        <v>56</v>
      </c>
      <c r="H1295" s="11"/>
      <c r="I1295" s="10" t="s">
        <v>1320</v>
      </c>
      <c r="J1295" s="6" t="s">
        <v>1321</v>
      </c>
      <c r="K1295" s="12">
        <v>46121.44730324074</v>
      </c>
      <c r="L1295" s="6" t="e" cm="1">
        <f t="array" ref="L1295">LOOKUP(2^15,SEARCH(Tabela2[Palavras-Chave],Boletim4[[#This Row],[Objeto]],1),Tabela2[Palavras-Chave])</f>
        <v>#N/A</v>
      </c>
    </row>
    <row r="1296" spans="1:12" ht="100.8" hidden="1" x14ac:dyDescent="0.3">
      <c r="A1296" s="5">
        <v>18807580</v>
      </c>
      <c r="B1296" s="6" t="s">
        <v>74</v>
      </c>
      <c r="C1296" s="6" t="s">
        <v>133</v>
      </c>
      <c r="D1296" s="8" t="s">
        <v>71</v>
      </c>
      <c r="E1296" s="6" t="s">
        <v>2972</v>
      </c>
      <c r="F1296" s="6" t="s">
        <v>85</v>
      </c>
      <c r="G1296" s="11" t="s">
        <v>56</v>
      </c>
      <c r="H1296" s="11"/>
      <c r="I1296" s="10" t="s">
        <v>2973</v>
      </c>
      <c r="J1296" s="6" t="s">
        <v>1321</v>
      </c>
      <c r="K1296" s="12">
        <v>46121.45008101852</v>
      </c>
      <c r="L1296" s="6" t="e" cm="1">
        <f t="array" ref="L1296">LOOKUP(2^15,SEARCH(Tabela2[Palavras-Chave],Boletim4[[#This Row],[Objeto]],1),Tabela2[Palavras-Chave])</f>
        <v>#N/A</v>
      </c>
    </row>
    <row r="1297" spans="1:12" ht="86.4" hidden="1" x14ac:dyDescent="0.3">
      <c r="A1297" s="5">
        <v>18806920</v>
      </c>
      <c r="B1297" s="6" t="s">
        <v>1805</v>
      </c>
      <c r="C1297" s="6" t="s">
        <v>1806</v>
      </c>
      <c r="D1297" s="8" t="s">
        <v>71</v>
      </c>
      <c r="E1297" s="6" t="s">
        <v>135</v>
      </c>
      <c r="F1297" s="6" t="s">
        <v>85</v>
      </c>
      <c r="G1297" s="11" t="s">
        <v>56</v>
      </c>
      <c r="H1297" s="11"/>
      <c r="I1297" s="10" t="s">
        <v>1807</v>
      </c>
      <c r="J1297" s="6" t="s">
        <v>1808</v>
      </c>
      <c r="K1297" s="12">
        <v>46121.455509259256</v>
      </c>
      <c r="L1297" s="6" t="e" cm="1">
        <f t="array" ref="L1297">LOOKUP(2^15,SEARCH(Tabela2[Palavras-Chave],Boletim4[[#This Row],[Objeto]],1),Tabela2[Palavras-Chave])</f>
        <v>#N/A</v>
      </c>
    </row>
    <row r="1298" spans="1:12" ht="172.8" hidden="1" x14ac:dyDescent="0.3">
      <c r="A1298" s="5">
        <v>18803426</v>
      </c>
      <c r="B1298" s="6" t="s">
        <v>675</v>
      </c>
      <c r="C1298" s="6" t="s">
        <v>676</v>
      </c>
      <c r="D1298" s="8" t="s">
        <v>71</v>
      </c>
      <c r="E1298" s="6" t="s">
        <v>201</v>
      </c>
      <c r="F1298" s="6" t="s">
        <v>85</v>
      </c>
      <c r="G1298" s="11">
        <v>46136.416666666664</v>
      </c>
      <c r="H1298" s="11"/>
      <c r="I1298" s="10" t="s">
        <v>677</v>
      </c>
      <c r="J1298" s="6" t="s">
        <v>678</v>
      </c>
      <c r="K1298" s="12">
        <v>46121.461168981485</v>
      </c>
      <c r="L1298" s="6" t="e" cm="1">
        <f t="array" ref="L1298">LOOKUP(2^15,SEARCH(Tabela2[Palavras-Chave],Boletim4[[#This Row],[Objeto]],1),Tabela2[Palavras-Chave])</f>
        <v>#N/A</v>
      </c>
    </row>
    <row r="1299" spans="1:12" ht="57.6" hidden="1" x14ac:dyDescent="0.3">
      <c r="A1299" s="5">
        <v>18807161</v>
      </c>
      <c r="B1299" s="6" t="s">
        <v>1809</v>
      </c>
      <c r="C1299" s="6" t="s">
        <v>1810</v>
      </c>
      <c r="D1299" s="8" t="s">
        <v>71</v>
      </c>
      <c r="E1299" s="6" t="s">
        <v>122</v>
      </c>
      <c r="F1299" s="6" t="s">
        <v>85</v>
      </c>
      <c r="G1299" s="11">
        <v>46134.375</v>
      </c>
      <c r="H1299" s="11"/>
      <c r="I1299" s="10" t="s">
        <v>1811</v>
      </c>
      <c r="J1299" s="6" t="s">
        <v>1812</v>
      </c>
      <c r="K1299" s="12">
        <v>46121.482546296298</v>
      </c>
      <c r="L1299" s="6" t="e" cm="1">
        <f t="array" ref="L1299">LOOKUP(2^15,SEARCH(Tabela2[Palavras-Chave],Boletim4[[#This Row],[Objeto]],1),Tabela2[Palavras-Chave])</f>
        <v>#N/A</v>
      </c>
    </row>
    <row r="1300" spans="1:12" ht="115.2" hidden="1" x14ac:dyDescent="0.3">
      <c r="A1300" s="5">
        <v>18808409</v>
      </c>
      <c r="B1300" s="6" t="s">
        <v>1813</v>
      </c>
      <c r="C1300" s="6" t="s">
        <v>133</v>
      </c>
      <c r="D1300" s="8" t="s">
        <v>71</v>
      </c>
      <c r="E1300" s="6" t="s">
        <v>140</v>
      </c>
      <c r="F1300" s="6" t="s">
        <v>85</v>
      </c>
      <c r="G1300" s="11" t="s">
        <v>56</v>
      </c>
      <c r="H1300" s="11"/>
      <c r="I1300" s="10" t="s">
        <v>1814</v>
      </c>
      <c r="J1300" s="6" t="s">
        <v>1815</v>
      </c>
      <c r="K1300" s="12">
        <v>46121.538946759261</v>
      </c>
      <c r="L1300" s="6" t="e" cm="1">
        <f t="array" ref="L1300">LOOKUP(2^15,SEARCH(Tabela2[Palavras-Chave],Boletim4[[#This Row],[Objeto]],1),Tabela2[Palavras-Chave])</f>
        <v>#N/A</v>
      </c>
    </row>
    <row r="1301" spans="1:12" ht="288" hidden="1" x14ac:dyDescent="0.3">
      <c r="A1301" s="5">
        <v>18809450</v>
      </c>
      <c r="B1301" s="6" t="s">
        <v>3154</v>
      </c>
      <c r="C1301" s="6" t="s">
        <v>133</v>
      </c>
      <c r="D1301" s="8" t="s">
        <v>71</v>
      </c>
      <c r="E1301" s="6" t="s">
        <v>679</v>
      </c>
      <c r="F1301" s="6" t="s">
        <v>85</v>
      </c>
      <c r="G1301" s="11">
        <v>46140.4375</v>
      </c>
      <c r="H1301" s="11"/>
      <c r="I1301" s="10" t="s">
        <v>3155</v>
      </c>
      <c r="J1301" s="6" t="s">
        <v>3156</v>
      </c>
      <c r="K1301" s="12">
        <v>46121.600972222222</v>
      </c>
      <c r="L1301" s="6" t="e" cm="1">
        <f t="array" ref="L1301">LOOKUP(2^15,SEARCH(Tabela2[Palavras-Chave],Boletim4[[#This Row],[Objeto]],1),Tabela2[Palavras-Chave])</f>
        <v>#N/A</v>
      </c>
    </row>
    <row r="1302" spans="1:12" ht="100.8" hidden="1" x14ac:dyDescent="0.3">
      <c r="A1302" s="5">
        <v>18809385</v>
      </c>
      <c r="B1302" s="6" t="s">
        <v>1816</v>
      </c>
      <c r="C1302" s="6" t="s">
        <v>1817</v>
      </c>
      <c r="D1302" s="8" t="s">
        <v>71</v>
      </c>
      <c r="E1302" s="6" t="s">
        <v>109</v>
      </c>
      <c r="F1302" s="6" t="s">
        <v>85</v>
      </c>
      <c r="G1302" s="11">
        <v>46134.333333333336</v>
      </c>
      <c r="H1302" s="11"/>
      <c r="I1302" s="10" t="s">
        <v>1818</v>
      </c>
      <c r="J1302" s="6" t="s">
        <v>1819</v>
      </c>
      <c r="K1302" s="12">
        <v>46121.61645833333</v>
      </c>
      <c r="L1302" s="6" t="e" cm="1">
        <f t="array" ref="L1302">LOOKUP(2^15,SEARCH(Tabela2[Palavras-Chave],Boletim4[[#This Row],[Objeto]],1),Tabela2[Palavras-Chave])</f>
        <v>#N/A</v>
      </c>
    </row>
    <row r="1303" spans="1:12" ht="345.6" hidden="1" x14ac:dyDescent="0.3">
      <c r="A1303" s="5">
        <v>18809651</v>
      </c>
      <c r="B1303" s="6" t="s">
        <v>1820</v>
      </c>
      <c r="C1303" s="6" t="s">
        <v>133</v>
      </c>
      <c r="D1303" s="8" t="s">
        <v>71</v>
      </c>
      <c r="E1303" s="6" t="s">
        <v>723</v>
      </c>
      <c r="F1303" s="6" t="s">
        <v>85</v>
      </c>
      <c r="G1303" s="11" t="s">
        <v>56</v>
      </c>
      <c r="H1303" s="11"/>
      <c r="I1303" s="10" t="s">
        <v>1821</v>
      </c>
      <c r="J1303" s="6" t="s">
        <v>1822</v>
      </c>
      <c r="K1303" s="12">
        <v>46121.617743055554</v>
      </c>
      <c r="L1303" s="6" t="e" cm="1">
        <f t="array" ref="L1303">LOOKUP(2^15,SEARCH(Tabela2[Palavras-Chave],Boletim4[[#This Row],[Objeto]],1),Tabela2[Palavras-Chave])</f>
        <v>#N/A</v>
      </c>
    </row>
    <row r="1304" spans="1:12" ht="100.8" hidden="1" x14ac:dyDescent="0.3">
      <c r="A1304" s="5">
        <v>18809553</v>
      </c>
      <c r="B1304" s="6" t="s">
        <v>1823</v>
      </c>
      <c r="C1304" s="6" t="s">
        <v>1824</v>
      </c>
      <c r="D1304" s="8" t="s">
        <v>71</v>
      </c>
      <c r="E1304" s="6" t="s">
        <v>106</v>
      </c>
      <c r="F1304" s="6" t="s">
        <v>85</v>
      </c>
      <c r="G1304" s="11">
        <v>46134.375</v>
      </c>
      <c r="H1304" s="11"/>
      <c r="I1304" s="10" t="s">
        <v>1825</v>
      </c>
      <c r="J1304" s="6" t="s">
        <v>1826</v>
      </c>
      <c r="K1304" s="12">
        <v>46121.704155092593</v>
      </c>
      <c r="L1304" s="6" t="e" cm="1">
        <f t="array" ref="L1304">LOOKUP(2^15,SEARCH(Tabela2[Palavras-Chave],Boletim4[[#This Row],[Objeto]],1),Tabela2[Palavras-Chave])</f>
        <v>#N/A</v>
      </c>
    </row>
    <row r="1305" spans="1:12" ht="57.6" hidden="1" x14ac:dyDescent="0.3">
      <c r="A1305" s="5">
        <v>18807622</v>
      </c>
      <c r="B1305" s="6" t="s">
        <v>2555</v>
      </c>
      <c r="C1305" s="6" t="s">
        <v>2556</v>
      </c>
      <c r="D1305" s="8" t="s">
        <v>71</v>
      </c>
      <c r="E1305" s="6" t="s">
        <v>199</v>
      </c>
      <c r="F1305" s="6" t="s">
        <v>85</v>
      </c>
      <c r="G1305" s="11">
        <v>46135.417361111111</v>
      </c>
      <c r="H1305" s="11"/>
      <c r="I1305" s="10" t="s">
        <v>3157</v>
      </c>
      <c r="J1305" s="6" t="s">
        <v>90</v>
      </c>
      <c r="K1305" s="12">
        <v>46121.722893518519</v>
      </c>
      <c r="L1305" s="6" t="e" cm="1">
        <f t="array" ref="L1305">LOOKUP(2^15,SEARCH(Tabela2[Palavras-Chave],Boletim4[[#This Row],[Objeto]],1),Tabela2[Palavras-Chave])</f>
        <v>#N/A</v>
      </c>
    </row>
    <row r="1306" spans="1:12" ht="86.4" hidden="1" x14ac:dyDescent="0.3">
      <c r="A1306" s="5">
        <v>18809049</v>
      </c>
      <c r="B1306" s="6" t="s">
        <v>1827</v>
      </c>
      <c r="C1306" s="6" t="s">
        <v>1828</v>
      </c>
      <c r="D1306" s="8" t="s">
        <v>71</v>
      </c>
      <c r="E1306" s="6" t="s">
        <v>106</v>
      </c>
      <c r="F1306" s="6" t="s">
        <v>85</v>
      </c>
      <c r="G1306" s="11" t="s">
        <v>56</v>
      </c>
      <c r="H1306" s="11"/>
      <c r="I1306" s="10" t="s">
        <v>1829</v>
      </c>
      <c r="J1306" s="6" t="s">
        <v>1830</v>
      </c>
      <c r="K1306" s="12">
        <v>46121.725057870368</v>
      </c>
      <c r="L1306" s="6" t="e" cm="1">
        <f t="array" ref="L1306">LOOKUP(2^15,SEARCH(Tabela2[Palavras-Chave],Boletim4[[#This Row],[Objeto]],1),Tabela2[Palavras-Chave])</f>
        <v>#N/A</v>
      </c>
    </row>
    <row r="1307" spans="1:12" ht="86.4" hidden="1" x14ac:dyDescent="0.3">
      <c r="A1307" s="5">
        <v>18809157</v>
      </c>
      <c r="B1307" s="6" t="s">
        <v>3158</v>
      </c>
      <c r="C1307" s="6" t="s">
        <v>3159</v>
      </c>
      <c r="D1307" s="8" t="s">
        <v>71</v>
      </c>
      <c r="E1307" s="6" t="s">
        <v>143</v>
      </c>
      <c r="F1307" s="6" t="s">
        <v>85</v>
      </c>
      <c r="G1307" s="11" t="s">
        <v>56</v>
      </c>
      <c r="H1307" s="11"/>
      <c r="I1307" s="10" t="s">
        <v>3160</v>
      </c>
      <c r="J1307" s="6" t="s">
        <v>3161</v>
      </c>
      <c r="K1307" s="12">
        <v>46121.724363425928</v>
      </c>
      <c r="L1307" s="6" t="e" cm="1">
        <f t="array" ref="L1307">LOOKUP(2^15,SEARCH(Tabela2[Palavras-Chave],Boletim4[[#This Row],[Objeto]],1),Tabela2[Palavras-Chave])</f>
        <v>#N/A</v>
      </c>
    </row>
    <row r="1308" spans="1:12" ht="100.8" hidden="1" x14ac:dyDescent="0.3">
      <c r="A1308" s="5">
        <v>18809502</v>
      </c>
      <c r="B1308" s="6" t="s">
        <v>3162</v>
      </c>
      <c r="C1308" s="6" t="s">
        <v>3163</v>
      </c>
      <c r="D1308" s="8" t="s">
        <v>71</v>
      </c>
      <c r="E1308" s="6" t="s">
        <v>108</v>
      </c>
      <c r="F1308" s="6" t="s">
        <v>85</v>
      </c>
      <c r="G1308" s="11">
        <v>46136.333333333336</v>
      </c>
      <c r="H1308" s="11"/>
      <c r="I1308" s="10" t="s">
        <v>3164</v>
      </c>
      <c r="J1308" s="6" t="s">
        <v>3165</v>
      </c>
      <c r="K1308" s="12">
        <v>46121.741319444445</v>
      </c>
      <c r="L1308" s="6" t="e" cm="1">
        <f t="array" ref="L1308">LOOKUP(2^15,SEARCH(Tabela2[Palavras-Chave],Boletim4[[#This Row],[Objeto]],1),Tabela2[Palavras-Chave])</f>
        <v>#N/A</v>
      </c>
    </row>
    <row r="1309" spans="1:12" ht="43.2" hidden="1" x14ac:dyDescent="0.3">
      <c r="A1309" s="5">
        <v>18807154</v>
      </c>
      <c r="B1309" s="6" t="s">
        <v>1809</v>
      </c>
      <c r="C1309" s="6" t="s">
        <v>1810</v>
      </c>
      <c r="D1309" s="8" t="s">
        <v>71</v>
      </c>
      <c r="E1309" s="6" t="s">
        <v>148</v>
      </c>
      <c r="F1309" s="6" t="s">
        <v>85</v>
      </c>
      <c r="G1309" s="11">
        <v>46136.333333333336</v>
      </c>
      <c r="H1309" s="11"/>
      <c r="I1309" s="10" t="s">
        <v>1831</v>
      </c>
      <c r="J1309" s="6" t="s">
        <v>1832</v>
      </c>
      <c r="K1309" s="12">
        <v>46121.742361111108</v>
      </c>
      <c r="L1309" s="6" t="e" cm="1">
        <f t="array" ref="L1309">LOOKUP(2^15,SEARCH(Tabela2[Palavras-Chave],Boletim4[[#This Row],[Objeto]],1),Tabela2[Palavras-Chave])</f>
        <v>#N/A</v>
      </c>
    </row>
    <row r="1310" spans="1:12" ht="187.2" hidden="1" x14ac:dyDescent="0.3">
      <c r="A1310" s="5">
        <v>18810129</v>
      </c>
      <c r="B1310" s="6" t="s">
        <v>3166</v>
      </c>
      <c r="C1310" s="6" t="s">
        <v>3167</v>
      </c>
      <c r="D1310" s="8" t="s">
        <v>71</v>
      </c>
      <c r="E1310" s="6" t="s">
        <v>149</v>
      </c>
      <c r="F1310" s="6" t="s">
        <v>85</v>
      </c>
      <c r="G1310" s="11">
        <v>46146.4375</v>
      </c>
      <c r="H1310" s="11"/>
      <c r="I1310" s="10" t="s">
        <v>3168</v>
      </c>
      <c r="J1310" s="6" t="s">
        <v>3169</v>
      </c>
      <c r="K1310" s="12">
        <v>46121.781261574077</v>
      </c>
      <c r="L1310" s="6" t="e" cm="1">
        <f t="array" ref="L1310">LOOKUP(2^15,SEARCH(Tabela2[Palavras-Chave],Boletim4[[#This Row],[Objeto]],1),Tabela2[Palavras-Chave])</f>
        <v>#N/A</v>
      </c>
    </row>
    <row r="1311" spans="1:12" ht="43.2" hidden="1" x14ac:dyDescent="0.3">
      <c r="A1311" s="5">
        <v>18811439</v>
      </c>
      <c r="B1311" s="6" t="s">
        <v>3170</v>
      </c>
      <c r="C1311" s="6" t="s">
        <v>3171</v>
      </c>
      <c r="D1311" s="8" t="s">
        <v>71</v>
      </c>
      <c r="E1311" s="6" t="s">
        <v>122</v>
      </c>
      <c r="F1311" s="6" t="s">
        <v>85</v>
      </c>
      <c r="G1311" s="11">
        <v>46134.333333333336</v>
      </c>
      <c r="H1311" s="11"/>
      <c r="I1311" s="10" t="s">
        <v>3172</v>
      </c>
      <c r="J1311" s="6" t="s">
        <v>90</v>
      </c>
      <c r="K1311" s="12">
        <v>46121.859583333331</v>
      </c>
      <c r="L1311" s="6" t="e" cm="1">
        <f t="array" ref="L1311">LOOKUP(2^15,SEARCH(Tabela2[Palavras-Chave],Boletim4[[#This Row],[Objeto]],1),Tabela2[Palavras-Chave])</f>
        <v>#N/A</v>
      </c>
    </row>
    <row r="1312" spans="1:12" ht="57.6" hidden="1" x14ac:dyDescent="0.3">
      <c r="A1312" s="5">
        <v>18803991</v>
      </c>
      <c r="B1312" s="6" t="s">
        <v>680</v>
      </c>
      <c r="C1312" s="6" t="s">
        <v>681</v>
      </c>
      <c r="D1312" s="8" t="s">
        <v>72</v>
      </c>
      <c r="E1312" s="6" t="s">
        <v>128</v>
      </c>
      <c r="F1312" s="6" t="s">
        <v>85</v>
      </c>
      <c r="G1312" s="11">
        <v>46135.375</v>
      </c>
      <c r="H1312" s="11"/>
      <c r="I1312" s="10" t="s">
        <v>682</v>
      </c>
      <c r="J1312" s="6" t="s">
        <v>683</v>
      </c>
      <c r="K1312" s="12">
        <v>46121.388321759259</v>
      </c>
      <c r="L1312" s="6" t="e" cm="1">
        <f t="array" ref="L1312">LOOKUP(2^15,SEARCH(Tabela2[Palavras-Chave],Boletim4[[#This Row],[Objeto]],1),Tabela2[Palavras-Chave])</f>
        <v>#N/A</v>
      </c>
    </row>
    <row r="1313" spans="1:12" ht="100.8" hidden="1" x14ac:dyDescent="0.3">
      <c r="A1313" s="5">
        <v>18805219</v>
      </c>
      <c r="B1313" s="6" t="s">
        <v>243</v>
      </c>
      <c r="C1313" s="6" t="s">
        <v>244</v>
      </c>
      <c r="D1313" s="8" t="s">
        <v>72</v>
      </c>
      <c r="E1313" s="6" t="s">
        <v>474</v>
      </c>
      <c r="F1313" s="6" t="s">
        <v>85</v>
      </c>
      <c r="G1313" s="11" t="s">
        <v>56</v>
      </c>
      <c r="H1313" s="11"/>
      <c r="I1313" s="10" t="s">
        <v>475</v>
      </c>
      <c r="J1313" s="6" t="s">
        <v>476</v>
      </c>
      <c r="K1313" s="12">
        <v>46121.388344907406</v>
      </c>
      <c r="L1313" s="6" t="e" cm="1">
        <f t="array" ref="L1313">LOOKUP(2^15,SEARCH(Tabela2[Palavras-Chave],Boletim4[[#This Row],[Objeto]],1),Tabela2[Palavras-Chave])</f>
        <v>#N/A</v>
      </c>
    </row>
    <row r="1314" spans="1:12" ht="57.6" hidden="1" x14ac:dyDescent="0.3">
      <c r="A1314" s="5">
        <v>18804689</v>
      </c>
      <c r="B1314" s="6" t="s">
        <v>684</v>
      </c>
      <c r="C1314" s="6" t="s">
        <v>685</v>
      </c>
      <c r="D1314" s="8" t="s">
        <v>72</v>
      </c>
      <c r="E1314" s="6" t="s">
        <v>113</v>
      </c>
      <c r="F1314" s="6" t="s">
        <v>85</v>
      </c>
      <c r="G1314" s="11">
        <v>46141.375694444447</v>
      </c>
      <c r="H1314" s="11"/>
      <c r="I1314" s="10" t="s">
        <v>686</v>
      </c>
      <c r="J1314" s="6" t="s">
        <v>90</v>
      </c>
      <c r="K1314" s="12">
        <v>46121.389050925929</v>
      </c>
      <c r="L1314" s="6" t="e" cm="1">
        <f t="array" ref="L1314">LOOKUP(2^15,SEARCH(Tabela2[Palavras-Chave],Boletim4[[#This Row],[Objeto]],1),Tabela2[Palavras-Chave])</f>
        <v>#N/A</v>
      </c>
    </row>
    <row r="1315" spans="1:12" ht="144" hidden="1" x14ac:dyDescent="0.3">
      <c r="A1315" s="5">
        <v>18807358</v>
      </c>
      <c r="B1315" s="6" t="s">
        <v>156</v>
      </c>
      <c r="C1315" s="6" t="s">
        <v>73</v>
      </c>
      <c r="D1315" s="8" t="s">
        <v>72</v>
      </c>
      <c r="E1315" s="6" t="s">
        <v>3173</v>
      </c>
      <c r="F1315" s="6" t="s">
        <v>85</v>
      </c>
      <c r="G1315" s="11">
        <v>46153.416666666664</v>
      </c>
      <c r="H1315" s="11"/>
      <c r="I1315" s="10" t="s">
        <v>3174</v>
      </c>
      <c r="J1315" s="6" t="s">
        <v>3175</v>
      </c>
      <c r="K1315" s="12">
        <v>46121.437372685185</v>
      </c>
      <c r="L1315" s="6" t="e" cm="1">
        <f t="array" ref="L1315">LOOKUP(2^15,SEARCH(Tabela2[Palavras-Chave],Boletim4[[#This Row],[Objeto]],1),Tabela2[Palavras-Chave])</f>
        <v>#N/A</v>
      </c>
    </row>
    <row r="1316" spans="1:12" ht="144" hidden="1" x14ac:dyDescent="0.3">
      <c r="A1316" s="5">
        <v>18807350</v>
      </c>
      <c r="B1316" s="6" t="s">
        <v>156</v>
      </c>
      <c r="C1316" s="6" t="s">
        <v>73</v>
      </c>
      <c r="D1316" s="8" t="s">
        <v>72</v>
      </c>
      <c r="E1316" s="6" t="s">
        <v>3176</v>
      </c>
      <c r="F1316" s="6" t="s">
        <v>85</v>
      </c>
      <c r="G1316" s="11">
        <v>46149.416666666664</v>
      </c>
      <c r="H1316" s="11"/>
      <c r="I1316" s="10" t="s">
        <v>3177</v>
      </c>
      <c r="J1316" s="6" t="s">
        <v>3178</v>
      </c>
      <c r="K1316" s="12">
        <v>46121.4377662037</v>
      </c>
      <c r="L1316" s="6" t="e" cm="1">
        <f t="array" ref="L1316">LOOKUP(2^15,SEARCH(Tabela2[Palavras-Chave],Boletim4[[#This Row],[Objeto]],1),Tabela2[Palavras-Chave])</f>
        <v>#N/A</v>
      </c>
    </row>
    <row r="1317" spans="1:12" ht="86.4" hidden="1" x14ac:dyDescent="0.3">
      <c r="A1317" s="5">
        <v>18807348</v>
      </c>
      <c r="B1317" s="6" t="s">
        <v>156</v>
      </c>
      <c r="C1317" s="6" t="s">
        <v>73</v>
      </c>
      <c r="D1317" s="8" t="s">
        <v>72</v>
      </c>
      <c r="E1317" s="6" t="s">
        <v>1833</v>
      </c>
      <c r="F1317" s="6" t="s">
        <v>85</v>
      </c>
      <c r="G1317" s="11">
        <v>46139.375</v>
      </c>
      <c r="H1317" s="11"/>
      <c r="I1317" s="10" t="s">
        <v>1834</v>
      </c>
      <c r="J1317" s="6" t="s">
        <v>1835</v>
      </c>
      <c r="K1317" s="12">
        <v>46121.4378125</v>
      </c>
      <c r="L1317" s="6" t="e" cm="1">
        <f t="array" ref="L1317">LOOKUP(2^15,SEARCH(Tabela2[Palavras-Chave],Boletim4[[#This Row],[Objeto]],1),Tabela2[Palavras-Chave])</f>
        <v>#N/A</v>
      </c>
    </row>
    <row r="1318" spans="1:12" ht="100.8" hidden="1" x14ac:dyDescent="0.3">
      <c r="A1318" s="5">
        <v>18807452</v>
      </c>
      <c r="B1318" s="6" t="s">
        <v>74</v>
      </c>
      <c r="C1318" s="6" t="s">
        <v>73</v>
      </c>
      <c r="D1318" s="8" t="s">
        <v>72</v>
      </c>
      <c r="E1318" s="6" t="s">
        <v>1319</v>
      </c>
      <c r="F1318" s="6" t="s">
        <v>85</v>
      </c>
      <c r="G1318" s="11" t="s">
        <v>56</v>
      </c>
      <c r="H1318" s="11"/>
      <c r="I1318" s="10" t="s">
        <v>1320</v>
      </c>
      <c r="J1318" s="6" t="s">
        <v>1321</v>
      </c>
      <c r="K1318" s="12">
        <v>46121.44730324074</v>
      </c>
      <c r="L1318" s="6" t="e" cm="1">
        <f t="array" ref="L1318">LOOKUP(2^15,SEARCH(Tabela2[Palavras-Chave],Boletim4[[#This Row],[Objeto]],1),Tabela2[Palavras-Chave])</f>
        <v>#N/A</v>
      </c>
    </row>
    <row r="1319" spans="1:12" ht="100.8" hidden="1" x14ac:dyDescent="0.3">
      <c r="A1319" s="5">
        <v>18807581</v>
      </c>
      <c r="B1319" s="6" t="s">
        <v>74</v>
      </c>
      <c r="C1319" s="6" t="s">
        <v>73</v>
      </c>
      <c r="D1319" s="8" t="s">
        <v>72</v>
      </c>
      <c r="E1319" s="6" t="s">
        <v>2972</v>
      </c>
      <c r="F1319" s="6" t="s">
        <v>85</v>
      </c>
      <c r="G1319" s="11" t="s">
        <v>56</v>
      </c>
      <c r="H1319" s="11"/>
      <c r="I1319" s="10" t="s">
        <v>2973</v>
      </c>
      <c r="J1319" s="6" t="s">
        <v>1321</v>
      </c>
      <c r="K1319" s="12">
        <v>46121.45008101852</v>
      </c>
      <c r="L1319" s="6" t="e" cm="1">
        <f t="array" ref="L1319">LOOKUP(2^15,SEARCH(Tabela2[Palavras-Chave],Boletim4[[#This Row],[Objeto]],1),Tabela2[Palavras-Chave])</f>
        <v>#N/A</v>
      </c>
    </row>
    <row r="1320" spans="1:12" ht="86.4" hidden="1" x14ac:dyDescent="0.3">
      <c r="A1320" s="5">
        <v>18807349</v>
      </c>
      <c r="B1320" s="6" t="s">
        <v>156</v>
      </c>
      <c r="C1320" s="6" t="s">
        <v>73</v>
      </c>
      <c r="D1320" s="8" t="s">
        <v>72</v>
      </c>
      <c r="E1320" s="6" t="s">
        <v>3179</v>
      </c>
      <c r="F1320" s="6" t="s">
        <v>85</v>
      </c>
      <c r="G1320" s="11">
        <v>46139.375</v>
      </c>
      <c r="H1320" s="11"/>
      <c r="I1320" s="10" t="s">
        <v>3180</v>
      </c>
      <c r="J1320" s="6" t="s">
        <v>1835</v>
      </c>
      <c r="K1320" s="12">
        <v>46121.453703703701</v>
      </c>
      <c r="L1320" s="6" t="e" cm="1">
        <f t="array" ref="L1320">LOOKUP(2^15,SEARCH(Tabela2[Palavras-Chave],Boletim4[[#This Row],[Objeto]],1),Tabela2[Palavras-Chave])</f>
        <v>#N/A</v>
      </c>
    </row>
    <row r="1321" spans="1:12" ht="86.4" hidden="1" x14ac:dyDescent="0.3">
      <c r="A1321" s="5">
        <v>18806914</v>
      </c>
      <c r="B1321" s="6" t="s">
        <v>1836</v>
      </c>
      <c r="C1321" s="6" t="s">
        <v>73</v>
      </c>
      <c r="D1321" s="8" t="s">
        <v>72</v>
      </c>
      <c r="E1321" s="6" t="s">
        <v>148</v>
      </c>
      <c r="F1321" s="6" t="s">
        <v>85</v>
      </c>
      <c r="G1321" s="11" t="s">
        <v>56</v>
      </c>
      <c r="H1321" s="11"/>
      <c r="I1321" s="10" t="s">
        <v>1837</v>
      </c>
      <c r="J1321" s="6" t="s">
        <v>1838</v>
      </c>
      <c r="K1321" s="12">
        <v>46121.454305555555</v>
      </c>
      <c r="L1321" s="6" t="e" cm="1">
        <f t="array" ref="L1321">LOOKUP(2^15,SEARCH(Tabela2[Palavras-Chave],Boletim4[[#This Row],[Objeto]],1),Tabela2[Palavras-Chave])</f>
        <v>#N/A</v>
      </c>
    </row>
    <row r="1322" spans="1:12" ht="72" hidden="1" x14ac:dyDescent="0.3">
      <c r="A1322" s="5">
        <v>18807377</v>
      </c>
      <c r="B1322" s="6" t="s">
        <v>74</v>
      </c>
      <c r="C1322" s="6" t="s">
        <v>73</v>
      </c>
      <c r="D1322" s="8" t="s">
        <v>72</v>
      </c>
      <c r="E1322" s="6" t="s">
        <v>1839</v>
      </c>
      <c r="F1322" s="6" t="s">
        <v>85</v>
      </c>
      <c r="G1322" s="11" t="s">
        <v>56</v>
      </c>
      <c r="H1322" s="11"/>
      <c r="I1322" s="10" t="s">
        <v>1840</v>
      </c>
      <c r="J1322" s="6" t="s">
        <v>1841</v>
      </c>
      <c r="K1322" s="12">
        <v>46121.472303240742</v>
      </c>
      <c r="L1322" s="6" t="e" cm="1">
        <f t="array" ref="L1322">LOOKUP(2^15,SEARCH(Tabela2[Palavras-Chave],Boletim4[[#This Row],[Objeto]],1),Tabela2[Palavras-Chave])</f>
        <v>#N/A</v>
      </c>
    </row>
    <row r="1323" spans="1:12" ht="72" hidden="1" x14ac:dyDescent="0.3">
      <c r="A1323" s="5">
        <v>18808113</v>
      </c>
      <c r="B1323" s="6" t="s">
        <v>3181</v>
      </c>
      <c r="C1323" s="6" t="s">
        <v>3182</v>
      </c>
      <c r="D1323" s="8" t="s">
        <v>72</v>
      </c>
      <c r="E1323" s="6" t="s">
        <v>116</v>
      </c>
      <c r="F1323" s="6" t="s">
        <v>85</v>
      </c>
      <c r="G1323" s="11">
        <v>46125.999305555553</v>
      </c>
      <c r="H1323" s="11"/>
      <c r="I1323" s="10" t="s">
        <v>3183</v>
      </c>
      <c r="J1323" s="6" t="s">
        <v>3184</v>
      </c>
      <c r="K1323" s="12">
        <v>46121.532025462962</v>
      </c>
      <c r="L1323" s="6" t="e" cm="1">
        <f t="array" ref="L1323">LOOKUP(2^15,SEARCH(Tabela2[Palavras-Chave],Boletim4[[#This Row],[Objeto]],1),Tabela2[Palavras-Chave])</f>
        <v>#N/A</v>
      </c>
    </row>
    <row r="1324" spans="1:12" ht="129.6" hidden="1" x14ac:dyDescent="0.3">
      <c r="A1324" s="5">
        <v>18808548</v>
      </c>
      <c r="B1324" s="6" t="s">
        <v>1842</v>
      </c>
      <c r="C1324" s="6" t="s">
        <v>1843</v>
      </c>
      <c r="D1324" s="8" t="s">
        <v>72</v>
      </c>
      <c r="E1324" s="6" t="s">
        <v>209</v>
      </c>
      <c r="F1324" s="6" t="s">
        <v>85</v>
      </c>
      <c r="G1324" s="11" t="s">
        <v>56</v>
      </c>
      <c r="H1324" s="11"/>
      <c r="I1324" s="10" t="s">
        <v>1844</v>
      </c>
      <c r="J1324" s="6" t="s">
        <v>1845</v>
      </c>
      <c r="K1324" s="12">
        <v>46121.54415509259</v>
      </c>
      <c r="L1324" s="6" t="e" cm="1">
        <f t="array" ref="L1324">LOOKUP(2^15,SEARCH(Tabela2[Palavras-Chave],Boletim4[[#This Row],[Objeto]],1),Tabela2[Palavras-Chave])</f>
        <v>#N/A</v>
      </c>
    </row>
    <row r="1325" spans="1:12" ht="115.2" hidden="1" x14ac:dyDescent="0.3">
      <c r="A1325" s="5">
        <v>18790976</v>
      </c>
      <c r="B1325" s="6" t="s">
        <v>386</v>
      </c>
      <c r="C1325" s="6" t="s">
        <v>387</v>
      </c>
      <c r="D1325" s="8" t="s">
        <v>72</v>
      </c>
      <c r="E1325" s="6" t="s">
        <v>126</v>
      </c>
      <c r="F1325" s="6" t="s">
        <v>85</v>
      </c>
      <c r="G1325" s="11">
        <v>46129.375</v>
      </c>
      <c r="H1325" s="11"/>
      <c r="I1325" s="10" t="s">
        <v>388</v>
      </c>
      <c r="J1325" s="6" t="s">
        <v>389</v>
      </c>
      <c r="K1325" s="12">
        <v>46121.566435185188</v>
      </c>
      <c r="L1325" s="6" t="e" cm="1">
        <f t="array" ref="L1325">LOOKUP(2^15,SEARCH(Tabela2[Palavras-Chave],Boletim4[[#This Row],[Objeto]],1),Tabela2[Palavras-Chave])</f>
        <v>#N/A</v>
      </c>
    </row>
    <row r="1326" spans="1:12" ht="100.8" hidden="1" x14ac:dyDescent="0.3">
      <c r="A1326" s="5">
        <v>18809068</v>
      </c>
      <c r="B1326" s="6" t="s">
        <v>1846</v>
      </c>
      <c r="C1326" s="6" t="s">
        <v>1847</v>
      </c>
      <c r="D1326" s="8" t="s">
        <v>72</v>
      </c>
      <c r="E1326" s="6" t="s">
        <v>142</v>
      </c>
      <c r="F1326" s="6" t="s">
        <v>85</v>
      </c>
      <c r="G1326" s="11" t="s">
        <v>56</v>
      </c>
      <c r="H1326" s="11"/>
      <c r="I1326" s="10" t="s">
        <v>1848</v>
      </c>
      <c r="J1326" s="6" t="s">
        <v>1849</v>
      </c>
      <c r="K1326" s="12">
        <v>46121.585995370369</v>
      </c>
      <c r="L1326" s="6" t="e" cm="1">
        <f t="array" ref="L1326">LOOKUP(2^15,SEARCH(Tabela2[Palavras-Chave],Boletim4[[#This Row],[Objeto]],1),Tabela2[Palavras-Chave])</f>
        <v>#N/A</v>
      </c>
    </row>
    <row r="1327" spans="1:12" ht="259.2" hidden="1" x14ac:dyDescent="0.3">
      <c r="A1327" s="5">
        <v>18809256</v>
      </c>
      <c r="B1327" s="6" t="s">
        <v>1850</v>
      </c>
      <c r="C1327" s="6" t="s">
        <v>1851</v>
      </c>
      <c r="D1327" s="8" t="s">
        <v>72</v>
      </c>
      <c r="E1327" s="6" t="s">
        <v>142</v>
      </c>
      <c r="F1327" s="6" t="s">
        <v>85</v>
      </c>
      <c r="G1327" s="11" t="s">
        <v>56</v>
      </c>
      <c r="H1327" s="11"/>
      <c r="I1327" s="10" t="s">
        <v>1852</v>
      </c>
      <c r="J1327" s="6" t="s">
        <v>1853</v>
      </c>
      <c r="K1327" s="12">
        <v>46121.595879629633</v>
      </c>
      <c r="L1327" s="6" t="e" cm="1">
        <f t="array" ref="L1327">LOOKUP(2^15,SEARCH(Tabela2[Palavras-Chave],Boletim4[[#This Row],[Objeto]],1),Tabela2[Palavras-Chave])</f>
        <v>#N/A</v>
      </c>
    </row>
    <row r="1328" spans="1:12" ht="244.8" x14ac:dyDescent="0.3">
      <c r="A1328" s="5">
        <v>18809240</v>
      </c>
      <c r="B1328" s="6" t="s">
        <v>1854</v>
      </c>
      <c r="C1328" s="6" t="s">
        <v>1855</v>
      </c>
      <c r="D1328" s="8" t="s">
        <v>72</v>
      </c>
      <c r="E1328" s="6" t="s">
        <v>126</v>
      </c>
      <c r="F1328" s="6" t="s">
        <v>85</v>
      </c>
      <c r="G1328" s="11" t="s">
        <v>56</v>
      </c>
      <c r="H1328" s="11"/>
      <c r="I1328" s="10" t="s">
        <v>1856</v>
      </c>
      <c r="J1328" s="6" t="s">
        <v>1857</v>
      </c>
      <c r="K1328" s="12">
        <v>46121.599768518521</v>
      </c>
      <c r="L1328" s="6" t="str" cm="1">
        <f t="array" ref="L1328">LOOKUP(2^15,SEARCH(Tabela2[Palavras-Chave],Boletim4[[#This Row],[Objeto]],1),Tabela2[Palavras-Chave])</f>
        <v>BOMBEAMENTO</v>
      </c>
    </row>
    <row r="1329" spans="1:12" ht="115.2" hidden="1" x14ac:dyDescent="0.3">
      <c r="A1329" s="5">
        <v>18808352</v>
      </c>
      <c r="B1329" s="6" t="s">
        <v>1858</v>
      </c>
      <c r="C1329" s="6" t="s">
        <v>223</v>
      </c>
      <c r="D1329" s="8" t="s">
        <v>72</v>
      </c>
      <c r="E1329" s="6" t="s">
        <v>1859</v>
      </c>
      <c r="F1329" s="6" t="s">
        <v>85</v>
      </c>
      <c r="G1329" s="11" t="s">
        <v>56</v>
      </c>
      <c r="H1329" s="11"/>
      <c r="I1329" s="10" t="s">
        <v>1860</v>
      </c>
      <c r="J1329" s="6" t="s">
        <v>1861</v>
      </c>
      <c r="K1329" s="12">
        <v>46121.61482638889</v>
      </c>
      <c r="L1329" s="6" t="e" cm="1">
        <f t="array" ref="L1329">LOOKUP(2^15,SEARCH(Tabela2[Palavras-Chave],Boletim4[[#This Row],[Objeto]],1),Tabela2[Palavras-Chave])</f>
        <v>#N/A</v>
      </c>
    </row>
    <row r="1330" spans="1:12" ht="57.6" x14ac:dyDescent="0.3">
      <c r="A1330" s="5">
        <v>18809097</v>
      </c>
      <c r="B1330" s="6" t="s">
        <v>1862</v>
      </c>
      <c r="C1330" s="6" t="s">
        <v>387</v>
      </c>
      <c r="D1330" s="8" t="s">
        <v>72</v>
      </c>
      <c r="E1330" s="6" t="s">
        <v>122</v>
      </c>
      <c r="F1330" s="6" t="s">
        <v>85</v>
      </c>
      <c r="G1330" s="11">
        <v>46136.375</v>
      </c>
      <c r="H1330" s="11"/>
      <c r="I1330" s="10" t="s">
        <v>1863</v>
      </c>
      <c r="J1330" s="6" t="s">
        <v>1864</v>
      </c>
      <c r="K1330" s="12">
        <v>46121.616064814814</v>
      </c>
      <c r="L1330" s="6" t="str" cm="1">
        <f t="array" ref="L1330">LOOKUP(2^15,SEARCH(Tabela2[Palavras-Chave],Boletim4[[#This Row],[Objeto]],1),Tabela2[Palavras-Chave])</f>
        <v>ELEVATÓRIA</v>
      </c>
    </row>
    <row r="1331" spans="1:12" ht="86.4" hidden="1" x14ac:dyDescent="0.3">
      <c r="A1331" s="5">
        <v>18809683</v>
      </c>
      <c r="B1331" s="6" t="s">
        <v>471</v>
      </c>
      <c r="C1331" s="6" t="s">
        <v>472</v>
      </c>
      <c r="D1331" s="8" t="s">
        <v>72</v>
      </c>
      <c r="E1331" s="6" t="s">
        <v>106</v>
      </c>
      <c r="F1331" s="6" t="s">
        <v>85</v>
      </c>
      <c r="G1331" s="11">
        <v>46139.354166666664</v>
      </c>
      <c r="H1331" s="11"/>
      <c r="I1331" s="10" t="s">
        <v>3185</v>
      </c>
      <c r="J1331" s="6" t="s">
        <v>3186</v>
      </c>
      <c r="K1331" s="12">
        <v>46121.623645833337</v>
      </c>
      <c r="L1331" s="6" t="e" cm="1">
        <f t="array" ref="L1331">LOOKUP(2^15,SEARCH(Tabela2[Palavras-Chave],Boletim4[[#This Row],[Objeto]],1),Tabela2[Palavras-Chave])</f>
        <v>#N/A</v>
      </c>
    </row>
    <row r="1332" spans="1:12" ht="144" hidden="1" x14ac:dyDescent="0.3">
      <c r="A1332" s="5">
        <v>18809787</v>
      </c>
      <c r="B1332" s="6" t="s">
        <v>156</v>
      </c>
      <c r="C1332" s="6" t="s">
        <v>73</v>
      </c>
      <c r="D1332" s="8" t="s">
        <v>72</v>
      </c>
      <c r="E1332" s="6" t="s">
        <v>3187</v>
      </c>
      <c r="F1332" s="6" t="s">
        <v>85</v>
      </c>
      <c r="G1332" s="11">
        <v>46197.416666666664</v>
      </c>
      <c r="H1332" s="11"/>
      <c r="I1332" s="10" t="s">
        <v>3188</v>
      </c>
      <c r="J1332" s="6" t="s">
        <v>3189</v>
      </c>
      <c r="K1332" s="12">
        <v>46121.638124999998</v>
      </c>
      <c r="L1332" s="6" t="e" cm="1">
        <f t="array" ref="L1332">LOOKUP(2^15,SEARCH(Tabela2[Palavras-Chave],Boletim4[[#This Row],[Objeto]],1),Tabela2[Palavras-Chave])</f>
        <v>#N/A</v>
      </c>
    </row>
    <row r="1333" spans="1:12" ht="316.8" hidden="1" x14ac:dyDescent="0.3">
      <c r="A1333" s="5">
        <v>18809234</v>
      </c>
      <c r="B1333" s="6" t="s">
        <v>1865</v>
      </c>
      <c r="C1333" s="6" t="s">
        <v>1866</v>
      </c>
      <c r="D1333" s="8" t="s">
        <v>72</v>
      </c>
      <c r="E1333" s="6" t="s">
        <v>498</v>
      </c>
      <c r="F1333" s="6" t="s">
        <v>85</v>
      </c>
      <c r="G1333" s="11" t="s">
        <v>56</v>
      </c>
      <c r="H1333" s="11"/>
      <c r="I1333" s="10" t="s">
        <v>1867</v>
      </c>
      <c r="J1333" s="6" t="s">
        <v>1868</v>
      </c>
      <c r="K1333" s="12">
        <v>46121.639965277776</v>
      </c>
      <c r="L1333" s="6" t="e" cm="1">
        <f t="array" ref="L1333">LOOKUP(2^15,SEARCH(Tabela2[Palavras-Chave],Boletim4[[#This Row],[Objeto]],1),Tabela2[Palavras-Chave])</f>
        <v>#N/A</v>
      </c>
    </row>
    <row r="1334" spans="1:12" ht="158.4" hidden="1" x14ac:dyDescent="0.3">
      <c r="A1334" s="5">
        <v>18808366</v>
      </c>
      <c r="B1334" s="6" t="s">
        <v>1869</v>
      </c>
      <c r="C1334" s="6" t="s">
        <v>1870</v>
      </c>
      <c r="D1334" s="8" t="s">
        <v>72</v>
      </c>
      <c r="E1334" s="6" t="s">
        <v>242</v>
      </c>
      <c r="F1334" s="6" t="s">
        <v>85</v>
      </c>
      <c r="G1334" s="11" t="s">
        <v>56</v>
      </c>
      <c r="H1334" s="11"/>
      <c r="I1334" s="10" t="s">
        <v>1871</v>
      </c>
      <c r="J1334" s="6" t="s">
        <v>1872</v>
      </c>
      <c r="K1334" s="12">
        <v>46121.657997685186</v>
      </c>
      <c r="L1334" s="6" t="e" cm="1">
        <f t="array" ref="L1334">LOOKUP(2^15,SEARCH(Tabela2[Palavras-Chave],Boletim4[[#This Row],[Objeto]],1),Tabela2[Palavras-Chave])</f>
        <v>#N/A</v>
      </c>
    </row>
    <row r="1335" spans="1:12" ht="273.60000000000002" hidden="1" x14ac:dyDescent="0.3">
      <c r="A1335" s="5">
        <v>18808310</v>
      </c>
      <c r="B1335" s="6" t="s">
        <v>1873</v>
      </c>
      <c r="C1335" s="6" t="s">
        <v>1874</v>
      </c>
      <c r="D1335" s="8" t="s">
        <v>72</v>
      </c>
      <c r="E1335" s="6" t="s">
        <v>108</v>
      </c>
      <c r="F1335" s="6" t="s">
        <v>85</v>
      </c>
      <c r="G1335" s="11" t="s">
        <v>56</v>
      </c>
      <c r="H1335" s="11"/>
      <c r="I1335" s="10" t="s">
        <v>1875</v>
      </c>
      <c r="J1335" s="6" t="s">
        <v>1876</v>
      </c>
      <c r="K1335" s="12">
        <v>46121.661203703705</v>
      </c>
      <c r="L1335" s="6" t="e" cm="1">
        <f t="array" ref="L1335">LOOKUP(2^15,SEARCH(Tabela2[Palavras-Chave],Boletim4[[#This Row],[Objeto]],1),Tabela2[Palavras-Chave])</f>
        <v>#N/A</v>
      </c>
    </row>
    <row r="1336" spans="1:12" ht="28.8" hidden="1" x14ac:dyDescent="0.3">
      <c r="A1336" s="5">
        <v>18808763</v>
      </c>
      <c r="B1336" s="6" t="s">
        <v>3190</v>
      </c>
      <c r="C1336" s="6" t="s">
        <v>3191</v>
      </c>
      <c r="D1336" s="8" t="s">
        <v>72</v>
      </c>
      <c r="E1336" s="6" t="s">
        <v>105</v>
      </c>
      <c r="F1336" s="6" t="s">
        <v>85</v>
      </c>
      <c r="G1336" s="11">
        <v>46127.333333333336</v>
      </c>
      <c r="H1336" s="11"/>
      <c r="I1336" s="10" t="s">
        <v>3192</v>
      </c>
      <c r="J1336" s="6" t="s">
        <v>3193</v>
      </c>
      <c r="K1336" s="12">
        <v>46121.679525462961</v>
      </c>
      <c r="L1336" s="6" t="e" cm="1">
        <f t="array" ref="L1336">LOOKUP(2^15,SEARCH(Tabela2[Palavras-Chave],Boletim4[[#This Row],[Objeto]],1),Tabela2[Palavras-Chave])</f>
        <v>#N/A</v>
      </c>
    </row>
    <row r="1337" spans="1:12" ht="244.8" hidden="1" x14ac:dyDescent="0.3">
      <c r="A1337" s="5">
        <v>18810352</v>
      </c>
      <c r="B1337" s="6" t="s">
        <v>469</v>
      </c>
      <c r="C1337" s="6" t="s">
        <v>470</v>
      </c>
      <c r="D1337" s="8" t="s">
        <v>72</v>
      </c>
      <c r="E1337" s="6" t="s">
        <v>148</v>
      </c>
      <c r="F1337" s="6" t="s">
        <v>85</v>
      </c>
      <c r="G1337" s="11" t="s">
        <v>56</v>
      </c>
      <c r="H1337" s="11"/>
      <c r="I1337" s="10" t="s">
        <v>1877</v>
      </c>
      <c r="J1337" s="6" t="s">
        <v>1878</v>
      </c>
      <c r="K1337" s="12">
        <v>46121.79451388889</v>
      </c>
      <c r="L1337" s="6" t="e" cm="1">
        <f t="array" ref="L1337">LOOKUP(2^15,SEARCH(Tabela2[Palavras-Chave],Boletim4[[#This Row],[Objeto]],1),Tabela2[Palavras-Chave])</f>
        <v>#N/A</v>
      </c>
    </row>
    <row r="1338" spans="1:12" ht="86.4" hidden="1" x14ac:dyDescent="0.3">
      <c r="A1338" s="5">
        <v>18809703</v>
      </c>
      <c r="B1338" s="6" t="s">
        <v>471</v>
      </c>
      <c r="C1338" s="6" t="s">
        <v>472</v>
      </c>
      <c r="D1338" s="8" t="s">
        <v>72</v>
      </c>
      <c r="E1338" s="6" t="s">
        <v>107</v>
      </c>
      <c r="F1338" s="6" t="s">
        <v>85</v>
      </c>
      <c r="G1338" s="11">
        <v>46146.354861111111</v>
      </c>
      <c r="H1338" s="11"/>
      <c r="I1338" s="10" t="s">
        <v>3194</v>
      </c>
      <c r="J1338" s="6" t="s">
        <v>3195</v>
      </c>
      <c r="K1338" s="12">
        <v>46121.732187499998</v>
      </c>
      <c r="L1338" s="6" t="e" cm="1">
        <f t="array" ref="L1338">LOOKUP(2^15,SEARCH(Tabela2[Palavras-Chave],Boletim4[[#This Row],[Objeto]],1),Tabela2[Palavras-Chave])</f>
        <v>#N/A</v>
      </c>
    </row>
    <row r="1339" spans="1:12" ht="72" hidden="1" x14ac:dyDescent="0.3">
      <c r="A1339" s="5">
        <v>18809634</v>
      </c>
      <c r="B1339" s="6" t="s">
        <v>306</v>
      </c>
      <c r="C1339" s="6" t="s">
        <v>223</v>
      </c>
      <c r="D1339" s="8" t="s">
        <v>72</v>
      </c>
      <c r="E1339" s="6" t="s">
        <v>1879</v>
      </c>
      <c r="F1339" s="6" t="s">
        <v>85</v>
      </c>
      <c r="G1339" s="11" t="s">
        <v>56</v>
      </c>
      <c r="H1339" s="11"/>
      <c r="I1339" s="10" t="s">
        <v>1880</v>
      </c>
      <c r="J1339" s="6" t="s">
        <v>1881</v>
      </c>
      <c r="K1339" s="12">
        <v>46121.734837962962</v>
      </c>
      <c r="L1339" s="6" t="e" cm="1">
        <f t="array" ref="L1339">LOOKUP(2^15,SEARCH(Tabela2[Palavras-Chave],Boletim4[[#This Row],[Objeto]],1),Tabela2[Palavras-Chave])</f>
        <v>#N/A</v>
      </c>
    </row>
    <row r="1340" spans="1:12" ht="259.2" hidden="1" x14ac:dyDescent="0.3">
      <c r="A1340" s="5">
        <v>18810327</v>
      </c>
      <c r="B1340" s="6" t="s">
        <v>1882</v>
      </c>
      <c r="C1340" s="6" t="s">
        <v>1883</v>
      </c>
      <c r="D1340" s="8" t="s">
        <v>72</v>
      </c>
      <c r="E1340" s="6" t="s">
        <v>135</v>
      </c>
      <c r="F1340" s="6" t="s">
        <v>85</v>
      </c>
      <c r="G1340" s="11" t="s">
        <v>56</v>
      </c>
      <c r="H1340" s="11"/>
      <c r="I1340" s="10" t="s">
        <v>1884</v>
      </c>
      <c r="J1340" s="6" t="s">
        <v>1885</v>
      </c>
      <c r="K1340" s="12">
        <v>46121.74496527778</v>
      </c>
      <c r="L1340" s="6" t="e" cm="1">
        <f t="array" ref="L1340">LOOKUP(2^15,SEARCH(Tabela2[Palavras-Chave],Boletim4[[#This Row],[Objeto]],1),Tabela2[Palavras-Chave])</f>
        <v>#N/A</v>
      </c>
    </row>
    <row r="1341" spans="1:12" ht="144" hidden="1" x14ac:dyDescent="0.3">
      <c r="A1341" s="5">
        <v>18809784</v>
      </c>
      <c r="B1341" s="6" t="s">
        <v>156</v>
      </c>
      <c r="C1341" s="6" t="s">
        <v>73</v>
      </c>
      <c r="D1341" s="8" t="s">
        <v>72</v>
      </c>
      <c r="E1341" s="6" t="s">
        <v>3196</v>
      </c>
      <c r="F1341" s="6" t="s">
        <v>85</v>
      </c>
      <c r="G1341" s="11">
        <v>46196.458333333336</v>
      </c>
      <c r="H1341" s="11"/>
      <c r="I1341" s="10" t="s">
        <v>3197</v>
      </c>
      <c r="J1341" s="6" t="s">
        <v>3198</v>
      </c>
      <c r="K1341" s="12">
        <v>46121.745567129627</v>
      </c>
      <c r="L1341" s="6" t="e" cm="1">
        <f t="array" ref="L1341">LOOKUP(2^15,SEARCH(Tabela2[Palavras-Chave],Boletim4[[#This Row],[Objeto]],1),Tabela2[Palavras-Chave])</f>
        <v>#N/A</v>
      </c>
    </row>
    <row r="1342" spans="1:12" ht="144" hidden="1" x14ac:dyDescent="0.3">
      <c r="A1342" s="5">
        <v>18807347</v>
      </c>
      <c r="B1342" s="6" t="s">
        <v>156</v>
      </c>
      <c r="C1342" s="6" t="s">
        <v>73</v>
      </c>
      <c r="D1342" s="8" t="s">
        <v>72</v>
      </c>
      <c r="E1342" s="6" t="s">
        <v>3199</v>
      </c>
      <c r="F1342" s="6" t="s">
        <v>85</v>
      </c>
      <c r="G1342" s="11">
        <v>46155.458333333336</v>
      </c>
      <c r="H1342" s="11"/>
      <c r="I1342" s="10" t="s">
        <v>3200</v>
      </c>
      <c r="J1342" s="6" t="s">
        <v>3201</v>
      </c>
      <c r="K1342" s="12">
        <v>46121.745636574073</v>
      </c>
      <c r="L1342" s="6" t="e" cm="1">
        <f t="array" ref="L1342">LOOKUP(2^15,SEARCH(Tabela2[Palavras-Chave],Boletim4[[#This Row],[Objeto]],1),Tabela2[Palavras-Chave])</f>
        <v>#N/A</v>
      </c>
    </row>
    <row r="1343" spans="1:12" ht="115.2" hidden="1" x14ac:dyDescent="0.3">
      <c r="A1343" s="5">
        <v>18808302</v>
      </c>
      <c r="B1343" s="6" t="s">
        <v>1886</v>
      </c>
      <c r="C1343" s="6" t="s">
        <v>1887</v>
      </c>
      <c r="D1343" s="8" t="s">
        <v>72</v>
      </c>
      <c r="E1343" s="6" t="s">
        <v>483</v>
      </c>
      <c r="F1343" s="6" t="s">
        <v>85</v>
      </c>
      <c r="G1343" s="11" t="s">
        <v>56</v>
      </c>
      <c r="H1343" s="11"/>
      <c r="I1343" s="10" t="s">
        <v>1888</v>
      </c>
      <c r="J1343" s="6" t="s">
        <v>1889</v>
      </c>
      <c r="K1343" s="12">
        <v>46121.746666666666</v>
      </c>
      <c r="L1343" s="6" t="e" cm="1">
        <f t="array" ref="L1343">LOOKUP(2^15,SEARCH(Tabela2[Palavras-Chave],Boletim4[[#This Row],[Objeto]],1),Tabela2[Palavras-Chave])</f>
        <v>#N/A</v>
      </c>
    </row>
    <row r="1344" spans="1:12" ht="86.4" hidden="1" x14ac:dyDescent="0.3">
      <c r="A1344" s="5">
        <v>18807351</v>
      </c>
      <c r="B1344" s="6" t="s">
        <v>156</v>
      </c>
      <c r="C1344" s="6" t="s">
        <v>73</v>
      </c>
      <c r="D1344" s="8" t="s">
        <v>72</v>
      </c>
      <c r="E1344" s="6" t="s">
        <v>1890</v>
      </c>
      <c r="F1344" s="6" t="s">
        <v>85</v>
      </c>
      <c r="G1344" s="11">
        <v>46146.375</v>
      </c>
      <c r="H1344" s="11"/>
      <c r="I1344" s="10" t="s">
        <v>1891</v>
      </c>
      <c r="J1344" s="6" t="s">
        <v>1892</v>
      </c>
      <c r="K1344" s="12">
        <v>46121.748078703706</v>
      </c>
      <c r="L1344" s="6" t="e" cm="1">
        <f t="array" ref="L1344">LOOKUP(2^15,SEARCH(Tabela2[Palavras-Chave],Boletim4[[#This Row],[Objeto]],1),Tabela2[Palavras-Chave])</f>
        <v>#N/A</v>
      </c>
    </row>
    <row r="1345" spans="1:12" ht="144" hidden="1" x14ac:dyDescent="0.3">
      <c r="A1345" s="5">
        <v>18807359</v>
      </c>
      <c r="B1345" s="6" t="s">
        <v>156</v>
      </c>
      <c r="C1345" s="6" t="s">
        <v>73</v>
      </c>
      <c r="D1345" s="8" t="s">
        <v>72</v>
      </c>
      <c r="E1345" s="6" t="s">
        <v>3202</v>
      </c>
      <c r="F1345" s="6" t="s">
        <v>85</v>
      </c>
      <c r="G1345" s="11">
        <v>46154.416666666664</v>
      </c>
      <c r="H1345" s="11"/>
      <c r="I1345" s="10" t="s">
        <v>3203</v>
      </c>
      <c r="J1345" s="6" t="s">
        <v>3204</v>
      </c>
      <c r="K1345" s="12">
        <v>46121.752210648148</v>
      </c>
      <c r="L1345" s="6" t="e" cm="1">
        <f t="array" ref="L1345">LOOKUP(2^15,SEARCH(Tabela2[Palavras-Chave],Boletim4[[#This Row],[Objeto]],1),Tabela2[Palavras-Chave])</f>
        <v>#N/A</v>
      </c>
    </row>
    <row r="1346" spans="1:12" ht="259.2" hidden="1" x14ac:dyDescent="0.3">
      <c r="A1346" s="5">
        <v>18810472</v>
      </c>
      <c r="B1346" s="6" t="s">
        <v>1893</v>
      </c>
      <c r="C1346" s="6" t="s">
        <v>1894</v>
      </c>
      <c r="D1346" s="8" t="s">
        <v>72</v>
      </c>
      <c r="E1346" s="6" t="s">
        <v>135</v>
      </c>
      <c r="F1346" s="6" t="s">
        <v>85</v>
      </c>
      <c r="G1346" s="11" t="s">
        <v>56</v>
      </c>
      <c r="H1346" s="11"/>
      <c r="I1346" s="10" t="s">
        <v>1895</v>
      </c>
      <c r="J1346" s="6" t="s">
        <v>1896</v>
      </c>
      <c r="K1346" s="12">
        <v>46121.756365740737</v>
      </c>
      <c r="L1346" s="6" t="e" cm="1">
        <f t="array" ref="L1346">LOOKUP(2^15,SEARCH(Tabela2[Palavras-Chave],Boletim4[[#This Row],[Objeto]],1),Tabela2[Palavras-Chave])</f>
        <v>#N/A</v>
      </c>
    </row>
    <row r="1347" spans="1:12" ht="259.2" hidden="1" x14ac:dyDescent="0.3">
      <c r="A1347" s="5">
        <v>18810308</v>
      </c>
      <c r="B1347" s="6" t="s">
        <v>1897</v>
      </c>
      <c r="C1347" s="6" t="s">
        <v>1101</v>
      </c>
      <c r="D1347" s="8" t="s">
        <v>72</v>
      </c>
      <c r="E1347" s="6" t="s">
        <v>134</v>
      </c>
      <c r="F1347" s="6" t="s">
        <v>85</v>
      </c>
      <c r="G1347" s="11" t="s">
        <v>56</v>
      </c>
      <c r="H1347" s="11"/>
      <c r="I1347" s="10" t="s">
        <v>1898</v>
      </c>
      <c r="J1347" s="6" t="s">
        <v>1899</v>
      </c>
      <c r="K1347" s="12">
        <v>46121.76121527778</v>
      </c>
      <c r="L1347" s="6" t="e" cm="1">
        <f t="array" ref="L1347">LOOKUP(2^15,SEARCH(Tabela2[Palavras-Chave],Boletim4[[#This Row],[Objeto]],1),Tabela2[Palavras-Chave])</f>
        <v>#N/A</v>
      </c>
    </row>
    <row r="1348" spans="1:12" ht="72" hidden="1" x14ac:dyDescent="0.3">
      <c r="A1348" s="5">
        <v>18810739</v>
      </c>
      <c r="B1348" s="6" t="s">
        <v>3205</v>
      </c>
      <c r="C1348" s="6" t="s">
        <v>3206</v>
      </c>
      <c r="D1348" s="8" t="s">
        <v>72</v>
      </c>
      <c r="E1348" s="6" t="s">
        <v>166</v>
      </c>
      <c r="F1348" s="6" t="s">
        <v>85</v>
      </c>
      <c r="G1348" s="11">
        <v>46140.333333333336</v>
      </c>
      <c r="H1348" s="11"/>
      <c r="I1348" s="10" t="s">
        <v>3207</v>
      </c>
      <c r="J1348" s="6" t="s">
        <v>3208</v>
      </c>
      <c r="K1348" s="12">
        <v>46121.764756944445</v>
      </c>
      <c r="L1348" s="6" t="e" cm="1">
        <f t="array" ref="L1348">LOOKUP(2^15,SEARCH(Tabela2[Palavras-Chave],Boletim4[[#This Row],[Objeto]],1),Tabela2[Palavras-Chave])</f>
        <v>#N/A</v>
      </c>
    </row>
    <row r="1349" spans="1:12" ht="43.2" hidden="1" x14ac:dyDescent="0.3">
      <c r="A1349" s="5">
        <v>18810984</v>
      </c>
      <c r="B1349" s="6" t="s">
        <v>1862</v>
      </c>
      <c r="C1349" s="6" t="s">
        <v>387</v>
      </c>
      <c r="D1349" s="8" t="s">
        <v>72</v>
      </c>
      <c r="E1349" s="6" t="s">
        <v>135</v>
      </c>
      <c r="F1349" s="6" t="s">
        <v>85</v>
      </c>
      <c r="G1349" s="11">
        <v>46135</v>
      </c>
      <c r="H1349" s="11"/>
      <c r="I1349" s="10" t="s">
        <v>1900</v>
      </c>
      <c r="J1349" s="6" t="s">
        <v>1901</v>
      </c>
      <c r="K1349" s="12">
        <v>46121.783784722225</v>
      </c>
      <c r="L1349" s="6" t="e" cm="1">
        <f t="array" ref="L1349">LOOKUP(2^15,SEARCH(Tabela2[Palavras-Chave],Boletim4[[#This Row],[Objeto]],1),Tabela2[Palavras-Chave])</f>
        <v>#N/A</v>
      </c>
    </row>
    <row r="1350" spans="1:12" ht="86.4" hidden="1" x14ac:dyDescent="0.3">
      <c r="A1350" s="5">
        <v>18811097</v>
      </c>
      <c r="B1350" s="6" t="s">
        <v>1902</v>
      </c>
      <c r="C1350" s="6" t="s">
        <v>1903</v>
      </c>
      <c r="D1350" s="8" t="s">
        <v>72</v>
      </c>
      <c r="E1350" s="6" t="s">
        <v>165</v>
      </c>
      <c r="F1350" s="6" t="s">
        <v>85</v>
      </c>
      <c r="G1350" s="11" t="s">
        <v>56</v>
      </c>
      <c r="H1350" s="11"/>
      <c r="I1350" s="10" t="s">
        <v>1904</v>
      </c>
      <c r="J1350" s="6" t="s">
        <v>1905</v>
      </c>
      <c r="K1350" s="12">
        <v>46121.791030092594</v>
      </c>
      <c r="L1350" s="6" t="e" cm="1">
        <f t="array" ref="L1350">LOOKUP(2^15,SEARCH(Tabela2[Palavras-Chave],Boletim4[[#This Row],[Objeto]],1),Tabela2[Palavras-Chave])</f>
        <v>#N/A</v>
      </c>
    </row>
    <row r="1351" spans="1:12" ht="86.4" hidden="1" x14ac:dyDescent="0.3">
      <c r="A1351" s="5">
        <v>18811092</v>
      </c>
      <c r="B1351" s="6" t="s">
        <v>1906</v>
      </c>
      <c r="C1351" s="6" t="s">
        <v>1907</v>
      </c>
      <c r="D1351" s="8" t="s">
        <v>72</v>
      </c>
      <c r="E1351" s="6" t="s">
        <v>474</v>
      </c>
      <c r="F1351" s="6" t="s">
        <v>85</v>
      </c>
      <c r="G1351" s="11" t="s">
        <v>56</v>
      </c>
      <c r="H1351" s="11"/>
      <c r="I1351" s="10" t="s">
        <v>1908</v>
      </c>
      <c r="J1351" s="6" t="s">
        <v>1909</v>
      </c>
      <c r="K1351" s="12">
        <v>46121.794664351852</v>
      </c>
      <c r="L1351" s="6" t="e" cm="1">
        <f t="array" ref="L1351">LOOKUP(2^15,SEARCH(Tabela2[Palavras-Chave],Boletim4[[#This Row],[Objeto]],1),Tabela2[Palavras-Chave])</f>
        <v>#N/A</v>
      </c>
    </row>
    <row r="1352" spans="1:12" ht="86.4" hidden="1" x14ac:dyDescent="0.3">
      <c r="A1352" s="5">
        <v>18811091</v>
      </c>
      <c r="B1352" s="6" t="s">
        <v>1910</v>
      </c>
      <c r="C1352" s="6" t="s">
        <v>1911</v>
      </c>
      <c r="D1352" s="8" t="s">
        <v>72</v>
      </c>
      <c r="E1352" s="6" t="s">
        <v>450</v>
      </c>
      <c r="F1352" s="6" t="s">
        <v>85</v>
      </c>
      <c r="G1352" s="11" t="s">
        <v>56</v>
      </c>
      <c r="H1352" s="11"/>
      <c r="I1352" s="10" t="s">
        <v>1912</v>
      </c>
      <c r="J1352" s="6" t="s">
        <v>1913</v>
      </c>
      <c r="K1352" s="12">
        <v>46121.79614583333</v>
      </c>
      <c r="L1352" s="6" t="e" cm="1">
        <f t="array" ref="L1352">LOOKUP(2^15,SEARCH(Tabela2[Palavras-Chave],Boletim4[[#This Row],[Objeto]],1),Tabela2[Palavras-Chave])</f>
        <v>#N/A</v>
      </c>
    </row>
    <row r="1353" spans="1:12" ht="86.4" hidden="1" x14ac:dyDescent="0.3">
      <c r="A1353" s="5">
        <v>18811093</v>
      </c>
      <c r="B1353" s="6" t="s">
        <v>1914</v>
      </c>
      <c r="C1353" s="6" t="s">
        <v>472</v>
      </c>
      <c r="D1353" s="8" t="s">
        <v>72</v>
      </c>
      <c r="E1353" s="6" t="s">
        <v>117</v>
      </c>
      <c r="F1353" s="6" t="s">
        <v>85</v>
      </c>
      <c r="G1353" s="11" t="s">
        <v>56</v>
      </c>
      <c r="H1353" s="11"/>
      <c r="I1353" s="10" t="s">
        <v>1915</v>
      </c>
      <c r="J1353" s="6" t="s">
        <v>1916</v>
      </c>
      <c r="K1353" s="12">
        <v>46121.801018518519</v>
      </c>
      <c r="L1353" s="6" t="e" cm="1">
        <f t="array" ref="L1353">LOOKUP(2^15,SEARCH(Tabela2[Palavras-Chave],Boletim4[[#This Row],[Objeto]],1),Tabela2[Palavras-Chave])</f>
        <v>#N/A</v>
      </c>
    </row>
    <row r="1354" spans="1:12" ht="86.4" hidden="1" x14ac:dyDescent="0.3">
      <c r="A1354" s="5">
        <v>18811098</v>
      </c>
      <c r="B1354" s="6" t="s">
        <v>1917</v>
      </c>
      <c r="C1354" s="6" t="s">
        <v>1918</v>
      </c>
      <c r="D1354" s="8" t="s">
        <v>72</v>
      </c>
      <c r="E1354" s="6" t="s">
        <v>146</v>
      </c>
      <c r="F1354" s="6" t="s">
        <v>85</v>
      </c>
      <c r="G1354" s="11" t="s">
        <v>56</v>
      </c>
      <c r="H1354" s="11"/>
      <c r="I1354" s="10" t="s">
        <v>1919</v>
      </c>
      <c r="J1354" s="6" t="s">
        <v>1920</v>
      </c>
      <c r="K1354" s="12">
        <v>46121.811574074076</v>
      </c>
      <c r="L1354" s="6" t="e" cm="1">
        <f t="array" ref="L1354">LOOKUP(2^15,SEARCH(Tabela2[Palavras-Chave],Boletim4[[#This Row],[Objeto]],1),Tabela2[Palavras-Chave])</f>
        <v>#N/A</v>
      </c>
    </row>
    <row r="1355" spans="1:12" ht="144" hidden="1" x14ac:dyDescent="0.3">
      <c r="A1355" s="5">
        <v>18808357</v>
      </c>
      <c r="B1355" s="6" t="s">
        <v>478</v>
      </c>
      <c r="C1355" s="6" t="s">
        <v>479</v>
      </c>
      <c r="D1355" s="8" t="s">
        <v>72</v>
      </c>
      <c r="E1355" s="6" t="s">
        <v>1316</v>
      </c>
      <c r="F1355" s="6" t="s">
        <v>85</v>
      </c>
      <c r="G1355" s="11" t="s">
        <v>56</v>
      </c>
      <c r="H1355" s="11"/>
      <c r="I1355" s="10" t="s">
        <v>1921</v>
      </c>
      <c r="J1355" s="6" t="s">
        <v>1922</v>
      </c>
      <c r="K1355" s="12">
        <v>46121.833761574075</v>
      </c>
      <c r="L1355" s="6" t="e" cm="1">
        <f t="array" ref="L1355">LOOKUP(2^15,SEARCH(Tabela2[Palavras-Chave],Boletim4[[#This Row],[Objeto]],1),Tabela2[Palavras-Chave])</f>
        <v>#N/A</v>
      </c>
    </row>
    <row r="1356" spans="1:12" ht="259.2" hidden="1" x14ac:dyDescent="0.3">
      <c r="A1356" s="5">
        <v>18807081</v>
      </c>
      <c r="B1356" s="6" t="s">
        <v>1923</v>
      </c>
      <c r="C1356" s="6" t="s">
        <v>1924</v>
      </c>
      <c r="D1356" s="8" t="s">
        <v>72</v>
      </c>
      <c r="E1356" s="6" t="s">
        <v>202</v>
      </c>
      <c r="F1356" s="6" t="s">
        <v>85</v>
      </c>
      <c r="G1356" s="11" t="s">
        <v>56</v>
      </c>
      <c r="H1356" s="11"/>
      <c r="I1356" s="10" t="s">
        <v>1925</v>
      </c>
      <c r="J1356" s="6" t="s">
        <v>1926</v>
      </c>
      <c r="K1356" s="12">
        <v>46121.835104166668</v>
      </c>
      <c r="L1356" s="6" t="e" cm="1">
        <f t="array" ref="L1356">LOOKUP(2^15,SEARCH(Tabela2[Palavras-Chave],Boletim4[[#This Row],[Objeto]],1),Tabela2[Palavras-Chave])</f>
        <v>#N/A</v>
      </c>
    </row>
    <row r="1357" spans="1:12" ht="43.2" hidden="1" x14ac:dyDescent="0.3">
      <c r="A1357" s="5">
        <v>18811224</v>
      </c>
      <c r="B1357" s="6" t="s">
        <v>1927</v>
      </c>
      <c r="C1357" s="6" t="s">
        <v>1928</v>
      </c>
      <c r="D1357" s="8" t="s">
        <v>72</v>
      </c>
      <c r="E1357" s="6" t="s">
        <v>1929</v>
      </c>
      <c r="F1357" s="6" t="s">
        <v>85</v>
      </c>
      <c r="G1357" s="11">
        <v>46134.354166666664</v>
      </c>
      <c r="H1357" s="11"/>
      <c r="I1357" s="10" t="s">
        <v>1930</v>
      </c>
      <c r="J1357" s="6" t="s">
        <v>1931</v>
      </c>
      <c r="K1357" s="12">
        <v>46121.846574074072</v>
      </c>
      <c r="L1357" s="6" t="e" cm="1">
        <f t="array" ref="L1357">LOOKUP(2^15,SEARCH(Tabela2[Palavras-Chave],Boletim4[[#This Row],[Objeto]],1),Tabela2[Palavras-Chave])</f>
        <v>#N/A</v>
      </c>
    </row>
    <row r="1358" spans="1:12" ht="57.6" hidden="1" x14ac:dyDescent="0.3">
      <c r="A1358" s="5">
        <v>18811521</v>
      </c>
      <c r="B1358" s="6" t="s">
        <v>3209</v>
      </c>
      <c r="C1358" s="6" t="s">
        <v>3210</v>
      </c>
      <c r="D1358" s="8" t="s">
        <v>72</v>
      </c>
      <c r="E1358" s="6" t="s">
        <v>114</v>
      </c>
      <c r="F1358" s="6" t="s">
        <v>85</v>
      </c>
      <c r="G1358" s="11">
        <v>46147.354166666664</v>
      </c>
      <c r="H1358" s="11"/>
      <c r="I1358" s="10" t="s">
        <v>3211</v>
      </c>
      <c r="J1358" s="6" t="s">
        <v>3212</v>
      </c>
      <c r="K1358" s="12">
        <v>46121.879293981481</v>
      </c>
      <c r="L1358" s="6" t="e" cm="1">
        <f t="array" ref="L1358">LOOKUP(2^15,SEARCH(Tabela2[Palavras-Chave],Boletim4[[#This Row],[Objeto]],1),Tabela2[Palavras-Chave])</f>
        <v>#N/A</v>
      </c>
    </row>
    <row r="1359" spans="1:12" ht="100.8" hidden="1" x14ac:dyDescent="0.3">
      <c r="A1359" s="5">
        <v>18807422</v>
      </c>
      <c r="B1359" s="6" t="s">
        <v>74</v>
      </c>
      <c r="C1359" s="6" t="s">
        <v>75</v>
      </c>
      <c r="D1359" s="8" t="s">
        <v>76</v>
      </c>
      <c r="E1359" s="6" t="s">
        <v>1319</v>
      </c>
      <c r="F1359" s="6" t="s">
        <v>85</v>
      </c>
      <c r="G1359" s="11" t="s">
        <v>56</v>
      </c>
      <c r="H1359" s="11"/>
      <c r="I1359" s="10" t="s">
        <v>1320</v>
      </c>
      <c r="J1359" s="6" t="s">
        <v>1321</v>
      </c>
      <c r="K1359" s="12">
        <v>46121.444525462961</v>
      </c>
      <c r="L1359" s="6" t="e" cm="1">
        <f t="array" ref="L1359">LOOKUP(2^15,SEARCH(Tabela2[Palavras-Chave],Boletim4[[#This Row],[Objeto]],1),Tabela2[Palavras-Chave])</f>
        <v>#N/A</v>
      </c>
    </row>
    <row r="1360" spans="1:12" ht="72" hidden="1" x14ac:dyDescent="0.3">
      <c r="A1360" s="5">
        <v>18807394</v>
      </c>
      <c r="B1360" s="6" t="s">
        <v>74</v>
      </c>
      <c r="C1360" s="6" t="s">
        <v>75</v>
      </c>
      <c r="D1360" s="8" t="s">
        <v>76</v>
      </c>
      <c r="E1360" s="6" t="s">
        <v>3213</v>
      </c>
      <c r="F1360" s="6" t="s">
        <v>85</v>
      </c>
      <c r="G1360" s="11" t="s">
        <v>56</v>
      </c>
      <c r="H1360" s="11"/>
      <c r="I1360" s="10" t="s">
        <v>3214</v>
      </c>
      <c r="J1360" s="6" t="s">
        <v>3215</v>
      </c>
      <c r="K1360" s="12">
        <v>46121.444837962961</v>
      </c>
      <c r="L1360" s="6" t="e" cm="1">
        <f t="array" ref="L1360">LOOKUP(2^15,SEARCH(Tabela2[Palavras-Chave],Boletim4[[#This Row],[Objeto]],1),Tabela2[Palavras-Chave])</f>
        <v>#N/A</v>
      </c>
    </row>
    <row r="1361" spans="1:12" ht="72" hidden="1" x14ac:dyDescent="0.3">
      <c r="A1361" s="5">
        <v>18807378</v>
      </c>
      <c r="B1361" s="6" t="s">
        <v>74</v>
      </c>
      <c r="C1361" s="6" t="s">
        <v>75</v>
      </c>
      <c r="D1361" s="8" t="s">
        <v>76</v>
      </c>
      <c r="E1361" s="6" t="s">
        <v>3216</v>
      </c>
      <c r="F1361" s="6" t="s">
        <v>85</v>
      </c>
      <c r="G1361" s="11" t="s">
        <v>56</v>
      </c>
      <c r="H1361" s="11"/>
      <c r="I1361" s="10" t="s">
        <v>3217</v>
      </c>
      <c r="J1361" s="6" t="s">
        <v>3218</v>
      </c>
      <c r="K1361" s="12">
        <v>46121.445960648147</v>
      </c>
      <c r="L1361" s="6" t="e" cm="1">
        <f t="array" ref="L1361">LOOKUP(2^15,SEARCH(Tabela2[Palavras-Chave],Boletim4[[#This Row],[Objeto]],1),Tabela2[Palavras-Chave])</f>
        <v>#N/A</v>
      </c>
    </row>
    <row r="1362" spans="1:12" ht="100.8" hidden="1" x14ac:dyDescent="0.3">
      <c r="A1362" s="5">
        <v>18807563</v>
      </c>
      <c r="B1362" s="6" t="s">
        <v>74</v>
      </c>
      <c r="C1362" s="6" t="s">
        <v>75</v>
      </c>
      <c r="D1362" s="8" t="s">
        <v>76</v>
      </c>
      <c r="E1362" s="6" t="s">
        <v>2972</v>
      </c>
      <c r="F1362" s="6" t="s">
        <v>85</v>
      </c>
      <c r="G1362" s="11" t="s">
        <v>56</v>
      </c>
      <c r="H1362" s="11"/>
      <c r="I1362" s="10" t="s">
        <v>2973</v>
      </c>
      <c r="J1362" s="6" t="s">
        <v>1321</v>
      </c>
      <c r="K1362" s="12">
        <v>46121.447314814817</v>
      </c>
      <c r="L1362" s="6" t="e" cm="1">
        <f t="array" ref="L1362">LOOKUP(2^15,SEARCH(Tabela2[Palavras-Chave],Boletim4[[#This Row],[Objeto]],1),Tabela2[Palavras-Chave])</f>
        <v>#N/A</v>
      </c>
    </row>
    <row r="1363" spans="1:12" ht="28.8" hidden="1" x14ac:dyDescent="0.3">
      <c r="A1363" s="5">
        <v>18807383</v>
      </c>
      <c r="B1363" s="6" t="s">
        <v>74</v>
      </c>
      <c r="C1363" s="6" t="s">
        <v>75</v>
      </c>
      <c r="D1363" s="8" t="s">
        <v>76</v>
      </c>
      <c r="E1363" s="6" t="s">
        <v>1932</v>
      </c>
      <c r="F1363" s="6" t="s">
        <v>85</v>
      </c>
      <c r="G1363" s="11" t="s">
        <v>56</v>
      </c>
      <c r="H1363" s="11"/>
      <c r="I1363" s="10" t="s">
        <v>1933</v>
      </c>
      <c r="J1363" s="6" t="s">
        <v>1934</v>
      </c>
      <c r="K1363" s="12">
        <v>46121.452557870369</v>
      </c>
      <c r="L1363" s="6" t="e" cm="1">
        <f t="array" ref="L1363">LOOKUP(2^15,SEARCH(Tabela2[Palavras-Chave],Boletim4[[#This Row],[Objeto]],1),Tabela2[Palavras-Chave])</f>
        <v>#N/A</v>
      </c>
    </row>
    <row r="1364" spans="1:12" ht="72" hidden="1" x14ac:dyDescent="0.3">
      <c r="A1364" s="5">
        <v>18807442</v>
      </c>
      <c r="B1364" s="6" t="s">
        <v>74</v>
      </c>
      <c r="C1364" s="6" t="s">
        <v>75</v>
      </c>
      <c r="D1364" s="8" t="s">
        <v>76</v>
      </c>
      <c r="E1364" s="6" t="s">
        <v>1355</v>
      </c>
      <c r="F1364" s="6" t="s">
        <v>85</v>
      </c>
      <c r="G1364" s="11" t="s">
        <v>56</v>
      </c>
      <c r="H1364" s="11"/>
      <c r="I1364" s="10" t="s">
        <v>1356</v>
      </c>
      <c r="J1364" s="6" t="s">
        <v>1357</v>
      </c>
      <c r="K1364" s="12">
        <v>46121.456122685187</v>
      </c>
      <c r="L1364" s="6" t="e" cm="1">
        <f t="array" ref="L1364">LOOKUP(2^15,SEARCH(Tabela2[Palavras-Chave],Boletim4[[#This Row],[Objeto]],1),Tabela2[Palavras-Chave])</f>
        <v>#N/A</v>
      </c>
    </row>
    <row r="1365" spans="1:12" ht="72" hidden="1" x14ac:dyDescent="0.3">
      <c r="A1365" s="5">
        <v>18807376</v>
      </c>
      <c r="B1365" s="6" t="s">
        <v>74</v>
      </c>
      <c r="C1365" s="6" t="s">
        <v>75</v>
      </c>
      <c r="D1365" s="8" t="s">
        <v>76</v>
      </c>
      <c r="E1365" s="6" t="s">
        <v>1839</v>
      </c>
      <c r="F1365" s="6" t="s">
        <v>85</v>
      </c>
      <c r="G1365" s="11" t="s">
        <v>56</v>
      </c>
      <c r="H1365" s="11"/>
      <c r="I1365" s="10" t="s">
        <v>1840</v>
      </c>
      <c r="J1365" s="6" t="s">
        <v>1841</v>
      </c>
      <c r="K1365" s="12">
        <v>46121.470092592594</v>
      </c>
      <c r="L1365" s="6" t="e" cm="1">
        <f t="array" ref="L1365">LOOKUP(2^15,SEARCH(Tabela2[Palavras-Chave],Boletim4[[#This Row],[Objeto]],1),Tabela2[Palavras-Chave])</f>
        <v>#N/A</v>
      </c>
    </row>
    <row r="1366" spans="1:12" ht="43.2" hidden="1" x14ac:dyDescent="0.3">
      <c r="A1366" s="5">
        <v>18807528</v>
      </c>
      <c r="B1366" s="6" t="s">
        <v>74</v>
      </c>
      <c r="C1366" s="6" t="s">
        <v>75</v>
      </c>
      <c r="D1366" s="8" t="s">
        <v>76</v>
      </c>
      <c r="E1366" s="6" t="s">
        <v>3219</v>
      </c>
      <c r="F1366" s="6" t="s">
        <v>85</v>
      </c>
      <c r="G1366" s="11" t="s">
        <v>56</v>
      </c>
      <c r="H1366" s="11"/>
      <c r="I1366" s="10" t="s">
        <v>3220</v>
      </c>
      <c r="J1366" s="6" t="s">
        <v>3221</v>
      </c>
      <c r="K1366" s="12">
        <v>46121.495520833334</v>
      </c>
      <c r="L1366" s="6" t="e" cm="1">
        <f t="array" ref="L1366">LOOKUP(2^15,SEARCH(Tabela2[Palavras-Chave],Boletim4[[#This Row],[Objeto]],1),Tabela2[Palavras-Chave])</f>
        <v>#N/A</v>
      </c>
    </row>
    <row r="1367" spans="1:12" ht="43.2" hidden="1" x14ac:dyDescent="0.3">
      <c r="A1367" s="5">
        <v>18807559</v>
      </c>
      <c r="B1367" s="6" t="s">
        <v>74</v>
      </c>
      <c r="C1367" s="6" t="s">
        <v>75</v>
      </c>
      <c r="D1367" s="8" t="s">
        <v>76</v>
      </c>
      <c r="E1367" s="6" t="s">
        <v>1935</v>
      </c>
      <c r="F1367" s="6" t="s">
        <v>85</v>
      </c>
      <c r="G1367" s="11" t="s">
        <v>56</v>
      </c>
      <c r="H1367" s="11"/>
      <c r="I1367" s="10" t="s">
        <v>1936</v>
      </c>
      <c r="J1367" s="6" t="s">
        <v>1937</v>
      </c>
      <c r="K1367" s="12">
        <v>46121.502291666664</v>
      </c>
      <c r="L1367" s="6" t="e" cm="1">
        <f t="array" ref="L1367">LOOKUP(2^15,SEARCH(Tabela2[Palavras-Chave],Boletim4[[#This Row],[Objeto]],1),Tabela2[Palavras-Chave])</f>
        <v>#N/A</v>
      </c>
    </row>
    <row r="1368" spans="1:12" ht="28.8" hidden="1" x14ac:dyDescent="0.3">
      <c r="A1368" s="5">
        <v>18807557</v>
      </c>
      <c r="B1368" s="6" t="s">
        <v>74</v>
      </c>
      <c r="C1368" s="6" t="s">
        <v>75</v>
      </c>
      <c r="D1368" s="8" t="s">
        <v>76</v>
      </c>
      <c r="E1368" s="6" t="s">
        <v>3222</v>
      </c>
      <c r="F1368" s="6" t="s">
        <v>85</v>
      </c>
      <c r="G1368" s="11" t="s">
        <v>56</v>
      </c>
      <c r="H1368" s="11"/>
      <c r="I1368" s="10" t="s">
        <v>3223</v>
      </c>
      <c r="J1368" s="6" t="s">
        <v>3224</v>
      </c>
      <c r="K1368" s="12">
        <v>46121.502453703702</v>
      </c>
      <c r="L1368" s="6" t="e" cm="1">
        <f t="array" ref="L1368">LOOKUP(2^15,SEARCH(Tabela2[Palavras-Chave],Boletim4[[#This Row],[Objeto]],1),Tabela2[Palavras-Chave])</f>
        <v>#N/A</v>
      </c>
    </row>
    <row r="1369" spans="1:12" ht="72" hidden="1" x14ac:dyDescent="0.3">
      <c r="A1369" s="5">
        <v>18807473</v>
      </c>
      <c r="B1369" s="6" t="s">
        <v>74</v>
      </c>
      <c r="C1369" s="6" t="s">
        <v>75</v>
      </c>
      <c r="D1369" s="8" t="s">
        <v>76</v>
      </c>
      <c r="E1369" s="6" t="s">
        <v>1938</v>
      </c>
      <c r="F1369" s="6" t="s">
        <v>85</v>
      </c>
      <c r="G1369" s="11" t="s">
        <v>56</v>
      </c>
      <c r="H1369" s="11"/>
      <c r="I1369" s="10" t="s">
        <v>1939</v>
      </c>
      <c r="J1369" s="6" t="s">
        <v>1940</v>
      </c>
      <c r="K1369" s="12">
        <v>46121.504513888889</v>
      </c>
      <c r="L1369" s="6" t="e" cm="1">
        <f t="array" ref="L1369">LOOKUP(2^15,SEARCH(Tabela2[Palavras-Chave],Boletim4[[#This Row],[Objeto]],1),Tabela2[Palavras-Chave])</f>
        <v>#N/A</v>
      </c>
    </row>
    <row r="1370" spans="1:12" ht="273.60000000000002" hidden="1" x14ac:dyDescent="0.3">
      <c r="A1370" s="5">
        <v>18807782</v>
      </c>
      <c r="B1370" s="6" t="s">
        <v>1941</v>
      </c>
      <c r="C1370" s="6" t="s">
        <v>75</v>
      </c>
      <c r="D1370" s="8" t="s">
        <v>76</v>
      </c>
      <c r="E1370" s="6" t="s">
        <v>126</v>
      </c>
      <c r="F1370" s="6" t="s">
        <v>85</v>
      </c>
      <c r="G1370" s="11" t="s">
        <v>56</v>
      </c>
      <c r="H1370" s="11"/>
      <c r="I1370" s="10" t="s">
        <v>1942</v>
      </c>
      <c r="J1370" s="6" t="s">
        <v>1943</v>
      </c>
      <c r="K1370" s="12">
        <v>46121.560277777775</v>
      </c>
      <c r="L1370" s="6" t="e" cm="1">
        <f t="array" ref="L1370">LOOKUP(2^15,SEARCH(Tabela2[Palavras-Chave],Boletim4[[#This Row],[Objeto]],1),Tabela2[Palavras-Chave])</f>
        <v>#N/A</v>
      </c>
    </row>
    <row r="1371" spans="1:12" ht="115.2" hidden="1" x14ac:dyDescent="0.3">
      <c r="A1371" s="5">
        <v>18808959</v>
      </c>
      <c r="B1371" s="6" t="s">
        <v>1944</v>
      </c>
      <c r="C1371" s="6" t="s">
        <v>75</v>
      </c>
      <c r="D1371" s="8" t="s">
        <v>76</v>
      </c>
      <c r="E1371" s="6" t="s">
        <v>1945</v>
      </c>
      <c r="F1371" s="6" t="s">
        <v>85</v>
      </c>
      <c r="G1371" s="11" t="s">
        <v>56</v>
      </c>
      <c r="H1371" s="11"/>
      <c r="I1371" s="10" t="s">
        <v>1946</v>
      </c>
      <c r="J1371" s="6" t="s">
        <v>1947</v>
      </c>
      <c r="K1371" s="12">
        <v>46121.576516203706</v>
      </c>
      <c r="L1371" s="6" t="e" cm="1">
        <f t="array" ref="L1371">LOOKUP(2^15,SEARCH(Tabela2[Palavras-Chave],Boletim4[[#This Row],[Objeto]],1),Tabela2[Palavras-Chave])</f>
        <v>#N/A</v>
      </c>
    </row>
    <row r="1372" spans="1:12" ht="115.2" hidden="1" x14ac:dyDescent="0.3">
      <c r="A1372" s="5">
        <v>18808988</v>
      </c>
      <c r="B1372" s="6" t="s">
        <v>1948</v>
      </c>
      <c r="C1372" s="6" t="s">
        <v>578</v>
      </c>
      <c r="D1372" s="8" t="s">
        <v>76</v>
      </c>
      <c r="E1372" s="6" t="s">
        <v>183</v>
      </c>
      <c r="F1372" s="6" t="s">
        <v>85</v>
      </c>
      <c r="G1372" s="11" t="s">
        <v>56</v>
      </c>
      <c r="H1372" s="11"/>
      <c r="I1372" s="10" t="s">
        <v>1949</v>
      </c>
      <c r="J1372" s="6" t="s">
        <v>1950</v>
      </c>
      <c r="K1372" s="12">
        <v>46121.576979166668</v>
      </c>
      <c r="L1372" s="6" t="e" cm="1">
        <f t="array" ref="L1372">LOOKUP(2^15,SEARCH(Tabela2[Palavras-Chave],Boletim4[[#This Row],[Objeto]],1),Tabela2[Palavras-Chave])</f>
        <v>#N/A</v>
      </c>
    </row>
    <row r="1373" spans="1:12" ht="115.2" hidden="1" x14ac:dyDescent="0.3">
      <c r="A1373" s="5">
        <v>18808974</v>
      </c>
      <c r="B1373" s="6" t="s">
        <v>225</v>
      </c>
      <c r="C1373" s="6" t="s">
        <v>75</v>
      </c>
      <c r="D1373" s="8" t="s">
        <v>76</v>
      </c>
      <c r="E1373" s="6" t="s">
        <v>1951</v>
      </c>
      <c r="F1373" s="6" t="s">
        <v>85</v>
      </c>
      <c r="G1373" s="11" t="s">
        <v>56</v>
      </c>
      <c r="H1373" s="11"/>
      <c r="I1373" s="10" t="s">
        <v>1952</v>
      </c>
      <c r="J1373" s="6" t="s">
        <v>1953</v>
      </c>
      <c r="K1373" s="12">
        <v>46121.580243055556</v>
      </c>
      <c r="L1373" s="6" t="e" cm="1">
        <f t="array" ref="L1373">LOOKUP(2^15,SEARCH(Tabela2[Palavras-Chave],Boletim4[[#This Row],[Objeto]],1),Tabela2[Palavras-Chave])</f>
        <v>#N/A</v>
      </c>
    </row>
    <row r="1374" spans="1:12" ht="115.2" hidden="1" x14ac:dyDescent="0.3">
      <c r="A1374" s="5">
        <v>18808976</v>
      </c>
      <c r="B1374" s="6" t="s">
        <v>225</v>
      </c>
      <c r="C1374" s="6" t="s">
        <v>75</v>
      </c>
      <c r="D1374" s="8" t="s">
        <v>76</v>
      </c>
      <c r="E1374" s="6" t="s">
        <v>1954</v>
      </c>
      <c r="F1374" s="6" t="s">
        <v>85</v>
      </c>
      <c r="G1374" s="11" t="s">
        <v>56</v>
      </c>
      <c r="H1374" s="11"/>
      <c r="I1374" s="10" t="s">
        <v>1955</v>
      </c>
      <c r="J1374" s="6" t="s">
        <v>1956</v>
      </c>
      <c r="K1374" s="12">
        <v>46121.612002314818</v>
      </c>
      <c r="L1374" s="6" t="e" cm="1">
        <f t="array" ref="L1374">LOOKUP(2^15,SEARCH(Tabela2[Palavras-Chave],Boletim4[[#This Row],[Objeto]],1),Tabela2[Palavras-Chave])</f>
        <v>#N/A</v>
      </c>
    </row>
    <row r="1375" spans="1:12" ht="172.8" hidden="1" x14ac:dyDescent="0.3">
      <c r="A1375" s="5">
        <v>18808989</v>
      </c>
      <c r="B1375" s="6" t="s">
        <v>1388</v>
      </c>
      <c r="C1375" s="6" t="s">
        <v>213</v>
      </c>
      <c r="D1375" s="8" t="s">
        <v>76</v>
      </c>
      <c r="E1375" s="6" t="s">
        <v>1389</v>
      </c>
      <c r="F1375" s="6" t="s">
        <v>85</v>
      </c>
      <c r="G1375" s="11" t="s">
        <v>56</v>
      </c>
      <c r="H1375" s="11"/>
      <c r="I1375" s="10" t="s">
        <v>1390</v>
      </c>
      <c r="J1375" s="6" t="s">
        <v>1391</v>
      </c>
      <c r="K1375" s="12">
        <v>46121.634710648148</v>
      </c>
      <c r="L1375" s="6" t="e" cm="1">
        <f t="array" ref="L1375">LOOKUP(2^15,SEARCH(Tabela2[Palavras-Chave],Boletim4[[#This Row],[Objeto]],1),Tabela2[Palavras-Chave])</f>
        <v>#N/A</v>
      </c>
    </row>
    <row r="1376" spans="1:12" ht="115.2" hidden="1" x14ac:dyDescent="0.3">
      <c r="A1376" s="5">
        <v>18808991</v>
      </c>
      <c r="B1376" s="6" t="s">
        <v>1957</v>
      </c>
      <c r="C1376" s="6" t="s">
        <v>75</v>
      </c>
      <c r="D1376" s="8" t="s">
        <v>76</v>
      </c>
      <c r="E1376" s="6" t="s">
        <v>157</v>
      </c>
      <c r="F1376" s="6" t="s">
        <v>85</v>
      </c>
      <c r="G1376" s="11" t="s">
        <v>56</v>
      </c>
      <c r="H1376" s="11"/>
      <c r="I1376" s="10" t="s">
        <v>1958</v>
      </c>
      <c r="J1376" s="6" t="s">
        <v>1959</v>
      </c>
      <c r="K1376" s="12">
        <v>46121.652974537035</v>
      </c>
      <c r="L1376" s="6" t="e" cm="1">
        <f t="array" ref="L1376">LOOKUP(2^15,SEARCH(Tabela2[Palavras-Chave],Boletim4[[#This Row],[Objeto]],1),Tabela2[Palavras-Chave])</f>
        <v>#N/A</v>
      </c>
    </row>
    <row r="1377" spans="1:12" ht="115.2" hidden="1" x14ac:dyDescent="0.3">
      <c r="A1377" s="5">
        <v>18808960</v>
      </c>
      <c r="B1377" s="6" t="s">
        <v>1960</v>
      </c>
      <c r="C1377" s="6" t="s">
        <v>1961</v>
      </c>
      <c r="D1377" s="8" t="s">
        <v>76</v>
      </c>
      <c r="E1377" s="6" t="s">
        <v>1962</v>
      </c>
      <c r="F1377" s="6" t="s">
        <v>85</v>
      </c>
      <c r="G1377" s="11" t="s">
        <v>56</v>
      </c>
      <c r="H1377" s="11"/>
      <c r="I1377" s="10" t="s">
        <v>1963</v>
      </c>
      <c r="J1377" s="6" t="s">
        <v>1964</v>
      </c>
      <c r="K1377" s="12">
        <v>46121.663483796299</v>
      </c>
      <c r="L1377" s="6" t="e" cm="1">
        <f t="array" ref="L1377">LOOKUP(2^15,SEARCH(Tabela2[Palavras-Chave],Boletim4[[#This Row],[Objeto]],1),Tabela2[Palavras-Chave])</f>
        <v>#N/A</v>
      </c>
    </row>
    <row r="1378" spans="1:12" ht="172.8" hidden="1" x14ac:dyDescent="0.3">
      <c r="A1378" s="5">
        <v>18793543</v>
      </c>
      <c r="B1378" s="6" t="s">
        <v>1965</v>
      </c>
      <c r="C1378" s="6" t="s">
        <v>1961</v>
      </c>
      <c r="D1378" s="8" t="s">
        <v>76</v>
      </c>
      <c r="E1378" s="6" t="s">
        <v>1966</v>
      </c>
      <c r="F1378" s="6" t="s">
        <v>85</v>
      </c>
      <c r="G1378" s="11">
        <v>46134.375</v>
      </c>
      <c r="H1378" s="11"/>
      <c r="I1378" s="10" t="s">
        <v>1967</v>
      </c>
      <c r="J1378" s="6" t="s">
        <v>1968</v>
      </c>
      <c r="K1378" s="12">
        <v>46121.69122685185</v>
      </c>
      <c r="L1378" s="6" t="e" cm="1">
        <f t="array" ref="L1378">LOOKUP(2^15,SEARCH(Tabela2[Palavras-Chave],Boletim4[[#This Row],[Objeto]],1),Tabela2[Palavras-Chave])</f>
        <v>#N/A</v>
      </c>
    </row>
    <row r="1379" spans="1:12" ht="72" x14ac:dyDescent="0.3">
      <c r="A1379" s="5">
        <v>18810011</v>
      </c>
      <c r="B1379" s="6" t="s">
        <v>74</v>
      </c>
      <c r="C1379" s="6" t="s">
        <v>75</v>
      </c>
      <c r="D1379" s="8" t="s">
        <v>76</v>
      </c>
      <c r="E1379" s="6" t="s">
        <v>1969</v>
      </c>
      <c r="F1379" s="6" t="s">
        <v>85</v>
      </c>
      <c r="G1379" s="11" t="s">
        <v>56</v>
      </c>
      <c r="H1379" s="11"/>
      <c r="I1379" s="10" t="s">
        <v>1970</v>
      </c>
      <c r="J1379" s="6" t="s">
        <v>1971</v>
      </c>
      <c r="K1379" s="12">
        <v>46121.705497685187</v>
      </c>
      <c r="L1379" s="6" t="str" cm="1">
        <f t="array" ref="L1379">LOOKUP(2^15,SEARCH(Tabela2[Palavras-Chave],Boletim4[[#This Row],[Objeto]],1),Tabela2[Palavras-Chave])</f>
        <v>ELEVADO</v>
      </c>
    </row>
    <row r="1380" spans="1:12" ht="72" hidden="1" x14ac:dyDescent="0.3">
      <c r="A1380" s="5">
        <v>18810009</v>
      </c>
      <c r="B1380" s="6" t="s">
        <v>74</v>
      </c>
      <c r="C1380" s="6" t="s">
        <v>75</v>
      </c>
      <c r="D1380" s="8" t="s">
        <v>76</v>
      </c>
      <c r="E1380" s="6" t="s">
        <v>1972</v>
      </c>
      <c r="F1380" s="6" t="s">
        <v>85</v>
      </c>
      <c r="G1380" s="11" t="s">
        <v>56</v>
      </c>
      <c r="H1380" s="11"/>
      <c r="I1380" s="10" t="s">
        <v>1973</v>
      </c>
      <c r="J1380" s="6" t="s">
        <v>1974</v>
      </c>
      <c r="K1380" s="12">
        <v>46121.705694444441</v>
      </c>
      <c r="L1380" s="6" t="e" cm="1">
        <f t="array" ref="L1380">LOOKUP(2^15,SEARCH(Tabela2[Palavras-Chave],Boletim4[[#This Row],[Objeto]],1),Tabela2[Palavras-Chave])</f>
        <v>#N/A</v>
      </c>
    </row>
    <row r="1381" spans="1:12" ht="28.8" hidden="1" x14ac:dyDescent="0.3">
      <c r="A1381" s="5">
        <v>18810007</v>
      </c>
      <c r="B1381" s="6" t="s">
        <v>74</v>
      </c>
      <c r="C1381" s="6" t="s">
        <v>75</v>
      </c>
      <c r="D1381" s="8" t="s">
        <v>76</v>
      </c>
      <c r="E1381" s="6" t="s">
        <v>1975</v>
      </c>
      <c r="F1381" s="6" t="s">
        <v>85</v>
      </c>
      <c r="G1381" s="11" t="s">
        <v>56</v>
      </c>
      <c r="H1381" s="11"/>
      <c r="I1381" s="10" t="s">
        <v>1976</v>
      </c>
      <c r="J1381" s="6" t="s">
        <v>1977</v>
      </c>
      <c r="K1381" s="12">
        <v>46121.705775462964</v>
      </c>
      <c r="L1381" s="6" t="e" cm="1">
        <f t="array" ref="L1381">LOOKUP(2^15,SEARCH(Tabela2[Palavras-Chave],Boletim4[[#This Row],[Objeto]],1),Tabela2[Palavras-Chave])</f>
        <v>#N/A</v>
      </c>
    </row>
    <row r="1382" spans="1:12" ht="72" hidden="1" x14ac:dyDescent="0.3">
      <c r="A1382" s="5">
        <v>18810004</v>
      </c>
      <c r="B1382" s="6" t="s">
        <v>74</v>
      </c>
      <c r="C1382" s="6" t="s">
        <v>75</v>
      </c>
      <c r="D1382" s="8" t="s">
        <v>76</v>
      </c>
      <c r="E1382" s="6" t="s">
        <v>1978</v>
      </c>
      <c r="F1382" s="6" t="s">
        <v>85</v>
      </c>
      <c r="G1382" s="11" t="s">
        <v>56</v>
      </c>
      <c r="H1382" s="11"/>
      <c r="I1382" s="10" t="s">
        <v>1979</v>
      </c>
      <c r="J1382" s="6" t="s">
        <v>1971</v>
      </c>
      <c r="K1382" s="12">
        <v>46121.70590277778</v>
      </c>
      <c r="L1382" s="6" t="e" cm="1">
        <f t="array" ref="L1382">LOOKUP(2^15,SEARCH(Tabela2[Palavras-Chave],Boletim4[[#This Row],[Objeto]],1),Tabela2[Palavras-Chave])</f>
        <v>#N/A</v>
      </c>
    </row>
    <row r="1383" spans="1:12" ht="86.4" hidden="1" x14ac:dyDescent="0.3">
      <c r="A1383" s="5">
        <v>18809994</v>
      </c>
      <c r="B1383" s="6" t="s">
        <v>74</v>
      </c>
      <c r="C1383" s="6" t="s">
        <v>75</v>
      </c>
      <c r="D1383" s="8" t="s">
        <v>76</v>
      </c>
      <c r="E1383" s="6" t="s">
        <v>1980</v>
      </c>
      <c r="F1383" s="6" t="s">
        <v>85</v>
      </c>
      <c r="G1383" s="11" t="s">
        <v>56</v>
      </c>
      <c r="H1383" s="11"/>
      <c r="I1383" s="10" t="s">
        <v>1981</v>
      </c>
      <c r="J1383" s="6" t="s">
        <v>1982</v>
      </c>
      <c r="K1383" s="12">
        <v>46121.707048611112</v>
      </c>
      <c r="L1383" s="6" t="e" cm="1">
        <f t="array" ref="L1383">LOOKUP(2^15,SEARCH(Tabela2[Palavras-Chave],Boletim4[[#This Row],[Objeto]],1),Tabela2[Palavras-Chave])</f>
        <v>#N/A</v>
      </c>
    </row>
    <row r="1384" spans="1:12" ht="129.6" hidden="1" x14ac:dyDescent="0.3">
      <c r="A1384" s="5">
        <v>18807344</v>
      </c>
      <c r="B1384" s="6" t="s">
        <v>1983</v>
      </c>
      <c r="C1384" s="6" t="s">
        <v>1984</v>
      </c>
      <c r="D1384" s="8" t="s">
        <v>76</v>
      </c>
      <c r="E1384" s="6" t="s">
        <v>240</v>
      </c>
      <c r="F1384" s="6" t="s">
        <v>85</v>
      </c>
      <c r="G1384" s="11">
        <v>46139.375</v>
      </c>
      <c r="H1384" s="11"/>
      <c r="I1384" s="10" t="s">
        <v>1985</v>
      </c>
      <c r="J1384" s="6" t="s">
        <v>1986</v>
      </c>
      <c r="K1384" s="12">
        <v>46121.709548611114</v>
      </c>
      <c r="L1384" s="6" t="e" cm="1">
        <f t="array" ref="L1384">LOOKUP(2^15,SEARCH(Tabela2[Palavras-Chave],Boletim4[[#This Row],[Objeto]],1),Tabela2[Palavras-Chave])</f>
        <v>#N/A</v>
      </c>
    </row>
    <row r="1385" spans="1:12" ht="57.6" hidden="1" x14ac:dyDescent="0.3">
      <c r="A1385" s="5">
        <v>18810006</v>
      </c>
      <c r="B1385" s="6" t="s">
        <v>74</v>
      </c>
      <c r="C1385" s="6" t="s">
        <v>75</v>
      </c>
      <c r="D1385" s="8" t="s">
        <v>76</v>
      </c>
      <c r="E1385" s="6" t="s">
        <v>1987</v>
      </c>
      <c r="F1385" s="6" t="s">
        <v>85</v>
      </c>
      <c r="G1385" s="11" t="s">
        <v>56</v>
      </c>
      <c r="H1385" s="11"/>
      <c r="I1385" s="10" t="s">
        <v>1988</v>
      </c>
      <c r="J1385" s="6" t="s">
        <v>1989</v>
      </c>
      <c r="K1385" s="12">
        <v>46121.712638888886</v>
      </c>
      <c r="L1385" s="6" t="e" cm="1">
        <f t="array" ref="L1385">LOOKUP(2^15,SEARCH(Tabela2[Palavras-Chave],Boletim4[[#This Row],[Objeto]],1),Tabela2[Palavras-Chave])</f>
        <v>#N/A</v>
      </c>
    </row>
    <row r="1386" spans="1:12" ht="259.2" hidden="1" x14ac:dyDescent="0.3">
      <c r="A1386" s="5">
        <v>18810282</v>
      </c>
      <c r="B1386" s="6" t="s">
        <v>1990</v>
      </c>
      <c r="C1386" s="6" t="s">
        <v>1991</v>
      </c>
      <c r="D1386" s="8" t="s">
        <v>76</v>
      </c>
      <c r="E1386" s="6" t="s">
        <v>115</v>
      </c>
      <c r="F1386" s="6" t="s">
        <v>85</v>
      </c>
      <c r="G1386" s="11" t="s">
        <v>56</v>
      </c>
      <c r="H1386" s="11"/>
      <c r="I1386" s="10" t="s">
        <v>1992</v>
      </c>
      <c r="J1386" s="6" t="s">
        <v>1993</v>
      </c>
      <c r="K1386" s="12">
        <v>46121.721388888887</v>
      </c>
      <c r="L1386" s="6" t="e" cm="1">
        <f t="array" ref="L1386">LOOKUP(2^15,SEARCH(Tabela2[Palavras-Chave],Boletim4[[#This Row],[Objeto]],1),Tabela2[Palavras-Chave])</f>
        <v>#N/A</v>
      </c>
    </row>
    <row r="1387" spans="1:12" ht="115.2" hidden="1" x14ac:dyDescent="0.3">
      <c r="A1387" s="5">
        <v>18810432</v>
      </c>
      <c r="B1387" s="6" t="s">
        <v>480</v>
      </c>
      <c r="C1387" s="6" t="s">
        <v>75</v>
      </c>
      <c r="D1387" s="8" t="s">
        <v>76</v>
      </c>
      <c r="E1387" s="6" t="s">
        <v>1994</v>
      </c>
      <c r="F1387" s="6" t="s">
        <v>85</v>
      </c>
      <c r="G1387" s="11" t="s">
        <v>56</v>
      </c>
      <c r="H1387" s="11"/>
      <c r="I1387" s="10" t="s">
        <v>1995</v>
      </c>
      <c r="J1387" s="6" t="s">
        <v>1996</v>
      </c>
      <c r="K1387" s="12">
        <v>46121.735868055555</v>
      </c>
      <c r="L1387" s="6" t="e" cm="1">
        <f t="array" ref="L1387">LOOKUP(2^15,SEARCH(Tabela2[Palavras-Chave],Boletim4[[#This Row],[Objeto]],1),Tabela2[Palavras-Chave])</f>
        <v>#N/A</v>
      </c>
    </row>
    <row r="1388" spans="1:12" ht="115.2" hidden="1" x14ac:dyDescent="0.3">
      <c r="A1388" s="5">
        <v>18808966</v>
      </c>
      <c r="B1388" s="6" t="s">
        <v>1997</v>
      </c>
      <c r="C1388" s="6" t="s">
        <v>1998</v>
      </c>
      <c r="D1388" s="8" t="s">
        <v>76</v>
      </c>
      <c r="E1388" s="6" t="s">
        <v>241</v>
      </c>
      <c r="F1388" s="6" t="s">
        <v>85</v>
      </c>
      <c r="G1388" s="11" t="s">
        <v>56</v>
      </c>
      <c r="H1388" s="11"/>
      <c r="I1388" s="10" t="s">
        <v>1999</v>
      </c>
      <c r="J1388" s="6" t="s">
        <v>2000</v>
      </c>
      <c r="K1388" s="12">
        <v>46121.749722222223</v>
      </c>
      <c r="L1388" s="6" t="e" cm="1">
        <f t="array" ref="L1388">LOOKUP(2^15,SEARCH(Tabela2[Palavras-Chave],Boletim4[[#This Row],[Objeto]],1),Tabela2[Palavras-Chave])</f>
        <v>#N/A</v>
      </c>
    </row>
    <row r="1389" spans="1:12" ht="43.2" hidden="1" x14ac:dyDescent="0.3">
      <c r="A1389" s="5">
        <v>18809993</v>
      </c>
      <c r="B1389" s="6" t="s">
        <v>74</v>
      </c>
      <c r="C1389" s="6" t="s">
        <v>75</v>
      </c>
      <c r="D1389" s="8" t="s">
        <v>76</v>
      </c>
      <c r="E1389" s="6" t="s">
        <v>2001</v>
      </c>
      <c r="F1389" s="6" t="s">
        <v>85</v>
      </c>
      <c r="G1389" s="11" t="s">
        <v>56</v>
      </c>
      <c r="H1389" s="11"/>
      <c r="I1389" s="10" t="s">
        <v>2002</v>
      </c>
      <c r="J1389" s="6" t="s">
        <v>2003</v>
      </c>
      <c r="K1389" s="12">
        <v>46121.756666666668</v>
      </c>
      <c r="L1389" s="6" t="e" cm="1">
        <f t="array" ref="L1389">LOOKUP(2^15,SEARCH(Tabela2[Palavras-Chave],Boletim4[[#This Row],[Objeto]],1),Tabela2[Palavras-Chave])</f>
        <v>#N/A</v>
      </c>
    </row>
    <row r="1390" spans="1:12" ht="115.2" hidden="1" x14ac:dyDescent="0.3">
      <c r="A1390" s="5">
        <v>18808983</v>
      </c>
      <c r="B1390" s="6" t="s">
        <v>2004</v>
      </c>
      <c r="C1390" s="6" t="s">
        <v>75</v>
      </c>
      <c r="D1390" s="8" t="s">
        <v>76</v>
      </c>
      <c r="E1390" s="6" t="s">
        <v>2005</v>
      </c>
      <c r="F1390" s="6" t="s">
        <v>85</v>
      </c>
      <c r="G1390" s="11" t="s">
        <v>56</v>
      </c>
      <c r="H1390" s="11"/>
      <c r="I1390" s="10" t="s">
        <v>2006</v>
      </c>
      <c r="J1390" s="6" t="s">
        <v>2007</v>
      </c>
      <c r="K1390" s="12">
        <v>46121.807083333333</v>
      </c>
      <c r="L1390" s="6" t="e" cm="1">
        <f t="array" ref="L1390">LOOKUP(2^15,SEARCH(Tabela2[Palavras-Chave],Boletim4[[#This Row],[Objeto]],1),Tabela2[Palavras-Chave])</f>
        <v>#N/A</v>
      </c>
    </row>
    <row r="1391" spans="1:12" ht="115.2" hidden="1" x14ac:dyDescent="0.3">
      <c r="A1391" s="5">
        <v>18810913</v>
      </c>
      <c r="B1391" s="6" t="s">
        <v>2008</v>
      </c>
      <c r="C1391" s="6" t="s">
        <v>75</v>
      </c>
      <c r="D1391" s="8" t="s">
        <v>76</v>
      </c>
      <c r="E1391" s="6" t="s">
        <v>370</v>
      </c>
      <c r="F1391" s="6" t="s">
        <v>85</v>
      </c>
      <c r="G1391" s="11">
        <v>46129.416666666664</v>
      </c>
      <c r="H1391" s="11"/>
      <c r="I1391" s="10" t="s">
        <v>2009</v>
      </c>
      <c r="J1391" s="6" t="s">
        <v>2010</v>
      </c>
      <c r="K1391" s="12">
        <v>46121.827037037037</v>
      </c>
      <c r="L1391" s="6" t="e" cm="1">
        <f t="array" ref="L1391">LOOKUP(2^15,SEARCH(Tabela2[Palavras-Chave],Boletim4[[#This Row],[Objeto]],1),Tabela2[Palavras-Chave])</f>
        <v>#N/A</v>
      </c>
    </row>
    <row r="1392" spans="1:12" ht="115.2" hidden="1" x14ac:dyDescent="0.3">
      <c r="A1392" s="5">
        <v>18808985</v>
      </c>
      <c r="B1392" s="6" t="s">
        <v>357</v>
      </c>
      <c r="C1392" s="6" t="s">
        <v>358</v>
      </c>
      <c r="D1392" s="8" t="s">
        <v>76</v>
      </c>
      <c r="E1392" s="6" t="s">
        <v>210</v>
      </c>
      <c r="F1392" s="6" t="s">
        <v>85</v>
      </c>
      <c r="G1392" s="11" t="s">
        <v>56</v>
      </c>
      <c r="H1392" s="11"/>
      <c r="I1392" s="10" t="s">
        <v>2011</v>
      </c>
      <c r="J1392" s="6" t="s">
        <v>2012</v>
      </c>
      <c r="K1392" s="12">
        <v>46121.827569444446</v>
      </c>
      <c r="L1392" s="6" t="e" cm="1">
        <f t="array" ref="L1392">LOOKUP(2^15,SEARCH(Tabela2[Palavras-Chave],Boletim4[[#This Row],[Objeto]],1),Tabela2[Palavras-Chave])</f>
        <v>#N/A</v>
      </c>
    </row>
    <row r="1393" spans="1:12" ht="43.2" hidden="1" x14ac:dyDescent="0.3">
      <c r="A1393" s="5">
        <v>18810939</v>
      </c>
      <c r="B1393" s="6" t="s">
        <v>355</v>
      </c>
      <c r="C1393" s="6" t="s">
        <v>356</v>
      </c>
      <c r="D1393" s="8" t="s">
        <v>76</v>
      </c>
      <c r="E1393" s="6" t="s">
        <v>119</v>
      </c>
      <c r="F1393" s="6" t="s">
        <v>85</v>
      </c>
      <c r="G1393" s="11" t="s">
        <v>56</v>
      </c>
      <c r="H1393" s="11"/>
      <c r="I1393" s="10" t="s">
        <v>2013</v>
      </c>
      <c r="J1393" s="6" t="s">
        <v>2014</v>
      </c>
      <c r="K1393" s="12">
        <v>46121.831307870372</v>
      </c>
      <c r="L1393" s="6" t="e" cm="1">
        <f t="array" ref="L1393">LOOKUP(2^15,SEARCH(Tabela2[Palavras-Chave],Boletim4[[#This Row],[Objeto]],1),Tabela2[Palavras-Chave])</f>
        <v>#N/A</v>
      </c>
    </row>
    <row r="1394" spans="1:12" ht="100.8" hidden="1" x14ac:dyDescent="0.3">
      <c r="A1394" s="5">
        <v>18809518</v>
      </c>
      <c r="B1394" s="6" t="s">
        <v>2015</v>
      </c>
      <c r="C1394" s="6" t="s">
        <v>2016</v>
      </c>
      <c r="D1394" s="8" t="s">
        <v>76</v>
      </c>
      <c r="E1394" s="6" t="s">
        <v>146</v>
      </c>
      <c r="F1394" s="6" t="s">
        <v>85</v>
      </c>
      <c r="G1394" s="11">
        <v>46139.374305555553</v>
      </c>
      <c r="H1394" s="11"/>
      <c r="I1394" s="10" t="s">
        <v>2017</v>
      </c>
      <c r="J1394" s="6" t="s">
        <v>2018</v>
      </c>
      <c r="K1394" s="12">
        <v>46121.863159722219</v>
      </c>
      <c r="L1394" s="6" t="e" cm="1">
        <f t="array" ref="L1394">LOOKUP(2^15,SEARCH(Tabela2[Palavras-Chave],Boletim4[[#This Row],[Objeto]],1),Tabela2[Palavras-Chave])</f>
        <v>#N/A</v>
      </c>
    </row>
    <row r="1395" spans="1:12" ht="100.8" hidden="1" x14ac:dyDescent="0.3">
      <c r="A1395" s="5">
        <v>18807454</v>
      </c>
      <c r="B1395" s="6" t="s">
        <v>74</v>
      </c>
      <c r="C1395" s="6" t="s">
        <v>102</v>
      </c>
      <c r="D1395" s="8" t="s">
        <v>77</v>
      </c>
      <c r="E1395" s="6" t="s">
        <v>1319</v>
      </c>
      <c r="F1395" s="6" t="s">
        <v>85</v>
      </c>
      <c r="G1395" s="11" t="s">
        <v>56</v>
      </c>
      <c r="H1395" s="11"/>
      <c r="I1395" s="10" t="s">
        <v>1320</v>
      </c>
      <c r="J1395" s="6" t="s">
        <v>1321</v>
      </c>
      <c r="K1395" s="12">
        <v>46121.44730324074</v>
      </c>
      <c r="L1395" s="6" t="e" cm="1">
        <f t="array" ref="L1395">LOOKUP(2^15,SEARCH(Tabela2[Palavras-Chave],Boletim4[[#This Row],[Objeto]],1),Tabela2[Palavras-Chave])</f>
        <v>#N/A</v>
      </c>
    </row>
    <row r="1396" spans="1:12" ht="100.8" hidden="1" x14ac:dyDescent="0.3">
      <c r="A1396" s="5">
        <v>18807582</v>
      </c>
      <c r="B1396" s="6" t="s">
        <v>74</v>
      </c>
      <c r="C1396" s="6" t="s">
        <v>102</v>
      </c>
      <c r="D1396" s="8" t="s">
        <v>77</v>
      </c>
      <c r="E1396" s="6" t="s">
        <v>2972</v>
      </c>
      <c r="F1396" s="6" t="s">
        <v>85</v>
      </c>
      <c r="G1396" s="11" t="s">
        <v>56</v>
      </c>
      <c r="H1396" s="11"/>
      <c r="I1396" s="10" t="s">
        <v>2973</v>
      </c>
      <c r="J1396" s="6" t="s">
        <v>1321</v>
      </c>
      <c r="K1396" s="12">
        <v>46121.45008101852</v>
      </c>
      <c r="L1396" s="6" t="e" cm="1">
        <f t="array" ref="L1396">LOOKUP(2^15,SEARCH(Tabela2[Palavras-Chave],Boletim4[[#This Row],[Objeto]],1),Tabela2[Palavras-Chave])</f>
        <v>#N/A</v>
      </c>
    </row>
    <row r="1397" spans="1:12" ht="86.4" hidden="1" x14ac:dyDescent="0.3">
      <c r="A1397" s="5">
        <v>18810441</v>
      </c>
      <c r="B1397" s="6" t="s">
        <v>2019</v>
      </c>
      <c r="C1397" s="6" t="s">
        <v>2020</v>
      </c>
      <c r="D1397" s="8" t="s">
        <v>77</v>
      </c>
      <c r="E1397" s="6" t="s">
        <v>117</v>
      </c>
      <c r="F1397" s="6" t="s">
        <v>85</v>
      </c>
      <c r="G1397" s="11" t="s">
        <v>56</v>
      </c>
      <c r="H1397" s="11"/>
      <c r="I1397" s="10" t="s">
        <v>2021</v>
      </c>
      <c r="J1397" s="6" t="s">
        <v>2022</v>
      </c>
      <c r="K1397" s="12">
        <v>46121.736018518517</v>
      </c>
      <c r="L1397" s="6" t="e" cm="1">
        <f t="array" ref="L1397">LOOKUP(2^15,SEARCH(Tabela2[Palavras-Chave],Boletim4[[#This Row],[Objeto]],1),Tabela2[Palavras-Chave])</f>
        <v>#N/A</v>
      </c>
    </row>
    <row r="1398" spans="1:12" ht="244.8" hidden="1" x14ac:dyDescent="0.3">
      <c r="A1398" s="5">
        <v>18810368</v>
      </c>
      <c r="B1398" s="6" t="s">
        <v>2023</v>
      </c>
      <c r="C1398" s="6" t="s">
        <v>2024</v>
      </c>
      <c r="D1398" s="8" t="s">
        <v>77</v>
      </c>
      <c r="E1398" s="6" t="s">
        <v>135</v>
      </c>
      <c r="F1398" s="6" t="s">
        <v>85</v>
      </c>
      <c r="G1398" s="11" t="s">
        <v>56</v>
      </c>
      <c r="H1398" s="11"/>
      <c r="I1398" s="10" t="s">
        <v>2025</v>
      </c>
      <c r="J1398" s="6" t="s">
        <v>2026</v>
      </c>
      <c r="K1398" s="12">
        <v>46121.763113425928</v>
      </c>
      <c r="L1398" s="6" t="e" cm="1">
        <f t="array" ref="L1398">LOOKUP(2^15,SEARCH(Tabela2[Palavras-Chave],Boletim4[[#This Row],[Objeto]],1),Tabela2[Palavras-Chave])</f>
        <v>#N/A</v>
      </c>
    </row>
    <row r="1399" spans="1:12" ht="129.6" hidden="1" x14ac:dyDescent="0.3">
      <c r="A1399" s="5">
        <v>18808533</v>
      </c>
      <c r="B1399" s="6" t="s">
        <v>2027</v>
      </c>
      <c r="C1399" s="6" t="s">
        <v>102</v>
      </c>
      <c r="D1399" s="8" t="s">
        <v>77</v>
      </c>
      <c r="E1399" s="6" t="s">
        <v>481</v>
      </c>
      <c r="F1399" s="6" t="s">
        <v>85</v>
      </c>
      <c r="G1399" s="11" t="s">
        <v>56</v>
      </c>
      <c r="H1399" s="11"/>
      <c r="I1399" s="10" t="s">
        <v>2028</v>
      </c>
      <c r="J1399" s="6" t="s">
        <v>2029</v>
      </c>
      <c r="K1399" s="12">
        <v>46121.793541666666</v>
      </c>
      <c r="L1399" s="6" t="e" cm="1">
        <f t="array" ref="L1399">LOOKUP(2^15,SEARCH(Tabela2[Palavras-Chave],Boletim4[[#This Row],[Objeto]],1),Tabela2[Palavras-Chave])</f>
        <v>#N/A</v>
      </c>
    </row>
    <row r="1400" spans="1:12" ht="28.8" hidden="1" x14ac:dyDescent="0.3">
      <c r="A1400" s="5">
        <v>18794513</v>
      </c>
      <c r="B1400" s="6" t="s">
        <v>3225</v>
      </c>
      <c r="C1400" s="6" t="s">
        <v>3226</v>
      </c>
      <c r="D1400" s="8" t="s">
        <v>78</v>
      </c>
      <c r="E1400" s="6" t="s">
        <v>199</v>
      </c>
      <c r="F1400" s="6" t="s">
        <v>85</v>
      </c>
      <c r="G1400" s="11">
        <v>46139.375</v>
      </c>
      <c r="H1400" s="11"/>
      <c r="I1400" s="10" t="s">
        <v>3227</v>
      </c>
      <c r="J1400" s="6" t="s">
        <v>3228</v>
      </c>
      <c r="K1400" s="12">
        <v>46121.389050925929</v>
      </c>
      <c r="L1400" s="6" t="e" cm="1">
        <f t="array" ref="L1400">LOOKUP(2^15,SEARCH(Tabela2[Palavras-Chave],Boletim4[[#This Row],[Objeto]],1),Tabela2[Palavras-Chave])</f>
        <v>#N/A</v>
      </c>
    </row>
    <row r="1401" spans="1:12" ht="158.4" hidden="1" x14ac:dyDescent="0.3">
      <c r="A1401" s="5">
        <v>18802892</v>
      </c>
      <c r="B1401" s="6" t="s">
        <v>484</v>
      </c>
      <c r="C1401" s="6" t="s">
        <v>136</v>
      </c>
      <c r="D1401" s="8" t="s">
        <v>78</v>
      </c>
      <c r="E1401" s="6" t="s">
        <v>485</v>
      </c>
      <c r="F1401" s="6" t="s">
        <v>85</v>
      </c>
      <c r="G1401" s="11" t="s">
        <v>56</v>
      </c>
      <c r="H1401" s="11"/>
      <c r="I1401" s="10" t="s">
        <v>486</v>
      </c>
      <c r="J1401" s="6" t="s">
        <v>487</v>
      </c>
      <c r="K1401" s="12">
        <v>46121.429895833331</v>
      </c>
      <c r="L1401" s="6" t="e" cm="1">
        <f t="array" ref="L1401">LOOKUP(2^15,SEARCH(Tabela2[Palavras-Chave],Boletim4[[#This Row],[Objeto]],1),Tabela2[Palavras-Chave])</f>
        <v>#N/A</v>
      </c>
    </row>
    <row r="1402" spans="1:12" ht="100.8" hidden="1" x14ac:dyDescent="0.3">
      <c r="A1402" s="5">
        <v>18807456</v>
      </c>
      <c r="B1402" s="6" t="s">
        <v>74</v>
      </c>
      <c r="C1402" s="6" t="s">
        <v>136</v>
      </c>
      <c r="D1402" s="8" t="s">
        <v>78</v>
      </c>
      <c r="E1402" s="6" t="s">
        <v>1319</v>
      </c>
      <c r="F1402" s="6" t="s">
        <v>85</v>
      </c>
      <c r="G1402" s="11" t="s">
        <v>56</v>
      </c>
      <c r="H1402" s="11"/>
      <c r="I1402" s="10" t="s">
        <v>1320</v>
      </c>
      <c r="J1402" s="6" t="s">
        <v>1321</v>
      </c>
      <c r="K1402" s="12">
        <v>46121.44730324074</v>
      </c>
      <c r="L1402" s="6" t="e" cm="1">
        <f t="array" ref="L1402">LOOKUP(2^15,SEARCH(Tabela2[Palavras-Chave],Boletim4[[#This Row],[Objeto]],1),Tabela2[Palavras-Chave])</f>
        <v>#N/A</v>
      </c>
    </row>
    <row r="1403" spans="1:12" ht="100.8" hidden="1" x14ac:dyDescent="0.3">
      <c r="A1403" s="5">
        <v>18807583</v>
      </c>
      <c r="B1403" s="6" t="s">
        <v>74</v>
      </c>
      <c r="C1403" s="6" t="s">
        <v>136</v>
      </c>
      <c r="D1403" s="8" t="s">
        <v>78</v>
      </c>
      <c r="E1403" s="6" t="s">
        <v>2972</v>
      </c>
      <c r="F1403" s="6" t="s">
        <v>85</v>
      </c>
      <c r="G1403" s="11" t="s">
        <v>56</v>
      </c>
      <c r="H1403" s="11"/>
      <c r="I1403" s="10" t="s">
        <v>2973</v>
      </c>
      <c r="J1403" s="6" t="s">
        <v>1321</v>
      </c>
      <c r="K1403" s="12">
        <v>46121.45008101852</v>
      </c>
      <c r="L1403" s="6" t="e" cm="1">
        <f t="array" ref="L1403">LOOKUP(2^15,SEARCH(Tabela2[Palavras-Chave],Boletim4[[#This Row],[Objeto]],1),Tabela2[Palavras-Chave])</f>
        <v>#N/A</v>
      </c>
    </row>
    <row r="1404" spans="1:12" ht="72" hidden="1" x14ac:dyDescent="0.3">
      <c r="A1404" s="5">
        <v>18807155</v>
      </c>
      <c r="B1404" s="6" t="s">
        <v>2030</v>
      </c>
      <c r="C1404" s="6" t="s">
        <v>2031</v>
      </c>
      <c r="D1404" s="8" t="s">
        <v>78</v>
      </c>
      <c r="E1404" s="6" t="s">
        <v>155</v>
      </c>
      <c r="F1404" s="6" t="s">
        <v>85</v>
      </c>
      <c r="G1404" s="11">
        <v>46135.465277777781</v>
      </c>
      <c r="H1404" s="11"/>
      <c r="I1404" s="10" t="s">
        <v>2032</v>
      </c>
      <c r="J1404" s="6" t="s">
        <v>2033</v>
      </c>
      <c r="K1404" s="12">
        <v>46121.487523148149</v>
      </c>
      <c r="L1404" s="6" t="e" cm="1">
        <f t="array" ref="L1404">LOOKUP(2^15,SEARCH(Tabela2[Palavras-Chave],Boletim4[[#This Row],[Objeto]],1),Tabela2[Palavras-Chave])</f>
        <v>#N/A</v>
      </c>
    </row>
    <row r="1405" spans="1:12" hidden="1" x14ac:dyDescent="0.3">
      <c r="A1405" s="5">
        <v>18808752</v>
      </c>
      <c r="B1405" s="6" t="s">
        <v>2915</v>
      </c>
      <c r="C1405" s="6" t="s">
        <v>2916</v>
      </c>
      <c r="D1405" s="8" t="s">
        <v>78</v>
      </c>
      <c r="E1405" s="6" t="s">
        <v>3229</v>
      </c>
      <c r="F1405" s="6" t="s">
        <v>85</v>
      </c>
      <c r="G1405" s="11" t="s">
        <v>56</v>
      </c>
      <c r="H1405" s="11"/>
      <c r="I1405" s="10" t="s">
        <v>3230</v>
      </c>
      <c r="J1405" s="6" t="s">
        <v>2919</v>
      </c>
      <c r="K1405" s="12">
        <v>46121.563622685186</v>
      </c>
      <c r="L1405" s="6" t="e" cm="1">
        <f t="array" ref="L1405">LOOKUP(2^15,SEARCH(Tabela2[Palavras-Chave],Boletim4[[#This Row],[Objeto]],1),Tabela2[Palavras-Chave])</f>
        <v>#N/A</v>
      </c>
    </row>
    <row r="1406" spans="1:12" ht="86.4" hidden="1" x14ac:dyDescent="0.3">
      <c r="A1406" s="5">
        <v>18809399</v>
      </c>
      <c r="B1406" s="6" t="s">
        <v>2034</v>
      </c>
      <c r="C1406" s="6" t="s">
        <v>2035</v>
      </c>
      <c r="D1406" s="8" t="s">
        <v>78</v>
      </c>
      <c r="E1406" s="6" t="s">
        <v>2036</v>
      </c>
      <c r="F1406" s="6" t="s">
        <v>85</v>
      </c>
      <c r="G1406" s="11" t="s">
        <v>56</v>
      </c>
      <c r="H1406" s="11"/>
      <c r="I1406" s="10" t="s">
        <v>2037</v>
      </c>
      <c r="J1406" s="6" t="s">
        <v>2038</v>
      </c>
      <c r="K1406" s="12">
        <v>46121.627476851849</v>
      </c>
      <c r="L1406" s="6" t="e" cm="1">
        <f t="array" ref="L1406">LOOKUP(2^15,SEARCH(Tabela2[Palavras-Chave],Boletim4[[#This Row],[Objeto]],1),Tabela2[Palavras-Chave])</f>
        <v>#N/A</v>
      </c>
    </row>
    <row r="1407" spans="1:12" ht="158.4" hidden="1" x14ac:dyDescent="0.3">
      <c r="A1407" s="5">
        <v>18808414</v>
      </c>
      <c r="B1407" s="6" t="s">
        <v>484</v>
      </c>
      <c r="C1407" s="6" t="s">
        <v>136</v>
      </c>
      <c r="D1407" s="8" t="s">
        <v>78</v>
      </c>
      <c r="E1407" s="6" t="s">
        <v>2039</v>
      </c>
      <c r="F1407" s="6" t="s">
        <v>85</v>
      </c>
      <c r="G1407" s="11" t="s">
        <v>56</v>
      </c>
      <c r="H1407" s="11"/>
      <c r="I1407" s="10" t="s">
        <v>2040</v>
      </c>
      <c r="J1407" s="6" t="s">
        <v>2041</v>
      </c>
      <c r="K1407" s="12">
        <v>46121.712939814817</v>
      </c>
      <c r="L1407" s="6" t="e" cm="1">
        <f t="array" ref="L1407">LOOKUP(2^15,SEARCH(Tabela2[Palavras-Chave],Boletim4[[#This Row],[Objeto]],1),Tabela2[Palavras-Chave])</f>
        <v>#N/A</v>
      </c>
    </row>
    <row r="1408" spans="1:12" ht="57.6" hidden="1" x14ac:dyDescent="0.3">
      <c r="A1408" s="5">
        <v>18810585</v>
      </c>
      <c r="B1408" s="6" t="s">
        <v>2042</v>
      </c>
      <c r="C1408" s="6" t="s">
        <v>2043</v>
      </c>
      <c r="D1408" s="8" t="s">
        <v>78</v>
      </c>
      <c r="E1408" s="6" t="s">
        <v>390</v>
      </c>
      <c r="F1408" s="6" t="s">
        <v>85</v>
      </c>
      <c r="G1408" s="11">
        <v>46136.375</v>
      </c>
      <c r="H1408" s="11"/>
      <c r="I1408" s="10" t="s">
        <v>2044</v>
      </c>
      <c r="J1408" s="6" t="s">
        <v>2045</v>
      </c>
      <c r="K1408" s="12">
        <v>46121.794490740744</v>
      </c>
      <c r="L1408" s="6" t="e" cm="1">
        <f t="array" ref="L1408">LOOKUP(2^15,SEARCH(Tabela2[Palavras-Chave],Boletim4[[#This Row],[Objeto]],1),Tabela2[Palavras-Chave])</f>
        <v>#N/A</v>
      </c>
    </row>
    <row r="1409" spans="1:12" ht="100.8" hidden="1" x14ac:dyDescent="0.3">
      <c r="A1409" s="5">
        <v>18807457</v>
      </c>
      <c r="B1409" s="6" t="s">
        <v>74</v>
      </c>
      <c r="C1409" s="6" t="s">
        <v>2046</v>
      </c>
      <c r="D1409" s="8" t="s">
        <v>256</v>
      </c>
      <c r="E1409" s="6" t="s">
        <v>1319</v>
      </c>
      <c r="F1409" s="6" t="s">
        <v>85</v>
      </c>
      <c r="G1409" s="11" t="s">
        <v>56</v>
      </c>
      <c r="H1409" s="11"/>
      <c r="I1409" s="10" t="s">
        <v>1320</v>
      </c>
      <c r="J1409" s="6" t="s">
        <v>1321</v>
      </c>
      <c r="K1409" s="12">
        <v>46121.44730324074</v>
      </c>
      <c r="L1409" s="6" t="e" cm="1">
        <f t="array" ref="L1409">LOOKUP(2^15,SEARCH(Tabela2[Palavras-Chave],Boletim4[[#This Row],[Objeto]],1),Tabela2[Palavras-Chave])</f>
        <v>#N/A</v>
      </c>
    </row>
    <row r="1410" spans="1:12" ht="100.8" hidden="1" x14ac:dyDescent="0.3">
      <c r="A1410" s="5">
        <v>18807584</v>
      </c>
      <c r="B1410" s="6" t="s">
        <v>74</v>
      </c>
      <c r="C1410" s="6" t="s">
        <v>2046</v>
      </c>
      <c r="D1410" s="8" t="s">
        <v>256</v>
      </c>
      <c r="E1410" s="6" t="s">
        <v>2972</v>
      </c>
      <c r="F1410" s="6" t="s">
        <v>85</v>
      </c>
      <c r="G1410" s="11" t="s">
        <v>56</v>
      </c>
      <c r="H1410" s="11"/>
      <c r="I1410" s="10" t="s">
        <v>2973</v>
      </c>
      <c r="J1410" s="6" t="s">
        <v>1321</v>
      </c>
      <c r="K1410" s="12">
        <v>46121.45008101852</v>
      </c>
      <c r="L1410" s="6" t="e" cm="1">
        <f t="array" ref="L1410">LOOKUP(2^15,SEARCH(Tabela2[Palavras-Chave],Boletim4[[#This Row],[Objeto]],1),Tabela2[Palavras-Chave])</f>
        <v>#N/A</v>
      </c>
    </row>
    <row r="1411" spans="1:12" ht="86.4" hidden="1" x14ac:dyDescent="0.3">
      <c r="A1411" s="5">
        <v>18800747</v>
      </c>
      <c r="B1411" s="6" t="s">
        <v>2047</v>
      </c>
      <c r="C1411" s="6" t="s">
        <v>79</v>
      </c>
      <c r="D1411" s="8" t="s">
        <v>80</v>
      </c>
      <c r="E1411" s="6" t="s">
        <v>113</v>
      </c>
      <c r="F1411" s="6" t="s">
        <v>85</v>
      </c>
      <c r="G1411" s="11" t="s">
        <v>56</v>
      </c>
      <c r="H1411" s="11"/>
      <c r="I1411" s="10" t="s">
        <v>2048</v>
      </c>
      <c r="J1411" s="6" t="s">
        <v>2049</v>
      </c>
      <c r="K1411" s="12">
        <v>46121.389039351852</v>
      </c>
      <c r="L1411" s="6" t="e" cm="1">
        <f t="array" ref="L1411">LOOKUP(2^15,SEARCH(Tabela2[Palavras-Chave],Boletim4[[#This Row],[Objeto]],1),Tabela2[Palavras-Chave])</f>
        <v>#N/A</v>
      </c>
    </row>
    <row r="1412" spans="1:12" ht="259.2" hidden="1" x14ac:dyDescent="0.3">
      <c r="A1412" s="5">
        <v>18807075</v>
      </c>
      <c r="B1412" s="6" t="s">
        <v>2050</v>
      </c>
      <c r="C1412" s="6" t="s">
        <v>2051</v>
      </c>
      <c r="D1412" s="8" t="s">
        <v>80</v>
      </c>
      <c r="E1412" s="6" t="s">
        <v>113</v>
      </c>
      <c r="F1412" s="6" t="s">
        <v>85</v>
      </c>
      <c r="G1412" s="11" t="s">
        <v>56</v>
      </c>
      <c r="H1412" s="11"/>
      <c r="I1412" s="10" t="s">
        <v>2052</v>
      </c>
      <c r="J1412" s="6" t="s">
        <v>2053</v>
      </c>
      <c r="K1412" s="12">
        <v>46121.442488425928</v>
      </c>
      <c r="L1412" s="6" t="e" cm="1">
        <f t="array" ref="L1412">LOOKUP(2^15,SEARCH(Tabela2[Palavras-Chave],Boletim4[[#This Row],[Objeto]],1),Tabela2[Palavras-Chave])</f>
        <v>#N/A</v>
      </c>
    </row>
    <row r="1413" spans="1:12" ht="43.2" hidden="1" x14ac:dyDescent="0.3">
      <c r="A1413" s="5">
        <v>18807027</v>
      </c>
      <c r="B1413" s="6" t="s">
        <v>2054</v>
      </c>
      <c r="C1413" s="6" t="s">
        <v>2055</v>
      </c>
      <c r="D1413" s="8" t="s">
        <v>80</v>
      </c>
      <c r="E1413" s="6" t="s">
        <v>474</v>
      </c>
      <c r="F1413" s="6" t="s">
        <v>85</v>
      </c>
      <c r="G1413" s="11">
        <v>46135.375694444447</v>
      </c>
      <c r="H1413" s="11"/>
      <c r="I1413" s="10" t="s">
        <v>2056</v>
      </c>
      <c r="J1413" s="6" t="s">
        <v>2057</v>
      </c>
      <c r="K1413" s="12">
        <v>46121.443553240744</v>
      </c>
      <c r="L1413" s="6" t="e" cm="1">
        <f t="array" ref="L1413">LOOKUP(2^15,SEARCH(Tabela2[Palavras-Chave],Boletim4[[#This Row],[Objeto]],1),Tabela2[Palavras-Chave])</f>
        <v>#N/A</v>
      </c>
    </row>
    <row r="1414" spans="1:12" ht="100.8" hidden="1" x14ac:dyDescent="0.3">
      <c r="A1414" s="5">
        <v>18807459</v>
      </c>
      <c r="B1414" s="6" t="s">
        <v>74</v>
      </c>
      <c r="C1414" s="6" t="s">
        <v>79</v>
      </c>
      <c r="D1414" s="8" t="s">
        <v>80</v>
      </c>
      <c r="E1414" s="6" t="s">
        <v>1319</v>
      </c>
      <c r="F1414" s="6" t="s">
        <v>85</v>
      </c>
      <c r="G1414" s="11" t="s">
        <v>56</v>
      </c>
      <c r="H1414" s="11"/>
      <c r="I1414" s="10" t="s">
        <v>1320</v>
      </c>
      <c r="J1414" s="6" t="s">
        <v>1321</v>
      </c>
      <c r="K1414" s="12">
        <v>46121.447314814817</v>
      </c>
      <c r="L1414" s="6" t="e" cm="1">
        <f t="array" ref="L1414">LOOKUP(2^15,SEARCH(Tabela2[Palavras-Chave],Boletim4[[#This Row],[Objeto]],1),Tabela2[Palavras-Chave])</f>
        <v>#N/A</v>
      </c>
    </row>
    <row r="1415" spans="1:12" ht="115.2" hidden="1" x14ac:dyDescent="0.3">
      <c r="A1415" s="5">
        <v>18807384</v>
      </c>
      <c r="B1415" s="6" t="s">
        <v>2058</v>
      </c>
      <c r="C1415" s="6" t="s">
        <v>2059</v>
      </c>
      <c r="D1415" s="8" t="s">
        <v>80</v>
      </c>
      <c r="E1415" s="6" t="s">
        <v>155</v>
      </c>
      <c r="F1415" s="6" t="s">
        <v>85</v>
      </c>
      <c r="G1415" s="11">
        <v>46146.395138888889</v>
      </c>
      <c r="H1415" s="11"/>
      <c r="I1415" s="10" t="s">
        <v>2060</v>
      </c>
      <c r="J1415" s="6" t="s">
        <v>2061</v>
      </c>
      <c r="K1415" s="12">
        <v>46121.44703703704</v>
      </c>
      <c r="L1415" s="6" t="e" cm="1">
        <f t="array" ref="L1415">LOOKUP(2^15,SEARCH(Tabela2[Palavras-Chave],Boletim4[[#This Row],[Objeto]],1),Tabela2[Palavras-Chave])</f>
        <v>#N/A</v>
      </c>
    </row>
    <row r="1416" spans="1:12" ht="100.8" hidden="1" x14ac:dyDescent="0.3">
      <c r="A1416" s="5">
        <v>18807585</v>
      </c>
      <c r="B1416" s="6" t="s">
        <v>74</v>
      </c>
      <c r="C1416" s="6" t="s">
        <v>79</v>
      </c>
      <c r="D1416" s="8" t="s">
        <v>80</v>
      </c>
      <c r="E1416" s="6" t="s">
        <v>2972</v>
      </c>
      <c r="F1416" s="6" t="s">
        <v>85</v>
      </c>
      <c r="G1416" s="11" t="s">
        <v>56</v>
      </c>
      <c r="H1416" s="11"/>
      <c r="I1416" s="10" t="s">
        <v>2973</v>
      </c>
      <c r="J1416" s="6" t="s">
        <v>1321</v>
      </c>
      <c r="K1416" s="12">
        <v>46121.45008101852</v>
      </c>
      <c r="L1416" s="6" t="e" cm="1">
        <f t="array" ref="L1416">LOOKUP(2^15,SEARCH(Tabela2[Palavras-Chave],Boletim4[[#This Row],[Objeto]],1),Tabela2[Palavras-Chave])</f>
        <v>#N/A</v>
      </c>
    </row>
    <row r="1417" spans="1:12" ht="86.4" hidden="1" x14ac:dyDescent="0.3">
      <c r="A1417" s="5">
        <v>18806056</v>
      </c>
      <c r="B1417" s="6" t="s">
        <v>501</v>
      </c>
      <c r="C1417" s="6" t="s">
        <v>502</v>
      </c>
      <c r="D1417" s="8" t="s">
        <v>80</v>
      </c>
      <c r="E1417" s="6" t="s">
        <v>117</v>
      </c>
      <c r="F1417" s="6" t="s">
        <v>85</v>
      </c>
      <c r="G1417" s="11" t="s">
        <v>56</v>
      </c>
      <c r="H1417" s="11"/>
      <c r="I1417" s="10" t="s">
        <v>503</v>
      </c>
      <c r="J1417" s="6" t="s">
        <v>504</v>
      </c>
      <c r="K1417" s="12">
        <v>46121.451493055552</v>
      </c>
      <c r="L1417" s="6" t="e" cm="1">
        <f t="array" ref="L1417">LOOKUP(2^15,SEARCH(Tabela2[Palavras-Chave],Boletim4[[#This Row],[Objeto]],1),Tabela2[Palavras-Chave])</f>
        <v>#N/A</v>
      </c>
    </row>
    <row r="1418" spans="1:12" ht="100.8" hidden="1" x14ac:dyDescent="0.3">
      <c r="A1418" s="5">
        <v>18807495</v>
      </c>
      <c r="B1418" s="6" t="s">
        <v>2062</v>
      </c>
      <c r="C1418" s="6" t="s">
        <v>2063</v>
      </c>
      <c r="D1418" s="8" t="s">
        <v>80</v>
      </c>
      <c r="E1418" s="6" t="s">
        <v>115</v>
      </c>
      <c r="F1418" s="6" t="s">
        <v>85</v>
      </c>
      <c r="G1418" s="11">
        <v>46135.409722222219</v>
      </c>
      <c r="H1418" s="11"/>
      <c r="I1418" s="10" t="s">
        <v>2064</v>
      </c>
      <c r="J1418" s="6" t="s">
        <v>2065</v>
      </c>
      <c r="K1418" s="12">
        <v>46121.452118055553</v>
      </c>
      <c r="L1418" s="6" t="e" cm="1">
        <f t="array" ref="L1418">LOOKUP(2^15,SEARCH(Tabela2[Palavras-Chave],Boletim4[[#This Row],[Objeto]],1),Tabela2[Palavras-Chave])</f>
        <v>#N/A</v>
      </c>
    </row>
    <row r="1419" spans="1:12" ht="201.6" x14ac:dyDescent="0.3">
      <c r="A1419" s="5">
        <v>18806925</v>
      </c>
      <c r="B1419" s="6" t="s">
        <v>2066</v>
      </c>
      <c r="C1419" s="6" t="s">
        <v>2067</v>
      </c>
      <c r="D1419" s="8" t="s">
        <v>80</v>
      </c>
      <c r="E1419" s="6" t="s">
        <v>115</v>
      </c>
      <c r="F1419" s="6" t="s">
        <v>85</v>
      </c>
      <c r="G1419" s="11" t="s">
        <v>56</v>
      </c>
      <c r="H1419" s="11"/>
      <c r="I1419" s="10" t="s">
        <v>2068</v>
      </c>
      <c r="J1419" s="6" t="s">
        <v>2069</v>
      </c>
      <c r="K1419" s="12">
        <v>46121.455983796295</v>
      </c>
      <c r="L1419" s="6" t="str" cm="1">
        <f t="array" ref="L1419">LOOKUP(2^15,SEARCH(Tabela2[Palavras-Chave],Boletim4[[#This Row],[Objeto]],1),Tabela2[Palavras-Chave])</f>
        <v>RESERVAT</v>
      </c>
    </row>
    <row r="1420" spans="1:12" ht="86.4" hidden="1" x14ac:dyDescent="0.3">
      <c r="A1420" s="5">
        <v>18806919</v>
      </c>
      <c r="B1420" s="6" t="s">
        <v>2070</v>
      </c>
      <c r="C1420" s="6" t="s">
        <v>2071</v>
      </c>
      <c r="D1420" s="8" t="s">
        <v>80</v>
      </c>
      <c r="E1420" s="6" t="s">
        <v>122</v>
      </c>
      <c r="F1420" s="6" t="s">
        <v>85</v>
      </c>
      <c r="G1420" s="11" t="s">
        <v>56</v>
      </c>
      <c r="H1420" s="11"/>
      <c r="I1420" s="10" t="s">
        <v>2072</v>
      </c>
      <c r="J1420" s="6" t="s">
        <v>2073</v>
      </c>
      <c r="K1420" s="12">
        <v>46121.48847222222</v>
      </c>
      <c r="L1420" s="6" t="e" cm="1">
        <f t="array" ref="L1420">LOOKUP(2^15,SEARCH(Tabela2[Palavras-Chave],Boletim4[[#This Row],[Objeto]],1),Tabela2[Palavras-Chave])</f>
        <v>#N/A</v>
      </c>
    </row>
    <row r="1421" spans="1:12" ht="72" hidden="1" x14ac:dyDescent="0.3">
      <c r="A1421" s="5">
        <v>18807487</v>
      </c>
      <c r="B1421" s="6" t="s">
        <v>74</v>
      </c>
      <c r="C1421" s="6" t="s">
        <v>79</v>
      </c>
      <c r="D1421" s="8" t="s">
        <v>80</v>
      </c>
      <c r="E1421" s="6" t="s">
        <v>1938</v>
      </c>
      <c r="F1421" s="6" t="s">
        <v>85</v>
      </c>
      <c r="G1421" s="11" t="s">
        <v>56</v>
      </c>
      <c r="H1421" s="11"/>
      <c r="I1421" s="10" t="s">
        <v>1939</v>
      </c>
      <c r="J1421" s="6" t="s">
        <v>1940</v>
      </c>
      <c r="K1421" s="12">
        <v>46121.507002314815</v>
      </c>
      <c r="L1421" s="6" t="e" cm="1">
        <f t="array" ref="L1421">LOOKUP(2^15,SEARCH(Tabela2[Palavras-Chave],Boletim4[[#This Row],[Objeto]],1),Tabela2[Palavras-Chave])</f>
        <v>#N/A</v>
      </c>
    </row>
    <row r="1422" spans="1:12" ht="115.2" hidden="1" x14ac:dyDescent="0.3">
      <c r="A1422" s="5">
        <v>18807503</v>
      </c>
      <c r="B1422" s="6" t="s">
        <v>2074</v>
      </c>
      <c r="C1422" s="6" t="s">
        <v>2075</v>
      </c>
      <c r="D1422" s="8" t="s">
        <v>80</v>
      </c>
      <c r="E1422" s="6" t="s">
        <v>2076</v>
      </c>
      <c r="F1422" s="6" t="s">
        <v>85</v>
      </c>
      <c r="G1422" s="11">
        <v>46134.375</v>
      </c>
      <c r="H1422" s="11"/>
      <c r="I1422" s="10" t="s">
        <v>2077</v>
      </c>
      <c r="J1422" s="6" t="s">
        <v>2078</v>
      </c>
      <c r="K1422" s="12">
        <v>46121.505729166667</v>
      </c>
      <c r="L1422" s="6" t="e" cm="1">
        <f t="array" ref="L1422">LOOKUP(2^15,SEARCH(Tabela2[Palavras-Chave],Boletim4[[#This Row],[Objeto]],1),Tabela2[Palavras-Chave])</f>
        <v>#N/A</v>
      </c>
    </row>
    <row r="1423" spans="1:12" ht="100.8" hidden="1" x14ac:dyDescent="0.3">
      <c r="A1423" s="5">
        <v>18797112</v>
      </c>
      <c r="B1423" s="6" t="s">
        <v>2079</v>
      </c>
      <c r="C1423" s="6" t="s">
        <v>2080</v>
      </c>
      <c r="D1423" s="8" t="s">
        <v>80</v>
      </c>
      <c r="E1423" s="6" t="s">
        <v>113</v>
      </c>
      <c r="F1423" s="6" t="s">
        <v>85</v>
      </c>
      <c r="G1423" s="11">
        <v>46134.333333333336</v>
      </c>
      <c r="H1423" s="11"/>
      <c r="I1423" s="10" t="s">
        <v>2081</v>
      </c>
      <c r="J1423" s="6" t="s">
        <v>2082</v>
      </c>
      <c r="K1423" s="12">
        <v>46121.587581018517</v>
      </c>
      <c r="L1423" s="6" t="e" cm="1">
        <f t="array" ref="L1423">LOOKUP(2^15,SEARCH(Tabela2[Palavras-Chave],Boletim4[[#This Row],[Objeto]],1),Tabela2[Palavras-Chave])</f>
        <v>#N/A</v>
      </c>
    </row>
    <row r="1424" spans="1:12" ht="43.2" hidden="1" x14ac:dyDescent="0.3">
      <c r="A1424" s="5">
        <v>18801533</v>
      </c>
      <c r="B1424" s="6" t="s">
        <v>247</v>
      </c>
      <c r="C1424" s="6" t="s">
        <v>79</v>
      </c>
      <c r="D1424" s="8" t="s">
        <v>80</v>
      </c>
      <c r="E1424" s="6" t="s">
        <v>490</v>
      </c>
      <c r="F1424" s="6" t="s">
        <v>85</v>
      </c>
      <c r="G1424" s="11">
        <v>46126.417361111111</v>
      </c>
      <c r="H1424" s="11"/>
      <c r="I1424" s="10" t="s">
        <v>278</v>
      </c>
      <c r="J1424" s="6" t="s">
        <v>491</v>
      </c>
      <c r="K1424" s="12">
        <v>46121.58693287037</v>
      </c>
      <c r="L1424" s="6" t="e" cm="1">
        <f t="array" ref="L1424">LOOKUP(2^15,SEARCH(Tabela2[Palavras-Chave],Boletim4[[#This Row],[Objeto]],1),Tabela2[Palavras-Chave])</f>
        <v>#N/A</v>
      </c>
    </row>
    <row r="1425" spans="1:12" ht="43.2" hidden="1" x14ac:dyDescent="0.3">
      <c r="A1425" s="5">
        <v>18800331</v>
      </c>
      <c r="B1425" s="6" t="s">
        <v>247</v>
      </c>
      <c r="C1425" s="6" t="s">
        <v>79</v>
      </c>
      <c r="D1425" s="8" t="s">
        <v>80</v>
      </c>
      <c r="E1425" s="6" t="s">
        <v>2083</v>
      </c>
      <c r="F1425" s="6" t="s">
        <v>85</v>
      </c>
      <c r="G1425" s="11">
        <v>46125.354861111111</v>
      </c>
      <c r="H1425" s="11"/>
      <c r="I1425" s="10" t="s">
        <v>2084</v>
      </c>
      <c r="J1425" s="6" t="s">
        <v>2085</v>
      </c>
      <c r="K1425" s="12">
        <v>46121.587557870371</v>
      </c>
      <c r="L1425" s="6" t="e" cm="1">
        <f t="array" ref="L1425">LOOKUP(2^15,SEARCH(Tabela2[Palavras-Chave],Boletim4[[#This Row],[Objeto]],1),Tabela2[Palavras-Chave])</f>
        <v>#N/A</v>
      </c>
    </row>
    <row r="1426" spans="1:12" ht="43.2" hidden="1" x14ac:dyDescent="0.3">
      <c r="A1426" s="5">
        <v>18798654</v>
      </c>
      <c r="B1426" s="6" t="s">
        <v>2086</v>
      </c>
      <c r="C1426" s="6" t="s">
        <v>495</v>
      </c>
      <c r="D1426" s="8" t="s">
        <v>80</v>
      </c>
      <c r="E1426" s="6" t="s">
        <v>292</v>
      </c>
      <c r="F1426" s="6" t="s">
        <v>85</v>
      </c>
      <c r="G1426" s="11">
        <v>46139.395833333336</v>
      </c>
      <c r="H1426" s="11"/>
      <c r="I1426" s="10" t="s">
        <v>2087</v>
      </c>
      <c r="J1426" s="6" t="s">
        <v>2088</v>
      </c>
      <c r="K1426" s="12">
        <v>46121.587627314817</v>
      </c>
      <c r="L1426" s="6" t="e" cm="1">
        <f t="array" ref="L1426">LOOKUP(2^15,SEARCH(Tabela2[Palavras-Chave],Boletim4[[#This Row],[Objeto]],1),Tabela2[Palavras-Chave])</f>
        <v>#N/A</v>
      </c>
    </row>
    <row r="1427" spans="1:12" ht="72" hidden="1" x14ac:dyDescent="0.3">
      <c r="A1427" s="5">
        <v>18803189</v>
      </c>
      <c r="B1427" s="6" t="s">
        <v>2089</v>
      </c>
      <c r="C1427" s="6" t="s">
        <v>2090</v>
      </c>
      <c r="D1427" s="8" t="s">
        <v>80</v>
      </c>
      <c r="E1427" s="6" t="s">
        <v>473</v>
      </c>
      <c r="F1427" s="6" t="s">
        <v>85</v>
      </c>
      <c r="G1427" s="11">
        <v>46135.354166666664</v>
      </c>
      <c r="H1427" s="11"/>
      <c r="I1427" s="10" t="s">
        <v>2091</v>
      </c>
      <c r="J1427" s="6" t="s">
        <v>2092</v>
      </c>
      <c r="K1427" s="12">
        <v>46121.605567129627</v>
      </c>
      <c r="L1427" s="6" t="e" cm="1">
        <f t="array" ref="L1427">LOOKUP(2^15,SEARCH(Tabela2[Palavras-Chave],Boletim4[[#This Row],[Objeto]],1),Tabela2[Palavras-Chave])</f>
        <v>#N/A</v>
      </c>
    </row>
    <row r="1428" spans="1:12" ht="43.2" hidden="1" x14ac:dyDescent="0.3">
      <c r="A1428" s="5">
        <v>18807282</v>
      </c>
      <c r="B1428" s="6" t="s">
        <v>2093</v>
      </c>
      <c r="C1428" s="6" t="s">
        <v>2094</v>
      </c>
      <c r="D1428" s="8" t="s">
        <v>80</v>
      </c>
      <c r="E1428" s="6" t="s">
        <v>128</v>
      </c>
      <c r="F1428" s="6" t="s">
        <v>85</v>
      </c>
      <c r="G1428" s="11">
        <v>46134.5625</v>
      </c>
      <c r="H1428" s="11"/>
      <c r="I1428" s="10" t="s">
        <v>2095</v>
      </c>
      <c r="J1428" s="6" t="s">
        <v>2096</v>
      </c>
      <c r="K1428" s="12">
        <v>46121.61515046296</v>
      </c>
      <c r="L1428" s="6" t="e" cm="1">
        <f t="array" ref="L1428">LOOKUP(2^15,SEARCH(Tabela2[Palavras-Chave],Boletim4[[#This Row],[Objeto]],1),Tabela2[Palavras-Chave])</f>
        <v>#N/A</v>
      </c>
    </row>
    <row r="1429" spans="1:12" ht="100.8" hidden="1" x14ac:dyDescent="0.3">
      <c r="A1429" s="5">
        <v>18809529</v>
      </c>
      <c r="B1429" s="6" t="s">
        <v>496</v>
      </c>
      <c r="C1429" s="6" t="s">
        <v>497</v>
      </c>
      <c r="D1429" s="8" t="s">
        <v>80</v>
      </c>
      <c r="E1429" s="6" t="s">
        <v>536</v>
      </c>
      <c r="F1429" s="6" t="s">
        <v>85</v>
      </c>
      <c r="G1429" s="11">
        <v>46136.374305555553</v>
      </c>
      <c r="H1429" s="11"/>
      <c r="I1429" s="10" t="s">
        <v>2097</v>
      </c>
      <c r="J1429" s="6" t="s">
        <v>2098</v>
      </c>
      <c r="K1429" s="12">
        <v>46121.615983796299</v>
      </c>
      <c r="L1429" s="6" t="e" cm="1">
        <f t="array" ref="L1429">LOOKUP(2^15,SEARCH(Tabela2[Palavras-Chave],Boletim4[[#This Row],[Objeto]],1),Tabela2[Palavras-Chave])</f>
        <v>#N/A</v>
      </c>
    </row>
    <row r="1430" spans="1:12" ht="72" hidden="1" x14ac:dyDescent="0.3">
      <c r="A1430" s="5">
        <v>18808125</v>
      </c>
      <c r="B1430" s="6" t="s">
        <v>2099</v>
      </c>
      <c r="C1430" s="6" t="s">
        <v>79</v>
      </c>
      <c r="D1430" s="8" t="s">
        <v>80</v>
      </c>
      <c r="E1430" s="6" t="s">
        <v>2100</v>
      </c>
      <c r="F1430" s="6" t="s">
        <v>85</v>
      </c>
      <c r="G1430" s="11">
        <v>46156.395833333336</v>
      </c>
      <c r="H1430" s="11"/>
      <c r="I1430" s="10" t="s">
        <v>2101</v>
      </c>
      <c r="J1430" s="6" t="s">
        <v>2102</v>
      </c>
      <c r="K1430" s="12">
        <v>46121.722280092596</v>
      </c>
      <c r="L1430" s="6" t="e" cm="1">
        <f t="array" ref="L1430">LOOKUP(2^15,SEARCH(Tabela2[Palavras-Chave],Boletim4[[#This Row],[Objeto]],1),Tabela2[Palavras-Chave])</f>
        <v>#N/A</v>
      </c>
    </row>
    <row r="1431" spans="1:12" ht="100.8" hidden="1" x14ac:dyDescent="0.3">
      <c r="A1431" s="5">
        <v>18809550</v>
      </c>
      <c r="B1431" s="6" t="s">
        <v>2103</v>
      </c>
      <c r="C1431" s="6" t="s">
        <v>2104</v>
      </c>
      <c r="D1431" s="8" t="s">
        <v>80</v>
      </c>
      <c r="E1431" s="6" t="s">
        <v>293</v>
      </c>
      <c r="F1431" s="6" t="s">
        <v>85</v>
      </c>
      <c r="G1431" s="11">
        <v>46135.329861111109</v>
      </c>
      <c r="H1431" s="11"/>
      <c r="I1431" s="10" t="s">
        <v>2105</v>
      </c>
      <c r="J1431" s="6" t="s">
        <v>2106</v>
      </c>
      <c r="K1431" s="12">
        <v>46121.70275462963</v>
      </c>
      <c r="L1431" s="6" t="e" cm="1">
        <f t="array" ref="L1431">LOOKUP(2^15,SEARCH(Tabela2[Palavras-Chave],Boletim4[[#This Row],[Objeto]],1),Tabela2[Palavras-Chave])</f>
        <v>#N/A</v>
      </c>
    </row>
    <row r="1432" spans="1:12" ht="86.4" hidden="1" x14ac:dyDescent="0.3">
      <c r="A1432" s="5">
        <v>18806930</v>
      </c>
      <c r="B1432" s="6" t="s">
        <v>2107</v>
      </c>
      <c r="C1432" s="6" t="s">
        <v>2108</v>
      </c>
      <c r="D1432" s="8" t="s">
        <v>80</v>
      </c>
      <c r="E1432" s="6" t="s">
        <v>2109</v>
      </c>
      <c r="F1432" s="6" t="s">
        <v>85</v>
      </c>
      <c r="G1432" s="11" t="s">
        <v>56</v>
      </c>
      <c r="H1432" s="11"/>
      <c r="I1432" s="10" t="s">
        <v>2110</v>
      </c>
      <c r="J1432" s="6" t="s">
        <v>2111</v>
      </c>
      <c r="K1432" s="12">
        <v>46121.718738425923</v>
      </c>
      <c r="L1432" s="6" t="e" cm="1">
        <f t="array" ref="L1432">LOOKUP(2^15,SEARCH(Tabela2[Palavras-Chave],Boletim4[[#This Row],[Objeto]],1),Tabela2[Palavras-Chave])</f>
        <v>#N/A</v>
      </c>
    </row>
    <row r="1433" spans="1:12" ht="100.8" hidden="1" x14ac:dyDescent="0.3">
      <c r="A1433" s="5">
        <v>18807444</v>
      </c>
      <c r="B1433" s="6" t="s">
        <v>493</v>
      </c>
      <c r="C1433" s="6" t="s">
        <v>494</v>
      </c>
      <c r="D1433" s="8" t="s">
        <v>80</v>
      </c>
      <c r="E1433" s="6" t="s">
        <v>2109</v>
      </c>
      <c r="F1433" s="6" t="s">
        <v>85</v>
      </c>
      <c r="G1433" s="11">
        <v>46135.374305555553</v>
      </c>
      <c r="H1433" s="11"/>
      <c r="I1433" s="10" t="s">
        <v>2112</v>
      </c>
      <c r="J1433" s="6" t="s">
        <v>2113</v>
      </c>
      <c r="K1433" s="12">
        <v>46121.720335648148</v>
      </c>
      <c r="L1433" s="6" t="e" cm="1">
        <f t="array" ref="L1433">LOOKUP(2^15,SEARCH(Tabela2[Palavras-Chave],Boletim4[[#This Row],[Objeto]],1),Tabela2[Palavras-Chave])</f>
        <v>#N/A</v>
      </c>
    </row>
    <row r="1434" spans="1:12" ht="100.8" hidden="1" x14ac:dyDescent="0.3">
      <c r="A1434" s="5">
        <v>18809548</v>
      </c>
      <c r="B1434" s="6" t="s">
        <v>2114</v>
      </c>
      <c r="C1434" s="6" t="s">
        <v>2115</v>
      </c>
      <c r="D1434" s="8" t="s">
        <v>80</v>
      </c>
      <c r="E1434" s="6" t="s">
        <v>117</v>
      </c>
      <c r="F1434" s="6" t="s">
        <v>85</v>
      </c>
      <c r="G1434" s="11">
        <v>46134.375</v>
      </c>
      <c r="H1434" s="11"/>
      <c r="I1434" s="10" t="s">
        <v>2116</v>
      </c>
      <c r="J1434" s="6" t="s">
        <v>2117</v>
      </c>
      <c r="K1434" s="12">
        <v>46121.725069444445</v>
      </c>
      <c r="L1434" s="6" t="e" cm="1">
        <f t="array" ref="L1434">LOOKUP(2^15,SEARCH(Tabela2[Palavras-Chave],Boletim4[[#This Row],[Objeto]],1),Tabela2[Palavras-Chave])</f>
        <v>#N/A</v>
      </c>
    </row>
    <row r="1435" spans="1:12" ht="86.4" hidden="1" x14ac:dyDescent="0.3">
      <c r="A1435" s="5">
        <v>18810446</v>
      </c>
      <c r="B1435" s="6" t="s">
        <v>2118</v>
      </c>
      <c r="C1435" s="6" t="s">
        <v>2119</v>
      </c>
      <c r="D1435" s="8" t="s">
        <v>80</v>
      </c>
      <c r="E1435" s="6" t="s">
        <v>165</v>
      </c>
      <c r="F1435" s="6" t="s">
        <v>85</v>
      </c>
      <c r="G1435" s="11" t="s">
        <v>56</v>
      </c>
      <c r="H1435" s="11"/>
      <c r="I1435" s="10" t="s">
        <v>2120</v>
      </c>
      <c r="J1435" s="6" t="s">
        <v>2121</v>
      </c>
      <c r="K1435" s="12">
        <v>46121.733159722222</v>
      </c>
      <c r="L1435" s="6" t="e" cm="1">
        <f t="array" ref="L1435">LOOKUP(2^15,SEARCH(Tabela2[Palavras-Chave],Boletim4[[#This Row],[Objeto]],1),Tabela2[Palavras-Chave])</f>
        <v>#N/A</v>
      </c>
    </row>
    <row r="1436" spans="1:12" ht="259.2" hidden="1" x14ac:dyDescent="0.3">
      <c r="A1436" s="5">
        <v>18810313</v>
      </c>
      <c r="B1436" s="6" t="s">
        <v>2122</v>
      </c>
      <c r="C1436" s="6" t="s">
        <v>2123</v>
      </c>
      <c r="D1436" s="8" t="s">
        <v>80</v>
      </c>
      <c r="E1436" s="6" t="s">
        <v>2124</v>
      </c>
      <c r="F1436" s="6" t="s">
        <v>85</v>
      </c>
      <c r="G1436" s="11" t="s">
        <v>56</v>
      </c>
      <c r="H1436" s="11"/>
      <c r="I1436" s="10" t="s">
        <v>2125</v>
      </c>
      <c r="J1436" s="6" t="s">
        <v>2126</v>
      </c>
      <c r="K1436" s="12">
        <v>46121.734953703701</v>
      </c>
      <c r="L1436" s="6" t="e" cm="1">
        <f t="array" ref="L1436">LOOKUP(2^15,SEARCH(Tabela2[Palavras-Chave],Boletim4[[#This Row],[Objeto]],1),Tabela2[Palavras-Chave])</f>
        <v>#N/A</v>
      </c>
    </row>
    <row r="1437" spans="1:12" ht="259.2" hidden="1" x14ac:dyDescent="0.3">
      <c r="A1437" s="5">
        <v>18810309</v>
      </c>
      <c r="B1437" s="6" t="s">
        <v>2127</v>
      </c>
      <c r="C1437" s="6" t="s">
        <v>2128</v>
      </c>
      <c r="D1437" s="8" t="s">
        <v>80</v>
      </c>
      <c r="E1437" s="6" t="s">
        <v>199</v>
      </c>
      <c r="F1437" s="6" t="s">
        <v>85</v>
      </c>
      <c r="G1437" s="11" t="s">
        <v>56</v>
      </c>
      <c r="H1437" s="11"/>
      <c r="I1437" s="10" t="s">
        <v>2129</v>
      </c>
      <c r="J1437" s="6" t="s">
        <v>2130</v>
      </c>
      <c r="K1437" s="12">
        <v>46121.743923611109</v>
      </c>
      <c r="L1437" s="6" t="e" cm="1">
        <f t="array" ref="L1437">LOOKUP(2^15,SEARCH(Tabela2[Palavras-Chave],Boletim4[[#This Row],[Objeto]],1),Tabela2[Palavras-Chave])</f>
        <v>#N/A</v>
      </c>
    </row>
    <row r="1438" spans="1:12" ht="100.8" hidden="1" x14ac:dyDescent="0.3">
      <c r="A1438" s="5">
        <v>18807479</v>
      </c>
      <c r="B1438" s="6" t="s">
        <v>3231</v>
      </c>
      <c r="C1438" s="6" t="s">
        <v>3232</v>
      </c>
      <c r="D1438" s="8" t="s">
        <v>80</v>
      </c>
      <c r="E1438" s="6" t="s">
        <v>450</v>
      </c>
      <c r="F1438" s="6" t="s">
        <v>85</v>
      </c>
      <c r="G1438" s="11">
        <v>46134.583333333336</v>
      </c>
      <c r="H1438" s="11"/>
      <c r="I1438" s="10" t="s">
        <v>3233</v>
      </c>
      <c r="J1438" s="6" t="s">
        <v>3234</v>
      </c>
      <c r="K1438" s="12">
        <v>46121.746840277781</v>
      </c>
      <c r="L1438" s="6" t="e" cm="1">
        <f t="array" ref="L1438">LOOKUP(2^15,SEARCH(Tabela2[Palavras-Chave],Boletim4[[#This Row],[Objeto]],1),Tabela2[Palavras-Chave])</f>
        <v>#N/A</v>
      </c>
    </row>
    <row r="1439" spans="1:12" ht="86.4" hidden="1" x14ac:dyDescent="0.3">
      <c r="A1439" s="5">
        <v>18810452</v>
      </c>
      <c r="B1439" s="6" t="s">
        <v>2131</v>
      </c>
      <c r="C1439" s="6" t="s">
        <v>2132</v>
      </c>
      <c r="D1439" s="8" t="s">
        <v>80</v>
      </c>
      <c r="E1439" s="6" t="s">
        <v>134</v>
      </c>
      <c r="F1439" s="6" t="s">
        <v>85</v>
      </c>
      <c r="G1439" s="11" t="s">
        <v>56</v>
      </c>
      <c r="H1439" s="11"/>
      <c r="I1439" s="10" t="s">
        <v>2133</v>
      </c>
      <c r="J1439" s="6" t="s">
        <v>2134</v>
      </c>
      <c r="K1439" s="12">
        <v>46121.751284722224</v>
      </c>
      <c r="L1439" s="6" t="e" cm="1">
        <f t="array" ref="L1439">LOOKUP(2^15,SEARCH(Tabela2[Palavras-Chave],Boletim4[[#This Row],[Objeto]],1),Tabela2[Palavras-Chave])</f>
        <v>#N/A</v>
      </c>
    </row>
    <row r="1440" spans="1:12" ht="86.4" hidden="1" x14ac:dyDescent="0.3">
      <c r="A1440" s="5">
        <v>18809417</v>
      </c>
      <c r="B1440" s="6" t="s">
        <v>2135</v>
      </c>
      <c r="C1440" s="6" t="s">
        <v>2136</v>
      </c>
      <c r="D1440" s="8" t="s">
        <v>80</v>
      </c>
      <c r="E1440" s="6" t="s">
        <v>165</v>
      </c>
      <c r="F1440" s="6" t="s">
        <v>85</v>
      </c>
      <c r="G1440" s="11" t="s">
        <v>56</v>
      </c>
      <c r="H1440" s="11"/>
      <c r="I1440" s="10" t="s">
        <v>2137</v>
      </c>
      <c r="J1440" s="6" t="s">
        <v>2138</v>
      </c>
      <c r="K1440" s="12">
        <v>46121.751793981479</v>
      </c>
      <c r="L1440" s="6" t="e" cm="1">
        <f t="array" ref="L1440">LOOKUP(2^15,SEARCH(Tabela2[Palavras-Chave],Boletim4[[#This Row],[Objeto]],1),Tabela2[Palavras-Chave])</f>
        <v>#N/A</v>
      </c>
    </row>
    <row r="1441" spans="1:12" ht="115.2" hidden="1" x14ac:dyDescent="0.3">
      <c r="A1441" s="5">
        <v>18810451</v>
      </c>
      <c r="B1441" s="6" t="s">
        <v>2139</v>
      </c>
      <c r="C1441" s="6" t="s">
        <v>2140</v>
      </c>
      <c r="D1441" s="8" t="s">
        <v>80</v>
      </c>
      <c r="E1441" s="6" t="s">
        <v>112</v>
      </c>
      <c r="F1441" s="6" t="s">
        <v>85</v>
      </c>
      <c r="G1441" s="11" t="s">
        <v>56</v>
      </c>
      <c r="H1441" s="11"/>
      <c r="I1441" s="10" t="s">
        <v>2141</v>
      </c>
      <c r="J1441" s="6" t="s">
        <v>2142</v>
      </c>
      <c r="K1441" s="12">
        <v>46121.756203703706</v>
      </c>
      <c r="L1441" s="6" t="e" cm="1">
        <f t="array" ref="L1441">LOOKUP(2^15,SEARCH(Tabela2[Palavras-Chave],Boletim4[[#This Row],[Objeto]],1),Tabela2[Palavras-Chave])</f>
        <v>#N/A</v>
      </c>
    </row>
    <row r="1442" spans="1:12" ht="43.2" hidden="1" x14ac:dyDescent="0.3">
      <c r="A1442" s="5">
        <v>18810669</v>
      </c>
      <c r="B1442" s="6" t="s">
        <v>3235</v>
      </c>
      <c r="C1442" s="6" t="s">
        <v>79</v>
      </c>
      <c r="D1442" s="8" t="s">
        <v>80</v>
      </c>
      <c r="E1442" s="6" t="s">
        <v>3236</v>
      </c>
      <c r="F1442" s="6" t="s">
        <v>85</v>
      </c>
      <c r="G1442" s="11">
        <v>46127.583333333336</v>
      </c>
      <c r="H1442" s="11"/>
      <c r="I1442" s="10" t="s">
        <v>3237</v>
      </c>
      <c r="J1442" s="6" t="s">
        <v>3238</v>
      </c>
      <c r="K1442" s="12">
        <v>46121.757673611108</v>
      </c>
      <c r="L1442" s="6" t="e" cm="1">
        <f t="array" ref="L1442">LOOKUP(2^15,SEARCH(Tabela2[Palavras-Chave],Boletim4[[#This Row],[Objeto]],1),Tabela2[Palavras-Chave])</f>
        <v>#N/A</v>
      </c>
    </row>
    <row r="1443" spans="1:12" ht="86.4" hidden="1" x14ac:dyDescent="0.3">
      <c r="A1443" s="5">
        <v>18810556</v>
      </c>
      <c r="B1443" s="6" t="s">
        <v>492</v>
      </c>
      <c r="C1443" s="6" t="s">
        <v>79</v>
      </c>
      <c r="D1443" s="8" t="s">
        <v>80</v>
      </c>
      <c r="E1443" s="6" t="s">
        <v>170</v>
      </c>
      <c r="F1443" s="6" t="s">
        <v>85</v>
      </c>
      <c r="G1443" s="11" t="s">
        <v>56</v>
      </c>
      <c r="H1443" s="11"/>
      <c r="I1443" s="10" t="s">
        <v>3239</v>
      </c>
      <c r="J1443" s="6" t="s">
        <v>3240</v>
      </c>
      <c r="K1443" s="12">
        <v>46121.760462962964</v>
      </c>
      <c r="L1443" s="6" t="e" cm="1">
        <f t="array" ref="L1443">LOOKUP(2^15,SEARCH(Tabela2[Palavras-Chave],Boletim4[[#This Row],[Objeto]],1),Tabela2[Palavras-Chave])</f>
        <v>#N/A</v>
      </c>
    </row>
    <row r="1444" spans="1:12" ht="115.2" hidden="1" x14ac:dyDescent="0.3">
      <c r="A1444" s="5">
        <v>18808570</v>
      </c>
      <c r="B1444" s="6" t="s">
        <v>1202</v>
      </c>
      <c r="C1444" s="6" t="s">
        <v>1203</v>
      </c>
      <c r="D1444" s="8" t="s">
        <v>80</v>
      </c>
      <c r="E1444" s="6" t="s">
        <v>242</v>
      </c>
      <c r="F1444" s="6" t="s">
        <v>85</v>
      </c>
      <c r="G1444" s="11" t="s">
        <v>56</v>
      </c>
      <c r="H1444" s="11"/>
      <c r="I1444" s="10" t="s">
        <v>2143</v>
      </c>
      <c r="J1444" s="6" t="s">
        <v>2144</v>
      </c>
      <c r="K1444" s="12">
        <v>46121.764560185184</v>
      </c>
      <c r="L1444" s="6" t="e" cm="1">
        <f t="array" ref="L1444">LOOKUP(2^15,SEARCH(Tabela2[Palavras-Chave],Boletim4[[#This Row],[Objeto]],1),Tabela2[Palavras-Chave])</f>
        <v>#N/A</v>
      </c>
    </row>
    <row r="1445" spans="1:12" ht="86.4" hidden="1" x14ac:dyDescent="0.3">
      <c r="A1445" s="5">
        <v>18809841</v>
      </c>
      <c r="B1445" s="6" t="s">
        <v>3241</v>
      </c>
      <c r="C1445" s="6" t="s">
        <v>2140</v>
      </c>
      <c r="D1445" s="8" t="s">
        <v>80</v>
      </c>
      <c r="E1445" s="6" t="s">
        <v>245</v>
      </c>
      <c r="F1445" s="6" t="s">
        <v>85</v>
      </c>
      <c r="G1445" s="11" t="s">
        <v>56</v>
      </c>
      <c r="H1445" s="11"/>
      <c r="I1445" s="10" t="s">
        <v>3242</v>
      </c>
      <c r="J1445" s="6" t="s">
        <v>3243</v>
      </c>
      <c r="K1445" s="12">
        <v>46121.768634259257</v>
      </c>
      <c r="L1445" s="6" t="e" cm="1">
        <f t="array" ref="L1445">LOOKUP(2^15,SEARCH(Tabela2[Palavras-Chave],Boletim4[[#This Row],[Objeto]],1),Tabela2[Palavras-Chave])</f>
        <v>#N/A</v>
      </c>
    </row>
    <row r="1446" spans="1:12" ht="259.2" hidden="1" x14ac:dyDescent="0.3">
      <c r="A1446" s="5">
        <v>18810286</v>
      </c>
      <c r="B1446" s="6" t="s">
        <v>2127</v>
      </c>
      <c r="C1446" s="6" t="s">
        <v>2128</v>
      </c>
      <c r="D1446" s="8" t="s">
        <v>80</v>
      </c>
      <c r="E1446" s="6" t="s">
        <v>165</v>
      </c>
      <c r="F1446" s="6" t="s">
        <v>85</v>
      </c>
      <c r="G1446" s="11" t="s">
        <v>56</v>
      </c>
      <c r="H1446" s="11"/>
      <c r="I1446" s="10" t="s">
        <v>2145</v>
      </c>
      <c r="J1446" s="6" t="s">
        <v>2146</v>
      </c>
      <c r="K1446" s="12">
        <v>46121.838090277779</v>
      </c>
      <c r="L1446" s="6" t="e" cm="1">
        <f t="array" ref="L1446">LOOKUP(2^15,SEARCH(Tabela2[Palavras-Chave],Boletim4[[#This Row],[Objeto]],1),Tabela2[Palavras-Chave])</f>
        <v>#N/A</v>
      </c>
    </row>
    <row r="1447" spans="1:12" ht="86.4" hidden="1" x14ac:dyDescent="0.3">
      <c r="A1447" s="5">
        <v>18811088</v>
      </c>
      <c r="B1447" s="6" t="s">
        <v>488</v>
      </c>
      <c r="C1447" s="6" t="s">
        <v>489</v>
      </c>
      <c r="D1447" s="8" t="s">
        <v>80</v>
      </c>
      <c r="E1447" s="6" t="s">
        <v>450</v>
      </c>
      <c r="F1447" s="6" t="s">
        <v>85</v>
      </c>
      <c r="G1447" s="11" t="s">
        <v>56</v>
      </c>
      <c r="H1447" s="11"/>
      <c r="I1447" s="10" t="s">
        <v>2147</v>
      </c>
      <c r="J1447" s="6" t="s">
        <v>2148</v>
      </c>
      <c r="K1447" s="12">
        <v>46121.849652777775</v>
      </c>
      <c r="L1447" s="6" t="e" cm="1">
        <f t="array" ref="L1447">LOOKUP(2^15,SEARCH(Tabela2[Palavras-Chave],Boletim4[[#This Row],[Objeto]],1),Tabela2[Palavras-Chave])</f>
        <v>#N/A</v>
      </c>
    </row>
    <row r="1448" spans="1:12" ht="100.8" hidden="1" x14ac:dyDescent="0.3">
      <c r="A1448" s="5">
        <v>18807395</v>
      </c>
      <c r="B1448" s="6" t="s">
        <v>2149</v>
      </c>
      <c r="C1448" s="6" t="s">
        <v>2150</v>
      </c>
      <c r="D1448" s="8" t="s">
        <v>81</v>
      </c>
      <c r="E1448" s="6" t="s">
        <v>722</v>
      </c>
      <c r="F1448" s="6" t="s">
        <v>85</v>
      </c>
      <c r="G1448" s="11">
        <v>46139.540972222225</v>
      </c>
      <c r="H1448" s="11"/>
      <c r="I1448" s="10" t="s">
        <v>2151</v>
      </c>
      <c r="J1448" s="6" t="s">
        <v>2152</v>
      </c>
      <c r="K1448" s="12">
        <v>46121.444571759261</v>
      </c>
      <c r="L1448" s="6" t="str" cm="1">
        <f t="array" ref="L1448">LOOKUP(2^15,SEARCH(Tabela2[Palavras-Chave],Boletim4[[#This Row],[Objeto]],1),Tabela2[Palavras-Chave])</f>
        <v>UNIÃO</v>
      </c>
    </row>
    <row r="1449" spans="1:12" ht="100.8" hidden="1" x14ac:dyDescent="0.3">
      <c r="A1449" s="5">
        <v>18807460</v>
      </c>
      <c r="B1449" s="6" t="s">
        <v>74</v>
      </c>
      <c r="C1449" s="6" t="s">
        <v>104</v>
      </c>
      <c r="D1449" s="8" t="s">
        <v>81</v>
      </c>
      <c r="E1449" s="6" t="s">
        <v>1319</v>
      </c>
      <c r="F1449" s="6" t="s">
        <v>85</v>
      </c>
      <c r="G1449" s="11" t="s">
        <v>56</v>
      </c>
      <c r="H1449" s="11"/>
      <c r="I1449" s="10" t="s">
        <v>1320</v>
      </c>
      <c r="J1449" s="6" t="s">
        <v>1321</v>
      </c>
      <c r="K1449" s="12">
        <v>46121.447314814817</v>
      </c>
      <c r="L1449" s="6" t="e" cm="1">
        <f t="array" ref="L1449">LOOKUP(2^15,SEARCH(Tabela2[Palavras-Chave],Boletim4[[#This Row],[Objeto]],1),Tabela2[Palavras-Chave])</f>
        <v>#N/A</v>
      </c>
    </row>
    <row r="1450" spans="1:12" ht="86.4" hidden="1" x14ac:dyDescent="0.3">
      <c r="A1450" s="5">
        <v>18807312</v>
      </c>
      <c r="B1450" s="6" t="s">
        <v>3244</v>
      </c>
      <c r="C1450" s="6" t="s">
        <v>104</v>
      </c>
      <c r="D1450" s="8" t="s">
        <v>81</v>
      </c>
      <c r="E1450" s="6" t="s">
        <v>3245</v>
      </c>
      <c r="F1450" s="6" t="s">
        <v>85</v>
      </c>
      <c r="G1450" s="11" t="s">
        <v>56</v>
      </c>
      <c r="H1450" s="11"/>
      <c r="I1450" s="10" t="s">
        <v>3246</v>
      </c>
      <c r="J1450" s="6" t="s">
        <v>3247</v>
      </c>
      <c r="K1450" s="12">
        <v>46121.461180555554</v>
      </c>
      <c r="L1450" s="6" t="e" cm="1">
        <f t="array" ref="L1450">LOOKUP(2^15,SEARCH(Tabela2[Palavras-Chave],Boletim4[[#This Row],[Objeto]],1),Tabela2[Palavras-Chave])</f>
        <v>#N/A</v>
      </c>
    </row>
    <row r="1451" spans="1:12" ht="86.4" hidden="1" x14ac:dyDescent="0.3">
      <c r="A1451" s="5">
        <v>18806968</v>
      </c>
      <c r="B1451" s="6" t="s">
        <v>2153</v>
      </c>
      <c r="C1451" s="6" t="s">
        <v>2154</v>
      </c>
      <c r="D1451" s="8" t="s">
        <v>81</v>
      </c>
      <c r="E1451" s="6" t="s">
        <v>300</v>
      </c>
      <c r="F1451" s="6" t="s">
        <v>85</v>
      </c>
      <c r="G1451" s="11" t="s">
        <v>56</v>
      </c>
      <c r="H1451" s="11"/>
      <c r="I1451" s="10" t="s">
        <v>2155</v>
      </c>
      <c r="J1451" s="6" t="s">
        <v>2156</v>
      </c>
      <c r="K1451" s="12">
        <v>46121.446493055555</v>
      </c>
      <c r="L1451" s="6" t="e" cm="1">
        <f t="array" ref="L1451">LOOKUP(2^15,SEARCH(Tabela2[Palavras-Chave],Boletim4[[#This Row],[Objeto]],1),Tabela2[Palavras-Chave])</f>
        <v>#N/A</v>
      </c>
    </row>
    <row r="1452" spans="1:12" ht="86.4" hidden="1" x14ac:dyDescent="0.3">
      <c r="A1452" s="5">
        <v>18806970</v>
      </c>
      <c r="B1452" s="6" t="s">
        <v>2157</v>
      </c>
      <c r="C1452" s="6" t="s">
        <v>2158</v>
      </c>
      <c r="D1452" s="8" t="s">
        <v>81</v>
      </c>
      <c r="E1452" s="6" t="s">
        <v>2159</v>
      </c>
      <c r="F1452" s="6" t="s">
        <v>85</v>
      </c>
      <c r="G1452" s="11" t="s">
        <v>56</v>
      </c>
      <c r="H1452" s="11"/>
      <c r="I1452" s="10" t="s">
        <v>2160</v>
      </c>
      <c r="J1452" s="6" t="s">
        <v>2161</v>
      </c>
      <c r="K1452" s="12">
        <v>46121.451516203706</v>
      </c>
      <c r="L1452" s="6" t="e" cm="1">
        <f t="array" ref="L1452">LOOKUP(2^15,SEARCH(Tabela2[Palavras-Chave],Boletim4[[#This Row],[Objeto]],1),Tabela2[Palavras-Chave])</f>
        <v>#N/A</v>
      </c>
    </row>
    <row r="1453" spans="1:12" ht="100.8" hidden="1" x14ac:dyDescent="0.3">
      <c r="A1453" s="5">
        <v>18807586</v>
      </c>
      <c r="B1453" s="6" t="s">
        <v>74</v>
      </c>
      <c r="C1453" s="6" t="s">
        <v>104</v>
      </c>
      <c r="D1453" s="8" t="s">
        <v>81</v>
      </c>
      <c r="E1453" s="6" t="s">
        <v>2972</v>
      </c>
      <c r="F1453" s="6" t="s">
        <v>85</v>
      </c>
      <c r="G1453" s="11" t="s">
        <v>56</v>
      </c>
      <c r="H1453" s="11"/>
      <c r="I1453" s="10" t="s">
        <v>2973</v>
      </c>
      <c r="J1453" s="6" t="s">
        <v>1321</v>
      </c>
      <c r="K1453" s="12">
        <v>46121.450092592589</v>
      </c>
      <c r="L1453" s="6" t="e" cm="1">
        <f t="array" ref="L1453">LOOKUP(2^15,SEARCH(Tabela2[Palavras-Chave],Boletim4[[#This Row],[Objeto]],1),Tabela2[Palavras-Chave])</f>
        <v>#N/A</v>
      </c>
    </row>
    <row r="1454" spans="1:12" ht="86.4" hidden="1" x14ac:dyDescent="0.3">
      <c r="A1454" s="5">
        <v>18803576</v>
      </c>
      <c r="B1454" s="6" t="s">
        <v>514</v>
      </c>
      <c r="C1454" s="6" t="s">
        <v>515</v>
      </c>
      <c r="D1454" s="8" t="s">
        <v>81</v>
      </c>
      <c r="E1454" s="6" t="s">
        <v>516</v>
      </c>
      <c r="F1454" s="6" t="s">
        <v>85</v>
      </c>
      <c r="G1454" s="11" t="s">
        <v>56</v>
      </c>
      <c r="H1454" s="11"/>
      <c r="I1454" s="10" t="s">
        <v>517</v>
      </c>
      <c r="J1454" s="6" t="s">
        <v>518</v>
      </c>
      <c r="K1454" s="12">
        <v>46121.451493055552</v>
      </c>
      <c r="L1454" s="6" t="e" cm="1">
        <f t="array" ref="L1454">LOOKUP(2^15,SEARCH(Tabela2[Palavras-Chave],Boletim4[[#This Row],[Objeto]],1),Tabela2[Palavras-Chave])</f>
        <v>#N/A</v>
      </c>
    </row>
    <row r="1455" spans="1:12" ht="86.4" hidden="1" x14ac:dyDescent="0.3">
      <c r="A1455" s="5">
        <v>18806924</v>
      </c>
      <c r="B1455" s="6" t="s">
        <v>2162</v>
      </c>
      <c r="C1455" s="6" t="s">
        <v>2163</v>
      </c>
      <c r="D1455" s="8" t="s">
        <v>81</v>
      </c>
      <c r="E1455" s="6" t="s">
        <v>165</v>
      </c>
      <c r="F1455" s="6" t="s">
        <v>85</v>
      </c>
      <c r="G1455" s="11" t="s">
        <v>56</v>
      </c>
      <c r="H1455" s="11"/>
      <c r="I1455" s="10" t="s">
        <v>2164</v>
      </c>
      <c r="J1455" s="6" t="s">
        <v>2165</v>
      </c>
      <c r="K1455" s="12">
        <v>46121.451666666668</v>
      </c>
      <c r="L1455" s="6" t="e" cm="1">
        <f t="array" ref="L1455">LOOKUP(2^15,SEARCH(Tabela2[Palavras-Chave],Boletim4[[#This Row],[Objeto]],1),Tabela2[Palavras-Chave])</f>
        <v>#N/A</v>
      </c>
    </row>
    <row r="1456" spans="1:12" ht="100.8" hidden="1" x14ac:dyDescent="0.3">
      <c r="A1456" s="5">
        <v>18806939</v>
      </c>
      <c r="B1456" s="6" t="s">
        <v>2166</v>
      </c>
      <c r="C1456" s="6" t="s">
        <v>2167</v>
      </c>
      <c r="D1456" s="8" t="s">
        <v>81</v>
      </c>
      <c r="E1456" s="6" t="s">
        <v>2168</v>
      </c>
      <c r="F1456" s="6" t="s">
        <v>85</v>
      </c>
      <c r="G1456" s="11" t="s">
        <v>56</v>
      </c>
      <c r="H1456" s="11"/>
      <c r="I1456" s="10" t="s">
        <v>2169</v>
      </c>
      <c r="J1456" s="6" t="s">
        <v>2170</v>
      </c>
      <c r="K1456" s="12">
        <v>46121.453368055554</v>
      </c>
      <c r="L1456" s="6" t="e" cm="1">
        <f t="array" ref="L1456">LOOKUP(2^15,SEARCH(Tabela2[Palavras-Chave],Boletim4[[#This Row],[Objeto]],1),Tabela2[Palavras-Chave])</f>
        <v>#N/A</v>
      </c>
    </row>
    <row r="1457" spans="1:12" ht="244.8" x14ac:dyDescent="0.3">
      <c r="A1457" s="5">
        <v>18807129</v>
      </c>
      <c r="B1457" s="6" t="s">
        <v>3248</v>
      </c>
      <c r="C1457" s="6" t="s">
        <v>3249</v>
      </c>
      <c r="D1457" s="8" t="s">
        <v>81</v>
      </c>
      <c r="E1457" s="6" t="s">
        <v>3120</v>
      </c>
      <c r="F1457" s="6" t="s">
        <v>85</v>
      </c>
      <c r="G1457" s="11" t="s">
        <v>56</v>
      </c>
      <c r="H1457" s="11"/>
      <c r="I1457" s="10" t="s">
        <v>3250</v>
      </c>
      <c r="J1457" s="6" t="s">
        <v>3251</v>
      </c>
      <c r="K1457" s="12">
        <v>46121.472986111112</v>
      </c>
      <c r="L1457" s="6" t="str" cm="1">
        <f t="array" ref="L1457">LOOKUP(2^15,SEARCH(Tabela2[Palavras-Chave],Boletim4[[#This Row],[Objeto]],1),Tabela2[Palavras-Chave])</f>
        <v>JUNTA</v>
      </c>
    </row>
    <row r="1458" spans="1:12" ht="259.2" hidden="1" x14ac:dyDescent="0.3">
      <c r="A1458" s="5">
        <v>18807758</v>
      </c>
      <c r="B1458" s="6" t="s">
        <v>512</v>
      </c>
      <c r="C1458" s="6" t="s">
        <v>513</v>
      </c>
      <c r="D1458" s="8" t="s">
        <v>81</v>
      </c>
      <c r="E1458" s="6" t="s">
        <v>135</v>
      </c>
      <c r="F1458" s="6" t="s">
        <v>85</v>
      </c>
      <c r="G1458" s="11" t="s">
        <v>56</v>
      </c>
      <c r="H1458" s="11"/>
      <c r="I1458" s="10" t="s">
        <v>2171</v>
      </c>
      <c r="J1458" s="6" t="s">
        <v>2172</v>
      </c>
      <c r="K1458" s="12">
        <v>46121.476435185185</v>
      </c>
      <c r="L1458" s="6" t="e" cm="1">
        <f t="array" ref="L1458">LOOKUP(2^15,SEARCH(Tabela2[Palavras-Chave],Boletim4[[#This Row],[Objeto]],1),Tabela2[Palavras-Chave])</f>
        <v>#N/A</v>
      </c>
    </row>
    <row r="1459" spans="1:12" hidden="1" x14ac:dyDescent="0.3">
      <c r="A1459" s="5">
        <v>18807337</v>
      </c>
      <c r="B1459" s="6" t="s">
        <v>2173</v>
      </c>
      <c r="C1459" s="6" t="s">
        <v>104</v>
      </c>
      <c r="D1459" s="8" t="s">
        <v>81</v>
      </c>
      <c r="E1459" s="6" t="s">
        <v>2174</v>
      </c>
      <c r="F1459" s="6" t="s">
        <v>85</v>
      </c>
      <c r="G1459" s="11" t="s">
        <v>56</v>
      </c>
      <c r="H1459" s="11"/>
      <c r="I1459" s="10" t="s">
        <v>2175</v>
      </c>
      <c r="J1459" s="6" t="s">
        <v>90</v>
      </c>
      <c r="K1459" s="12">
        <v>46121.499363425923</v>
      </c>
      <c r="L1459" s="6" t="e" cm="1">
        <f t="array" ref="L1459">LOOKUP(2^15,SEARCH(Tabela2[Palavras-Chave],Boletim4[[#This Row],[Objeto]],1),Tabela2[Palavras-Chave])</f>
        <v>#N/A</v>
      </c>
    </row>
    <row r="1460" spans="1:12" ht="86.4" hidden="1" x14ac:dyDescent="0.3">
      <c r="A1460" s="5">
        <v>18794644</v>
      </c>
      <c r="B1460" s="6" t="s">
        <v>195</v>
      </c>
      <c r="C1460" s="6" t="s">
        <v>196</v>
      </c>
      <c r="D1460" s="8" t="s">
        <v>81</v>
      </c>
      <c r="E1460" s="6" t="s">
        <v>505</v>
      </c>
      <c r="F1460" s="6" t="s">
        <v>85</v>
      </c>
      <c r="G1460" s="11" t="s">
        <v>56</v>
      </c>
      <c r="H1460" s="11"/>
      <c r="I1460" s="10" t="s">
        <v>506</v>
      </c>
      <c r="J1460" s="6" t="s">
        <v>507</v>
      </c>
      <c r="K1460" s="12">
        <v>46121.513229166667</v>
      </c>
      <c r="L1460" s="6" t="e" cm="1">
        <f t="array" ref="L1460">LOOKUP(2^15,SEARCH(Tabela2[Palavras-Chave],Boletim4[[#This Row],[Objeto]],1),Tabela2[Palavras-Chave])</f>
        <v>#N/A</v>
      </c>
    </row>
    <row r="1461" spans="1:12" ht="43.2" hidden="1" x14ac:dyDescent="0.3">
      <c r="A1461" s="5">
        <v>18805909</v>
      </c>
      <c r="B1461" s="6" t="s">
        <v>527</v>
      </c>
      <c r="C1461" s="6" t="s">
        <v>528</v>
      </c>
      <c r="D1461" s="8" t="s">
        <v>81</v>
      </c>
      <c r="E1461" s="6" t="s">
        <v>529</v>
      </c>
      <c r="F1461" s="6" t="s">
        <v>85</v>
      </c>
      <c r="G1461" s="11" t="s">
        <v>56</v>
      </c>
      <c r="H1461" s="11"/>
      <c r="I1461" s="10" t="s">
        <v>530</v>
      </c>
      <c r="J1461" s="6" t="s">
        <v>531</v>
      </c>
      <c r="K1461" s="12">
        <v>46121.58697916667</v>
      </c>
      <c r="L1461" s="6" t="e" cm="1">
        <f t="array" ref="L1461">LOOKUP(2^15,SEARCH(Tabela2[Palavras-Chave],Boletim4[[#This Row],[Objeto]],1),Tabela2[Palavras-Chave])</f>
        <v>#N/A</v>
      </c>
    </row>
    <row r="1462" spans="1:12" ht="86.4" hidden="1" x14ac:dyDescent="0.3">
      <c r="A1462" s="5">
        <v>18805312</v>
      </c>
      <c r="B1462" s="6" t="s">
        <v>523</v>
      </c>
      <c r="C1462" s="6" t="s">
        <v>524</v>
      </c>
      <c r="D1462" s="8" t="s">
        <v>81</v>
      </c>
      <c r="E1462" s="6" t="s">
        <v>211</v>
      </c>
      <c r="F1462" s="6" t="s">
        <v>85</v>
      </c>
      <c r="G1462" s="11" t="s">
        <v>56</v>
      </c>
      <c r="H1462" s="11"/>
      <c r="I1462" s="10" t="s">
        <v>525</v>
      </c>
      <c r="J1462" s="6" t="s">
        <v>526</v>
      </c>
      <c r="K1462" s="12">
        <v>46121.607002314813</v>
      </c>
      <c r="L1462" s="6" t="e" cm="1">
        <f t="array" ref="L1462">LOOKUP(2^15,SEARCH(Tabela2[Palavras-Chave],Boletim4[[#This Row],[Objeto]],1),Tabela2[Palavras-Chave])</f>
        <v>#N/A</v>
      </c>
    </row>
    <row r="1463" spans="1:12" ht="115.2" hidden="1" x14ac:dyDescent="0.3">
      <c r="A1463" s="5">
        <v>18802024</v>
      </c>
      <c r="B1463" s="6" t="s">
        <v>509</v>
      </c>
      <c r="C1463" s="6" t="s">
        <v>263</v>
      </c>
      <c r="D1463" s="8" t="s">
        <v>81</v>
      </c>
      <c r="E1463" s="6" t="s">
        <v>109</v>
      </c>
      <c r="F1463" s="6" t="s">
        <v>85</v>
      </c>
      <c r="G1463" s="11">
        <v>46132.329861111109</v>
      </c>
      <c r="H1463" s="11"/>
      <c r="I1463" s="10" t="s">
        <v>510</v>
      </c>
      <c r="J1463" s="6" t="s">
        <v>511</v>
      </c>
      <c r="K1463" s="12">
        <v>46121.607708333337</v>
      </c>
      <c r="L1463" s="6" t="e" cm="1">
        <f t="array" ref="L1463">LOOKUP(2^15,SEARCH(Tabela2[Palavras-Chave],Boletim4[[#This Row],[Objeto]],1),Tabela2[Palavras-Chave])</f>
        <v>#N/A</v>
      </c>
    </row>
    <row r="1464" spans="1:12" ht="100.8" hidden="1" x14ac:dyDescent="0.3">
      <c r="A1464" s="5">
        <v>18804764</v>
      </c>
      <c r="B1464" s="6" t="s">
        <v>519</v>
      </c>
      <c r="C1464" s="6" t="s">
        <v>520</v>
      </c>
      <c r="D1464" s="8" t="s">
        <v>81</v>
      </c>
      <c r="E1464" s="6" t="s">
        <v>117</v>
      </c>
      <c r="F1464" s="6" t="s">
        <v>85</v>
      </c>
      <c r="G1464" s="11">
        <v>46132.374305555553</v>
      </c>
      <c r="H1464" s="11"/>
      <c r="I1464" s="10" t="s">
        <v>532</v>
      </c>
      <c r="J1464" s="6" t="s">
        <v>533</v>
      </c>
      <c r="K1464" s="12">
        <v>46121.607743055552</v>
      </c>
      <c r="L1464" s="6" t="e" cm="1">
        <f t="array" ref="L1464">LOOKUP(2^15,SEARCH(Tabela2[Palavras-Chave],Boletim4[[#This Row],[Objeto]],1),Tabela2[Palavras-Chave])</f>
        <v>#N/A</v>
      </c>
    </row>
    <row r="1465" spans="1:12" ht="100.8" x14ac:dyDescent="0.3">
      <c r="A1465" s="5">
        <v>18809528</v>
      </c>
      <c r="B1465" s="6" t="s">
        <v>2229</v>
      </c>
      <c r="C1465" s="6" t="s">
        <v>2230</v>
      </c>
      <c r="D1465" s="8" t="s">
        <v>81</v>
      </c>
      <c r="E1465" s="6" t="s">
        <v>108</v>
      </c>
      <c r="F1465" s="6" t="s">
        <v>85</v>
      </c>
      <c r="G1465" s="11">
        <v>46139.34375</v>
      </c>
      <c r="H1465" s="11"/>
      <c r="I1465" s="10" t="s">
        <v>3252</v>
      </c>
      <c r="J1465" s="6" t="s">
        <v>3253</v>
      </c>
      <c r="K1465" s="12">
        <v>46121.609652777777</v>
      </c>
      <c r="L1465" s="6" t="str" cm="1">
        <f t="array" ref="L1465">LOOKUP(2^15,SEARCH(Tabela2[Palavras-Chave],Boletim4[[#This Row],[Objeto]],1),Tabela2[Palavras-Chave])</f>
        <v>JUNTA</v>
      </c>
    </row>
    <row r="1466" spans="1:12" ht="115.2" hidden="1" x14ac:dyDescent="0.3">
      <c r="A1466" s="5">
        <v>18808534</v>
      </c>
      <c r="B1466" s="6" t="s">
        <v>302</v>
      </c>
      <c r="C1466" s="6" t="s">
        <v>193</v>
      </c>
      <c r="D1466" s="8" t="s">
        <v>81</v>
      </c>
      <c r="E1466" s="6" t="s">
        <v>2176</v>
      </c>
      <c r="F1466" s="6" t="s">
        <v>85</v>
      </c>
      <c r="G1466" s="11" t="s">
        <v>56</v>
      </c>
      <c r="H1466" s="11"/>
      <c r="I1466" s="10" t="s">
        <v>508</v>
      </c>
      <c r="J1466" s="6" t="s">
        <v>2177</v>
      </c>
      <c r="K1466" s="12">
        <v>46121.612638888888</v>
      </c>
      <c r="L1466" s="6" t="e" cm="1">
        <f t="array" ref="L1466">LOOKUP(2^15,SEARCH(Tabela2[Palavras-Chave],Boletim4[[#This Row],[Objeto]],1),Tabela2[Palavras-Chave])</f>
        <v>#N/A</v>
      </c>
    </row>
    <row r="1467" spans="1:12" ht="259.2" hidden="1" x14ac:dyDescent="0.3">
      <c r="A1467" s="5">
        <v>18809571</v>
      </c>
      <c r="B1467" s="6" t="s">
        <v>2178</v>
      </c>
      <c r="C1467" s="6" t="s">
        <v>2179</v>
      </c>
      <c r="D1467" s="8" t="s">
        <v>81</v>
      </c>
      <c r="E1467" s="6" t="s">
        <v>107</v>
      </c>
      <c r="F1467" s="6" t="s">
        <v>85</v>
      </c>
      <c r="G1467" s="11" t="s">
        <v>56</v>
      </c>
      <c r="H1467" s="11"/>
      <c r="I1467" s="10" t="s">
        <v>2180</v>
      </c>
      <c r="J1467" s="6" t="s">
        <v>2181</v>
      </c>
      <c r="K1467" s="12">
        <v>46121.614791666667</v>
      </c>
      <c r="L1467" s="6" t="e" cm="1">
        <f t="array" ref="L1467">LOOKUP(2^15,SEARCH(Tabela2[Palavras-Chave],Boletim4[[#This Row],[Objeto]],1),Tabela2[Palavras-Chave])</f>
        <v>#N/A</v>
      </c>
    </row>
    <row r="1468" spans="1:12" ht="259.2" hidden="1" x14ac:dyDescent="0.3">
      <c r="A1468" s="5">
        <v>18809209</v>
      </c>
      <c r="B1468" s="6" t="s">
        <v>2182</v>
      </c>
      <c r="C1468" s="6" t="s">
        <v>2183</v>
      </c>
      <c r="D1468" s="8" t="s">
        <v>81</v>
      </c>
      <c r="E1468" s="6" t="s">
        <v>126</v>
      </c>
      <c r="F1468" s="6" t="s">
        <v>85</v>
      </c>
      <c r="G1468" s="11" t="s">
        <v>56</v>
      </c>
      <c r="H1468" s="11"/>
      <c r="I1468" s="10" t="s">
        <v>2184</v>
      </c>
      <c r="J1468" s="6" t="s">
        <v>2185</v>
      </c>
      <c r="K1468" s="12">
        <v>46121.625879629632</v>
      </c>
      <c r="L1468" s="6" t="e" cm="1">
        <f t="array" ref="L1468">LOOKUP(2^15,SEARCH(Tabela2[Palavras-Chave],Boletim4[[#This Row],[Objeto]],1),Tabela2[Palavras-Chave])</f>
        <v>#N/A</v>
      </c>
    </row>
    <row r="1469" spans="1:12" ht="115.2" hidden="1" x14ac:dyDescent="0.3">
      <c r="A1469" s="5">
        <v>18807523</v>
      </c>
      <c r="B1469" s="6" t="s">
        <v>2186</v>
      </c>
      <c r="C1469" s="6" t="s">
        <v>2187</v>
      </c>
      <c r="D1469" s="8" t="s">
        <v>81</v>
      </c>
      <c r="E1469" s="6" t="s">
        <v>474</v>
      </c>
      <c r="F1469" s="6" t="s">
        <v>85</v>
      </c>
      <c r="G1469" s="11">
        <v>46134.353472222225</v>
      </c>
      <c r="H1469" s="11"/>
      <c r="I1469" s="10" t="s">
        <v>2188</v>
      </c>
      <c r="J1469" s="6" t="s">
        <v>2189</v>
      </c>
      <c r="K1469" s="12">
        <v>46121.665625000001</v>
      </c>
      <c r="L1469" s="6" t="e" cm="1">
        <f t="array" ref="L1469">LOOKUP(2^15,SEARCH(Tabela2[Palavras-Chave],Boletim4[[#This Row],[Objeto]],1),Tabela2[Palavras-Chave])</f>
        <v>#N/A</v>
      </c>
    </row>
    <row r="1470" spans="1:12" ht="244.8" hidden="1" x14ac:dyDescent="0.3">
      <c r="A1470" s="5">
        <v>18809470</v>
      </c>
      <c r="B1470" s="6" t="s">
        <v>2190</v>
      </c>
      <c r="C1470" s="6" t="s">
        <v>2191</v>
      </c>
      <c r="D1470" s="8" t="s">
        <v>81</v>
      </c>
      <c r="E1470" s="6" t="s">
        <v>474</v>
      </c>
      <c r="F1470" s="6" t="s">
        <v>85</v>
      </c>
      <c r="G1470" s="11" t="s">
        <v>56</v>
      </c>
      <c r="H1470" s="11"/>
      <c r="I1470" s="10" t="s">
        <v>2192</v>
      </c>
      <c r="J1470" s="6" t="s">
        <v>2193</v>
      </c>
      <c r="K1470" s="12">
        <v>46121.666354166664</v>
      </c>
      <c r="L1470" s="6" t="e" cm="1">
        <f t="array" ref="L1470">LOOKUP(2^15,SEARCH(Tabela2[Palavras-Chave],Boletim4[[#This Row],[Objeto]],1),Tabela2[Palavras-Chave])</f>
        <v>#N/A</v>
      </c>
    </row>
    <row r="1471" spans="1:12" ht="129.6" hidden="1" x14ac:dyDescent="0.3">
      <c r="A1471" s="5">
        <v>18808528</v>
      </c>
      <c r="B1471" s="6" t="s">
        <v>254</v>
      </c>
      <c r="C1471" s="6" t="s">
        <v>255</v>
      </c>
      <c r="D1471" s="8" t="s">
        <v>81</v>
      </c>
      <c r="E1471" s="6" t="s">
        <v>3254</v>
      </c>
      <c r="F1471" s="6" t="s">
        <v>85</v>
      </c>
      <c r="G1471" s="11" t="s">
        <v>56</v>
      </c>
      <c r="H1471" s="11"/>
      <c r="I1471" s="10" t="s">
        <v>3255</v>
      </c>
      <c r="J1471" s="6" t="s">
        <v>3256</v>
      </c>
      <c r="K1471" s="12">
        <v>46121.693148148152</v>
      </c>
      <c r="L1471" s="6" t="e" cm="1">
        <f t="array" ref="L1471">LOOKUP(2^15,SEARCH(Tabela2[Palavras-Chave],Boletim4[[#This Row],[Objeto]],1),Tabela2[Palavras-Chave])</f>
        <v>#N/A</v>
      </c>
    </row>
    <row r="1472" spans="1:12" ht="129.6" hidden="1" x14ac:dyDescent="0.3">
      <c r="A1472" s="5">
        <v>18808536</v>
      </c>
      <c r="B1472" s="6" t="s">
        <v>254</v>
      </c>
      <c r="C1472" s="6" t="s">
        <v>255</v>
      </c>
      <c r="D1472" s="8" t="s">
        <v>81</v>
      </c>
      <c r="E1472" s="6" t="s">
        <v>3257</v>
      </c>
      <c r="F1472" s="6" t="s">
        <v>85</v>
      </c>
      <c r="G1472" s="11" t="s">
        <v>56</v>
      </c>
      <c r="H1472" s="11"/>
      <c r="I1472" s="10" t="s">
        <v>3258</v>
      </c>
      <c r="J1472" s="6" t="s">
        <v>3259</v>
      </c>
      <c r="K1472" s="12">
        <v>46121.693252314813</v>
      </c>
      <c r="L1472" s="6" t="e" cm="1">
        <f t="array" ref="L1472">LOOKUP(2^15,SEARCH(Tabela2[Palavras-Chave],Boletim4[[#This Row],[Objeto]],1),Tabela2[Palavras-Chave])</f>
        <v>#N/A</v>
      </c>
    </row>
    <row r="1473" spans="1:12" ht="115.2" hidden="1" x14ac:dyDescent="0.3">
      <c r="A1473" s="5">
        <v>18809915</v>
      </c>
      <c r="B1473" s="6" t="s">
        <v>2194</v>
      </c>
      <c r="C1473" s="6" t="s">
        <v>2195</v>
      </c>
      <c r="D1473" s="8" t="s">
        <v>81</v>
      </c>
      <c r="E1473" s="6" t="s">
        <v>170</v>
      </c>
      <c r="F1473" s="6" t="s">
        <v>85</v>
      </c>
      <c r="G1473" s="11">
        <v>46486.395833333336</v>
      </c>
      <c r="H1473" s="11"/>
      <c r="I1473" s="10" t="s">
        <v>2196</v>
      </c>
      <c r="J1473" s="6" t="s">
        <v>2197</v>
      </c>
      <c r="K1473" s="12">
        <v>46121.694247685184</v>
      </c>
      <c r="L1473" s="6" t="e" cm="1">
        <f t="array" ref="L1473">LOOKUP(2^15,SEARCH(Tabela2[Palavras-Chave],Boletim4[[#This Row],[Objeto]],1),Tabela2[Palavras-Chave])</f>
        <v>#N/A</v>
      </c>
    </row>
    <row r="1474" spans="1:12" ht="57.6" hidden="1" x14ac:dyDescent="0.3">
      <c r="A1474" s="5">
        <v>18807618</v>
      </c>
      <c r="B1474" s="6" t="s">
        <v>2198</v>
      </c>
      <c r="C1474" s="6" t="s">
        <v>2199</v>
      </c>
      <c r="D1474" s="8" t="s">
        <v>81</v>
      </c>
      <c r="E1474" s="6" t="s">
        <v>113</v>
      </c>
      <c r="F1474" s="6" t="s">
        <v>85</v>
      </c>
      <c r="G1474" s="11">
        <v>46136.375</v>
      </c>
      <c r="H1474" s="11"/>
      <c r="I1474" s="10" t="s">
        <v>2200</v>
      </c>
      <c r="J1474" s="6" t="s">
        <v>90</v>
      </c>
      <c r="K1474" s="12">
        <v>46121.696504629632</v>
      </c>
      <c r="L1474" s="6" t="e" cm="1">
        <f t="array" ref="L1474">LOOKUP(2^15,SEARCH(Tabela2[Palavras-Chave],Boletim4[[#This Row],[Objeto]],1),Tabela2[Palavras-Chave])</f>
        <v>#N/A</v>
      </c>
    </row>
    <row r="1475" spans="1:12" ht="115.2" hidden="1" x14ac:dyDescent="0.3">
      <c r="A1475" s="5">
        <v>18810050</v>
      </c>
      <c r="B1475" s="6" t="s">
        <v>3260</v>
      </c>
      <c r="C1475" s="6" t="s">
        <v>3261</v>
      </c>
      <c r="D1475" s="8" t="s">
        <v>81</v>
      </c>
      <c r="E1475" s="6" t="s">
        <v>3262</v>
      </c>
      <c r="F1475" s="6" t="s">
        <v>85</v>
      </c>
      <c r="G1475" s="11">
        <v>46136.385416666664</v>
      </c>
      <c r="H1475" s="11"/>
      <c r="I1475" s="10" t="s">
        <v>3263</v>
      </c>
      <c r="J1475" s="6" t="s">
        <v>90</v>
      </c>
      <c r="K1475" s="12">
        <v>46121.696562500001</v>
      </c>
      <c r="L1475" s="6" t="e" cm="1">
        <f t="array" ref="L1475">LOOKUP(2^15,SEARCH(Tabela2[Palavras-Chave],Boletim4[[#This Row],[Objeto]],1),Tabela2[Palavras-Chave])</f>
        <v>#N/A</v>
      </c>
    </row>
    <row r="1476" spans="1:12" ht="100.8" hidden="1" x14ac:dyDescent="0.3">
      <c r="A1476" s="5">
        <v>18809501</v>
      </c>
      <c r="B1476" s="6" t="s">
        <v>3264</v>
      </c>
      <c r="C1476" s="6" t="s">
        <v>3265</v>
      </c>
      <c r="D1476" s="8" t="s">
        <v>81</v>
      </c>
      <c r="E1476" s="6" t="s">
        <v>149</v>
      </c>
      <c r="F1476" s="6" t="s">
        <v>85</v>
      </c>
      <c r="G1476" s="11">
        <v>46141.34375</v>
      </c>
      <c r="H1476" s="11"/>
      <c r="I1476" s="10" t="s">
        <v>3266</v>
      </c>
      <c r="J1476" s="6" t="s">
        <v>3267</v>
      </c>
      <c r="K1476" s="12">
        <v>46121.696747685186</v>
      </c>
      <c r="L1476" s="6" t="e" cm="1">
        <f t="array" ref="L1476">LOOKUP(2^15,SEARCH(Tabela2[Palavras-Chave],Boletim4[[#This Row],[Objeto]],1),Tabela2[Palavras-Chave])</f>
        <v>#N/A</v>
      </c>
    </row>
    <row r="1477" spans="1:12" ht="100.8" hidden="1" x14ac:dyDescent="0.3">
      <c r="A1477" s="5">
        <v>18809563</v>
      </c>
      <c r="B1477" s="6" t="s">
        <v>3264</v>
      </c>
      <c r="C1477" s="6" t="s">
        <v>3265</v>
      </c>
      <c r="D1477" s="8" t="s">
        <v>81</v>
      </c>
      <c r="E1477" s="6" t="s">
        <v>148</v>
      </c>
      <c r="F1477" s="6" t="s">
        <v>85</v>
      </c>
      <c r="G1477" s="11">
        <v>46162.34375</v>
      </c>
      <c r="H1477" s="11"/>
      <c r="I1477" s="10" t="s">
        <v>3268</v>
      </c>
      <c r="J1477" s="6" t="s">
        <v>3269</v>
      </c>
      <c r="K1477" s="12">
        <v>46121.69699074074</v>
      </c>
      <c r="L1477" s="6" t="e" cm="1">
        <f t="array" ref="L1477">LOOKUP(2^15,SEARCH(Tabela2[Palavras-Chave],Boletim4[[#This Row],[Objeto]],1),Tabela2[Palavras-Chave])</f>
        <v>#N/A</v>
      </c>
    </row>
    <row r="1478" spans="1:12" ht="100.8" hidden="1" x14ac:dyDescent="0.3">
      <c r="A1478" s="5">
        <v>18810075</v>
      </c>
      <c r="B1478" s="6" t="s">
        <v>2201</v>
      </c>
      <c r="C1478" s="6" t="s">
        <v>2202</v>
      </c>
      <c r="D1478" s="8" t="s">
        <v>81</v>
      </c>
      <c r="E1478" s="6" t="s">
        <v>124</v>
      </c>
      <c r="F1478" s="6" t="s">
        <v>85</v>
      </c>
      <c r="G1478" s="11">
        <v>46139.333333333336</v>
      </c>
      <c r="H1478" s="11"/>
      <c r="I1478" s="10" t="s">
        <v>2203</v>
      </c>
      <c r="J1478" s="6" t="s">
        <v>2204</v>
      </c>
      <c r="K1478" s="12">
        <v>46121.701435185183</v>
      </c>
      <c r="L1478" s="6" t="e" cm="1">
        <f t="array" ref="L1478">LOOKUP(2^15,SEARCH(Tabela2[Palavras-Chave],Boletim4[[#This Row],[Objeto]],1),Tabela2[Palavras-Chave])</f>
        <v>#N/A</v>
      </c>
    </row>
    <row r="1479" spans="1:12" ht="57.6" hidden="1" x14ac:dyDescent="0.3">
      <c r="A1479" s="5">
        <v>18807594</v>
      </c>
      <c r="B1479" s="6" t="s">
        <v>521</v>
      </c>
      <c r="C1479" s="6" t="s">
        <v>522</v>
      </c>
      <c r="D1479" s="8" t="s">
        <v>81</v>
      </c>
      <c r="E1479" s="6" t="s">
        <v>473</v>
      </c>
      <c r="F1479" s="6" t="s">
        <v>85</v>
      </c>
      <c r="G1479" s="11">
        <v>46134.354166666664</v>
      </c>
      <c r="H1479" s="11"/>
      <c r="I1479" s="10" t="s">
        <v>3270</v>
      </c>
      <c r="J1479" s="6" t="s">
        <v>3271</v>
      </c>
      <c r="K1479" s="12">
        <v>46121.701597222222</v>
      </c>
      <c r="L1479" s="6" t="e" cm="1">
        <f t="array" ref="L1479">LOOKUP(2^15,SEARCH(Tabela2[Palavras-Chave],Boletim4[[#This Row],[Objeto]],1),Tabela2[Palavras-Chave])</f>
        <v>#N/A</v>
      </c>
    </row>
    <row r="1480" spans="1:12" ht="86.4" hidden="1" x14ac:dyDescent="0.3">
      <c r="A1480" s="5">
        <v>18808529</v>
      </c>
      <c r="B1480" s="6" t="s">
        <v>2205</v>
      </c>
      <c r="C1480" s="6" t="s">
        <v>2206</v>
      </c>
      <c r="D1480" s="8" t="s">
        <v>81</v>
      </c>
      <c r="E1480" s="6" t="s">
        <v>143</v>
      </c>
      <c r="F1480" s="6" t="s">
        <v>85</v>
      </c>
      <c r="G1480" s="11" t="s">
        <v>56</v>
      </c>
      <c r="H1480" s="11"/>
      <c r="I1480" s="10" t="s">
        <v>2207</v>
      </c>
      <c r="J1480" s="6" t="s">
        <v>2208</v>
      </c>
      <c r="K1480" s="12">
        <v>46121.704560185186</v>
      </c>
      <c r="L1480" s="6" t="e" cm="1">
        <f t="array" ref="L1480">LOOKUP(2^15,SEARCH(Tabela2[Palavras-Chave],Boletim4[[#This Row],[Objeto]],1),Tabela2[Palavras-Chave])</f>
        <v>#N/A</v>
      </c>
    </row>
    <row r="1481" spans="1:12" ht="115.2" hidden="1" x14ac:dyDescent="0.3">
      <c r="A1481" s="5">
        <v>18810019</v>
      </c>
      <c r="B1481" s="6" t="s">
        <v>2223</v>
      </c>
      <c r="C1481" s="6" t="s">
        <v>104</v>
      </c>
      <c r="D1481" s="8" t="s">
        <v>81</v>
      </c>
      <c r="E1481" s="6" t="s">
        <v>142</v>
      </c>
      <c r="F1481" s="6" t="s">
        <v>85</v>
      </c>
      <c r="G1481" s="11">
        <v>46148.375</v>
      </c>
      <c r="H1481" s="11"/>
      <c r="I1481" s="10" t="s">
        <v>3272</v>
      </c>
      <c r="J1481" s="6" t="s">
        <v>3273</v>
      </c>
      <c r="K1481" s="12">
        <v>46121.705046296294</v>
      </c>
      <c r="L1481" s="6" t="e" cm="1">
        <f t="array" ref="L1481">LOOKUP(2^15,SEARCH(Tabela2[Palavras-Chave],Boletim4[[#This Row],[Objeto]],1),Tabela2[Palavras-Chave])</f>
        <v>#N/A</v>
      </c>
    </row>
    <row r="1482" spans="1:12" ht="57.6" hidden="1" x14ac:dyDescent="0.3">
      <c r="A1482" s="5">
        <v>18809391</v>
      </c>
      <c r="B1482" s="6" t="s">
        <v>523</v>
      </c>
      <c r="C1482" s="6" t="s">
        <v>524</v>
      </c>
      <c r="D1482" s="8" t="s">
        <v>81</v>
      </c>
      <c r="E1482" s="6" t="s">
        <v>188</v>
      </c>
      <c r="F1482" s="6" t="s">
        <v>85</v>
      </c>
      <c r="G1482" s="11">
        <v>46136.458333333336</v>
      </c>
      <c r="H1482" s="11"/>
      <c r="I1482" s="10" t="s">
        <v>2209</v>
      </c>
      <c r="J1482" s="6" t="s">
        <v>2210</v>
      </c>
      <c r="K1482" s="12">
        <v>46121.734444444446</v>
      </c>
      <c r="L1482" s="6" t="e" cm="1">
        <f t="array" ref="L1482">LOOKUP(2^15,SEARCH(Tabela2[Palavras-Chave],Boletim4[[#This Row],[Objeto]],1),Tabela2[Palavras-Chave])</f>
        <v>#N/A</v>
      </c>
    </row>
    <row r="1483" spans="1:12" ht="86.4" hidden="1" x14ac:dyDescent="0.3">
      <c r="A1483" s="5">
        <v>18809411</v>
      </c>
      <c r="B1483" s="6" t="s">
        <v>2211</v>
      </c>
      <c r="C1483" s="6" t="s">
        <v>298</v>
      </c>
      <c r="D1483" s="8" t="s">
        <v>81</v>
      </c>
      <c r="E1483" s="6" t="s">
        <v>122</v>
      </c>
      <c r="F1483" s="6" t="s">
        <v>85</v>
      </c>
      <c r="G1483" s="11" t="s">
        <v>56</v>
      </c>
      <c r="H1483" s="11"/>
      <c r="I1483" s="10" t="s">
        <v>2212</v>
      </c>
      <c r="J1483" s="6" t="s">
        <v>2213</v>
      </c>
      <c r="K1483" s="12">
        <v>46121.744733796295</v>
      </c>
      <c r="L1483" s="6" t="e" cm="1">
        <f t="array" ref="L1483">LOOKUP(2^15,SEARCH(Tabela2[Palavras-Chave],Boletim4[[#This Row],[Objeto]],1),Tabela2[Palavras-Chave])</f>
        <v>#N/A</v>
      </c>
    </row>
    <row r="1484" spans="1:12" ht="100.8" hidden="1" x14ac:dyDescent="0.3">
      <c r="A1484" s="5">
        <v>18807478</v>
      </c>
      <c r="B1484" s="6" t="s">
        <v>2214</v>
      </c>
      <c r="C1484" s="6" t="s">
        <v>2187</v>
      </c>
      <c r="D1484" s="8" t="s">
        <v>81</v>
      </c>
      <c r="E1484" s="6" t="s">
        <v>146</v>
      </c>
      <c r="F1484" s="6" t="s">
        <v>85</v>
      </c>
      <c r="G1484" s="11">
        <v>46135.353472222225</v>
      </c>
      <c r="H1484" s="11"/>
      <c r="I1484" s="10" t="s">
        <v>2215</v>
      </c>
      <c r="J1484" s="6" t="s">
        <v>2216</v>
      </c>
      <c r="K1484" s="12">
        <v>46121.744884259257</v>
      </c>
      <c r="L1484" s="6" t="e" cm="1">
        <f t="array" ref="L1484">LOOKUP(2^15,SEARCH(Tabela2[Palavras-Chave],Boletim4[[#This Row],[Objeto]],1),Tabela2[Palavras-Chave])</f>
        <v>#N/A</v>
      </c>
    </row>
    <row r="1485" spans="1:12" ht="115.2" x14ac:dyDescent="0.3">
      <c r="A1485" s="5">
        <v>18808530</v>
      </c>
      <c r="B1485" s="6" t="s">
        <v>254</v>
      </c>
      <c r="C1485" s="6" t="s">
        <v>255</v>
      </c>
      <c r="D1485" s="8" t="s">
        <v>81</v>
      </c>
      <c r="E1485" s="6" t="s">
        <v>483</v>
      </c>
      <c r="F1485" s="6" t="s">
        <v>85</v>
      </c>
      <c r="G1485" s="11" t="s">
        <v>56</v>
      </c>
      <c r="H1485" s="11"/>
      <c r="I1485" s="10" t="s">
        <v>2217</v>
      </c>
      <c r="J1485" s="6" t="s">
        <v>2218</v>
      </c>
      <c r="K1485" s="12">
        <v>46121.767164351855</v>
      </c>
      <c r="L1485" s="6" t="str" cm="1">
        <f t="array" ref="L1485">LOOKUP(2^15,SEARCH(Tabela2[Palavras-Chave],Boletim4[[#This Row],[Objeto]],1),Tabela2[Palavras-Chave])</f>
        <v>RESERVAT</v>
      </c>
    </row>
    <row r="1486" spans="1:12" ht="86.4" hidden="1" x14ac:dyDescent="0.3">
      <c r="A1486" s="5">
        <v>18806936</v>
      </c>
      <c r="B1486" s="6" t="s">
        <v>2219</v>
      </c>
      <c r="C1486" s="6" t="s">
        <v>2220</v>
      </c>
      <c r="D1486" s="8" t="s">
        <v>81</v>
      </c>
      <c r="E1486" s="6" t="s">
        <v>155</v>
      </c>
      <c r="F1486" s="6" t="s">
        <v>85</v>
      </c>
      <c r="G1486" s="11" t="s">
        <v>56</v>
      </c>
      <c r="H1486" s="11"/>
      <c r="I1486" s="10" t="s">
        <v>2221</v>
      </c>
      <c r="J1486" s="6" t="s">
        <v>2222</v>
      </c>
      <c r="K1486" s="12">
        <v>46121.769270833334</v>
      </c>
      <c r="L1486" s="6" t="e" cm="1">
        <f t="array" ref="L1486">LOOKUP(2^15,SEARCH(Tabela2[Palavras-Chave],Boletim4[[#This Row],[Objeto]],1),Tabela2[Palavras-Chave])</f>
        <v>#N/A</v>
      </c>
    </row>
    <row r="1487" spans="1:12" ht="28.8" hidden="1" x14ac:dyDescent="0.3">
      <c r="A1487" s="5">
        <v>18810796</v>
      </c>
      <c r="B1487" s="6" t="s">
        <v>2223</v>
      </c>
      <c r="C1487" s="6" t="s">
        <v>104</v>
      </c>
      <c r="D1487" s="8" t="s">
        <v>81</v>
      </c>
      <c r="E1487" s="6" t="s">
        <v>155</v>
      </c>
      <c r="F1487" s="6" t="s">
        <v>85</v>
      </c>
      <c r="G1487" s="11">
        <v>46148</v>
      </c>
      <c r="H1487" s="11"/>
      <c r="I1487" s="10" t="s">
        <v>2224</v>
      </c>
      <c r="J1487" s="6" t="s">
        <v>169</v>
      </c>
      <c r="K1487" s="12">
        <v>46121.774745370371</v>
      </c>
      <c r="L1487" s="6" t="e" cm="1">
        <f t="array" ref="L1487">LOOKUP(2^15,SEARCH(Tabela2[Palavras-Chave],Boletim4[[#This Row],[Objeto]],1),Tabela2[Palavras-Chave])</f>
        <v>#N/A</v>
      </c>
    </row>
    <row r="1488" spans="1:12" ht="144" hidden="1" x14ac:dyDescent="0.3">
      <c r="A1488" s="5">
        <v>18810938</v>
      </c>
      <c r="B1488" s="6" t="s">
        <v>2225</v>
      </c>
      <c r="C1488" s="6" t="s">
        <v>104</v>
      </c>
      <c r="D1488" s="8" t="s">
        <v>81</v>
      </c>
      <c r="E1488" s="6" t="s">
        <v>2226</v>
      </c>
      <c r="F1488" s="6" t="s">
        <v>85</v>
      </c>
      <c r="G1488" s="11" t="s">
        <v>56</v>
      </c>
      <c r="H1488" s="11"/>
      <c r="I1488" s="10" t="s">
        <v>2227</v>
      </c>
      <c r="J1488" s="6" t="s">
        <v>2228</v>
      </c>
      <c r="K1488" s="12">
        <v>46121.794490740744</v>
      </c>
      <c r="L1488" s="6" t="e" cm="1">
        <f t="array" ref="L1488">LOOKUP(2^15,SEARCH(Tabela2[Palavras-Chave],Boletim4[[#This Row],[Objeto]],1),Tabela2[Palavras-Chave])</f>
        <v>#N/A</v>
      </c>
    </row>
    <row r="1489" spans="1:12" ht="43.2" hidden="1" x14ac:dyDescent="0.3">
      <c r="A1489" s="5">
        <v>18811001</v>
      </c>
      <c r="B1489" s="6" t="s">
        <v>3274</v>
      </c>
      <c r="C1489" s="6" t="s">
        <v>3275</v>
      </c>
      <c r="D1489" s="8" t="s">
        <v>81</v>
      </c>
      <c r="E1489" s="6" t="s">
        <v>201</v>
      </c>
      <c r="F1489" s="6" t="s">
        <v>85</v>
      </c>
      <c r="G1489" s="11">
        <v>46139.375</v>
      </c>
      <c r="H1489" s="11"/>
      <c r="I1489" s="10" t="s">
        <v>3276</v>
      </c>
      <c r="J1489" s="6" t="s">
        <v>3277</v>
      </c>
      <c r="K1489" s="12">
        <v>46121.780706018515</v>
      </c>
      <c r="L1489" s="6" t="e" cm="1">
        <f t="array" ref="L1489">LOOKUP(2^15,SEARCH(Tabela2[Palavras-Chave],Boletim4[[#This Row],[Objeto]],1),Tabela2[Palavras-Chave])</f>
        <v>#N/A</v>
      </c>
    </row>
    <row r="1490" spans="1:12" ht="57.6" hidden="1" x14ac:dyDescent="0.3">
      <c r="A1490" s="5">
        <v>18810989</v>
      </c>
      <c r="B1490" s="6" t="s">
        <v>3278</v>
      </c>
      <c r="C1490" s="6" t="s">
        <v>3279</v>
      </c>
      <c r="D1490" s="8" t="s">
        <v>81</v>
      </c>
      <c r="E1490" s="6" t="s">
        <v>204</v>
      </c>
      <c r="F1490" s="6" t="s">
        <v>85</v>
      </c>
      <c r="G1490" s="11">
        <v>46126.582638888889</v>
      </c>
      <c r="H1490" s="11"/>
      <c r="I1490" s="10" t="s">
        <v>3280</v>
      </c>
      <c r="J1490" s="6" t="s">
        <v>3281</v>
      </c>
      <c r="K1490" s="12">
        <v>46121.781990740739</v>
      </c>
      <c r="L1490" s="6" t="e" cm="1">
        <f t="array" ref="L1490">LOOKUP(2^15,SEARCH(Tabela2[Palavras-Chave],Boletim4[[#This Row],[Objeto]],1),Tabela2[Palavras-Chave])</f>
        <v>#N/A</v>
      </c>
    </row>
    <row r="1491" spans="1:12" ht="86.4" hidden="1" x14ac:dyDescent="0.3">
      <c r="A1491" s="5">
        <v>18809406</v>
      </c>
      <c r="B1491" s="6" t="s">
        <v>2229</v>
      </c>
      <c r="C1491" s="6" t="s">
        <v>2230</v>
      </c>
      <c r="D1491" s="8" t="s">
        <v>81</v>
      </c>
      <c r="E1491" s="6" t="s">
        <v>301</v>
      </c>
      <c r="F1491" s="6" t="s">
        <v>85</v>
      </c>
      <c r="G1491" s="11" t="s">
        <v>56</v>
      </c>
      <c r="H1491" s="11"/>
      <c r="I1491" s="10" t="s">
        <v>2231</v>
      </c>
      <c r="J1491" s="6" t="s">
        <v>2232</v>
      </c>
      <c r="K1491" s="12">
        <v>46121.788541666669</v>
      </c>
      <c r="L1491" s="6" t="e" cm="1">
        <f t="array" ref="L1491">LOOKUP(2^15,SEARCH(Tabela2[Palavras-Chave],Boletim4[[#This Row],[Objeto]],1),Tabela2[Palavras-Chave])</f>
        <v>#N/A</v>
      </c>
    </row>
    <row r="1492" spans="1:12" ht="100.8" hidden="1" x14ac:dyDescent="0.3">
      <c r="A1492" s="5">
        <v>18811116</v>
      </c>
      <c r="B1492" s="6" t="s">
        <v>2233</v>
      </c>
      <c r="C1492" s="6" t="s">
        <v>2234</v>
      </c>
      <c r="D1492" s="8" t="s">
        <v>81</v>
      </c>
      <c r="E1492" s="6" t="s">
        <v>115</v>
      </c>
      <c r="F1492" s="6" t="s">
        <v>85</v>
      </c>
      <c r="G1492" s="11" t="s">
        <v>56</v>
      </c>
      <c r="H1492" s="11"/>
      <c r="I1492" s="10" t="s">
        <v>2235</v>
      </c>
      <c r="J1492" s="6" t="s">
        <v>2236</v>
      </c>
      <c r="K1492" s="12">
        <v>46121.796759259261</v>
      </c>
      <c r="L1492" s="6" t="e" cm="1">
        <f t="array" ref="L1492">LOOKUP(2^15,SEARCH(Tabela2[Palavras-Chave],Boletim4[[#This Row],[Objeto]],1),Tabela2[Palavras-Chave])</f>
        <v>#N/A</v>
      </c>
    </row>
    <row r="1493" spans="1:12" ht="273.60000000000002" hidden="1" x14ac:dyDescent="0.3">
      <c r="A1493" s="5">
        <v>18811163</v>
      </c>
      <c r="B1493" s="6" t="s">
        <v>2237</v>
      </c>
      <c r="C1493" s="6" t="s">
        <v>2234</v>
      </c>
      <c r="D1493" s="8" t="s">
        <v>81</v>
      </c>
      <c r="E1493" s="6" t="s">
        <v>115</v>
      </c>
      <c r="F1493" s="6" t="s">
        <v>85</v>
      </c>
      <c r="G1493" s="11" t="s">
        <v>56</v>
      </c>
      <c r="H1493" s="11"/>
      <c r="I1493" s="10" t="s">
        <v>2238</v>
      </c>
      <c r="J1493" s="6" t="s">
        <v>2239</v>
      </c>
      <c r="K1493" s="12">
        <v>46121.796886574077</v>
      </c>
      <c r="L1493" s="6" t="e" cm="1">
        <f t="array" ref="L1493">LOOKUP(2^15,SEARCH(Tabela2[Palavras-Chave],Boletim4[[#This Row],[Objeto]],1),Tabela2[Palavras-Chave])</f>
        <v>#N/A</v>
      </c>
    </row>
    <row r="1494" spans="1:12" ht="43.2" hidden="1" x14ac:dyDescent="0.3">
      <c r="A1494" s="5">
        <v>18811023</v>
      </c>
      <c r="B1494" s="6" t="s">
        <v>3282</v>
      </c>
      <c r="C1494" s="6" t="s">
        <v>3283</v>
      </c>
      <c r="D1494" s="8" t="s">
        <v>81</v>
      </c>
      <c r="E1494" s="6" t="s">
        <v>3284</v>
      </c>
      <c r="F1494" s="6" t="s">
        <v>85</v>
      </c>
      <c r="G1494" s="11">
        <v>46134.770833333336</v>
      </c>
      <c r="H1494" s="11"/>
      <c r="I1494" s="10" t="s">
        <v>3285</v>
      </c>
      <c r="J1494" s="6" t="s">
        <v>3286</v>
      </c>
      <c r="K1494" s="12">
        <v>46121.79760416667</v>
      </c>
      <c r="L1494" s="6" t="e" cm="1">
        <f t="array" ref="L1494">LOOKUP(2^15,SEARCH(Tabela2[Palavras-Chave],Boletim4[[#This Row],[Objeto]],1),Tabela2[Palavras-Chave])</f>
        <v>#N/A</v>
      </c>
    </row>
    <row r="1495" spans="1:12" ht="57.6" hidden="1" x14ac:dyDescent="0.3">
      <c r="A1495" s="5">
        <v>18811283</v>
      </c>
      <c r="B1495" s="6" t="s">
        <v>3287</v>
      </c>
      <c r="C1495" s="6" t="s">
        <v>3288</v>
      </c>
      <c r="D1495" s="8" t="s">
        <v>81</v>
      </c>
      <c r="E1495" s="6" t="s">
        <v>116</v>
      </c>
      <c r="F1495" s="6" t="s">
        <v>85</v>
      </c>
      <c r="G1495" s="11">
        <v>46125</v>
      </c>
      <c r="H1495" s="11"/>
      <c r="I1495" s="10" t="s">
        <v>3289</v>
      </c>
      <c r="J1495" s="6" t="s">
        <v>3290</v>
      </c>
      <c r="K1495" s="12">
        <v>46121.839803240742</v>
      </c>
      <c r="L1495" s="6" t="e" cm="1">
        <f t="array" ref="L1495">LOOKUP(2^15,SEARCH(Tabela2[Palavras-Chave],Boletim4[[#This Row],[Objeto]],1),Tabela2[Palavras-Chave])</f>
        <v>#N/A</v>
      </c>
    </row>
    <row r="1496" spans="1:12" ht="57.6" hidden="1" x14ac:dyDescent="0.3">
      <c r="A1496" s="5">
        <v>18811418</v>
      </c>
      <c r="B1496" s="6" t="s">
        <v>2194</v>
      </c>
      <c r="C1496" s="6" t="s">
        <v>2195</v>
      </c>
      <c r="D1496" s="8" t="s">
        <v>81</v>
      </c>
      <c r="E1496" s="6" t="s">
        <v>170</v>
      </c>
      <c r="F1496" s="6" t="s">
        <v>85</v>
      </c>
      <c r="G1496" s="11" t="s">
        <v>56</v>
      </c>
      <c r="H1496" s="11"/>
      <c r="I1496" s="10" t="s">
        <v>3291</v>
      </c>
      <c r="J1496" s="6" t="s">
        <v>3292</v>
      </c>
      <c r="K1496" s="12">
        <v>46121.852048611108</v>
      </c>
      <c r="L1496" s="6" t="e" cm="1">
        <f t="array" ref="L1496">LOOKUP(2^15,SEARCH(Tabela2[Palavras-Chave],Boletim4[[#This Row],[Objeto]],1),Tabela2[Palavras-Chave])</f>
        <v>#N/A</v>
      </c>
    </row>
    <row r="1497" spans="1:12" ht="115.2" hidden="1" x14ac:dyDescent="0.3">
      <c r="A1497" s="5">
        <v>18804678</v>
      </c>
      <c r="B1497" s="6" t="s">
        <v>2223</v>
      </c>
      <c r="C1497" s="6" t="s">
        <v>104</v>
      </c>
      <c r="D1497" s="8" t="s">
        <v>81</v>
      </c>
      <c r="E1497" s="6" t="s">
        <v>2240</v>
      </c>
      <c r="F1497" s="6" t="s">
        <v>85</v>
      </c>
      <c r="G1497" s="11">
        <v>46148.375</v>
      </c>
      <c r="H1497" s="11"/>
      <c r="I1497" s="10" t="s">
        <v>2241</v>
      </c>
      <c r="J1497" s="6" t="s">
        <v>2242</v>
      </c>
      <c r="K1497" s="12">
        <v>46121.87222222222</v>
      </c>
      <c r="L1497" s="6" t="e" cm="1">
        <f t="array" ref="L1497">LOOKUP(2^15,SEARCH(Tabela2[Palavras-Chave],Boletim4[[#This Row],[Objeto]],1),Tabela2[Palavras-Chave])</f>
        <v>#N/A</v>
      </c>
    </row>
    <row r="1498" spans="1:12" ht="86.4" hidden="1" x14ac:dyDescent="0.3">
      <c r="A1498" s="5">
        <v>18806969</v>
      </c>
      <c r="B1498" s="6" t="s">
        <v>2243</v>
      </c>
      <c r="C1498" s="6" t="s">
        <v>2244</v>
      </c>
      <c r="D1498" s="8" t="s">
        <v>93</v>
      </c>
      <c r="E1498" s="6" t="s">
        <v>108</v>
      </c>
      <c r="F1498" s="6" t="s">
        <v>85</v>
      </c>
      <c r="G1498" s="11" t="s">
        <v>56</v>
      </c>
      <c r="H1498" s="11"/>
      <c r="I1498" s="10" t="s">
        <v>2245</v>
      </c>
      <c r="J1498" s="6" t="s">
        <v>2246</v>
      </c>
      <c r="K1498" s="12">
        <v>46121.44326388889</v>
      </c>
      <c r="L1498" s="6" t="e" cm="1">
        <f t="array" ref="L1498">LOOKUP(2^15,SEARCH(Tabela2[Palavras-Chave],Boletim4[[#This Row],[Objeto]],1),Tabela2[Palavras-Chave])</f>
        <v>#N/A</v>
      </c>
    </row>
    <row r="1499" spans="1:12" ht="100.8" hidden="1" x14ac:dyDescent="0.3">
      <c r="A1499" s="5">
        <v>18807462</v>
      </c>
      <c r="B1499" s="6" t="s">
        <v>74</v>
      </c>
      <c r="C1499" s="6" t="s">
        <v>160</v>
      </c>
      <c r="D1499" s="8" t="s">
        <v>93</v>
      </c>
      <c r="E1499" s="6" t="s">
        <v>1319</v>
      </c>
      <c r="F1499" s="6" t="s">
        <v>85</v>
      </c>
      <c r="G1499" s="11" t="s">
        <v>56</v>
      </c>
      <c r="H1499" s="11"/>
      <c r="I1499" s="10" t="s">
        <v>1320</v>
      </c>
      <c r="J1499" s="6" t="s">
        <v>1321</v>
      </c>
      <c r="K1499" s="12">
        <v>46121.447314814817</v>
      </c>
      <c r="L1499" s="6" t="e" cm="1">
        <f t="array" ref="L1499">LOOKUP(2^15,SEARCH(Tabela2[Palavras-Chave],Boletim4[[#This Row],[Objeto]],1),Tabela2[Palavras-Chave])</f>
        <v>#N/A</v>
      </c>
    </row>
    <row r="1500" spans="1:12" ht="100.8" hidden="1" x14ac:dyDescent="0.3">
      <c r="A1500" s="5">
        <v>18807587</v>
      </c>
      <c r="B1500" s="6" t="s">
        <v>74</v>
      </c>
      <c r="C1500" s="6" t="s">
        <v>160</v>
      </c>
      <c r="D1500" s="8" t="s">
        <v>93</v>
      </c>
      <c r="E1500" s="6" t="s">
        <v>2972</v>
      </c>
      <c r="F1500" s="6" t="s">
        <v>85</v>
      </c>
      <c r="G1500" s="11" t="s">
        <v>56</v>
      </c>
      <c r="H1500" s="11"/>
      <c r="I1500" s="10" t="s">
        <v>2973</v>
      </c>
      <c r="J1500" s="6" t="s">
        <v>1321</v>
      </c>
      <c r="K1500" s="12">
        <v>46121.450092592589</v>
      </c>
      <c r="L1500" s="6" t="e" cm="1">
        <f t="array" ref="L1500">LOOKUP(2^15,SEARCH(Tabela2[Palavras-Chave],Boletim4[[#This Row],[Objeto]],1),Tabela2[Palavras-Chave])</f>
        <v>#N/A</v>
      </c>
    </row>
    <row r="1501" spans="1:12" ht="86.4" hidden="1" x14ac:dyDescent="0.3">
      <c r="A1501" s="5">
        <v>18806947</v>
      </c>
      <c r="B1501" s="6" t="s">
        <v>2247</v>
      </c>
      <c r="C1501" s="6" t="s">
        <v>2248</v>
      </c>
      <c r="D1501" s="8" t="s">
        <v>93</v>
      </c>
      <c r="E1501" s="6" t="s">
        <v>117</v>
      </c>
      <c r="F1501" s="6" t="s">
        <v>85</v>
      </c>
      <c r="G1501" s="11" t="s">
        <v>56</v>
      </c>
      <c r="H1501" s="11"/>
      <c r="I1501" s="10" t="s">
        <v>2249</v>
      </c>
      <c r="J1501" s="6" t="s">
        <v>2250</v>
      </c>
      <c r="K1501" s="12">
        <v>46121.537662037037</v>
      </c>
      <c r="L1501" s="6" t="e" cm="1">
        <f t="array" ref="L1501">LOOKUP(2^15,SEARCH(Tabela2[Palavras-Chave],Boletim4[[#This Row],[Objeto]],1),Tabela2[Palavras-Chave])</f>
        <v>#N/A</v>
      </c>
    </row>
    <row r="1502" spans="1:12" ht="158.4" hidden="1" x14ac:dyDescent="0.3">
      <c r="A1502" s="5">
        <v>18810150</v>
      </c>
      <c r="B1502" s="6" t="s">
        <v>2251</v>
      </c>
      <c r="C1502" s="6" t="s">
        <v>160</v>
      </c>
      <c r="D1502" s="8" t="s">
        <v>93</v>
      </c>
      <c r="E1502" s="6" t="s">
        <v>158</v>
      </c>
      <c r="F1502" s="6" t="s">
        <v>85</v>
      </c>
      <c r="G1502" s="11">
        <v>46134.375</v>
      </c>
      <c r="H1502" s="11"/>
      <c r="I1502" s="10" t="s">
        <v>2252</v>
      </c>
      <c r="J1502" s="6" t="s">
        <v>2253</v>
      </c>
      <c r="K1502" s="12">
        <v>46121.726354166669</v>
      </c>
      <c r="L1502" s="6" t="e" cm="1">
        <f t="array" ref="L1502">LOOKUP(2^15,SEARCH(Tabela2[Palavras-Chave],Boletim4[[#This Row],[Objeto]],1),Tabela2[Palavras-Chave])</f>
        <v>#N/A</v>
      </c>
    </row>
    <row r="1503" spans="1:12" ht="43.2" hidden="1" x14ac:dyDescent="0.3">
      <c r="A1503" s="5">
        <v>18809590</v>
      </c>
      <c r="B1503" s="6" t="s">
        <v>2254</v>
      </c>
      <c r="C1503" s="6" t="s">
        <v>1763</v>
      </c>
      <c r="D1503" s="8" t="s">
        <v>93</v>
      </c>
      <c r="E1503" s="6" t="s">
        <v>121</v>
      </c>
      <c r="F1503" s="6" t="s">
        <v>85</v>
      </c>
      <c r="G1503" s="11">
        <v>46139.375</v>
      </c>
      <c r="H1503" s="11"/>
      <c r="I1503" s="10" t="s">
        <v>2255</v>
      </c>
      <c r="J1503" s="6" t="s">
        <v>2256</v>
      </c>
      <c r="K1503" s="12">
        <v>46121.732002314813</v>
      </c>
      <c r="L1503" s="6" t="e" cm="1">
        <f t="array" ref="L1503">LOOKUP(2^15,SEARCH(Tabela2[Palavras-Chave],Boletim4[[#This Row],[Objeto]],1),Tabela2[Palavras-Chave])</f>
        <v>#N/A</v>
      </c>
    </row>
    <row r="1504" spans="1:12" ht="43.2" hidden="1" x14ac:dyDescent="0.3">
      <c r="A1504" s="5">
        <v>18810594</v>
      </c>
      <c r="B1504" s="6" t="s">
        <v>579</v>
      </c>
      <c r="C1504" s="6" t="s">
        <v>580</v>
      </c>
      <c r="D1504" s="8" t="s">
        <v>93</v>
      </c>
      <c r="E1504" s="6" t="s">
        <v>108</v>
      </c>
      <c r="F1504" s="6" t="s">
        <v>85</v>
      </c>
      <c r="G1504" s="11">
        <v>46139.375</v>
      </c>
      <c r="H1504" s="11"/>
      <c r="I1504" s="10" t="s">
        <v>2257</v>
      </c>
      <c r="J1504" s="6" t="s">
        <v>2258</v>
      </c>
      <c r="K1504" s="12">
        <v>46121.755694444444</v>
      </c>
      <c r="L1504" s="6" t="e" cm="1">
        <f t="array" ref="L1504">LOOKUP(2^15,SEARCH(Tabela2[Palavras-Chave],Boletim4[[#This Row],[Objeto]],1),Tabela2[Palavras-Chave])</f>
        <v>#N/A</v>
      </c>
    </row>
    <row r="1505" spans="1:12" ht="158.4" hidden="1" x14ac:dyDescent="0.3">
      <c r="A1505" s="5">
        <v>18805488</v>
      </c>
      <c r="B1505" s="6" t="s">
        <v>552</v>
      </c>
      <c r="C1505" s="6" t="s">
        <v>83</v>
      </c>
      <c r="D1505" s="8" t="s">
        <v>82</v>
      </c>
      <c r="E1505" s="6" t="s">
        <v>553</v>
      </c>
      <c r="F1505" s="6" t="s">
        <v>85</v>
      </c>
      <c r="G1505" s="11">
        <v>46134.395833333336</v>
      </c>
      <c r="H1505" s="11"/>
      <c r="I1505" s="10" t="s">
        <v>554</v>
      </c>
      <c r="J1505" s="6" t="s">
        <v>555</v>
      </c>
      <c r="K1505" s="12">
        <v>46121.389050925929</v>
      </c>
      <c r="L1505" s="6" t="e" cm="1">
        <f t="array" ref="L1505">LOOKUP(2^15,SEARCH(Tabela2[Palavras-Chave],Boletim4[[#This Row],[Objeto]],1),Tabela2[Palavras-Chave])</f>
        <v>#N/A</v>
      </c>
    </row>
    <row r="1506" spans="1:12" ht="115.2" hidden="1" x14ac:dyDescent="0.3">
      <c r="A1506" s="5">
        <v>18792175</v>
      </c>
      <c r="B1506" s="6" t="s">
        <v>2259</v>
      </c>
      <c r="C1506" s="6" t="s">
        <v>2260</v>
      </c>
      <c r="D1506" s="8" t="s">
        <v>82</v>
      </c>
      <c r="E1506" s="6" t="s">
        <v>293</v>
      </c>
      <c r="F1506" s="6" t="s">
        <v>85</v>
      </c>
      <c r="G1506" s="11" t="s">
        <v>56</v>
      </c>
      <c r="H1506" s="11"/>
      <c r="I1506" s="10" t="s">
        <v>2261</v>
      </c>
      <c r="J1506" s="6" t="s">
        <v>2262</v>
      </c>
      <c r="K1506" s="12">
        <v>46121.389050925929</v>
      </c>
      <c r="L1506" s="6" t="e" cm="1">
        <f t="array" ref="L1506">LOOKUP(2^15,SEARCH(Tabela2[Palavras-Chave],Boletim4[[#This Row],[Objeto]],1),Tabela2[Palavras-Chave])</f>
        <v>#N/A</v>
      </c>
    </row>
    <row r="1507" spans="1:12" ht="86.4" hidden="1" x14ac:dyDescent="0.3">
      <c r="A1507" s="5">
        <v>18798007</v>
      </c>
      <c r="B1507" s="6" t="s">
        <v>2263</v>
      </c>
      <c r="C1507" s="6" t="s">
        <v>2264</v>
      </c>
      <c r="D1507" s="8" t="s">
        <v>82</v>
      </c>
      <c r="E1507" s="6" t="s">
        <v>134</v>
      </c>
      <c r="F1507" s="6" t="s">
        <v>85</v>
      </c>
      <c r="G1507" s="11" t="s">
        <v>56</v>
      </c>
      <c r="H1507" s="11"/>
      <c r="I1507" s="10" t="s">
        <v>2265</v>
      </c>
      <c r="J1507" s="6" t="s">
        <v>2266</v>
      </c>
      <c r="K1507" s="12">
        <v>46121.389050925929</v>
      </c>
      <c r="L1507" s="6" t="e" cm="1">
        <f t="array" ref="L1507">LOOKUP(2^15,SEARCH(Tabela2[Palavras-Chave],Boletim4[[#This Row],[Objeto]],1),Tabela2[Palavras-Chave])</f>
        <v>#N/A</v>
      </c>
    </row>
    <row r="1508" spans="1:12" ht="100.8" hidden="1" x14ac:dyDescent="0.3">
      <c r="A1508" s="5">
        <v>18807463</v>
      </c>
      <c r="B1508" s="6" t="s">
        <v>74</v>
      </c>
      <c r="C1508" s="6" t="s">
        <v>83</v>
      </c>
      <c r="D1508" s="8" t="s">
        <v>82</v>
      </c>
      <c r="E1508" s="6" t="s">
        <v>1319</v>
      </c>
      <c r="F1508" s="6" t="s">
        <v>85</v>
      </c>
      <c r="G1508" s="11" t="s">
        <v>56</v>
      </c>
      <c r="H1508" s="11"/>
      <c r="I1508" s="10" t="s">
        <v>1320</v>
      </c>
      <c r="J1508" s="6" t="s">
        <v>1321</v>
      </c>
      <c r="K1508" s="12">
        <v>46121.447314814817</v>
      </c>
      <c r="L1508" s="6" t="e" cm="1">
        <f t="array" ref="L1508">LOOKUP(2^15,SEARCH(Tabela2[Palavras-Chave],Boletim4[[#This Row],[Objeto]],1),Tabela2[Palavras-Chave])</f>
        <v>#N/A</v>
      </c>
    </row>
    <row r="1509" spans="1:12" ht="72" hidden="1" x14ac:dyDescent="0.3">
      <c r="A1509" s="5">
        <v>18807403</v>
      </c>
      <c r="B1509" s="6" t="s">
        <v>74</v>
      </c>
      <c r="C1509" s="6" t="s">
        <v>83</v>
      </c>
      <c r="D1509" s="8" t="s">
        <v>82</v>
      </c>
      <c r="E1509" s="6" t="s">
        <v>3213</v>
      </c>
      <c r="F1509" s="6" t="s">
        <v>85</v>
      </c>
      <c r="G1509" s="11" t="s">
        <v>56</v>
      </c>
      <c r="H1509" s="11"/>
      <c r="I1509" s="10" t="s">
        <v>3214</v>
      </c>
      <c r="J1509" s="6" t="s">
        <v>3215</v>
      </c>
      <c r="K1509" s="12">
        <v>46121.447314814817</v>
      </c>
      <c r="L1509" s="6" t="e" cm="1">
        <f t="array" ref="L1509">LOOKUP(2^15,SEARCH(Tabela2[Palavras-Chave],Boletim4[[#This Row],[Objeto]],1),Tabela2[Palavras-Chave])</f>
        <v>#N/A</v>
      </c>
    </row>
    <row r="1510" spans="1:12" ht="72" hidden="1" x14ac:dyDescent="0.3">
      <c r="A1510" s="5">
        <v>18807381</v>
      </c>
      <c r="B1510" s="6" t="s">
        <v>74</v>
      </c>
      <c r="C1510" s="6" t="s">
        <v>83</v>
      </c>
      <c r="D1510" s="8" t="s">
        <v>82</v>
      </c>
      <c r="E1510" s="6" t="s">
        <v>3216</v>
      </c>
      <c r="F1510" s="6" t="s">
        <v>85</v>
      </c>
      <c r="G1510" s="11" t="s">
        <v>56</v>
      </c>
      <c r="H1510" s="11"/>
      <c r="I1510" s="10" t="s">
        <v>3217</v>
      </c>
      <c r="J1510" s="6" t="s">
        <v>3218</v>
      </c>
      <c r="K1510" s="12">
        <v>46121.448634259257</v>
      </c>
      <c r="L1510" s="6" t="e" cm="1">
        <f t="array" ref="L1510">LOOKUP(2^15,SEARCH(Tabela2[Palavras-Chave],Boletim4[[#This Row],[Objeto]],1),Tabela2[Palavras-Chave])</f>
        <v>#N/A</v>
      </c>
    </row>
    <row r="1511" spans="1:12" ht="259.2" hidden="1" x14ac:dyDescent="0.3">
      <c r="A1511" s="5">
        <v>18807088</v>
      </c>
      <c r="B1511" s="6" t="s">
        <v>2267</v>
      </c>
      <c r="C1511" s="6" t="s">
        <v>2268</v>
      </c>
      <c r="D1511" s="8" t="s">
        <v>82</v>
      </c>
      <c r="E1511" s="6" t="s">
        <v>127</v>
      </c>
      <c r="F1511" s="6" t="s">
        <v>85</v>
      </c>
      <c r="G1511" s="11" t="s">
        <v>56</v>
      </c>
      <c r="H1511" s="11"/>
      <c r="I1511" s="10" t="s">
        <v>2269</v>
      </c>
      <c r="J1511" s="6" t="s">
        <v>2270</v>
      </c>
      <c r="K1511" s="12">
        <v>46121.447071759256</v>
      </c>
      <c r="L1511" s="6" t="e" cm="1">
        <f t="array" ref="L1511">LOOKUP(2^15,SEARCH(Tabela2[Palavras-Chave],Boletim4[[#This Row],[Objeto]],1),Tabela2[Palavras-Chave])</f>
        <v>#N/A</v>
      </c>
    </row>
    <row r="1512" spans="1:12" ht="100.8" hidden="1" x14ac:dyDescent="0.3">
      <c r="A1512" s="5">
        <v>18807588</v>
      </c>
      <c r="B1512" s="6" t="s">
        <v>74</v>
      </c>
      <c r="C1512" s="6" t="s">
        <v>83</v>
      </c>
      <c r="D1512" s="8" t="s">
        <v>82</v>
      </c>
      <c r="E1512" s="6" t="s">
        <v>2972</v>
      </c>
      <c r="F1512" s="6" t="s">
        <v>85</v>
      </c>
      <c r="G1512" s="11" t="s">
        <v>56</v>
      </c>
      <c r="H1512" s="11"/>
      <c r="I1512" s="10" t="s">
        <v>2973</v>
      </c>
      <c r="J1512" s="6" t="s">
        <v>1321</v>
      </c>
      <c r="K1512" s="12">
        <v>46121.450092592589</v>
      </c>
      <c r="L1512" s="6" t="e" cm="1">
        <f t="array" ref="L1512">LOOKUP(2^15,SEARCH(Tabela2[Palavras-Chave],Boletim4[[#This Row],[Objeto]],1),Tabela2[Palavras-Chave])</f>
        <v>#N/A</v>
      </c>
    </row>
    <row r="1513" spans="1:12" ht="43.2" hidden="1" x14ac:dyDescent="0.3">
      <c r="A1513" s="5">
        <v>18804870</v>
      </c>
      <c r="B1513" s="6" t="s">
        <v>697</v>
      </c>
      <c r="C1513" s="6" t="s">
        <v>698</v>
      </c>
      <c r="D1513" s="8" t="s">
        <v>82</v>
      </c>
      <c r="E1513" s="6" t="s">
        <v>108</v>
      </c>
      <c r="F1513" s="6" t="s">
        <v>85</v>
      </c>
      <c r="G1513" s="11">
        <v>46136.375</v>
      </c>
      <c r="H1513" s="11"/>
      <c r="I1513" s="10" t="s">
        <v>699</v>
      </c>
      <c r="J1513" s="6" t="s">
        <v>700</v>
      </c>
      <c r="K1513" s="12">
        <v>46121.450740740744</v>
      </c>
      <c r="L1513" s="6" t="e" cm="1">
        <f t="array" ref="L1513">LOOKUP(2^15,SEARCH(Tabela2[Palavras-Chave],Boletim4[[#This Row],[Objeto]],1),Tabela2[Palavras-Chave])</f>
        <v>#N/A</v>
      </c>
    </row>
    <row r="1514" spans="1:12" ht="100.8" hidden="1" x14ac:dyDescent="0.3">
      <c r="A1514" s="5">
        <v>18804729</v>
      </c>
      <c r="B1514" s="6" t="s">
        <v>303</v>
      </c>
      <c r="C1514" s="6" t="s">
        <v>304</v>
      </c>
      <c r="D1514" s="8" t="s">
        <v>82</v>
      </c>
      <c r="E1514" s="6" t="s">
        <v>548</v>
      </c>
      <c r="F1514" s="6" t="s">
        <v>85</v>
      </c>
      <c r="G1514" s="11">
        <v>46148.604166666664</v>
      </c>
      <c r="H1514" s="11"/>
      <c r="I1514" s="10" t="s">
        <v>549</v>
      </c>
      <c r="J1514" s="6" t="s">
        <v>550</v>
      </c>
      <c r="K1514" s="12">
        <v>46121.451516203706</v>
      </c>
      <c r="L1514" s="6" t="e" cm="1">
        <f t="array" ref="L1514">LOOKUP(2^15,SEARCH(Tabela2[Palavras-Chave],Boletim4[[#This Row],[Objeto]],1),Tabela2[Palavras-Chave])</f>
        <v>#N/A</v>
      </c>
    </row>
    <row r="1515" spans="1:12" ht="86.4" hidden="1" x14ac:dyDescent="0.3">
      <c r="A1515" s="5">
        <v>18806958</v>
      </c>
      <c r="B1515" s="6" t="s">
        <v>2271</v>
      </c>
      <c r="C1515" s="6" t="s">
        <v>2272</v>
      </c>
      <c r="D1515" s="8" t="s">
        <v>82</v>
      </c>
      <c r="E1515" s="6" t="s">
        <v>450</v>
      </c>
      <c r="F1515" s="6" t="s">
        <v>85</v>
      </c>
      <c r="G1515" s="11" t="s">
        <v>56</v>
      </c>
      <c r="H1515" s="11"/>
      <c r="I1515" s="10" t="s">
        <v>2273</v>
      </c>
      <c r="J1515" s="6" t="s">
        <v>2274</v>
      </c>
      <c r="K1515" s="12">
        <v>46121.450428240743</v>
      </c>
      <c r="L1515" s="6" t="e" cm="1">
        <f t="array" ref="L1515">LOOKUP(2^15,SEARCH(Tabela2[Palavras-Chave],Boletim4[[#This Row],[Objeto]],1),Tabela2[Palavras-Chave])</f>
        <v>#N/A</v>
      </c>
    </row>
    <row r="1516" spans="1:12" ht="28.8" hidden="1" x14ac:dyDescent="0.3">
      <c r="A1516" s="5">
        <v>18807031</v>
      </c>
      <c r="B1516" s="6" t="s">
        <v>2275</v>
      </c>
      <c r="C1516" s="6" t="s">
        <v>2276</v>
      </c>
      <c r="D1516" s="8" t="s">
        <v>82</v>
      </c>
      <c r="E1516" s="6" t="s">
        <v>121</v>
      </c>
      <c r="F1516" s="6" t="s">
        <v>85</v>
      </c>
      <c r="G1516" s="11">
        <v>46139.326388888891</v>
      </c>
      <c r="H1516" s="11"/>
      <c r="I1516" s="10" t="s">
        <v>2277</v>
      </c>
      <c r="J1516" s="6" t="s">
        <v>90</v>
      </c>
      <c r="K1516" s="12">
        <v>46121.451932870368</v>
      </c>
      <c r="L1516" s="6" t="e" cm="1">
        <f t="array" ref="L1516">LOOKUP(2^15,SEARCH(Tabela2[Palavras-Chave],Boletim4[[#This Row],[Objeto]],1),Tabela2[Palavras-Chave])</f>
        <v>#N/A</v>
      </c>
    </row>
    <row r="1517" spans="1:12" ht="259.2" hidden="1" x14ac:dyDescent="0.3">
      <c r="A1517" s="5">
        <v>18807066</v>
      </c>
      <c r="B1517" s="6" t="s">
        <v>2278</v>
      </c>
      <c r="C1517" s="6" t="s">
        <v>2279</v>
      </c>
      <c r="D1517" s="8" t="s">
        <v>82</v>
      </c>
      <c r="E1517" s="6" t="s">
        <v>128</v>
      </c>
      <c r="F1517" s="6" t="s">
        <v>85</v>
      </c>
      <c r="G1517" s="11" t="s">
        <v>56</v>
      </c>
      <c r="H1517" s="11"/>
      <c r="I1517" s="10" t="s">
        <v>2280</v>
      </c>
      <c r="J1517" s="6" t="s">
        <v>2281</v>
      </c>
      <c r="K1517" s="12">
        <v>46121.452303240738</v>
      </c>
      <c r="L1517" s="6" t="e" cm="1">
        <f t="array" ref="L1517">LOOKUP(2^15,SEARCH(Tabela2[Palavras-Chave],Boletim4[[#This Row],[Objeto]],1),Tabela2[Palavras-Chave])</f>
        <v>#N/A</v>
      </c>
    </row>
    <row r="1518" spans="1:12" ht="86.4" hidden="1" x14ac:dyDescent="0.3">
      <c r="A1518" s="5">
        <v>18806963</v>
      </c>
      <c r="B1518" s="6" t="s">
        <v>2282</v>
      </c>
      <c r="C1518" s="6" t="s">
        <v>2283</v>
      </c>
      <c r="D1518" s="8" t="s">
        <v>82</v>
      </c>
      <c r="E1518" s="6" t="s">
        <v>424</v>
      </c>
      <c r="F1518" s="6" t="s">
        <v>85</v>
      </c>
      <c r="G1518" s="11" t="s">
        <v>56</v>
      </c>
      <c r="H1518" s="11"/>
      <c r="I1518" s="10" t="s">
        <v>2284</v>
      </c>
      <c r="J1518" s="6" t="s">
        <v>2285</v>
      </c>
      <c r="K1518" s="12">
        <v>46121.458009259259</v>
      </c>
      <c r="L1518" s="6" t="e" cm="1">
        <f t="array" ref="L1518">LOOKUP(2^15,SEARCH(Tabela2[Palavras-Chave],Boletim4[[#This Row],[Objeto]],1),Tabela2[Palavras-Chave])</f>
        <v>#N/A</v>
      </c>
    </row>
    <row r="1519" spans="1:12" ht="86.4" hidden="1" x14ac:dyDescent="0.3">
      <c r="A1519" s="5">
        <v>18806198</v>
      </c>
      <c r="B1519" s="6" t="s">
        <v>556</v>
      </c>
      <c r="C1519" s="6" t="s">
        <v>557</v>
      </c>
      <c r="D1519" s="8" t="s">
        <v>82</v>
      </c>
      <c r="E1519" s="6" t="s">
        <v>229</v>
      </c>
      <c r="F1519" s="6" t="s">
        <v>85</v>
      </c>
      <c r="G1519" s="11" t="s">
        <v>56</v>
      </c>
      <c r="H1519" s="11"/>
      <c r="I1519" s="10" t="s">
        <v>558</v>
      </c>
      <c r="J1519" s="6" t="s">
        <v>559</v>
      </c>
      <c r="K1519" s="12">
        <v>46121.461180555554</v>
      </c>
      <c r="L1519" s="6" t="e" cm="1">
        <f t="array" ref="L1519">LOOKUP(2^15,SEARCH(Tabela2[Palavras-Chave],Boletim4[[#This Row],[Objeto]],1),Tabela2[Palavras-Chave])</f>
        <v>#N/A</v>
      </c>
    </row>
    <row r="1520" spans="1:12" ht="86.4" hidden="1" x14ac:dyDescent="0.3">
      <c r="A1520" s="5">
        <v>18806957</v>
      </c>
      <c r="B1520" s="6" t="s">
        <v>2286</v>
      </c>
      <c r="C1520" s="6" t="s">
        <v>2287</v>
      </c>
      <c r="D1520" s="8" t="s">
        <v>82</v>
      </c>
      <c r="E1520" s="6" t="s">
        <v>122</v>
      </c>
      <c r="F1520" s="6" t="s">
        <v>85</v>
      </c>
      <c r="G1520" s="11" t="s">
        <v>56</v>
      </c>
      <c r="H1520" s="11"/>
      <c r="I1520" s="10" t="s">
        <v>2288</v>
      </c>
      <c r="J1520" s="6" t="s">
        <v>2289</v>
      </c>
      <c r="K1520" s="12">
        <v>46121.458958333336</v>
      </c>
      <c r="L1520" s="6" t="e" cm="1">
        <f t="array" ref="L1520">LOOKUP(2^15,SEARCH(Tabela2[Palavras-Chave],Boletim4[[#This Row],[Objeto]],1),Tabela2[Palavras-Chave])</f>
        <v>#N/A</v>
      </c>
    </row>
    <row r="1521" spans="1:12" ht="100.8" hidden="1" x14ac:dyDescent="0.3">
      <c r="A1521" s="5">
        <v>18783825</v>
      </c>
      <c r="B1521" s="6" t="s">
        <v>537</v>
      </c>
      <c r="C1521" s="6" t="s">
        <v>282</v>
      </c>
      <c r="D1521" s="8" t="s">
        <v>82</v>
      </c>
      <c r="E1521" s="6" t="s">
        <v>146</v>
      </c>
      <c r="F1521" s="6" t="s">
        <v>85</v>
      </c>
      <c r="G1521" s="11" t="s">
        <v>56</v>
      </c>
      <c r="H1521" s="11"/>
      <c r="I1521" s="10" t="s">
        <v>538</v>
      </c>
      <c r="J1521" s="6" t="s">
        <v>539</v>
      </c>
      <c r="K1521" s="12">
        <v>46121.48196759259</v>
      </c>
      <c r="L1521" s="6" t="e" cm="1">
        <f t="array" ref="L1521">LOOKUP(2^15,SEARCH(Tabela2[Palavras-Chave],Boletim4[[#This Row],[Objeto]],1),Tabela2[Palavras-Chave])</f>
        <v>#N/A</v>
      </c>
    </row>
    <row r="1522" spans="1:12" ht="259.2" x14ac:dyDescent="0.3">
      <c r="A1522" s="5">
        <v>18807086</v>
      </c>
      <c r="B1522" s="6" t="s">
        <v>2290</v>
      </c>
      <c r="C1522" s="6" t="s">
        <v>2291</v>
      </c>
      <c r="D1522" s="8" t="s">
        <v>82</v>
      </c>
      <c r="E1522" s="6" t="s">
        <v>108</v>
      </c>
      <c r="F1522" s="6" t="s">
        <v>85</v>
      </c>
      <c r="G1522" s="11" t="s">
        <v>56</v>
      </c>
      <c r="H1522" s="11"/>
      <c r="I1522" s="10" t="s">
        <v>2292</v>
      </c>
      <c r="J1522" s="6" t="s">
        <v>2293</v>
      </c>
      <c r="K1522" s="12">
        <v>46121.471493055556</v>
      </c>
      <c r="L1522" s="6" t="str" cm="1">
        <f t="array" ref="L1522">LOOKUP(2^15,SEARCH(Tabela2[Palavras-Chave],Boletim4[[#This Row],[Objeto]],1),Tabela2[Palavras-Chave])</f>
        <v>MEDIÇÃO</v>
      </c>
    </row>
    <row r="1523" spans="1:12" ht="230.4" hidden="1" x14ac:dyDescent="0.3">
      <c r="A1523" s="5">
        <v>18806962</v>
      </c>
      <c r="B1523" s="6" t="s">
        <v>2294</v>
      </c>
      <c r="C1523" s="6" t="s">
        <v>2295</v>
      </c>
      <c r="D1523" s="8" t="s">
        <v>82</v>
      </c>
      <c r="E1523" s="6" t="s">
        <v>115</v>
      </c>
      <c r="F1523" s="6" t="s">
        <v>85</v>
      </c>
      <c r="G1523" s="11" t="s">
        <v>56</v>
      </c>
      <c r="H1523" s="11"/>
      <c r="I1523" s="10" t="s">
        <v>2296</v>
      </c>
      <c r="J1523" s="6" t="s">
        <v>2297</v>
      </c>
      <c r="K1523" s="12">
        <v>46121.499305555553</v>
      </c>
      <c r="L1523" s="6" t="e" cm="1">
        <f t="array" ref="L1523">LOOKUP(2^15,SEARCH(Tabela2[Palavras-Chave],Boletim4[[#This Row],[Objeto]],1),Tabela2[Palavras-Chave])</f>
        <v>#N/A</v>
      </c>
    </row>
    <row r="1524" spans="1:12" ht="43.2" hidden="1" x14ac:dyDescent="0.3">
      <c r="A1524" s="5">
        <v>18807453</v>
      </c>
      <c r="B1524" s="6" t="s">
        <v>3293</v>
      </c>
      <c r="C1524" s="6" t="s">
        <v>83</v>
      </c>
      <c r="D1524" s="8" t="s">
        <v>82</v>
      </c>
      <c r="E1524" s="6" t="s">
        <v>3294</v>
      </c>
      <c r="F1524" s="6" t="s">
        <v>85</v>
      </c>
      <c r="G1524" s="11" t="s">
        <v>56</v>
      </c>
      <c r="H1524" s="11"/>
      <c r="I1524" s="10" t="s">
        <v>3295</v>
      </c>
      <c r="J1524" s="6" t="s">
        <v>3296</v>
      </c>
      <c r="K1524" s="12">
        <v>46121.501655092594</v>
      </c>
      <c r="L1524" s="6" t="e" cm="1">
        <f t="array" ref="L1524">LOOKUP(2^15,SEARCH(Tabela2[Palavras-Chave],Boletim4[[#This Row],[Objeto]],1),Tabela2[Palavras-Chave])</f>
        <v>#N/A</v>
      </c>
    </row>
    <row r="1525" spans="1:12" ht="57.6" hidden="1" x14ac:dyDescent="0.3">
      <c r="A1525" s="5">
        <v>18801219</v>
      </c>
      <c r="B1525" s="6" t="s">
        <v>2298</v>
      </c>
      <c r="C1525" s="6" t="s">
        <v>1267</v>
      </c>
      <c r="D1525" s="8" t="s">
        <v>82</v>
      </c>
      <c r="E1525" s="6" t="s">
        <v>2299</v>
      </c>
      <c r="F1525" s="6" t="s">
        <v>85</v>
      </c>
      <c r="G1525" s="11" t="s">
        <v>56</v>
      </c>
      <c r="H1525" s="11"/>
      <c r="I1525" s="10" t="s">
        <v>2300</v>
      </c>
      <c r="J1525" s="6" t="s">
        <v>2301</v>
      </c>
      <c r="K1525" s="12">
        <v>46121.502476851849</v>
      </c>
      <c r="L1525" s="6" t="e" cm="1">
        <f t="array" ref="L1525">LOOKUP(2^15,SEARCH(Tabela2[Palavras-Chave],Boletim4[[#This Row],[Objeto]],1),Tabela2[Palavras-Chave])</f>
        <v>#N/A</v>
      </c>
    </row>
    <row r="1526" spans="1:12" ht="72" hidden="1" x14ac:dyDescent="0.3">
      <c r="A1526" s="5">
        <v>18807488</v>
      </c>
      <c r="B1526" s="6" t="s">
        <v>74</v>
      </c>
      <c r="C1526" s="6" t="s">
        <v>83</v>
      </c>
      <c r="D1526" s="8" t="s">
        <v>82</v>
      </c>
      <c r="E1526" s="6" t="s">
        <v>1938</v>
      </c>
      <c r="F1526" s="6" t="s">
        <v>85</v>
      </c>
      <c r="G1526" s="11" t="s">
        <v>56</v>
      </c>
      <c r="H1526" s="11"/>
      <c r="I1526" s="10" t="s">
        <v>1939</v>
      </c>
      <c r="J1526" s="6" t="s">
        <v>1940</v>
      </c>
      <c r="K1526" s="12">
        <v>46121.507002314815</v>
      </c>
      <c r="L1526" s="6" t="e" cm="1">
        <f t="array" ref="L1526">LOOKUP(2^15,SEARCH(Tabela2[Palavras-Chave],Boletim4[[#This Row],[Objeto]],1),Tabela2[Palavras-Chave])</f>
        <v>#N/A</v>
      </c>
    </row>
    <row r="1527" spans="1:12" ht="43.2" hidden="1" x14ac:dyDescent="0.3">
      <c r="A1527" s="5">
        <v>18807711</v>
      </c>
      <c r="B1527" s="6" t="s">
        <v>2278</v>
      </c>
      <c r="C1527" s="6" t="s">
        <v>2279</v>
      </c>
      <c r="D1527" s="8" t="s">
        <v>82</v>
      </c>
      <c r="E1527" s="6" t="s">
        <v>126</v>
      </c>
      <c r="F1527" s="6" t="s">
        <v>85</v>
      </c>
      <c r="G1527" s="11">
        <v>46136.375</v>
      </c>
      <c r="H1527" s="11"/>
      <c r="I1527" s="10" t="s">
        <v>2302</v>
      </c>
      <c r="J1527" s="6" t="s">
        <v>2303</v>
      </c>
      <c r="K1527" s="12">
        <v>46121.526261574072</v>
      </c>
      <c r="L1527" s="6" t="e" cm="1">
        <f t="array" ref="L1527">LOOKUP(2^15,SEARCH(Tabela2[Palavras-Chave],Boletim4[[#This Row],[Objeto]],1),Tabela2[Palavras-Chave])</f>
        <v>#N/A</v>
      </c>
    </row>
    <row r="1528" spans="1:12" ht="86.4" hidden="1" x14ac:dyDescent="0.3">
      <c r="A1528" s="5">
        <v>18806954</v>
      </c>
      <c r="B1528" s="6" t="s">
        <v>2278</v>
      </c>
      <c r="C1528" s="6" t="s">
        <v>2279</v>
      </c>
      <c r="D1528" s="8" t="s">
        <v>82</v>
      </c>
      <c r="E1528" s="6" t="s">
        <v>165</v>
      </c>
      <c r="F1528" s="6" t="s">
        <v>85</v>
      </c>
      <c r="G1528" s="11" t="s">
        <v>56</v>
      </c>
      <c r="H1528" s="11"/>
      <c r="I1528" s="10" t="s">
        <v>2304</v>
      </c>
      <c r="J1528" s="6" t="s">
        <v>2305</v>
      </c>
      <c r="K1528" s="12">
        <v>46121.52648148148</v>
      </c>
      <c r="L1528" s="6" t="e" cm="1">
        <f t="array" ref="L1528">LOOKUP(2^15,SEARCH(Tabela2[Palavras-Chave],Boletim4[[#This Row],[Objeto]],1),Tabela2[Palavras-Chave])</f>
        <v>#N/A</v>
      </c>
    </row>
    <row r="1529" spans="1:12" ht="86.4" hidden="1" x14ac:dyDescent="0.3">
      <c r="A1529" s="5">
        <v>18789911</v>
      </c>
      <c r="B1529" s="6" t="s">
        <v>253</v>
      </c>
      <c r="C1529" s="6" t="s">
        <v>164</v>
      </c>
      <c r="D1529" s="8" t="s">
        <v>82</v>
      </c>
      <c r="E1529" s="6" t="s">
        <v>170</v>
      </c>
      <c r="F1529" s="6" t="s">
        <v>85</v>
      </c>
      <c r="G1529" s="11" t="s">
        <v>56</v>
      </c>
      <c r="H1529" s="11"/>
      <c r="I1529" s="10" t="s">
        <v>2306</v>
      </c>
      <c r="J1529" s="6" t="s">
        <v>2307</v>
      </c>
      <c r="K1529" s="12">
        <v>46121.542407407411</v>
      </c>
      <c r="L1529" s="6" t="e" cm="1">
        <f t="array" ref="L1529">LOOKUP(2^15,SEARCH(Tabela2[Palavras-Chave],Boletim4[[#This Row],[Objeto]],1),Tabela2[Palavras-Chave])</f>
        <v>#N/A</v>
      </c>
    </row>
    <row r="1530" spans="1:12" ht="43.2" hidden="1" x14ac:dyDescent="0.3">
      <c r="A1530" s="5">
        <v>18808081</v>
      </c>
      <c r="B1530" s="6" t="s">
        <v>3297</v>
      </c>
      <c r="C1530" s="6" t="s">
        <v>3298</v>
      </c>
      <c r="D1530" s="8" t="s">
        <v>82</v>
      </c>
      <c r="E1530" s="6" t="s">
        <v>114</v>
      </c>
      <c r="F1530" s="6" t="s">
        <v>85</v>
      </c>
      <c r="G1530" s="11" t="s">
        <v>56</v>
      </c>
      <c r="H1530" s="11"/>
      <c r="I1530" s="10" t="s">
        <v>3299</v>
      </c>
      <c r="J1530" s="6" t="s">
        <v>3300</v>
      </c>
      <c r="K1530" s="12">
        <v>46121.545115740744</v>
      </c>
      <c r="L1530" s="6" t="e" cm="1">
        <f t="array" ref="L1530">LOOKUP(2^15,SEARCH(Tabela2[Palavras-Chave],Boletim4[[#This Row],[Objeto]],1),Tabela2[Palavras-Chave])</f>
        <v>#N/A</v>
      </c>
    </row>
    <row r="1531" spans="1:12" ht="86.4" hidden="1" x14ac:dyDescent="0.3">
      <c r="A1531" s="5">
        <v>18800025</v>
      </c>
      <c r="B1531" s="6" t="s">
        <v>365</v>
      </c>
      <c r="C1531" s="6" t="s">
        <v>366</v>
      </c>
      <c r="D1531" s="8" t="s">
        <v>82</v>
      </c>
      <c r="E1531" s="6" t="s">
        <v>134</v>
      </c>
      <c r="F1531" s="6" t="s">
        <v>85</v>
      </c>
      <c r="G1531" s="11" t="s">
        <v>56</v>
      </c>
      <c r="H1531" s="11"/>
      <c r="I1531" s="10" t="s">
        <v>534</v>
      </c>
      <c r="J1531" s="6" t="s">
        <v>535</v>
      </c>
      <c r="K1531" s="12">
        <v>46121.586863425924</v>
      </c>
      <c r="L1531" s="6" t="e" cm="1">
        <f t="array" ref="L1531">LOOKUP(2^15,SEARCH(Tabela2[Palavras-Chave],Boletim4[[#This Row],[Objeto]],1),Tabela2[Palavras-Chave])</f>
        <v>#N/A</v>
      </c>
    </row>
    <row r="1532" spans="1:12" ht="28.8" hidden="1" x14ac:dyDescent="0.3">
      <c r="A1532" s="5">
        <v>18806249</v>
      </c>
      <c r="B1532" s="6" t="s">
        <v>560</v>
      </c>
      <c r="C1532" s="6" t="s">
        <v>561</v>
      </c>
      <c r="D1532" s="8" t="s">
        <v>82</v>
      </c>
      <c r="E1532" s="6" t="s">
        <v>120</v>
      </c>
      <c r="F1532" s="6" t="s">
        <v>85</v>
      </c>
      <c r="G1532" s="11">
        <v>46135.375</v>
      </c>
      <c r="H1532" s="11"/>
      <c r="I1532" s="10" t="s">
        <v>562</v>
      </c>
      <c r="J1532" s="6" t="s">
        <v>563</v>
      </c>
      <c r="K1532" s="12">
        <v>46121.586875000001</v>
      </c>
      <c r="L1532" s="6" t="e" cm="1">
        <f t="array" ref="L1532">LOOKUP(2^15,SEARCH(Tabela2[Palavras-Chave],Boletim4[[#This Row],[Objeto]],1),Tabela2[Palavras-Chave])</f>
        <v>#N/A</v>
      </c>
    </row>
    <row r="1533" spans="1:12" ht="259.2" hidden="1" x14ac:dyDescent="0.3">
      <c r="A1533" s="5">
        <v>18809446</v>
      </c>
      <c r="B1533" s="6" t="s">
        <v>3301</v>
      </c>
      <c r="C1533" s="6" t="s">
        <v>1237</v>
      </c>
      <c r="D1533" s="8" t="s">
        <v>82</v>
      </c>
      <c r="E1533" s="6" t="s">
        <v>3302</v>
      </c>
      <c r="F1533" s="6" t="s">
        <v>85</v>
      </c>
      <c r="G1533" s="11" t="s">
        <v>56</v>
      </c>
      <c r="H1533" s="11"/>
      <c r="I1533" s="10" t="s">
        <v>3303</v>
      </c>
      <c r="J1533" s="6" t="s">
        <v>3304</v>
      </c>
      <c r="K1533" s="12">
        <v>46121.60119212963</v>
      </c>
      <c r="L1533" s="6" t="e" cm="1">
        <f t="array" ref="L1533">LOOKUP(2^15,SEARCH(Tabela2[Palavras-Chave],Boletim4[[#This Row],[Objeto]],1),Tabela2[Palavras-Chave])</f>
        <v>#N/A</v>
      </c>
    </row>
    <row r="1534" spans="1:12" ht="144" x14ac:dyDescent="0.3">
      <c r="A1534" s="5">
        <v>18809489</v>
      </c>
      <c r="B1534" s="6" t="s">
        <v>2308</v>
      </c>
      <c r="C1534" s="6" t="s">
        <v>164</v>
      </c>
      <c r="D1534" s="8" t="s">
        <v>82</v>
      </c>
      <c r="E1534" s="6" t="s">
        <v>1994</v>
      </c>
      <c r="F1534" s="6" t="s">
        <v>85</v>
      </c>
      <c r="G1534" s="11" t="s">
        <v>56</v>
      </c>
      <c r="H1534" s="11"/>
      <c r="I1534" s="10" t="s">
        <v>2309</v>
      </c>
      <c r="J1534" s="6" t="s">
        <v>2310</v>
      </c>
      <c r="K1534" s="12">
        <v>46121.60423611111</v>
      </c>
      <c r="L1534" s="6" t="str" cm="1">
        <f t="array" ref="L1534">LOOKUP(2^15,SEARCH(Tabela2[Palavras-Chave],Boletim4[[#This Row],[Objeto]],1),Tabela2[Palavras-Chave])</f>
        <v>DIAGNÓSTICO</v>
      </c>
    </row>
    <row r="1535" spans="1:12" ht="129.6" hidden="1" x14ac:dyDescent="0.3">
      <c r="A1535" s="5">
        <v>18802488</v>
      </c>
      <c r="B1535" s="6" t="s">
        <v>217</v>
      </c>
      <c r="C1535" s="6" t="s">
        <v>216</v>
      </c>
      <c r="D1535" s="8" t="s">
        <v>82</v>
      </c>
      <c r="E1535" s="6" t="s">
        <v>245</v>
      </c>
      <c r="F1535" s="6" t="s">
        <v>85</v>
      </c>
      <c r="G1535" s="11">
        <v>46136.375694444447</v>
      </c>
      <c r="H1535" s="11"/>
      <c r="I1535" s="10" t="s">
        <v>543</v>
      </c>
      <c r="J1535" s="6" t="s">
        <v>544</v>
      </c>
      <c r="K1535" s="12">
        <v>46121.607754629629</v>
      </c>
      <c r="L1535" s="6" t="e" cm="1">
        <f t="array" ref="L1535">LOOKUP(2^15,SEARCH(Tabela2[Palavras-Chave],Boletim4[[#This Row],[Objeto]],1),Tabela2[Palavras-Chave])</f>
        <v>#N/A</v>
      </c>
    </row>
    <row r="1536" spans="1:12" ht="158.4" hidden="1" x14ac:dyDescent="0.3">
      <c r="A1536" s="5">
        <v>18808886</v>
      </c>
      <c r="B1536" s="6" t="s">
        <v>540</v>
      </c>
      <c r="C1536" s="6" t="s">
        <v>280</v>
      </c>
      <c r="D1536" s="8" t="s">
        <v>82</v>
      </c>
      <c r="E1536" s="6" t="s">
        <v>241</v>
      </c>
      <c r="F1536" s="6" t="s">
        <v>85</v>
      </c>
      <c r="G1536" s="11" t="s">
        <v>56</v>
      </c>
      <c r="H1536" s="11"/>
      <c r="I1536" s="10" t="s">
        <v>2311</v>
      </c>
      <c r="J1536" s="6" t="s">
        <v>2312</v>
      </c>
      <c r="K1536" s="12">
        <v>46121.612442129626</v>
      </c>
      <c r="L1536" s="6" t="e" cm="1">
        <f t="array" ref="L1536">LOOKUP(2^15,SEARCH(Tabela2[Palavras-Chave],Boletim4[[#This Row],[Objeto]],1),Tabela2[Palavras-Chave])</f>
        <v>#N/A</v>
      </c>
    </row>
    <row r="1537" spans="1:12" ht="28.8" hidden="1" x14ac:dyDescent="0.3">
      <c r="A1537" s="5">
        <v>18808801</v>
      </c>
      <c r="B1537" s="6" t="s">
        <v>2313</v>
      </c>
      <c r="C1537" s="6" t="s">
        <v>2314</v>
      </c>
      <c r="D1537" s="8" t="s">
        <v>82</v>
      </c>
      <c r="E1537" s="6" t="s">
        <v>2315</v>
      </c>
      <c r="F1537" s="6" t="s">
        <v>85</v>
      </c>
      <c r="G1537" s="11">
        <v>46135.375</v>
      </c>
      <c r="H1537" s="11"/>
      <c r="I1537" s="10" t="s">
        <v>2316</v>
      </c>
      <c r="J1537" s="6" t="s">
        <v>368</v>
      </c>
      <c r="K1537" s="12">
        <v>46121.615011574075</v>
      </c>
      <c r="L1537" s="6" t="e" cm="1">
        <f t="array" ref="L1537">LOOKUP(2^15,SEARCH(Tabela2[Palavras-Chave],Boletim4[[#This Row],[Objeto]],1),Tabela2[Palavras-Chave])</f>
        <v>#N/A</v>
      </c>
    </row>
    <row r="1538" spans="1:12" ht="259.2" hidden="1" x14ac:dyDescent="0.3">
      <c r="A1538" s="5">
        <v>18809193</v>
      </c>
      <c r="B1538" s="6" t="s">
        <v>694</v>
      </c>
      <c r="C1538" s="6" t="s">
        <v>695</v>
      </c>
      <c r="D1538" s="8" t="s">
        <v>82</v>
      </c>
      <c r="E1538" s="6" t="s">
        <v>114</v>
      </c>
      <c r="F1538" s="6" t="s">
        <v>85</v>
      </c>
      <c r="G1538" s="11" t="s">
        <v>56</v>
      </c>
      <c r="H1538" s="11"/>
      <c r="I1538" s="10" t="s">
        <v>3305</v>
      </c>
      <c r="J1538" s="6" t="s">
        <v>3306</v>
      </c>
      <c r="K1538" s="12">
        <v>46121.631493055553</v>
      </c>
      <c r="L1538" s="6" t="e" cm="1">
        <f t="array" ref="L1538">LOOKUP(2^15,SEARCH(Tabela2[Palavras-Chave],Boletim4[[#This Row],[Objeto]],1),Tabela2[Palavras-Chave])</f>
        <v>#N/A</v>
      </c>
    </row>
    <row r="1539" spans="1:12" ht="172.8" hidden="1" x14ac:dyDescent="0.3">
      <c r="A1539" s="5">
        <v>18808875</v>
      </c>
      <c r="B1539" s="6" t="s">
        <v>2317</v>
      </c>
      <c r="C1539" s="6" t="s">
        <v>83</v>
      </c>
      <c r="D1539" s="8" t="s">
        <v>82</v>
      </c>
      <c r="E1539" s="6" t="s">
        <v>152</v>
      </c>
      <c r="F1539" s="6" t="s">
        <v>85</v>
      </c>
      <c r="G1539" s="11" t="s">
        <v>56</v>
      </c>
      <c r="H1539" s="11"/>
      <c r="I1539" s="10" t="s">
        <v>2318</v>
      </c>
      <c r="J1539" s="6" t="s">
        <v>2319</v>
      </c>
      <c r="K1539" s="12">
        <v>46121.632662037038</v>
      </c>
      <c r="L1539" s="6" t="e" cm="1">
        <f t="array" ref="L1539">LOOKUP(2^15,SEARCH(Tabela2[Palavras-Chave],Boletim4[[#This Row],[Objeto]],1),Tabela2[Palavras-Chave])</f>
        <v>#N/A</v>
      </c>
    </row>
    <row r="1540" spans="1:12" ht="129.6" hidden="1" x14ac:dyDescent="0.3">
      <c r="A1540" s="5">
        <v>18808573</v>
      </c>
      <c r="B1540" s="6" t="s">
        <v>2320</v>
      </c>
      <c r="C1540" s="6" t="s">
        <v>237</v>
      </c>
      <c r="D1540" s="8" t="s">
        <v>82</v>
      </c>
      <c r="E1540" s="6" t="s">
        <v>2321</v>
      </c>
      <c r="F1540" s="6" t="s">
        <v>85</v>
      </c>
      <c r="G1540" s="11" t="s">
        <v>56</v>
      </c>
      <c r="H1540" s="11"/>
      <c r="I1540" s="10" t="s">
        <v>2322</v>
      </c>
      <c r="J1540" s="6" t="s">
        <v>2323</v>
      </c>
      <c r="K1540" s="12">
        <v>46121.632835648146</v>
      </c>
      <c r="L1540" s="6" t="e" cm="1">
        <f t="array" ref="L1540">LOOKUP(2^15,SEARCH(Tabela2[Palavras-Chave],Boletim4[[#This Row],[Objeto]],1),Tabela2[Palavras-Chave])</f>
        <v>#N/A</v>
      </c>
    </row>
    <row r="1541" spans="1:12" ht="302.39999999999998" hidden="1" x14ac:dyDescent="0.3">
      <c r="A1541" s="5">
        <v>18809605</v>
      </c>
      <c r="B1541" s="6" t="s">
        <v>3307</v>
      </c>
      <c r="C1541" s="6" t="s">
        <v>3308</v>
      </c>
      <c r="D1541" s="8" t="s">
        <v>82</v>
      </c>
      <c r="E1541" s="6" t="s">
        <v>188</v>
      </c>
      <c r="F1541" s="6" t="s">
        <v>85</v>
      </c>
      <c r="G1541" s="11" t="s">
        <v>56</v>
      </c>
      <c r="H1541" s="11"/>
      <c r="I1541" s="10" t="s">
        <v>3309</v>
      </c>
      <c r="J1541" s="6" t="s">
        <v>3310</v>
      </c>
      <c r="K1541" s="12">
        <v>46121.642314814817</v>
      </c>
      <c r="L1541" s="6" t="e" cm="1">
        <f t="array" ref="L1541">LOOKUP(2^15,SEARCH(Tabela2[Palavras-Chave],Boletim4[[#This Row],[Objeto]],1),Tabela2[Palavras-Chave])</f>
        <v>#N/A</v>
      </c>
    </row>
    <row r="1542" spans="1:12" ht="115.2" x14ac:dyDescent="0.3">
      <c r="A1542" s="5">
        <v>18808834</v>
      </c>
      <c r="B1542" s="6" t="s">
        <v>2324</v>
      </c>
      <c r="C1542" s="6" t="s">
        <v>83</v>
      </c>
      <c r="D1542" s="8" t="s">
        <v>82</v>
      </c>
      <c r="E1542" s="6" t="s">
        <v>391</v>
      </c>
      <c r="F1542" s="6" t="s">
        <v>85</v>
      </c>
      <c r="G1542" s="11" t="s">
        <v>56</v>
      </c>
      <c r="H1542" s="11"/>
      <c r="I1542" s="10" t="s">
        <v>2325</v>
      </c>
      <c r="J1542" s="6" t="s">
        <v>2326</v>
      </c>
      <c r="K1542" s="12">
        <v>46121.645844907405</v>
      </c>
      <c r="L1542" s="6" t="str" cm="1">
        <f t="array" ref="L1542">LOOKUP(2^15,SEARCH(Tabela2[Palavras-Chave],Boletim4[[#This Row],[Objeto]],1),Tabela2[Palavras-Chave])</f>
        <v>TANQUE</v>
      </c>
    </row>
    <row r="1543" spans="1:12" ht="172.8" hidden="1" x14ac:dyDescent="0.3">
      <c r="A1543" s="5">
        <v>18808945</v>
      </c>
      <c r="B1543" s="6" t="s">
        <v>2317</v>
      </c>
      <c r="C1543" s="6" t="s">
        <v>83</v>
      </c>
      <c r="D1543" s="8" t="s">
        <v>82</v>
      </c>
      <c r="E1543" s="6" t="s">
        <v>140</v>
      </c>
      <c r="F1543" s="6" t="s">
        <v>85</v>
      </c>
      <c r="G1543" s="11" t="s">
        <v>56</v>
      </c>
      <c r="H1543" s="11"/>
      <c r="I1543" s="10" t="s">
        <v>2327</v>
      </c>
      <c r="J1543" s="6" t="s">
        <v>2328</v>
      </c>
      <c r="K1543" s="12">
        <v>46121.673900462964</v>
      </c>
      <c r="L1543" s="6" t="e" cm="1">
        <f t="array" ref="L1543">LOOKUP(2^15,SEARCH(Tabela2[Palavras-Chave],Boletim4[[#This Row],[Objeto]],1),Tabela2[Palavras-Chave])</f>
        <v>#N/A</v>
      </c>
    </row>
    <row r="1544" spans="1:12" ht="86.4" hidden="1" x14ac:dyDescent="0.3">
      <c r="A1544" s="5">
        <v>18806943</v>
      </c>
      <c r="B1544" s="6" t="s">
        <v>3311</v>
      </c>
      <c r="C1544" s="6" t="s">
        <v>3312</v>
      </c>
      <c r="D1544" s="8" t="s">
        <v>82</v>
      </c>
      <c r="E1544" s="6" t="s">
        <v>114</v>
      </c>
      <c r="F1544" s="6" t="s">
        <v>85</v>
      </c>
      <c r="G1544" s="11" t="s">
        <v>56</v>
      </c>
      <c r="H1544" s="11"/>
      <c r="I1544" s="10" t="s">
        <v>3313</v>
      </c>
      <c r="J1544" s="6" t="s">
        <v>3314</v>
      </c>
      <c r="K1544" s="12">
        <v>46121.694097222222</v>
      </c>
      <c r="L1544" s="6" t="e" cm="1">
        <f t="array" ref="L1544">LOOKUP(2^15,SEARCH(Tabela2[Palavras-Chave],Boletim4[[#This Row],[Objeto]],1),Tabela2[Palavras-Chave])</f>
        <v>#N/A</v>
      </c>
    </row>
    <row r="1545" spans="1:12" ht="43.2" hidden="1" x14ac:dyDescent="0.3">
      <c r="A1545" s="5">
        <v>18809719</v>
      </c>
      <c r="B1545" s="6" t="s">
        <v>3315</v>
      </c>
      <c r="C1545" s="6" t="s">
        <v>3316</v>
      </c>
      <c r="D1545" s="8" t="s">
        <v>82</v>
      </c>
      <c r="E1545" s="6" t="s">
        <v>113</v>
      </c>
      <c r="F1545" s="6" t="s">
        <v>85</v>
      </c>
      <c r="G1545" s="11">
        <v>46140.5625</v>
      </c>
      <c r="H1545" s="11"/>
      <c r="I1545" s="10" t="s">
        <v>3317</v>
      </c>
      <c r="J1545" s="6" t="s">
        <v>3318</v>
      </c>
      <c r="K1545" s="12">
        <v>46121.697222222225</v>
      </c>
      <c r="L1545" s="6" t="e" cm="1">
        <f t="array" ref="L1545">LOOKUP(2^15,SEARCH(Tabela2[Palavras-Chave],Boletim4[[#This Row],[Objeto]],1),Tabela2[Palavras-Chave])</f>
        <v>#N/A</v>
      </c>
    </row>
    <row r="1546" spans="1:12" ht="115.2" hidden="1" x14ac:dyDescent="0.3">
      <c r="A1546" s="5">
        <v>18808943</v>
      </c>
      <c r="B1546" s="6" t="s">
        <v>2329</v>
      </c>
      <c r="C1546" s="6" t="s">
        <v>305</v>
      </c>
      <c r="D1546" s="8" t="s">
        <v>82</v>
      </c>
      <c r="E1546" s="6" t="s">
        <v>220</v>
      </c>
      <c r="F1546" s="6" t="s">
        <v>85</v>
      </c>
      <c r="G1546" s="11" t="s">
        <v>56</v>
      </c>
      <c r="H1546" s="11"/>
      <c r="I1546" s="10" t="s">
        <v>2330</v>
      </c>
      <c r="J1546" s="6" t="s">
        <v>2331</v>
      </c>
      <c r="K1546" s="12">
        <v>46121.700150462966</v>
      </c>
      <c r="L1546" s="6" t="e" cm="1">
        <f t="array" ref="L1546">LOOKUP(2^15,SEARCH(Tabela2[Palavras-Chave],Boletim4[[#This Row],[Objeto]],1),Tabela2[Palavras-Chave])</f>
        <v>#N/A</v>
      </c>
    </row>
    <row r="1547" spans="1:12" ht="259.2" hidden="1" x14ac:dyDescent="0.3">
      <c r="A1547" s="5">
        <v>18809410</v>
      </c>
      <c r="B1547" s="6" t="s">
        <v>2332</v>
      </c>
      <c r="C1547" s="6" t="s">
        <v>2333</v>
      </c>
      <c r="D1547" s="8" t="s">
        <v>82</v>
      </c>
      <c r="E1547" s="6" t="s">
        <v>155</v>
      </c>
      <c r="F1547" s="6" t="s">
        <v>85</v>
      </c>
      <c r="G1547" s="11" t="s">
        <v>56</v>
      </c>
      <c r="H1547" s="11"/>
      <c r="I1547" s="10" t="s">
        <v>2334</v>
      </c>
      <c r="J1547" s="6" t="s">
        <v>2335</v>
      </c>
      <c r="K1547" s="12">
        <v>46121.700798611113</v>
      </c>
      <c r="L1547" s="6" t="e" cm="1">
        <f t="array" ref="L1547">LOOKUP(2^15,SEARCH(Tabela2[Palavras-Chave],Boletim4[[#This Row],[Objeto]],1),Tabela2[Palavras-Chave])</f>
        <v>#N/A</v>
      </c>
    </row>
    <row r="1548" spans="1:12" ht="115.2" hidden="1" x14ac:dyDescent="0.3">
      <c r="A1548" s="5">
        <v>18809499</v>
      </c>
      <c r="B1548" s="6" t="s">
        <v>2336</v>
      </c>
      <c r="C1548" s="6" t="s">
        <v>2337</v>
      </c>
      <c r="D1548" s="8" t="s">
        <v>82</v>
      </c>
      <c r="E1548" s="6" t="s">
        <v>121</v>
      </c>
      <c r="F1548" s="6" t="s">
        <v>85</v>
      </c>
      <c r="G1548" s="11">
        <v>46142.333333333336</v>
      </c>
      <c r="H1548" s="11"/>
      <c r="I1548" s="10" t="s">
        <v>2338</v>
      </c>
      <c r="J1548" s="6" t="s">
        <v>2339</v>
      </c>
      <c r="K1548" s="12">
        <v>46121.702175925922</v>
      </c>
      <c r="L1548" s="6" t="e" cm="1">
        <f t="array" ref="L1548">LOOKUP(2^15,SEARCH(Tabela2[Palavras-Chave],Boletim4[[#This Row],[Objeto]],1),Tabela2[Palavras-Chave])</f>
        <v>#N/A</v>
      </c>
    </row>
    <row r="1549" spans="1:12" ht="115.2" hidden="1" x14ac:dyDescent="0.3">
      <c r="A1549" s="5">
        <v>18808952</v>
      </c>
      <c r="B1549" s="6" t="s">
        <v>2340</v>
      </c>
      <c r="C1549" s="6" t="s">
        <v>2341</v>
      </c>
      <c r="D1549" s="8" t="s">
        <v>82</v>
      </c>
      <c r="E1549" s="6" t="s">
        <v>2342</v>
      </c>
      <c r="F1549" s="6" t="s">
        <v>85</v>
      </c>
      <c r="G1549" s="11" t="s">
        <v>56</v>
      </c>
      <c r="H1549" s="11"/>
      <c r="I1549" s="10" t="s">
        <v>2343</v>
      </c>
      <c r="J1549" s="6" t="s">
        <v>2344</v>
      </c>
      <c r="K1549" s="12">
        <v>46121.704606481479</v>
      </c>
      <c r="L1549" s="6" t="e" cm="1">
        <f t="array" ref="L1549">LOOKUP(2^15,SEARCH(Tabela2[Palavras-Chave],Boletim4[[#This Row],[Objeto]],1),Tabela2[Palavras-Chave])</f>
        <v>#N/A</v>
      </c>
    </row>
    <row r="1550" spans="1:12" ht="28.8" hidden="1" x14ac:dyDescent="0.3">
      <c r="A1550" s="5">
        <v>18808804</v>
      </c>
      <c r="B1550" s="6" t="s">
        <v>2345</v>
      </c>
      <c r="C1550" s="6" t="s">
        <v>2346</v>
      </c>
      <c r="D1550" s="8" t="s">
        <v>82</v>
      </c>
      <c r="E1550" s="6" t="s">
        <v>134</v>
      </c>
      <c r="F1550" s="6" t="s">
        <v>85</v>
      </c>
      <c r="G1550" s="11">
        <v>46139.375</v>
      </c>
      <c r="H1550" s="11"/>
      <c r="I1550" s="10" t="s">
        <v>2347</v>
      </c>
      <c r="J1550" s="6" t="s">
        <v>368</v>
      </c>
      <c r="K1550" s="12">
        <v>46121.706342592595</v>
      </c>
      <c r="L1550" s="6" t="e" cm="1">
        <f t="array" ref="L1550">LOOKUP(2^15,SEARCH(Tabela2[Palavras-Chave],Boletim4[[#This Row],[Objeto]],1),Tabela2[Palavras-Chave])</f>
        <v>#N/A</v>
      </c>
    </row>
    <row r="1551" spans="1:12" ht="115.2" hidden="1" x14ac:dyDescent="0.3">
      <c r="A1551" s="5">
        <v>18808859</v>
      </c>
      <c r="B1551" s="6" t="s">
        <v>2348</v>
      </c>
      <c r="C1551" s="6" t="s">
        <v>83</v>
      </c>
      <c r="D1551" s="8" t="s">
        <v>82</v>
      </c>
      <c r="E1551" s="6" t="s">
        <v>157</v>
      </c>
      <c r="F1551" s="6" t="s">
        <v>85</v>
      </c>
      <c r="G1551" s="11" t="s">
        <v>56</v>
      </c>
      <c r="H1551" s="11"/>
      <c r="I1551" s="10" t="s">
        <v>2349</v>
      </c>
      <c r="J1551" s="6" t="s">
        <v>2350</v>
      </c>
      <c r="K1551" s="12">
        <v>46121.709166666667</v>
      </c>
      <c r="L1551" s="6" t="e" cm="1">
        <f t="array" ref="L1551">LOOKUP(2^15,SEARCH(Tabela2[Palavras-Chave],Boletim4[[#This Row],[Objeto]],1),Tabela2[Palavras-Chave])</f>
        <v>#N/A</v>
      </c>
    </row>
    <row r="1552" spans="1:12" ht="144" hidden="1" x14ac:dyDescent="0.3">
      <c r="A1552" s="5">
        <v>18808547</v>
      </c>
      <c r="B1552" s="6" t="s">
        <v>2351</v>
      </c>
      <c r="C1552" s="6" t="s">
        <v>83</v>
      </c>
      <c r="D1552" s="8" t="s">
        <v>82</v>
      </c>
      <c r="E1552" s="6" t="s">
        <v>2321</v>
      </c>
      <c r="F1552" s="6" t="s">
        <v>85</v>
      </c>
      <c r="G1552" s="11" t="s">
        <v>56</v>
      </c>
      <c r="H1552" s="11"/>
      <c r="I1552" s="10" t="s">
        <v>2352</v>
      </c>
      <c r="J1552" s="6" t="s">
        <v>2353</v>
      </c>
      <c r="K1552" s="12">
        <v>46121.723807870374</v>
      </c>
      <c r="L1552" s="6" t="e" cm="1">
        <f t="array" ref="L1552">LOOKUP(2^15,SEARCH(Tabela2[Palavras-Chave],Boletim4[[#This Row],[Objeto]],1),Tabela2[Palavras-Chave])</f>
        <v>#N/A</v>
      </c>
    </row>
    <row r="1553" spans="1:12" ht="129.6" hidden="1" x14ac:dyDescent="0.3">
      <c r="A1553" s="5">
        <v>18808903</v>
      </c>
      <c r="B1553" s="6" t="s">
        <v>2354</v>
      </c>
      <c r="C1553" s="6" t="s">
        <v>2355</v>
      </c>
      <c r="D1553" s="8" t="s">
        <v>82</v>
      </c>
      <c r="E1553" s="6" t="s">
        <v>183</v>
      </c>
      <c r="F1553" s="6" t="s">
        <v>85</v>
      </c>
      <c r="G1553" s="11" t="s">
        <v>56</v>
      </c>
      <c r="H1553" s="11"/>
      <c r="I1553" s="10" t="s">
        <v>2356</v>
      </c>
      <c r="J1553" s="6" t="s">
        <v>2357</v>
      </c>
      <c r="K1553" s="12">
        <v>46121.725474537037</v>
      </c>
      <c r="L1553" s="6" t="e" cm="1">
        <f t="array" ref="L1553">LOOKUP(2^15,SEARCH(Tabela2[Palavras-Chave],Boletim4[[#This Row],[Objeto]],1),Tabela2[Palavras-Chave])</f>
        <v>#N/A</v>
      </c>
    </row>
    <row r="1554" spans="1:12" ht="43.2" hidden="1" x14ac:dyDescent="0.3">
      <c r="A1554" s="5">
        <v>18807492</v>
      </c>
      <c r="B1554" s="6" t="s">
        <v>3293</v>
      </c>
      <c r="C1554" s="6" t="s">
        <v>83</v>
      </c>
      <c r="D1554" s="8" t="s">
        <v>82</v>
      </c>
      <c r="E1554" s="6" t="s">
        <v>3319</v>
      </c>
      <c r="F1554" s="6" t="s">
        <v>85</v>
      </c>
      <c r="G1554" s="11" t="s">
        <v>56</v>
      </c>
      <c r="H1554" s="11"/>
      <c r="I1554" s="10" t="s">
        <v>3320</v>
      </c>
      <c r="J1554" s="6" t="s">
        <v>3296</v>
      </c>
      <c r="K1554" s="12">
        <v>46121.726481481484</v>
      </c>
      <c r="L1554" s="6" t="e" cm="1">
        <f t="array" ref="L1554">LOOKUP(2^15,SEARCH(Tabela2[Palavras-Chave],Boletim4[[#This Row],[Objeto]],1),Tabela2[Palavras-Chave])</f>
        <v>#N/A</v>
      </c>
    </row>
    <row r="1555" spans="1:12" ht="43.2" hidden="1" x14ac:dyDescent="0.3">
      <c r="A1555" s="5">
        <v>18805969</v>
      </c>
      <c r="B1555" s="6" t="s">
        <v>701</v>
      </c>
      <c r="C1555" s="6" t="s">
        <v>702</v>
      </c>
      <c r="D1555" s="8" t="s">
        <v>82</v>
      </c>
      <c r="E1555" s="6" t="s">
        <v>536</v>
      </c>
      <c r="F1555" s="6" t="s">
        <v>85</v>
      </c>
      <c r="G1555" s="11">
        <v>46141.604166666664</v>
      </c>
      <c r="H1555" s="11"/>
      <c r="I1555" s="10" t="s">
        <v>705</v>
      </c>
      <c r="J1555" s="6" t="s">
        <v>706</v>
      </c>
      <c r="K1555" s="12">
        <v>46121.731990740744</v>
      </c>
      <c r="L1555" s="6" t="e" cm="1">
        <f t="array" ref="L1555">LOOKUP(2^15,SEARCH(Tabela2[Palavras-Chave],Boletim4[[#This Row],[Objeto]],1),Tabela2[Palavras-Chave])</f>
        <v>#N/A</v>
      </c>
    </row>
    <row r="1556" spans="1:12" ht="115.2" hidden="1" x14ac:dyDescent="0.3">
      <c r="A1556" s="5">
        <v>18808948</v>
      </c>
      <c r="B1556" s="6" t="s">
        <v>2358</v>
      </c>
      <c r="C1556" s="6" t="s">
        <v>382</v>
      </c>
      <c r="D1556" s="8" t="s">
        <v>82</v>
      </c>
      <c r="E1556" s="6" t="s">
        <v>177</v>
      </c>
      <c r="F1556" s="6" t="s">
        <v>85</v>
      </c>
      <c r="G1556" s="11" t="s">
        <v>56</v>
      </c>
      <c r="H1556" s="11"/>
      <c r="I1556" s="10" t="s">
        <v>2359</v>
      </c>
      <c r="J1556" s="6" t="s">
        <v>2360</v>
      </c>
      <c r="K1556" s="12">
        <v>46121.732546296298</v>
      </c>
      <c r="L1556" s="6" t="e" cm="1">
        <f t="array" ref="L1556">LOOKUP(2^15,SEARCH(Tabela2[Palavras-Chave],Boletim4[[#This Row],[Objeto]],1),Tabela2[Palavras-Chave])</f>
        <v>#N/A</v>
      </c>
    </row>
    <row r="1557" spans="1:12" ht="115.2" hidden="1" x14ac:dyDescent="0.3">
      <c r="A1557" s="5">
        <v>18808944</v>
      </c>
      <c r="B1557" s="6" t="s">
        <v>2361</v>
      </c>
      <c r="C1557" s="6" t="s">
        <v>164</v>
      </c>
      <c r="D1557" s="8" t="s">
        <v>82</v>
      </c>
      <c r="E1557" s="6" t="s">
        <v>140</v>
      </c>
      <c r="F1557" s="6" t="s">
        <v>85</v>
      </c>
      <c r="G1557" s="11" t="s">
        <v>56</v>
      </c>
      <c r="H1557" s="11"/>
      <c r="I1557" s="10" t="s">
        <v>2362</v>
      </c>
      <c r="J1557" s="6" t="s">
        <v>2363</v>
      </c>
      <c r="K1557" s="12">
        <v>46121.733530092592</v>
      </c>
      <c r="L1557" s="6" t="e" cm="1">
        <f t="array" ref="L1557">LOOKUP(2^15,SEARCH(Tabela2[Palavras-Chave],Boletim4[[#This Row],[Objeto]],1),Tabela2[Palavras-Chave])</f>
        <v>#N/A</v>
      </c>
    </row>
    <row r="1558" spans="1:12" ht="100.8" hidden="1" x14ac:dyDescent="0.3">
      <c r="A1558" s="5">
        <v>18809647</v>
      </c>
      <c r="B1558" s="6" t="s">
        <v>2364</v>
      </c>
      <c r="C1558" s="6" t="s">
        <v>2365</v>
      </c>
      <c r="D1558" s="8" t="s">
        <v>82</v>
      </c>
      <c r="E1558" s="6" t="s">
        <v>2366</v>
      </c>
      <c r="F1558" s="6" t="s">
        <v>85</v>
      </c>
      <c r="G1558" s="11" t="s">
        <v>56</v>
      </c>
      <c r="H1558" s="11"/>
      <c r="I1558" s="10" t="s">
        <v>2367</v>
      </c>
      <c r="J1558" s="6" t="s">
        <v>2368</v>
      </c>
      <c r="K1558" s="12">
        <v>46121.733668981484</v>
      </c>
      <c r="L1558" s="6" t="e" cm="1">
        <f t="array" ref="L1558">LOOKUP(2^15,SEARCH(Tabela2[Palavras-Chave],Boletim4[[#This Row],[Objeto]],1),Tabela2[Palavras-Chave])</f>
        <v>#N/A</v>
      </c>
    </row>
    <row r="1559" spans="1:12" ht="100.8" hidden="1" x14ac:dyDescent="0.3">
      <c r="A1559" s="5">
        <v>18809727</v>
      </c>
      <c r="B1559" s="6" t="s">
        <v>3321</v>
      </c>
      <c r="C1559" s="6" t="s">
        <v>3322</v>
      </c>
      <c r="D1559" s="8" t="s">
        <v>82</v>
      </c>
      <c r="E1559" s="6" t="s">
        <v>155</v>
      </c>
      <c r="F1559" s="6" t="s">
        <v>85</v>
      </c>
      <c r="G1559" s="11">
        <v>46136.375</v>
      </c>
      <c r="H1559" s="11"/>
      <c r="I1559" s="10" t="s">
        <v>3323</v>
      </c>
      <c r="J1559" s="6" t="s">
        <v>3324</v>
      </c>
      <c r="K1559" s="12">
        <v>46121.734375</v>
      </c>
      <c r="L1559" s="6" t="e" cm="1">
        <f t="array" ref="L1559">LOOKUP(2^15,SEARCH(Tabela2[Palavras-Chave],Boletim4[[#This Row],[Objeto]],1),Tabela2[Palavras-Chave])</f>
        <v>#N/A</v>
      </c>
    </row>
    <row r="1560" spans="1:12" ht="100.8" hidden="1" x14ac:dyDescent="0.3">
      <c r="A1560" s="5">
        <v>18809649</v>
      </c>
      <c r="B1560" s="6" t="s">
        <v>2364</v>
      </c>
      <c r="C1560" s="6" t="s">
        <v>2365</v>
      </c>
      <c r="D1560" s="8" t="s">
        <v>82</v>
      </c>
      <c r="E1560" s="6" t="s">
        <v>2369</v>
      </c>
      <c r="F1560" s="6" t="s">
        <v>85</v>
      </c>
      <c r="G1560" s="11" t="s">
        <v>56</v>
      </c>
      <c r="H1560" s="11"/>
      <c r="I1560" s="10" t="s">
        <v>2370</v>
      </c>
      <c r="J1560" s="6" t="s">
        <v>2371</v>
      </c>
      <c r="K1560" s="12">
        <v>46121.734583333331</v>
      </c>
      <c r="L1560" s="6" t="e" cm="1">
        <f t="array" ref="L1560">LOOKUP(2^15,SEARCH(Tabela2[Palavras-Chave],Boletim4[[#This Row],[Objeto]],1),Tabela2[Palavras-Chave])</f>
        <v>#N/A</v>
      </c>
    </row>
    <row r="1561" spans="1:12" ht="115.2" hidden="1" x14ac:dyDescent="0.3">
      <c r="A1561" s="5">
        <v>18808911</v>
      </c>
      <c r="B1561" s="6" t="s">
        <v>236</v>
      </c>
      <c r="C1561" s="6" t="s">
        <v>83</v>
      </c>
      <c r="D1561" s="8" t="s">
        <v>82</v>
      </c>
      <c r="E1561" s="6" t="s">
        <v>2372</v>
      </c>
      <c r="F1561" s="6" t="s">
        <v>85</v>
      </c>
      <c r="G1561" s="11" t="s">
        <v>56</v>
      </c>
      <c r="H1561" s="11"/>
      <c r="I1561" s="10" t="s">
        <v>2373</v>
      </c>
      <c r="J1561" s="6" t="s">
        <v>2374</v>
      </c>
      <c r="K1561" s="12">
        <v>46121.737245370372</v>
      </c>
      <c r="L1561" s="6" t="e" cm="1">
        <f t="array" ref="L1561">LOOKUP(2^15,SEARCH(Tabela2[Palavras-Chave],Boletim4[[#This Row],[Objeto]],1),Tabela2[Palavras-Chave])</f>
        <v>#N/A</v>
      </c>
    </row>
    <row r="1562" spans="1:12" ht="43.2" hidden="1" x14ac:dyDescent="0.3">
      <c r="A1562" s="5">
        <v>18810534</v>
      </c>
      <c r="B1562" s="6" t="s">
        <v>2375</v>
      </c>
      <c r="C1562" s="6" t="s">
        <v>1291</v>
      </c>
      <c r="D1562" s="8" t="s">
        <v>82</v>
      </c>
      <c r="E1562" s="6" t="s">
        <v>2376</v>
      </c>
      <c r="F1562" s="6" t="s">
        <v>85</v>
      </c>
      <c r="G1562" s="11">
        <v>46127.375</v>
      </c>
      <c r="H1562" s="11"/>
      <c r="I1562" s="10" t="s">
        <v>2377</v>
      </c>
      <c r="J1562" s="6" t="s">
        <v>2378</v>
      </c>
      <c r="K1562" s="12">
        <v>46121.740706018521</v>
      </c>
      <c r="L1562" s="6" t="e" cm="1">
        <f t="array" ref="L1562">LOOKUP(2^15,SEARCH(Tabela2[Palavras-Chave],Boletim4[[#This Row],[Objeto]],1),Tabela2[Palavras-Chave])</f>
        <v>#N/A</v>
      </c>
    </row>
    <row r="1563" spans="1:12" ht="43.2" hidden="1" x14ac:dyDescent="0.3">
      <c r="A1563" s="5">
        <v>18809948</v>
      </c>
      <c r="B1563" s="6" t="s">
        <v>537</v>
      </c>
      <c r="C1563" s="6" t="s">
        <v>282</v>
      </c>
      <c r="D1563" s="8" t="s">
        <v>82</v>
      </c>
      <c r="E1563" s="6" t="s">
        <v>2858</v>
      </c>
      <c r="F1563" s="6" t="s">
        <v>85</v>
      </c>
      <c r="G1563" s="11">
        <v>46150.583333333336</v>
      </c>
      <c r="H1563" s="11"/>
      <c r="I1563" s="10" t="s">
        <v>3325</v>
      </c>
      <c r="J1563" s="6" t="s">
        <v>3326</v>
      </c>
      <c r="K1563" s="12">
        <v>46121.742488425924</v>
      </c>
      <c r="L1563" s="6" t="e" cm="1">
        <f t="array" ref="L1563">LOOKUP(2^15,SEARCH(Tabela2[Palavras-Chave],Boletim4[[#This Row],[Objeto]],1),Tabela2[Palavras-Chave])</f>
        <v>#N/A</v>
      </c>
    </row>
    <row r="1564" spans="1:12" ht="115.2" hidden="1" x14ac:dyDescent="0.3">
      <c r="A1564" s="5">
        <v>18808955</v>
      </c>
      <c r="B1564" s="6" t="s">
        <v>2379</v>
      </c>
      <c r="C1564" s="6" t="s">
        <v>2287</v>
      </c>
      <c r="D1564" s="8" t="s">
        <v>82</v>
      </c>
      <c r="E1564" s="6" t="s">
        <v>220</v>
      </c>
      <c r="F1564" s="6" t="s">
        <v>85</v>
      </c>
      <c r="G1564" s="11" t="s">
        <v>56</v>
      </c>
      <c r="H1564" s="11"/>
      <c r="I1564" s="10" t="s">
        <v>2380</v>
      </c>
      <c r="J1564" s="6" t="s">
        <v>2381</v>
      </c>
      <c r="K1564" s="12">
        <v>46121.745081018518</v>
      </c>
      <c r="L1564" s="6" t="e" cm="1">
        <f t="array" ref="L1564">LOOKUP(2^15,SEARCH(Tabela2[Palavras-Chave],Boletim4[[#This Row],[Objeto]],1),Tabela2[Palavras-Chave])</f>
        <v>#N/A</v>
      </c>
    </row>
    <row r="1565" spans="1:12" ht="115.2" hidden="1" x14ac:dyDescent="0.3">
      <c r="A1565" s="5">
        <v>18808872</v>
      </c>
      <c r="B1565" s="6" t="s">
        <v>2382</v>
      </c>
      <c r="C1565" s="6" t="s">
        <v>2383</v>
      </c>
      <c r="D1565" s="8" t="s">
        <v>82</v>
      </c>
      <c r="E1565" s="6" t="s">
        <v>157</v>
      </c>
      <c r="F1565" s="6" t="s">
        <v>85</v>
      </c>
      <c r="G1565" s="11" t="s">
        <v>56</v>
      </c>
      <c r="H1565" s="11"/>
      <c r="I1565" s="10" t="s">
        <v>2384</v>
      </c>
      <c r="J1565" s="6" t="s">
        <v>2385</v>
      </c>
      <c r="K1565" s="12">
        <v>46121.755601851852</v>
      </c>
      <c r="L1565" s="6" t="e" cm="1">
        <f t="array" ref="L1565">LOOKUP(2^15,SEARCH(Tabela2[Palavras-Chave],Boletim4[[#This Row],[Objeto]],1),Tabela2[Palavras-Chave])</f>
        <v>#N/A</v>
      </c>
    </row>
    <row r="1566" spans="1:12" ht="86.4" hidden="1" x14ac:dyDescent="0.3">
      <c r="A1566" s="5">
        <v>18806836</v>
      </c>
      <c r="B1566" s="6" t="s">
        <v>2386</v>
      </c>
      <c r="C1566" s="6" t="s">
        <v>2355</v>
      </c>
      <c r="D1566" s="8" t="s">
        <v>82</v>
      </c>
      <c r="E1566" s="6" t="s">
        <v>166</v>
      </c>
      <c r="F1566" s="6" t="s">
        <v>85</v>
      </c>
      <c r="G1566" s="11" t="s">
        <v>56</v>
      </c>
      <c r="H1566" s="11"/>
      <c r="I1566" s="10" t="s">
        <v>2387</v>
      </c>
      <c r="J1566" s="6" t="s">
        <v>2388</v>
      </c>
      <c r="K1566" s="12">
        <v>46121.757071759261</v>
      </c>
      <c r="L1566" s="6" t="e" cm="1">
        <f t="array" ref="L1566">LOOKUP(2^15,SEARCH(Tabela2[Palavras-Chave],Boletim4[[#This Row],[Objeto]],1),Tabela2[Palavras-Chave])</f>
        <v>#N/A</v>
      </c>
    </row>
    <row r="1567" spans="1:12" ht="115.2" hidden="1" x14ac:dyDescent="0.3">
      <c r="A1567" s="5">
        <v>18808874</v>
      </c>
      <c r="B1567" s="6" t="s">
        <v>2389</v>
      </c>
      <c r="C1567" s="6" t="s">
        <v>83</v>
      </c>
      <c r="D1567" s="8" t="s">
        <v>82</v>
      </c>
      <c r="E1567" s="6" t="s">
        <v>220</v>
      </c>
      <c r="F1567" s="6" t="s">
        <v>85</v>
      </c>
      <c r="G1567" s="11" t="s">
        <v>56</v>
      </c>
      <c r="H1567" s="11"/>
      <c r="I1567" s="10" t="s">
        <v>2390</v>
      </c>
      <c r="J1567" s="6" t="s">
        <v>2391</v>
      </c>
      <c r="K1567" s="12">
        <v>46121.762002314812</v>
      </c>
      <c r="L1567" s="6" t="e" cm="1">
        <f t="array" ref="L1567">LOOKUP(2^15,SEARCH(Tabela2[Palavras-Chave],Boletim4[[#This Row],[Objeto]],1),Tabela2[Palavras-Chave])</f>
        <v>#N/A</v>
      </c>
    </row>
    <row r="1568" spans="1:12" ht="72" hidden="1" x14ac:dyDescent="0.3">
      <c r="A1568" s="5">
        <v>18810143</v>
      </c>
      <c r="B1568" s="6" t="s">
        <v>2392</v>
      </c>
      <c r="C1568" s="6" t="s">
        <v>2393</v>
      </c>
      <c r="D1568" s="8" t="s">
        <v>82</v>
      </c>
      <c r="E1568" s="6" t="s">
        <v>277</v>
      </c>
      <c r="F1568" s="6" t="s">
        <v>85</v>
      </c>
      <c r="G1568" s="11" t="s">
        <v>56</v>
      </c>
      <c r="H1568" s="11"/>
      <c r="I1568" s="10" t="s">
        <v>2394</v>
      </c>
      <c r="J1568" s="6" t="s">
        <v>2395</v>
      </c>
      <c r="K1568" s="12">
        <v>46121.762835648151</v>
      </c>
      <c r="L1568" s="6" t="e" cm="1">
        <f t="array" ref="L1568">LOOKUP(2^15,SEARCH(Tabela2[Palavras-Chave],Boletim4[[#This Row],[Objeto]],1),Tabela2[Palavras-Chave])</f>
        <v>#N/A</v>
      </c>
    </row>
    <row r="1569" spans="1:12" ht="158.4" hidden="1" x14ac:dyDescent="0.3">
      <c r="A1569" s="5">
        <v>18810514</v>
      </c>
      <c r="B1569" s="6" t="s">
        <v>552</v>
      </c>
      <c r="C1569" s="6" t="s">
        <v>83</v>
      </c>
      <c r="D1569" s="8" t="s">
        <v>82</v>
      </c>
      <c r="E1569" s="6" t="s">
        <v>2396</v>
      </c>
      <c r="F1569" s="6" t="s">
        <v>85</v>
      </c>
      <c r="G1569" s="11">
        <v>46135.395833333336</v>
      </c>
      <c r="H1569" s="11"/>
      <c r="I1569" s="10" t="s">
        <v>2397</v>
      </c>
      <c r="J1569" s="6" t="s">
        <v>2398</v>
      </c>
      <c r="K1569" s="12">
        <v>46121.764074074075</v>
      </c>
      <c r="L1569" s="6" t="e" cm="1">
        <f t="array" ref="L1569">LOOKUP(2^15,SEARCH(Tabela2[Palavras-Chave],Boletim4[[#This Row],[Objeto]],1),Tabela2[Palavras-Chave])</f>
        <v>#N/A</v>
      </c>
    </row>
    <row r="1570" spans="1:12" ht="100.8" hidden="1" x14ac:dyDescent="0.3">
      <c r="A1570" s="5">
        <v>18810895</v>
      </c>
      <c r="B1570" s="6" t="s">
        <v>3327</v>
      </c>
      <c r="C1570" s="6" t="s">
        <v>3328</v>
      </c>
      <c r="D1570" s="8" t="s">
        <v>82</v>
      </c>
      <c r="E1570" s="6" t="s">
        <v>3329</v>
      </c>
      <c r="F1570" s="6" t="s">
        <v>85</v>
      </c>
      <c r="G1570" s="11">
        <v>46126.333333333336</v>
      </c>
      <c r="H1570" s="11"/>
      <c r="I1570" s="10" t="s">
        <v>3330</v>
      </c>
      <c r="J1570" s="6" t="s">
        <v>3331</v>
      </c>
      <c r="K1570" s="12">
        <v>46121.767094907409</v>
      </c>
      <c r="L1570" s="6" t="e" cm="1">
        <f t="array" ref="L1570">LOOKUP(2^15,SEARCH(Tabela2[Palavras-Chave],Boletim4[[#This Row],[Objeto]],1),Tabela2[Palavras-Chave])</f>
        <v>#N/A</v>
      </c>
    </row>
    <row r="1571" spans="1:12" ht="57.6" hidden="1" x14ac:dyDescent="0.3">
      <c r="A1571" s="5">
        <v>18800956</v>
      </c>
      <c r="B1571" s="6" t="s">
        <v>2399</v>
      </c>
      <c r="C1571" s="6" t="s">
        <v>2400</v>
      </c>
      <c r="D1571" s="8" t="s">
        <v>82</v>
      </c>
      <c r="E1571" s="6" t="s">
        <v>2401</v>
      </c>
      <c r="F1571" s="6" t="s">
        <v>85</v>
      </c>
      <c r="G1571" s="11">
        <v>46136.354166666664</v>
      </c>
      <c r="H1571" s="11"/>
      <c r="I1571" s="10" t="s">
        <v>2402</v>
      </c>
      <c r="J1571" s="6" t="s">
        <v>2403</v>
      </c>
      <c r="K1571" s="12">
        <v>46121.768449074072</v>
      </c>
      <c r="L1571" s="6" t="e" cm="1">
        <f t="array" ref="L1571">LOOKUP(2^15,SEARCH(Tabela2[Palavras-Chave],Boletim4[[#This Row],[Objeto]],1),Tabela2[Palavras-Chave])</f>
        <v>#N/A</v>
      </c>
    </row>
    <row r="1572" spans="1:12" ht="259.2" hidden="1" x14ac:dyDescent="0.3">
      <c r="A1572" s="5">
        <v>18810280</v>
      </c>
      <c r="B1572" s="6" t="s">
        <v>2404</v>
      </c>
      <c r="C1572" s="6" t="s">
        <v>2405</v>
      </c>
      <c r="D1572" s="8" t="s">
        <v>82</v>
      </c>
      <c r="E1572" s="6" t="s">
        <v>121</v>
      </c>
      <c r="F1572" s="6" t="s">
        <v>85</v>
      </c>
      <c r="G1572" s="11" t="s">
        <v>56</v>
      </c>
      <c r="H1572" s="11"/>
      <c r="I1572" s="10" t="s">
        <v>2406</v>
      </c>
      <c r="J1572" s="6" t="s">
        <v>2407</v>
      </c>
      <c r="K1572" s="12">
        <v>46121.768564814818</v>
      </c>
      <c r="L1572" s="6" t="e" cm="1">
        <f t="array" ref="L1572">LOOKUP(2^15,SEARCH(Tabela2[Palavras-Chave],Boletim4[[#This Row],[Objeto]],1),Tabela2[Palavras-Chave])</f>
        <v>#N/A</v>
      </c>
    </row>
    <row r="1573" spans="1:12" ht="57.6" hidden="1" x14ac:dyDescent="0.3">
      <c r="A1573" s="5">
        <v>18810998</v>
      </c>
      <c r="B1573" s="6" t="s">
        <v>2408</v>
      </c>
      <c r="C1573" s="6" t="s">
        <v>2409</v>
      </c>
      <c r="D1573" s="8" t="s">
        <v>82</v>
      </c>
      <c r="E1573" s="6" t="s">
        <v>120</v>
      </c>
      <c r="F1573" s="6" t="s">
        <v>85</v>
      </c>
      <c r="G1573" s="11">
        <v>46141.354166666664</v>
      </c>
      <c r="H1573" s="11"/>
      <c r="I1573" s="10" t="s">
        <v>2410</v>
      </c>
      <c r="J1573" s="6" t="s">
        <v>383</v>
      </c>
      <c r="K1573" s="12">
        <v>46121.772962962961</v>
      </c>
      <c r="L1573" s="6" t="e" cm="1">
        <f t="array" ref="L1573">LOOKUP(2^15,SEARCH(Tabela2[Palavras-Chave],Boletim4[[#This Row],[Objeto]],1),Tabela2[Palavras-Chave])</f>
        <v>#N/A</v>
      </c>
    </row>
    <row r="1574" spans="1:12" ht="129.6" hidden="1" x14ac:dyDescent="0.3">
      <c r="A1574" s="5">
        <v>18808897</v>
      </c>
      <c r="B1574" s="6" t="s">
        <v>374</v>
      </c>
      <c r="C1574" s="6" t="s">
        <v>375</v>
      </c>
      <c r="D1574" s="8" t="s">
        <v>82</v>
      </c>
      <c r="E1574" s="6" t="s">
        <v>296</v>
      </c>
      <c r="F1574" s="6" t="s">
        <v>85</v>
      </c>
      <c r="G1574" s="11" t="s">
        <v>56</v>
      </c>
      <c r="H1574" s="11"/>
      <c r="I1574" s="10" t="s">
        <v>2411</v>
      </c>
      <c r="J1574" s="6" t="s">
        <v>2412</v>
      </c>
      <c r="K1574" s="12">
        <v>46121.773587962962</v>
      </c>
      <c r="L1574" s="6" t="e" cm="1">
        <f t="array" ref="L1574">LOOKUP(2^15,SEARCH(Tabela2[Palavras-Chave],Boletim4[[#This Row],[Objeto]],1),Tabela2[Palavras-Chave])</f>
        <v>#N/A</v>
      </c>
    </row>
    <row r="1575" spans="1:12" ht="144" x14ac:dyDescent="0.3">
      <c r="A1575" s="5">
        <v>18808884</v>
      </c>
      <c r="B1575" s="6" t="s">
        <v>2413</v>
      </c>
      <c r="C1575" s="6" t="s">
        <v>557</v>
      </c>
      <c r="D1575" s="8" t="s">
        <v>82</v>
      </c>
      <c r="E1575" s="6" t="s">
        <v>1962</v>
      </c>
      <c r="F1575" s="6" t="s">
        <v>85</v>
      </c>
      <c r="G1575" s="11" t="s">
        <v>56</v>
      </c>
      <c r="H1575" s="11"/>
      <c r="I1575" s="10" t="s">
        <v>2414</v>
      </c>
      <c r="J1575" s="6" t="s">
        <v>2415</v>
      </c>
      <c r="K1575" s="12">
        <v>46121.777638888889</v>
      </c>
      <c r="L1575" s="6" t="str" cm="1">
        <f t="array" ref="L1575">LOOKUP(2^15,SEARCH(Tabela2[Palavras-Chave],Boletim4[[#This Row],[Objeto]],1),Tabela2[Palavras-Chave])</f>
        <v>RESERVAT</v>
      </c>
    </row>
    <row r="1576" spans="1:12" ht="86.4" x14ac:dyDescent="0.3">
      <c r="A1576" s="5">
        <v>18809075</v>
      </c>
      <c r="B1576" s="6" t="s">
        <v>2416</v>
      </c>
      <c r="C1576" s="6" t="s">
        <v>2417</v>
      </c>
      <c r="D1576" s="8" t="s">
        <v>82</v>
      </c>
      <c r="E1576" s="6" t="s">
        <v>2418</v>
      </c>
      <c r="F1576" s="6" t="s">
        <v>85</v>
      </c>
      <c r="G1576" s="11" t="s">
        <v>56</v>
      </c>
      <c r="H1576" s="11"/>
      <c r="I1576" s="10" t="s">
        <v>2419</v>
      </c>
      <c r="J1576" s="6" t="s">
        <v>2420</v>
      </c>
      <c r="K1576" s="12">
        <v>46121.780960648146</v>
      </c>
      <c r="L1576" s="6" t="str" cm="1">
        <f t="array" ref="L1576">LOOKUP(2^15,SEARCH(Tabela2[Palavras-Chave],Boletim4[[#This Row],[Objeto]],1),Tabela2[Palavras-Chave])</f>
        <v>ELEVATÓRIA</v>
      </c>
    </row>
    <row r="1577" spans="1:12" ht="43.2" hidden="1" x14ac:dyDescent="0.3">
      <c r="A1577" s="5">
        <v>18797406</v>
      </c>
      <c r="B1577" s="6" t="s">
        <v>2421</v>
      </c>
      <c r="C1577" s="6" t="s">
        <v>2422</v>
      </c>
      <c r="D1577" s="8" t="s">
        <v>82</v>
      </c>
      <c r="E1577" s="6" t="s">
        <v>127</v>
      </c>
      <c r="F1577" s="6" t="s">
        <v>85</v>
      </c>
      <c r="G1577" s="11">
        <v>46140.375</v>
      </c>
      <c r="H1577" s="11"/>
      <c r="I1577" s="10" t="s">
        <v>2423</v>
      </c>
      <c r="J1577" s="6" t="s">
        <v>2424</v>
      </c>
      <c r="K1577" s="12">
        <v>46121.78974537037</v>
      </c>
      <c r="L1577" s="6" t="e" cm="1">
        <f t="array" ref="L1577">LOOKUP(2^15,SEARCH(Tabela2[Palavras-Chave],Boletim4[[#This Row],[Objeto]],1),Tabela2[Palavras-Chave])</f>
        <v>#N/A</v>
      </c>
    </row>
    <row r="1578" spans="1:12" ht="28.8" hidden="1" x14ac:dyDescent="0.3">
      <c r="A1578" s="5">
        <v>18811048</v>
      </c>
      <c r="B1578" s="6" t="s">
        <v>556</v>
      </c>
      <c r="C1578" s="6" t="s">
        <v>557</v>
      </c>
      <c r="D1578" s="8" t="s">
        <v>82</v>
      </c>
      <c r="E1578" s="6" t="s">
        <v>3332</v>
      </c>
      <c r="F1578" s="6" t="s">
        <v>85</v>
      </c>
      <c r="G1578" s="11" t="s">
        <v>56</v>
      </c>
      <c r="H1578" s="11"/>
      <c r="I1578" s="10" t="s">
        <v>3333</v>
      </c>
      <c r="J1578" s="6" t="s">
        <v>3334</v>
      </c>
      <c r="K1578" s="12">
        <v>46121.794421296298</v>
      </c>
      <c r="L1578" s="6" t="e" cm="1">
        <f t="array" ref="L1578">LOOKUP(2^15,SEARCH(Tabela2[Palavras-Chave],Boletim4[[#This Row],[Objeto]],1),Tabela2[Palavras-Chave])</f>
        <v>#N/A</v>
      </c>
    </row>
    <row r="1579" spans="1:12" ht="100.8" hidden="1" x14ac:dyDescent="0.3">
      <c r="A1579" s="5">
        <v>18804010</v>
      </c>
      <c r="B1579" s="6" t="s">
        <v>564</v>
      </c>
      <c r="C1579" s="6" t="s">
        <v>565</v>
      </c>
      <c r="D1579" s="8" t="s">
        <v>82</v>
      </c>
      <c r="E1579" s="6" t="s">
        <v>122</v>
      </c>
      <c r="F1579" s="6" t="s">
        <v>85</v>
      </c>
      <c r="G1579" s="11">
        <v>46136.375</v>
      </c>
      <c r="H1579" s="11"/>
      <c r="I1579" s="10" t="s">
        <v>2425</v>
      </c>
      <c r="J1579" s="6" t="s">
        <v>2426</v>
      </c>
      <c r="K1579" s="12">
        <v>46121.819826388892</v>
      </c>
      <c r="L1579" s="6" t="e" cm="1">
        <f t="array" ref="L1579">LOOKUP(2^15,SEARCH(Tabela2[Palavras-Chave],Boletim4[[#This Row],[Objeto]],1),Tabela2[Palavras-Chave])</f>
        <v>#N/A</v>
      </c>
    </row>
    <row r="1580" spans="1:12" ht="28.8" hidden="1" x14ac:dyDescent="0.3">
      <c r="A1580" s="5">
        <v>18808802</v>
      </c>
      <c r="B1580" s="6" t="s">
        <v>2313</v>
      </c>
      <c r="C1580" s="6" t="s">
        <v>2314</v>
      </c>
      <c r="D1580" s="8" t="s">
        <v>82</v>
      </c>
      <c r="E1580" s="6" t="s">
        <v>201</v>
      </c>
      <c r="F1580" s="6" t="s">
        <v>85</v>
      </c>
      <c r="G1580" s="11">
        <v>46142.375</v>
      </c>
      <c r="H1580" s="11"/>
      <c r="I1580" s="10" t="s">
        <v>3335</v>
      </c>
      <c r="J1580" s="6" t="s">
        <v>3336</v>
      </c>
      <c r="K1580" s="12">
        <v>46121.822523148148</v>
      </c>
      <c r="L1580" s="6" t="e" cm="1">
        <f t="array" ref="L1580">LOOKUP(2^15,SEARCH(Tabela2[Palavras-Chave],Boletim4[[#This Row],[Objeto]],1),Tabela2[Palavras-Chave])</f>
        <v>#N/A</v>
      </c>
    </row>
    <row r="1581" spans="1:12" ht="43.2" x14ac:dyDescent="0.3">
      <c r="A1581" s="5">
        <v>18811336</v>
      </c>
      <c r="B1581" s="6" t="s">
        <v>696</v>
      </c>
      <c r="C1581" s="6" t="s">
        <v>83</v>
      </c>
      <c r="D1581" s="8" t="s">
        <v>82</v>
      </c>
      <c r="E1581" s="6" t="s">
        <v>231</v>
      </c>
      <c r="F1581" s="6" t="s">
        <v>85</v>
      </c>
      <c r="G1581" s="11" t="s">
        <v>56</v>
      </c>
      <c r="H1581" s="11"/>
      <c r="I1581" s="10" t="s">
        <v>2427</v>
      </c>
      <c r="J1581" s="6" t="s">
        <v>2428</v>
      </c>
      <c r="K1581" s="12">
        <v>46121.837280092594</v>
      </c>
      <c r="L1581" s="6" t="str" cm="1">
        <f t="array" ref="L1581">LOOKUP(2^15,SEARCH(Tabela2[Palavras-Chave],Boletim4[[#This Row],[Objeto]],1),Tabela2[Palavras-Chave])</f>
        <v>RESERVAT</v>
      </c>
    </row>
    <row r="1582" spans="1:12" ht="244.8" hidden="1" x14ac:dyDescent="0.3">
      <c r="A1582" s="5">
        <v>18810665</v>
      </c>
      <c r="B1582" s="6" t="s">
        <v>541</v>
      </c>
      <c r="C1582" s="6" t="s">
        <v>542</v>
      </c>
      <c r="D1582" s="8" t="s">
        <v>82</v>
      </c>
      <c r="E1582" s="6" t="s">
        <v>608</v>
      </c>
      <c r="F1582" s="6" t="s">
        <v>85</v>
      </c>
      <c r="G1582" s="11" t="s">
        <v>56</v>
      </c>
      <c r="H1582" s="11"/>
      <c r="I1582" s="10" t="s">
        <v>3337</v>
      </c>
      <c r="J1582" s="6" t="s">
        <v>3338</v>
      </c>
      <c r="K1582" s="12">
        <v>46121.841192129628</v>
      </c>
      <c r="L1582" s="6" t="e" cm="1">
        <f t="array" ref="L1582">LOOKUP(2^15,SEARCH(Tabela2[Palavras-Chave],Boletim4[[#This Row],[Objeto]],1),Tabela2[Palavras-Chave])</f>
        <v>#N/A</v>
      </c>
    </row>
    <row r="1583" spans="1:12" ht="115.2" x14ac:dyDescent="0.3">
      <c r="A1583" s="5">
        <v>18809970</v>
      </c>
      <c r="B1583" s="6" t="s">
        <v>253</v>
      </c>
      <c r="C1583" s="6" t="s">
        <v>164</v>
      </c>
      <c r="D1583" s="8" t="s">
        <v>82</v>
      </c>
      <c r="E1583" s="6" t="s">
        <v>687</v>
      </c>
      <c r="F1583" s="6" t="s">
        <v>85</v>
      </c>
      <c r="G1583" s="11">
        <v>46136.333333333336</v>
      </c>
      <c r="H1583" s="11"/>
      <c r="I1583" s="10" t="s">
        <v>3339</v>
      </c>
      <c r="J1583" s="6" t="s">
        <v>3340</v>
      </c>
      <c r="K1583" s="12">
        <v>46121.845752314817</v>
      </c>
      <c r="L1583" s="6" t="str" cm="1">
        <f t="array" ref="L1583">LOOKUP(2^15,SEARCH(Tabela2[Palavras-Chave],Boletim4[[#This Row],[Objeto]],1),Tabela2[Palavras-Chave])</f>
        <v>INOX</v>
      </c>
    </row>
    <row r="1584" spans="1:12" ht="100.8" hidden="1" x14ac:dyDescent="0.3">
      <c r="A1584" s="5">
        <v>18807152</v>
      </c>
      <c r="B1584" s="6" t="s">
        <v>3341</v>
      </c>
      <c r="C1584" s="6" t="s">
        <v>3342</v>
      </c>
      <c r="D1584" s="8" t="s">
        <v>84</v>
      </c>
      <c r="E1584" s="6" t="s">
        <v>108</v>
      </c>
      <c r="F1584" s="6" t="s">
        <v>85</v>
      </c>
      <c r="G1584" s="11">
        <v>46135.375</v>
      </c>
      <c r="H1584" s="11"/>
      <c r="I1584" s="10" t="s">
        <v>3343</v>
      </c>
      <c r="J1584" s="6" t="s">
        <v>3344</v>
      </c>
      <c r="K1584" s="12">
        <v>46121.461157407408</v>
      </c>
      <c r="L1584" s="6" t="e" cm="1">
        <f t="array" ref="L1584">LOOKUP(2^15,SEARCH(Tabela2[Palavras-Chave],Boletim4[[#This Row],[Objeto]],1),Tabela2[Palavras-Chave])</f>
        <v>#N/A</v>
      </c>
    </row>
    <row r="1585" spans="1:12" ht="100.8" hidden="1" x14ac:dyDescent="0.3">
      <c r="A1585" s="5">
        <v>18807464</v>
      </c>
      <c r="B1585" s="6" t="s">
        <v>74</v>
      </c>
      <c r="C1585" s="6" t="s">
        <v>2429</v>
      </c>
      <c r="D1585" s="8" t="s">
        <v>84</v>
      </c>
      <c r="E1585" s="6" t="s">
        <v>1319</v>
      </c>
      <c r="F1585" s="6" t="s">
        <v>85</v>
      </c>
      <c r="G1585" s="11" t="s">
        <v>56</v>
      </c>
      <c r="H1585" s="11"/>
      <c r="I1585" s="10" t="s">
        <v>1320</v>
      </c>
      <c r="J1585" s="6" t="s">
        <v>1321</v>
      </c>
      <c r="K1585" s="12">
        <v>46121.447314814817</v>
      </c>
      <c r="L1585" s="6" t="e" cm="1">
        <f t="array" ref="L1585">LOOKUP(2^15,SEARCH(Tabela2[Palavras-Chave],Boletim4[[#This Row],[Objeto]],1),Tabela2[Palavras-Chave])</f>
        <v>#N/A</v>
      </c>
    </row>
    <row r="1586" spans="1:12" ht="100.8" hidden="1" x14ac:dyDescent="0.3">
      <c r="A1586" s="5">
        <v>18807589</v>
      </c>
      <c r="B1586" s="6" t="s">
        <v>74</v>
      </c>
      <c r="C1586" s="6" t="s">
        <v>2429</v>
      </c>
      <c r="D1586" s="8" t="s">
        <v>84</v>
      </c>
      <c r="E1586" s="6" t="s">
        <v>2972</v>
      </c>
      <c r="F1586" s="6" t="s">
        <v>85</v>
      </c>
      <c r="G1586" s="11" t="s">
        <v>56</v>
      </c>
      <c r="H1586" s="11"/>
      <c r="I1586" s="10" t="s">
        <v>2973</v>
      </c>
      <c r="J1586" s="6" t="s">
        <v>1321</v>
      </c>
      <c r="K1586" s="12">
        <v>46121.450092592589</v>
      </c>
      <c r="L1586" s="6" t="e" cm="1">
        <f t="array" ref="L1586">LOOKUP(2^15,SEARCH(Tabela2[Palavras-Chave],Boletim4[[#This Row],[Objeto]],1),Tabela2[Palavras-Chave])</f>
        <v>#N/A</v>
      </c>
    </row>
    <row r="1587" spans="1:12" ht="158.4" hidden="1" x14ac:dyDescent="0.3">
      <c r="A1587" s="5">
        <v>18808571</v>
      </c>
      <c r="B1587" s="6" t="s">
        <v>2430</v>
      </c>
      <c r="C1587" s="6" t="s">
        <v>2429</v>
      </c>
      <c r="D1587" s="8" t="s">
        <v>84</v>
      </c>
      <c r="E1587" s="6" t="s">
        <v>2431</v>
      </c>
      <c r="F1587" s="6" t="s">
        <v>85</v>
      </c>
      <c r="G1587" s="11" t="s">
        <v>56</v>
      </c>
      <c r="H1587" s="11"/>
      <c r="I1587" s="10" t="s">
        <v>2432</v>
      </c>
      <c r="J1587" s="6" t="s">
        <v>2433</v>
      </c>
      <c r="K1587" s="12">
        <v>46121.562083333331</v>
      </c>
      <c r="L1587" s="6" t="e" cm="1">
        <f t="array" ref="L1587">LOOKUP(2^15,SEARCH(Tabela2[Palavras-Chave],Boletim4[[#This Row],[Objeto]],1),Tabela2[Palavras-Chave])</f>
        <v>#N/A</v>
      </c>
    </row>
    <row r="1588" spans="1:12" ht="57.6" hidden="1" x14ac:dyDescent="0.3">
      <c r="A1588" s="5">
        <v>18799062</v>
      </c>
      <c r="B1588" s="6" t="s">
        <v>3345</v>
      </c>
      <c r="C1588" s="6" t="s">
        <v>3346</v>
      </c>
      <c r="D1588" s="8" t="s">
        <v>84</v>
      </c>
      <c r="E1588" s="6" t="s">
        <v>3347</v>
      </c>
      <c r="F1588" s="6" t="s">
        <v>85</v>
      </c>
      <c r="G1588" s="11">
        <v>46134.375</v>
      </c>
      <c r="H1588" s="11"/>
      <c r="I1588" s="10" t="s">
        <v>3348</v>
      </c>
      <c r="J1588" s="6" t="s">
        <v>3349</v>
      </c>
      <c r="K1588" s="12">
        <v>46121.586157407408</v>
      </c>
      <c r="L1588" s="6" t="e" cm="1">
        <f t="array" ref="L1588">LOOKUP(2^15,SEARCH(Tabela2[Palavras-Chave],Boletim4[[#This Row],[Objeto]],1),Tabela2[Palavras-Chave])</f>
        <v>#N/A</v>
      </c>
    </row>
    <row r="1589" spans="1:12" ht="129.6" hidden="1" x14ac:dyDescent="0.3">
      <c r="A1589" s="5">
        <v>18808808</v>
      </c>
      <c r="B1589" s="6" t="s">
        <v>2434</v>
      </c>
      <c r="C1589" s="6" t="s">
        <v>2435</v>
      </c>
      <c r="D1589" s="8" t="s">
        <v>84</v>
      </c>
      <c r="E1589" s="6" t="s">
        <v>112</v>
      </c>
      <c r="F1589" s="6" t="s">
        <v>85</v>
      </c>
      <c r="G1589" s="11" t="s">
        <v>56</v>
      </c>
      <c r="H1589" s="11"/>
      <c r="I1589" s="10" t="s">
        <v>2436</v>
      </c>
      <c r="J1589" s="6" t="s">
        <v>2437</v>
      </c>
      <c r="K1589" s="12">
        <v>46121.629479166666</v>
      </c>
      <c r="L1589" s="6" t="e" cm="1">
        <f t="array" ref="L1589">LOOKUP(2^15,SEARCH(Tabela2[Palavras-Chave],Boletim4[[#This Row],[Objeto]],1),Tabela2[Palavras-Chave])</f>
        <v>#N/A</v>
      </c>
    </row>
    <row r="1590" spans="1:12" ht="244.8" hidden="1" x14ac:dyDescent="0.3">
      <c r="A1590" s="5">
        <v>18807136</v>
      </c>
      <c r="B1590" s="6" t="s">
        <v>2438</v>
      </c>
      <c r="C1590" s="6" t="s">
        <v>2439</v>
      </c>
      <c r="D1590" s="8" t="s">
        <v>84</v>
      </c>
      <c r="E1590" s="6" t="s">
        <v>125</v>
      </c>
      <c r="F1590" s="6" t="s">
        <v>85</v>
      </c>
      <c r="G1590" s="11" t="s">
        <v>56</v>
      </c>
      <c r="H1590" s="11"/>
      <c r="I1590" s="10" t="s">
        <v>2440</v>
      </c>
      <c r="J1590" s="6" t="s">
        <v>2441</v>
      </c>
      <c r="K1590" s="12">
        <v>46121.646412037036</v>
      </c>
      <c r="L1590" s="6" t="e" cm="1">
        <f t="array" ref="L1590">LOOKUP(2^15,SEARCH(Tabela2[Palavras-Chave],Boletim4[[#This Row],[Objeto]],1),Tabela2[Palavras-Chave])</f>
        <v>#N/A</v>
      </c>
    </row>
    <row r="1591" spans="1:12" ht="115.2" hidden="1" x14ac:dyDescent="0.3">
      <c r="A1591" s="5">
        <v>18808814</v>
      </c>
      <c r="B1591" s="6" t="s">
        <v>2442</v>
      </c>
      <c r="C1591" s="6" t="s">
        <v>2443</v>
      </c>
      <c r="D1591" s="8" t="s">
        <v>84</v>
      </c>
      <c r="E1591" s="6" t="s">
        <v>152</v>
      </c>
      <c r="F1591" s="6" t="s">
        <v>85</v>
      </c>
      <c r="G1591" s="11" t="s">
        <v>56</v>
      </c>
      <c r="H1591" s="11"/>
      <c r="I1591" s="10" t="s">
        <v>2444</v>
      </c>
      <c r="J1591" s="6" t="s">
        <v>2445</v>
      </c>
      <c r="K1591" s="12">
        <v>46121.719525462962</v>
      </c>
      <c r="L1591" s="6" t="e" cm="1">
        <f t="array" ref="L1591">LOOKUP(2^15,SEARCH(Tabela2[Palavras-Chave],Boletim4[[#This Row],[Objeto]],1),Tabela2[Palavras-Chave])</f>
        <v>#N/A</v>
      </c>
    </row>
    <row r="1592" spans="1:12" ht="244.8" hidden="1" x14ac:dyDescent="0.3">
      <c r="A1592" s="5">
        <v>18809648</v>
      </c>
      <c r="B1592" s="6" t="s">
        <v>2446</v>
      </c>
      <c r="C1592" s="6" t="s">
        <v>2447</v>
      </c>
      <c r="D1592" s="8" t="s">
        <v>84</v>
      </c>
      <c r="E1592" s="6" t="s">
        <v>107</v>
      </c>
      <c r="F1592" s="6" t="s">
        <v>85</v>
      </c>
      <c r="G1592" s="11" t="s">
        <v>56</v>
      </c>
      <c r="H1592" s="11"/>
      <c r="I1592" s="10" t="s">
        <v>2448</v>
      </c>
      <c r="J1592" s="6" t="s">
        <v>2449</v>
      </c>
      <c r="K1592" s="12">
        <v>46121.721643518518</v>
      </c>
      <c r="L1592" s="6" t="e" cm="1">
        <f t="array" ref="L1592">LOOKUP(2^15,SEARCH(Tabela2[Palavras-Chave],Boletim4[[#This Row],[Objeto]],1),Tabela2[Palavras-Chave])</f>
        <v>#N/A</v>
      </c>
    </row>
    <row r="1593" spans="1:12" ht="172.8" hidden="1" x14ac:dyDescent="0.3">
      <c r="A1593" s="5">
        <v>18805211</v>
      </c>
      <c r="B1593" s="6" t="s">
        <v>286</v>
      </c>
      <c r="C1593" s="6" t="s">
        <v>287</v>
      </c>
      <c r="D1593" s="8" t="s">
        <v>63</v>
      </c>
      <c r="E1593" s="6" t="s">
        <v>2450</v>
      </c>
      <c r="F1593" s="6" t="s">
        <v>94</v>
      </c>
      <c r="G1593" s="11" t="s">
        <v>56</v>
      </c>
      <c r="H1593" s="11"/>
      <c r="I1593" s="10" t="s">
        <v>2451</v>
      </c>
      <c r="J1593" s="6" t="s">
        <v>2452</v>
      </c>
      <c r="K1593" s="12">
        <v>46121.546273148146</v>
      </c>
      <c r="L1593" s="6" t="e" cm="1">
        <f t="array" ref="L1593">LOOKUP(2^15,SEARCH(Tabela2[Palavras-Chave],Boletim4[[#This Row],[Objeto]],1),Tabela2[Palavras-Chave])</f>
        <v>#N/A</v>
      </c>
    </row>
    <row r="1594" spans="1:12" ht="144" hidden="1" x14ac:dyDescent="0.3">
      <c r="A1594" s="5">
        <v>18747447</v>
      </c>
      <c r="B1594" s="6" t="s">
        <v>2453</v>
      </c>
      <c r="C1594" s="6" t="s">
        <v>2454</v>
      </c>
      <c r="D1594" s="8" t="s">
        <v>66</v>
      </c>
      <c r="E1594" s="6" t="s">
        <v>2455</v>
      </c>
      <c r="F1594" s="6" t="s">
        <v>94</v>
      </c>
      <c r="G1594" s="11">
        <v>46141.375</v>
      </c>
      <c r="H1594" s="11"/>
      <c r="I1594" s="10" t="s">
        <v>2456</v>
      </c>
      <c r="J1594" s="6" t="s">
        <v>2457</v>
      </c>
      <c r="K1594" s="12">
        <v>46121.4844212963</v>
      </c>
      <c r="L1594" s="6" t="e" cm="1">
        <f t="array" ref="L1594">LOOKUP(2^15,SEARCH(Tabela2[Palavras-Chave],Boletim4[[#This Row],[Objeto]],1),Tabela2[Palavras-Chave])</f>
        <v>#N/A</v>
      </c>
    </row>
    <row r="1595" spans="1:12" ht="115.2" hidden="1" x14ac:dyDescent="0.3">
      <c r="A1595" s="5">
        <v>18768246</v>
      </c>
      <c r="B1595" s="6" t="s">
        <v>339</v>
      </c>
      <c r="C1595" s="6" t="s">
        <v>65</v>
      </c>
      <c r="D1595" s="8" t="s">
        <v>66</v>
      </c>
      <c r="E1595" s="6" t="s">
        <v>245</v>
      </c>
      <c r="F1595" s="6" t="s">
        <v>94</v>
      </c>
      <c r="G1595" s="11" t="s">
        <v>56</v>
      </c>
      <c r="H1595" s="11"/>
      <c r="I1595" s="10" t="s">
        <v>2458</v>
      </c>
      <c r="J1595" s="6" t="s">
        <v>2459</v>
      </c>
      <c r="K1595" s="12">
        <v>46121.587638888886</v>
      </c>
      <c r="L1595" s="6" t="e" cm="1">
        <f t="array" ref="L1595">LOOKUP(2^15,SEARCH(Tabela2[Palavras-Chave],Boletim4[[#This Row],[Objeto]],1),Tabela2[Palavras-Chave])</f>
        <v>#N/A</v>
      </c>
    </row>
    <row r="1596" spans="1:12" ht="409.6" hidden="1" x14ac:dyDescent="0.3">
      <c r="A1596" s="5">
        <v>18792768</v>
      </c>
      <c r="B1596" s="6" t="s">
        <v>2460</v>
      </c>
      <c r="C1596" s="6" t="s">
        <v>2461</v>
      </c>
      <c r="D1596" s="8" t="s">
        <v>91</v>
      </c>
      <c r="E1596" s="6" t="s">
        <v>113</v>
      </c>
      <c r="F1596" s="6" t="s">
        <v>94</v>
      </c>
      <c r="G1596" s="11" t="s">
        <v>56</v>
      </c>
      <c r="H1596" s="11"/>
      <c r="I1596" s="10" t="s">
        <v>2462</v>
      </c>
      <c r="J1596" s="6" t="s">
        <v>2463</v>
      </c>
      <c r="K1596" s="12">
        <v>46121.692719907405</v>
      </c>
      <c r="L1596" s="6" t="e" cm="1">
        <f t="array" ref="L1596">LOOKUP(2^15,SEARCH(Tabela2[Palavras-Chave],Boletim4[[#This Row],[Objeto]],1),Tabela2[Palavras-Chave])</f>
        <v>#N/A</v>
      </c>
    </row>
    <row r="1597" spans="1:12" ht="187.2" hidden="1" x14ac:dyDescent="0.3">
      <c r="A1597" s="5">
        <v>18791197</v>
      </c>
      <c r="B1597" s="6" t="s">
        <v>386</v>
      </c>
      <c r="C1597" s="6" t="s">
        <v>387</v>
      </c>
      <c r="D1597" s="8" t="s">
        <v>72</v>
      </c>
      <c r="E1597" s="6" t="s">
        <v>126</v>
      </c>
      <c r="F1597" s="6" t="s">
        <v>94</v>
      </c>
      <c r="G1597" s="11" t="s">
        <v>56</v>
      </c>
      <c r="H1597" s="11"/>
      <c r="I1597" s="10" t="s">
        <v>568</v>
      </c>
      <c r="J1597" s="6" t="s">
        <v>569</v>
      </c>
      <c r="K1597" s="12">
        <v>46121.388321759259</v>
      </c>
      <c r="L1597" s="6" t="e" cm="1">
        <f t="array" ref="L1597">LOOKUP(2^15,SEARCH(Tabela2[Palavras-Chave],Boletim4[[#This Row],[Objeto]],1),Tabela2[Palavras-Chave])</f>
        <v>#N/A</v>
      </c>
    </row>
    <row r="1598" spans="1:12" ht="331.2" hidden="1" x14ac:dyDescent="0.3">
      <c r="A1598" s="5">
        <v>18794983</v>
      </c>
      <c r="B1598" s="6" t="s">
        <v>3350</v>
      </c>
      <c r="C1598" s="6" t="s">
        <v>3351</v>
      </c>
      <c r="D1598" s="8" t="s">
        <v>256</v>
      </c>
      <c r="E1598" s="6" t="s">
        <v>291</v>
      </c>
      <c r="F1598" s="6" t="s">
        <v>94</v>
      </c>
      <c r="G1598" s="11">
        <v>46141.375</v>
      </c>
      <c r="H1598" s="11"/>
      <c r="I1598" s="10" t="s">
        <v>3352</v>
      </c>
      <c r="J1598" s="6" t="s">
        <v>3353</v>
      </c>
      <c r="K1598" s="12">
        <v>46121.513564814813</v>
      </c>
      <c r="L1598" s="6" t="e" cm="1">
        <f t="array" ref="L1598">LOOKUP(2^15,SEARCH(Tabela2[Palavras-Chave],Boletim4[[#This Row],[Objeto]],1),Tabela2[Palavras-Chave])</f>
        <v>#N/A</v>
      </c>
    </row>
    <row r="1599" spans="1:12" ht="187.2" hidden="1" x14ac:dyDescent="0.3">
      <c r="A1599" s="5">
        <v>18786389</v>
      </c>
      <c r="B1599" s="6" t="s">
        <v>3354</v>
      </c>
      <c r="C1599" s="6" t="s">
        <v>3355</v>
      </c>
      <c r="D1599" s="8" t="s">
        <v>256</v>
      </c>
      <c r="E1599" s="6" t="s">
        <v>108</v>
      </c>
      <c r="F1599" s="6" t="s">
        <v>94</v>
      </c>
      <c r="G1599" s="11">
        <v>46129.354166666664</v>
      </c>
      <c r="H1599" s="11"/>
      <c r="I1599" s="10" t="s">
        <v>3356</v>
      </c>
      <c r="J1599" s="6" t="s">
        <v>3357</v>
      </c>
      <c r="K1599" s="12">
        <v>46121.73777777778</v>
      </c>
      <c r="L1599" s="6" t="e" cm="1">
        <f t="array" ref="L1599">LOOKUP(2^15,SEARCH(Tabela2[Palavras-Chave],Boletim4[[#This Row],[Objeto]],1),Tabela2[Palavras-Chave])</f>
        <v>#N/A</v>
      </c>
    </row>
    <row r="1600" spans="1:12" ht="302.39999999999998" hidden="1" x14ac:dyDescent="0.3">
      <c r="A1600" s="5">
        <v>18791870</v>
      </c>
      <c r="B1600" s="6" t="s">
        <v>499</v>
      </c>
      <c r="C1600" s="6" t="s">
        <v>500</v>
      </c>
      <c r="D1600" s="8" t="s">
        <v>80</v>
      </c>
      <c r="E1600" s="6" t="s">
        <v>148</v>
      </c>
      <c r="F1600" s="6" t="s">
        <v>94</v>
      </c>
      <c r="G1600" s="11">
        <v>46140.583333333336</v>
      </c>
      <c r="H1600" s="11"/>
      <c r="I1600" s="10" t="s">
        <v>2464</v>
      </c>
      <c r="J1600" s="6" t="s">
        <v>2465</v>
      </c>
      <c r="K1600" s="12">
        <v>46121.774131944447</v>
      </c>
      <c r="L1600" s="6" t="e" cm="1">
        <f t="array" ref="L1600">LOOKUP(2^15,SEARCH(Tabela2[Palavras-Chave],Boletim4[[#This Row],[Objeto]],1),Tabela2[Palavras-Chave])</f>
        <v>#N/A</v>
      </c>
    </row>
    <row r="1601" spans="1:12" ht="72" hidden="1" x14ac:dyDescent="0.3">
      <c r="A1601" s="5">
        <v>18804692</v>
      </c>
      <c r="B1601" s="6" t="s">
        <v>692</v>
      </c>
      <c r="C1601" s="6" t="s">
        <v>693</v>
      </c>
      <c r="D1601" s="8" t="s">
        <v>81</v>
      </c>
      <c r="E1601" s="6" t="s">
        <v>113</v>
      </c>
      <c r="F1601" s="6" t="s">
        <v>94</v>
      </c>
      <c r="G1601" s="11">
        <v>46139.354166666664</v>
      </c>
      <c r="H1601" s="11"/>
      <c r="I1601" s="10" t="s">
        <v>3358</v>
      </c>
      <c r="J1601" s="6" t="s">
        <v>3359</v>
      </c>
      <c r="K1601" s="12">
        <v>46121.624745370369</v>
      </c>
      <c r="L1601" s="6" t="e" cm="1">
        <f t="array" ref="L1601">LOOKUP(2^15,SEARCH(Tabela2[Palavras-Chave],Boletim4[[#This Row],[Objeto]],1),Tabela2[Palavras-Chave])</f>
        <v>#N/A</v>
      </c>
    </row>
    <row r="1602" spans="1:12" ht="302.39999999999998" hidden="1" x14ac:dyDescent="0.3">
      <c r="A1602" s="5">
        <v>18794311</v>
      </c>
      <c r="B1602" s="6" t="s">
        <v>2392</v>
      </c>
      <c r="C1602" s="6" t="s">
        <v>2393</v>
      </c>
      <c r="D1602" s="8" t="s">
        <v>82</v>
      </c>
      <c r="E1602" s="6" t="s">
        <v>2858</v>
      </c>
      <c r="F1602" s="6" t="s">
        <v>94</v>
      </c>
      <c r="G1602" s="11" t="s">
        <v>56</v>
      </c>
      <c r="H1602" s="11"/>
      <c r="I1602" s="10" t="s">
        <v>3360</v>
      </c>
      <c r="J1602" s="6" t="s">
        <v>3361</v>
      </c>
      <c r="K1602" s="12">
        <v>46121.696203703701</v>
      </c>
      <c r="L1602" s="6" t="e" cm="1">
        <f t="array" ref="L1602">LOOKUP(2^15,SEARCH(Tabela2[Palavras-Chave],Boletim4[[#This Row],[Objeto]],1),Tabela2[Palavras-Chave])</f>
        <v>#N/A</v>
      </c>
    </row>
    <row r="1603" spans="1:12" ht="172.8" hidden="1" x14ac:dyDescent="0.3">
      <c r="A1603" s="5">
        <v>18806952</v>
      </c>
      <c r="B1603" s="6" t="s">
        <v>3362</v>
      </c>
      <c r="C1603" s="6" t="s">
        <v>3363</v>
      </c>
      <c r="D1603" s="8" t="s">
        <v>82</v>
      </c>
      <c r="E1603" s="6" t="s">
        <v>166</v>
      </c>
      <c r="F1603" s="6" t="s">
        <v>94</v>
      </c>
      <c r="G1603" s="11" t="s">
        <v>56</v>
      </c>
      <c r="H1603" s="11"/>
      <c r="I1603" s="10" t="s">
        <v>3364</v>
      </c>
      <c r="J1603" s="6" t="s">
        <v>3365</v>
      </c>
      <c r="K1603" s="12">
        <v>46121.701018518521</v>
      </c>
      <c r="L1603" s="6" t="e" cm="1">
        <f t="array" ref="L1603">LOOKUP(2^15,SEARCH(Tabela2[Palavras-Chave],Boletim4[[#This Row],[Objeto]],1),Tabela2[Palavras-Chave])</f>
        <v>#N/A</v>
      </c>
    </row>
    <row r="1604" spans="1:12" ht="187.2" hidden="1" x14ac:dyDescent="0.3">
      <c r="A1604" s="5">
        <v>18805467</v>
      </c>
      <c r="B1604" s="6" t="s">
        <v>701</v>
      </c>
      <c r="C1604" s="6" t="s">
        <v>702</v>
      </c>
      <c r="D1604" s="8" t="s">
        <v>82</v>
      </c>
      <c r="E1604" s="6" t="s">
        <v>108</v>
      </c>
      <c r="F1604" s="6" t="s">
        <v>94</v>
      </c>
      <c r="G1604" s="11" t="s">
        <v>56</v>
      </c>
      <c r="H1604" s="11"/>
      <c r="I1604" s="10" t="s">
        <v>3366</v>
      </c>
      <c r="J1604" s="6" t="s">
        <v>3367</v>
      </c>
      <c r="K1604" s="12">
        <v>46121.721574074072</v>
      </c>
      <c r="L1604" s="6" t="e" cm="1">
        <f t="array" ref="L1604">LOOKUP(2^15,SEARCH(Tabela2[Palavras-Chave],Boletim4[[#This Row],[Objeto]],1),Tabela2[Palavras-Chave])</f>
        <v>#N/A</v>
      </c>
    </row>
    <row r="1605" spans="1:12" ht="259.2" hidden="1" x14ac:dyDescent="0.3">
      <c r="A1605" s="5">
        <v>18777914</v>
      </c>
      <c r="B1605" s="6" t="s">
        <v>708</v>
      </c>
      <c r="C1605" s="6" t="s">
        <v>709</v>
      </c>
      <c r="D1605" s="8" t="s">
        <v>54</v>
      </c>
      <c r="E1605" s="6" t="s">
        <v>142</v>
      </c>
      <c r="F1605" s="6" t="s">
        <v>167</v>
      </c>
      <c r="G1605" s="11">
        <v>46134.378472222219</v>
      </c>
      <c r="H1605" s="11"/>
      <c r="I1605" s="10" t="s">
        <v>710</v>
      </c>
      <c r="J1605" s="6" t="s">
        <v>711</v>
      </c>
      <c r="K1605" s="12">
        <v>46121.451458333337</v>
      </c>
      <c r="L1605" s="6" t="e" cm="1">
        <f t="array" ref="L1605">LOOKUP(2^15,SEARCH(Tabela2[Palavras-Chave],Boletim4[[#This Row],[Objeto]],1),Tabela2[Palavras-Chave])</f>
        <v>#N/A</v>
      </c>
    </row>
    <row r="1606" spans="1:12" ht="230.4" hidden="1" x14ac:dyDescent="0.3">
      <c r="A1606" s="5">
        <v>18759757</v>
      </c>
      <c r="B1606" s="6" t="s">
        <v>2030</v>
      </c>
      <c r="C1606" s="6" t="s">
        <v>2031</v>
      </c>
      <c r="D1606" s="8" t="s">
        <v>78</v>
      </c>
      <c r="E1606" s="6" t="s">
        <v>128</v>
      </c>
      <c r="F1606" s="6" t="s">
        <v>167</v>
      </c>
      <c r="G1606" s="11">
        <v>46139.381944444445</v>
      </c>
      <c r="H1606" s="11"/>
      <c r="I1606" s="10" t="s">
        <v>2466</v>
      </c>
      <c r="J1606" s="6" t="s">
        <v>2467</v>
      </c>
      <c r="K1606" s="12">
        <v>46121.604247685187</v>
      </c>
      <c r="L1606" s="6" t="e" cm="1">
        <f t="array" ref="L1606">LOOKUP(2^15,SEARCH(Tabela2[Palavras-Chave],Boletim4[[#This Row],[Objeto]],1),Tabela2[Palavras-Chave])</f>
        <v>#N/A</v>
      </c>
    </row>
    <row r="1607" spans="1:12" ht="158.4" hidden="1" x14ac:dyDescent="0.3">
      <c r="A1607" s="5">
        <v>18756015</v>
      </c>
      <c r="B1607" s="6" t="s">
        <v>2468</v>
      </c>
      <c r="C1607" s="6" t="s">
        <v>2429</v>
      </c>
      <c r="D1607" s="8" t="s">
        <v>84</v>
      </c>
      <c r="E1607" s="6" t="s">
        <v>2469</v>
      </c>
      <c r="F1607" s="6" t="s">
        <v>167</v>
      </c>
      <c r="G1607" s="11">
        <v>46136.625</v>
      </c>
      <c r="H1607" s="11"/>
      <c r="I1607" s="10" t="s">
        <v>2470</v>
      </c>
      <c r="J1607" s="6" t="s">
        <v>2471</v>
      </c>
      <c r="K1607" s="12">
        <v>46121.51835648148</v>
      </c>
      <c r="L1607" s="6" t="e" cm="1">
        <f t="array" ref="L1607">LOOKUP(2^15,SEARCH(Tabela2[Palavras-Chave],Boletim4[[#This Row],[Objeto]],1),Tabela2[Palavras-Chave])</f>
        <v>#N/A</v>
      </c>
    </row>
    <row r="1608" spans="1:12" ht="100.8" hidden="1" x14ac:dyDescent="0.3">
      <c r="A1608" s="5">
        <v>18709902</v>
      </c>
      <c r="B1608" s="6" t="s">
        <v>74</v>
      </c>
      <c r="C1608" s="6" t="s">
        <v>162</v>
      </c>
      <c r="D1608" s="8" t="s">
        <v>144</v>
      </c>
      <c r="E1608" s="6" t="s">
        <v>2472</v>
      </c>
      <c r="F1608" s="6" t="s">
        <v>95</v>
      </c>
      <c r="G1608" s="11" t="s">
        <v>56</v>
      </c>
      <c r="H1608" s="11"/>
      <c r="I1608" s="10" t="s">
        <v>2473</v>
      </c>
      <c r="J1608" s="6" t="s">
        <v>2474</v>
      </c>
      <c r="K1608" s="12">
        <v>46121.439618055556</v>
      </c>
      <c r="L1608" s="6" t="e" cm="1">
        <f t="array" ref="L1608">LOOKUP(2^15,SEARCH(Tabela2[Palavras-Chave],Boletim4[[#This Row],[Objeto]],1),Tabela2[Palavras-Chave])</f>
        <v>#N/A</v>
      </c>
    </row>
    <row r="1609" spans="1:12" ht="100.8" hidden="1" x14ac:dyDescent="0.3">
      <c r="A1609" s="5">
        <v>18715343</v>
      </c>
      <c r="B1609" s="6" t="s">
        <v>74</v>
      </c>
      <c r="C1609" s="6" t="s">
        <v>162</v>
      </c>
      <c r="D1609" s="8" t="s">
        <v>144</v>
      </c>
      <c r="E1609" s="6" t="s">
        <v>2475</v>
      </c>
      <c r="F1609" s="6" t="s">
        <v>95</v>
      </c>
      <c r="G1609" s="11" t="s">
        <v>56</v>
      </c>
      <c r="H1609" s="11"/>
      <c r="I1609" s="10" t="s">
        <v>2476</v>
      </c>
      <c r="J1609" s="6" t="s">
        <v>2477</v>
      </c>
      <c r="K1609" s="12">
        <v>46121.439675925925</v>
      </c>
      <c r="L1609" s="6" t="e" cm="1">
        <f t="array" ref="L1609">LOOKUP(2^15,SEARCH(Tabela2[Palavras-Chave],Boletim4[[#This Row],[Objeto]],1),Tabela2[Palavras-Chave])</f>
        <v>#N/A</v>
      </c>
    </row>
    <row r="1610" spans="1:12" ht="129.6" hidden="1" x14ac:dyDescent="0.3">
      <c r="A1610" s="5">
        <v>18545847</v>
      </c>
      <c r="B1610" s="6" t="s">
        <v>3368</v>
      </c>
      <c r="C1610" s="6" t="s">
        <v>162</v>
      </c>
      <c r="D1610" s="8" t="s">
        <v>144</v>
      </c>
      <c r="E1610" s="6" t="s">
        <v>3369</v>
      </c>
      <c r="F1610" s="6" t="s">
        <v>95</v>
      </c>
      <c r="G1610" s="11">
        <v>46128.416666666664</v>
      </c>
      <c r="H1610" s="11"/>
      <c r="I1610" s="10" t="s">
        <v>3370</v>
      </c>
      <c r="J1610" s="6" t="s">
        <v>3371</v>
      </c>
      <c r="K1610" s="12">
        <v>46121.466331018521</v>
      </c>
      <c r="L1610" s="6" t="e" cm="1">
        <f t="array" ref="L1610">LOOKUP(2^15,SEARCH(Tabela2[Palavras-Chave],Boletim4[[#This Row],[Objeto]],1),Tabela2[Palavras-Chave])</f>
        <v>#N/A</v>
      </c>
    </row>
    <row r="1611" spans="1:12" ht="100.8" hidden="1" x14ac:dyDescent="0.3">
      <c r="A1611" s="5">
        <v>18709903</v>
      </c>
      <c r="B1611" s="6" t="s">
        <v>74</v>
      </c>
      <c r="C1611" s="6" t="s">
        <v>87</v>
      </c>
      <c r="D1611" s="8" t="s">
        <v>86</v>
      </c>
      <c r="E1611" s="6" t="s">
        <v>2472</v>
      </c>
      <c r="F1611" s="6" t="s">
        <v>95</v>
      </c>
      <c r="G1611" s="11" t="s">
        <v>56</v>
      </c>
      <c r="H1611" s="11"/>
      <c r="I1611" s="10" t="s">
        <v>2473</v>
      </c>
      <c r="J1611" s="6" t="s">
        <v>2474</v>
      </c>
      <c r="K1611" s="12">
        <v>46121.439618055556</v>
      </c>
      <c r="L1611" s="6" t="e" cm="1">
        <f t="array" ref="L1611">LOOKUP(2^15,SEARCH(Tabela2[Palavras-Chave],Boletim4[[#This Row],[Objeto]],1),Tabela2[Palavras-Chave])</f>
        <v>#N/A</v>
      </c>
    </row>
    <row r="1612" spans="1:12" ht="100.8" hidden="1" x14ac:dyDescent="0.3">
      <c r="A1612" s="5">
        <v>18715344</v>
      </c>
      <c r="B1612" s="6" t="s">
        <v>74</v>
      </c>
      <c r="C1612" s="6" t="s">
        <v>87</v>
      </c>
      <c r="D1612" s="8" t="s">
        <v>86</v>
      </c>
      <c r="E1612" s="6" t="s">
        <v>2475</v>
      </c>
      <c r="F1612" s="6" t="s">
        <v>95</v>
      </c>
      <c r="G1612" s="11" t="s">
        <v>56</v>
      </c>
      <c r="H1612" s="11"/>
      <c r="I1612" s="10" t="s">
        <v>2476</v>
      </c>
      <c r="J1612" s="6" t="s">
        <v>2477</v>
      </c>
      <c r="K1612" s="12">
        <v>46121.439675925925</v>
      </c>
      <c r="L1612" s="6" t="e" cm="1">
        <f t="array" ref="L1612">LOOKUP(2^15,SEARCH(Tabela2[Palavras-Chave],Boletim4[[#This Row],[Objeto]],1),Tabela2[Palavras-Chave])</f>
        <v>#N/A</v>
      </c>
    </row>
    <row r="1613" spans="1:12" ht="100.8" hidden="1" x14ac:dyDescent="0.3">
      <c r="A1613" s="5">
        <v>18709904</v>
      </c>
      <c r="B1613" s="6" t="s">
        <v>74</v>
      </c>
      <c r="C1613" s="6" t="s">
        <v>52</v>
      </c>
      <c r="D1613" s="8" t="s">
        <v>50</v>
      </c>
      <c r="E1613" s="6" t="s">
        <v>2472</v>
      </c>
      <c r="F1613" s="6" t="s">
        <v>95</v>
      </c>
      <c r="G1613" s="11" t="s">
        <v>56</v>
      </c>
      <c r="H1613" s="11"/>
      <c r="I1613" s="10" t="s">
        <v>2473</v>
      </c>
      <c r="J1613" s="6" t="s">
        <v>2474</v>
      </c>
      <c r="K1613" s="12">
        <v>46121.439629629633</v>
      </c>
      <c r="L1613" s="6" t="e" cm="1">
        <f t="array" ref="L1613">LOOKUP(2^15,SEARCH(Tabela2[Palavras-Chave],Boletim4[[#This Row],[Objeto]],1),Tabela2[Palavras-Chave])</f>
        <v>#N/A</v>
      </c>
    </row>
    <row r="1614" spans="1:12" ht="100.8" hidden="1" x14ac:dyDescent="0.3">
      <c r="A1614" s="5">
        <v>18715345</v>
      </c>
      <c r="B1614" s="6" t="s">
        <v>74</v>
      </c>
      <c r="C1614" s="6" t="s">
        <v>52</v>
      </c>
      <c r="D1614" s="8" t="s">
        <v>50</v>
      </c>
      <c r="E1614" s="6" t="s">
        <v>2475</v>
      </c>
      <c r="F1614" s="6" t="s">
        <v>95</v>
      </c>
      <c r="G1614" s="11" t="s">
        <v>56</v>
      </c>
      <c r="H1614" s="11"/>
      <c r="I1614" s="10" t="s">
        <v>2476</v>
      </c>
      <c r="J1614" s="6" t="s">
        <v>2477</v>
      </c>
      <c r="K1614" s="12">
        <v>46121.439675925925</v>
      </c>
      <c r="L1614" s="6" t="e" cm="1">
        <f t="array" ref="L1614">LOOKUP(2^15,SEARCH(Tabela2[Palavras-Chave],Boletim4[[#This Row],[Objeto]],1),Tabela2[Palavras-Chave])</f>
        <v>#N/A</v>
      </c>
    </row>
    <row r="1615" spans="1:12" ht="100.8" hidden="1" x14ac:dyDescent="0.3">
      <c r="A1615" s="5">
        <v>18709905</v>
      </c>
      <c r="B1615" s="6" t="s">
        <v>74</v>
      </c>
      <c r="C1615" s="6" t="s">
        <v>1366</v>
      </c>
      <c r="D1615" s="8" t="s">
        <v>1367</v>
      </c>
      <c r="E1615" s="6" t="s">
        <v>2472</v>
      </c>
      <c r="F1615" s="6" t="s">
        <v>95</v>
      </c>
      <c r="G1615" s="11" t="s">
        <v>56</v>
      </c>
      <c r="H1615" s="11"/>
      <c r="I1615" s="10" t="s">
        <v>2473</v>
      </c>
      <c r="J1615" s="6" t="s">
        <v>2474</v>
      </c>
      <c r="K1615" s="12">
        <v>46121.439629629633</v>
      </c>
      <c r="L1615" s="6" t="e" cm="1">
        <f t="array" ref="L1615">LOOKUP(2^15,SEARCH(Tabela2[Palavras-Chave],Boletim4[[#This Row],[Objeto]],1),Tabela2[Palavras-Chave])</f>
        <v>#N/A</v>
      </c>
    </row>
    <row r="1616" spans="1:12" ht="100.8" hidden="1" x14ac:dyDescent="0.3">
      <c r="A1616" s="5">
        <v>18715346</v>
      </c>
      <c r="B1616" s="6" t="s">
        <v>74</v>
      </c>
      <c r="C1616" s="6" t="s">
        <v>1366</v>
      </c>
      <c r="D1616" s="8" t="s">
        <v>1367</v>
      </c>
      <c r="E1616" s="6" t="s">
        <v>2475</v>
      </c>
      <c r="F1616" s="6" t="s">
        <v>95</v>
      </c>
      <c r="G1616" s="11" t="s">
        <v>56</v>
      </c>
      <c r="H1616" s="11"/>
      <c r="I1616" s="10" t="s">
        <v>2476</v>
      </c>
      <c r="J1616" s="6" t="s">
        <v>2477</v>
      </c>
      <c r="K1616" s="12">
        <v>46121.439675925925</v>
      </c>
      <c r="L1616" s="6" t="e" cm="1">
        <f t="array" ref="L1616">LOOKUP(2^15,SEARCH(Tabela2[Palavras-Chave],Boletim4[[#This Row],[Objeto]],1),Tabela2[Palavras-Chave])</f>
        <v>#N/A</v>
      </c>
    </row>
    <row r="1617" spans="1:12" ht="100.8" hidden="1" x14ac:dyDescent="0.3">
      <c r="A1617" s="5">
        <v>18709906</v>
      </c>
      <c r="B1617" s="6" t="s">
        <v>74</v>
      </c>
      <c r="C1617" s="6" t="s">
        <v>53</v>
      </c>
      <c r="D1617" s="8" t="s">
        <v>54</v>
      </c>
      <c r="E1617" s="6" t="s">
        <v>2472</v>
      </c>
      <c r="F1617" s="6" t="s">
        <v>95</v>
      </c>
      <c r="G1617" s="11" t="s">
        <v>56</v>
      </c>
      <c r="H1617" s="11"/>
      <c r="I1617" s="10" t="s">
        <v>2473</v>
      </c>
      <c r="J1617" s="6" t="s">
        <v>2474</v>
      </c>
      <c r="K1617" s="12">
        <v>46121.439629629633</v>
      </c>
      <c r="L1617" s="6" t="e" cm="1">
        <f t="array" ref="L1617">LOOKUP(2^15,SEARCH(Tabela2[Palavras-Chave],Boletim4[[#This Row],[Objeto]],1),Tabela2[Palavras-Chave])</f>
        <v>#N/A</v>
      </c>
    </row>
    <row r="1618" spans="1:12" ht="100.8" hidden="1" x14ac:dyDescent="0.3">
      <c r="A1618" s="5">
        <v>18715347</v>
      </c>
      <c r="B1618" s="6" t="s">
        <v>74</v>
      </c>
      <c r="C1618" s="6" t="s">
        <v>53</v>
      </c>
      <c r="D1618" s="8" t="s">
        <v>54</v>
      </c>
      <c r="E1618" s="6" t="s">
        <v>2475</v>
      </c>
      <c r="F1618" s="6" t="s">
        <v>95</v>
      </c>
      <c r="G1618" s="11" t="s">
        <v>56</v>
      </c>
      <c r="H1618" s="11"/>
      <c r="I1618" s="10" t="s">
        <v>2476</v>
      </c>
      <c r="J1618" s="6" t="s">
        <v>2477</v>
      </c>
      <c r="K1618" s="12">
        <v>46121.439687500002</v>
      </c>
      <c r="L1618" s="6" t="e" cm="1">
        <f t="array" ref="L1618">LOOKUP(2^15,SEARCH(Tabela2[Palavras-Chave],Boletim4[[#This Row],[Objeto]],1),Tabela2[Palavras-Chave])</f>
        <v>#N/A</v>
      </c>
    </row>
    <row r="1619" spans="1:12" ht="129.6" hidden="1" x14ac:dyDescent="0.3">
      <c r="A1619" s="5">
        <v>18806851</v>
      </c>
      <c r="B1619" s="6" t="s">
        <v>392</v>
      </c>
      <c r="C1619" s="6" t="s">
        <v>393</v>
      </c>
      <c r="D1619" s="8" t="s">
        <v>54</v>
      </c>
      <c r="E1619" s="6" t="s">
        <v>1859</v>
      </c>
      <c r="F1619" s="6" t="s">
        <v>95</v>
      </c>
      <c r="G1619" s="11" t="s">
        <v>56</v>
      </c>
      <c r="H1619" s="11"/>
      <c r="I1619" s="10" t="s">
        <v>2478</v>
      </c>
      <c r="J1619" s="6" t="s">
        <v>2479</v>
      </c>
      <c r="K1619" s="12">
        <v>46121.727789351855</v>
      </c>
      <c r="L1619" s="6" t="e" cm="1">
        <f t="array" ref="L1619">LOOKUP(2^15,SEARCH(Tabela2[Palavras-Chave],Boletim4[[#This Row],[Objeto]],1),Tabela2[Palavras-Chave])</f>
        <v>#N/A</v>
      </c>
    </row>
    <row r="1620" spans="1:12" ht="100.8" hidden="1" x14ac:dyDescent="0.3">
      <c r="A1620" s="5">
        <v>18709907</v>
      </c>
      <c r="B1620" s="6" t="s">
        <v>74</v>
      </c>
      <c r="C1620" s="6" t="s">
        <v>59</v>
      </c>
      <c r="D1620" s="8" t="s">
        <v>60</v>
      </c>
      <c r="E1620" s="6" t="s">
        <v>2472</v>
      </c>
      <c r="F1620" s="6" t="s">
        <v>95</v>
      </c>
      <c r="G1620" s="11" t="s">
        <v>56</v>
      </c>
      <c r="H1620" s="11"/>
      <c r="I1620" s="10" t="s">
        <v>2473</v>
      </c>
      <c r="J1620" s="6" t="s">
        <v>2474</v>
      </c>
      <c r="K1620" s="12">
        <v>46121.439629629633</v>
      </c>
      <c r="L1620" s="6" t="e" cm="1">
        <f t="array" ref="L1620">LOOKUP(2^15,SEARCH(Tabela2[Palavras-Chave],Boletim4[[#This Row],[Objeto]],1),Tabela2[Palavras-Chave])</f>
        <v>#N/A</v>
      </c>
    </row>
    <row r="1621" spans="1:12" ht="100.8" hidden="1" x14ac:dyDescent="0.3">
      <c r="A1621" s="5">
        <v>18715348</v>
      </c>
      <c r="B1621" s="6" t="s">
        <v>74</v>
      </c>
      <c r="C1621" s="6" t="s">
        <v>59</v>
      </c>
      <c r="D1621" s="8" t="s">
        <v>60</v>
      </c>
      <c r="E1621" s="6" t="s">
        <v>2475</v>
      </c>
      <c r="F1621" s="6" t="s">
        <v>95</v>
      </c>
      <c r="G1621" s="11" t="s">
        <v>56</v>
      </c>
      <c r="H1621" s="11"/>
      <c r="I1621" s="10" t="s">
        <v>2476</v>
      </c>
      <c r="J1621" s="6" t="s">
        <v>2477</v>
      </c>
      <c r="K1621" s="12">
        <v>46121.439687500002</v>
      </c>
      <c r="L1621" s="6" t="e" cm="1">
        <f t="array" ref="L1621">LOOKUP(2^15,SEARCH(Tabela2[Palavras-Chave],Boletim4[[#This Row],[Objeto]],1),Tabela2[Palavras-Chave])</f>
        <v>#N/A</v>
      </c>
    </row>
    <row r="1622" spans="1:12" ht="288" hidden="1" x14ac:dyDescent="0.3">
      <c r="A1622" s="5">
        <v>18789677</v>
      </c>
      <c r="B1622" s="6" t="s">
        <v>3372</v>
      </c>
      <c r="C1622" s="6" t="s">
        <v>3373</v>
      </c>
      <c r="D1622" s="8" t="s">
        <v>60</v>
      </c>
      <c r="E1622" s="6" t="s">
        <v>158</v>
      </c>
      <c r="F1622" s="6" t="s">
        <v>95</v>
      </c>
      <c r="G1622" s="11" t="s">
        <v>56</v>
      </c>
      <c r="H1622" s="11"/>
      <c r="I1622" s="10" t="s">
        <v>3374</v>
      </c>
      <c r="J1622" s="6" t="s">
        <v>3375</v>
      </c>
      <c r="K1622" s="12">
        <v>46121.811782407407</v>
      </c>
      <c r="L1622" s="6" t="e" cm="1">
        <f t="array" ref="L1622">LOOKUP(2^15,SEARCH(Tabela2[Palavras-Chave],Boletim4[[#This Row],[Objeto]],1),Tabela2[Palavras-Chave])</f>
        <v>#N/A</v>
      </c>
    </row>
    <row r="1623" spans="1:12" ht="100.8" hidden="1" x14ac:dyDescent="0.3">
      <c r="A1623" s="5">
        <v>18709908</v>
      </c>
      <c r="B1623" s="6" t="s">
        <v>74</v>
      </c>
      <c r="C1623" s="6" t="s">
        <v>61</v>
      </c>
      <c r="D1623" s="8" t="s">
        <v>62</v>
      </c>
      <c r="E1623" s="6" t="s">
        <v>2472</v>
      </c>
      <c r="F1623" s="6" t="s">
        <v>95</v>
      </c>
      <c r="G1623" s="11" t="s">
        <v>56</v>
      </c>
      <c r="H1623" s="11"/>
      <c r="I1623" s="10" t="s">
        <v>2473</v>
      </c>
      <c r="J1623" s="6" t="s">
        <v>2474</v>
      </c>
      <c r="K1623" s="12">
        <v>46121.439641203702</v>
      </c>
      <c r="L1623" s="6" t="e" cm="1">
        <f t="array" ref="L1623">LOOKUP(2^15,SEARCH(Tabela2[Palavras-Chave],Boletim4[[#This Row],[Objeto]],1),Tabela2[Palavras-Chave])</f>
        <v>#N/A</v>
      </c>
    </row>
    <row r="1624" spans="1:12" ht="100.8" hidden="1" x14ac:dyDescent="0.3">
      <c r="A1624" s="5">
        <v>18715349</v>
      </c>
      <c r="B1624" s="6" t="s">
        <v>74</v>
      </c>
      <c r="C1624" s="6" t="s">
        <v>61</v>
      </c>
      <c r="D1624" s="8" t="s">
        <v>62</v>
      </c>
      <c r="E1624" s="6" t="s">
        <v>2475</v>
      </c>
      <c r="F1624" s="6" t="s">
        <v>95</v>
      </c>
      <c r="G1624" s="11" t="s">
        <v>56</v>
      </c>
      <c r="H1624" s="11"/>
      <c r="I1624" s="10" t="s">
        <v>2476</v>
      </c>
      <c r="J1624" s="6" t="s">
        <v>2477</v>
      </c>
      <c r="K1624" s="12">
        <v>46121.439687500002</v>
      </c>
      <c r="L1624" s="6" t="e" cm="1">
        <f t="array" ref="L1624">LOOKUP(2^15,SEARCH(Tabela2[Palavras-Chave],Boletim4[[#This Row],[Objeto]],1),Tabela2[Palavras-Chave])</f>
        <v>#N/A</v>
      </c>
    </row>
    <row r="1625" spans="1:12" ht="158.4" hidden="1" x14ac:dyDescent="0.3">
      <c r="A1625" s="5">
        <v>18606531</v>
      </c>
      <c r="B1625" s="6" t="s">
        <v>2480</v>
      </c>
      <c r="C1625" s="6" t="s">
        <v>61</v>
      </c>
      <c r="D1625" s="8" t="s">
        <v>62</v>
      </c>
      <c r="E1625" s="6" t="s">
        <v>2481</v>
      </c>
      <c r="F1625" s="6" t="s">
        <v>95</v>
      </c>
      <c r="G1625" s="11" t="s">
        <v>56</v>
      </c>
      <c r="H1625" s="11"/>
      <c r="I1625" s="10" t="s">
        <v>2482</v>
      </c>
      <c r="J1625" s="6" t="s">
        <v>2483</v>
      </c>
      <c r="K1625" s="12">
        <v>46121.543113425927</v>
      </c>
      <c r="L1625" s="6" t="e" cm="1">
        <f t="array" ref="L1625">LOOKUP(2^15,SEARCH(Tabela2[Palavras-Chave],Boletim4[[#This Row],[Objeto]],1),Tabela2[Palavras-Chave])</f>
        <v>#N/A</v>
      </c>
    </row>
    <row r="1626" spans="1:12" ht="259.2" hidden="1" x14ac:dyDescent="0.3">
      <c r="A1626" s="5">
        <v>18701156</v>
      </c>
      <c r="B1626" s="6" t="s">
        <v>3376</v>
      </c>
      <c r="C1626" s="6" t="s">
        <v>61</v>
      </c>
      <c r="D1626" s="8" t="s">
        <v>62</v>
      </c>
      <c r="E1626" s="6" t="s">
        <v>3377</v>
      </c>
      <c r="F1626" s="6" t="s">
        <v>95</v>
      </c>
      <c r="G1626" s="11" t="s">
        <v>56</v>
      </c>
      <c r="H1626" s="11"/>
      <c r="I1626" s="10" t="s">
        <v>3378</v>
      </c>
      <c r="J1626" s="6" t="s">
        <v>3379</v>
      </c>
      <c r="K1626" s="12">
        <v>46121.569872685184</v>
      </c>
      <c r="L1626" s="6" t="e" cm="1">
        <f t="array" ref="L1626">LOOKUP(2^15,SEARCH(Tabela2[Palavras-Chave],Boletim4[[#This Row],[Objeto]],1),Tabela2[Palavras-Chave])</f>
        <v>#N/A</v>
      </c>
    </row>
    <row r="1627" spans="1:12" ht="100.8" hidden="1" x14ac:dyDescent="0.3">
      <c r="A1627" s="5">
        <v>18709909</v>
      </c>
      <c r="B1627" s="6" t="s">
        <v>74</v>
      </c>
      <c r="C1627" s="6" t="s">
        <v>88</v>
      </c>
      <c r="D1627" s="8" t="s">
        <v>63</v>
      </c>
      <c r="E1627" s="6" t="s">
        <v>2472</v>
      </c>
      <c r="F1627" s="6" t="s">
        <v>95</v>
      </c>
      <c r="G1627" s="11" t="s">
        <v>56</v>
      </c>
      <c r="H1627" s="11"/>
      <c r="I1627" s="10" t="s">
        <v>2473</v>
      </c>
      <c r="J1627" s="6" t="s">
        <v>2474</v>
      </c>
      <c r="K1627" s="12">
        <v>46121.439641203702</v>
      </c>
      <c r="L1627" s="6" t="e" cm="1">
        <f t="array" ref="L1627">LOOKUP(2^15,SEARCH(Tabela2[Palavras-Chave],Boletim4[[#This Row],[Objeto]],1),Tabela2[Palavras-Chave])</f>
        <v>#N/A</v>
      </c>
    </row>
    <row r="1628" spans="1:12" ht="100.8" hidden="1" x14ac:dyDescent="0.3">
      <c r="A1628" s="5">
        <v>18715350</v>
      </c>
      <c r="B1628" s="6" t="s">
        <v>74</v>
      </c>
      <c r="C1628" s="6" t="s">
        <v>88</v>
      </c>
      <c r="D1628" s="8" t="s">
        <v>63</v>
      </c>
      <c r="E1628" s="6" t="s">
        <v>2475</v>
      </c>
      <c r="F1628" s="6" t="s">
        <v>95</v>
      </c>
      <c r="G1628" s="11" t="s">
        <v>56</v>
      </c>
      <c r="H1628" s="11"/>
      <c r="I1628" s="10" t="s">
        <v>2476</v>
      </c>
      <c r="J1628" s="6" t="s">
        <v>2477</v>
      </c>
      <c r="K1628" s="12">
        <v>46121.439687500002</v>
      </c>
      <c r="L1628" s="6" t="e" cm="1">
        <f t="array" ref="L1628">LOOKUP(2^15,SEARCH(Tabela2[Palavras-Chave],Boletim4[[#This Row],[Objeto]],1),Tabela2[Palavras-Chave])</f>
        <v>#N/A</v>
      </c>
    </row>
    <row r="1629" spans="1:12" ht="100.8" hidden="1" x14ac:dyDescent="0.3">
      <c r="A1629" s="5">
        <v>18709910</v>
      </c>
      <c r="B1629" s="6" t="s">
        <v>74</v>
      </c>
      <c r="C1629" s="6" t="s">
        <v>101</v>
      </c>
      <c r="D1629" s="8" t="s">
        <v>64</v>
      </c>
      <c r="E1629" s="6" t="s">
        <v>2472</v>
      </c>
      <c r="F1629" s="6" t="s">
        <v>95</v>
      </c>
      <c r="G1629" s="11" t="s">
        <v>56</v>
      </c>
      <c r="H1629" s="11"/>
      <c r="I1629" s="10" t="s">
        <v>2473</v>
      </c>
      <c r="J1629" s="6" t="s">
        <v>2474</v>
      </c>
      <c r="K1629" s="12">
        <v>46121.439641203702</v>
      </c>
      <c r="L1629" s="6" t="e" cm="1">
        <f t="array" ref="L1629">LOOKUP(2^15,SEARCH(Tabela2[Palavras-Chave],Boletim4[[#This Row],[Objeto]],1),Tabela2[Palavras-Chave])</f>
        <v>#N/A</v>
      </c>
    </row>
    <row r="1630" spans="1:12" ht="100.8" hidden="1" x14ac:dyDescent="0.3">
      <c r="A1630" s="5">
        <v>18715351</v>
      </c>
      <c r="B1630" s="6" t="s">
        <v>74</v>
      </c>
      <c r="C1630" s="6" t="s">
        <v>101</v>
      </c>
      <c r="D1630" s="8" t="s">
        <v>64</v>
      </c>
      <c r="E1630" s="6" t="s">
        <v>2475</v>
      </c>
      <c r="F1630" s="6" t="s">
        <v>95</v>
      </c>
      <c r="G1630" s="11" t="s">
        <v>56</v>
      </c>
      <c r="H1630" s="11"/>
      <c r="I1630" s="10" t="s">
        <v>2476</v>
      </c>
      <c r="J1630" s="6" t="s">
        <v>2477</v>
      </c>
      <c r="K1630" s="12">
        <v>46121.439687500002</v>
      </c>
      <c r="L1630" s="6" t="e" cm="1">
        <f t="array" ref="L1630">LOOKUP(2^15,SEARCH(Tabela2[Palavras-Chave],Boletim4[[#This Row],[Objeto]],1),Tabela2[Palavras-Chave])</f>
        <v>#N/A</v>
      </c>
    </row>
    <row r="1631" spans="1:12" ht="259.2" hidden="1" x14ac:dyDescent="0.3">
      <c r="A1631" s="5">
        <v>18698834</v>
      </c>
      <c r="B1631" s="6" t="s">
        <v>572</v>
      </c>
      <c r="C1631" s="6" t="s">
        <v>573</v>
      </c>
      <c r="D1631" s="8" t="s">
        <v>64</v>
      </c>
      <c r="E1631" s="6" t="s">
        <v>115</v>
      </c>
      <c r="F1631" s="6" t="s">
        <v>95</v>
      </c>
      <c r="G1631" s="11" t="s">
        <v>56</v>
      </c>
      <c r="H1631" s="11"/>
      <c r="I1631" s="10" t="s">
        <v>574</v>
      </c>
      <c r="J1631" s="6" t="s">
        <v>575</v>
      </c>
      <c r="K1631" s="12">
        <v>46121.607731481483</v>
      </c>
      <c r="L1631" s="6" t="e" cm="1">
        <f t="array" ref="L1631">LOOKUP(2^15,SEARCH(Tabela2[Palavras-Chave],Boletim4[[#This Row],[Objeto]],1),Tabela2[Palavras-Chave])</f>
        <v>#N/A</v>
      </c>
    </row>
    <row r="1632" spans="1:12" ht="259.2" hidden="1" x14ac:dyDescent="0.3">
      <c r="A1632" s="5">
        <v>18767121</v>
      </c>
      <c r="B1632" s="6" t="s">
        <v>2484</v>
      </c>
      <c r="C1632" s="6" t="s">
        <v>2485</v>
      </c>
      <c r="D1632" s="8" t="s">
        <v>64</v>
      </c>
      <c r="E1632" s="6" t="s">
        <v>113</v>
      </c>
      <c r="F1632" s="6" t="s">
        <v>95</v>
      </c>
      <c r="G1632" s="11" t="s">
        <v>56</v>
      </c>
      <c r="H1632" s="11"/>
      <c r="I1632" s="10" t="s">
        <v>2486</v>
      </c>
      <c r="J1632" s="6" t="s">
        <v>2487</v>
      </c>
      <c r="K1632" s="12">
        <v>46121.810104166667</v>
      </c>
      <c r="L1632" s="6" t="e" cm="1">
        <f t="array" ref="L1632">LOOKUP(2^15,SEARCH(Tabela2[Palavras-Chave],Boletim4[[#This Row],[Objeto]],1),Tabela2[Palavras-Chave])</f>
        <v>#N/A</v>
      </c>
    </row>
    <row r="1633" spans="1:12" ht="100.8" hidden="1" x14ac:dyDescent="0.3">
      <c r="A1633" s="5">
        <v>18709911</v>
      </c>
      <c r="B1633" s="6" t="s">
        <v>74</v>
      </c>
      <c r="C1633" s="6" t="s">
        <v>159</v>
      </c>
      <c r="D1633" s="8" t="s">
        <v>89</v>
      </c>
      <c r="E1633" s="6" t="s">
        <v>2472</v>
      </c>
      <c r="F1633" s="6" t="s">
        <v>95</v>
      </c>
      <c r="G1633" s="11" t="s">
        <v>56</v>
      </c>
      <c r="H1633" s="11"/>
      <c r="I1633" s="10" t="s">
        <v>2473</v>
      </c>
      <c r="J1633" s="6" t="s">
        <v>2474</v>
      </c>
      <c r="K1633" s="12">
        <v>46121.439641203702</v>
      </c>
      <c r="L1633" s="6" t="e" cm="1">
        <f t="array" ref="L1633">LOOKUP(2^15,SEARCH(Tabela2[Palavras-Chave],Boletim4[[#This Row],[Objeto]],1),Tabela2[Palavras-Chave])</f>
        <v>#N/A</v>
      </c>
    </row>
    <row r="1634" spans="1:12" ht="100.8" hidden="1" x14ac:dyDescent="0.3">
      <c r="A1634" s="5">
        <v>18715352</v>
      </c>
      <c r="B1634" s="6" t="s">
        <v>74</v>
      </c>
      <c r="C1634" s="6" t="s">
        <v>159</v>
      </c>
      <c r="D1634" s="8" t="s">
        <v>89</v>
      </c>
      <c r="E1634" s="6" t="s">
        <v>2475</v>
      </c>
      <c r="F1634" s="6" t="s">
        <v>95</v>
      </c>
      <c r="G1634" s="11" t="s">
        <v>56</v>
      </c>
      <c r="H1634" s="11"/>
      <c r="I1634" s="10" t="s">
        <v>2476</v>
      </c>
      <c r="J1634" s="6" t="s">
        <v>2477</v>
      </c>
      <c r="K1634" s="12">
        <v>46121.439687500002</v>
      </c>
      <c r="L1634" s="6" t="e" cm="1">
        <f t="array" ref="L1634">LOOKUP(2^15,SEARCH(Tabela2[Palavras-Chave],Boletim4[[#This Row],[Objeto]],1),Tabela2[Palavras-Chave])</f>
        <v>#N/A</v>
      </c>
    </row>
    <row r="1635" spans="1:12" ht="57.6" hidden="1" x14ac:dyDescent="0.3">
      <c r="A1635" s="5">
        <v>18787853</v>
      </c>
      <c r="B1635" s="6" t="s">
        <v>2488</v>
      </c>
      <c r="C1635" s="6" t="s">
        <v>2489</v>
      </c>
      <c r="D1635" s="8" t="s">
        <v>89</v>
      </c>
      <c r="E1635" s="6" t="s">
        <v>108</v>
      </c>
      <c r="F1635" s="6" t="s">
        <v>95</v>
      </c>
      <c r="G1635" s="11">
        <v>46140.395833333336</v>
      </c>
      <c r="H1635" s="11"/>
      <c r="I1635" s="10" t="s">
        <v>2490</v>
      </c>
      <c r="J1635" s="6" t="s">
        <v>2491</v>
      </c>
      <c r="K1635" s="12">
        <v>46121.46665509259</v>
      </c>
      <c r="L1635" s="6" t="e" cm="1">
        <f t="array" ref="L1635">LOOKUP(2^15,SEARCH(Tabela2[Palavras-Chave],Boletim4[[#This Row],[Objeto]],1),Tabela2[Palavras-Chave])</f>
        <v>#N/A</v>
      </c>
    </row>
    <row r="1636" spans="1:12" ht="100.8" hidden="1" x14ac:dyDescent="0.3">
      <c r="A1636" s="5">
        <v>18709912</v>
      </c>
      <c r="B1636" s="6" t="s">
        <v>74</v>
      </c>
      <c r="C1636" s="6" t="s">
        <v>65</v>
      </c>
      <c r="D1636" s="8" t="s">
        <v>66</v>
      </c>
      <c r="E1636" s="6" t="s">
        <v>2472</v>
      </c>
      <c r="F1636" s="6" t="s">
        <v>95</v>
      </c>
      <c r="G1636" s="11" t="s">
        <v>56</v>
      </c>
      <c r="H1636" s="11"/>
      <c r="I1636" s="10" t="s">
        <v>2473</v>
      </c>
      <c r="J1636" s="6" t="s">
        <v>2474</v>
      </c>
      <c r="K1636" s="12">
        <v>46121.439641203702</v>
      </c>
      <c r="L1636" s="6" t="e" cm="1">
        <f t="array" ref="L1636">LOOKUP(2^15,SEARCH(Tabela2[Palavras-Chave],Boletim4[[#This Row],[Objeto]],1),Tabela2[Palavras-Chave])</f>
        <v>#N/A</v>
      </c>
    </row>
    <row r="1637" spans="1:12" ht="100.8" hidden="1" x14ac:dyDescent="0.3">
      <c r="A1637" s="5">
        <v>18715353</v>
      </c>
      <c r="B1637" s="6" t="s">
        <v>74</v>
      </c>
      <c r="C1637" s="6" t="s">
        <v>65</v>
      </c>
      <c r="D1637" s="8" t="s">
        <v>66</v>
      </c>
      <c r="E1637" s="6" t="s">
        <v>2475</v>
      </c>
      <c r="F1637" s="6" t="s">
        <v>95</v>
      </c>
      <c r="G1637" s="11" t="s">
        <v>56</v>
      </c>
      <c r="H1637" s="11"/>
      <c r="I1637" s="10" t="s">
        <v>2476</v>
      </c>
      <c r="J1637" s="6" t="s">
        <v>2477</v>
      </c>
      <c r="K1637" s="12">
        <v>46121.439687500002</v>
      </c>
      <c r="L1637" s="6" t="e" cm="1">
        <f t="array" ref="L1637">LOOKUP(2^15,SEARCH(Tabela2[Palavras-Chave],Boletim4[[#This Row],[Objeto]],1),Tabela2[Palavras-Chave])</f>
        <v>#N/A</v>
      </c>
    </row>
    <row r="1638" spans="1:12" ht="72" hidden="1" x14ac:dyDescent="0.3">
      <c r="A1638" s="5">
        <v>18790076</v>
      </c>
      <c r="B1638" s="6" t="s">
        <v>74</v>
      </c>
      <c r="C1638" s="6" t="s">
        <v>65</v>
      </c>
      <c r="D1638" s="8" t="s">
        <v>66</v>
      </c>
      <c r="E1638" s="6" t="s">
        <v>2492</v>
      </c>
      <c r="F1638" s="6" t="s">
        <v>95</v>
      </c>
      <c r="G1638" s="11" t="s">
        <v>56</v>
      </c>
      <c r="H1638" s="11"/>
      <c r="I1638" s="10" t="s">
        <v>2493</v>
      </c>
      <c r="J1638" s="6" t="s">
        <v>2494</v>
      </c>
      <c r="K1638" s="12">
        <v>46121.441030092596</v>
      </c>
      <c r="L1638" s="6" t="e" cm="1">
        <f t="array" ref="L1638">LOOKUP(2^15,SEARCH(Tabela2[Palavras-Chave],Boletim4[[#This Row],[Objeto]],1),Tabela2[Palavras-Chave])</f>
        <v>#N/A</v>
      </c>
    </row>
    <row r="1639" spans="1:12" ht="144" hidden="1" x14ac:dyDescent="0.3">
      <c r="A1639" s="5">
        <v>18800202</v>
      </c>
      <c r="B1639" s="6" t="s">
        <v>3380</v>
      </c>
      <c r="C1639" s="6" t="s">
        <v>65</v>
      </c>
      <c r="D1639" s="8" t="s">
        <v>66</v>
      </c>
      <c r="E1639" s="6" t="s">
        <v>3381</v>
      </c>
      <c r="F1639" s="6" t="s">
        <v>95</v>
      </c>
      <c r="G1639" s="11" t="s">
        <v>56</v>
      </c>
      <c r="H1639" s="11"/>
      <c r="I1639" s="10" t="s">
        <v>3382</v>
      </c>
      <c r="J1639" s="6" t="s">
        <v>3383</v>
      </c>
      <c r="K1639" s="12">
        <v>46121.485405092593</v>
      </c>
      <c r="L1639" s="6" t="e" cm="1">
        <f t="array" ref="L1639">LOOKUP(2^15,SEARCH(Tabela2[Palavras-Chave],Boletim4[[#This Row],[Objeto]],1),Tabela2[Palavras-Chave])</f>
        <v>#N/A</v>
      </c>
    </row>
    <row r="1640" spans="1:12" ht="57.6" hidden="1" x14ac:dyDescent="0.3">
      <c r="A1640" s="5">
        <v>18737944</v>
      </c>
      <c r="B1640" s="6" t="s">
        <v>2495</v>
      </c>
      <c r="C1640" s="6" t="s">
        <v>2496</v>
      </c>
      <c r="D1640" s="8" t="s">
        <v>66</v>
      </c>
      <c r="E1640" s="6" t="s">
        <v>240</v>
      </c>
      <c r="F1640" s="6" t="s">
        <v>95</v>
      </c>
      <c r="G1640" s="11">
        <v>46136.375</v>
      </c>
      <c r="H1640" s="11"/>
      <c r="I1640" s="10" t="s">
        <v>2497</v>
      </c>
      <c r="J1640" s="6" t="s">
        <v>2498</v>
      </c>
      <c r="K1640" s="12">
        <v>46121.511840277781</v>
      </c>
      <c r="L1640" s="6" t="e" cm="1">
        <f t="array" ref="L1640">LOOKUP(2^15,SEARCH(Tabela2[Palavras-Chave],Boletim4[[#This Row],[Objeto]],1),Tabela2[Palavras-Chave])</f>
        <v>#N/A</v>
      </c>
    </row>
    <row r="1641" spans="1:12" ht="86.4" hidden="1" x14ac:dyDescent="0.3">
      <c r="A1641" s="5">
        <v>18774777</v>
      </c>
      <c r="B1641" s="6" t="s">
        <v>3384</v>
      </c>
      <c r="C1641" s="6" t="s">
        <v>3385</v>
      </c>
      <c r="D1641" s="8" t="s">
        <v>66</v>
      </c>
      <c r="E1641" s="6" t="s">
        <v>114</v>
      </c>
      <c r="F1641" s="6" t="s">
        <v>95</v>
      </c>
      <c r="G1641" s="11">
        <v>46148.375</v>
      </c>
      <c r="H1641" s="11"/>
      <c r="I1641" s="10" t="s">
        <v>3386</v>
      </c>
      <c r="J1641" s="6" t="s">
        <v>3387</v>
      </c>
      <c r="K1641" s="12">
        <v>46121.514490740738</v>
      </c>
      <c r="L1641" s="6" t="e" cm="1">
        <f t="array" ref="L1641">LOOKUP(2^15,SEARCH(Tabela2[Palavras-Chave],Boletim4[[#This Row],[Objeto]],1),Tabela2[Palavras-Chave])</f>
        <v>#N/A</v>
      </c>
    </row>
    <row r="1642" spans="1:12" ht="28.8" hidden="1" x14ac:dyDescent="0.3">
      <c r="A1642" s="5">
        <v>18771818</v>
      </c>
      <c r="B1642" s="6" t="s">
        <v>653</v>
      </c>
      <c r="C1642" s="6" t="s">
        <v>65</v>
      </c>
      <c r="D1642" s="8" t="s">
        <v>66</v>
      </c>
      <c r="E1642" s="6" t="s">
        <v>2499</v>
      </c>
      <c r="F1642" s="6" t="s">
        <v>95</v>
      </c>
      <c r="G1642" s="11" t="s">
        <v>56</v>
      </c>
      <c r="H1642" s="11"/>
      <c r="I1642" s="10" t="s">
        <v>2500</v>
      </c>
      <c r="J1642" s="6" t="s">
        <v>2501</v>
      </c>
      <c r="K1642" s="12">
        <v>46121.51761574074</v>
      </c>
      <c r="L1642" s="6" t="e" cm="1">
        <f t="array" ref="L1642">LOOKUP(2^15,SEARCH(Tabela2[Palavras-Chave],Boletim4[[#This Row],[Objeto]],1),Tabela2[Palavras-Chave])</f>
        <v>#N/A</v>
      </c>
    </row>
    <row r="1643" spans="1:12" ht="28.8" hidden="1" x14ac:dyDescent="0.3">
      <c r="A1643" s="5">
        <v>18721216</v>
      </c>
      <c r="B1643" s="6" t="s">
        <v>230</v>
      </c>
      <c r="C1643" s="6" t="s">
        <v>65</v>
      </c>
      <c r="D1643" s="8" t="s">
        <v>66</v>
      </c>
      <c r="E1643" s="6" t="s">
        <v>3388</v>
      </c>
      <c r="F1643" s="6" t="s">
        <v>95</v>
      </c>
      <c r="G1643" s="11" t="s">
        <v>56</v>
      </c>
      <c r="H1643" s="11"/>
      <c r="I1643" s="10" t="s">
        <v>3389</v>
      </c>
      <c r="J1643" s="6" t="s">
        <v>3390</v>
      </c>
      <c r="K1643" s="12">
        <v>46121.518101851849</v>
      </c>
      <c r="L1643" s="6" t="e" cm="1">
        <f t="array" ref="L1643">LOOKUP(2^15,SEARCH(Tabela2[Palavras-Chave],Boletim4[[#This Row],[Objeto]],1),Tabela2[Palavras-Chave])</f>
        <v>#N/A</v>
      </c>
    </row>
    <row r="1644" spans="1:12" ht="43.2" x14ac:dyDescent="0.3">
      <c r="A1644" s="5">
        <v>18771805</v>
      </c>
      <c r="B1644" s="6" t="s">
        <v>653</v>
      </c>
      <c r="C1644" s="6" t="s">
        <v>65</v>
      </c>
      <c r="D1644" s="8" t="s">
        <v>66</v>
      </c>
      <c r="E1644" s="6" t="s">
        <v>2502</v>
      </c>
      <c r="F1644" s="6" t="s">
        <v>95</v>
      </c>
      <c r="G1644" s="11" t="s">
        <v>56</v>
      </c>
      <c r="H1644" s="11"/>
      <c r="I1644" s="10" t="s">
        <v>2503</v>
      </c>
      <c r="J1644" s="6" t="s">
        <v>2504</v>
      </c>
      <c r="K1644" s="12">
        <v>46121.520914351851</v>
      </c>
      <c r="L1644" s="6" t="str" cm="1">
        <f t="array" ref="L1644">LOOKUP(2^15,SEARCH(Tabela2[Palavras-Chave],Boletim4[[#This Row],[Objeto]],1),Tabela2[Palavras-Chave])</f>
        <v>MEDIÇÃO</v>
      </c>
    </row>
    <row r="1645" spans="1:12" ht="201.6" hidden="1" x14ac:dyDescent="0.3">
      <c r="A1645" s="5">
        <v>18725616</v>
      </c>
      <c r="B1645" s="6" t="s">
        <v>2505</v>
      </c>
      <c r="C1645" s="6" t="s">
        <v>65</v>
      </c>
      <c r="D1645" s="8" t="s">
        <v>66</v>
      </c>
      <c r="E1645" s="6" t="s">
        <v>140</v>
      </c>
      <c r="F1645" s="6" t="s">
        <v>95</v>
      </c>
      <c r="G1645" s="11" t="s">
        <v>56</v>
      </c>
      <c r="H1645" s="11"/>
      <c r="I1645" s="10" t="s">
        <v>2506</v>
      </c>
      <c r="J1645" s="6" t="s">
        <v>2507</v>
      </c>
      <c r="K1645" s="12">
        <v>46121.539641203701</v>
      </c>
      <c r="L1645" s="6" t="e" cm="1">
        <f t="array" ref="L1645">LOOKUP(2^15,SEARCH(Tabela2[Palavras-Chave],Boletim4[[#This Row],[Objeto]],1),Tabela2[Palavras-Chave])</f>
        <v>#N/A</v>
      </c>
    </row>
    <row r="1646" spans="1:12" ht="172.8" hidden="1" x14ac:dyDescent="0.3">
      <c r="A1646" s="5">
        <v>18656881</v>
      </c>
      <c r="B1646" s="6" t="s">
        <v>2508</v>
      </c>
      <c r="C1646" s="6" t="s">
        <v>2509</v>
      </c>
      <c r="D1646" s="8" t="s">
        <v>66</v>
      </c>
      <c r="E1646" s="6" t="s">
        <v>183</v>
      </c>
      <c r="F1646" s="6" t="s">
        <v>95</v>
      </c>
      <c r="G1646" s="11" t="s">
        <v>56</v>
      </c>
      <c r="H1646" s="11"/>
      <c r="I1646" s="10" t="s">
        <v>2510</v>
      </c>
      <c r="J1646" s="6" t="s">
        <v>2511</v>
      </c>
      <c r="K1646" s="12">
        <v>46121.540995370371</v>
      </c>
      <c r="L1646" s="6" t="e" cm="1">
        <f t="array" ref="L1646">LOOKUP(2^15,SEARCH(Tabela2[Palavras-Chave],Boletim4[[#This Row],[Objeto]],1),Tabela2[Palavras-Chave])</f>
        <v>#N/A</v>
      </c>
    </row>
    <row r="1647" spans="1:12" ht="259.2" hidden="1" x14ac:dyDescent="0.3">
      <c r="A1647" s="5">
        <v>18784341</v>
      </c>
      <c r="B1647" s="6" t="s">
        <v>2512</v>
      </c>
      <c r="C1647" s="6" t="s">
        <v>2513</v>
      </c>
      <c r="D1647" s="8" t="s">
        <v>66</v>
      </c>
      <c r="E1647" s="6" t="s">
        <v>120</v>
      </c>
      <c r="F1647" s="6" t="s">
        <v>95</v>
      </c>
      <c r="G1647" s="11" t="s">
        <v>56</v>
      </c>
      <c r="H1647" s="11"/>
      <c r="I1647" s="10" t="s">
        <v>2514</v>
      </c>
      <c r="J1647" s="6" t="s">
        <v>2515</v>
      </c>
      <c r="K1647" s="12">
        <v>46121.615543981483</v>
      </c>
      <c r="L1647" s="6" t="e" cm="1">
        <f t="array" ref="L1647">LOOKUP(2^15,SEARCH(Tabela2[Palavras-Chave],Boletim4[[#This Row],[Objeto]],1),Tabela2[Palavras-Chave])</f>
        <v>#N/A</v>
      </c>
    </row>
    <row r="1648" spans="1:12" ht="28.8" hidden="1" x14ac:dyDescent="0.3">
      <c r="A1648" s="5">
        <v>18790109</v>
      </c>
      <c r="B1648" s="6" t="s">
        <v>99</v>
      </c>
      <c r="C1648" s="6" t="s">
        <v>65</v>
      </c>
      <c r="D1648" s="8" t="s">
        <v>66</v>
      </c>
      <c r="E1648" s="6" t="s">
        <v>3391</v>
      </c>
      <c r="F1648" s="6" t="s">
        <v>95</v>
      </c>
      <c r="G1648" s="11" t="s">
        <v>56</v>
      </c>
      <c r="H1648" s="11"/>
      <c r="I1648" s="10" t="s">
        <v>3392</v>
      </c>
      <c r="J1648" s="6" t="s">
        <v>131</v>
      </c>
      <c r="K1648" s="12">
        <v>46121.671574074076</v>
      </c>
      <c r="L1648" s="6" t="e" cm="1">
        <f t="array" ref="L1648">LOOKUP(2^15,SEARCH(Tabela2[Palavras-Chave],Boletim4[[#This Row],[Objeto]],1),Tabela2[Palavras-Chave])</f>
        <v>#N/A</v>
      </c>
    </row>
    <row r="1649" spans="1:12" ht="57.6" hidden="1" x14ac:dyDescent="0.3">
      <c r="A1649" s="5">
        <v>18754766</v>
      </c>
      <c r="B1649" s="6" t="s">
        <v>1530</v>
      </c>
      <c r="C1649" s="6" t="s">
        <v>1531</v>
      </c>
      <c r="D1649" s="8" t="s">
        <v>66</v>
      </c>
      <c r="E1649" s="6" t="s">
        <v>128</v>
      </c>
      <c r="F1649" s="6" t="s">
        <v>95</v>
      </c>
      <c r="G1649" s="11">
        <v>46134.375</v>
      </c>
      <c r="H1649" s="11"/>
      <c r="I1649" s="10" t="s">
        <v>2516</v>
      </c>
      <c r="J1649" s="6" t="s">
        <v>2517</v>
      </c>
      <c r="K1649" s="12">
        <v>46121.812662037039</v>
      </c>
      <c r="L1649" s="6" t="e" cm="1">
        <f t="array" ref="L1649">LOOKUP(2^15,SEARCH(Tabela2[Palavras-Chave],Boletim4[[#This Row],[Objeto]],1),Tabela2[Palavras-Chave])</f>
        <v>#N/A</v>
      </c>
    </row>
    <row r="1650" spans="1:12" ht="259.2" x14ac:dyDescent="0.3">
      <c r="A1650" s="5">
        <v>18744377</v>
      </c>
      <c r="B1650" s="6" t="s">
        <v>1652</v>
      </c>
      <c r="C1650" s="6" t="s">
        <v>1653</v>
      </c>
      <c r="D1650" s="8" t="s">
        <v>66</v>
      </c>
      <c r="E1650" s="6" t="s">
        <v>109</v>
      </c>
      <c r="F1650" s="6" t="s">
        <v>95</v>
      </c>
      <c r="G1650" s="11" t="s">
        <v>56</v>
      </c>
      <c r="H1650" s="11"/>
      <c r="I1650" s="10" t="s">
        <v>2518</v>
      </c>
      <c r="J1650" s="6" t="s">
        <v>2519</v>
      </c>
      <c r="K1650" s="12">
        <v>46121.812974537039</v>
      </c>
      <c r="L1650" s="6" t="str" cm="1">
        <f t="array" ref="L1650">LOOKUP(2^15,SEARCH(Tabela2[Palavras-Chave],Boletim4[[#This Row],[Objeto]],1),Tabela2[Palavras-Chave])</f>
        <v>RESERVAT</v>
      </c>
    </row>
    <row r="1651" spans="1:12" ht="100.8" hidden="1" x14ac:dyDescent="0.3">
      <c r="A1651" s="5">
        <v>18781259</v>
      </c>
      <c r="B1651" s="6" t="s">
        <v>2520</v>
      </c>
      <c r="C1651" s="6" t="s">
        <v>2521</v>
      </c>
      <c r="D1651" s="8" t="s">
        <v>66</v>
      </c>
      <c r="E1651" s="6" t="s">
        <v>115</v>
      </c>
      <c r="F1651" s="6" t="s">
        <v>95</v>
      </c>
      <c r="G1651" s="11" t="s">
        <v>56</v>
      </c>
      <c r="H1651" s="11"/>
      <c r="I1651" s="10" t="s">
        <v>2522</v>
      </c>
      <c r="J1651" s="6" t="s">
        <v>2523</v>
      </c>
      <c r="K1651" s="12">
        <v>46121.816030092596</v>
      </c>
      <c r="L1651" s="6" t="e" cm="1">
        <f t="array" ref="L1651">LOOKUP(2^15,SEARCH(Tabela2[Palavras-Chave],Boletim4[[#This Row],[Objeto]],1),Tabela2[Palavras-Chave])</f>
        <v>#N/A</v>
      </c>
    </row>
    <row r="1652" spans="1:12" ht="273.60000000000002" hidden="1" x14ac:dyDescent="0.3">
      <c r="A1652" s="5">
        <v>18673635</v>
      </c>
      <c r="B1652" s="6" t="s">
        <v>2524</v>
      </c>
      <c r="C1652" s="6" t="s">
        <v>2525</v>
      </c>
      <c r="D1652" s="8" t="s">
        <v>66</v>
      </c>
      <c r="E1652" s="6" t="s">
        <v>117</v>
      </c>
      <c r="F1652" s="6" t="s">
        <v>95</v>
      </c>
      <c r="G1652" s="11" t="s">
        <v>56</v>
      </c>
      <c r="H1652" s="11"/>
      <c r="I1652" s="10" t="s">
        <v>2526</v>
      </c>
      <c r="J1652" s="6" t="s">
        <v>2527</v>
      </c>
      <c r="K1652" s="12">
        <v>46121.856446759259</v>
      </c>
      <c r="L1652" s="6" t="e" cm="1">
        <f t="array" ref="L1652">LOOKUP(2^15,SEARCH(Tabela2[Palavras-Chave],Boletim4[[#This Row],[Objeto]],1),Tabela2[Palavras-Chave])</f>
        <v>#N/A</v>
      </c>
    </row>
    <row r="1653" spans="1:12" ht="100.8" hidden="1" x14ac:dyDescent="0.3">
      <c r="A1653" s="5">
        <v>18709913</v>
      </c>
      <c r="B1653" s="6" t="s">
        <v>74</v>
      </c>
      <c r="C1653" s="6" t="s">
        <v>123</v>
      </c>
      <c r="D1653" s="8" t="s">
        <v>67</v>
      </c>
      <c r="E1653" s="6" t="s">
        <v>2472</v>
      </c>
      <c r="F1653" s="6" t="s">
        <v>95</v>
      </c>
      <c r="G1653" s="11" t="s">
        <v>56</v>
      </c>
      <c r="H1653" s="11"/>
      <c r="I1653" s="10" t="s">
        <v>2473</v>
      </c>
      <c r="J1653" s="6" t="s">
        <v>2474</v>
      </c>
      <c r="K1653" s="12">
        <v>46121.439641203702</v>
      </c>
      <c r="L1653" s="6" t="e" cm="1">
        <f t="array" ref="L1653">LOOKUP(2^15,SEARCH(Tabela2[Palavras-Chave],Boletim4[[#This Row],[Objeto]],1),Tabela2[Palavras-Chave])</f>
        <v>#N/A</v>
      </c>
    </row>
    <row r="1654" spans="1:12" ht="100.8" hidden="1" x14ac:dyDescent="0.3">
      <c r="A1654" s="5">
        <v>18715354</v>
      </c>
      <c r="B1654" s="6" t="s">
        <v>74</v>
      </c>
      <c r="C1654" s="6" t="s">
        <v>123</v>
      </c>
      <c r="D1654" s="8" t="s">
        <v>67</v>
      </c>
      <c r="E1654" s="6" t="s">
        <v>2475</v>
      </c>
      <c r="F1654" s="6" t="s">
        <v>95</v>
      </c>
      <c r="G1654" s="11" t="s">
        <v>56</v>
      </c>
      <c r="H1654" s="11"/>
      <c r="I1654" s="10" t="s">
        <v>2476</v>
      </c>
      <c r="J1654" s="6" t="s">
        <v>2477</v>
      </c>
      <c r="K1654" s="12">
        <v>46121.439699074072</v>
      </c>
      <c r="L1654" s="6" t="e" cm="1">
        <f t="array" ref="L1654">LOOKUP(2^15,SEARCH(Tabela2[Palavras-Chave],Boletim4[[#This Row],[Objeto]],1),Tabela2[Palavras-Chave])</f>
        <v>#N/A</v>
      </c>
    </row>
    <row r="1655" spans="1:12" ht="273.60000000000002" hidden="1" x14ac:dyDescent="0.3">
      <c r="A1655" s="5">
        <v>18787876</v>
      </c>
      <c r="B1655" s="6" t="s">
        <v>2528</v>
      </c>
      <c r="C1655" s="6" t="s">
        <v>2529</v>
      </c>
      <c r="D1655" s="8" t="s">
        <v>67</v>
      </c>
      <c r="E1655" s="6" t="s">
        <v>114</v>
      </c>
      <c r="F1655" s="6" t="s">
        <v>95</v>
      </c>
      <c r="G1655" s="11" t="s">
        <v>56</v>
      </c>
      <c r="H1655" s="11"/>
      <c r="I1655" s="10" t="s">
        <v>2530</v>
      </c>
      <c r="J1655" s="6" t="s">
        <v>2531</v>
      </c>
      <c r="K1655" s="12">
        <v>46121.841006944444</v>
      </c>
      <c r="L1655" s="6" t="e" cm="1">
        <f t="array" ref="L1655">LOOKUP(2^15,SEARCH(Tabela2[Palavras-Chave],Boletim4[[#This Row],[Objeto]],1),Tabela2[Palavras-Chave])</f>
        <v>#N/A</v>
      </c>
    </row>
    <row r="1656" spans="1:12" ht="100.8" hidden="1" x14ac:dyDescent="0.3">
      <c r="A1656" s="5">
        <v>18709915</v>
      </c>
      <c r="B1656" s="6" t="s">
        <v>74</v>
      </c>
      <c r="C1656" s="6" t="s">
        <v>111</v>
      </c>
      <c r="D1656" s="8" t="s">
        <v>91</v>
      </c>
      <c r="E1656" s="6" t="s">
        <v>2472</v>
      </c>
      <c r="F1656" s="6" t="s">
        <v>95</v>
      </c>
      <c r="G1656" s="11" t="s">
        <v>56</v>
      </c>
      <c r="H1656" s="11"/>
      <c r="I1656" s="10" t="s">
        <v>2473</v>
      </c>
      <c r="J1656" s="6" t="s">
        <v>2474</v>
      </c>
      <c r="K1656" s="12">
        <v>46121.439652777779</v>
      </c>
      <c r="L1656" s="6" t="e" cm="1">
        <f t="array" ref="L1656">LOOKUP(2^15,SEARCH(Tabela2[Palavras-Chave],Boletim4[[#This Row],[Objeto]],1),Tabela2[Palavras-Chave])</f>
        <v>#N/A</v>
      </c>
    </row>
    <row r="1657" spans="1:12" ht="100.8" hidden="1" x14ac:dyDescent="0.3">
      <c r="A1657" s="5">
        <v>18715355</v>
      </c>
      <c r="B1657" s="6" t="s">
        <v>74</v>
      </c>
      <c r="C1657" s="6" t="s">
        <v>111</v>
      </c>
      <c r="D1657" s="8" t="s">
        <v>91</v>
      </c>
      <c r="E1657" s="6" t="s">
        <v>2475</v>
      </c>
      <c r="F1657" s="6" t="s">
        <v>95</v>
      </c>
      <c r="G1657" s="11" t="s">
        <v>56</v>
      </c>
      <c r="H1657" s="11"/>
      <c r="I1657" s="10" t="s">
        <v>2476</v>
      </c>
      <c r="J1657" s="6" t="s">
        <v>2477</v>
      </c>
      <c r="K1657" s="12">
        <v>46121.439699074072</v>
      </c>
      <c r="L1657" s="6" t="e" cm="1">
        <f t="array" ref="L1657">LOOKUP(2^15,SEARCH(Tabela2[Palavras-Chave],Boletim4[[#This Row],[Objeto]],1),Tabela2[Palavras-Chave])</f>
        <v>#N/A</v>
      </c>
    </row>
    <row r="1658" spans="1:12" ht="100.8" hidden="1" x14ac:dyDescent="0.3">
      <c r="A1658" s="5">
        <v>18709916</v>
      </c>
      <c r="B1658" s="6" t="s">
        <v>74</v>
      </c>
      <c r="C1658" s="6" t="s">
        <v>130</v>
      </c>
      <c r="D1658" s="8" t="s">
        <v>68</v>
      </c>
      <c r="E1658" s="6" t="s">
        <v>2472</v>
      </c>
      <c r="F1658" s="6" t="s">
        <v>95</v>
      </c>
      <c r="G1658" s="11" t="s">
        <v>56</v>
      </c>
      <c r="H1658" s="11"/>
      <c r="I1658" s="10" t="s">
        <v>2473</v>
      </c>
      <c r="J1658" s="6" t="s">
        <v>2474</v>
      </c>
      <c r="K1658" s="12">
        <v>46121.439652777779</v>
      </c>
      <c r="L1658" s="6" t="e" cm="1">
        <f t="array" ref="L1658">LOOKUP(2^15,SEARCH(Tabela2[Palavras-Chave],Boletim4[[#This Row],[Objeto]],1),Tabela2[Palavras-Chave])</f>
        <v>#N/A</v>
      </c>
    </row>
    <row r="1659" spans="1:12" ht="100.8" hidden="1" x14ac:dyDescent="0.3">
      <c r="A1659" s="5">
        <v>18715356</v>
      </c>
      <c r="B1659" s="6" t="s">
        <v>74</v>
      </c>
      <c r="C1659" s="6" t="s">
        <v>130</v>
      </c>
      <c r="D1659" s="8" t="s">
        <v>68</v>
      </c>
      <c r="E1659" s="6" t="s">
        <v>2475</v>
      </c>
      <c r="F1659" s="6" t="s">
        <v>95</v>
      </c>
      <c r="G1659" s="11" t="s">
        <v>56</v>
      </c>
      <c r="H1659" s="11"/>
      <c r="I1659" s="10" t="s">
        <v>2476</v>
      </c>
      <c r="J1659" s="6" t="s">
        <v>2477</v>
      </c>
      <c r="K1659" s="12">
        <v>46121.439699074072</v>
      </c>
      <c r="L1659" s="6" t="e" cm="1">
        <f t="array" ref="L1659">LOOKUP(2^15,SEARCH(Tabela2[Palavras-Chave],Boletim4[[#This Row],[Objeto]],1),Tabela2[Palavras-Chave])</f>
        <v>#N/A</v>
      </c>
    </row>
    <row r="1660" spans="1:12" ht="158.4" hidden="1" x14ac:dyDescent="0.3">
      <c r="A1660" s="5">
        <v>18097280</v>
      </c>
      <c r="B1660" s="6" t="s">
        <v>1079</v>
      </c>
      <c r="C1660" s="6" t="s">
        <v>130</v>
      </c>
      <c r="D1660" s="8" t="s">
        <v>68</v>
      </c>
      <c r="E1660" s="6" t="s">
        <v>2532</v>
      </c>
      <c r="F1660" s="6" t="s">
        <v>95</v>
      </c>
      <c r="G1660" s="11" t="s">
        <v>56</v>
      </c>
      <c r="H1660" s="11"/>
      <c r="I1660" s="10" t="s">
        <v>2533</v>
      </c>
      <c r="J1660" s="6" t="s">
        <v>2534</v>
      </c>
      <c r="K1660" s="12">
        <v>46121.54184027778</v>
      </c>
      <c r="L1660" s="6" t="e" cm="1">
        <f t="array" ref="L1660">LOOKUP(2^15,SEARCH(Tabela2[Palavras-Chave],Boletim4[[#This Row],[Objeto]],1),Tabela2[Palavras-Chave])</f>
        <v>#N/A</v>
      </c>
    </row>
    <row r="1661" spans="1:12" ht="129.6" hidden="1" x14ac:dyDescent="0.3">
      <c r="A1661" s="5">
        <v>18790141</v>
      </c>
      <c r="B1661" s="6" t="s">
        <v>2535</v>
      </c>
      <c r="C1661" s="6" t="s">
        <v>2536</v>
      </c>
      <c r="D1661" s="8" t="s">
        <v>68</v>
      </c>
      <c r="E1661" s="6" t="s">
        <v>183</v>
      </c>
      <c r="F1661" s="6" t="s">
        <v>95</v>
      </c>
      <c r="G1661" s="11" t="s">
        <v>56</v>
      </c>
      <c r="H1661" s="11"/>
      <c r="I1661" s="10" t="s">
        <v>2537</v>
      </c>
      <c r="J1661" s="6" t="s">
        <v>2538</v>
      </c>
      <c r="K1661" s="12">
        <v>46121.542291666665</v>
      </c>
      <c r="L1661" s="6" t="e" cm="1">
        <f t="array" ref="L1661">LOOKUP(2^15,SEARCH(Tabela2[Palavras-Chave],Boletim4[[#This Row],[Objeto]],1),Tabela2[Palavras-Chave])</f>
        <v>#N/A</v>
      </c>
    </row>
    <row r="1662" spans="1:12" ht="43.2" hidden="1" x14ac:dyDescent="0.3">
      <c r="A1662" s="5">
        <v>18797225</v>
      </c>
      <c r="B1662" s="6" t="s">
        <v>2539</v>
      </c>
      <c r="C1662" s="6" t="s">
        <v>2540</v>
      </c>
      <c r="D1662" s="8" t="s">
        <v>68</v>
      </c>
      <c r="E1662" s="6" t="s">
        <v>2541</v>
      </c>
      <c r="F1662" s="6" t="s">
        <v>95</v>
      </c>
      <c r="G1662" s="11">
        <v>46134.416666666664</v>
      </c>
      <c r="H1662" s="11"/>
      <c r="I1662" s="10" t="s">
        <v>2542</v>
      </c>
      <c r="J1662" s="6" t="s">
        <v>2543</v>
      </c>
      <c r="K1662" s="12">
        <v>46121.715636574074</v>
      </c>
      <c r="L1662" s="6" t="e" cm="1">
        <f t="array" ref="L1662">LOOKUP(2^15,SEARCH(Tabela2[Palavras-Chave],Boletim4[[#This Row],[Objeto]],1),Tabela2[Palavras-Chave])</f>
        <v>#N/A</v>
      </c>
    </row>
    <row r="1663" spans="1:12" ht="115.2" hidden="1" x14ac:dyDescent="0.3">
      <c r="A1663" s="5">
        <v>18760083</v>
      </c>
      <c r="B1663" s="6" t="s">
        <v>2544</v>
      </c>
      <c r="C1663" s="6" t="s">
        <v>2545</v>
      </c>
      <c r="D1663" s="8" t="s">
        <v>68</v>
      </c>
      <c r="E1663" s="6" t="s">
        <v>390</v>
      </c>
      <c r="F1663" s="6" t="s">
        <v>95</v>
      </c>
      <c r="G1663" s="11">
        <v>46135.354166666664</v>
      </c>
      <c r="H1663" s="11"/>
      <c r="I1663" s="10" t="s">
        <v>2546</v>
      </c>
      <c r="J1663" s="6" t="s">
        <v>2547</v>
      </c>
      <c r="K1663" s="12">
        <v>46121.856990740744</v>
      </c>
      <c r="L1663" s="6" t="e" cm="1">
        <f t="array" ref="L1663">LOOKUP(2^15,SEARCH(Tabela2[Palavras-Chave],Boletim4[[#This Row],[Objeto]],1),Tabela2[Palavras-Chave])</f>
        <v>#N/A</v>
      </c>
    </row>
    <row r="1664" spans="1:12" ht="100.8" hidden="1" x14ac:dyDescent="0.3">
      <c r="A1664" s="5">
        <v>18709918</v>
      </c>
      <c r="B1664" s="6" t="s">
        <v>74</v>
      </c>
      <c r="C1664" s="6" t="s">
        <v>100</v>
      </c>
      <c r="D1664" s="8" t="s">
        <v>92</v>
      </c>
      <c r="E1664" s="6" t="s">
        <v>2472</v>
      </c>
      <c r="F1664" s="6" t="s">
        <v>95</v>
      </c>
      <c r="G1664" s="11" t="s">
        <v>56</v>
      </c>
      <c r="H1664" s="11"/>
      <c r="I1664" s="10" t="s">
        <v>2473</v>
      </c>
      <c r="J1664" s="6" t="s">
        <v>2474</v>
      </c>
      <c r="K1664" s="12">
        <v>46121.439652777779</v>
      </c>
      <c r="L1664" s="6" t="e" cm="1">
        <f t="array" ref="L1664">LOOKUP(2^15,SEARCH(Tabela2[Palavras-Chave],Boletim4[[#This Row],[Objeto]],1),Tabela2[Palavras-Chave])</f>
        <v>#N/A</v>
      </c>
    </row>
    <row r="1665" spans="1:12" ht="100.8" hidden="1" x14ac:dyDescent="0.3">
      <c r="A1665" s="5">
        <v>18715357</v>
      </c>
      <c r="B1665" s="6" t="s">
        <v>74</v>
      </c>
      <c r="C1665" s="6" t="s">
        <v>100</v>
      </c>
      <c r="D1665" s="8" t="s">
        <v>92</v>
      </c>
      <c r="E1665" s="6" t="s">
        <v>2475</v>
      </c>
      <c r="F1665" s="6" t="s">
        <v>95</v>
      </c>
      <c r="G1665" s="11" t="s">
        <v>56</v>
      </c>
      <c r="H1665" s="11"/>
      <c r="I1665" s="10" t="s">
        <v>2476</v>
      </c>
      <c r="J1665" s="6" t="s">
        <v>2477</v>
      </c>
      <c r="K1665" s="12">
        <v>46121.439699074072</v>
      </c>
      <c r="L1665" s="6" t="e" cm="1">
        <f t="array" ref="L1665">LOOKUP(2^15,SEARCH(Tabela2[Palavras-Chave],Boletim4[[#This Row],[Objeto]],1),Tabela2[Palavras-Chave])</f>
        <v>#N/A</v>
      </c>
    </row>
    <row r="1666" spans="1:12" ht="115.2" hidden="1" x14ac:dyDescent="0.3">
      <c r="A1666" s="5">
        <v>18755214</v>
      </c>
      <c r="B1666" s="6" t="s">
        <v>2548</v>
      </c>
      <c r="C1666" s="6" t="s">
        <v>2549</v>
      </c>
      <c r="D1666" s="8" t="s">
        <v>92</v>
      </c>
      <c r="E1666" s="6" t="s">
        <v>122</v>
      </c>
      <c r="F1666" s="6" t="s">
        <v>95</v>
      </c>
      <c r="G1666" s="11">
        <v>46128.457638888889</v>
      </c>
      <c r="H1666" s="11"/>
      <c r="I1666" s="10" t="s">
        <v>2550</v>
      </c>
      <c r="J1666" s="6" t="s">
        <v>2551</v>
      </c>
      <c r="K1666" s="12">
        <v>46121.661157407405</v>
      </c>
      <c r="L1666" s="6" t="e" cm="1">
        <f t="array" ref="L1666">LOOKUP(2^15,SEARCH(Tabela2[Palavras-Chave],Boletim4[[#This Row],[Objeto]],1),Tabela2[Palavras-Chave])</f>
        <v>#N/A</v>
      </c>
    </row>
    <row r="1667" spans="1:12" ht="100.8" hidden="1" x14ac:dyDescent="0.3">
      <c r="A1667" s="5">
        <v>18709919</v>
      </c>
      <c r="B1667" s="6" t="s">
        <v>74</v>
      </c>
      <c r="C1667" s="6" t="s">
        <v>69</v>
      </c>
      <c r="D1667" s="8" t="s">
        <v>70</v>
      </c>
      <c r="E1667" s="6" t="s">
        <v>2472</v>
      </c>
      <c r="F1667" s="6" t="s">
        <v>95</v>
      </c>
      <c r="G1667" s="11" t="s">
        <v>56</v>
      </c>
      <c r="H1667" s="11"/>
      <c r="I1667" s="10" t="s">
        <v>2473</v>
      </c>
      <c r="J1667" s="6" t="s">
        <v>2474</v>
      </c>
      <c r="K1667" s="12">
        <v>46121.439652777779</v>
      </c>
      <c r="L1667" s="6" t="e" cm="1">
        <f t="array" ref="L1667">LOOKUP(2^15,SEARCH(Tabela2[Palavras-Chave],Boletim4[[#This Row],[Objeto]],1),Tabela2[Palavras-Chave])</f>
        <v>#N/A</v>
      </c>
    </row>
    <row r="1668" spans="1:12" ht="100.8" hidden="1" x14ac:dyDescent="0.3">
      <c r="A1668" s="5">
        <v>18715358</v>
      </c>
      <c r="B1668" s="6" t="s">
        <v>74</v>
      </c>
      <c r="C1668" s="6" t="s">
        <v>69</v>
      </c>
      <c r="D1668" s="8" t="s">
        <v>70</v>
      </c>
      <c r="E1668" s="6" t="s">
        <v>2475</v>
      </c>
      <c r="F1668" s="6" t="s">
        <v>95</v>
      </c>
      <c r="G1668" s="11" t="s">
        <v>56</v>
      </c>
      <c r="H1668" s="11"/>
      <c r="I1668" s="10" t="s">
        <v>2476</v>
      </c>
      <c r="J1668" s="6" t="s">
        <v>2477</v>
      </c>
      <c r="K1668" s="12">
        <v>46121.439699074072</v>
      </c>
      <c r="L1668" s="6" t="e" cm="1">
        <f t="array" ref="L1668">LOOKUP(2^15,SEARCH(Tabela2[Palavras-Chave],Boletim4[[#This Row],[Objeto]],1),Tabela2[Palavras-Chave])</f>
        <v>#N/A</v>
      </c>
    </row>
    <row r="1669" spans="1:12" ht="72" x14ac:dyDescent="0.3">
      <c r="A1669" s="5">
        <v>18770020</v>
      </c>
      <c r="B1669" s="6" t="s">
        <v>74</v>
      </c>
      <c r="C1669" s="6" t="s">
        <v>69</v>
      </c>
      <c r="D1669" s="8" t="s">
        <v>70</v>
      </c>
      <c r="E1669" s="6" t="s">
        <v>2552</v>
      </c>
      <c r="F1669" s="6" t="s">
        <v>95</v>
      </c>
      <c r="G1669" s="11" t="s">
        <v>56</v>
      </c>
      <c r="H1669" s="11"/>
      <c r="I1669" s="10" t="s">
        <v>2553</v>
      </c>
      <c r="J1669" s="6" t="s">
        <v>2554</v>
      </c>
      <c r="K1669" s="12">
        <v>46121.440335648149</v>
      </c>
      <c r="L1669" s="6" t="str" cm="1">
        <f t="array" ref="L1669">LOOKUP(2^15,SEARCH(Tabela2[Palavras-Chave],Boletim4[[#This Row],[Objeto]],1),Tabela2[Palavras-Chave])</f>
        <v>abraçadeira</v>
      </c>
    </row>
    <row r="1670" spans="1:12" ht="72" hidden="1" x14ac:dyDescent="0.3">
      <c r="A1670" s="5">
        <v>18790077</v>
      </c>
      <c r="B1670" s="6" t="s">
        <v>74</v>
      </c>
      <c r="C1670" s="6" t="s">
        <v>69</v>
      </c>
      <c r="D1670" s="8" t="s">
        <v>70</v>
      </c>
      <c r="E1670" s="6" t="s">
        <v>2492</v>
      </c>
      <c r="F1670" s="6" t="s">
        <v>95</v>
      </c>
      <c r="G1670" s="11" t="s">
        <v>56</v>
      </c>
      <c r="H1670" s="11"/>
      <c r="I1670" s="10" t="s">
        <v>2493</v>
      </c>
      <c r="J1670" s="6" t="s">
        <v>2494</v>
      </c>
      <c r="K1670" s="12">
        <v>46121.441030092596</v>
      </c>
      <c r="L1670" s="6" t="e" cm="1">
        <f t="array" ref="L1670">LOOKUP(2^15,SEARCH(Tabela2[Palavras-Chave],Boletim4[[#This Row],[Objeto]],1),Tabela2[Palavras-Chave])</f>
        <v>#N/A</v>
      </c>
    </row>
    <row r="1671" spans="1:12" ht="100.8" hidden="1" x14ac:dyDescent="0.3">
      <c r="A1671" s="5">
        <v>18709920</v>
      </c>
      <c r="B1671" s="6" t="s">
        <v>74</v>
      </c>
      <c r="C1671" s="6" t="s">
        <v>133</v>
      </c>
      <c r="D1671" s="8" t="s">
        <v>71</v>
      </c>
      <c r="E1671" s="6" t="s">
        <v>2472</v>
      </c>
      <c r="F1671" s="6" t="s">
        <v>95</v>
      </c>
      <c r="G1671" s="11" t="s">
        <v>56</v>
      </c>
      <c r="H1671" s="11"/>
      <c r="I1671" s="10" t="s">
        <v>2473</v>
      </c>
      <c r="J1671" s="6" t="s">
        <v>2474</v>
      </c>
      <c r="K1671" s="12">
        <v>46121.439652777779</v>
      </c>
      <c r="L1671" s="6" t="e" cm="1">
        <f t="array" ref="L1671">LOOKUP(2^15,SEARCH(Tabela2[Palavras-Chave],Boletim4[[#This Row],[Objeto]],1),Tabela2[Palavras-Chave])</f>
        <v>#N/A</v>
      </c>
    </row>
    <row r="1672" spans="1:12" ht="100.8" hidden="1" x14ac:dyDescent="0.3">
      <c r="A1672" s="5">
        <v>18715359</v>
      </c>
      <c r="B1672" s="6" t="s">
        <v>74</v>
      </c>
      <c r="C1672" s="6" t="s">
        <v>133</v>
      </c>
      <c r="D1672" s="8" t="s">
        <v>71</v>
      </c>
      <c r="E1672" s="6" t="s">
        <v>2475</v>
      </c>
      <c r="F1672" s="6" t="s">
        <v>95</v>
      </c>
      <c r="G1672" s="11" t="s">
        <v>56</v>
      </c>
      <c r="H1672" s="11"/>
      <c r="I1672" s="10" t="s">
        <v>2476</v>
      </c>
      <c r="J1672" s="6" t="s">
        <v>2477</v>
      </c>
      <c r="K1672" s="12">
        <v>46121.439699074072</v>
      </c>
      <c r="L1672" s="6" t="e" cm="1">
        <f t="array" ref="L1672">LOOKUP(2^15,SEARCH(Tabela2[Palavras-Chave],Boletim4[[#This Row],[Objeto]],1),Tabela2[Palavras-Chave])</f>
        <v>#N/A</v>
      </c>
    </row>
    <row r="1673" spans="1:12" ht="57.6" hidden="1" x14ac:dyDescent="0.3">
      <c r="A1673" s="5">
        <v>18800925</v>
      </c>
      <c r="B1673" s="6" t="s">
        <v>2555</v>
      </c>
      <c r="C1673" s="6" t="s">
        <v>2556</v>
      </c>
      <c r="D1673" s="8" t="s">
        <v>71</v>
      </c>
      <c r="E1673" s="6" t="s">
        <v>149</v>
      </c>
      <c r="F1673" s="6" t="s">
        <v>95</v>
      </c>
      <c r="G1673" s="11">
        <v>46134.334027777775</v>
      </c>
      <c r="H1673" s="11"/>
      <c r="I1673" s="10" t="s">
        <v>2557</v>
      </c>
      <c r="J1673" s="6" t="s">
        <v>178</v>
      </c>
      <c r="K1673" s="12">
        <v>46121.514548611114</v>
      </c>
      <c r="L1673" s="6" t="e" cm="1">
        <f t="array" ref="L1673">LOOKUP(2^15,SEARCH(Tabela2[Palavras-Chave],Boletim4[[#This Row],[Objeto]],1),Tabela2[Palavras-Chave])</f>
        <v>#N/A</v>
      </c>
    </row>
    <row r="1674" spans="1:12" ht="115.2" hidden="1" x14ac:dyDescent="0.3">
      <c r="A1674" s="5">
        <v>18807408</v>
      </c>
      <c r="B1674" s="6" t="s">
        <v>3393</v>
      </c>
      <c r="C1674" s="6" t="s">
        <v>133</v>
      </c>
      <c r="D1674" s="8" t="s">
        <v>71</v>
      </c>
      <c r="E1674" s="6" t="s">
        <v>3394</v>
      </c>
      <c r="F1674" s="6" t="s">
        <v>95</v>
      </c>
      <c r="G1674" s="11">
        <v>46139.458333333336</v>
      </c>
      <c r="H1674" s="11"/>
      <c r="I1674" s="10" t="s">
        <v>3395</v>
      </c>
      <c r="J1674" s="6" t="s">
        <v>3396</v>
      </c>
      <c r="K1674" s="12">
        <v>46121.616168981483</v>
      </c>
      <c r="L1674" s="6" t="e" cm="1">
        <f t="array" ref="L1674">LOOKUP(2^15,SEARCH(Tabela2[Palavras-Chave],Boletim4[[#This Row],[Objeto]],1),Tabela2[Palavras-Chave])</f>
        <v>#N/A</v>
      </c>
    </row>
    <row r="1675" spans="1:12" ht="115.2" hidden="1" x14ac:dyDescent="0.3">
      <c r="A1675" s="5">
        <v>18807465</v>
      </c>
      <c r="B1675" s="6" t="s">
        <v>3393</v>
      </c>
      <c r="C1675" s="6" t="s">
        <v>133</v>
      </c>
      <c r="D1675" s="8" t="s">
        <v>71</v>
      </c>
      <c r="E1675" s="6" t="s">
        <v>3397</v>
      </c>
      <c r="F1675" s="6" t="s">
        <v>95</v>
      </c>
      <c r="G1675" s="11">
        <v>46139.375</v>
      </c>
      <c r="H1675" s="11"/>
      <c r="I1675" s="10" t="s">
        <v>3398</v>
      </c>
      <c r="J1675" s="6" t="s">
        <v>3399</v>
      </c>
      <c r="K1675" s="12">
        <v>46121.742395833331</v>
      </c>
      <c r="L1675" s="6" t="e" cm="1">
        <f t="array" ref="L1675">LOOKUP(2^15,SEARCH(Tabela2[Palavras-Chave],Boletim4[[#This Row],[Objeto]],1),Tabela2[Palavras-Chave])</f>
        <v>#N/A</v>
      </c>
    </row>
    <row r="1676" spans="1:12" ht="100.8" hidden="1" x14ac:dyDescent="0.3">
      <c r="A1676" s="5">
        <v>18709922</v>
      </c>
      <c r="B1676" s="6" t="s">
        <v>74</v>
      </c>
      <c r="C1676" s="6" t="s">
        <v>73</v>
      </c>
      <c r="D1676" s="8" t="s">
        <v>72</v>
      </c>
      <c r="E1676" s="6" t="s">
        <v>2472</v>
      </c>
      <c r="F1676" s="6" t="s">
        <v>95</v>
      </c>
      <c r="G1676" s="11" t="s">
        <v>56</v>
      </c>
      <c r="H1676" s="11"/>
      <c r="I1676" s="10" t="s">
        <v>2473</v>
      </c>
      <c r="J1676" s="6" t="s">
        <v>2474</v>
      </c>
      <c r="K1676" s="12">
        <v>46121.439652777779</v>
      </c>
      <c r="L1676" s="6" t="e" cm="1">
        <f t="array" ref="L1676">LOOKUP(2^15,SEARCH(Tabela2[Palavras-Chave],Boletim4[[#This Row],[Objeto]],1),Tabela2[Palavras-Chave])</f>
        <v>#N/A</v>
      </c>
    </row>
    <row r="1677" spans="1:12" ht="100.8" hidden="1" x14ac:dyDescent="0.3">
      <c r="A1677" s="5">
        <v>18715360</v>
      </c>
      <c r="B1677" s="6" t="s">
        <v>74</v>
      </c>
      <c r="C1677" s="6" t="s">
        <v>73</v>
      </c>
      <c r="D1677" s="8" t="s">
        <v>72</v>
      </c>
      <c r="E1677" s="6" t="s">
        <v>2475</v>
      </c>
      <c r="F1677" s="6" t="s">
        <v>95</v>
      </c>
      <c r="G1677" s="11" t="s">
        <v>56</v>
      </c>
      <c r="H1677" s="11"/>
      <c r="I1677" s="10" t="s">
        <v>2476</v>
      </c>
      <c r="J1677" s="6" t="s">
        <v>2477</v>
      </c>
      <c r="K1677" s="12">
        <v>46121.439710648148</v>
      </c>
      <c r="L1677" s="6" t="e" cm="1">
        <f t="array" ref="L1677">LOOKUP(2^15,SEARCH(Tabela2[Palavras-Chave],Boletim4[[#This Row],[Objeto]],1),Tabela2[Palavras-Chave])</f>
        <v>#N/A</v>
      </c>
    </row>
    <row r="1678" spans="1:12" ht="72" hidden="1" x14ac:dyDescent="0.3">
      <c r="A1678" s="5">
        <v>18775078</v>
      </c>
      <c r="B1678" s="6" t="s">
        <v>74</v>
      </c>
      <c r="C1678" s="6" t="s">
        <v>73</v>
      </c>
      <c r="D1678" s="8" t="s">
        <v>72</v>
      </c>
      <c r="E1678" s="6" t="s">
        <v>2558</v>
      </c>
      <c r="F1678" s="6" t="s">
        <v>95</v>
      </c>
      <c r="G1678" s="11" t="s">
        <v>56</v>
      </c>
      <c r="H1678" s="11"/>
      <c r="I1678" s="10" t="s">
        <v>2559</v>
      </c>
      <c r="J1678" s="6" t="s">
        <v>2560</v>
      </c>
      <c r="K1678" s="12">
        <v>46121.440347222226</v>
      </c>
      <c r="L1678" s="6" t="e" cm="1">
        <f t="array" ref="L1678">LOOKUP(2^15,SEARCH(Tabela2[Palavras-Chave],Boletim4[[#This Row],[Objeto]],1),Tabela2[Palavras-Chave])</f>
        <v>#N/A</v>
      </c>
    </row>
    <row r="1679" spans="1:12" ht="72" hidden="1" x14ac:dyDescent="0.3">
      <c r="A1679" s="5">
        <v>18790078</v>
      </c>
      <c r="B1679" s="6" t="s">
        <v>74</v>
      </c>
      <c r="C1679" s="6" t="s">
        <v>73</v>
      </c>
      <c r="D1679" s="8" t="s">
        <v>72</v>
      </c>
      <c r="E1679" s="6" t="s">
        <v>2492</v>
      </c>
      <c r="F1679" s="6" t="s">
        <v>95</v>
      </c>
      <c r="G1679" s="11" t="s">
        <v>56</v>
      </c>
      <c r="H1679" s="11"/>
      <c r="I1679" s="10" t="s">
        <v>2493</v>
      </c>
      <c r="J1679" s="6" t="s">
        <v>2494</v>
      </c>
      <c r="K1679" s="12">
        <v>46121.441030092596</v>
      </c>
      <c r="L1679" s="6" t="e" cm="1">
        <f t="array" ref="L1679">LOOKUP(2^15,SEARCH(Tabela2[Palavras-Chave],Boletim4[[#This Row],[Objeto]],1),Tabela2[Palavras-Chave])</f>
        <v>#N/A</v>
      </c>
    </row>
    <row r="1680" spans="1:12" ht="72" hidden="1" x14ac:dyDescent="0.3">
      <c r="A1680" s="5">
        <v>18729386</v>
      </c>
      <c r="B1680" s="6" t="s">
        <v>3400</v>
      </c>
      <c r="C1680" s="6" t="s">
        <v>3401</v>
      </c>
      <c r="D1680" s="8" t="s">
        <v>72</v>
      </c>
      <c r="E1680" s="6" t="s">
        <v>135</v>
      </c>
      <c r="F1680" s="6" t="s">
        <v>95</v>
      </c>
      <c r="G1680" s="11">
        <v>46136.416666666664</v>
      </c>
      <c r="H1680" s="11"/>
      <c r="I1680" s="10" t="s">
        <v>3402</v>
      </c>
      <c r="J1680" s="6" t="s">
        <v>178</v>
      </c>
      <c r="K1680" s="12">
        <v>46121.514305555553</v>
      </c>
      <c r="L1680" s="6" t="e" cm="1">
        <f t="array" ref="L1680">LOOKUP(2^15,SEARCH(Tabela2[Palavras-Chave],Boletim4[[#This Row],[Objeto]],1),Tabela2[Palavras-Chave])</f>
        <v>#N/A</v>
      </c>
    </row>
    <row r="1681" spans="1:12" ht="129.6" hidden="1" x14ac:dyDescent="0.3">
      <c r="A1681" s="5">
        <v>18730686</v>
      </c>
      <c r="B1681" s="6" t="s">
        <v>2561</v>
      </c>
      <c r="C1681" s="6" t="s">
        <v>2562</v>
      </c>
      <c r="D1681" s="8" t="s">
        <v>72</v>
      </c>
      <c r="E1681" s="6" t="s">
        <v>296</v>
      </c>
      <c r="F1681" s="6" t="s">
        <v>95</v>
      </c>
      <c r="G1681" s="11" t="s">
        <v>56</v>
      </c>
      <c r="H1681" s="11"/>
      <c r="I1681" s="10" t="s">
        <v>2563</v>
      </c>
      <c r="J1681" s="6" t="s">
        <v>2564</v>
      </c>
      <c r="K1681" s="12">
        <v>46121.538969907408</v>
      </c>
      <c r="L1681" s="6" t="e" cm="1">
        <f t="array" ref="L1681">LOOKUP(2^15,SEARCH(Tabela2[Palavras-Chave],Boletim4[[#This Row],[Objeto]],1),Tabela2[Palavras-Chave])</f>
        <v>#N/A</v>
      </c>
    </row>
    <row r="1682" spans="1:12" ht="273.60000000000002" hidden="1" x14ac:dyDescent="0.3">
      <c r="A1682" s="5">
        <v>18806889</v>
      </c>
      <c r="B1682" s="6" t="s">
        <v>2565</v>
      </c>
      <c r="C1682" s="6" t="s">
        <v>2566</v>
      </c>
      <c r="D1682" s="8" t="s">
        <v>72</v>
      </c>
      <c r="E1682" s="6" t="s">
        <v>121</v>
      </c>
      <c r="F1682" s="6" t="s">
        <v>95</v>
      </c>
      <c r="G1682" s="11" t="s">
        <v>56</v>
      </c>
      <c r="H1682" s="11"/>
      <c r="I1682" s="10" t="s">
        <v>2567</v>
      </c>
      <c r="J1682" s="6" t="s">
        <v>2568</v>
      </c>
      <c r="K1682" s="12">
        <v>46121.664756944447</v>
      </c>
      <c r="L1682" s="6" t="e" cm="1">
        <f t="array" ref="L1682">LOOKUP(2^15,SEARCH(Tabela2[Palavras-Chave],Boletim4[[#This Row],[Objeto]],1),Tabela2[Palavras-Chave])</f>
        <v>#N/A</v>
      </c>
    </row>
    <row r="1683" spans="1:12" ht="273.60000000000002" hidden="1" x14ac:dyDescent="0.3">
      <c r="A1683" s="5">
        <v>18719826</v>
      </c>
      <c r="B1683" s="6" t="s">
        <v>2569</v>
      </c>
      <c r="C1683" s="6" t="s">
        <v>2570</v>
      </c>
      <c r="D1683" s="8" t="s">
        <v>72</v>
      </c>
      <c r="E1683" s="6" t="s">
        <v>441</v>
      </c>
      <c r="F1683" s="6" t="s">
        <v>95</v>
      </c>
      <c r="G1683" s="11" t="s">
        <v>56</v>
      </c>
      <c r="H1683" s="11"/>
      <c r="I1683" s="10" t="s">
        <v>2571</v>
      </c>
      <c r="J1683" s="6" t="s">
        <v>2572</v>
      </c>
      <c r="K1683" s="12">
        <v>46121.856377314813</v>
      </c>
      <c r="L1683" s="6" t="e" cm="1">
        <f t="array" ref="L1683">LOOKUP(2^15,SEARCH(Tabela2[Palavras-Chave],Boletim4[[#This Row],[Objeto]],1),Tabela2[Palavras-Chave])</f>
        <v>#N/A</v>
      </c>
    </row>
    <row r="1684" spans="1:12" ht="43.2" hidden="1" x14ac:dyDescent="0.3">
      <c r="A1684" s="5">
        <v>18730502</v>
      </c>
      <c r="B1684" s="6" t="s">
        <v>74</v>
      </c>
      <c r="C1684" s="6" t="s">
        <v>75</v>
      </c>
      <c r="D1684" s="8" t="s">
        <v>76</v>
      </c>
      <c r="E1684" s="6" t="s">
        <v>2573</v>
      </c>
      <c r="F1684" s="6" t="s">
        <v>95</v>
      </c>
      <c r="G1684" s="11" t="s">
        <v>56</v>
      </c>
      <c r="H1684" s="11"/>
      <c r="I1684" s="10" t="s">
        <v>2574</v>
      </c>
      <c r="J1684" s="6" t="s">
        <v>2575</v>
      </c>
      <c r="K1684" s="12">
        <v>46121.437557870369</v>
      </c>
      <c r="L1684" s="6" t="e" cm="1">
        <f t="array" ref="L1684">LOOKUP(2^15,SEARCH(Tabela2[Palavras-Chave],Boletim4[[#This Row],[Objeto]],1),Tabela2[Palavras-Chave])</f>
        <v>#N/A</v>
      </c>
    </row>
    <row r="1685" spans="1:12" ht="72" hidden="1" x14ac:dyDescent="0.3">
      <c r="A1685" s="5">
        <v>18520559</v>
      </c>
      <c r="B1685" s="6" t="s">
        <v>74</v>
      </c>
      <c r="C1685" s="6" t="s">
        <v>75</v>
      </c>
      <c r="D1685" s="8" t="s">
        <v>76</v>
      </c>
      <c r="E1685" s="6" t="s">
        <v>2576</v>
      </c>
      <c r="F1685" s="6" t="s">
        <v>95</v>
      </c>
      <c r="G1685" s="11" t="s">
        <v>56</v>
      </c>
      <c r="H1685" s="11"/>
      <c r="I1685" s="10" t="s">
        <v>2577</v>
      </c>
      <c r="J1685" s="6" t="s">
        <v>2578</v>
      </c>
      <c r="K1685" s="12">
        <v>46121.436736111114</v>
      </c>
      <c r="L1685" s="6" t="e" cm="1">
        <f t="array" ref="L1685">LOOKUP(2^15,SEARCH(Tabela2[Palavras-Chave],Boletim4[[#This Row],[Objeto]],1),Tabela2[Palavras-Chave])</f>
        <v>#N/A</v>
      </c>
    </row>
    <row r="1686" spans="1:12" ht="100.8" hidden="1" x14ac:dyDescent="0.3">
      <c r="A1686" s="5">
        <v>18709901</v>
      </c>
      <c r="B1686" s="6" t="s">
        <v>74</v>
      </c>
      <c r="C1686" s="6" t="s">
        <v>75</v>
      </c>
      <c r="D1686" s="8" t="s">
        <v>76</v>
      </c>
      <c r="E1686" s="6" t="s">
        <v>2472</v>
      </c>
      <c r="F1686" s="6" t="s">
        <v>95</v>
      </c>
      <c r="G1686" s="11" t="s">
        <v>56</v>
      </c>
      <c r="H1686" s="11"/>
      <c r="I1686" s="10" t="s">
        <v>2473</v>
      </c>
      <c r="J1686" s="6" t="s">
        <v>2474</v>
      </c>
      <c r="K1686" s="12">
        <v>46121.4375462963</v>
      </c>
      <c r="L1686" s="6" t="e" cm="1">
        <f t="array" ref="L1686">LOOKUP(2^15,SEARCH(Tabela2[Palavras-Chave],Boletim4[[#This Row],[Objeto]],1),Tabela2[Palavras-Chave])</f>
        <v>#N/A</v>
      </c>
    </row>
    <row r="1687" spans="1:12" ht="100.8" hidden="1" x14ac:dyDescent="0.3">
      <c r="A1687" s="5">
        <v>18715342</v>
      </c>
      <c r="B1687" s="6" t="s">
        <v>74</v>
      </c>
      <c r="C1687" s="6" t="s">
        <v>75</v>
      </c>
      <c r="D1687" s="8" t="s">
        <v>76</v>
      </c>
      <c r="E1687" s="6" t="s">
        <v>2475</v>
      </c>
      <c r="F1687" s="6" t="s">
        <v>95</v>
      </c>
      <c r="G1687" s="11" t="s">
        <v>56</v>
      </c>
      <c r="H1687" s="11"/>
      <c r="I1687" s="10" t="s">
        <v>2476</v>
      </c>
      <c r="J1687" s="6" t="s">
        <v>2477</v>
      </c>
      <c r="K1687" s="12">
        <v>46121.437557870369</v>
      </c>
      <c r="L1687" s="6" t="e" cm="1">
        <f t="array" ref="L1687">LOOKUP(2^15,SEARCH(Tabela2[Palavras-Chave],Boletim4[[#This Row],[Objeto]],1),Tabela2[Palavras-Chave])</f>
        <v>#N/A</v>
      </c>
    </row>
    <row r="1688" spans="1:12" ht="72" x14ac:dyDescent="0.3">
      <c r="A1688" s="5">
        <v>18770019</v>
      </c>
      <c r="B1688" s="6" t="s">
        <v>74</v>
      </c>
      <c r="C1688" s="6" t="s">
        <v>75</v>
      </c>
      <c r="D1688" s="8" t="s">
        <v>76</v>
      </c>
      <c r="E1688" s="6" t="s">
        <v>2552</v>
      </c>
      <c r="F1688" s="6" t="s">
        <v>95</v>
      </c>
      <c r="G1688" s="11" t="s">
        <v>56</v>
      </c>
      <c r="H1688" s="11"/>
      <c r="I1688" s="10" t="s">
        <v>2553</v>
      </c>
      <c r="J1688" s="6" t="s">
        <v>2554</v>
      </c>
      <c r="K1688" s="12">
        <v>46121.437789351854</v>
      </c>
      <c r="L1688" s="6" t="str" cm="1">
        <f t="array" ref="L1688">LOOKUP(2^15,SEARCH(Tabela2[Palavras-Chave],Boletim4[[#This Row],[Objeto]],1),Tabela2[Palavras-Chave])</f>
        <v>abraçadeira</v>
      </c>
    </row>
    <row r="1689" spans="1:12" ht="72" hidden="1" x14ac:dyDescent="0.3">
      <c r="A1689" s="5">
        <v>18775077</v>
      </c>
      <c r="B1689" s="6" t="s">
        <v>74</v>
      </c>
      <c r="C1689" s="6" t="s">
        <v>75</v>
      </c>
      <c r="D1689" s="8" t="s">
        <v>76</v>
      </c>
      <c r="E1689" s="6" t="s">
        <v>2558</v>
      </c>
      <c r="F1689" s="6" t="s">
        <v>95</v>
      </c>
      <c r="G1689" s="11" t="s">
        <v>56</v>
      </c>
      <c r="H1689" s="11"/>
      <c r="I1689" s="10" t="s">
        <v>2559</v>
      </c>
      <c r="J1689" s="6" t="s">
        <v>2560</v>
      </c>
      <c r="K1689" s="12">
        <v>46121.437893518516</v>
      </c>
      <c r="L1689" s="6" t="e" cm="1">
        <f t="array" ref="L1689">LOOKUP(2^15,SEARCH(Tabela2[Palavras-Chave],Boletim4[[#This Row],[Objeto]],1),Tabela2[Palavras-Chave])</f>
        <v>#N/A</v>
      </c>
    </row>
    <row r="1690" spans="1:12" ht="72" hidden="1" x14ac:dyDescent="0.3">
      <c r="A1690" s="5">
        <v>18770023</v>
      </c>
      <c r="B1690" s="6" t="s">
        <v>74</v>
      </c>
      <c r="C1690" s="6" t="s">
        <v>75</v>
      </c>
      <c r="D1690" s="8" t="s">
        <v>76</v>
      </c>
      <c r="E1690" s="6" t="s">
        <v>2579</v>
      </c>
      <c r="F1690" s="6" t="s">
        <v>95</v>
      </c>
      <c r="G1690" s="11" t="s">
        <v>56</v>
      </c>
      <c r="H1690" s="11"/>
      <c r="I1690" s="10" t="s">
        <v>2580</v>
      </c>
      <c r="J1690" s="6" t="s">
        <v>2581</v>
      </c>
      <c r="K1690" s="12">
        <v>46121.438935185186</v>
      </c>
      <c r="L1690" s="6" t="e" cm="1">
        <f t="array" ref="L1690">LOOKUP(2^15,SEARCH(Tabela2[Palavras-Chave],Boletim4[[#This Row],[Objeto]],1),Tabela2[Palavras-Chave])</f>
        <v>#N/A</v>
      </c>
    </row>
    <row r="1691" spans="1:12" ht="72" hidden="1" x14ac:dyDescent="0.3">
      <c r="A1691" s="5">
        <v>18790075</v>
      </c>
      <c r="B1691" s="6" t="s">
        <v>74</v>
      </c>
      <c r="C1691" s="6" t="s">
        <v>75</v>
      </c>
      <c r="D1691" s="8" t="s">
        <v>76</v>
      </c>
      <c r="E1691" s="6" t="s">
        <v>2492</v>
      </c>
      <c r="F1691" s="6" t="s">
        <v>95</v>
      </c>
      <c r="G1691" s="11" t="s">
        <v>56</v>
      </c>
      <c r="H1691" s="11"/>
      <c r="I1691" s="10" t="s">
        <v>2493</v>
      </c>
      <c r="J1691" s="6" t="s">
        <v>2494</v>
      </c>
      <c r="K1691" s="12">
        <v>46121.438923611109</v>
      </c>
      <c r="L1691" s="6" t="e" cm="1">
        <f t="array" ref="L1691">LOOKUP(2^15,SEARCH(Tabela2[Palavras-Chave],Boletim4[[#This Row],[Objeto]],1),Tabela2[Palavras-Chave])</f>
        <v>#N/A</v>
      </c>
    </row>
    <row r="1692" spans="1:12" ht="129.6" hidden="1" x14ac:dyDescent="0.3">
      <c r="A1692" s="5">
        <v>18456475</v>
      </c>
      <c r="B1692" s="6" t="s">
        <v>2582</v>
      </c>
      <c r="C1692" s="6" t="s">
        <v>75</v>
      </c>
      <c r="D1692" s="8" t="s">
        <v>76</v>
      </c>
      <c r="E1692" s="6" t="s">
        <v>2583</v>
      </c>
      <c r="F1692" s="6" t="s">
        <v>95</v>
      </c>
      <c r="G1692" s="11" t="s">
        <v>56</v>
      </c>
      <c r="H1692" s="11"/>
      <c r="I1692" s="10" t="s">
        <v>2584</v>
      </c>
      <c r="J1692" s="6" t="s">
        <v>2585</v>
      </c>
      <c r="K1692" s="12">
        <v>46121.618125000001</v>
      </c>
      <c r="L1692" s="6" t="e" cm="1">
        <f t="array" ref="L1692">LOOKUP(2^15,SEARCH(Tabela2[Palavras-Chave],Boletim4[[#This Row],[Objeto]],1),Tabela2[Palavras-Chave])</f>
        <v>#N/A</v>
      </c>
    </row>
    <row r="1693" spans="1:12" ht="43.2" hidden="1" x14ac:dyDescent="0.3">
      <c r="A1693" s="5">
        <v>18796318</v>
      </c>
      <c r="B1693" s="6" t="s">
        <v>74</v>
      </c>
      <c r="C1693" s="6" t="s">
        <v>75</v>
      </c>
      <c r="D1693" s="8" t="s">
        <v>76</v>
      </c>
      <c r="E1693" s="6" t="s">
        <v>2586</v>
      </c>
      <c r="F1693" s="6" t="s">
        <v>95</v>
      </c>
      <c r="G1693" s="11" t="s">
        <v>56</v>
      </c>
      <c r="H1693" s="11"/>
      <c r="I1693" s="10" t="s">
        <v>2587</v>
      </c>
      <c r="J1693" s="6" t="s">
        <v>2588</v>
      </c>
      <c r="K1693" s="12">
        <v>46121.684525462966</v>
      </c>
      <c r="L1693" s="6" t="e" cm="1">
        <f t="array" ref="L1693">LOOKUP(2^15,SEARCH(Tabela2[Palavras-Chave],Boletim4[[#This Row],[Objeto]],1),Tabela2[Palavras-Chave])</f>
        <v>#N/A</v>
      </c>
    </row>
    <row r="1694" spans="1:12" ht="100.8" hidden="1" x14ac:dyDescent="0.3">
      <c r="A1694" s="5">
        <v>18679362</v>
      </c>
      <c r="B1694" s="6" t="s">
        <v>2589</v>
      </c>
      <c r="C1694" s="6" t="s">
        <v>2590</v>
      </c>
      <c r="D1694" s="8" t="s">
        <v>76</v>
      </c>
      <c r="E1694" s="6" t="s">
        <v>135</v>
      </c>
      <c r="F1694" s="6" t="s">
        <v>95</v>
      </c>
      <c r="G1694" s="11" t="s">
        <v>56</v>
      </c>
      <c r="H1694" s="11"/>
      <c r="I1694" s="10" t="s">
        <v>2591</v>
      </c>
      <c r="J1694" s="6" t="s">
        <v>2592</v>
      </c>
      <c r="K1694" s="12">
        <v>46121.727048611108</v>
      </c>
      <c r="L1694" s="6" t="e" cm="1">
        <f t="array" ref="L1694">LOOKUP(2^15,SEARCH(Tabela2[Palavras-Chave],Boletim4[[#This Row],[Objeto]],1),Tabela2[Palavras-Chave])</f>
        <v>#N/A</v>
      </c>
    </row>
    <row r="1695" spans="1:12" ht="100.8" hidden="1" x14ac:dyDescent="0.3">
      <c r="A1695" s="5">
        <v>18709923</v>
      </c>
      <c r="B1695" s="6" t="s">
        <v>74</v>
      </c>
      <c r="C1695" s="6" t="s">
        <v>102</v>
      </c>
      <c r="D1695" s="8" t="s">
        <v>77</v>
      </c>
      <c r="E1695" s="6" t="s">
        <v>2472</v>
      </c>
      <c r="F1695" s="6" t="s">
        <v>95</v>
      </c>
      <c r="G1695" s="11" t="s">
        <v>56</v>
      </c>
      <c r="H1695" s="11"/>
      <c r="I1695" s="10" t="s">
        <v>2473</v>
      </c>
      <c r="J1695" s="6" t="s">
        <v>2474</v>
      </c>
      <c r="K1695" s="12">
        <v>46121.439652777779</v>
      </c>
      <c r="L1695" s="6" t="e" cm="1">
        <f t="array" ref="L1695">LOOKUP(2^15,SEARCH(Tabela2[Palavras-Chave],Boletim4[[#This Row],[Objeto]],1),Tabela2[Palavras-Chave])</f>
        <v>#N/A</v>
      </c>
    </row>
    <row r="1696" spans="1:12" ht="100.8" hidden="1" x14ac:dyDescent="0.3">
      <c r="A1696" s="5">
        <v>18715361</v>
      </c>
      <c r="B1696" s="6" t="s">
        <v>74</v>
      </c>
      <c r="C1696" s="6" t="s">
        <v>102</v>
      </c>
      <c r="D1696" s="8" t="s">
        <v>77</v>
      </c>
      <c r="E1696" s="6" t="s">
        <v>2475</v>
      </c>
      <c r="F1696" s="6" t="s">
        <v>95</v>
      </c>
      <c r="G1696" s="11" t="s">
        <v>56</v>
      </c>
      <c r="H1696" s="11"/>
      <c r="I1696" s="10" t="s">
        <v>2476</v>
      </c>
      <c r="J1696" s="6" t="s">
        <v>2477</v>
      </c>
      <c r="K1696" s="12">
        <v>46121.439710648148</v>
      </c>
      <c r="L1696" s="6" t="e" cm="1">
        <f t="array" ref="L1696">LOOKUP(2^15,SEARCH(Tabela2[Palavras-Chave],Boletim4[[#This Row],[Objeto]],1),Tabela2[Palavras-Chave])</f>
        <v>#N/A</v>
      </c>
    </row>
    <row r="1697" spans="1:12" ht="100.8" hidden="1" x14ac:dyDescent="0.3">
      <c r="A1697" s="5">
        <v>18709924</v>
      </c>
      <c r="B1697" s="6" t="s">
        <v>74</v>
      </c>
      <c r="C1697" s="6" t="s">
        <v>136</v>
      </c>
      <c r="D1697" s="8" t="s">
        <v>78</v>
      </c>
      <c r="E1697" s="6" t="s">
        <v>2472</v>
      </c>
      <c r="F1697" s="6" t="s">
        <v>95</v>
      </c>
      <c r="G1697" s="11" t="s">
        <v>56</v>
      </c>
      <c r="H1697" s="11"/>
      <c r="I1697" s="10" t="s">
        <v>2473</v>
      </c>
      <c r="J1697" s="6" t="s">
        <v>2474</v>
      </c>
      <c r="K1697" s="12">
        <v>46121.439664351848</v>
      </c>
      <c r="L1697" s="6" t="e" cm="1">
        <f t="array" ref="L1697">LOOKUP(2^15,SEARCH(Tabela2[Palavras-Chave],Boletim4[[#This Row],[Objeto]],1),Tabela2[Palavras-Chave])</f>
        <v>#N/A</v>
      </c>
    </row>
    <row r="1698" spans="1:12" ht="100.8" hidden="1" x14ac:dyDescent="0.3">
      <c r="A1698" s="5">
        <v>18715362</v>
      </c>
      <c r="B1698" s="6" t="s">
        <v>74</v>
      </c>
      <c r="C1698" s="6" t="s">
        <v>136</v>
      </c>
      <c r="D1698" s="8" t="s">
        <v>78</v>
      </c>
      <c r="E1698" s="6" t="s">
        <v>2475</v>
      </c>
      <c r="F1698" s="6" t="s">
        <v>95</v>
      </c>
      <c r="G1698" s="11" t="s">
        <v>56</v>
      </c>
      <c r="H1698" s="11"/>
      <c r="I1698" s="10" t="s">
        <v>2476</v>
      </c>
      <c r="J1698" s="6" t="s">
        <v>2477</v>
      </c>
      <c r="K1698" s="12">
        <v>46121.439710648148</v>
      </c>
      <c r="L1698" s="6" t="e" cm="1">
        <f t="array" ref="L1698">LOOKUP(2^15,SEARCH(Tabela2[Palavras-Chave],Boletim4[[#This Row],[Objeto]],1),Tabela2[Palavras-Chave])</f>
        <v>#N/A</v>
      </c>
    </row>
    <row r="1699" spans="1:12" ht="100.8" hidden="1" x14ac:dyDescent="0.3">
      <c r="A1699" s="5">
        <v>18709925</v>
      </c>
      <c r="B1699" s="6" t="s">
        <v>74</v>
      </c>
      <c r="C1699" s="6" t="s">
        <v>2046</v>
      </c>
      <c r="D1699" s="8" t="s">
        <v>256</v>
      </c>
      <c r="E1699" s="6" t="s">
        <v>2472</v>
      </c>
      <c r="F1699" s="6" t="s">
        <v>95</v>
      </c>
      <c r="G1699" s="11" t="s">
        <v>56</v>
      </c>
      <c r="H1699" s="11"/>
      <c r="I1699" s="10" t="s">
        <v>2473</v>
      </c>
      <c r="J1699" s="6" t="s">
        <v>2474</v>
      </c>
      <c r="K1699" s="12">
        <v>46121.439664351848</v>
      </c>
      <c r="L1699" s="6" t="e" cm="1">
        <f t="array" ref="L1699">LOOKUP(2^15,SEARCH(Tabela2[Palavras-Chave],Boletim4[[#This Row],[Objeto]],1),Tabela2[Palavras-Chave])</f>
        <v>#N/A</v>
      </c>
    </row>
    <row r="1700" spans="1:12" ht="100.8" hidden="1" x14ac:dyDescent="0.3">
      <c r="A1700" s="5">
        <v>18715363</v>
      </c>
      <c r="B1700" s="6" t="s">
        <v>74</v>
      </c>
      <c r="C1700" s="6" t="s">
        <v>2046</v>
      </c>
      <c r="D1700" s="8" t="s">
        <v>256</v>
      </c>
      <c r="E1700" s="6" t="s">
        <v>2475</v>
      </c>
      <c r="F1700" s="6" t="s">
        <v>95</v>
      </c>
      <c r="G1700" s="11" t="s">
        <v>56</v>
      </c>
      <c r="H1700" s="11"/>
      <c r="I1700" s="10" t="s">
        <v>2476</v>
      </c>
      <c r="J1700" s="6" t="s">
        <v>2477</v>
      </c>
      <c r="K1700" s="12">
        <v>46121.439710648148</v>
      </c>
      <c r="L1700" s="6" t="e" cm="1">
        <f t="array" ref="L1700">LOOKUP(2^15,SEARCH(Tabela2[Palavras-Chave],Boletim4[[#This Row],[Objeto]],1),Tabela2[Palavras-Chave])</f>
        <v>#N/A</v>
      </c>
    </row>
    <row r="1701" spans="1:12" ht="100.8" hidden="1" x14ac:dyDescent="0.3">
      <c r="A1701" s="5">
        <v>18709926</v>
      </c>
      <c r="B1701" s="6" t="s">
        <v>74</v>
      </c>
      <c r="C1701" s="6" t="s">
        <v>79</v>
      </c>
      <c r="D1701" s="8" t="s">
        <v>80</v>
      </c>
      <c r="E1701" s="6" t="s">
        <v>2472</v>
      </c>
      <c r="F1701" s="6" t="s">
        <v>95</v>
      </c>
      <c r="G1701" s="11" t="s">
        <v>56</v>
      </c>
      <c r="H1701" s="11"/>
      <c r="I1701" s="10" t="s">
        <v>2473</v>
      </c>
      <c r="J1701" s="6" t="s">
        <v>2474</v>
      </c>
      <c r="K1701" s="12">
        <v>46121.439664351848</v>
      </c>
      <c r="L1701" s="6" t="e" cm="1">
        <f t="array" ref="L1701">LOOKUP(2^15,SEARCH(Tabela2[Palavras-Chave],Boletim4[[#This Row],[Objeto]],1),Tabela2[Palavras-Chave])</f>
        <v>#N/A</v>
      </c>
    </row>
    <row r="1702" spans="1:12" ht="100.8" hidden="1" x14ac:dyDescent="0.3">
      <c r="A1702" s="5">
        <v>18715364</v>
      </c>
      <c r="B1702" s="6" t="s">
        <v>74</v>
      </c>
      <c r="C1702" s="6" t="s">
        <v>79</v>
      </c>
      <c r="D1702" s="8" t="s">
        <v>80</v>
      </c>
      <c r="E1702" s="6" t="s">
        <v>2475</v>
      </c>
      <c r="F1702" s="6" t="s">
        <v>95</v>
      </c>
      <c r="G1702" s="11" t="s">
        <v>56</v>
      </c>
      <c r="H1702" s="11"/>
      <c r="I1702" s="10" t="s">
        <v>2476</v>
      </c>
      <c r="J1702" s="6" t="s">
        <v>2477</v>
      </c>
      <c r="K1702" s="12">
        <v>46121.439722222225</v>
      </c>
      <c r="L1702" s="6" t="e" cm="1">
        <f t="array" ref="L1702">LOOKUP(2^15,SEARCH(Tabela2[Palavras-Chave],Boletim4[[#This Row],[Objeto]],1),Tabela2[Palavras-Chave])</f>
        <v>#N/A</v>
      </c>
    </row>
    <row r="1703" spans="1:12" ht="273.60000000000002" hidden="1" x14ac:dyDescent="0.3">
      <c r="A1703" s="5">
        <v>18768050</v>
      </c>
      <c r="B1703" s="6" t="s">
        <v>2593</v>
      </c>
      <c r="C1703" s="6" t="s">
        <v>2594</v>
      </c>
      <c r="D1703" s="8" t="s">
        <v>80</v>
      </c>
      <c r="E1703" s="6" t="s">
        <v>171</v>
      </c>
      <c r="F1703" s="6" t="s">
        <v>95</v>
      </c>
      <c r="G1703" s="11" t="s">
        <v>56</v>
      </c>
      <c r="H1703" s="11"/>
      <c r="I1703" s="10" t="s">
        <v>2595</v>
      </c>
      <c r="J1703" s="6" t="s">
        <v>2596</v>
      </c>
      <c r="K1703" s="12">
        <v>46121.518101851849</v>
      </c>
      <c r="L1703" s="6" t="e" cm="1">
        <f t="array" ref="L1703">LOOKUP(2^15,SEARCH(Tabela2[Palavras-Chave],Boletim4[[#This Row],[Objeto]],1),Tabela2[Palavras-Chave])</f>
        <v>#N/A</v>
      </c>
    </row>
    <row r="1704" spans="1:12" ht="129.6" hidden="1" x14ac:dyDescent="0.3">
      <c r="A1704" s="5">
        <v>18710608</v>
      </c>
      <c r="B1704" s="6" t="s">
        <v>2597</v>
      </c>
      <c r="C1704" s="6" t="s">
        <v>79</v>
      </c>
      <c r="D1704" s="8" t="s">
        <v>80</v>
      </c>
      <c r="E1704" s="6" t="s">
        <v>183</v>
      </c>
      <c r="F1704" s="6" t="s">
        <v>95</v>
      </c>
      <c r="G1704" s="11" t="s">
        <v>56</v>
      </c>
      <c r="H1704" s="11"/>
      <c r="I1704" s="10" t="s">
        <v>2598</v>
      </c>
      <c r="J1704" s="6" t="s">
        <v>2599</v>
      </c>
      <c r="K1704" s="12">
        <v>46121.550729166665</v>
      </c>
      <c r="L1704" s="6" t="e" cm="1">
        <f t="array" ref="L1704">LOOKUP(2^15,SEARCH(Tabela2[Palavras-Chave],Boletim4[[#This Row],[Objeto]],1),Tabela2[Palavras-Chave])</f>
        <v>#N/A</v>
      </c>
    </row>
    <row r="1705" spans="1:12" ht="115.2" hidden="1" x14ac:dyDescent="0.3">
      <c r="A1705" s="5">
        <v>18772524</v>
      </c>
      <c r="B1705" s="6" t="s">
        <v>2600</v>
      </c>
      <c r="C1705" s="6" t="s">
        <v>2601</v>
      </c>
      <c r="D1705" s="8" t="s">
        <v>80</v>
      </c>
      <c r="E1705" s="6" t="s">
        <v>117</v>
      </c>
      <c r="F1705" s="6" t="s">
        <v>95</v>
      </c>
      <c r="G1705" s="11">
        <v>46135.34375</v>
      </c>
      <c r="H1705" s="11"/>
      <c r="I1705" s="10" t="s">
        <v>2602</v>
      </c>
      <c r="J1705" s="6" t="s">
        <v>2603</v>
      </c>
      <c r="K1705" s="12">
        <v>46121.581273148149</v>
      </c>
      <c r="L1705" s="6" t="e" cm="1">
        <f t="array" ref="L1705">LOOKUP(2^15,SEARCH(Tabela2[Palavras-Chave],Boletim4[[#This Row],[Objeto]],1),Tabela2[Palavras-Chave])</f>
        <v>#N/A</v>
      </c>
    </row>
    <row r="1706" spans="1:12" ht="100.8" hidden="1" x14ac:dyDescent="0.3">
      <c r="A1706" s="5">
        <v>18802542</v>
      </c>
      <c r="B1706" s="6" t="s">
        <v>174</v>
      </c>
      <c r="C1706" s="6" t="s">
        <v>104</v>
      </c>
      <c r="D1706" s="8" t="s">
        <v>81</v>
      </c>
      <c r="E1706" s="6" t="s">
        <v>716</v>
      </c>
      <c r="F1706" s="6" t="s">
        <v>95</v>
      </c>
      <c r="G1706" s="11" t="s">
        <v>56</v>
      </c>
      <c r="H1706" s="11"/>
      <c r="I1706" s="10" t="s">
        <v>717</v>
      </c>
      <c r="J1706" s="6" t="s">
        <v>718</v>
      </c>
      <c r="K1706" s="12">
        <v>46121.429907407408</v>
      </c>
      <c r="L1706" s="6" t="e" cm="1">
        <f t="array" ref="L1706">LOOKUP(2^15,SEARCH(Tabela2[Palavras-Chave],Boletim4[[#This Row],[Objeto]],1),Tabela2[Palavras-Chave])</f>
        <v>#N/A</v>
      </c>
    </row>
    <row r="1707" spans="1:12" ht="100.8" hidden="1" x14ac:dyDescent="0.3">
      <c r="A1707" s="5">
        <v>18709927</v>
      </c>
      <c r="B1707" s="6" t="s">
        <v>74</v>
      </c>
      <c r="C1707" s="6" t="s">
        <v>104</v>
      </c>
      <c r="D1707" s="8" t="s">
        <v>81</v>
      </c>
      <c r="E1707" s="6" t="s">
        <v>2472</v>
      </c>
      <c r="F1707" s="6" t="s">
        <v>95</v>
      </c>
      <c r="G1707" s="11" t="s">
        <v>56</v>
      </c>
      <c r="H1707" s="11"/>
      <c r="I1707" s="10" t="s">
        <v>2473</v>
      </c>
      <c r="J1707" s="6" t="s">
        <v>2474</v>
      </c>
      <c r="K1707" s="12">
        <v>46121.439664351848</v>
      </c>
      <c r="L1707" s="6" t="e" cm="1">
        <f t="array" ref="L1707">LOOKUP(2^15,SEARCH(Tabela2[Palavras-Chave],Boletim4[[#This Row],[Objeto]],1),Tabela2[Palavras-Chave])</f>
        <v>#N/A</v>
      </c>
    </row>
    <row r="1708" spans="1:12" ht="100.8" hidden="1" x14ac:dyDescent="0.3">
      <c r="A1708" s="5">
        <v>18715365</v>
      </c>
      <c r="B1708" s="6" t="s">
        <v>74</v>
      </c>
      <c r="C1708" s="6" t="s">
        <v>104</v>
      </c>
      <c r="D1708" s="8" t="s">
        <v>81</v>
      </c>
      <c r="E1708" s="6" t="s">
        <v>2475</v>
      </c>
      <c r="F1708" s="6" t="s">
        <v>95</v>
      </c>
      <c r="G1708" s="11" t="s">
        <v>56</v>
      </c>
      <c r="H1708" s="11"/>
      <c r="I1708" s="10" t="s">
        <v>2476</v>
      </c>
      <c r="J1708" s="6" t="s">
        <v>2477</v>
      </c>
      <c r="K1708" s="12">
        <v>46121.439722222225</v>
      </c>
      <c r="L1708" s="6" t="e" cm="1">
        <f t="array" ref="L1708">LOOKUP(2^15,SEARCH(Tabela2[Palavras-Chave],Boletim4[[#This Row],[Objeto]],1),Tabela2[Palavras-Chave])</f>
        <v>#N/A</v>
      </c>
    </row>
    <row r="1709" spans="1:12" ht="259.2" hidden="1" x14ac:dyDescent="0.3">
      <c r="A1709" s="5">
        <v>18693221</v>
      </c>
      <c r="B1709" s="6" t="s">
        <v>690</v>
      </c>
      <c r="C1709" s="6" t="s">
        <v>691</v>
      </c>
      <c r="D1709" s="8" t="s">
        <v>81</v>
      </c>
      <c r="E1709" s="6" t="s">
        <v>300</v>
      </c>
      <c r="F1709" s="6" t="s">
        <v>95</v>
      </c>
      <c r="G1709" s="11" t="s">
        <v>56</v>
      </c>
      <c r="H1709" s="11"/>
      <c r="I1709" s="10" t="s">
        <v>2604</v>
      </c>
      <c r="J1709" s="6" t="s">
        <v>2605</v>
      </c>
      <c r="K1709" s="12">
        <v>46121.470173611109</v>
      </c>
      <c r="L1709" s="6" t="e" cm="1">
        <f t="array" ref="L1709">LOOKUP(2^15,SEARCH(Tabela2[Palavras-Chave],Boletim4[[#This Row],[Objeto]],1),Tabela2[Palavras-Chave])</f>
        <v>#N/A</v>
      </c>
    </row>
    <row r="1710" spans="1:12" ht="115.2" hidden="1" x14ac:dyDescent="0.3">
      <c r="A1710" s="5">
        <v>18779114</v>
      </c>
      <c r="B1710" s="6" t="s">
        <v>2606</v>
      </c>
      <c r="C1710" s="6" t="s">
        <v>2607</v>
      </c>
      <c r="D1710" s="8" t="s">
        <v>81</v>
      </c>
      <c r="E1710" s="6" t="s">
        <v>505</v>
      </c>
      <c r="F1710" s="6" t="s">
        <v>95</v>
      </c>
      <c r="G1710" s="11">
        <v>46135.374305555553</v>
      </c>
      <c r="H1710" s="11"/>
      <c r="I1710" s="10" t="s">
        <v>2608</v>
      </c>
      <c r="J1710" s="6" t="s">
        <v>2609</v>
      </c>
      <c r="K1710" s="12">
        <v>46121.564618055556</v>
      </c>
      <c r="L1710" s="6" t="e" cm="1">
        <f t="array" ref="L1710">LOOKUP(2^15,SEARCH(Tabela2[Palavras-Chave],Boletim4[[#This Row],[Objeto]],1),Tabela2[Palavras-Chave])</f>
        <v>#N/A</v>
      </c>
    </row>
    <row r="1711" spans="1:12" ht="115.2" hidden="1" x14ac:dyDescent="0.3">
      <c r="A1711" s="5">
        <v>18770175</v>
      </c>
      <c r="B1711" s="6" t="s">
        <v>2610</v>
      </c>
      <c r="C1711" s="6" t="s">
        <v>2611</v>
      </c>
      <c r="D1711" s="8" t="s">
        <v>81</v>
      </c>
      <c r="E1711" s="6" t="s">
        <v>126</v>
      </c>
      <c r="F1711" s="6" t="s">
        <v>95</v>
      </c>
      <c r="G1711" s="11">
        <v>46136.347222222219</v>
      </c>
      <c r="H1711" s="11"/>
      <c r="I1711" s="10" t="s">
        <v>2612</v>
      </c>
      <c r="J1711" s="6" t="s">
        <v>2613</v>
      </c>
      <c r="K1711" s="12">
        <v>46121.582905092589</v>
      </c>
      <c r="L1711" s="6" t="e" cm="1">
        <f t="array" ref="L1711">LOOKUP(2^15,SEARCH(Tabela2[Palavras-Chave],Boletim4[[#This Row],[Objeto]],1),Tabela2[Palavras-Chave])</f>
        <v>#N/A</v>
      </c>
    </row>
    <row r="1712" spans="1:12" ht="28.8" hidden="1" x14ac:dyDescent="0.3">
      <c r="A1712" s="5">
        <v>18771868</v>
      </c>
      <c r="B1712" s="6" t="s">
        <v>3403</v>
      </c>
      <c r="C1712" s="6" t="s">
        <v>3404</v>
      </c>
      <c r="D1712" s="8" t="s">
        <v>81</v>
      </c>
      <c r="E1712" s="6" t="s">
        <v>3405</v>
      </c>
      <c r="F1712" s="6" t="s">
        <v>95</v>
      </c>
      <c r="G1712" s="11">
        <v>46139.354166666664</v>
      </c>
      <c r="H1712" s="11"/>
      <c r="I1712" s="10" t="s">
        <v>3406</v>
      </c>
      <c r="J1712" s="6" t="s">
        <v>3407</v>
      </c>
      <c r="K1712" s="12">
        <v>46121.617442129631</v>
      </c>
      <c r="L1712" s="6" t="e" cm="1">
        <f t="array" ref="L1712">LOOKUP(2^15,SEARCH(Tabela2[Palavras-Chave],Boletim4[[#This Row],[Objeto]],1),Tabela2[Palavras-Chave])</f>
        <v>#N/A</v>
      </c>
    </row>
    <row r="1713" spans="1:12" ht="288" hidden="1" x14ac:dyDescent="0.3">
      <c r="A1713" s="5">
        <v>18789248</v>
      </c>
      <c r="B1713" s="6" t="s">
        <v>2186</v>
      </c>
      <c r="C1713" s="6" t="s">
        <v>2187</v>
      </c>
      <c r="D1713" s="8" t="s">
        <v>81</v>
      </c>
      <c r="E1713" s="6" t="s">
        <v>135</v>
      </c>
      <c r="F1713" s="6" t="s">
        <v>95</v>
      </c>
      <c r="G1713" s="11" t="s">
        <v>56</v>
      </c>
      <c r="H1713" s="11"/>
      <c r="I1713" s="10" t="s">
        <v>2614</v>
      </c>
      <c r="J1713" s="6" t="s">
        <v>2615</v>
      </c>
      <c r="K1713" s="12">
        <v>46121.671863425923</v>
      </c>
      <c r="L1713" s="6" t="e" cm="1">
        <f t="array" ref="L1713">LOOKUP(2^15,SEARCH(Tabela2[Palavras-Chave],Boletim4[[#This Row],[Objeto]],1),Tabela2[Palavras-Chave])</f>
        <v>#N/A</v>
      </c>
    </row>
    <row r="1714" spans="1:12" ht="100.8" hidden="1" x14ac:dyDescent="0.3">
      <c r="A1714" s="5">
        <v>18795523</v>
      </c>
      <c r="B1714" s="6" t="s">
        <v>579</v>
      </c>
      <c r="C1714" s="6" t="s">
        <v>580</v>
      </c>
      <c r="D1714" s="8" t="s">
        <v>93</v>
      </c>
      <c r="E1714" s="6" t="s">
        <v>115</v>
      </c>
      <c r="F1714" s="6" t="s">
        <v>95</v>
      </c>
      <c r="G1714" s="11" t="s">
        <v>56</v>
      </c>
      <c r="H1714" s="11"/>
      <c r="I1714" s="10" t="s">
        <v>581</v>
      </c>
      <c r="J1714" s="6" t="s">
        <v>582</v>
      </c>
      <c r="K1714" s="12">
        <v>46121.38821759259</v>
      </c>
      <c r="L1714" s="6" t="e" cm="1">
        <f t="array" ref="L1714">LOOKUP(2^15,SEARCH(Tabela2[Palavras-Chave],Boletim4[[#This Row],[Objeto]],1),Tabela2[Palavras-Chave])</f>
        <v>#N/A</v>
      </c>
    </row>
    <row r="1715" spans="1:12" ht="100.8" hidden="1" x14ac:dyDescent="0.3">
      <c r="A1715" s="5">
        <v>18709929</v>
      </c>
      <c r="B1715" s="6" t="s">
        <v>74</v>
      </c>
      <c r="C1715" s="6" t="s">
        <v>160</v>
      </c>
      <c r="D1715" s="8" t="s">
        <v>93</v>
      </c>
      <c r="E1715" s="6" t="s">
        <v>2472</v>
      </c>
      <c r="F1715" s="6" t="s">
        <v>95</v>
      </c>
      <c r="G1715" s="11" t="s">
        <v>56</v>
      </c>
      <c r="H1715" s="11"/>
      <c r="I1715" s="10" t="s">
        <v>2473</v>
      </c>
      <c r="J1715" s="6" t="s">
        <v>2474</v>
      </c>
      <c r="K1715" s="12">
        <v>46121.439664351848</v>
      </c>
      <c r="L1715" s="6" t="e" cm="1">
        <f t="array" ref="L1715">LOOKUP(2^15,SEARCH(Tabela2[Palavras-Chave],Boletim4[[#This Row],[Objeto]],1),Tabela2[Palavras-Chave])</f>
        <v>#N/A</v>
      </c>
    </row>
    <row r="1716" spans="1:12" ht="100.8" hidden="1" x14ac:dyDescent="0.3">
      <c r="A1716" s="5">
        <v>18715366</v>
      </c>
      <c r="B1716" s="6" t="s">
        <v>74</v>
      </c>
      <c r="C1716" s="6" t="s">
        <v>160</v>
      </c>
      <c r="D1716" s="8" t="s">
        <v>93</v>
      </c>
      <c r="E1716" s="6" t="s">
        <v>2475</v>
      </c>
      <c r="F1716" s="6" t="s">
        <v>95</v>
      </c>
      <c r="G1716" s="11" t="s">
        <v>56</v>
      </c>
      <c r="H1716" s="11"/>
      <c r="I1716" s="10" t="s">
        <v>2476</v>
      </c>
      <c r="J1716" s="6" t="s">
        <v>2477</v>
      </c>
      <c r="K1716" s="12">
        <v>46121.439722222225</v>
      </c>
      <c r="L1716" s="6" t="e" cm="1">
        <f t="array" ref="L1716">LOOKUP(2^15,SEARCH(Tabela2[Palavras-Chave],Boletim4[[#This Row],[Objeto]],1),Tabela2[Palavras-Chave])</f>
        <v>#N/A</v>
      </c>
    </row>
    <row r="1717" spans="1:12" ht="100.8" hidden="1" x14ac:dyDescent="0.3">
      <c r="A1717" s="5">
        <v>18657365</v>
      </c>
      <c r="B1717" s="6" t="s">
        <v>2616</v>
      </c>
      <c r="C1717" s="6" t="s">
        <v>2617</v>
      </c>
      <c r="D1717" s="8" t="s">
        <v>93</v>
      </c>
      <c r="E1717" s="6" t="s">
        <v>117</v>
      </c>
      <c r="F1717" s="6" t="s">
        <v>95</v>
      </c>
      <c r="G1717" s="11" t="s">
        <v>56</v>
      </c>
      <c r="H1717" s="11"/>
      <c r="I1717" s="10" t="s">
        <v>2618</v>
      </c>
      <c r="J1717" s="6" t="s">
        <v>2619</v>
      </c>
      <c r="K1717" s="12">
        <v>46121.466423611113</v>
      </c>
      <c r="L1717" s="6" t="e" cm="1">
        <f t="array" ref="L1717">LOOKUP(2^15,SEARCH(Tabela2[Palavras-Chave],Boletim4[[#This Row],[Objeto]],1),Tabela2[Palavras-Chave])</f>
        <v>#N/A</v>
      </c>
    </row>
    <row r="1718" spans="1:12" ht="129.6" hidden="1" x14ac:dyDescent="0.3">
      <c r="A1718" s="5">
        <v>18746202</v>
      </c>
      <c r="B1718" s="6" t="s">
        <v>3408</v>
      </c>
      <c r="C1718" s="6" t="s">
        <v>160</v>
      </c>
      <c r="D1718" s="8" t="s">
        <v>93</v>
      </c>
      <c r="E1718" s="6" t="s">
        <v>120</v>
      </c>
      <c r="F1718" s="6" t="s">
        <v>95</v>
      </c>
      <c r="G1718" s="11">
        <v>46135.34375</v>
      </c>
      <c r="H1718" s="11"/>
      <c r="I1718" s="10" t="s">
        <v>3409</v>
      </c>
      <c r="J1718" s="6" t="s">
        <v>3410</v>
      </c>
      <c r="K1718" s="12">
        <v>46121.684201388889</v>
      </c>
      <c r="L1718" s="6" t="e" cm="1">
        <f t="array" ref="L1718">LOOKUP(2^15,SEARCH(Tabela2[Palavras-Chave],Boletim4[[#This Row],[Objeto]],1),Tabela2[Palavras-Chave])</f>
        <v>#N/A</v>
      </c>
    </row>
    <row r="1719" spans="1:12" ht="72" hidden="1" x14ac:dyDescent="0.3">
      <c r="A1719" s="5">
        <v>18520560</v>
      </c>
      <c r="B1719" s="6" t="s">
        <v>74</v>
      </c>
      <c r="C1719" s="6" t="s">
        <v>83</v>
      </c>
      <c r="D1719" s="8" t="s">
        <v>82</v>
      </c>
      <c r="E1719" s="6" t="s">
        <v>2576</v>
      </c>
      <c r="F1719" s="6" t="s">
        <v>95</v>
      </c>
      <c r="G1719" s="11" t="s">
        <v>56</v>
      </c>
      <c r="H1719" s="11"/>
      <c r="I1719" s="10" t="s">
        <v>2577</v>
      </c>
      <c r="J1719" s="6" t="s">
        <v>2578</v>
      </c>
      <c r="K1719" s="12">
        <v>46121.438935185186</v>
      </c>
      <c r="L1719" s="6" t="e" cm="1">
        <f t="array" ref="L1719">LOOKUP(2^15,SEARCH(Tabela2[Palavras-Chave],Boletim4[[#This Row],[Objeto]],1),Tabela2[Palavras-Chave])</f>
        <v>#N/A</v>
      </c>
    </row>
    <row r="1720" spans="1:12" ht="100.8" hidden="1" x14ac:dyDescent="0.3">
      <c r="A1720" s="5">
        <v>18709931</v>
      </c>
      <c r="B1720" s="6" t="s">
        <v>74</v>
      </c>
      <c r="C1720" s="6" t="s">
        <v>83</v>
      </c>
      <c r="D1720" s="8" t="s">
        <v>82</v>
      </c>
      <c r="E1720" s="6" t="s">
        <v>2472</v>
      </c>
      <c r="F1720" s="6" t="s">
        <v>95</v>
      </c>
      <c r="G1720" s="11" t="s">
        <v>56</v>
      </c>
      <c r="H1720" s="11"/>
      <c r="I1720" s="10" t="s">
        <v>2473</v>
      </c>
      <c r="J1720" s="6" t="s">
        <v>2474</v>
      </c>
      <c r="K1720" s="12">
        <v>46121.439675925925</v>
      </c>
      <c r="L1720" s="6" t="e" cm="1">
        <f t="array" ref="L1720">LOOKUP(2^15,SEARCH(Tabela2[Palavras-Chave],Boletim4[[#This Row],[Objeto]],1),Tabela2[Palavras-Chave])</f>
        <v>#N/A</v>
      </c>
    </row>
    <row r="1721" spans="1:12" ht="100.8" hidden="1" x14ac:dyDescent="0.3">
      <c r="A1721" s="5">
        <v>18715368</v>
      </c>
      <c r="B1721" s="6" t="s">
        <v>74</v>
      </c>
      <c r="C1721" s="6" t="s">
        <v>83</v>
      </c>
      <c r="D1721" s="8" t="s">
        <v>82</v>
      </c>
      <c r="E1721" s="6" t="s">
        <v>2475</v>
      </c>
      <c r="F1721" s="6" t="s">
        <v>95</v>
      </c>
      <c r="G1721" s="11" t="s">
        <v>56</v>
      </c>
      <c r="H1721" s="11"/>
      <c r="I1721" s="10" t="s">
        <v>2476</v>
      </c>
      <c r="J1721" s="6" t="s">
        <v>2477</v>
      </c>
      <c r="K1721" s="12">
        <v>46121.439722222225</v>
      </c>
      <c r="L1721" s="6" t="e" cm="1">
        <f t="array" ref="L1721">LOOKUP(2^15,SEARCH(Tabela2[Palavras-Chave],Boletim4[[#This Row],[Objeto]],1),Tabela2[Palavras-Chave])</f>
        <v>#N/A</v>
      </c>
    </row>
    <row r="1722" spans="1:12" ht="72" hidden="1" x14ac:dyDescent="0.3">
      <c r="A1722" s="5">
        <v>18770026</v>
      </c>
      <c r="B1722" s="6" t="s">
        <v>74</v>
      </c>
      <c r="C1722" s="6" t="s">
        <v>83</v>
      </c>
      <c r="D1722" s="8" t="s">
        <v>82</v>
      </c>
      <c r="E1722" s="6" t="s">
        <v>2579</v>
      </c>
      <c r="F1722" s="6" t="s">
        <v>95</v>
      </c>
      <c r="G1722" s="11" t="s">
        <v>56</v>
      </c>
      <c r="H1722" s="11"/>
      <c r="I1722" s="10" t="s">
        <v>2580</v>
      </c>
      <c r="J1722" s="6" t="s">
        <v>2581</v>
      </c>
      <c r="K1722" s="12">
        <v>46121.441006944442</v>
      </c>
      <c r="L1722" s="6" t="e" cm="1">
        <f t="array" ref="L1722">LOOKUP(2^15,SEARCH(Tabela2[Palavras-Chave],Boletim4[[#This Row],[Objeto]],1),Tabela2[Palavras-Chave])</f>
        <v>#N/A</v>
      </c>
    </row>
    <row r="1723" spans="1:12" ht="72" hidden="1" x14ac:dyDescent="0.3">
      <c r="A1723" s="5">
        <v>18790079</v>
      </c>
      <c r="B1723" s="6" t="s">
        <v>74</v>
      </c>
      <c r="C1723" s="6" t="s">
        <v>83</v>
      </c>
      <c r="D1723" s="8" t="s">
        <v>82</v>
      </c>
      <c r="E1723" s="6" t="s">
        <v>2492</v>
      </c>
      <c r="F1723" s="6" t="s">
        <v>95</v>
      </c>
      <c r="G1723" s="11" t="s">
        <v>56</v>
      </c>
      <c r="H1723" s="11"/>
      <c r="I1723" s="10" t="s">
        <v>2493</v>
      </c>
      <c r="J1723" s="6" t="s">
        <v>2494</v>
      </c>
      <c r="K1723" s="12">
        <v>46121.441030092596</v>
      </c>
      <c r="L1723" s="6" t="e" cm="1">
        <f t="array" ref="L1723">LOOKUP(2^15,SEARCH(Tabela2[Palavras-Chave],Boletim4[[#This Row],[Objeto]],1),Tabela2[Palavras-Chave])</f>
        <v>#N/A</v>
      </c>
    </row>
    <row r="1724" spans="1:12" ht="302.39999999999998" hidden="1" x14ac:dyDescent="0.3">
      <c r="A1724" s="5">
        <v>18110739</v>
      </c>
      <c r="B1724" s="6" t="s">
        <v>3411</v>
      </c>
      <c r="C1724" s="6" t="s">
        <v>3412</v>
      </c>
      <c r="D1724" s="8" t="s">
        <v>82</v>
      </c>
      <c r="E1724" s="6" t="s">
        <v>3413</v>
      </c>
      <c r="F1724" s="6" t="s">
        <v>95</v>
      </c>
      <c r="G1724" s="11" t="s">
        <v>56</v>
      </c>
      <c r="H1724" s="11"/>
      <c r="I1724" s="10" t="s">
        <v>3414</v>
      </c>
      <c r="J1724" s="6" t="s">
        <v>3415</v>
      </c>
      <c r="K1724" s="12">
        <v>46121.502800925926</v>
      </c>
      <c r="L1724" s="6" t="e" cm="1">
        <f t="array" ref="L1724">LOOKUP(2^15,SEARCH(Tabela2[Palavras-Chave],Boletim4[[#This Row],[Objeto]],1),Tabela2[Palavras-Chave])</f>
        <v>#N/A</v>
      </c>
    </row>
    <row r="1725" spans="1:12" ht="100.8" hidden="1" x14ac:dyDescent="0.3">
      <c r="A1725" s="5">
        <v>18660046</v>
      </c>
      <c r="B1725" s="6" t="s">
        <v>2620</v>
      </c>
      <c r="C1725" s="6" t="s">
        <v>2621</v>
      </c>
      <c r="D1725" s="8" t="s">
        <v>82</v>
      </c>
      <c r="E1725" s="6" t="s">
        <v>152</v>
      </c>
      <c r="F1725" s="6" t="s">
        <v>95</v>
      </c>
      <c r="G1725" s="11" t="s">
        <v>56</v>
      </c>
      <c r="H1725" s="11"/>
      <c r="I1725" s="10" t="s">
        <v>2622</v>
      </c>
      <c r="J1725" s="6" t="s">
        <v>2623</v>
      </c>
      <c r="K1725" s="12">
        <v>46121.575775462959</v>
      </c>
      <c r="L1725" s="6" t="e" cm="1">
        <f t="array" ref="L1725">LOOKUP(2^15,SEARCH(Tabela2[Palavras-Chave],Boletim4[[#This Row],[Objeto]],1),Tabela2[Palavras-Chave])</f>
        <v>#N/A</v>
      </c>
    </row>
    <row r="1726" spans="1:12" ht="100.8" hidden="1" x14ac:dyDescent="0.3">
      <c r="A1726" s="5">
        <v>18769849</v>
      </c>
      <c r="B1726" s="6" t="s">
        <v>2624</v>
      </c>
      <c r="C1726" s="6" t="s">
        <v>2625</v>
      </c>
      <c r="D1726" s="8" t="s">
        <v>82</v>
      </c>
      <c r="E1726" s="6" t="s">
        <v>240</v>
      </c>
      <c r="F1726" s="6" t="s">
        <v>95</v>
      </c>
      <c r="G1726" s="11" t="s">
        <v>56</v>
      </c>
      <c r="H1726" s="11"/>
      <c r="I1726" s="10" t="s">
        <v>2626</v>
      </c>
      <c r="J1726" s="6" t="s">
        <v>2627</v>
      </c>
      <c r="K1726" s="12">
        <v>46121.727824074071</v>
      </c>
      <c r="L1726" s="6" t="e" cm="1">
        <f t="array" ref="L1726">LOOKUP(2^15,SEARCH(Tabela2[Palavras-Chave],Boletim4[[#This Row],[Objeto]],1),Tabela2[Palavras-Chave])</f>
        <v>#N/A</v>
      </c>
    </row>
    <row r="1727" spans="1:12" ht="100.8" hidden="1" x14ac:dyDescent="0.3">
      <c r="A1727" s="5">
        <v>18736762</v>
      </c>
      <c r="B1727" s="6" t="s">
        <v>2628</v>
      </c>
      <c r="C1727" s="6" t="s">
        <v>2629</v>
      </c>
      <c r="D1727" s="8" t="s">
        <v>82</v>
      </c>
      <c r="E1727" s="6" t="s">
        <v>117</v>
      </c>
      <c r="F1727" s="6" t="s">
        <v>95</v>
      </c>
      <c r="G1727" s="11" t="s">
        <v>56</v>
      </c>
      <c r="H1727" s="11"/>
      <c r="I1727" s="10" t="s">
        <v>2630</v>
      </c>
      <c r="J1727" s="6" t="s">
        <v>2631</v>
      </c>
      <c r="K1727" s="12">
        <v>46121.73201388889</v>
      </c>
      <c r="L1727" s="6" t="e" cm="1">
        <f t="array" ref="L1727">LOOKUP(2^15,SEARCH(Tabela2[Palavras-Chave],Boletim4[[#This Row],[Objeto]],1),Tabela2[Palavras-Chave])</f>
        <v>#N/A</v>
      </c>
    </row>
    <row r="1728" spans="1:12" ht="28.8" hidden="1" x14ac:dyDescent="0.3">
      <c r="A1728" s="5">
        <v>18624643</v>
      </c>
      <c r="B1728" s="6" t="s">
        <v>316</v>
      </c>
      <c r="C1728" s="6" t="s">
        <v>235</v>
      </c>
      <c r="D1728" s="8" t="s">
        <v>82</v>
      </c>
      <c r="E1728" s="6" t="s">
        <v>329</v>
      </c>
      <c r="F1728" s="6" t="s">
        <v>95</v>
      </c>
      <c r="G1728" s="11">
        <v>46128.354166666664</v>
      </c>
      <c r="H1728" s="11"/>
      <c r="I1728" s="10" t="s">
        <v>3416</v>
      </c>
      <c r="J1728" s="6" t="s">
        <v>138</v>
      </c>
      <c r="K1728" s="12">
        <v>46121.791192129633</v>
      </c>
      <c r="L1728" s="6" t="e" cm="1">
        <f t="array" ref="L1728">LOOKUP(2^15,SEARCH(Tabela2[Palavras-Chave],Boletim4[[#This Row],[Objeto]],1),Tabela2[Palavras-Chave])</f>
        <v>#N/A</v>
      </c>
    </row>
    <row r="1729" spans="1:12" ht="100.8" hidden="1" x14ac:dyDescent="0.3">
      <c r="A1729" s="5">
        <v>18789900</v>
      </c>
      <c r="B1729" s="6" t="s">
        <v>2632</v>
      </c>
      <c r="C1729" s="6" t="s">
        <v>2633</v>
      </c>
      <c r="D1729" s="8" t="s">
        <v>82</v>
      </c>
      <c r="E1729" s="6" t="s">
        <v>441</v>
      </c>
      <c r="F1729" s="6" t="s">
        <v>95</v>
      </c>
      <c r="G1729" s="11" t="s">
        <v>56</v>
      </c>
      <c r="H1729" s="11"/>
      <c r="I1729" s="10" t="s">
        <v>2634</v>
      </c>
      <c r="J1729" s="6" t="s">
        <v>2635</v>
      </c>
      <c r="K1729" s="12">
        <v>46121.816574074073</v>
      </c>
      <c r="L1729" s="6" t="e" cm="1">
        <f t="array" ref="L1729">LOOKUP(2^15,SEARCH(Tabela2[Palavras-Chave],Boletim4[[#This Row],[Objeto]],1),Tabela2[Palavras-Chave])</f>
        <v>#N/A</v>
      </c>
    </row>
    <row r="1730" spans="1:12" ht="43.2" hidden="1" x14ac:dyDescent="0.3">
      <c r="A1730" s="5">
        <v>18806301</v>
      </c>
      <c r="B1730" s="6" t="s">
        <v>251</v>
      </c>
      <c r="C1730" s="6" t="s">
        <v>252</v>
      </c>
      <c r="D1730" s="8" t="s">
        <v>82</v>
      </c>
      <c r="E1730" s="6" t="s">
        <v>108</v>
      </c>
      <c r="F1730" s="6" t="s">
        <v>95</v>
      </c>
      <c r="G1730" s="11">
        <v>46181.375</v>
      </c>
      <c r="H1730" s="11"/>
      <c r="I1730" s="10" t="s">
        <v>384</v>
      </c>
      <c r="J1730" s="6" t="s">
        <v>385</v>
      </c>
      <c r="K1730" s="12">
        <v>46121.858564814815</v>
      </c>
      <c r="L1730" s="6" t="e" cm="1">
        <f t="array" ref="L1730">LOOKUP(2^15,SEARCH(Tabela2[Palavras-Chave],Boletim4[[#This Row],[Objeto]],1),Tabela2[Palavras-Chave])</f>
        <v>#N/A</v>
      </c>
    </row>
    <row r="1731" spans="1:12" ht="100.8" hidden="1" x14ac:dyDescent="0.3">
      <c r="A1731" s="5">
        <v>18709932</v>
      </c>
      <c r="B1731" s="6" t="s">
        <v>74</v>
      </c>
      <c r="C1731" s="6" t="s">
        <v>2429</v>
      </c>
      <c r="D1731" s="8" t="s">
        <v>84</v>
      </c>
      <c r="E1731" s="6" t="s">
        <v>2472</v>
      </c>
      <c r="F1731" s="6" t="s">
        <v>95</v>
      </c>
      <c r="G1731" s="11" t="s">
        <v>56</v>
      </c>
      <c r="H1731" s="11"/>
      <c r="I1731" s="10" t="s">
        <v>2473</v>
      </c>
      <c r="J1731" s="6" t="s">
        <v>2474</v>
      </c>
      <c r="K1731" s="12">
        <v>46121.439675925925</v>
      </c>
      <c r="L1731" s="6" t="e" cm="1">
        <f t="array" ref="L1731">LOOKUP(2^15,SEARCH(Tabela2[Palavras-Chave],Boletim4[[#This Row],[Objeto]],1),Tabela2[Palavras-Chave])</f>
        <v>#N/A</v>
      </c>
    </row>
    <row r="1732" spans="1:12" ht="100.8" hidden="1" x14ac:dyDescent="0.3">
      <c r="A1732" s="5">
        <v>18715369</v>
      </c>
      <c r="B1732" s="6" t="s">
        <v>74</v>
      </c>
      <c r="C1732" s="6" t="s">
        <v>2429</v>
      </c>
      <c r="D1732" s="8" t="s">
        <v>84</v>
      </c>
      <c r="E1732" s="6" t="s">
        <v>2475</v>
      </c>
      <c r="F1732" s="6" t="s">
        <v>95</v>
      </c>
      <c r="G1732" s="11" t="s">
        <v>56</v>
      </c>
      <c r="H1732" s="11"/>
      <c r="I1732" s="10" t="s">
        <v>2476</v>
      </c>
      <c r="J1732" s="6" t="s">
        <v>2477</v>
      </c>
      <c r="K1732" s="12">
        <v>46121.439722222225</v>
      </c>
      <c r="L1732" s="6" t="e" cm="1">
        <f t="array" ref="L1732">LOOKUP(2^15,SEARCH(Tabela2[Palavras-Chave],Boletim4[[#This Row],[Objeto]],1),Tabela2[Palavras-Chave])</f>
        <v>#N/A</v>
      </c>
    </row>
    <row r="1733" spans="1:12" ht="100.8" hidden="1" x14ac:dyDescent="0.3">
      <c r="A1733" s="5">
        <v>18768720</v>
      </c>
      <c r="B1733" s="6" t="s">
        <v>2636</v>
      </c>
      <c r="C1733" s="6" t="s">
        <v>2637</v>
      </c>
      <c r="D1733" s="8" t="s">
        <v>64</v>
      </c>
      <c r="E1733" s="6" t="s">
        <v>307</v>
      </c>
      <c r="F1733" s="6" t="s">
        <v>184</v>
      </c>
      <c r="G1733" s="11">
        <v>46134.334027777775</v>
      </c>
      <c r="H1733" s="11"/>
      <c r="I1733" s="10" t="s">
        <v>2638</v>
      </c>
      <c r="J1733" s="6" t="s">
        <v>2639</v>
      </c>
      <c r="K1733" s="12">
        <v>46121.575729166667</v>
      </c>
      <c r="L1733" s="6" t="e" cm="1">
        <f t="array" ref="L1733">LOOKUP(2^15,SEARCH(Tabela2[Palavras-Chave],Boletim4[[#This Row],[Objeto]],1),Tabela2[Palavras-Chave])</f>
        <v>#N/A</v>
      </c>
    </row>
    <row r="1734" spans="1:12" ht="158.4" hidden="1" x14ac:dyDescent="0.3">
      <c r="A1734" s="5">
        <v>18761147</v>
      </c>
      <c r="B1734" s="6" t="s">
        <v>2640</v>
      </c>
      <c r="C1734" s="6" t="s">
        <v>194</v>
      </c>
      <c r="D1734" s="8" t="s">
        <v>66</v>
      </c>
      <c r="E1734" s="6" t="s">
        <v>2641</v>
      </c>
      <c r="F1734" s="6" t="s">
        <v>184</v>
      </c>
      <c r="G1734" s="11">
        <v>46139.333333333336</v>
      </c>
      <c r="H1734" s="11"/>
      <c r="I1734" s="10" t="s">
        <v>2642</v>
      </c>
      <c r="J1734" s="6" t="s">
        <v>2643</v>
      </c>
      <c r="K1734" s="12">
        <v>46121.534085648149</v>
      </c>
      <c r="L1734" s="6" t="e" cm="1">
        <f t="array" ref="L1734">LOOKUP(2^15,SEARCH(Tabela2[Palavras-Chave],Boletim4[[#This Row],[Objeto]],1),Tabela2[Palavras-Chave])</f>
        <v>#N/A</v>
      </c>
    </row>
    <row r="1735" spans="1:12" ht="115.2" hidden="1" x14ac:dyDescent="0.3">
      <c r="A1735" s="5">
        <v>18806966</v>
      </c>
      <c r="B1735" s="6" t="s">
        <v>2644</v>
      </c>
      <c r="C1735" s="6" t="s">
        <v>2645</v>
      </c>
      <c r="D1735" s="8" t="s">
        <v>77</v>
      </c>
      <c r="E1735" s="6" t="s">
        <v>135</v>
      </c>
      <c r="F1735" s="6" t="s">
        <v>184</v>
      </c>
      <c r="G1735" s="11">
        <v>46134.333333333336</v>
      </c>
      <c r="H1735" s="11"/>
      <c r="I1735" s="10" t="s">
        <v>2646</v>
      </c>
      <c r="J1735" s="6" t="s">
        <v>2647</v>
      </c>
      <c r="K1735" s="12">
        <v>46121.583425925928</v>
      </c>
      <c r="L1735" s="6" t="e" cm="1">
        <f t="array" ref="L1735">LOOKUP(2^15,SEARCH(Tabela2[Palavras-Chave],Boletim4[[#This Row],[Objeto]],1),Tabela2[Palavras-Chave])</f>
        <v>#N/A</v>
      </c>
    </row>
    <row r="1736" spans="1:12" ht="129.6" hidden="1" x14ac:dyDescent="0.3">
      <c r="A1736" s="5">
        <v>18780924</v>
      </c>
      <c r="B1736" s="6" t="s">
        <v>2648</v>
      </c>
      <c r="C1736" s="6" t="s">
        <v>2649</v>
      </c>
      <c r="D1736" s="8" t="s">
        <v>82</v>
      </c>
      <c r="E1736" s="6" t="s">
        <v>202</v>
      </c>
      <c r="F1736" s="6" t="s">
        <v>184</v>
      </c>
      <c r="G1736" s="11">
        <v>46129.354166666664</v>
      </c>
      <c r="H1736" s="11"/>
      <c r="I1736" s="10" t="s">
        <v>2650</v>
      </c>
      <c r="J1736" s="6" t="s">
        <v>2651</v>
      </c>
      <c r="K1736" s="12">
        <v>46121.635474537034</v>
      </c>
      <c r="L1736" s="6" t="e" cm="1">
        <f t="array" ref="L1736">LOOKUP(2^15,SEARCH(Tabela2[Palavras-Chave],Boletim4[[#This Row],[Objeto]],1),Tabela2[Palavras-Chave])</f>
        <v>#N/A</v>
      </c>
    </row>
    <row r="1737" spans="1:12" ht="201.6" hidden="1" x14ac:dyDescent="0.3">
      <c r="A1737" s="5">
        <v>18743749</v>
      </c>
      <c r="B1737" s="6" t="s">
        <v>2628</v>
      </c>
      <c r="C1737" s="6" t="s">
        <v>2629</v>
      </c>
      <c r="D1737" s="8" t="s">
        <v>82</v>
      </c>
      <c r="E1737" s="6" t="s">
        <v>109</v>
      </c>
      <c r="F1737" s="6" t="s">
        <v>184</v>
      </c>
      <c r="G1737" s="11" t="s">
        <v>56</v>
      </c>
      <c r="H1737" s="11"/>
      <c r="I1737" s="10" t="s">
        <v>3417</v>
      </c>
      <c r="J1737" s="6" t="s">
        <v>3418</v>
      </c>
      <c r="K1737" s="12">
        <v>46121.634467592594</v>
      </c>
      <c r="L1737" s="6" t="e" cm="1">
        <f t="array" ref="L1737">LOOKUP(2^15,SEARCH(Tabela2[Palavras-Chave],Boletim4[[#This Row],[Objeto]],1),Tabela2[Palavras-Chave])</f>
        <v>#N/A</v>
      </c>
    </row>
    <row r="1738" spans="1:12" ht="259.2" hidden="1" x14ac:dyDescent="0.3">
      <c r="A1738" s="5">
        <v>18734079</v>
      </c>
      <c r="B1738" s="6" t="s">
        <v>197</v>
      </c>
      <c r="C1738" s="6" t="s">
        <v>198</v>
      </c>
      <c r="D1738" s="8" t="s">
        <v>64</v>
      </c>
      <c r="E1738" s="6" t="s">
        <v>450</v>
      </c>
      <c r="F1738" s="6" t="s">
        <v>96</v>
      </c>
      <c r="G1738" s="11" t="s">
        <v>56</v>
      </c>
      <c r="H1738" s="11"/>
      <c r="I1738" s="10" t="s">
        <v>2652</v>
      </c>
      <c r="J1738" s="6" t="s">
        <v>2653</v>
      </c>
      <c r="K1738" s="12">
        <v>46121.615347222221</v>
      </c>
      <c r="L1738" s="6" t="e" cm="1">
        <f t="array" ref="L1738">LOOKUP(2^15,SEARCH(Tabela2[Palavras-Chave],Boletim4[[#This Row],[Objeto]],1),Tabela2[Palavras-Chave])</f>
        <v>#N/A</v>
      </c>
    </row>
    <row r="1739" spans="1:12" ht="158.4" hidden="1" x14ac:dyDescent="0.3">
      <c r="A1739" s="5">
        <v>18756821</v>
      </c>
      <c r="B1739" s="6" t="s">
        <v>2654</v>
      </c>
      <c r="C1739" s="6" t="s">
        <v>2655</v>
      </c>
      <c r="D1739" s="8" t="s">
        <v>66</v>
      </c>
      <c r="E1739" s="6" t="s">
        <v>451</v>
      </c>
      <c r="F1739" s="6" t="s">
        <v>96</v>
      </c>
      <c r="G1739" s="11">
        <v>46140.416666666664</v>
      </c>
      <c r="H1739" s="11"/>
      <c r="I1739" s="10" t="s">
        <v>2656</v>
      </c>
      <c r="J1739" s="6" t="s">
        <v>2657</v>
      </c>
      <c r="K1739" s="12">
        <v>46121.534062500003</v>
      </c>
      <c r="L1739" s="6" t="e" cm="1">
        <f t="array" ref="L1739">LOOKUP(2^15,SEARCH(Tabela2[Palavras-Chave],Boletim4[[#This Row],[Objeto]],1),Tabela2[Palavras-Chave])</f>
        <v>#N/A</v>
      </c>
    </row>
    <row r="1740" spans="1:12" ht="230.4" hidden="1" x14ac:dyDescent="0.3">
      <c r="A1740" s="5">
        <v>18733827</v>
      </c>
      <c r="B1740" s="6" t="s">
        <v>2658</v>
      </c>
      <c r="C1740" s="6" t="s">
        <v>130</v>
      </c>
      <c r="D1740" s="8" t="s">
        <v>68</v>
      </c>
      <c r="E1740" s="6" t="s">
        <v>2659</v>
      </c>
      <c r="F1740" s="6" t="s">
        <v>96</v>
      </c>
      <c r="G1740" s="11" t="s">
        <v>56</v>
      </c>
      <c r="H1740" s="11"/>
      <c r="I1740" s="10" t="s">
        <v>2660</v>
      </c>
      <c r="J1740" s="6" t="s">
        <v>2661</v>
      </c>
      <c r="K1740" s="12">
        <v>46121.761840277781</v>
      </c>
      <c r="L1740" s="6" t="e" cm="1">
        <f t="array" ref="L1740">LOOKUP(2^15,SEARCH(Tabela2[Palavras-Chave],Boletim4[[#This Row],[Objeto]],1),Tabela2[Palavras-Chave])</f>
        <v>#N/A</v>
      </c>
    </row>
    <row r="1741" spans="1:12" ht="273.60000000000002" hidden="1" x14ac:dyDescent="0.3">
      <c r="A1741" s="5">
        <v>18633854</v>
      </c>
      <c r="B1741" s="6" t="s">
        <v>3419</v>
      </c>
      <c r="C1741" s="6" t="s">
        <v>472</v>
      </c>
      <c r="D1741" s="8" t="s">
        <v>72</v>
      </c>
      <c r="E1741" s="6" t="s">
        <v>148</v>
      </c>
      <c r="F1741" s="6" t="s">
        <v>96</v>
      </c>
      <c r="G1741" s="11" t="s">
        <v>56</v>
      </c>
      <c r="H1741" s="11"/>
      <c r="I1741" s="10" t="s">
        <v>3420</v>
      </c>
      <c r="J1741" s="6" t="s">
        <v>3421</v>
      </c>
      <c r="K1741" s="12">
        <v>46121.514618055553</v>
      </c>
      <c r="L1741" s="6" t="e" cm="1">
        <f t="array" ref="L1741">LOOKUP(2^15,SEARCH(Tabela2[Palavras-Chave],Boletim4[[#This Row],[Objeto]],1),Tabela2[Palavras-Chave])</f>
        <v>#N/A</v>
      </c>
    </row>
    <row r="1742" spans="1:12" ht="409.6" hidden="1" x14ac:dyDescent="0.3">
      <c r="A1742" s="5">
        <v>18685585</v>
      </c>
      <c r="B1742" s="6" t="s">
        <v>2662</v>
      </c>
      <c r="C1742" s="6" t="s">
        <v>136</v>
      </c>
      <c r="D1742" s="8" t="s">
        <v>78</v>
      </c>
      <c r="E1742" s="6" t="s">
        <v>2663</v>
      </c>
      <c r="F1742" s="6" t="s">
        <v>96</v>
      </c>
      <c r="G1742" s="11">
        <v>46139.416666666664</v>
      </c>
      <c r="H1742" s="11"/>
      <c r="I1742" s="10" t="s">
        <v>2664</v>
      </c>
      <c r="J1742" s="6" t="s">
        <v>2665</v>
      </c>
      <c r="K1742" s="12">
        <v>46121.569537037038</v>
      </c>
      <c r="L1742" s="6" t="e" cm="1">
        <f t="array" ref="L1742">LOOKUP(2^15,SEARCH(Tabela2[Palavras-Chave],Boletim4[[#This Row],[Objeto]],1),Tabela2[Palavras-Chave])</f>
        <v>#N/A</v>
      </c>
    </row>
    <row r="1743" spans="1:12" ht="302.39999999999998" hidden="1" x14ac:dyDescent="0.3">
      <c r="A1743" s="5">
        <v>18466690</v>
      </c>
      <c r="B1743" s="6" t="s">
        <v>2666</v>
      </c>
      <c r="C1743" s="6" t="s">
        <v>2667</v>
      </c>
      <c r="D1743" s="8" t="s">
        <v>78</v>
      </c>
      <c r="E1743" s="6" t="s">
        <v>2668</v>
      </c>
      <c r="F1743" s="6" t="s">
        <v>96</v>
      </c>
      <c r="G1743" s="11">
        <v>46139.375</v>
      </c>
      <c r="H1743" s="11"/>
      <c r="I1743" s="10" t="s">
        <v>2669</v>
      </c>
      <c r="J1743" s="6" t="s">
        <v>2670</v>
      </c>
      <c r="K1743" s="12">
        <v>46121.571504629632</v>
      </c>
      <c r="L1743" s="6" t="e" cm="1">
        <f t="array" ref="L1743">LOOKUP(2^15,SEARCH(Tabela2[Palavras-Chave],Boletim4[[#This Row],[Objeto]],1),Tabela2[Palavras-Chave])</f>
        <v>#N/A</v>
      </c>
    </row>
    <row r="1744" spans="1:12" ht="115.2" hidden="1" x14ac:dyDescent="0.3">
      <c r="A1744" s="5">
        <v>18545966</v>
      </c>
      <c r="B1744" s="6" t="s">
        <v>3422</v>
      </c>
      <c r="C1744" s="6" t="s">
        <v>3423</v>
      </c>
      <c r="D1744" s="8" t="s">
        <v>80</v>
      </c>
      <c r="E1744" s="6" t="s">
        <v>108</v>
      </c>
      <c r="F1744" s="6" t="s">
        <v>96</v>
      </c>
      <c r="G1744" s="11">
        <v>46146.586805555555</v>
      </c>
      <c r="H1744" s="11"/>
      <c r="I1744" s="10" t="s">
        <v>3424</v>
      </c>
      <c r="J1744" s="6" t="s">
        <v>3425</v>
      </c>
      <c r="K1744" s="12">
        <v>46121.759027777778</v>
      </c>
      <c r="L1744" s="6" t="e" cm="1">
        <f t="array" ref="L1744">LOOKUP(2^15,SEARCH(Tabela2[Palavras-Chave],Boletim4[[#This Row],[Objeto]],1),Tabela2[Palavras-Chave])</f>
        <v>#N/A</v>
      </c>
    </row>
    <row r="1745" spans="1:12" ht="43.2" hidden="1" x14ac:dyDescent="0.3">
      <c r="A1745" s="5">
        <v>18452732</v>
      </c>
      <c r="B1745" s="6" t="s">
        <v>2671</v>
      </c>
      <c r="C1745" s="6" t="s">
        <v>297</v>
      </c>
      <c r="D1745" s="8" t="s">
        <v>81</v>
      </c>
      <c r="E1745" s="6" t="s">
        <v>2672</v>
      </c>
      <c r="F1745" s="6" t="s">
        <v>96</v>
      </c>
      <c r="G1745" s="11">
        <v>46134.375</v>
      </c>
      <c r="H1745" s="11"/>
      <c r="I1745" s="10" t="s">
        <v>2673</v>
      </c>
      <c r="J1745" s="6" t="s">
        <v>2674</v>
      </c>
      <c r="K1745" s="12">
        <v>46121.618275462963</v>
      </c>
      <c r="L1745" s="6" t="str" cm="1">
        <f t="array" ref="L1745">LOOKUP(2^15,SEARCH(Tabela2[Palavras-Chave],Boletim4[[#This Row],[Objeto]],1),Tabela2[Palavras-Chave])</f>
        <v>EM LINHA</v>
      </c>
    </row>
    <row r="1746" spans="1:12" ht="187.2" hidden="1" x14ac:dyDescent="0.3">
      <c r="A1746" s="5">
        <v>18401139</v>
      </c>
      <c r="B1746" s="6" t="s">
        <v>2675</v>
      </c>
      <c r="C1746" s="6" t="s">
        <v>2676</v>
      </c>
      <c r="D1746" s="8" t="s">
        <v>82</v>
      </c>
      <c r="E1746" s="6" t="s">
        <v>2677</v>
      </c>
      <c r="F1746" s="6" t="s">
        <v>168</v>
      </c>
      <c r="G1746" s="11" t="s">
        <v>56</v>
      </c>
      <c r="H1746" s="11"/>
      <c r="I1746" s="10" t="s">
        <v>2678</v>
      </c>
      <c r="J1746" s="6" t="s">
        <v>2679</v>
      </c>
      <c r="K1746" s="12">
        <v>46121.681817129633</v>
      </c>
      <c r="L1746" s="6" t="e" cm="1">
        <f t="array" ref="L1746">LOOKUP(2^15,SEARCH(Tabela2[Palavras-Chave],Boletim4[[#This Row],[Objeto]],1),Tabela2[Palavras-Chave])</f>
        <v>#N/A</v>
      </c>
    </row>
    <row r="1747" spans="1:12" ht="172.8" hidden="1" x14ac:dyDescent="0.3">
      <c r="A1747" s="5">
        <v>18629841</v>
      </c>
      <c r="B1747" s="6" t="s">
        <v>2680</v>
      </c>
      <c r="C1747" s="6" t="s">
        <v>352</v>
      </c>
      <c r="D1747" s="8" t="s">
        <v>76</v>
      </c>
      <c r="E1747" s="6" t="s">
        <v>105</v>
      </c>
      <c r="F1747" s="6" t="s">
        <v>2681</v>
      </c>
      <c r="G1747" s="11" t="s">
        <v>56</v>
      </c>
      <c r="H1747" s="11"/>
      <c r="I1747" s="10" t="s">
        <v>2682</v>
      </c>
      <c r="J1747" s="6" t="s">
        <v>2683</v>
      </c>
      <c r="K1747" s="12">
        <v>46121.828993055555</v>
      </c>
      <c r="L1747" s="6" t="e" cm="1">
        <f t="array" ref="L1747">LOOKUP(2^15,SEARCH(Tabela2[Palavras-Chave],Boletim4[[#This Row],[Objeto]],1),Tabela2[Palavras-Chave])</f>
        <v>#N/A</v>
      </c>
    </row>
    <row r="1748" spans="1:12" ht="172.8" hidden="1" x14ac:dyDescent="0.3">
      <c r="A1748" s="5">
        <v>18795663</v>
      </c>
      <c r="B1748" s="6" t="s">
        <v>2684</v>
      </c>
      <c r="C1748" s="6" t="s">
        <v>2685</v>
      </c>
      <c r="D1748" s="8" t="s">
        <v>54</v>
      </c>
      <c r="E1748" s="6" t="s">
        <v>179</v>
      </c>
      <c r="F1748" s="6" t="s">
        <v>97</v>
      </c>
      <c r="G1748" s="11" t="s">
        <v>56</v>
      </c>
      <c r="H1748" s="11"/>
      <c r="I1748" s="10" t="s">
        <v>2686</v>
      </c>
      <c r="J1748" s="6" t="s">
        <v>2687</v>
      </c>
      <c r="K1748" s="12">
        <v>46121.56013888889</v>
      </c>
      <c r="L1748" s="6" t="e" cm="1">
        <f t="array" ref="L1748">LOOKUP(2^15,SEARCH(Tabela2[Palavras-Chave],Boletim4[[#This Row],[Objeto]],1),Tabela2[Palavras-Chave])</f>
        <v>#N/A</v>
      </c>
    </row>
    <row r="1749" spans="1:12" ht="72" hidden="1" x14ac:dyDescent="0.3">
      <c r="A1749" s="5">
        <v>18761167</v>
      </c>
      <c r="B1749" s="6" t="s">
        <v>423</v>
      </c>
      <c r="C1749" s="6" t="s">
        <v>61</v>
      </c>
      <c r="D1749" s="8" t="s">
        <v>62</v>
      </c>
      <c r="E1749" s="6" t="s">
        <v>220</v>
      </c>
      <c r="F1749" s="6" t="s">
        <v>97</v>
      </c>
      <c r="G1749" s="11" t="s">
        <v>56</v>
      </c>
      <c r="H1749" s="11"/>
      <c r="I1749" s="10" t="s">
        <v>2688</v>
      </c>
      <c r="J1749" s="6" t="s">
        <v>2689</v>
      </c>
      <c r="K1749" s="12">
        <v>46121.616562499999</v>
      </c>
      <c r="L1749" s="6" t="e" cm="1">
        <f t="array" ref="L1749">LOOKUP(2^15,SEARCH(Tabela2[Palavras-Chave],Boletim4[[#This Row],[Objeto]],1),Tabela2[Palavras-Chave])</f>
        <v>#N/A</v>
      </c>
    </row>
    <row r="1750" spans="1:12" ht="100.8" hidden="1" x14ac:dyDescent="0.3">
      <c r="A1750" s="5">
        <v>18811422</v>
      </c>
      <c r="B1750" s="6" t="s">
        <v>99</v>
      </c>
      <c r="C1750" s="6" t="s">
        <v>65</v>
      </c>
      <c r="D1750" s="8" t="s">
        <v>66</v>
      </c>
      <c r="E1750" s="6" t="s">
        <v>3426</v>
      </c>
      <c r="F1750" s="6" t="s">
        <v>97</v>
      </c>
      <c r="G1750" s="11" t="s">
        <v>56</v>
      </c>
      <c r="H1750" s="11"/>
      <c r="I1750" s="10" t="s">
        <v>3427</v>
      </c>
      <c r="J1750" s="6" t="s">
        <v>3428</v>
      </c>
      <c r="K1750" s="12">
        <v>46121.879745370374</v>
      </c>
      <c r="L1750" s="6" t="e" cm="1">
        <f t="array" ref="L1750">LOOKUP(2^15,SEARCH(Tabela2[Palavras-Chave],Boletim4[[#This Row],[Objeto]],1),Tabela2[Palavras-Chave])</f>
        <v>#N/A</v>
      </c>
    </row>
    <row r="1751" spans="1:12" ht="201.6" hidden="1" x14ac:dyDescent="0.3">
      <c r="A1751" s="5">
        <v>18772414</v>
      </c>
      <c r="B1751" s="6" t="s">
        <v>2690</v>
      </c>
      <c r="C1751" s="6" t="s">
        <v>2691</v>
      </c>
      <c r="D1751" s="8" t="s">
        <v>67</v>
      </c>
      <c r="E1751" s="6" t="s">
        <v>142</v>
      </c>
      <c r="F1751" s="6" t="s">
        <v>97</v>
      </c>
      <c r="G1751" s="11" t="s">
        <v>56</v>
      </c>
      <c r="H1751" s="11"/>
      <c r="I1751" s="10" t="s">
        <v>2692</v>
      </c>
      <c r="J1751" s="6" t="s">
        <v>2693</v>
      </c>
      <c r="K1751" s="12">
        <v>46121.769594907404</v>
      </c>
      <c r="L1751" s="6" t="e" cm="1">
        <f t="array" ref="L1751">LOOKUP(2^15,SEARCH(Tabela2[Palavras-Chave],Boletim4[[#This Row],[Objeto]],1),Tabela2[Palavras-Chave])</f>
        <v>#N/A</v>
      </c>
    </row>
    <row r="1752" spans="1:12" ht="144" hidden="1" x14ac:dyDescent="0.3">
      <c r="A1752" s="5">
        <v>18797534</v>
      </c>
      <c r="B1752" s="6" t="s">
        <v>2694</v>
      </c>
      <c r="C1752" s="6" t="s">
        <v>111</v>
      </c>
      <c r="D1752" s="8" t="s">
        <v>91</v>
      </c>
      <c r="E1752" s="6" t="s">
        <v>2695</v>
      </c>
      <c r="F1752" s="6" t="s">
        <v>97</v>
      </c>
      <c r="G1752" s="11" t="s">
        <v>56</v>
      </c>
      <c r="H1752" s="11"/>
      <c r="I1752" s="10" t="s">
        <v>2696</v>
      </c>
      <c r="J1752" s="6" t="s">
        <v>2697</v>
      </c>
      <c r="K1752" s="12">
        <v>46121.513495370367</v>
      </c>
      <c r="L1752" s="6" t="e" cm="1">
        <f t="array" ref="L1752">LOOKUP(2^15,SEARCH(Tabela2[Palavras-Chave],Boletim4[[#This Row],[Objeto]],1),Tabela2[Palavras-Chave])</f>
        <v>#N/A</v>
      </c>
    </row>
    <row r="1753" spans="1:12" ht="144" hidden="1" x14ac:dyDescent="0.3">
      <c r="A1753" s="5">
        <v>18724697</v>
      </c>
      <c r="B1753" s="6" t="s">
        <v>2698</v>
      </c>
      <c r="C1753" s="6" t="s">
        <v>2699</v>
      </c>
      <c r="D1753" s="8" t="s">
        <v>91</v>
      </c>
      <c r="E1753" s="6" t="s">
        <v>211</v>
      </c>
      <c r="F1753" s="6" t="s">
        <v>97</v>
      </c>
      <c r="G1753" s="11" t="s">
        <v>56</v>
      </c>
      <c r="H1753" s="11"/>
      <c r="I1753" s="10" t="s">
        <v>2700</v>
      </c>
      <c r="J1753" s="6" t="s">
        <v>2701</v>
      </c>
      <c r="K1753" s="12">
        <v>46121.606631944444</v>
      </c>
      <c r="L1753" s="6" t="e" cm="1">
        <f t="array" ref="L1753">LOOKUP(2^15,SEARCH(Tabela2[Palavras-Chave],Boletim4[[#This Row],[Objeto]],1),Tabela2[Palavras-Chave])</f>
        <v>#N/A</v>
      </c>
    </row>
    <row r="1754" spans="1:12" ht="172.8" hidden="1" x14ac:dyDescent="0.3">
      <c r="A1754" s="5">
        <v>18509744</v>
      </c>
      <c r="B1754" s="6" t="s">
        <v>2702</v>
      </c>
      <c r="C1754" s="6" t="s">
        <v>73</v>
      </c>
      <c r="D1754" s="8" t="s">
        <v>72</v>
      </c>
      <c r="E1754" s="6" t="s">
        <v>2703</v>
      </c>
      <c r="F1754" s="6" t="s">
        <v>97</v>
      </c>
      <c r="G1754" s="11" t="s">
        <v>56</v>
      </c>
      <c r="H1754" s="11"/>
      <c r="I1754" s="10" t="s">
        <v>2704</v>
      </c>
      <c r="J1754" s="6" t="s">
        <v>2705</v>
      </c>
      <c r="K1754" s="12">
        <v>46121.490324074075</v>
      </c>
      <c r="L1754" s="6" t="e" cm="1">
        <f t="array" ref="L1754">LOOKUP(2^15,SEARCH(Tabela2[Palavras-Chave],Boletim4[[#This Row],[Objeto]],1),Tabela2[Palavras-Chave])</f>
        <v>#N/A</v>
      </c>
    </row>
    <row r="1755" spans="1:12" ht="72" hidden="1" x14ac:dyDescent="0.3">
      <c r="A1755" s="5">
        <v>18761403</v>
      </c>
      <c r="B1755" s="6" t="s">
        <v>2706</v>
      </c>
      <c r="C1755" s="6" t="s">
        <v>2707</v>
      </c>
      <c r="D1755" s="8" t="s">
        <v>80</v>
      </c>
      <c r="E1755" s="6" t="s">
        <v>2708</v>
      </c>
      <c r="F1755" s="6" t="s">
        <v>97</v>
      </c>
      <c r="G1755" s="11" t="s">
        <v>56</v>
      </c>
      <c r="H1755" s="11"/>
      <c r="I1755" s="10" t="s">
        <v>2709</v>
      </c>
      <c r="J1755" s="6" t="s">
        <v>2710</v>
      </c>
      <c r="K1755" s="12">
        <v>46121.615474537037</v>
      </c>
      <c r="L1755" s="6" t="e" cm="1">
        <f t="array" ref="L1755">LOOKUP(2^15,SEARCH(Tabela2[Palavras-Chave],Boletim4[[#This Row],[Objeto]],1),Tabela2[Palavras-Chave])</f>
        <v>#N/A</v>
      </c>
    </row>
    <row r="1756" spans="1:12" ht="273.60000000000002" x14ac:dyDescent="0.3">
      <c r="A1756" s="5">
        <v>18770385</v>
      </c>
      <c r="B1756" s="6" t="s">
        <v>2711</v>
      </c>
      <c r="C1756" s="6" t="s">
        <v>104</v>
      </c>
      <c r="D1756" s="8" t="s">
        <v>81</v>
      </c>
      <c r="E1756" s="6" t="s">
        <v>218</v>
      </c>
      <c r="F1756" s="6" t="s">
        <v>97</v>
      </c>
      <c r="G1756" s="11" t="s">
        <v>56</v>
      </c>
      <c r="H1756" s="11"/>
      <c r="I1756" s="10" t="s">
        <v>2712</v>
      </c>
      <c r="J1756" s="6" t="s">
        <v>2713</v>
      </c>
      <c r="K1756" s="12">
        <v>46121.634432870371</v>
      </c>
      <c r="L1756" s="6" t="str" cm="1">
        <f t="array" ref="L1756">LOOKUP(2^15,SEARCH(Tabela2[Palavras-Chave],Boletim4[[#This Row],[Objeto]],1),Tabela2[Palavras-Chave])</f>
        <v>EFICIÊNCIA</v>
      </c>
    </row>
    <row r="1757" spans="1:12" ht="144" hidden="1" x14ac:dyDescent="0.3">
      <c r="A1757" s="5">
        <v>18509839</v>
      </c>
      <c r="B1757" s="6" t="s">
        <v>2714</v>
      </c>
      <c r="C1757" s="6" t="s">
        <v>551</v>
      </c>
      <c r="D1757" s="8" t="s">
        <v>82</v>
      </c>
      <c r="E1757" s="6" t="s">
        <v>2715</v>
      </c>
      <c r="F1757" s="6" t="s">
        <v>97</v>
      </c>
      <c r="G1757" s="11" t="s">
        <v>56</v>
      </c>
      <c r="H1757" s="11"/>
      <c r="I1757" s="10" t="s">
        <v>2716</v>
      </c>
      <c r="J1757" s="6" t="s">
        <v>2717</v>
      </c>
      <c r="K1757" s="12">
        <v>46121.834305555552</v>
      </c>
      <c r="L1757" s="6" t="e" cm="1">
        <f t="array" ref="L1757">LOOKUP(2^15,SEARCH(Tabela2[Palavras-Chave],Boletim4[[#This Row],[Objeto]],1),Tabela2[Palavras-Chave])</f>
        <v>#N/A</v>
      </c>
    </row>
    <row r="1758" spans="1:12" ht="230.4" hidden="1" x14ac:dyDescent="0.3">
      <c r="A1758" s="5">
        <v>18525650</v>
      </c>
      <c r="B1758" s="6" t="s">
        <v>401</v>
      </c>
      <c r="C1758" s="6" t="s">
        <v>402</v>
      </c>
      <c r="D1758" s="8" t="s">
        <v>54</v>
      </c>
      <c r="E1758" s="6" t="s">
        <v>108</v>
      </c>
      <c r="F1758" s="6" t="s">
        <v>98</v>
      </c>
      <c r="G1758" s="11" t="s">
        <v>56</v>
      </c>
      <c r="H1758" s="11"/>
      <c r="I1758" s="10" t="s">
        <v>3429</v>
      </c>
      <c r="J1758" s="6" t="s">
        <v>3430</v>
      </c>
      <c r="K1758" s="12">
        <v>46121.499456018515</v>
      </c>
      <c r="L1758" s="6" t="e" cm="1">
        <f t="array" ref="L1758">LOOKUP(2^15,SEARCH(Tabela2[Palavras-Chave],Boletim4[[#This Row],[Objeto]],1),Tabela2[Palavras-Chave])</f>
        <v>#N/A</v>
      </c>
    </row>
    <row r="1759" spans="1:12" ht="409.6" hidden="1" x14ac:dyDescent="0.3">
      <c r="A1759" s="5">
        <v>18579878</v>
      </c>
      <c r="B1759" s="6" t="s">
        <v>2718</v>
      </c>
      <c r="C1759" s="6" t="s">
        <v>2719</v>
      </c>
      <c r="D1759" s="8" t="s">
        <v>54</v>
      </c>
      <c r="E1759" s="6" t="s">
        <v>145</v>
      </c>
      <c r="F1759" s="6" t="s">
        <v>98</v>
      </c>
      <c r="G1759" s="11" t="s">
        <v>56</v>
      </c>
      <c r="H1759" s="11"/>
      <c r="I1759" s="10" t="s">
        <v>2720</v>
      </c>
      <c r="J1759" s="6" t="s">
        <v>2721</v>
      </c>
      <c r="K1759" s="12">
        <v>46121.607175925928</v>
      </c>
      <c r="L1759" s="6" t="e" cm="1">
        <f t="array" ref="L1759">LOOKUP(2^15,SEARCH(Tabela2[Palavras-Chave],Boletim4[[#This Row],[Objeto]],1),Tabela2[Palavras-Chave])</f>
        <v>#N/A</v>
      </c>
    </row>
    <row r="1760" spans="1:12" ht="129.6" hidden="1" x14ac:dyDescent="0.3">
      <c r="A1760" s="5">
        <v>18756105</v>
      </c>
      <c r="B1760" s="6" t="s">
        <v>614</v>
      </c>
      <c r="C1760" s="6" t="s">
        <v>615</v>
      </c>
      <c r="D1760" s="8" t="s">
        <v>54</v>
      </c>
      <c r="E1760" s="6" t="s">
        <v>135</v>
      </c>
      <c r="F1760" s="6" t="s">
        <v>98</v>
      </c>
      <c r="G1760" s="11" t="s">
        <v>56</v>
      </c>
      <c r="H1760" s="11"/>
      <c r="I1760" s="10" t="s">
        <v>2722</v>
      </c>
      <c r="J1760" s="6" t="s">
        <v>2723</v>
      </c>
      <c r="K1760" s="12">
        <v>46121.60733796296</v>
      </c>
      <c r="L1760" s="6" t="e" cm="1">
        <f t="array" ref="L1760">LOOKUP(2^15,SEARCH(Tabela2[Palavras-Chave],Boletim4[[#This Row],[Objeto]],1),Tabela2[Palavras-Chave])</f>
        <v>#N/A</v>
      </c>
    </row>
    <row r="1761" spans="1:12" ht="409.6" hidden="1" x14ac:dyDescent="0.3">
      <c r="A1761" s="5">
        <v>18593202</v>
      </c>
      <c r="B1761" s="6" t="s">
        <v>583</v>
      </c>
      <c r="C1761" s="6" t="s">
        <v>159</v>
      </c>
      <c r="D1761" s="8" t="s">
        <v>89</v>
      </c>
      <c r="E1761" s="6" t="s">
        <v>3117</v>
      </c>
      <c r="F1761" s="6" t="s">
        <v>98</v>
      </c>
      <c r="G1761" s="11" t="s">
        <v>56</v>
      </c>
      <c r="H1761" s="11"/>
      <c r="I1761" s="10" t="s">
        <v>3431</v>
      </c>
      <c r="J1761" s="6" t="s">
        <v>3432</v>
      </c>
      <c r="K1761" s="12">
        <v>46121.543032407404</v>
      </c>
      <c r="L1761" s="6" t="e" cm="1">
        <f t="array" ref="L1761">LOOKUP(2^15,SEARCH(Tabela2[Palavras-Chave],Boletim4[[#This Row],[Objeto]],1),Tabela2[Palavras-Chave])</f>
        <v>#N/A</v>
      </c>
    </row>
    <row r="1762" spans="1:12" ht="409.6" hidden="1" x14ac:dyDescent="0.3">
      <c r="A1762" s="5">
        <v>18593207</v>
      </c>
      <c r="B1762" s="6" t="s">
        <v>583</v>
      </c>
      <c r="C1762" s="6" t="s">
        <v>159</v>
      </c>
      <c r="D1762" s="8" t="s">
        <v>89</v>
      </c>
      <c r="E1762" s="6" t="s">
        <v>3120</v>
      </c>
      <c r="F1762" s="6" t="s">
        <v>98</v>
      </c>
      <c r="G1762" s="11" t="s">
        <v>56</v>
      </c>
      <c r="H1762" s="11"/>
      <c r="I1762" s="10" t="s">
        <v>3433</v>
      </c>
      <c r="J1762" s="6" t="s">
        <v>3434</v>
      </c>
      <c r="K1762" s="12">
        <v>46121.543599537035</v>
      </c>
      <c r="L1762" s="6" t="e" cm="1">
        <f t="array" ref="L1762">LOOKUP(2^15,SEARCH(Tabela2[Palavras-Chave],Boletim4[[#This Row],[Objeto]],1),Tabela2[Palavras-Chave])</f>
        <v>#N/A</v>
      </c>
    </row>
    <row r="1763" spans="1:12" ht="172.8" hidden="1" x14ac:dyDescent="0.3">
      <c r="A1763" s="5">
        <v>18328857</v>
      </c>
      <c r="B1763" s="6" t="s">
        <v>3435</v>
      </c>
      <c r="C1763" s="6" t="s">
        <v>3436</v>
      </c>
      <c r="D1763" s="8" t="s">
        <v>92</v>
      </c>
      <c r="E1763" s="6" t="s">
        <v>630</v>
      </c>
      <c r="F1763" s="6" t="s">
        <v>98</v>
      </c>
      <c r="G1763" s="11" t="s">
        <v>56</v>
      </c>
      <c r="H1763" s="11"/>
      <c r="I1763" s="10" t="s">
        <v>3437</v>
      </c>
      <c r="J1763" s="6" t="s">
        <v>3438</v>
      </c>
      <c r="K1763" s="12">
        <v>46121.602870370371</v>
      </c>
      <c r="L1763" s="6" t="e" cm="1">
        <f t="array" ref="L1763">LOOKUP(2^15,SEARCH(Tabela2[Palavras-Chave],Boletim4[[#This Row],[Objeto]],1),Tabela2[Palavras-Chave])</f>
        <v>#N/A</v>
      </c>
    </row>
    <row r="1764" spans="1:12" ht="100.8" hidden="1" x14ac:dyDescent="0.3">
      <c r="A1764" s="5">
        <v>18168769</v>
      </c>
      <c r="B1764" s="6" t="s">
        <v>2724</v>
      </c>
      <c r="C1764" s="6" t="s">
        <v>2725</v>
      </c>
      <c r="D1764" s="8" t="s">
        <v>72</v>
      </c>
      <c r="E1764" s="6" t="s">
        <v>2726</v>
      </c>
      <c r="F1764" s="6" t="s">
        <v>98</v>
      </c>
      <c r="G1764" s="11" t="s">
        <v>56</v>
      </c>
      <c r="H1764" s="11"/>
      <c r="I1764" s="10" t="s">
        <v>2727</v>
      </c>
      <c r="J1764" s="6" t="s">
        <v>2728</v>
      </c>
      <c r="K1764" s="12">
        <v>46121.807152777779</v>
      </c>
      <c r="L1764" s="6" t="e" cm="1">
        <f t="array" ref="L1764">LOOKUP(2^15,SEARCH(Tabela2[Palavras-Chave],Boletim4[[#This Row],[Objeto]],1),Tabela2[Palavras-Chave])</f>
        <v>#N/A</v>
      </c>
    </row>
    <row r="1765" spans="1:12" ht="409.6" x14ac:dyDescent="0.3">
      <c r="A1765" s="5">
        <v>18666924</v>
      </c>
      <c r="B1765" s="6" t="s">
        <v>361</v>
      </c>
      <c r="C1765" s="6" t="s">
        <v>362</v>
      </c>
      <c r="D1765" s="8" t="s">
        <v>81</v>
      </c>
      <c r="E1765" s="6" t="s">
        <v>3439</v>
      </c>
      <c r="F1765" s="6" t="s">
        <v>98</v>
      </c>
      <c r="G1765" s="11" t="s">
        <v>56</v>
      </c>
      <c r="H1765" s="11"/>
      <c r="I1765" s="10" t="s">
        <v>3440</v>
      </c>
      <c r="J1765" s="6" t="s">
        <v>3441</v>
      </c>
      <c r="K1765" s="12">
        <v>46121.770682870374</v>
      </c>
      <c r="L1765" s="6" t="str" cm="1">
        <f t="array" ref="L1765">LOOKUP(2^15,SEARCH(Tabela2[Palavras-Chave],Boletim4[[#This Row],[Objeto]],1),Tabela2[Palavras-Chave])</f>
        <v>EFICIÊNCIA</v>
      </c>
    </row>
    <row r="1766" spans="1:12" ht="187.2" hidden="1" x14ac:dyDescent="0.3">
      <c r="A1766" s="5">
        <v>18719707</v>
      </c>
      <c r="B1766" s="6" t="s">
        <v>2729</v>
      </c>
      <c r="C1766" s="6" t="s">
        <v>2730</v>
      </c>
      <c r="D1766" s="8" t="s">
        <v>64</v>
      </c>
      <c r="E1766" s="6" t="s">
        <v>135</v>
      </c>
      <c r="F1766" s="6" t="s">
        <v>257</v>
      </c>
      <c r="G1766" s="11" t="s">
        <v>56</v>
      </c>
      <c r="H1766" s="11"/>
      <c r="I1766" s="10" t="s">
        <v>2731</v>
      </c>
      <c r="J1766" s="6" t="s">
        <v>2732</v>
      </c>
      <c r="K1766" s="12">
        <v>46121.852638888886</v>
      </c>
      <c r="L1766" s="6" t="e" cm="1">
        <f t="array" ref="L1766">LOOKUP(2^15,SEARCH(Tabela2[Palavras-Chave],Boletim4[[#This Row],[Objeto]],1),Tabela2[Palavras-Chave])</f>
        <v>#N/A</v>
      </c>
    </row>
    <row r="1767" spans="1:12" ht="409.6" hidden="1" x14ac:dyDescent="0.3">
      <c r="A1767" s="5">
        <v>18489685</v>
      </c>
      <c r="B1767" s="6" t="s">
        <v>3442</v>
      </c>
      <c r="C1767" s="6" t="s">
        <v>3443</v>
      </c>
      <c r="D1767" s="8" t="s">
        <v>72</v>
      </c>
      <c r="E1767" s="6" t="s">
        <v>3444</v>
      </c>
      <c r="F1767" s="6" t="s">
        <v>257</v>
      </c>
      <c r="G1767" s="11" t="s">
        <v>56</v>
      </c>
      <c r="H1767" s="11"/>
      <c r="I1767" s="10" t="s">
        <v>3445</v>
      </c>
      <c r="J1767" s="6" t="s">
        <v>3446</v>
      </c>
      <c r="K1767" s="12">
        <v>46121.468738425923</v>
      </c>
      <c r="L1767" s="6" t="e" cm="1">
        <f t="array" ref="L1767">LOOKUP(2^15,SEARCH(Tabela2[Palavras-Chave],Boletim4[[#This Row],[Objeto]],1),Tabela2[Palavras-Chave])</f>
        <v>#N/A</v>
      </c>
    </row>
    <row r="1768" spans="1:12" ht="409.6" hidden="1" x14ac:dyDescent="0.3">
      <c r="A1768" s="5">
        <v>18644335</v>
      </c>
      <c r="B1768" s="6" t="s">
        <v>3447</v>
      </c>
      <c r="C1768" s="6" t="s">
        <v>3448</v>
      </c>
      <c r="D1768" s="8" t="s">
        <v>72</v>
      </c>
      <c r="E1768" s="6" t="s">
        <v>108</v>
      </c>
      <c r="F1768" s="6" t="s">
        <v>257</v>
      </c>
      <c r="G1768" s="11" t="s">
        <v>56</v>
      </c>
      <c r="H1768" s="11"/>
      <c r="I1768" s="10" t="s">
        <v>3449</v>
      </c>
      <c r="J1768" s="6" t="s">
        <v>3450</v>
      </c>
      <c r="K1768" s="12">
        <v>46121.569039351853</v>
      </c>
      <c r="L1768" s="6" t="e" cm="1">
        <f t="array" ref="L1768">LOOKUP(2^15,SEARCH(Tabela2[Palavras-Chave],Boletim4[[#This Row],[Objeto]],1),Tabela2[Palavras-Chave])</f>
        <v>#N/A</v>
      </c>
    </row>
    <row r="1769" spans="1:12" ht="129.6" hidden="1" x14ac:dyDescent="0.3">
      <c r="A1769" s="5">
        <v>18357317</v>
      </c>
      <c r="B1769" s="6" t="s">
        <v>712</v>
      </c>
      <c r="C1769" s="6" t="s">
        <v>87</v>
      </c>
      <c r="D1769" s="8" t="s">
        <v>86</v>
      </c>
      <c r="E1769" s="6" t="s">
        <v>713</v>
      </c>
      <c r="F1769" s="6" t="s">
        <v>258</v>
      </c>
      <c r="G1769" s="11">
        <v>46142.333333333336</v>
      </c>
      <c r="H1769" s="11"/>
      <c r="I1769" s="10" t="s">
        <v>714</v>
      </c>
      <c r="J1769" s="6" t="s">
        <v>715</v>
      </c>
      <c r="K1769" s="12">
        <v>46121.554895833331</v>
      </c>
      <c r="L1769" s="6" t="e" cm="1">
        <f t="array" ref="L1769">LOOKUP(2^15,SEARCH(Tabela2[Palavras-Chave],Boletim4[[#This Row],[Objeto]],1),Tabela2[Palavras-Chave])</f>
        <v>#N/A</v>
      </c>
    </row>
    <row r="1770" spans="1:12" ht="115.2" hidden="1" x14ac:dyDescent="0.3">
      <c r="A1770" s="5">
        <v>18802524</v>
      </c>
      <c r="B1770" s="6" t="s">
        <v>625</v>
      </c>
      <c r="C1770" s="6" t="s">
        <v>88</v>
      </c>
      <c r="D1770" s="8" t="s">
        <v>63</v>
      </c>
      <c r="E1770" s="6" t="s">
        <v>245</v>
      </c>
      <c r="F1770" s="6" t="s">
        <v>258</v>
      </c>
      <c r="G1770" s="11">
        <v>46127.583333333336</v>
      </c>
      <c r="H1770" s="11"/>
      <c r="I1770" s="10" t="s">
        <v>626</v>
      </c>
      <c r="J1770" s="6" t="s">
        <v>627</v>
      </c>
      <c r="K1770" s="12">
        <v>46121.548645833333</v>
      </c>
      <c r="L1770" s="6" t="e" cm="1">
        <f t="array" ref="L1770">LOOKUP(2^15,SEARCH(Tabela2[Palavras-Chave],Boletim4[[#This Row],[Objeto]],1),Tabela2[Palavras-Chave])</f>
        <v>#N/A</v>
      </c>
    </row>
    <row r="1771" spans="1:12" ht="57.6" hidden="1" x14ac:dyDescent="0.3">
      <c r="A1771" s="5">
        <v>18803760</v>
      </c>
      <c r="B1771" s="6" t="s">
        <v>628</v>
      </c>
      <c r="C1771" s="6" t="s">
        <v>629</v>
      </c>
      <c r="D1771" s="8" t="s">
        <v>63</v>
      </c>
      <c r="E1771" s="6" t="s">
        <v>630</v>
      </c>
      <c r="F1771" s="6" t="s">
        <v>258</v>
      </c>
      <c r="G1771" s="11">
        <v>46136.354166666664</v>
      </c>
      <c r="H1771" s="11"/>
      <c r="I1771" s="10" t="s">
        <v>631</v>
      </c>
      <c r="J1771" s="6" t="s">
        <v>632</v>
      </c>
      <c r="K1771" s="12">
        <v>46121.81045138889</v>
      </c>
      <c r="L1771" s="6" t="e" cm="1">
        <f t="array" ref="L1771">LOOKUP(2^15,SEARCH(Tabela2[Palavras-Chave],Boletim4[[#This Row],[Objeto]],1),Tabela2[Palavras-Chave])</f>
        <v>#N/A</v>
      </c>
    </row>
    <row r="1772" spans="1:12" ht="28.8" hidden="1" x14ac:dyDescent="0.3">
      <c r="A1772" s="5">
        <v>18799085</v>
      </c>
      <c r="B1772" s="6" t="s">
        <v>436</v>
      </c>
      <c r="C1772" s="6" t="s">
        <v>437</v>
      </c>
      <c r="D1772" s="8" t="s">
        <v>64</v>
      </c>
      <c r="E1772" s="6" t="s">
        <v>2733</v>
      </c>
      <c r="F1772" s="6" t="s">
        <v>258</v>
      </c>
      <c r="G1772" s="11">
        <v>46122.333333333336</v>
      </c>
      <c r="H1772" s="11"/>
      <c r="I1772" s="10" t="s">
        <v>2734</v>
      </c>
      <c r="J1772" s="6" t="s">
        <v>2735</v>
      </c>
      <c r="K1772" s="12">
        <v>46121.481319444443</v>
      </c>
      <c r="L1772" s="6" t="e" cm="1">
        <f t="array" ref="L1772">LOOKUP(2^15,SEARCH(Tabela2[Palavras-Chave],Boletim4[[#This Row],[Objeto]],1),Tabela2[Palavras-Chave])</f>
        <v>#N/A</v>
      </c>
    </row>
    <row r="1773" spans="1:12" ht="115.2" hidden="1" x14ac:dyDescent="0.3">
      <c r="A1773" s="5">
        <v>18804625</v>
      </c>
      <c r="B1773" s="6" t="s">
        <v>639</v>
      </c>
      <c r="C1773" s="6" t="s">
        <v>159</v>
      </c>
      <c r="D1773" s="8" t="s">
        <v>89</v>
      </c>
      <c r="E1773" s="6" t="s">
        <v>643</v>
      </c>
      <c r="F1773" s="6" t="s">
        <v>258</v>
      </c>
      <c r="G1773" s="11">
        <v>46146.385416666664</v>
      </c>
      <c r="H1773" s="11"/>
      <c r="I1773" s="10" t="s">
        <v>644</v>
      </c>
      <c r="J1773" s="6" t="s">
        <v>645</v>
      </c>
      <c r="K1773" s="12">
        <v>46121.552812499998</v>
      </c>
      <c r="L1773" s="6" t="e" cm="1">
        <f t="array" ref="L1773">LOOKUP(2^15,SEARCH(Tabela2[Palavras-Chave],Boletim4[[#This Row],[Objeto]],1),Tabela2[Palavras-Chave])</f>
        <v>#N/A</v>
      </c>
    </row>
    <row r="1774" spans="1:12" ht="115.2" hidden="1" x14ac:dyDescent="0.3">
      <c r="A1774" s="5">
        <v>18804624</v>
      </c>
      <c r="B1774" s="6" t="s">
        <v>639</v>
      </c>
      <c r="C1774" s="6" t="s">
        <v>159</v>
      </c>
      <c r="D1774" s="8" t="s">
        <v>89</v>
      </c>
      <c r="E1774" s="6" t="s">
        <v>640</v>
      </c>
      <c r="F1774" s="6" t="s">
        <v>258</v>
      </c>
      <c r="G1774" s="11">
        <v>46135.385416666664</v>
      </c>
      <c r="H1774" s="11"/>
      <c r="I1774" s="10" t="s">
        <v>641</v>
      </c>
      <c r="J1774" s="6" t="s">
        <v>642</v>
      </c>
      <c r="K1774" s="12">
        <v>46121.56045138889</v>
      </c>
      <c r="L1774" s="6" t="e" cm="1">
        <f t="array" ref="L1774">LOOKUP(2^15,SEARCH(Tabela2[Palavras-Chave],Boletim4[[#This Row],[Objeto]],1),Tabela2[Palavras-Chave])</f>
        <v>#N/A</v>
      </c>
    </row>
    <row r="1775" spans="1:12" ht="144" hidden="1" x14ac:dyDescent="0.3">
      <c r="A1775" s="5">
        <v>18791091</v>
      </c>
      <c r="B1775" s="6" t="s">
        <v>583</v>
      </c>
      <c r="C1775" s="6" t="s">
        <v>159</v>
      </c>
      <c r="D1775" s="8" t="s">
        <v>89</v>
      </c>
      <c r="E1775" s="6" t="s">
        <v>2736</v>
      </c>
      <c r="F1775" s="6" t="s">
        <v>258</v>
      </c>
      <c r="G1775" s="11">
        <v>46213.375</v>
      </c>
      <c r="H1775" s="11"/>
      <c r="I1775" s="10" t="s">
        <v>2737</v>
      </c>
      <c r="J1775" s="6" t="s">
        <v>2738</v>
      </c>
      <c r="K1775" s="12">
        <v>46121.669479166667</v>
      </c>
      <c r="L1775" s="6" t="e" cm="1">
        <f t="array" ref="L1775">LOOKUP(2^15,SEARCH(Tabela2[Palavras-Chave],Boletim4[[#This Row],[Objeto]],1),Tabela2[Palavras-Chave])</f>
        <v>#N/A</v>
      </c>
    </row>
    <row r="1776" spans="1:12" ht="172.8" hidden="1" x14ac:dyDescent="0.3">
      <c r="A1776" s="5">
        <v>18791212</v>
      </c>
      <c r="B1776" s="6" t="s">
        <v>583</v>
      </c>
      <c r="C1776" s="6" t="s">
        <v>159</v>
      </c>
      <c r="D1776" s="8" t="s">
        <v>89</v>
      </c>
      <c r="E1776" s="6" t="s">
        <v>3451</v>
      </c>
      <c r="F1776" s="6" t="s">
        <v>258</v>
      </c>
      <c r="G1776" s="11">
        <v>46213.645833333336</v>
      </c>
      <c r="H1776" s="11"/>
      <c r="I1776" s="10" t="s">
        <v>3452</v>
      </c>
      <c r="J1776" s="6" t="s">
        <v>3453</v>
      </c>
      <c r="K1776" s="12">
        <v>46121.66951388889</v>
      </c>
      <c r="L1776" s="6" t="e" cm="1">
        <f t="array" ref="L1776">LOOKUP(2^15,SEARCH(Tabela2[Palavras-Chave],Boletim4[[#This Row],[Objeto]],1),Tabela2[Palavras-Chave])</f>
        <v>#N/A</v>
      </c>
    </row>
    <row r="1777" spans="1:12" ht="172.8" hidden="1" x14ac:dyDescent="0.3">
      <c r="A1777" s="5">
        <v>18791195</v>
      </c>
      <c r="B1777" s="6" t="s">
        <v>583</v>
      </c>
      <c r="C1777" s="6" t="s">
        <v>159</v>
      </c>
      <c r="D1777" s="8" t="s">
        <v>89</v>
      </c>
      <c r="E1777" s="6" t="s">
        <v>3454</v>
      </c>
      <c r="F1777" s="6" t="s">
        <v>258</v>
      </c>
      <c r="G1777" s="11">
        <v>46213.458333333336</v>
      </c>
      <c r="H1777" s="11"/>
      <c r="I1777" s="10" t="s">
        <v>3455</v>
      </c>
      <c r="J1777" s="6" t="s">
        <v>3456</v>
      </c>
      <c r="K1777" s="12">
        <v>46121.66951388889</v>
      </c>
      <c r="L1777" s="6" t="e" cm="1">
        <f t="array" ref="L1777">LOOKUP(2^15,SEARCH(Tabela2[Palavras-Chave],Boletim4[[#This Row],[Objeto]],1),Tabela2[Palavras-Chave])</f>
        <v>#N/A</v>
      </c>
    </row>
    <row r="1778" spans="1:12" ht="115.2" hidden="1" x14ac:dyDescent="0.3">
      <c r="A1778" s="5">
        <v>18807326</v>
      </c>
      <c r="B1778" s="6" t="s">
        <v>2739</v>
      </c>
      <c r="C1778" s="6" t="s">
        <v>123</v>
      </c>
      <c r="D1778" s="8" t="s">
        <v>67</v>
      </c>
      <c r="E1778" s="6" t="s">
        <v>620</v>
      </c>
      <c r="F1778" s="6" t="s">
        <v>258</v>
      </c>
      <c r="G1778" s="11">
        <v>46147.59375</v>
      </c>
      <c r="H1778" s="11"/>
      <c r="I1778" s="10" t="s">
        <v>2740</v>
      </c>
      <c r="J1778" s="6" t="s">
        <v>2741</v>
      </c>
      <c r="K1778" s="12">
        <v>46121.557685185187</v>
      </c>
      <c r="L1778" s="6" t="e" cm="1">
        <f t="array" ref="L1778">LOOKUP(2^15,SEARCH(Tabela2[Palavras-Chave],Boletim4[[#This Row],[Objeto]],1),Tabela2[Palavras-Chave])</f>
        <v>#N/A</v>
      </c>
    </row>
    <row r="1779" spans="1:12" ht="129.6" hidden="1" x14ac:dyDescent="0.3">
      <c r="A1779" s="5">
        <v>18603403</v>
      </c>
      <c r="B1779" s="6" t="s">
        <v>2739</v>
      </c>
      <c r="C1779" s="6" t="s">
        <v>123</v>
      </c>
      <c r="D1779" s="8" t="s">
        <v>67</v>
      </c>
      <c r="E1779" s="6" t="s">
        <v>158</v>
      </c>
      <c r="F1779" s="6" t="s">
        <v>258</v>
      </c>
      <c r="G1779" s="11">
        <v>46135.395833333336</v>
      </c>
      <c r="H1779" s="11"/>
      <c r="I1779" s="10" t="s">
        <v>2742</v>
      </c>
      <c r="J1779" s="6" t="s">
        <v>2743</v>
      </c>
      <c r="K1779" s="12">
        <v>46121.561851851853</v>
      </c>
      <c r="L1779" s="6" t="e" cm="1">
        <f t="array" ref="L1779">LOOKUP(2^15,SEARCH(Tabela2[Palavras-Chave],Boletim4[[#This Row],[Objeto]],1),Tabela2[Palavras-Chave])</f>
        <v>#N/A</v>
      </c>
    </row>
    <row r="1780" spans="1:12" ht="158.4" x14ac:dyDescent="0.3">
      <c r="A1780" s="5">
        <v>18804619</v>
      </c>
      <c r="B1780" s="6" t="s">
        <v>454</v>
      </c>
      <c r="C1780" s="6" t="s">
        <v>455</v>
      </c>
      <c r="D1780" s="8" t="s">
        <v>91</v>
      </c>
      <c r="E1780" s="6" t="s">
        <v>143</v>
      </c>
      <c r="F1780" s="6" t="s">
        <v>258</v>
      </c>
      <c r="G1780" s="11">
        <v>46134.354166666664</v>
      </c>
      <c r="H1780" s="11"/>
      <c r="I1780" s="10" t="s">
        <v>456</v>
      </c>
      <c r="J1780" s="6" t="s">
        <v>457</v>
      </c>
      <c r="K1780" s="12">
        <v>46121.553506944445</v>
      </c>
      <c r="L1780" s="6" t="str" cm="1">
        <f t="array" ref="L1780">LOOKUP(2^15,SEARCH(Tabela2[Palavras-Chave],Boletim4[[#This Row],[Objeto]],1),Tabela2[Palavras-Chave])</f>
        <v>DIAGNÓSTICO</v>
      </c>
    </row>
    <row r="1781" spans="1:12" ht="129.6" hidden="1" x14ac:dyDescent="0.3">
      <c r="A1781" s="5">
        <v>18744500</v>
      </c>
      <c r="B1781" s="6" t="s">
        <v>465</v>
      </c>
      <c r="C1781" s="6" t="s">
        <v>69</v>
      </c>
      <c r="D1781" s="8" t="s">
        <v>70</v>
      </c>
      <c r="E1781" s="6" t="s">
        <v>2744</v>
      </c>
      <c r="F1781" s="6" t="s">
        <v>258</v>
      </c>
      <c r="G1781" s="11">
        <v>46127.375</v>
      </c>
      <c r="H1781" s="11"/>
      <c r="I1781" s="10" t="s">
        <v>2745</v>
      </c>
      <c r="J1781" s="6" t="s">
        <v>2746</v>
      </c>
      <c r="K1781" s="12">
        <v>46121.538969907408</v>
      </c>
      <c r="L1781" s="6" t="e" cm="1">
        <f t="array" ref="L1781">LOOKUP(2^15,SEARCH(Tabela2[Palavras-Chave],Boletim4[[#This Row],[Objeto]],1),Tabela2[Palavras-Chave])</f>
        <v>#N/A</v>
      </c>
    </row>
    <row r="1782" spans="1:12" ht="187.2" hidden="1" x14ac:dyDescent="0.3">
      <c r="A1782" s="5">
        <v>18788361</v>
      </c>
      <c r="B1782" s="6" t="s">
        <v>2747</v>
      </c>
      <c r="C1782" s="6" t="s">
        <v>2748</v>
      </c>
      <c r="D1782" s="8" t="s">
        <v>72</v>
      </c>
      <c r="E1782" s="6" t="s">
        <v>119</v>
      </c>
      <c r="F1782" s="6" t="s">
        <v>258</v>
      </c>
      <c r="G1782" s="11" t="s">
        <v>56</v>
      </c>
      <c r="H1782" s="11"/>
      <c r="I1782" s="10" t="s">
        <v>2749</v>
      </c>
      <c r="J1782" s="6" t="s">
        <v>2750</v>
      </c>
      <c r="K1782" s="12">
        <v>46121.482673611114</v>
      </c>
      <c r="L1782" s="6" t="e" cm="1">
        <f t="array" ref="L1782">LOOKUP(2^15,SEARCH(Tabela2[Palavras-Chave],Boletim4[[#This Row],[Objeto]],1),Tabela2[Palavras-Chave])</f>
        <v>#N/A</v>
      </c>
    </row>
    <row r="1783" spans="1:12" ht="86.4" hidden="1" x14ac:dyDescent="0.3">
      <c r="A1783" s="5">
        <v>18798289</v>
      </c>
      <c r="B1783" s="6" t="s">
        <v>156</v>
      </c>
      <c r="C1783" s="6" t="s">
        <v>73</v>
      </c>
      <c r="D1783" s="8" t="s">
        <v>72</v>
      </c>
      <c r="E1783" s="6" t="s">
        <v>2751</v>
      </c>
      <c r="F1783" s="6" t="s">
        <v>258</v>
      </c>
      <c r="G1783" s="11">
        <v>46146.375</v>
      </c>
      <c r="H1783" s="11"/>
      <c r="I1783" s="10" t="s">
        <v>2752</v>
      </c>
      <c r="J1783" s="6" t="s">
        <v>2753</v>
      </c>
      <c r="K1783" s="12">
        <v>46121.554212962961</v>
      </c>
      <c r="L1783" s="6" t="e" cm="1">
        <f t="array" ref="L1783">LOOKUP(2^15,SEARCH(Tabela2[Palavras-Chave],Boletim4[[#This Row],[Objeto]],1),Tabela2[Palavras-Chave])</f>
        <v>#N/A</v>
      </c>
    </row>
    <row r="1784" spans="1:12" ht="129.6" hidden="1" x14ac:dyDescent="0.3">
      <c r="A1784" s="5">
        <v>18699805</v>
      </c>
      <c r="B1784" s="6" t="s">
        <v>156</v>
      </c>
      <c r="C1784" s="6" t="s">
        <v>73</v>
      </c>
      <c r="D1784" s="8" t="s">
        <v>72</v>
      </c>
      <c r="E1784" s="6" t="s">
        <v>602</v>
      </c>
      <c r="F1784" s="6" t="s">
        <v>258</v>
      </c>
      <c r="G1784" s="11">
        <v>46122.458333333336</v>
      </c>
      <c r="H1784" s="11"/>
      <c r="I1784" s="10" t="s">
        <v>603</v>
      </c>
      <c r="J1784" s="6" t="s">
        <v>604</v>
      </c>
      <c r="K1784" s="12">
        <v>46121.556967592594</v>
      </c>
      <c r="L1784" s="6" t="e" cm="1">
        <f t="array" ref="L1784">LOOKUP(2^15,SEARCH(Tabela2[Palavras-Chave],Boletim4[[#This Row],[Objeto]],1),Tabela2[Palavras-Chave])</f>
        <v>#N/A</v>
      </c>
    </row>
    <row r="1785" spans="1:12" ht="129.6" hidden="1" x14ac:dyDescent="0.3">
      <c r="A1785" s="5">
        <v>18799748</v>
      </c>
      <c r="B1785" s="6" t="s">
        <v>2754</v>
      </c>
      <c r="C1785" s="6" t="s">
        <v>83</v>
      </c>
      <c r="D1785" s="8" t="s">
        <v>82</v>
      </c>
      <c r="E1785" s="6" t="s">
        <v>2755</v>
      </c>
      <c r="F1785" s="6" t="s">
        <v>258</v>
      </c>
      <c r="G1785" s="11">
        <v>46122.416666666664</v>
      </c>
      <c r="H1785" s="11"/>
      <c r="I1785" s="10" t="s">
        <v>2756</v>
      </c>
      <c r="J1785" s="6" t="s">
        <v>2757</v>
      </c>
      <c r="K1785" s="12">
        <v>46121.544490740744</v>
      </c>
      <c r="L1785" s="6" t="e" cm="1">
        <f t="array" ref="L1785">LOOKUP(2^15,SEARCH(Tabela2[Palavras-Chave],Boletim4[[#This Row],[Objeto]],1),Tabela2[Palavras-Chave])</f>
        <v>#N/A</v>
      </c>
    </row>
    <row r="1786" spans="1:12" ht="115.2" hidden="1" x14ac:dyDescent="0.3">
      <c r="A1786" s="5">
        <v>18804686</v>
      </c>
      <c r="B1786" s="6" t="s">
        <v>253</v>
      </c>
      <c r="C1786" s="6" t="s">
        <v>164</v>
      </c>
      <c r="D1786" s="8" t="s">
        <v>82</v>
      </c>
      <c r="E1786" s="6" t="s">
        <v>294</v>
      </c>
      <c r="F1786" s="6" t="s">
        <v>258</v>
      </c>
      <c r="G1786" s="11">
        <v>46134.333333333336</v>
      </c>
      <c r="H1786" s="11"/>
      <c r="I1786" s="10" t="s">
        <v>703</v>
      </c>
      <c r="J1786" s="6" t="s">
        <v>704</v>
      </c>
      <c r="K1786" s="12">
        <v>46121.545173611114</v>
      </c>
      <c r="L1786" s="6" t="e" cm="1">
        <f t="array" ref="L1786">LOOKUP(2^15,SEARCH(Tabela2[Palavras-Chave],Boletim4[[#This Row],[Objeto]],1),Tabela2[Palavras-Chave])</f>
        <v>#N/A</v>
      </c>
    </row>
    <row r="1787" spans="1:12" ht="115.2" hidden="1" x14ac:dyDescent="0.3">
      <c r="A1787" s="5">
        <v>18804621</v>
      </c>
      <c r="B1787" s="6" t="s">
        <v>253</v>
      </c>
      <c r="C1787" s="6" t="s">
        <v>164</v>
      </c>
      <c r="D1787" s="8" t="s">
        <v>82</v>
      </c>
      <c r="E1787" s="6" t="s">
        <v>545</v>
      </c>
      <c r="F1787" s="6" t="s">
        <v>258</v>
      </c>
      <c r="G1787" s="11">
        <v>46136.333333333336</v>
      </c>
      <c r="H1787" s="11"/>
      <c r="I1787" s="10" t="s">
        <v>546</v>
      </c>
      <c r="J1787" s="6" t="s">
        <v>547</v>
      </c>
      <c r="K1787" s="12">
        <v>46121.554884259262</v>
      </c>
      <c r="L1787" s="6" t="e" cm="1">
        <f t="array" ref="L1787">LOOKUP(2^15,SEARCH(Tabela2[Palavras-Chave],Boletim4[[#This Row],[Objeto]],1),Tabela2[Palavras-Chave])</f>
        <v>#N/A</v>
      </c>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DestacarPalavras">
                <anchor moveWithCells="1" sizeWithCells="1">
                  <from>
                    <xdr:col>0</xdr:col>
                    <xdr:colOff>0</xdr:colOff>
                    <xdr:row>0</xdr:row>
                    <xdr:rowOff>0</xdr:rowOff>
                  </from>
                  <to>
                    <xdr:col>1</xdr:col>
                    <xdr:colOff>0</xdr:colOff>
                    <xdr:row>1</xdr:row>
                    <xdr:rowOff>22860</xdr:rowOff>
                  </to>
                </anchor>
              </controlPr>
            </control>
          </mc:Choice>
        </mc:AlternateContent>
        <mc:AlternateContent xmlns:mc="http://schemas.openxmlformats.org/markup-compatibility/2006">
          <mc:Choice Requires="x14">
            <control shapeId="5122" r:id="rId5" name="Button 2">
              <controlPr defaultSize="0" print="0" autoFill="0" autoPict="0" macro="[0]!SalvarCopiaLimpaELimparOriginal">
                <anchor moveWithCells="1" sizeWithCells="1">
                  <from>
                    <xdr:col>1</xdr:col>
                    <xdr:colOff>7620</xdr:colOff>
                    <xdr:row>0</xdr:row>
                    <xdr:rowOff>7620</xdr:rowOff>
                  </from>
                  <to>
                    <xdr:col>1</xdr:col>
                    <xdr:colOff>960120</xdr:colOff>
                    <xdr:row>1</xdr:row>
                    <xdr:rowOff>0</xdr:rowOff>
                  </to>
                </anchor>
              </controlPr>
            </control>
          </mc:Choice>
        </mc:AlternateContent>
      </controls>
    </mc:Choice>
  </mc:AlternateContent>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909D63F-DE7B-4ECF-8F7D-4AD83CC09C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Boletim</vt:lpstr>
      <vt:lpstr>PALAVRAS CHAVE</vt:lpstr>
      <vt:lpstr>Boletim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Reis</dc:creator>
  <cp:lastModifiedBy>Gabriel Rossi</cp:lastModifiedBy>
  <dcterms:created xsi:type="dcterms:W3CDTF">2025-07-24T13:34:57Z</dcterms:created>
  <dcterms:modified xsi:type="dcterms:W3CDTF">2026-04-10T10:04:19Z</dcterms:modified>
</cp:coreProperties>
</file>