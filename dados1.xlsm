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EstaPastaDeTrabalho" defaultThemeVersion="124226"/>
  <mc:AlternateContent xmlns:mc="http://schemas.openxmlformats.org/markup-compatibility/2006">
    <mc:Choice Requires="x15">
      <x15ac:absPath xmlns:x15ac="http://schemas.microsoft.com/office/spreadsheetml/2010/11/ac" url="C:\Users\gabriel.rossi\Documents\Projects\Buscador\"/>
    </mc:Choice>
  </mc:AlternateContent>
  <xr:revisionPtr revIDLastSave="0" documentId="13_ncr:1_{545EAF59-9237-49CC-8A8E-6050580F793B}" xr6:coauthVersionLast="47" xr6:coauthVersionMax="47" xr10:uidLastSave="{00000000-0000-0000-0000-000000000000}"/>
  <bookViews>
    <workbookView xWindow="5544" yWindow="-11628" windowWidth="20712" windowHeight="11016" activeTab="2" xr2:uid="{00000000-000D-0000-FFFF-FFFF00000000}"/>
  </bookViews>
  <sheets>
    <sheet name="PALAVRAS CHAVE" sheetId="2" r:id="rId1"/>
    <sheet name="Boletim" sheetId="5" r:id="rId2"/>
    <sheet name="Boletim (2)" sheetId="6" r:id="rId3"/>
  </sheets>
  <definedNames>
    <definedName name="DadosExternos_1" localSheetId="1" hidden="1">Boletim!$A$1:$J$1595</definedName>
    <definedName name="DadosExternos_1" localSheetId="2" hidden="1">'Boletim (2)'!$A$1:$K$1595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1595" i="6" l="1" a="1"/>
  <c r="L1595" i="6" s="1"/>
  <c r="L1594" i="6" a="1"/>
  <c r="L1594" i="6" s="1"/>
  <c r="L1593" i="6" a="1"/>
  <c r="L1593" i="6" s="1"/>
  <c r="L1592" i="6" a="1"/>
  <c r="L1592" i="6" s="1"/>
  <c r="L1591" i="6" a="1"/>
  <c r="L1591" i="6" s="1"/>
  <c r="L1590" i="6" a="1"/>
  <c r="L1590" i="6" s="1"/>
  <c r="L1589" i="6" a="1"/>
  <c r="L1589" i="6" s="1"/>
  <c r="L1588" i="6" a="1"/>
  <c r="L1588" i="6" s="1"/>
  <c r="L1587" i="6" a="1"/>
  <c r="L1587" i="6" s="1"/>
  <c r="L1586" i="6" a="1"/>
  <c r="L1586" i="6" s="1"/>
  <c r="L1585" i="6" a="1"/>
  <c r="L1585" i="6" s="1"/>
  <c r="L1584" i="6" a="1"/>
  <c r="L1584" i="6" s="1"/>
  <c r="L1583" i="6" a="1"/>
  <c r="L1583" i="6" s="1"/>
  <c r="L1582" i="6" a="1"/>
  <c r="L1582" i="6" s="1"/>
  <c r="L1581" i="6" a="1"/>
  <c r="L1581" i="6" s="1"/>
  <c r="L1580" i="6" a="1"/>
  <c r="L1580" i="6" s="1"/>
  <c r="L1579" i="6" a="1"/>
  <c r="L1579" i="6" s="1"/>
  <c r="L1578" i="6" a="1"/>
  <c r="L1578" i="6" s="1"/>
  <c r="L1577" i="6" a="1"/>
  <c r="L1577" i="6" s="1"/>
  <c r="L1576" i="6" a="1"/>
  <c r="L1576" i="6" s="1"/>
  <c r="L1575" i="6" a="1"/>
  <c r="L1575" i="6" s="1"/>
  <c r="L1574" i="6" a="1"/>
  <c r="L1574" i="6" s="1"/>
  <c r="L1573" i="6" a="1"/>
  <c r="L1573" i="6" s="1"/>
  <c r="L1572" i="6" a="1"/>
  <c r="L1572" i="6" s="1"/>
  <c r="L1571" i="6" a="1"/>
  <c r="L1571" i="6" s="1"/>
  <c r="L1570" i="6" a="1"/>
  <c r="L1570" i="6" s="1"/>
  <c r="L1569" i="6" a="1"/>
  <c r="L1569" i="6" s="1"/>
  <c r="L1568" i="6" a="1"/>
  <c r="L1568" i="6" s="1"/>
  <c r="L1567" i="6" a="1"/>
  <c r="L1567" i="6" s="1"/>
  <c r="L1566" i="6" a="1"/>
  <c r="L1566" i="6" s="1"/>
  <c r="L1565" i="6" a="1"/>
  <c r="L1565" i="6" s="1"/>
  <c r="L1564" i="6" a="1"/>
  <c r="L1564" i="6" s="1"/>
  <c r="L1563" i="6" a="1"/>
  <c r="L1563" i="6" s="1"/>
  <c r="L1562" i="6" a="1"/>
  <c r="L1562" i="6" s="1"/>
  <c r="L1561" i="6" a="1"/>
  <c r="L1561" i="6" s="1"/>
  <c r="L1560" i="6" a="1"/>
  <c r="L1560" i="6" s="1"/>
  <c r="L1559" i="6" a="1"/>
  <c r="L1559" i="6" s="1"/>
  <c r="L1558" i="6" a="1"/>
  <c r="L1558" i="6" s="1"/>
  <c r="L1557" i="6" a="1"/>
  <c r="L1557" i="6" s="1"/>
  <c r="L1556" i="6" a="1"/>
  <c r="L1556" i="6" s="1"/>
  <c r="L1555" i="6" a="1"/>
  <c r="L1555" i="6" s="1"/>
  <c r="L1554" i="6" a="1"/>
  <c r="L1554" i="6" s="1"/>
  <c r="L1553" i="6" a="1"/>
  <c r="L1553" i="6" s="1"/>
  <c r="L1552" i="6" a="1"/>
  <c r="L1552" i="6" s="1"/>
  <c r="L1551" i="6" a="1"/>
  <c r="L1551" i="6" s="1"/>
  <c r="L1550" i="6" a="1"/>
  <c r="L1550" i="6" s="1"/>
  <c r="L1549" i="6" a="1"/>
  <c r="L1549" i="6" s="1"/>
  <c r="L1548" i="6" a="1"/>
  <c r="L1548" i="6" s="1"/>
  <c r="L1547" i="6" a="1"/>
  <c r="L1547" i="6" s="1"/>
  <c r="L1546" i="6" a="1"/>
  <c r="L1546" i="6" s="1"/>
  <c r="L1545" i="6" a="1"/>
  <c r="L1545" i="6" s="1"/>
  <c r="L1544" i="6" a="1"/>
  <c r="L1544" i="6" s="1"/>
  <c r="L1543" i="6" a="1"/>
  <c r="L1543" i="6" s="1"/>
  <c r="L1542" i="6" a="1"/>
  <c r="L1542" i="6" s="1"/>
  <c r="L1541" i="6" a="1"/>
  <c r="L1541" i="6" s="1"/>
  <c r="L1540" i="6" a="1"/>
  <c r="L1540" i="6" s="1"/>
  <c r="L1539" i="6" a="1"/>
  <c r="L1539" i="6" s="1"/>
  <c r="L1538" i="6" a="1"/>
  <c r="L1538" i="6" s="1"/>
  <c r="L1537" i="6" a="1"/>
  <c r="L1537" i="6" s="1"/>
  <c r="L1536" i="6" a="1"/>
  <c r="L1536" i="6" s="1"/>
  <c r="L1535" i="6" a="1"/>
  <c r="L1535" i="6" s="1"/>
  <c r="L1534" i="6" a="1"/>
  <c r="L1534" i="6" s="1"/>
  <c r="L1533" i="6" a="1"/>
  <c r="L1533" i="6" s="1"/>
  <c r="L1532" i="6" a="1"/>
  <c r="L1532" i="6" s="1"/>
  <c r="L1531" i="6" a="1"/>
  <c r="L1531" i="6" s="1"/>
  <c r="L1530" i="6" a="1"/>
  <c r="L1530" i="6" s="1"/>
  <c r="L1529" i="6" a="1"/>
  <c r="L1529" i="6" s="1"/>
  <c r="L1528" i="6" a="1"/>
  <c r="L1528" i="6" s="1"/>
  <c r="L1527" i="6" a="1"/>
  <c r="L1527" i="6" s="1"/>
  <c r="L1526" i="6" a="1"/>
  <c r="L1526" i="6" s="1"/>
  <c r="L1525" i="6" a="1"/>
  <c r="L1525" i="6" s="1"/>
  <c r="L1524" i="6" a="1"/>
  <c r="L1524" i="6" s="1"/>
  <c r="L1523" i="6" a="1"/>
  <c r="L1523" i="6" s="1"/>
  <c r="L1522" i="6" a="1"/>
  <c r="L1522" i="6" s="1"/>
  <c r="L1521" i="6" a="1"/>
  <c r="L1521" i="6" s="1"/>
  <c r="L1520" i="6" a="1"/>
  <c r="L1520" i="6" s="1"/>
  <c r="L1519" i="6" a="1"/>
  <c r="L1519" i="6" s="1"/>
  <c r="L1518" i="6" a="1"/>
  <c r="L1518" i="6" s="1"/>
  <c r="L1517" i="6" a="1"/>
  <c r="L1517" i="6" s="1"/>
  <c r="L1516" i="6" a="1"/>
  <c r="L1516" i="6" s="1"/>
  <c r="L1515" i="6" a="1"/>
  <c r="L1515" i="6" s="1"/>
  <c r="L1514" i="6" a="1"/>
  <c r="L1514" i="6" s="1"/>
  <c r="L1513" i="6" a="1"/>
  <c r="L1513" i="6" s="1"/>
  <c r="L1512" i="6" a="1"/>
  <c r="L1512" i="6" s="1"/>
  <c r="L1511" i="6" a="1"/>
  <c r="L1511" i="6" s="1"/>
  <c r="L1510" i="6" a="1"/>
  <c r="L1510" i="6" s="1"/>
  <c r="L1509" i="6" a="1"/>
  <c r="L1509" i="6" s="1"/>
  <c r="L1508" i="6" a="1"/>
  <c r="L1508" i="6" s="1"/>
  <c r="L1507" i="6" a="1"/>
  <c r="L1507" i="6" s="1"/>
  <c r="L1506" i="6" a="1"/>
  <c r="L1506" i="6" s="1"/>
  <c r="L1505" i="6" a="1"/>
  <c r="L1505" i="6" s="1"/>
  <c r="L1504" i="6" a="1"/>
  <c r="L1504" i="6" s="1"/>
  <c r="L1503" i="6" a="1"/>
  <c r="L1503" i="6" s="1"/>
  <c r="L1502" i="6" a="1"/>
  <c r="L1502" i="6" s="1"/>
  <c r="L1501" i="6" a="1"/>
  <c r="L1501" i="6" s="1"/>
  <c r="L1500" i="6" a="1"/>
  <c r="L1500" i="6" s="1"/>
  <c r="L1499" i="6" a="1"/>
  <c r="L1499" i="6" s="1"/>
  <c r="L1498" i="6" a="1"/>
  <c r="L1498" i="6" s="1"/>
  <c r="L1497" i="6" a="1"/>
  <c r="L1497" i="6" s="1"/>
  <c r="L1496" i="6" a="1"/>
  <c r="L1496" i="6" s="1"/>
  <c r="L1495" i="6" a="1"/>
  <c r="L1495" i="6" s="1"/>
  <c r="L1494" i="6" a="1"/>
  <c r="L1494" i="6" s="1"/>
  <c r="L1493" i="6" a="1"/>
  <c r="L1493" i="6" s="1"/>
  <c r="L1492" i="6" a="1"/>
  <c r="L1492" i="6" s="1"/>
  <c r="L1491" i="6" a="1"/>
  <c r="L1491" i="6" s="1"/>
  <c r="L1490" i="6" a="1"/>
  <c r="L1490" i="6" s="1"/>
  <c r="L1489" i="6" a="1"/>
  <c r="L1489" i="6" s="1"/>
  <c r="L1488" i="6" a="1"/>
  <c r="L1488" i="6" s="1"/>
  <c r="L1487" i="6" a="1"/>
  <c r="L1487" i="6" s="1"/>
  <c r="L1486" i="6" a="1"/>
  <c r="L1486" i="6" s="1"/>
  <c r="L1485" i="6" a="1"/>
  <c r="L1485" i="6" s="1"/>
  <c r="L1484" i="6" a="1"/>
  <c r="L1484" i="6" s="1"/>
  <c r="L1483" i="6" a="1"/>
  <c r="L1483" i="6" s="1"/>
  <c r="L1482" i="6" a="1"/>
  <c r="L1482" i="6" s="1"/>
  <c r="L1481" i="6" a="1"/>
  <c r="L1481" i="6" s="1"/>
  <c r="L1480" i="6" a="1"/>
  <c r="L1480" i="6" s="1"/>
  <c r="L1479" i="6" a="1"/>
  <c r="L1479" i="6" s="1"/>
  <c r="L1478" i="6" a="1"/>
  <c r="L1478" i="6" s="1"/>
  <c r="L1477" i="6" a="1"/>
  <c r="L1477" i="6" s="1"/>
  <c r="L1476" i="6" a="1"/>
  <c r="L1476" i="6" s="1"/>
  <c r="L1475" i="6" a="1"/>
  <c r="L1475" i="6" s="1"/>
  <c r="L1474" i="6" a="1"/>
  <c r="L1474" i="6" s="1"/>
  <c r="L1473" i="6" a="1"/>
  <c r="L1473" i="6" s="1"/>
  <c r="L1472" i="6" a="1"/>
  <c r="L1472" i="6" s="1"/>
  <c r="L1471" i="6" a="1"/>
  <c r="L1471" i="6" s="1"/>
  <c r="L1470" i="6" a="1"/>
  <c r="L1470" i="6" s="1"/>
  <c r="L1469" i="6" a="1"/>
  <c r="L1469" i="6" s="1"/>
  <c r="L1468" i="6" a="1"/>
  <c r="L1468" i="6" s="1"/>
  <c r="L1467" i="6" a="1"/>
  <c r="L1467" i="6" s="1"/>
  <c r="L1466" i="6" a="1"/>
  <c r="L1466" i="6" s="1"/>
  <c r="L1465" i="6" a="1"/>
  <c r="L1465" i="6" s="1"/>
  <c r="L1464" i="6" a="1"/>
  <c r="L1464" i="6" s="1"/>
  <c r="L1463" i="6" a="1"/>
  <c r="L1463" i="6" s="1"/>
  <c r="L1462" i="6" a="1"/>
  <c r="L1462" i="6" s="1"/>
  <c r="L1461" i="6" a="1"/>
  <c r="L1461" i="6" s="1"/>
  <c r="L1460" i="6" a="1"/>
  <c r="L1460" i="6" s="1"/>
  <c r="L1459" i="6" a="1"/>
  <c r="L1459" i="6" s="1"/>
  <c r="L1458" i="6" a="1"/>
  <c r="L1458" i="6" s="1"/>
  <c r="L1457" i="6" a="1"/>
  <c r="L1457" i="6" s="1"/>
  <c r="L1456" i="6" a="1"/>
  <c r="L1456" i="6" s="1"/>
  <c r="L1455" i="6" a="1"/>
  <c r="L1455" i="6" s="1"/>
  <c r="L1454" i="6" a="1"/>
  <c r="L1454" i="6" s="1"/>
  <c r="L1453" i="6" a="1"/>
  <c r="L1453" i="6" s="1"/>
  <c r="L1452" i="6" a="1"/>
  <c r="L1452" i="6" s="1"/>
  <c r="L1451" i="6" a="1"/>
  <c r="L1451" i="6" s="1"/>
  <c r="L1450" i="6" a="1"/>
  <c r="L1450" i="6" s="1"/>
  <c r="L1449" i="6" a="1"/>
  <c r="L1449" i="6" s="1"/>
  <c r="L1448" i="6" a="1"/>
  <c r="L1448" i="6" s="1"/>
  <c r="L1447" i="6" a="1"/>
  <c r="L1447" i="6" s="1"/>
  <c r="L1446" i="6" a="1"/>
  <c r="L1446" i="6" s="1"/>
  <c r="L1445" i="6" a="1"/>
  <c r="L1445" i="6" s="1"/>
  <c r="L1444" i="6" a="1"/>
  <c r="L1444" i="6" s="1"/>
  <c r="L1443" i="6" a="1"/>
  <c r="L1443" i="6" s="1"/>
  <c r="L1442" i="6" a="1"/>
  <c r="L1442" i="6" s="1"/>
  <c r="L1441" i="6" a="1"/>
  <c r="L1441" i="6" s="1"/>
  <c r="L1440" i="6" a="1"/>
  <c r="L1440" i="6" s="1"/>
  <c r="L1439" i="6" a="1"/>
  <c r="L1439" i="6" s="1"/>
  <c r="L1438" i="6" a="1"/>
  <c r="L1438" i="6" s="1"/>
  <c r="L1437" i="6" a="1"/>
  <c r="L1437" i="6" s="1"/>
  <c r="L1436" i="6" a="1"/>
  <c r="L1436" i="6" s="1"/>
  <c r="L1435" i="6" a="1"/>
  <c r="L1435" i="6" s="1"/>
  <c r="L1434" i="6" a="1"/>
  <c r="L1434" i="6" s="1"/>
  <c r="L1433" i="6" a="1"/>
  <c r="L1433" i="6" s="1"/>
  <c r="L1432" i="6" a="1"/>
  <c r="L1432" i="6" s="1"/>
  <c r="L1431" i="6" a="1"/>
  <c r="L1431" i="6" s="1"/>
  <c r="L1430" i="6" a="1"/>
  <c r="L1430" i="6" s="1"/>
  <c r="L1429" i="6" a="1"/>
  <c r="L1429" i="6" s="1"/>
  <c r="L1428" i="6" a="1"/>
  <c r="L1428" i="6" s="1"/>
  <c r="L1427" i="6" a="1"/>
  <c r="L1427" i="6" s="1"/>
  <c r="L1426" i="6" a="1"/>
  <c r="L1426" i="6" s="1"/>
  <c r="L1425" i="6" a="1"/>
  <c r="L1425" i="6" s="1"/>
  <c r="L1424" i="6" a="1"/>
  <c r="L1424" i="6" s="1"/>
  <c r="L1423" i="6" a="1"/>
  <c r="L1423" i="6" s="1"/>
  <c r="L1422" i="6" a="1"/>
  <c r="L1422" i="6" s="1"/>
  <c r="L1421" i="6" a="1"/>
  <c r="L1421" i="6" s="1"/>
  <c r="L1420" i="6" a="1"/>
  <c r="L1420" i="6" s="1"/>
  <c r="L1419" i="6" a="1"/>
  <c r="L1419" i="6" s="1"/>
  <c r="L1418" i="6" a="1"/>
  <c r="L1418" i="6" s="1"/>
  <c r="L1417" i="6" a="1"/>
  <c r="L1417" i="6" s="1"/>
  <c r="L1416" i="6" a="1"/>
  <c r="L1416" i="6" s="1"/>
  <c r="L1415" i="6" a="1"/>
  <c r="L1415" i="6" s="1"/>
  <c r="L1414" i="6" a="1"/>
  <c r="L1414" i="6" s="1"/>
  <c r="L1413" i="6" a="1"/>
  <c r="L1413" i="6" s="1"/>
  <c r="L1412" i="6" a="1"/>
  <c r="L1412" i="6" s="1"/>
  <c r="L1411" i="6" a="1"/>
  <c r="L1411" i="6" s="1"/>
  <c r="L1410" i="6" a="1"/>
  <c r="L1410" i="6" s="1"/>
  <c r="L1409" i="6" a="1"/>
  <c r="L1409" i="6" s="1"/>
  <c r="L1408" i="6" a="1"/>
  <c r="L1408" i="6" s="1"/>
  <c r="L1407" i="6" a="1"/>
  <c r="L1407" i="6" s="1"/>
  <c r="L1406" i="6" a="1"/>
  <c r="L1406" i="6" s="1"/>
  <c r="L1405" i="6" a="1"/>
  <c r="L1405" i="6" s="1"/>
  <c r="L1404" i="6" a="1"/>
  <c r="L1404" i="6" s="1"/>
  <c r="L1403" i="6" a="1"/>
  <c r="L1403" i="6" s="1"/>
  <c r="L1402" i="6" a="1"/>
  <c r="L1402" i="6" s="1"/>
  <c r="L1401" i="6" a="1"/>
  <c r="L1401" i="6" s="1"/>
  <c r="L1400" i="6" a="1"/>
  <c r="L1400" i="6" s="1"/>
  <c r="L1399" i="6" a="1"/>
  <c r="L1399" i="6" s="1"/>
  <c r="L1398" i="6" a="1"/>
  <c r="L1398" i="6" s="1"/>
  <c r="L1397" i="6" a="1"/>
  <c r="L1397" i="6" s="1"/>
  <c r="L1396" i="6" a="1"/>
  <c r="L1396" i="6" s="1"/>
  <c r="L1395" i="6" a="1"/>
  <c r="L1395" i="6" s="1"/>
  <c r="L1394" i="6" a="1"/>
  <c r="L1394" i="6" s="1"/>
  <c r="L1393" i="6" a="1"/>
  <c r="L1393" i="6" s="1"/>
  <c r="L1392" i="6" a="1"/>
  <c r="L1392" i="6" s="1"/>
  <c r="L1391" i="6" a="1"/>
  <c r="L1391" i="6" s="1"/>
  <c r="L1390" i="6" a="1"/>
  <c r="L1390" i="6" s="1"/>
  <c r="L1389" i="6" a="1"/>
  <c r="L1389" i="6" s="1"/>
  <c r="L1388" i="6" a="1"/>
  <c r="L1388" i="6" s="1"/>
  <c r="L1387" i="6" a="1"/>
  <c r="L1387" i="6" s="1"/>
  <c r="L1386" i="6" a="1"/>
  <c r="L1386" i="6" s="1"/>
  <c r="L1385" i="6" a="1"/>
  <c r="L1385" i="6" s="1"/>
  <c r="L1384" i="6" a="1"/>
  <c r="L1384" i="6" s="1"/>
  <c r="L1383" i="6" a="1"/>
  <c r="L1383" i="6" s="1"/>
  <c r="L1382" i="6" a="1"/>
  <c r="L1382" i="6" s="1"/>
  <c r="L1381" i="6" a="1"/>
  <c r="L1381" i="6" s="1"/>
  <c r="L1380" i="6" a="1"/>
  <c r="L1380" i="6" s="1"/>
  <c r="L1379" i="6" a="1"/>
  <c r="L1379" i="6" s="1"/>
  <c r="L1378" i="6" a="1"/>
  <c r="L1378" i="6" s="1"/>
  <c r="L1377" i="6" a="1"/>
  <c r="L1377" i="6" s="1"/>
  <c r="L1376" i="6" a="1"/>
  <c r="L1376" i="6" s="1"/>
  <c r="L1375" i="6" a="1"/>
  <c r="L1375" i="6" s="1"/>
  <c r="L1374" i="6" a="1"/>
  <c r="L1374" i="6" s="1"/>
  <c r="L1373" i="6" a="1"/>
  <c r="L1373" i="6" s="1"/>
  <c r="L1372" i="6" a="1"/>
  <c r="L1372" i="6" s="1"/>
  <c r="L1371" i="6" a="1"/>
  <c r="L1371" i="6" s="1"/>
  <c r="L1370" i="6" a="1"/>
  <c r="L1370" i="6" s="1"/>
  <c r="L1369" i="6" a="1"/>
  <c r="L1369" i="6" s="1"/>
  <c r="L1368" i="6" a="1"/>
  <c r="L1368" i="6" s="1"/>
  <c r="L1367" i="6" a="1"/>
  <c r="L1367" i="6" s="1"/>
  <c r="L1366" i="6" a="1"/>
  <c r="L1366" i="6" s="1"/>
  <c r="L1365" i="6" a="1"/>
  <c r="L1365" i="6" s="1"/>
  <c r="L1364" i="6" a="1"/>
  <c r="L1364" i="6" s="1"/>
  <c r="L1363" i="6" a="1"/>
  <c r="L1363" i="6" s="1"/>
  <c r="L1362" i="6" a="1"/>
  <c r="L1362" i="6" s="1"/>
  <c r="L1361" i="6" a="1"/>
  <c r="L1361" i="6" s="1"/>
  <c r="L1360" i="6" a="1"/>
  <c r="L1360" i="6" s="1"/>
  <c r="L1359" i="6" a="1"/>
  <c r="L1359" i="6" s="1"/>
  <c r="L1358" i="6" a="1"/>
  <c r="L1358" i="6" s="1"/>
  <c r="L1357" i="6" a="1"/>
  <c r="L1357" i="6" s="1"/>
  <c r="L1356" i="6" a="1"/>
  <c r="L1356" i="6" s="1"/>
  <c r="L1355" i="6" a="1"/>
  <c r="L1355" i="6" s="1"/>
  <c r="L1354" i="6" a="1"/>
  <c r="L1354" i="6" s="1"/>
  <c r="L1353" i="6" a="1"/>
  <c r="L1353" i="6" s="1"/>
  <c r="L1352" i="6" a="1"/>
  <c r="L1352" i="6" s="1"/>
  <c r="L1351" i="6" a="1"/>
  <c r="L1351" i="6" s="1"/>
  <c r="L1350" i="6" a="1"/>
  <c r="L1350" i="6" s="1"/>
  <c r="L1349" i="6" a="1"/>
  <c r="L1349" i="6" s="1"/>
  <c r="L1348" i="6" a="1"/>
  <c r="L1348" i="6" s="1"/>
  <c r="L1347" i="6" a="1"/>
  <c r="L1347" i="6" s="1"/>
  <c r="L1346" i="6" a="1"/>
  <c r="L1346" i="6" s="1"/>
  <c r="L1345" i="6" a="1"/>
  <c r="L1345" i="6" s="1"/>
  <c r="L1344" i="6" a="1"/>
  <c r="L1344" i="6" s="1"/>
  <c r="L1343" i="6" a="1"/>
  <c r="L1343" i="6" s="1"/>
  <c r="L1342" i="6" a="1"/>
  <c r="L1342" i="6" s="1"/>
  <c r="L1341" i="6" a="1"/>
  <c r="L1341" i="6" s="1"/>
  <c r="L1340" i="6" a="1"/>
  <c r="L1340" i="6" s="1"/>
  <c r="L1339" i="6" a="1"/>
  <c r="L1339" i="6" s="1"/>
  <c r="L1338" i="6" a="1"/>
  <c r="L1338" i="6" s="1"/>
  <c r="L1337" i="6" a="1"/>
  <c r="L1337" i="6" s="1"/>
  <c r="L1336" i="6" a="1"/>
  <c r="L1336" i="6" s="1"/>
  <c r="L1335" i="6" a="1"/>
  <c r="L1335" i="6" s="1"/>
  <c r="L1334" i="6" a="1"/>
  <c r="L1334" i="6" s="1"/>
  <c r="L1333" i="6" a="1"/>
  <c r="L1333" i="6" s="1"/>
  <c r="L1332" i="6" a="1"/>
  <c r="L1332" i="6" s="1"/>
  <c r="L1331" i="6" a="1"/>
  <c r="L1331" i="6" s="1"/>
  <c r="L1330" i="6" a="1"/>
  <c r="L1330" i="6" s="1"/>
  <c r="L1329" i="6" a="1"/>
  <c r="L1329" i="6" s="1"/>
  <c r="L1328" i="6" a="1"/>
  <c r="L1328" i="6" s="1"/>
  <c r="L1327" i="6" a="1"/>
  <c r="L1327" i="6" s="1"/>
  <c r="L1326" i="6" a="1"/>
  <c r="L1326" i="6" s="1"/>
  <c r="L1325" i="6" a="1"/>
  <c r="L1325" i="6" s="1"/>
  <c r="L1324" i="6" a="1"/>
  <c r="L1324" i="6" s="1"/>
  <c r="L1323" i="6" a="1"/>
  <c r="L1323" i="6" s="1"/>
  <c r="L1322" i="6" a="1"/>
  <c r="L1322" i="6" s="1"/>
  <c r="L1321" i="6" a="1"/>
  <c r="L1321" i="6" s="1"/>
  <c r="L1320" i="6" a="1"/>
  <c r="L1320" i="6" s="1"/>
  <c r="L1319" i="6" a="1"/>
  <c r="L1319" i="6" s="1"/>
  <c r="L1318" i="6" a="1"/>
  <c r="L1318" i="6" s="1"/>
  <c r="L1317" i="6" a="1"/>
  <c r="L1317" i="6" s="1"/>
  <c r="L1316" i="6" a="1"/>
  <c r="L1316" i="6" s="1"/>
  <c r="L1315" i="6" a="1"/>
  <c r="L1315" i="6" s="1"/>
  <c r="L1314" i="6" a="1"/>
  <c r="L1314" i="6" s="1"/>
  <c r="L1313" i="6" a="1"/>
  <c r="L1313" i="6" s="1"/>
  <c r="L1312" i="6" a="1"/>
  <c r="L1312" i="6" s="1"/>
  <c r="L1311" i="6" a="1"/>
  <c r="L1311" i="6" s="1"/>
  <c r="L1310" i="6" a="1"/>
  <c r="L1310" i="6" s="1"/>
  <c r="L1309" i="6" a="1"/>
  <c r="L1309" i="6" s="1"/>
  <c r="L1308" i="6" a="1"/>
  <c r="L1308" i="6" s="1"/>
  <c r="L1307" i="6" a="1"/>
  <c r="L1307" i="6" s="1"/>
  <c r="L1306" i="6" a="1"/>
  <c r="L1306" i="6" s="1"/>
  <c r="L1305" i="6" a="1"/>
  <c r="L1305" i="6" s="1"/>
  <c r="L1304" i="6" a="1"/>
  <c r="L1304" i="6" s="1"/>
  <c r="L1303" i="6" a="1"/>
  <c r="L1303" i="6" s="1"/>
  <c r="L1302" i="6" a="1"/>
  <c r="L1302" i="6" s="1"/>
  <c r="L1301" i="6" a="1"/>
  <c r="L1301" i="6" s="1"/>
  <c r="L1300" i="6" a="1"/>
  <c r="L1300" i="6" s="1"/>
  <c r="L1299" i="6" a="1"/>
  <c r="L1299" i="6" s="1"/>
  <c r="L1298" i="6" a="1"/>
  <c r="L1298" i="6" s="1"/>
  <c r="L1297" i="6" a="1"/>
  <c r="L1297" i="6" s="1"/>
  <c r="L1296" i="6" a="1"/>
  <c r="L1296" i="6" s="1"/>
  <c r="L1295" i="6" a="1"/>
  <c r="L1295" i="6" s="1"/>
  <c r="L1294" i="6" a="1"/>
  <c r="L1294" i="6" s="1"/>
  <c r="L1293" i="6" a="1"/>
  <c r="L1293" i="6" s="1"/>
  <c r="L1292" i="6" a="1"/>
  <c r="L1292" i="6" s="1"/>
  <c r="L1291" i="6" a="1"/>
  <c r="L1291" i="6" s="1"/>
  <c r="L1290" i="6" a="1"/>
  <c r="L1290" i="6" s="1"/>
  <c r="L1289" i="6" a="1"/>
  <c r="L1289" i="6" s="1"/>
  <c r="L1288" i="6" a="1"/>
  <c r="L1288" i="6" s="1"/>
  <c r="L1287" i="6" a="1"/>
  <c r="L1287" i="6" s="1"/>
  <c r="L1286" i="6" a="1"/>
  <c r="L1286" i="6" s="1"/>
  <c r="L1285" i="6" a="1"/>
  <c r="L1285" i="6" s="1"/>
  <c r="L1284" i="6" a="1"/>
  <c r="L1284" i="6" s="1"/>
  <c r="L1283" i="6" a="1"/>
  <c r="L1283" i="6" s="1"/>
  <c r="L1282" i="6" a="1"/>
  <c r="L1282" i="6" s="1"/>
  <c r="L1281" i="6" a="1"/>
  <c r="L1281" i="6" s="1"/>
  <c r="L1280" i="6" a="1"/>
  <c r="L1280" i="6" s="1"/>
  <c r="L1279" i="6" a="1"/>
  <c r="L1279" i="6" s="1"/>
  <c r="L1278" i="6" a="1"/>
  <c r="L1278" i="6" s="1"/>
  <c r="L1277" i="6" a="1"/>
  <c r="L1277" i="6" s="1"/>
  <c r="L1276" i="6" a="1"/>
  <c r="L1276" i="6" s="1"/>
  <c r="L1275" i="6" a="1"/>
  <c r="L1275" i="6" s="1"/>
  <c r="L1274" i="6" a="1"/>
  <c r="L1274" i="6" s="1"/>
  <c r="L1273" i="6" a="1"/>
  <c r="L1273" i="6" s="1"/>
  <c r="L1272" i="6" a="1"/>
  <c r="L1272" i="6" s="1"/>
  <c r="L1271" i="6" a="1"/>
  <c r="L1271" i="6" s="1"/>
  <c r="L1270" i="6" a="1"/>
  <c r="L1270" i="6" s="1"/>
  <c r="L1269" i="6" a="1"/>
  <c r="L1269" i="6" s="1"/>
  <c r="L1268" i="6" a="1"/>
  <c r="L1268" i="6" s="1"/>
  <c r="L1267" i="6" a="1"/>
  <c r="L1267" i="6" s="1"/>
  <c r="L1266" i="6" a="1"/>
  <c r="L1266" i="6" s="1"/>
  <c r="L1265" i="6" a="1"/>
  <c r="L1265" i="6" s="1"/>
  <c r="L1264" i="6" a="1"/>
  <c r="L1264" i="6" s="1"/>
  <c r="L1263" i="6" a="1"/>
  <c r="L1263" i="6" s="1"/>
  <c r="L1262" i="6" a="1"/>
  <c r="L1262" i="6" s="1"/>
  <c r="L1261" i="6" a="1"/>
  <c r="L1261" i="6" s="1"/>
  <c r="L1260" i="6" a="1"/>
  <c r="L1260" i="6" s="1"/>
  <c r="L1259" i="6" a="1"/>
  <c r="L1259" i="6" s="1"/>
  <c r="L1258" i="6" a="1"/>
  <c r="L1258" i="6" s="1"/>
  <c r="L1257" i="6" a="1"/>
  <c r="L1257" i="6" s="1"/>
  <c r="L1256" i="6" a="1"/>
  <c r="L1256" i="6" s="1"/>
  <c r="L1255" i="6" a="1"/>
  <c r="L1255" i="6" s="1"/>
  <c r="L1254" i="6" a="1"/>
  <c r="L1254" i="6" s="1"/>
  <c r="L1253" i="6" a="1"/>
  <c r="L1253" i="6" s="1"/>
  <c r="L1252" i="6" a="1"/>
  <c r="L1252" i="6" s="1"/>
  <c r="L1251" i="6" a="1"/>
  <c r="L1251" i="6" s="1"/>
  <c r="L1250" i="6" a="1"/>
  <c r="L1250" i="6" s="1"/>
  <c r="L1249" i="6" a="1"/>
  <c r="L1249" i="6" s="1"/>
  <c r="L1248" i="6" a="1"/>
  <c r="L1248" i="6" s="1"/>
  <c r="L1247" i="6" a="1"/>
  <c r="L1247" i="6" s="1"/>
  <c r="L1246" i="6" a="1"/>
  <c r="L1246" i="6" s="1"/>
  <c r="L1245" i="6" a="1"/>
  <c r="L1245" i="6" s="1"/>
  <c r="L1244" i="6" a="1"/>
  <c r="L1244" i="6" s="1"/>
  <c r="L1243" i="6" a="1"/>
  <c r="L1243" i="6" s="1"/>
  <c r="L1242" i="6" a="1"/>
  <c r="L1242" i="6" s="1"/>
  <c r="L1241" i="6" a="1"/>
  <c r="L1241" i="6" s="1"/>
  <c r="L1240" i="6" a="1"/>
  <c r="L1240" i="6" s="1"/>
  <c r="L1239" i="6" a="1"/>
  <c r="L1239" i="6" s="1"/>
  <c r="L1238" i="6" a="1"/>
  <c r="L1238" i="6" s="1"/>
  <c r="L1237" i="6" a="1"/>
  <c r="L1237" i="6" s="1"/>
  <c r="L1236" i="6" a="1"/>
  <c r="L1236" i="6" s="1"/>
  <c r="L1235" i="6" a="1"/>
  <c r="L1235" i="6" s="1"/>
  <c r="L1234" i="6" a="1"/>
  <c r="L1234" i="6" s="1"/>
  <c r="L1233" i="6" a="1"/>
  <c r="L1233" i="6" s="1"/>
  <c r="L1232" i="6" a="1"/>
  <c r="L1232" i="6" s="1"/>
  <c r="L1231" i="6" a="1"/>
  <c r="L1231" i="6" s="1"/>
  <c r="L1230" i="6" a="1"/>
  <c r="L1230" i="6" s="1"/>
  <c r="L1229" i="6" a="1"/>
  <c r="L1229" i="6" s="1"/>
  <c r="L1228" i="6" a="1"/>
  <c r="L1228" i="6" s="1"/>
  <c r="L1227" i="6" a="1"/>
  <c r="L1227" i="6" s="1"/>
  <c r="L1226" i="6" a="1"/>
  <c r="L1226" i="6" s="1"/>
  <c r="L1225" i="6" a="1"/>
  <c r="L1225" i="6" s="1"/>
  <c r="L1224" i="6" a="1"/>
  <c r="L1224" i="6" s="1"/>
  <c r="L1223" i="6" a="1"/>
  <c r="L1223" i="6" s="1"/>
  <c r="L1222" i="6" a="1"/>
  <c r="L1222" i="6" s="1"/>
  <c r="L1221" i="6" a="1"/>
  <c r="L1221" i="6" s="1"/>
  <c r="L1220" i="6" a="1"/>
  <c r="L1220" i="6" s="1"/>
  <c r="L1219" i="6" a="1"/>
  <c r="L1219" i="6" s="1"/>
  <c r="L1218" i="6" a="1"/>
  <c r="L1218" i="6" s="1"/>
  <c r="L1217" i="6" a="1"/>
  <c r="L1217" i="6" s="1"/>
  <c r="L1216" i="6" a="1"/>
  <c r="L1216" i="6" s="1"/>
  <c r="L1215" i="6" a="1"/>
  <c r="L1215" i="6" s="1"/>
  <c r="L1214" i="6" a="1"/>
  <c r="L1214" i="6" s="1"/>
  <c r="L1213" i="6" a="1"/>
  <c r="L1213" i="6" s="1"/>
  <c r="L1212" i="6" a="1"/>
  <c r="L1212" i="6" s="1"/>
  <c r="L1211" i="6" a="1"/>
  <c r="L1211" i="6" s="1"/>
  <c r="L1210" i="6" a="1"/>
  <c r="L1210" i="6" s="1"/>
  <c r="L1209" i="6" a="1"/>
  <c r="L1209" i="6" s="1"/>
  <c r="L1208" i="6" a="1"/>
  <c r="L1208" i="6" s="1"/>
  <c r="L1207" i="6" a="1"/>
  <c r="L1207" i="6" s="1"/>
  <c r="L1206" i="6" a="1"/>
  <c r="L1206" i="6" s="1"/>
  <c r="L1205" i="6" a="1"/>
  <c r="L1205" i="6" s="1"/>
  <c r="L1204" i="6" a="1"/>
  <c r="L1204" i="6" s="1"/>
  <c r="L1203" i="6" a="1"/>
  <c r="L1203" i="6" s="1"/>
  <c r="L1202" i="6" a="1"/>
  <c r="L1202" i="6" s="1"/>
  <c r="L1201" i="6" a="1"/>
  <c r="L1201" i="6" s="1"/>
  <c r="L1200" i="6" a="1"/>
  <c r="L1200" i="6" s="1"/>
  <c r="L1199" i="6" a="1"/>
  <c r="L1199" i="6" s="1"/>
  <c r="L1198" i="6" a="1"/>
  <c r="L1198" i="6" s="1"/>
  <c r="L1197" i="6" a="1"/>
  <c r="L1197" i="6" s="1"/>
  <c r="L1196" i="6" a="1"/>
  <c r="L1196" i="6" s="1"/>
  <c r="L1195" i="6" a="1"/>
  <c r="L1195" i="6" s="1"/>
  <c r="L1194" i="6" a="1"/>
  <c r="L1194" i="6" s="1"/>
  <c r="L1193" i="6" a="1"/>
  <c r="L1193" i="6" s="1"/>
  <c r="L1192" i="6" a="1"/>
  <c r="L1192" i="6" s="1"/>
  <c r="L1191" i="6" a="1"/>
  <c r="L1191" i="6" s="1"/>
  <c r="L1190" i="6" a="1"/>
  <c r="L1190" i="6" s="1"/>
  <c r="L1189" i="6" a="1"/>
  <c r="L1189" i="6" s="1"/>
  <c r="L1188" i="6" a="1"/>
  <c r="L1188" i="6" s="1"/>
  <c r="L1187" i="6" a="1"/>
  <c r="L1187" i="6" s="1"/>
  <c r="L1186" i="6" a="1"/>
  <c r="L1186" i="6" s="1"/>
  <c r="L1185" i="6" a="1"/>
  <c r="L1185" i="6" s="1"/>
  <c r="L1184" i="6" a="1"/>
  <c r="L1184" i="6" s="1"/>
  <c r="L1183" i="6" a="1"/>
  <c r="L1183" i="6" s="1"/>
  <c r="L1182" i="6" a="1"/>
  <c r="L1182" i="6" s="1"/>
  <c r="L1181" i="6" a="1"/>
  <c r="L1181" i="6" s="1"/>
  <c r="L1180" i="6" a="1"/>
  <c r="L1180" i="6" s="1"/>
  <c r="L1179" i="6" a="1"/>
  <c r="L1179" i="6" s="1"/>
  <c r="L1178" i="6" a="1"/>
  <c r="L1178" i="6" s="1"/>
  <c r="L1177" i="6" a="1"/>
  <c r="L1177" i="6" s="1"/>
  <c r="L1176" i="6" a="1"/>
  <c r="L1176" i="6" s="1"/>
  <c r="L1175" i="6" a="1"/>
  <c r="L1175" i="6" s="1"/>
  <c r="L1174" i="6" a="1"/>
  <c r="L1174" i="6" s="1"/>
  <c r="L1173" i="6" a="1"/>
  <c r="L1173" i="6" s="1"/>
  <c r="L1172" i="6" a="1"/>
  <c r="L1172" i="6" s="1"/>
  <c r="L1171" i="6" a="1"/>
  <c r="L1171" i="6" s="1"/>
  <c r="L1170" i="6" a="1"/>
  <c r="L1170" i="6" s="1"/>
  <c r="L1169" i="6" a="1"/>
  <c r="L1169" i="6" s="1"/>
  <c r="L1168" i="6" a="1"/>
  <c r="L1168" i="6" s="1"/>
  <c r="L1167" i="6" a="1"/>
  <c r="L1167" i="6" s="1"/>
  <c r="L1166" i="6" a="1"/>
  <c r="L1166" i="6" s="1"/>
  <c r="L1165" i="6" a="1"/>
  <c r="L1165" i="6" s="1"/>
  <c r="L1164" i="6" a="1"/>
  <c r="L1164" i="6" s="1"/>
  <c r="L1163" i="6" a="1"/>
  <c r="L1163" i="6" s="1"/>
  <c r="L1162" i="6" a="1"/>
  <c r="L1162" i="6" s="1"/>
  <c r="L1161" i="6" a="1"/>
  <c r="L1161" i="6" s="1"/>
  <c r="L1160" i="6" a="1"/>
  <c r="L1160" i="6" s="1"/>
  <c r="L1159" i="6" a="1"/>
  <c r="L1159" i="6" s="1"/>
  <c r="L1158" i="6" a="1"/>
  <c r="L1158" i="6" s="1"/>
  <c r="L1157" i="6" a="1"/>
  <c r="L1157" i="6" s="1"/>
  <c r="L1156" i="6" a="1"/>
  <c r="L1156" i="6" s="1"/>
  <c r="L1155" i="6" a="1"/>
  <c r="L1155" i="6" s="1"/>
  <c r="L1154" i="6" a="1"/>
  <c r="L1154" i="6" s="1"/>
  <c r="L1153" i="6" a="1"/>
  <c r="L1153" i="6" s="1"/>
  <c r="L1152" i="6" a="1"/>
  <c r="L1152" i="6" s="1"/>
  <c r="L1151" i="6" a="1"/>
  <c r="L1151" i="6" s="1"/>
  <c r="L1150" i="6" a="1"/>
  <c r="L1150" i="6" s="1"/>
  <c r="L1149" i="6" a="1"/>
  <c r="L1149" i="6" s="1"/>
  <c r="L1148" i="6" a="1"/>
  <c r="L1148" i="6" s="1"/>
  <c r="L1147" i="6" a="1"/>
  <c r="L1147" i="6" s="1"/>
  <c r="L1146" i="6" a="1"/>
  <c r="L1146" i="6" s="1"/>
  <c r="L1145" i="6" a="1"/>
  <c r="L1145" i="6" s="1"/>
  <c r="L1144" i="6" a="1"/>
  <c r="L1144" i="6" s="1"/>
  <c r="L1143" i="6" a="1"/>
  <c r="L1143" i="6" s="1"/>
  <c r="L1142" i="6" a="1"/>
  <c r="L1142" i="6" s="1"/>
  <c r="L1141" i="6" a="1"/>
  <c r="L1141" i="6" s="1"/>
  <c r="L1140" i="6" a="1"/>
  <c r="L1140" i="6" s="1"/>
  <c r="L1139" i="6" a="1"/>
  <c r="L1139" i="6" s="1"/>
  <c r="L1138" i="6" a="1"/>
  <c r="L1138" i="6" s="1"/>
  <c r="L1137" i="6" a="1"/>
  <c r="L1137" i="6" s="1"/>
  <c r="L1136" i="6" a="1"/>
  <c r="L1136" i="6" s="1"/>
  <c r="L1135" i="6" a="1"/>
  <c r="L1135" i="6" s="1"/>
  <c r="L1134" i="6" a="1"/>
  <c r="L1134" i="6" s="1"/>
  <c r="L1133" i="6" a="1"/>
  <c r="L1133" i="6" s="1"/>
  <c r="L1132" i="6" a="1"/>
  <c r="L1132" i="6" s="1"/>
  <c r="L1131" i="6" a="1"/>
  <c r="L1131" i="6" s="1"/>
  <c r="L1130" i="6" a="1"/>
  <c r="L1130" i="6" s="1"/>
  <c r="L1129" i="6" a="1"/>
  <c r="L1129" i="6" s="1"/>
  <c r="L1128" i="6" a="1"/>
  <c r="L1128" i="6" s="1"/>
  <c r="L1127" i="6" a="1"/>
  <c r="L1127" i="6" s="1"/>
  <c r="L1126" i="6" a="1"/>
  <c r="L1126" i="6" s="1"/>
  <c r="L1125" i="6" a="1"/>
  <c r="L1125" i="6" s="1"/>
  <c r="L1124" i="6" a="1"/>
  <c r="L1124" i="6" s="1"/>
  <c r="L1123" i="6" a="1"/>
  <c r="L1123" i="6" s="1"/>
  <c r="L1122" i="6" a="1"/>
  <c r="L1122" i="6" s="1"/>
  <c r="L1121" i="6" a="1"/>
  <c r="L1121" i="6" s="1"/>
  <c r="L1120" i="6" a="1"/>
  <c r="L1120" i="6" s="1"/>
  <c r="L1119" i="6" a="1"/>
  <c r="L1119" i="6" s="1"/>
  <c r="L1118" i="6" a="1"/>
  <c r="L1118" i="6" s="1"/>
  <c r="L1117" i="6" a="1"/>
  <c r="L1117" i="6" s="1"/>
  <c r="L1116" i="6" a="1"/>
  <c r="L1116" i="6" s="1"/>
  <c r="L1115" i="6" a="1"/>
  <c r="L1115" i="6" s="1"/>
  <c r="L1114" i="6" a="1"/>
  <c r="L1114" i="6" s="1"/>
  <c r="L1113" i="6" a="1"/>
  <c r="L1113" i="6" s="1"/>
  <c r="L1112" i="6" a="1"/>
  <c r="L1112" i="6" s="1"/>
  <c r="L1111" i="6" a="1"/>
  <c r="L1111" i="6" s="1"/>
  <c r="L1110" i="6" a="1"/>
  <c r="L1110" i="6" s="1"/>
  <c r="L1109" i="6" a="1"/>
  <c r="L1109" i="6" s="1"/>
  <c r="L1108" i="6" a="1"/>
  <c r="L1108" i="6" s="1"/>
  <c r="L1107" i="6" a="1"/>
  <c r="L1107" i="6" s="1"/>
  <c r="L1106" i="6" a="1"/>
  <c r="L1106" i="6" s="1"/>
  <c r="L1105" i="6" a="1"/>
  <c r="L1105" i="6" s="1"/>
  <c r="L1104" i="6" a="1"/>
  <c r="L1104" i="6" s="1"/>
  <c r="L1103" i="6" a="1"/>
  <c r="L1103" i="6" s="1"/>
  <c r="L1102" i="6" a="1"/>
  <c r="L1102" i="6" s="1"/>
  <c r="L1101" i="6" a="1"/>
  <c r="L1101" i="6" s="1"/>
  <c r="L1100" i="6" a="1"/>
  <c r="L1100" i="6" s="1"/>
  <c r="L1099" i="6" a="1"/>
  <c r="L1099" i="6" s="1"/>
  <c r="L1098" i="6" a="1"/>
  <c r="L1098" i="6" s="1"/>
  <c r="L1097" i="6" a="1"/>
  <c r="L1097" i="6" s="1"/>
  <c r="L1096" i="6" a="1"/>
  <c r="L1096" i="6" s="1"/>
  <c r="L1095" i="6" a="1"/>
  <c r="L1095" i="6" s="1"/>
  <c r="L1094" i="6" a="1"/>
  <c r="L1094" i="6" s="1"/>
  <c r="L1093" i="6" a="1"/>
  <c r="L1093" i="6" s="1"/>
  <c r="L1092" i="6" a="1"/>
  <c r="L1092" i="6" s="1"/>
  <c r="L1091" i="6" a="1"/>
  <c r="L1091" i="6" s="1"/>
  <c r="L1090" i="6" a="1"/>
  <c r="L1090" i="6" s="1"/>
  <c r="L1089" i="6" a="1"/>
  <c r="L1089" i="6" s="1"/>
  <c r="L1088" i="6" a="1"/>
  <c r="L1088" i="6" s="1"/>
  <c r="L1087" i="6" a="1"/>
  <c r="L1087" i="6" s="1"/>
  <c r="L1086" i="6" a="1"/>
  <c r="L1086" i="6" s="1"/>
  <c r="L1085" i="6" a="1"/>
  <c r="L1085" i="6" s="1"/>
  <c r="L1084" i="6" a="1"/>
  <c r="L1084" i="6" s="1"/>
  <c r="L1083" i="6" a="1"/>
  <c r="L1083" i="6" s="1"/>
  <c r="L1082" i="6" a="1"/>
  <c r="L1082" i="6" s="1"/>
  <c r="L1081" i="6" a="1"/>
  <c r="L1081" i="6" s="1"/>
  <c r="L1080" i="6" a="1"/>
  <c r="L1080" i="6" s="1"/>
  <c r="L1079" i="6" a="1"/>
  <c r="L1079" i="6" s="1"/>
  <c r="L1078" i="6" a="1"/>
  <c r="L1078" i="6" s="1"/>
  <c r="L1077" i="6" a="1"/>
  <c r="L1077" i="6" s="1"/>
  <c r="L1076" i="6" a="1"/>
  <c r="L1076" i="6" s="1"/>
  <c r="L1075" i="6" a="1"/>
  <c r="L1075" i="6" s="1"/>
  <c r="L1074" i="6" a="1"/>
  <c r="L1074" i="6" s="1"/>
  <c r="L1073" i="6" a="1"/>
  <c r="L1073" i="6" s="1"/>
  <c r="L1072" i="6" a="1"/>
  <c r="L1072" i="6" s="1"/>
  <c r="L1071" i="6" a="1"/>
  <c r="L1071" i="6" s="1"/>
  <c r="L1070" i="6" a="1"/>
  <c r="L1070" i="6" s="1"/>
  <c r="L1069" i="6" a="1"/>
  <c r="L1069" i="6" s="1"/>
  <c r="L1068" i="6" a="1"/>
  <c r="L1068" i="6" s="1"/>
  <c r="L1067" i="6" a="1"/>
  <c r="L1067" i="6" s="1"/>
  <c r="L1066" i="6" a="1"/>
  <c r="L1066" i="6" s="1"/>
  <c r="L1065" i="6" a="1"/>
  <c r="L1065" i="6" s="1"/>
  <c r="L1064" i="6" a="1"/>
  <c r="L1064" i="6" s="1"/>
  <c r="L1063" i="6" a="1"/>
  <c r="L1063" i="6" s="1"/>
  <c r="L1062" i="6" a="1"/>
  <c r="L1062" i="6" s="1"/>
  <c r="L1061" i="6" a="1"/>
  <c r="L1061" i="6" s="1"/>
  <c r="L1060" i="6" a="1"/>
  <c r="L1060" i="6" s="1"/>
  <c r="L1059" i="6" a="1"/>
  <c r="L1059" i="6" s="1"/>
  <c r="L1058" i="6" a="1"/>
  <c r="L1058" i="6" s="1"/>
  <c r="L1057" i="6" a="1"/>
  <c r="L1057" i="6" s="1"/>
  <c r="L1056" i="6" a="1"/>
  <c r="L1056" i="6" s="1"/>
  <c r="L1055" i="6" a="1"/>
  <c r="L1055" i="6" s="1"/>
  <c r="L1054" i="6" a="1"/>
  <c r="L1054" i="6" s="1"/>
  <c r="L1053" i="6" a="1"/>
  <c r="L1053" i="6" s="1"/>
  <c r="L1052" i="6" a="1"/>
  <c r="L1052" i="6" s="1"/>
  <c r="L1051" i="6" a="1"/>
  <c r="L1051" i="6" s="1"/>
  <c r="L1050" i="6" a="1"/>
  <c r="L1050" i="6" s="1"/>
  <c r="L1049" i="6" a="1"/>
  <c r="L1049" i="6" s="1"/>
  <c r="L1048" i="6" a="1"/>
  <c r="L1048" i="6" s="1"/>
  <c r="L1047" i="6" a="1"/>
  <c r="L1047" i="6" s="1"/>
  <c r="L1046" i="6" a="1"/>
  <c r="L1046" i="6" s="1"/>
  <c r="L1045" i="6" a="1"/>
  <c r="L1045" i="6" s="1"/>
  <c r="L1044" i="6" a="1"/>
  <c r="L1044" i="6" s="1"/>
  <c r="L1043" i="6" a="1"/>
  <c r="L1043" i="6" s="1"/>
  <c r="L1042" i="6" a="1"/>
  <c r="L1042" i="6" s="1"/>
  <c r="L1041" i="6" a="1"/>
  <c r="L1041" i="6" s="1"/>
  <c r="L1040" i="6" a="1"/>
  <c r="L1040" i="6" s="1"/>
  <c r="L1039" i="6" a="1"/>
  <c r="L1039" i="6" s="1"/>
  <c r="L1038" i="6" a="1"/>
  <c r="L1038" i="6" s="1"/>
  <c r="L1037" i="6" a="1"/>
  <c r="L1037" i="6" s="1"/>
  <c r="L1036" i="6" a="1"/>
  <c r="L1036" i="6" s="1"/>
  <c r="L1035" i="6" a="1"/>
  <c r="L1035" i="6" s="1"/>
  <c r="L1034" i="6" a="1"/>
  <c r="L1034" i="6" s="1"/>
  <c r="L1033" i="6" a="1"/>
  <c r="L1033" i="6" s="1"/>
  <c r="L1032" i="6" a="1"/>
  <c r="L1032" i="6" s="1"/>
  <c r="L1031" i="6" a="1"/>
  <c r="L1031" i="6" s="1"/>
  <c r="L1030" i="6" a="1"/>
  <c r="L1030" i="6" s="1"/>
  <c r="L1029" i="6" a="1"/>
  <c r="L1029" i="6" s="1"/>
  <c r="L1028" i="6" a="1"/>
  <c r="L1028" i="6" s="1"/>
  <c r="L1027" i="6" a="1"/>
  <c r="L1027" i="6" s="1"/>
  <c r="L1026" i="6" a="1"/>
  <c r="L1026" i="6" s="1"/>
  <c r="L1025" i="6" a="1"/>
  <c r="L1025" i="6" s="1"/>
  <c r="L1024" i="6" a="1"/>
  <c r="L1024" i="6" s="1"/>
  <c r="L1023" i="6" a="1"/>
  <c r="L1023" i="6" s="1"/>
  <c r="L1022" i="6" a="1"/>
  <c r="L1022" i="6" s="1"/>
  <c r="L1021" i="6" a="1"/>
  <c r="L1021" i="6" s="1"/>
  <c r="L1020" i="6" a="1"/>
  <c r="L1020" i="6" s="1"/>
  <c r="L1019" i="6" a="1"/>
  <c r="L1019" i="6" s="1"/>
  <c r="L1018" i="6" a="1"/>
  <c r="L1018" i="6" s="1"/>
  <c r="L1017" i="6" a="1"/>
  <c r="L1017" i="6" s="1"/>
  <c r="L1016" i="6" a="1"/>
  <c r="L1016" i="6" s="1"/>
  <c r="L1015" i="6" a="1"/>
  <c r="L1015" i="6" s="1"/>
  <c r="L1014" i="6" a="1"/>
  <c r="L1014" i="6" s="1"/>
  <c r="L1013" i="6" a="1"/>
  <c r="L1013" i="6" s="1"/>
  <c r="L1012" i="6" a="1"/>
  <c r="L1012" i="6" s="1"/>
  <c r="L1011" i="6" a="1"/>
  <c r="L1011" i="6" s="1"/>
  <c r="L1010" i="6" a="1"/>
  <c r="L1010" i="6" s="1"/>
  <c r="L1009" i="6" a="1"/>
  <c r="L1009" i="6" s="1"/>
  <c r="L1008" i="6" a="1"/>
  <c r="L1008" i="6" s="1"/>
  <c r="L1007" i="6" a="1"/>
  <c r="L1007" i="6" s="1"/>
  <c r="L1006" i="6" a="1"/>
  <c r="L1006" i="6" s="1"/>
  <c r="L1005" i="6" a="1"/>
  <c r="L1005" i="6" s="1"/>
  <c r="L1004" i="6" a="1"/>
  <c r="L1004" i="6" s="1"/>
  <c r="L1003" i="6" a="1"/>
  <c r="L1003" i="6" s="1"/>
  <c r="L1002" i="6" a="1"/>
  <c r="L1002" i="6" s="1"/>
  <c r="L1001" i="6" a="1"/>
  <c r="L1001" i="6" s="1"/>
  <c r="L1000" i="6" a="1"/>
  <c r="L1000" i="6" s="1"/>
  <c r="L999" i="6" a="1"/>
  <c r="L999" i="6" s="1"/>
  <c r="L998" i="6" a="1"/>
  <c r="L998" i="6" s="1"/>
  <c r="L997" i="6" a="1"/>
  <c r="L997" i="6" s="1"/>
  <c r="L996" i="6" a="1"/>
  <c r="L996" i="6" s="1"/>
  <c r="L995" i="6" a="1"/>
  <c r="L995" i="6" s="1"/>
  <c r="L994" i="6" a="1"/>
  <c r="L994" i="6" s="1"/>
  <c r="L993" i="6" a="1"/>
  <c r="L993" i="6" s="1"/>
  <c r="L992" i="6" a="1"/>
  <c r="L992" i="6" s="1"/>
  <c r="L991" i="6" a="1"/>
  <c r="L991" i="6" s="1"/>
  <c r="L990" i="6" a="1"/>
  <c r="L990" i="6" s="1"/>
  <c r="L989" i="6" a="1"/>
  <c r="L989" i="6" s="1"/>
  <c r="L988" i="6" a="1"/>
  <c r="L988" i="6" s="1"/>
  <c r="L987" i="6" a="1"/>
  <c r="L987" i="6" s="1"/>
  <c r="L986" i="6" a="1"/>
  <c r="L986" i="6" s="1"/>
  <c r="L985" i="6" a="1"/>
  <c r="L985" i="6" s="1"/>
  <c r="L984" i="6" a="1"/>
  <c r="L984" i="6" s="1"/>
  <c r="L983" i="6" a="1"/>
  <c r="L983" i="6" s="1"/>
  <c r="L982" i="6" a="1"/>
  <c r="L982" i="6" s="1"/>
  <c r="L981" i="6" a="1"/>
  <c r="L981" i="6" s="1"/>
  <c r="L980" i="6" a="1"/>
  <c r="L980" i="6" s="1"/>
  <c r="L979" i="6" a="1"/>
  <c r="L979" i="6" s="1"/>
  <c r="L978" i="6" a="1"/>
  <c r="L978" i="6" s="1"/>
  <c r="L977" i="6" a="1"/>
  <c r="L977" i="6" s="1"/>
  <c r="L976" i="6" a="1"/>
  <c r="L976" i="6" s="1"/>
  <c r="L975" i="6" a="1"/>
  <c r="L975" i="6" s="1"/>
  <c r="L974" i="6" a="1"/>
  <c r="L974" i="6" s="1"/>
  <c r="L973" i="6" a="1"/>
  <c r="L973" i="6" s="1"/>
  <c r="L972" i="6" a="1"/>
  <c r="L972" i="6" s="1"/>
  <c r="L971" i="6" a="1"/>
  <c r="L971" i="6" s="1"/>
  <c r="L970" i="6" a="1"/>
  <c r="L970" i="6" s="1"/>
  <c r="L969" i="6" a="1"/>
  <c r="L969" i="6" s="1"/>
  <c r="L968" i="6" a="1"/>
  <c r="L968" i="6" s="1"/>
  <c r="L967" i="6" a="1"/>
  <c r="L967" i="6" s="1"/>
  <c r="L966" i="6" a="1"/>
  <c r="L966" i="6" s="1"/>
  <c r="L965" i="6" a="1"/>
  <c r="L965" i="6" s="1"/>
  <c r="L964" i="6" a="1"/>
  <c r="L964" i="6" s="1"/>
  <c r="L963" i="6" a="1"/>
  <c r="L963" i="6" s="1"/>
  <c r="L962" i="6" a="1"/>
  <c r="L962" i="6" s="1"/>
  <c r="L961" i="6" a="1"/>
  <c r="L961" i="6" s="1"/>
  <c r="L960" i="6" a="1"/>
  <c r="L960" i="6" s="1"/>
  <c r="L959" i="6" a="1"/>
  <c r="L959" i="6" s="1"/>
  <c r="L958" i="6" a="1"/>
  <c r="L958" i="6" s="1"/>
  <c r="L957" i="6" a="1"/>
  <c r="L957" i="6" s="1"/>
  <c r="L956" i="6" a="1"/>
  <c r="L956" i="6" s="1"/>
  <c r="L955" i="6" a="1"/>
  <c r="L955" i="6" s="1"/>
  <c r="L954" i="6" a="1"/>
  <c r="L954" i="6" s="1"/>
  <c r="L953" i="6" a="1"/>
  <c r="L953" i="6" s="1"/>
  <c r="L952" i="6" a="1"/>
  <c r="L952" i="6" s="1"/>
  <c r="L951" i="6" a="1"/>
  <c r="L951" i="6" s="1"/>
  <c r="L950" i="6" a="1"/>
  <c r="L950" i="6" s="1"/>
  <c r="L949" i="6" a="1"/>
  <c r="L949" i="6" s="1"/>
  <c r="L948" i="6" a="1"/>
  <c r="L948" i="6" s="1"/>
  <c r="L947" i="6" a="1"/>
  <c r="L947" i="6" s="1"/>
  <c r="L946" i="6" a="1"/>
  <c r="L946" i="6" s="1"/>
  <c r="L945" i="6" a="1"/>
  <c r="L945" i="6" s="1"/>
  <c r="L944" i="6" a="1"/>
  <c r="L944" i="6" s="1"/>
  <c r="L943" i="6" a="1"/>
  <c r="L943" i="6" s="1"/>
  <c r="L942" i="6" a="1"/>
  <c r="L942" i="6" s="1"/>
  <c r="L941" i="6" a="1"/>
  <c r="L941" i="6" s="1"/>
  <c r="L940" i="6" a="1"/>
  <c r="L940" i="6" s="1"/>
  <c r="L939" i="6" a="1"/>
  <c r="L939" i="6" s="1"/>
  <c r="L938" i="6" a="1"/>
  <c r="L938" i="6" s="1"/>
  <c r="L937" i="6" a="1"/>
  <c r="L937" i="6" s="1"/>
  <c r="L936" i="6" a="1"/>
  <c r="L936" i="6" s="1"/>
  <c r="L935" i="6" a="1"/>
  <c r="L935" i="6" s="1"/>
  <c r="L934" i="6" a="1"/>
  <c r="L934" i="6" s="1"/>
  <c r="L933" i="6" a="1"/>
  <c r="L933" i="6" s="1"/>
  <c r="L932" i="6" a="1"/>
  <c r="L932" i="6" s="1"/>
  <c r="L931" i="6" a="1"/>
  <c r="L931" i="6" s="1"/>
  <c r="L930" i="6" a="1"/>
  <c r="L930" i="6" s="1"/>
  <c r="L929" i="6" a="1"/>
  <c r="L929" i="6" s="1"/>
  <c r="L928" i="6" a="1"/>
  <c r="L928" i="6" s="1"/>
  <c r="L927" i="6" a="1"/>
  <c r="L927" i="6" s="1"/>
  <c r="L926" i="6" a="1"/>
  <c r="L926" i="6" s="1"/>
  <c r="L925" i="6" a="1"/>
  <c r="L925" i="6" s="1"/>
  <c r="L924" i="6" a="1"/>
  <c r="L924" i="6" s="1"/>
  <c r="L923" i="6" a="1"/>
  <c r="L923" i="6" s="1"/>
  <c r="L922" i="6" a="1"/>
  <c r="L922" i="6" s="1"/>
  <c r="L921" i="6" a="1"/>
  <c r="L921" i="6" s="1"/>
  <c r="L920" i="6" a="1"/>
  <c r="L920" i="6" s="1"/>
  <c r="L919" i="6" a="1"/>
  <c r="L919" i="6" s="1"/>
  <c r="L918" i="6" a="1"/>
  <c r="L918" i="6" s="1"/>
  <c r="L917" i="6" a="1"/>
  <c r="L917" i="6" s="1"/>
  <c r="L916" i="6" a="1"/>
  <c r="L916" i="6" s="1"/>
  <c r="L915" i="6" a="1"/>
  <c r="L915" i="6" s="1"/>
  <c r="L914" i="6" a="1"/>
  <c r="L914" i="6" s="1"/>
  <c r="L913" i="6" a="1"/>
  <c r="L913" i="6" s="1"/>
  <c r="L912" i="6" a="1"/>
  <c r="L912" i="6" s="1"/>
  <c r="L911" i="6" a="1"/>
  <c r="L911" i="6" s="1"/>
  <c r="L910" i="6" a="1"/>
  <c r="L910" i="6" s="1"/>
  <c r="L909" i="6" a="1"/>
  <c r="L909" i="6" s="1"/>
  <c r="L908" i="6" a="1"/>
  <c r="L908" i="6" s="1"/>
  <c r="L907" i="6" a="1"/>
  <c r="L907" i="6" s="1"/>
  <c r="L906" i="6" a="1"/>
  <c r="L906" i="6" s="1"/>
  <c r="L905" i="6" a="1"/>
  <c r="L905" i="6" s="1"/>
  <c r="L904" i="6" a="1"/>
  <c r="L904" i="6" s="1"/>
  <c r="L903" i="6" a="1"/>
  <c r="L903" i="6" s="1"/>
  <c r="L902" i="6" a="1"/>
  <c r="L902" i="6" s="1"/>
  <c r="L901" i="6" a="1"/>
  <c r="L901" i="6" s="1"/>
  <c r="L900" i="6" a="1"/>
  <c r="L900" i="6" s="1"/>
  <c r="L899" i="6" a="1"/>
  <c r="L899" i="6" s="1"/>
  <c r="L898" i="6" a="1"/>
  <c r="L898" i="6" s="1"/>
  <c r="L897" i="6" a="1"/>
  <c r="L897" i="6" s="1"/>
  <c r="L896" i="6" a="1"/>
  <c r="L896" i="6" s="1"/>
  <c r="L895" i="6" a="1"/>
  <c r="L895" i="6" s="1"/>
  <c r="L894" i="6" a="1"/>
  <c r="L894" i="6" s="1"/>
  <c r="L893" i="6" a="1"/>
  <c r="L893" i="6" s="1"/>
  <c r="L892" i="6" a="1"/>
  <c r="L892" i="6" s="1"/>
  <c r="L891" i="6" a="1"/>
  <c r="L891" i="6" s="1"/>
  <c r="L890" i="6" a="1"/>
  <c r="L890" i="6" s="1"/>
  <c r="L889" i="6" a="1"/>
  <c r="L889" i="6" s="1"/>
  <c r="L888" i="6" a="1"/>
  <c r="L888" i="6" s="1"/>
  <c r="L887" i="6" a="1"/>
  <c r="L887" i="6" s="1"/>
  <c r="L886" i="6" a="1"/>
  <c r="L886" i="6" s="1"/>
  <c r="L885" i="6" a="1"/>
  <c r="L885" i="6" s="1"/>
  <c r="L884" i="6" a="1"/>
  <c r="L884" i="6" s="1"/>
  <c r="L883" i="6" a="1"/>
  <c r="L883" i="6" s="1"/>
  <c r="L882" i="6" a="1"/>
  <c r="L882" i="6" s="1"/>
  <c r="L881" i="6" a="1"/>
  <c r="L881" i="6" s="1"/>
  <c r="L880" i="6" a="1"/>
  <c r="L880" i="6" s="1"/>
  <c r="L879" i="6" a="1"/>
  <c r="L879" i="6" s="1"/>
  <c r="L878" i="6" a="1"/>
  <c r="L878" i="6" s="1"/>
  <c r="L877" i="6" a="1"/>
  <c r="L877" i="6" s="1"/>
  <c r="L876" i="6" a="1"/>
  <c r="L876" i="6" s="1"/>
  <c r="L875" i="6" a="1"/>
  <c r="L875" i="6" s="1"/>
  <c r="L874" i="6" a="1"/>
  <c r="L874" i="6" s="1"/>
  <c r="L873" i="6" a="1"/>
  <c r="L873" i="6" s="1"/>
  <c r="L872" i="6" a="1"/>
  <c r="L872" i="6" s="1"/>
  <c r="L871" i="6" a="1"/>
  <c r="L871" i="6" s="1"/>
  <c r="L870" i="6" a="1"/>
  <c r="L870" i="6" s="1"/>
  <c r="L869" i="6" a="1"/>
  <c r="L869" i="6" s="1"/>
  <c r="L868" i="6" a="1"/>
  <c r="L868" i="6" s="1"/>
  <c r="L867" i="6" a="1"/>
  <c r="L867" i="6" s="1"/>
  <c r="L866" i="6" a="1"/>
  <c r="L866" i="6" s="1"/>
  <c r="L865" i="6" a="1"/>
  <c r="L865" i="6" s="1"/>
  <c r="L864" i="6" a="1"/>
  <c r="L864" i="6" s="1"/>
  <c r="L863" i="6" a="1"/>
  <c r="L863" i="6" s="1"/>
  <c r="L862" i="6" a="1"/>
  <c r="L862" i="6" s="1"/>
  <c r="L861" i="6" a="1"/>
  <c r="L861" i="6" s="1"/>
  <c r="L860" i="6" a="1"/>
  <c r="L860" i="6" s="1"/>
  <c r="L859" i="6" a="1"/>
  <c r="L859" i="6" s="1"/>
  <c r="L858" i="6" a="1"/>
  <c r="L858" i="6" s="1"/>
  <c r="L857" i="6" a="1"/>
  <c r="L857" i="6" s="1"/>
  <c r="L856" i="6" a="1"/>
  <c r="L856" i="6" s="1"/>
  <c r="L855" i="6" a="1"/>
  <c r="L855" i="6" s="1"/>
  <c r="L854" i="6" a="1"/>
  <c r="L854" i="6" s="1"/>
  <c r="L853" i="6" a="1"/>
  <c r="L853" i="6" s="1"/>
  <c r="L852" i="6" a="1"/>
  <c r="L852" i="6" s="1"/>
  <c r="L851" i="6" a="1"/>
  <c r="L851" i="6" s="1"/>
  <c r="L850" i="6" a="1"/>
  <c r="L850" i="6" s="1"/>
  <c r="L849" i="6" a="1"/>
  <c r="L849" i="6" s="1"/>
  <c r="L848" i="6" a="1"/>
  <c r="L848" i="6" s="1"/>
  <c r="L847" i="6" a="1"/>
  <c r="L847" i="6" s="1"/>
  <c r="L846" i="6" a="1"/>
  <c r="L846" i="6" s="1"/>
  <c r="L845" i="6" a="1"/>
  <c r="L845" i="6" s="1"/>
  <c r="L844" i="6" a="1"/>
  <c r="L844" i="6" s="1"/>
  <c r="L843" i="6" a="1"/>
  <c r="L843" i="6" s="1"/>
  <c r="L842" i="6" a="1"/>
  <c r="L842" i="6" s="1"/>
  <c r="L841" i="6" a="1"/>
  <c r="L841" i="6" s="1"/>
  <c r="L840" i="6" a="1"/>
  <c r="L840" i="6" s="1"/>
  <c r="L839" i="6" a="1"/>
  <c r="L839" i="6" s="1"/>
  <c r="L838" i="6" a="1"/>
  <c r="L838" i="6" s="1"/>
  <c r="L837" i="6" a="1"/>
  <c r="L837" i="6" s="1"/>
  <c r="L836" i="6" a="1"/>
  <c r="L836" i="6" s="1"/>
  <c r="L835" i="6" a="1"/>
  <c r="L835" i="6" s="1"/>
  <c r="L834" i="6" a="1"/>
  <c r="L834" i="6" s="1"/>
  <c r="L833" i="6" a="1"/>
  <c r="L833" i="6" s="1"/>
  <c r="L832" i="6" a="1"/>
  <c r="L832" i="6" s="1"/>
  <c r="L831" i="6" a="1"/>
  <c r="L831" i="6" s="1"/>
  <c r="L830" i="6" a="1"/>
  <c r="L830" i="6" s="1"/>
  <c r="L829" i="6" a="1"/>
  <c r="L829" i="6" s="1"/>
  <c r="L828" i="6" a="1"/>
  <c r="L828" i="6" s="1"/>
  <c r="L827" i="6" a="1"/>
  <c r="L827" i="6" s="1"/>
  <c r="L826" i="6" a="1"/>
  <c r="L826" i="6" s="1"/>
  <c r="L825" i="6" a="1"/>
  <c r="L825" i="6" s="1"/>
  <c r="L824" i="6" a="1"/>
  <c r="L824" i="6" s="1"/>
  <c r="L823" i="6" a="1"/>
  <c r="L823" i="6" s="1"/>
  <c r="L822" i="6" a="1"/>
  <c r="L822" i="6" s="1"/>
  <c r="L821" i="6" a="1"/>
  <c r="L821" i="6" s="1"/>
  <c r="L820" i="6" a="1"/>
  <c r="L820" i="6" s="1"/>
  <c r="L819" i="6" a="1"/>
  <c r="L819" i="6" s="1"/>
  <c r="L818" i="6" a="1"/>
  <c r="L818" i="6" s="1"/>
  <c r="L817" i="6" a="1"/>
  <c r="L817" i="6" s="1"/>
  <c r="L816" i="6" a="1"/>
  <c r="L816" i="6" s="1"/>
  <c r="L815" i="6" a="1"/>
  <c r="L815" i="6" s="1"/>
  <c r="L814" i="6" a="1"/>
  <c r="L814" i="6" s="1"/>
  <c r="L813" i="6" a="1"/>
  <c r="L813" i="6" s="1"/>
  <c r="L812" i="6" a="1"/>
  <c r="L812" i="6" s="1"/>
  <c r="L811" i="6" a="1"/>
  <c r="L811" i="6" s="1"/>
  <c r="L810" i="6" a="1"/>
  <c r="L810" i="6" s="1"/>
  <c r="L809" i="6" a="1"/>
  <c r="L809" i="6" s="1"/>
  <c r="L808" i="6" a="1"/>
  <c r="L808" i="6" s="1"/>
  <c r="L807" i="6" a="1"/>
  <c r="L807" i="6" s="1"/>
  <c r="L806" i="6" a="1"/>
  <c r="L806" i="6" s="1"/>
  <c r="L805" i="6" a="1"/>
  <c r="L805" i="6" s="1"/>
  <c r="L804" i="6" a="1"/>
  <c r="L804" i="6" s="1"/>
  <c r="L803" i="6" a="1"/>
  <c r="L803" i="6" s="1"/>
  <c r="L802" i="6" a="1"/>
  <c r="L802" i="6" s="1"/>
  <c r="L801" i="6" a="1"/>
  <c r="L801" i="6" s="1"/>
  <c r="L800" i="6" a="1"/>
  <c r="L800" i="6" s="1"/>
  <c r="L799" i="6" a="1"/>
  <c r="L799" i="6" s="1"/>
  <c r="L798" i="6" a="1"/>
  <c r="L798" i="6" s="1"/>
  <c r="L797" i="6" a="1"/>
  <c r="L797" i="6" s="1"/>
  <c r="L796" i="6" a="1"/>
  <c r="L796" i="6" s="1"/>
  <c r="L795" i="6" a="1"/>
  <c r="L795" i="6" s="1"/>
  <c r="L794" i="6" a="1"/>
  <c r="L794" i="6" s="1"/>
  <c r="L793" i="6" a="1"/>
  <c r="L793" i="6" s="1"/>
  <c r="L792" i="6" a="1"/>
  <c r="L792" i="6" s="1"/>
  <c r="L791" i="6" a="1"/>
  <c r="L791" i="6" s="1"/>
  <c r="L790" i="6" a="1"/>
  <c r="L790" i="6" s="1"/>
  <c r="L789" i="6" a="1"/>
  <c r="L789" i="6" s="1"/>
  <c r="L788" i="6" a="1"/>
  <c r="L788" i="6" s="1"/>
  <c r="L787" i="6" a="1"/>
  <c r="L787" i="6" s="1"/>
  <c r="L786" i="6" a="1"/>
  <c r="L786" i="6" s="1"/>
  <c r="L785" i="6" a="1"/>
  <c r="L785" i="6" s="1"/>
  <c r="L784" i="6" a="1"/>
  <c r="L784" i="6" s="1"/>
  <c r="L783" i="6" a="1"/>
  <c r="L783" i="6" s="1"/>
  <c r="L782" i="6" a="1"/>
  <c r="L782" i="6" s="1"/>
  <c r="L781" i="6" a="1"/>
  <c r="L781" i="6" s="1"/>
  <c r="L780" i="6" a="1"/>
  <c r="L780" i="6" s="1"/>
  <c r="L779" i="6" a="1"/>
  <c r="L779" i="6" s="1"/>
  <c r="L778" i="6" a="1"/>
  <c r="L778" i="6" s="1"/>
  <c r="L777" i="6" a="1"/>
  <c r="L777" i="6" s="1"/>
  <c r="L776" i="6" a="1"/>
  <c r="L776" i="6" s="1"/>
  <c r="L775" i="6" a="1"/>
  <c r="L775" i="6" s="1"/>
  <c r="L774" i="6" a="1"/>
  <c r="L774" i="6" s="1"/>
  <c r="L773" i="6" a="1"/>
  <c r="L773" i="6" s="1"/>
  <c r="L772" i="6" a="1"/>
  <c r="L772" i="6" s="1"/>
  <c r="L771" i="6" a="1"/>
  <c r="L771" i="6" s="1"/>
  <c r="L770" i="6" a="1"/>
  <c r="L770" i="6" s="1"/>
  <c r="L769" i="6" a="1"/>
  <c r="L769" i="6" s="1"/>
  <c r="L768" i="6" a="1"/>
  <c r="L768" i="6" s="1"/>
  <c r="L767" i="6" a="1"/>
  <c r="L767" i="6" s="1"/>
  <c r="L766" i="6" a="1"/>
  <c r="L766" i="6" s="1"/>
  <c r="L765" i="6" a="1"/>
  <c r="L765" i="6" s="1"/>
  <c r="L764" i="6" a="1"/>
  <c r="L764" i="6" s="1"/>
  <c r="L763" i="6" a="1"/>
  <c r="L763" i="6" s="1"/>
  <c r="L762" i="6" a="1"/>
  <c r="L762" i="6" s="1"/>
  <c r="L761" i="6" a="1"/>
  <c r="L761" i="6" s="1"/>
  <c r="L760" i="6" a="1"/>
  <c r="L760" i="6" s="1"/>
  <c r="L759" i="6" a="1"/>
  <c r="L759" i="6" s="1"/>
  <c r="L758" i="6" a="1"/>
  <c r="L758" i="6" s="1"/>
  <c r="L757" i="6" a="1"/>
  <c r="L757" i="6" s="1"/>
  <c r="L756" i="6" a="1"/>
  <c r="L756" i="6" s="1"/>
  <c r="L755" i="6" a="1"/>
  <c r="L755" i="6" s="1"/>
  <c r="L754" i="6" a="1"/>
  <c r="L754" i="6" s="1"/>
  <c r="L753" i="6" a="1"/>
  <c r="L753" i="6" s="1"/>
  <c r="L752" i="6" a="1"/>
  <c r="L752" i="6" s="1"/>
  <c r="L751" i="6" a="1"/>
  <c r="L751" i="6" s="1"/>
  <c r="L750" i="6" a="1"/>
  <c r="L750" i="6" s="1"/>
  <c r="L749" i="6" a="1"/>
  <c r="L749" i="6" s="1"/>
  <c r="L748" i="6" a="1"/>
  <c r="L748" i="6" s="1"/>
  <c r="L747" i="6" a="1"/>
  <c r="L747" i="6" s="1"/>
  <c r="L746" i="6" a="1"/>
  <c r="L746" i="6" s="1"/>
  <c r="L745" i="6" a="1"/>
  <c r="L745" i="6" s="1"/>
  <c r="L744" i="6" a="1"/>
  <c r="L744" i="6" s="1"/>
  <c r="L743" i="6" a="1"/>
  <c r="L743" i="6" s="1"/>
  <c r="L742" i="6" a="1"/>
  <c r="L742" i="6" s="1"/>
  <c r="L741" i="6" a="1"/>
  <c r="L741" i="6" s="1"/>
  <c r="L740" i="6" a="1"/>
  <c r="L740" i="6" s="1"/>
  <c r="L739" i="6" a="1"/>
  <c r="L739" i="6" s="1"/>
  <c r="L738" i="6" a="1"/>
  <c r="L738" i="6" s="1"/>
  <c r="L737" i="6" a="1"/>
  <c r="L737" i="6" s="1"/>
  <c r="L736" i="6" a="1"/>
  <c r="L736" i="6" s="1"/>
  <c r="L735" i="6" a="1"/>
  <c r="L735" i="6" s="1"/>
  <c r="L734" i="6" a="1"/>
  <c r="L734" i="6" s="1"/>
  <c r="L733" i="6" a="1"/>
  <c r="L733" i="6" s="1"/>
  <c r="L732" i="6" a="1"/>
  <c r="L732" i="6" s="1"/>
  <c r="L731" i="6" a="1"/>
  <c r="L731" i="6" s="1"/>
  <c r="L730" i="6" a="1"/>
  <c r="L730" i="6" s="1"/>
  <c r="L729" i="6" a="1"/>
  <c r="L729" i="6" s="1"/>
  <c r="L728" i="6" a="1"/>
  <c r="L728" i="6" s="1"/>
  <c r="L727" i="6" a="1"/>
  <c r="L727" i="6" s="1"/>
  <c r="L726" i="6" a="1"/>
  <c r="L726" i="6" s="1"/>
  <c r="L725" i="6" a="1"/>
  <c r="L725" i="6" s="1"/>
  <c r="L724" i="6" a="1"/>
  <c r="L724" i="6" s="1"/>
  <c r="L723" i="6" a="1"/>
  <c r="L723" i="6" s="1"/>
  <c r="L722" i="6" a="1"/>
  <c r="L722" i="6" s="1"/>
  <c r="L721" i="6" a="1"/>
  <c r="L721" i="6" s="1"/>
  <c r="L720" i="6" a="1"/>
  <c r="L720" i="6" s="1"/>
  <c r="L719" i="6" a="1"/>
  <c r="L719" i="6" s="1"/>
  <c r="L718" i="6" a="1"/>
  <c r="L718" i="6" s="1"/>
  <c r="L717" i="6" a="1"/>
  <c r="L717" i="6" s="1"/>
  <c r="L716" i="6" a="1"/>
  <c r="L716" i="6" s="1"/>
  <c r="L715" i="6" a="1"/>
  <c r="L715" i="6" s="1"/>
  <c r="L714" i="6" a="1"/>
  <c r="L714" i="6" s="1"/>
  <c r="L713" i="6" a="1"/>
  <c r="L713" i="6" s="1"/>
  <c r="L712" i="6" a="1"/>
  <c r="L712" i="6" s="1"/>
  <c r="L711" i="6" a="1"/>
  <c r="L711" i="6" s="1"/>
  <c r="L710" i="6" a="1"/>
  <c r="L710" i="6" s="1"/>
  <c r="L709" i="6" a="1"/>
  <c r="L709" i="6" s="1"/>
  <c r="L708" i="6" a="1"/>
  <c r="L708" i="6" s="1"/>
  <c r="L707" i="6" a="1"/>
  <c r="L707" i="6" s="1"/>
  <c r="L706" i="6" a="1"/>
  <c r="L706" i="6" s="1"/>
  <c r="L705" i="6" a="1"/>
  <c r="L705" i="6" s="1"/>
  <c r="L704" i="6" a="1"/>
  <c r="L704" i="6" s="1"/>
  <c r="L703" i="6" a="1"/>
  <c r="L703" i="6" s="1"/>
  <c r="L702" i="6" a="1"/>
  <c r="L702" i="6" s="1"/>
  <c r="L701" i="6" a="1"/>
  <c r="L701" i="6" s="1"/>
  <c r="L700" i="6" a="1"/>
  <c r="L700" i="6" s="1"/>
  <c r="L699" i="6" a="1"/>
  <c r="L699" i="6" s="1"/>
  <c r="L698" i="6" a="1"/>
  <c r="L698" i="6" s="1"/>
  <c r="L697" i="6" a="1"/>
  <c r="L697" i="6" s="1"/>
  <c r="L696" i="6" a="1"/>
  <c r="L696" i="6" s="1"/>
  <c r="L695" i="6" a="1"/>
  <c r="L695" i="6" s="1"/>
  <c r="L694" i="6" a="1"/>
  <c r="L694" i="6" s="1"/>
  <c r="L693" i="6" a="1"/>
  <c r="L693" i="6" s="1"/>
  <c r="L692" i="6" a="1"/>
  <c r="L692" i="6" s="1"/>
  <c r="L691" i="6" a="1"/>
  <c r="L691" i="6" s="1"/>
  <c r="L690" i="6" a="1"/>
  <c r="L690" i="6" s="1"/>
  <c r="L689" i="6" a="1"/>
  <c r="L689" i="6" s="1"/>
  <c r="L688" i="6" a="1"/>
  <c r="L688" i="6" s="1"/>
  <c r="L687" i="6" a="1"/>
  <c r="L687" i="6" s="1"/>
  <c r="L686" i="6" a="1"/>
  <c r="L686" i="6" s="1"/>
  <c r="L685" i="6" a="1"/>
  <c r="L685" i="6" s="1"/>
  <c r="L684" i="6" a="1"/>
  <c r="L684" i="6" s="1"/>
  <c r="L683" i="6" a="1"/>
  <c r="L683" i="6" s="1"/>
  <c r="L682" i="6" a="1"/>
  <c r="L682" i="6" s="1"/>
  <c r="L681" i="6" a="1"/>
  <c r="L681" i="6" s="1"/>
  <c r="L680" i="6" a="1"/>
  <c r="L680" i="6" s="1"/>
  <c r="L679" i="6" a="1"/>
  <c r="L679" i="6" s="1"/>
  <c r="L678" i="6" a="1"/>
  <c r="L678" i="6" s="1"/>
  <c r="L677" i="6" a="1"/>
  <c r="L677" i="6" s="1"/>
  <c r="L676" i="6" a="1"/>
  <c r="L676" i="6" s="1"/>
  <c r="L675" i="6" a="1"/>
  <c r="L675" i="6" s="1"/>
  <c r="L674" i="6" a="1"/>
  <c r="L674" i="6" s="1"/>
  <c r="L673" i="6" a="1"/>
  <c r="L673" i="6" s="1"/>
  <c r="L672" i="6" a="1"/>
  <c r="L672" i="6" s="1"/>
  <c r="L671" i="6" a="1"/>
  <c r="L671" i="6" s="1"/>
  <c r="L670" i="6" a="1"/>
  <c r="L670" i="6" s="1"/>
  <c r="L669" i="6" a="1"/>
  <c r="L669" i="6" s="1"/>
  <c r="L668" i="6" a="1"/>
  <c r="L668" i="6" s="1"/>
  <c r="L667" i="6" a="1"/>
  <c r="L667" i="6" s="1"/>
  <c r="L666" i="6" a="1"/>
  <c r="L666" i="6" s="1"/>
  <c r="L665" i="6" a="1"/>
  <c r="L665" i="6" s="1"/>
  <c r="L664" i="6" a="1"/>
  <c r="L664" i="6" s="1"/>
  <c r="L663" i="6" a="1"/>
  <c r="L663" i="6" s="1"/>
  <c r="L662" i="6" a="1"/>
  <c r="L662" i="6" s="1"/>
  <c r="L661" i="6" a="1"/>
  <c r="L661" i="6" s="1"/>
  <c r="L660" i="6" a="1"/>
  <c r="L660" i="6" s="1"/>
  <c r="L659" i="6" a="1"/>
  <c r="L659" i="6" s="1"/>
  <c r="L658" i="6" a="1"/>
  <c r="L658" i="6" s="1"/>
  <c r="L657" i="6" a="1"/>
  <c r="L657" i="6" s="1"/>
  <c r="L656" i="6" a="1"/>
  <c r="L656" i="6" s="1"/>
  <c r="L655" i="6" a="1"/>
  <c r="L655" i="6" s="1"/>
  <c r="L654" i="6" a="1"/>
  <c r="L654" i="6" s="1"/>
  <c r="L653" i="6" a="1"/>
  <c r="L653" i="6" s="1"/>
  <c r="L652" i="6" a="1"/>
  <c r="L652" i="6" s="1"/>
  <c r="L651" i="6" a="1"/>
  <c r="L651" i="6" s="1"/>
  <c r="L650" i="6" a="1"/>
  <c r="L650" i="6" s="1"/>
  <c r="L649" i="6" a="1"/>
  <c r="L649" i="6" s="1"/>
  <c r="L648" i="6" a="1"/>
  <c r="L648" i="6" s="1"/>
  <c r="L647" i="6" a="1"/>
  <c r="L647" i="6" s="1"/>
  <c r="L646" i="6" a="1"/>
  <c r="L646" i="6" s="1"/>
  <c r="L645" i="6" a="1"/>
  <c r="L645" i="6" s="1"/>
  <c r="L644" i="6" a="1"/>
  <c r="L644" i="6" s="1"/>
  <c r="L643" i="6" a="1"/>
  <c r="L643" i="6" s="1"/>
  <c r="L642" i="6" a="1"/>
  <c r="L642" i="6" s="1"/>
  <c r="L641" i="6" a="1"/>
  <c r="L641" i="6" s="1"/>
  <c r="L640" i="6" a="1"/>
  <c r="L640" i="6" s="1"/>
  <c r="L639" i="6" a="1"/>
  <c r="L639" i="6" s="1"/>
  <c r="L638" i="6" a="1"/>
  <c r="L638" i="6" s="1"/>
  <c r="L637" i="6" a="1"/>
  <c r="L637" i="6" s="1"/>
  <c r="L636" i="6" a="1"/>
  <c r="L636" i="6" s="1"/>
  <c r="L635" i="6" a="1"/>
  <c r="L635" i="6" s="1"/>
  <c r="L634" i="6" a="1"/>
  <c r="L634" i="6" s="1"/>
  <c r="L633" i="6" a="1"/>
  <c r="L633" i="6" s="1"/>
  <c r="L632" i="6" a="1"/>
  <c r="L632" i="6" s="1"/>
  <c r="L631" i="6" a="1"/>
  <c r="L631" i="6" s="1"/>
  <c r="L630" i="6" a="1"/>
  <c r="L630" i="6" s="1"/>
  <c r="L629" i="6" a="1"/>
  <c r="L629" i="6" s="1"/>
  <c r="L628" i="6" a="1"/>
  <c r="L628" i="6" s="1"/>
  <c r="L627" i="6" a="1"/>
  <c r="L627" i="6" s="1"/>
  <c r="L626" i="6" a="1"/>
  <c r="L626" i="6" s="1"/>
  <c r="L625" i="6" a="1"/>
  <c r="L625" i="6" s="1"/>
  <c r="L624" i="6" a="1"/>
  <c r="L624" i="6" s="1"/>
  <c r="L623" i="6" a="1"/>
  <c r="L623" i="6" s="1"/>
  <c r="L622" i="6" a="1"/>
  <c r="L622" i="6" s="1"/>
  <c r="L621" i="6" a="1"/>
  <c r="L621" i="6" s="1"/>
  <c r="L620" i="6" a="1"/>
  <c r="L620" i="6" s="1"/>
  <c r="L619" i="6" a="1"/>
  <c r="L619" i="6" s="1"/>
  <c r="L618" i="6" a="1"/>
  <c r="L618" i="6" s="1"/>
  <c r="L617" i="6" a="1"/>
  <c r="L617" i="6" s="1"/>
  <c r="L616" i="6" a="1"/>
  <c r="L616" i="6" s="1"/>
  <c r="L615" i="6" a="1"/>
  <c r="L615" i="6" s="1"/>
  <c r="L614" i="6" a="1"/>
  <c r="L614" i="6" s="1"/>
  <c r="L613" i="6" a="1"/>
  <c r="L613" i="6" s="1"/>
  <c r="L612" i="6" a="1"/>
  <c r="L612" i="6" s="1"/>
  <c r="L611" i="6" a="1"/>
  <c r="L611" i="6" s="1"/>
  <c r="L610" i="6" a="1"/>
  <c r="L610" i="6" s="1"/>
  <c r="L609" i="6" a="1"/>
  <c r="L609" i="6" s="1"/>
  <c r="L608" i="6" a="1"/>
  <c r="L608" i="6" s="1"/>
  <c r="L607" i="6" a="1"/>
  <c r="L607" i="6" s="1"/>
  <c r="L606" i="6" a="1"/>
  <c r="L606" i="6" s="1"/>
  <c r="L605" i="6" a="1"/>
  <c r="L605" i="6" s="1"/>
  <c r="L604" i="6" a="1"/>
  <c r="L604" i="6" s="1"/>
  <c r="L603" i="6" a="1"/>
  <c r="L603" i="6" s="1"/>
  <c r="L602" i="6" a="1"/>
  <c r="L602" i="6" s="1"/>
  <c r="L601" i="6" a="1"/>
  <c r="L601" i="6" s="1"/>
  <c r="L600" i="6" a="1"/>
  <c r="L600" i="6" s="1"/>
  <c r="L599" i="6" a="1"/>
  <c r="L599" i="6" s="1"/>
  <c r="L598" i="6" a="1"/>
  <c r="L598" i="6" s="1"/>
  <c r="L597" i="6" a="1"/>
  <c r="L597" i="6" s="1"/>
  <c r="L596" i="6" a="1"/>
  <c r="L596" i="6" s="1"/>
  <c r="L595" i="6" a="1"/>
  <c r="L595" i="6" s="1"/>
  <c r="L594" i="6" a="1"/>
  <c r="L594" i="6" s="1"/>
  <c r="L593" i="6" a="1"/>
  <c r="L593" i="6" s="1"/>
  <c r="L592" i="6" a="1"/>
  <c r="L592" i="6" s="1"/>
  <c r="L591" i="6" a="1"/>
  <c r="L591" i="6" s="1"/>
  <c r="L590" i="6" a="1"/>
  <c r="L590" i="6" s="1"/>
  <c r="L589" i="6" a="1"/>
  <c r="L589" i="6" s="1"/>
  <c r="L588" i="6" a="1"/>
  <c r="L588" i="6" s="1"/>
  <c r="L587" i="6" a="1"/>
  <c r="L587" i="6" s="1"/>
  <c r="L586" i="6" a="1"/>
  <c r="L586" i="6" s="1"/>
  <c r="L585" i="6" a="1"/>
  <c r="L585" i="6" s="1"/>
  <c r="L584" i="6" a="1"/>
  <c r="L584" i="6" s="1"/>
  <c r="L583" i="6" a="1"/>
  <c r="L583" i="6" s="1"/>
  <c r="L582" i="6" a="1"/>
  <c r="L582" i="6" s="1"/>
  <c r="L581" i="6" a="1"/>
  <c r="L581" i="6" s="1"/>
  <c r="L580" i="6" a="1"/>
  <c r="L580" i="6" s="1"/>
  <c r="L579" i="6" a="1"/>
  <c r="L579" i="6" s="1"/>
  <c r="L578" i="6" a="1"/>
  <c r="L578" i="6" s="1"/>
  <c r="L577" i="6" a="1"/>
  <c r="L577" i="6" s="1"/>
  <c r="L576" i="6" a="1"/>
  <c r="L576" i="6" s="1"/>
  <c r="L575" i="6" a="1"/>
  <c r="L575" i="6" s="1"/>
  <c r="L574" i="6" a="1"/>
  <c r="L574" i="6" s="1"/>
  <c r="L573" i="6" a="1"/>
  <c r="L573" i="6" s="1"/>
  <c r="L572" i="6" a="1"/>
  <c r="L572" i="6" s="1"/>
  <c r="L571" i="6" a="1"/>
  <c r="L571" i="6" s="1"/>
  <c r="L570" i="6" a="1"/>
  <c r="L570" i="6" s="1"/>
  <c r="L569" i="6" a="1"/>
  <c r="L569" i="6" s="1"/>
  <c r="L568" i="6" a="1"/>
  <c r="L568" i="6" s="1"/>
  <c r="L567" i="6" a="1"/>
  <c r="L567" i="6" s="1"/>
  <c r="L566" i="6" a="1"/>
  <c r="L566" i="6" s="1"/>
  <c r="L565" i="6" a="1"/>
  <c r="L565" i="6" s="1"/>
  <c r="L564" i="6" a="1"/>
  <c r="L564" i="6" s="1"/>
  <c r="L563" i="6" a="1"/>
  <c r="L563" i="6" s="1"/>
  <c r="L562" i="6" a="1"/>
  <c r="L562" i="6" s="1"/>
  <c r="L561" i="6" a="1"/>
  <c r="L561" i="6" s="1"/>
  <c r="L560" i="6" a="1"/>
  <c r="L560" i="6" s="1"/>
  <c r="L559" i="6" a="1"/>
  <c r="L559" i="6" s="1"/>
  <c r="L558" i="6" a="1"/>
  <c r="L558" i="6" s="1"/>
  <c r="L557" i="6" a="1"/>
  <c r="L557" i="6" s="1"/>
  <c r="L556" i="6" a="1"/>
  <c r="L556" i="6" s="1"/>
  <c r="L555" i="6" a="1"/>
  <c r="L555" i="6" s="1"/>
  <c r="L554" i="6" a="1"/>
  <c r="L554" i="6" s="1"/>
  <c r="L553" i="6" a="1"/>
  <c r="L553" i="6" s="1"/>
  <c r="L552" i="6" a="1"/>
  <c r="L552" i="6" s="1"/>
  <c r="L551" i="6" a="1"/>
  <c r="L551" i="6" s="1"/>
  <c r="L550" i="6" a="1"/>
  <c r="L550" i="6" s="1"/>
  <c r="L549" i="6" a="1"/>
  <c r="L549" i="6" s="1"/>
  <c r="L548" i="6" a="1"/>
  <c r="L548" i="6" s="1"/>
  <c r="L547" i="6" a="1"/>
  <c r="L547" i="6" s="1"/>
  <c r="L546" i="6" a="1"/>
  <c r="L546" i="6" s="1"/>
  <c r="L545" i="6" a="1"/>
  <c r="L545" i="6" s="1"/>
  <c r="L544" i="6" a="1"/>
  <c r="L544" i="6" s="1"/>
  <c r="L543" i="6" a="1"/>
  <c r="L543" i="6" s="1"/>
  <c r="L542" i="6" a="1"/>
  <c r="L542" i="6" s="1"/>
  <c r="L541" i="6" a="1"/>
  <c r="L541" i="6" s="1"/>
  <c r="L540" i="6" a="1"/>
  <c r="L540" i="6" s="1"/>
  <c r="L539" i="6" a="1"/>
  <c r="L539" i="6" s="1"/>
  <c r="L538" i="6" a="1"/>
  <c r="L538" i="6" s="1"/>
  <c r="L537" i="6" a="1"/>
  <c r="L537" i="6" s="1"/>
  <c r="L536" i="6" a="1"/>
  <c r="L536" i="6" s="1"/>
  <c r="L535" i="6" a="1"/>
  <c r="L535" i="6" s="1"/>
  <c r="L534" i="6" a="1"/>
  <c r="L534" i="6" s="1"/>
  <c r="L533" i="6" a="1"/>
  <c r="L533" i="6" s="1"/>
  <c r="L532" i="6" a="1"/>
  <c r="L532" i="6" s="1"/>
  <c r="L531" i="6" a="1"/>
  <c r="L531" i="6" s="1"/>
  <c r="L530" i="6" a="1"/>
  <c r="L530" i="6" s="1"/>
  <c r="L529" i="6" a="1"/>
  <c r="L529" i="6" s="1"/>
  <c r="L528" i="6" a="1"/>
  <c r="L528" i="6" s="1"/>
  <c r="L527" i="6" a="1"/>
  <c r="L527" i="6" s="1"/>
  <c r="L526" i="6" a="1"/>
  <c r="L526" i="6" s="1"/>
  <c r="L525" i="6" a="1"/>
  <c r="L525" i="6" s="1"/>
  <c r="L524" i="6" a="1"/>
  <c r="L524" i="6" s="1"/>
  <c r="L523" i="6" a="1"/>
  <c r="L523" i="6" s="1"/>
  <c r="L522" i="6" a="1"/>
  <c r="L522" i="6" s="1"/>
  <c r="L521" i="6" a="1"/>
  <c r="L521" i="6" s="1"/>
  <c r="L520" i="6" a="1"/>
  <c r="L520" i="6" s="1"/>
  <c r="L519" i="6" a="1"/>
  <c r="L519" i="6" s="1"/>
  <c r="L518" i="6" a="1"/>
  <c r="L518" i="6" s="1"/>
  <c r="L517" i="6" a="1"/>
  <c r="L517" i="6" s="1"/>
  <c r="L516" i="6" a="1"/>
  <c r="L516" i="6" s="1"/>
  <c r="L515" i="6" a="1"/>
  <c r="L515" i="6" s="1"/>
  <c r="L514" i="6" a="1"/>
  <c r="L514" i="6" s="1"/>
  <c r="L513" i="6" a="1"/>
  <c r="L513" i="6" s="1"/>
  <c r="L512" i="6" a="1"/>
  <c r="L512" i="6" s="1"/>
  <c r="L511" i="6" a="1"/>
  <c r="L511" i="6" s="1"/>
  <c r="L510" i="6" a="1"/>
  <c r="L510" i="6" s="1"/>
  <c r="L509" i="6" a="1"/>
  <c r="L509" i="6" s="1"/>
  <c r="L508" i="6" a="1"/>
  <c r="L508" i="6" s="1"/>
  <c r="L507" i="6" a="1"/>
  <c r="L507" i="6" s="1"/>
  <c r="L506" i="6" a="1"/>
  <c r="L506" i="6" s="1"/>
  <c r="L505" i="6" a="1"/>
  <c r="L505" i="6" s="1"/>
  <c r="L504" i="6" a="1"/>
  <c r="L504" i="6" s="1"/>
  <c r="L503" i="6" a="1"/>
  <c r="L503" i="6" s="1"/>
  <c r="L502" i="6" a="1"/>
  <c r="L502" i="6" s="1"/>
  <c r="L501" i="6" a="1"/>
  <c r="L501" i="6" s="1"/>
  <c r="L500" i="6" a="1"/>
  <c r="L500" i="6" s="1"/>
  <c r="L499" i="6" a="1"/>
  <c r="L499" i="6" s="1"/>
  <c r="L498" i="6" a="1"/>
  <c r="L498" i="6" s="1"/>
  <c r="L497" i="6" a="1"/>
  <c r="L497" i="6" s="1"/>
  <c r="L496" i="6" a="1"/>
  <c r="L496" i="6" s="1"/>
  <c r="L495" i="6" a="1"/>
  <c r="L495" i="6" s="1"/>
  <c r="L494" i="6" a="1"/>
  <c r="L494" i="6" s="1"/>
  <c r="L493" i="6" a="1"/>
  <c r="L493" i="6" s="1"/>
  <c r="L492" i="6" a="1"/>
  <c r="L492" i="6" s="1"/>
  <c r="L491" i="6" a="1"/>
  <c r="L491" i="6" s="1"/>
  <c r="L490" i="6" a="1"/>
  <c r="L490" i="6" s="1"/>
  <c r="L489" i="6" a="1"/>
  <c r="L489" i="6" s="1"/>
  <c r="L488" i="6" a="1"/>
  <c r="L488" i="6" s="1"/>
  <c r="L487" i="6" a="1"/>
  <c r="L487" i="6" s="1"/>
  <c r="L486" i="6" a="1"/>
  <c r="L486" i="6" s="1"/>
  <c r="L485" i="6" a="1"/>
  <c r="L485" i="6" s="1"/>
  <c r="L484" i="6" a="1"/>
  <c r="L484" i="6" s="1"/>
  <c r="L483" i="6" a="1"/>
  <c r="L483" i="6" s="1"/>
  <c r="L482" i="6" a="1"/>
  <c r="L482" i="6" s="1"/>
  <c r="L481" i="6" a="1"/>
  <c r="L481" i="6" s="1"/>
  <c r="L480" i="6" a="1"/>
  <c r="L480" i="6" s="1"/>
  <c r="L479" i="6" a="1"/>
  <c r="L479" i="6" s="1"/>
  <c r="L478" i="6" a="1"/>
  <c r="L478" i="6" s="1"/>
  <c r="L477" i="6" a="1"/>
  <c r="L477" i="6" s="1"/>
  <c r="L476" i="6" a="1"/>
  <c r="L476" i="6" s="1"/>
  <c r="L475" i="6" a="1"/>
  <c r="L475" i="6" s="1"/>
  <c r="L474" i="6" a="1"/>
  <c r="L474" i="6" s="1"/>
  <c r="L473" i="6" a="1"/>
  <c r="L473" i="6" s="1"/>
  <c r="L472" i="6" a="1"/>
  <c r="L472" i="6" s="1"/>
  <c r="L471" i="6" a="1"/>
  <c r="L471" i="6" s="1"/>
  <c r="L470" i="6" a="1"/>
  <c r="L470" i="6" s="1"/>
  <c r="L469" i="6" a="1"/>
  <c r="L469" i="6" s="1"/>
  <c r="L468" i="6" a="1"/>
  <c r="L468" i="6" s="1"/>
  <c r="L467" i="6" a="1"/>
  <c r="L467" i="6" s="1"/>
  <c r="L466" i="6" a="1"/>
  <c r="L466" i="6" s="1"/>
  <c r="L465" i="6" a="1"/>
  <c r="L465" i="6" s="1"/>
  <c r="L464" i="6" a="1"/>
  <c r="L464" i="6" s="1"/>
  <c r="L463" i="6" a="1"/>
  <c r="L463" i="6" s="1"/>
  <c r="L462" i="6" a="1"/>
  <c r="L462" i="6" s="1"/>
  <c r="L461" i="6" a="1"/>
  <c r="L461" i="6" s="1"/>
  <c r="L460" i="6" a="1"/>
  <c r="L460" i="6" s="1"/>
  <c r="L459" i="6" a="1"/>
  <c r="L459" i="6" s="1"/>
  <c r="L458" i="6" a="1"/>
  <c r="L458" i="6" s="1"/>
  <c r="L457" i="6" a="1"/>
  <c r="L457" i="6" s="1"/>
  <c r="L456" i="6" a="1"/>
  <c r="L456" i="6" s="1"/>
  <c r="L455" i="6" a="1"/>
  <c r="L455" i="6" s="1"/>
  <c r="L454" i="6" a="1"/>
  <c r="L454" i="6" s="1"/>
  <c r="L453" i="6" a="1"/>
  <c r="L453" i="6" s="1"/>
  <c r="L452" i="6" a="1"/>
  <c r="L452" i="6" s="1"/>
  <c r="L451" i="6" a="1"/>
  <c r="L451" i="6" s="1"/>
  <c r="L450" i="6" a="1"/>
  <c r="L450" i="6" s="1"/>
  <c r="L449" i="6" a="1"/>
  <c r="L449" i="6" s="1"/>
  <c r="L448" i="6" a="1"/>
  <c r="L448" i="6" s="1"/>
  <c r="L447" i="6" a="1"/>
  <c r="L447" i="6" s="1"/>
  <c r="L446" i="6" a="1"/>
  <c r="L446" i="6" s="1"/>
  <c r="L445" i="6" a="1"/>
  <c r="L445" i="6" s="1"/>
  <c r="L444" i="6" a="1"/>
  <c r="L444" i="6" s="1"/>
  <c r="L443" i="6" a="1"/>
  <c r="L443" i="6" s="1"/>
  <c r="L442" i="6" a="1"/>
  <c r="L442" i="6" s="1"/>
  <c r="L441" i="6" a="1"/>
  <c r="L441" i="6" s="1"/>
  <c r="L440" i="6" a="1"/>
  <c r="L440" i="6" s="1"/>
  <c r="L439" i="6" a="1"/>
  <c r="L439" i="6" s="1"/>
  <c r="L438" i="6" a="1"/>
  <c r="L438" i="6" s="1"/>
  <c r="L437" i="6" a="1"/>
  <c r="L437" i="6" s="1"/>
  <c r="L436" i="6" a="1"/>
  <c r="L436" i="6" s="1"/>
  <c r="L435" i="6" a="1"/>
  <c r="L435" i="6" s="1"/>
  <c r="L434" i="6" a="1"/>
  <c r="L434" i="6" s="1"/>
  <c r="L433" i="6" a="1"/>
  <c r="L433" i="6" s="1"/>
  <c r="L432" i="6" a="1"/>
  <c r="L432" i="6" s="1"/>
  <c r="L431" i="6" a="1"/>
  <c r="L431" i="6" s="1"/>
  <c r="L430" i="6" a="1"/>
  <c r="L430" i="6" s="1"/>
  <c r="L429" i="6" a="1"/>
  <c r="L429" i="6" s="1"/>
  <c r="L428" i="6" a="1"/>
  <c r="L428" i="6" s="1"/>
  <c r="L427" i="6" a="1"/>
  <c r="L427" i="6" s="1"/>
  <c r="L426" i="6" a="1"/>
  <c r="L426" i="6" s="1"/>
  <c r="L425" i="6" a="1"/>
  <c r="L425" i="6" s="1"/>
  <c r="L424" i="6" a="1"/>
  <c r="L424" i="6" s="1"/>
  <c r="L423" i="6" a="1"/>
  <c r="L423" i="6" s="1"/>
  <c r="L422" i="6" a="1"/>
  <c r="L422" i="6" s="1"/>
  <c r="L421" i="6" a="1"/>
  <c r="L421" i="6" s="1"/>
  <c r="L420" i="6" a="1"/>
  <c r="L420" i="6" s="1"/>
  <c r="L419" i="6" a="1"/>
  <c r="L419" i="6" s="1"/>
  <c r="L418" i="6" a="1"/>
  <c r="L418" i="6" s="1"/>
  <c r="L417" i="6" a="1"/>
  <c r="L417" i="6" s="1"/>
  <c r="L416" i="6" a="1"/>
  <c r="L416" i="6" s="1"/>
  <c r="L415" i="6" a="1"/>
  <c r="L415" i="6" s="1"/>
  <c r="L414" i="6" a="1"/>
  <c r="L414" i="6" s="1"/>
  <c r="L413" i="6" a="1"/>
  <c r="L413" i="6" s="1"/>
  <c r="L412" i="6" a="1"/>
  <c r="L412" i="6" s="1"/>
  <c r="L411" i="6" a="1"/>
  <c r="L411" i="6" s="1"/>
  <c r="L410" i="6" a="1"/>
  <c r="L410" i="6" s="1"/>
  <c r="L409" i="6" a="1"/>
  <c r="L409" i="6" s="1"/>
  <c r="L408" i="6" a="1"/>
  <c r="L408" i="6" s="1"/>
  <c r="L407" i="6" a="1"/>
  <c r="L407" i="6" s="1"/>
  <c r="L406" i="6" a="1"/>
  <c r="L406" i="6" s="1"/>
  <c r="L405" i="6" a="1"/>
  <c r="L405" i="6" s="1"/>
  <c r="L404" i="6" a="1"/>
  <c r="L404" i="6" s="1"/>
  <c r="L403" i="6" a="1"/>
  <c r="L403" i="6" s="1"/>
  <c r="L402" i="6" a="1"/>
  <c r="L402" i="6" s="1"/>
  <c r="L401" i="6" a="1"/>
  <c r="L401" i="6" s="1"/>
  <c r="L400" i="6" a="1"/>
  <c r="L400" i="6" s="1"/>
  <c r="L399" i="6" a="1"/>
  <c r="L399" i="6" s="1"/>
  <c r="L398" i="6" a="1"/>
  <c r="L398" i="6" s="1"/>
  <c r="L397" i="6" a="1"/>
  <c r="L397" i="6" s="1"/>
  <c r="L396" i="6" a="1"/>
  <c r="L396" i="6" s="1"/>
  <c r="L395" i="6" a="1"/>
  <c r="L395" i="6" s="1"/>
  <c r="L394" i="6" a="1"/>
  <c r="L394" i="6" s="1"/>
  <c r="L393" i="6" a="1"/>
  <c r="L393" i="6" s="1"/>
  <c r="L392" i="6" a="1"/>
  <c r="L392" i="6" s="1"/>
  <c r="L391" i="6" a="1"/>
  <c r="L391" i="6" s="1"/>
  <c r="L390" i="6" a="1"/>
  <c r="L390" i="6" s="1"/>
  <c r="L389" i="6" a="1"/>
  <c r="L389" i="6" s="1"/>
  <c r="L388" i="6" a="1"/>
  <c r="L388" i="6" s="1"/>
  <c r="L387" i="6" a="1"/>
  <c r="L387" i="6" s="1"/>
  <c r="L386" i="6" a="1"/>
  <c r="L386" i="6" s="1"/>
  <c r="L385" i="6" a="1"/>
  <c r="L385" i="6" s="1"/>
  <c r="L384" i="6" a="1"/>
  <c r="L384" i="6" s="1"/>
  <c r="L383" i="6" a="1"/>
  <c r="L383" i="6" s="1"/>
  <c r="L382" i="6" a="1"/>
  <c r="L382" i="6" s="1"/>
  <c r="L381" i="6" a="1"/>
  <c r="L381" i="6" s="1"/>
  <c r="L380" i="6" a="1"/>
  <c r="L380" i="6" s="1"/>
  <c r="L379" i="6" a="1"/>
  <c r="L379" i="6" s="1"/>
  <c r="L378" i="6" a="1"/>
  <c r="L378" i="6" s="1"/>
  <c r="L377" i="6" a="1"/>
  <c r="L377" i="6" s="1"/>
  <c r="L376" i="6" a="1"/>
  <c r="L376" i="6" s="1"/>
  <c r="L375" i="6" a="1"/>
  <c r="L375" i="6" s="1"/>
  <c r="L374" i="6" a="1"/>
  <c r="L374" i="6" s="1"/>
  <c r="L373" i="6" a="1"/>
  <c r="L373" i="6" s="1"/>
  <c r="L372" i="6" a="1"/>
  <c r="L372" i="6" s="1"/>
  <c r="L371" i="6" a="1"/>
  <c r="L371" i="6" s="1"/>
  <c r="L370" i="6" a="1"/>
  <c r="L370" i="6" s="1"/>
  <c r="L369" i="6" a="1"/>
  <c r="L369" i="6" s="1"/>
  <c r="L368" i="6" a="1"/>
  <c r="L368" i="6" s="1"/>
  <c r="L367" i="6" a="1"/>
  <c r="L367" i="6" s="1"/>
  <c r="L366" i="6" a="1"/>
  <c r="L366" i="6" s="1"/>
  <c r="L365" i="6" a="1"/>
  <c r="L365" i="6" s="1"/>
  <c r="L364" i="6" a="1"/>
  <c r="L364" i="6" s="1"/>
  <c r="L363" i="6" a="1"/>
  <c r="L363" i="6" s="1"/>
  <c r="L362" i="6" a="1"/>
  <c r="L362" i="6" s="1"/>
  <c r="L361" i="6" a="1"/>
  <c r="L361" i="6" s="1"/>
  <c r="L360" i="6" a="1"/>
  <c r="L360" i="6" s="1"/>
  <c r="L359" i="6" a="1"/>
  <c r="L359" i="6" s="1"/>
  <c r="L358" i="6" a="1"/>
  <c r="L358" i="6" s="1"/>
  <c r="L357" i="6" a="1"/>
  <c r="L357" i="6" s="1"/>
  <c r="L356" i="6" a="1"/>
  <c r="L356" i="6" s="1"/>
  <c r="L355" i="6" a="1"/>
  <c r="L355" i="6" s="1"/>
  <c r="L354" i="6" a="1"/>
  <c r="L354" i="6" s="1"/>
  <c r="L353" i="6" a="1"/>
  <c r="L353" i="6" s="1"/>
  <c r="L352" i="6" a="1"/>
  <c r="L352" i="6" s="1"/>
  <c r="L351" i="6" a="1"/>
  <c r="L351" i="6" s="1"/>
  <c r="L350" i="6" a="1"/>
  <c r="L350" i="6" s="1"/>
  <c r="L349" i="6" a="1"/>
  <c r="L349" i="6" s="1"/>
  <c r="L348" i="6" a="1"/>
  <c r="L348" i="6" s="1"/>
  <c r="L347" i="6" a="1"/>
  <c r="L347" i="6" s="1"/>
  <c r="L346" i="6" a="1"/>
  <c r="L346" i="6" s="1"/>
  <c r="L345" i="6" a="1"/>
  <c r="L345" i="6" s="1"/>
  <c r="L344" i="6" a="1"/>
  <c r="L344" i="6" s="1"/>
  <c r="L343" i="6" a="1"/>
  <c r="L343" i="6" s="1"/>
  <c r="L342" i="6" a="1"/>
  <c r="L342" i="6" s="1"/>
  <c r="L341" i="6" a="1"/>
  <c r="L341" i="6" s="1"/>
  <c r="L340" i="6" a="1"/>
  <c r="L340" i="6" s="1"/>
  <c r="L339" i="6" a="1"/>
  <c r="L339" i="6" s="1"/>
  <c r="L338" i="6" a="1"/>
  <c r="L338" i="6" s="1"/>
  <c r="L337" i="6" a="1"/>
  <c r="L337" i="6" s="1"/>
  <c r="L336" i="6" a="1"/>
  <c r="L336" i="6" s="1"/>
  <c r="L335" i="6" a="1"/>
  <c r="L335" i="6" s="1"/>
  <c r="L334" i="6" a="1"/>
  <c r="L334" i="6" s="1"/>
  <c r="L333" i="6" a="1"/>
  <c r="L333" i="6" s="1"/>
  <c r="L332" i="6" a="1"/>
  <c r="L332" i="6" s="1"/>
  <c r="L331" i="6" a="1"/>
  <c r="L331" i="6" s="1"/>
  <c r="L330" i="6" a="1"/>
  <c r="L330" i="6" s="1"/>
  <c r="L329" i="6" a="1"/>
  <c r="L329" i="6" s="1"/>
  <c r="L328" i="6" a="1"/>
  <c r="L328" i="6" s="1"/>
  <c r="L327" i="6" a="1"/>
  <c r="L327" i="6" s="1"/>
  <c r="L326" i="6" a="1"/>
  <c r="L326" i="6" s="1"/>
  <c r="L325" i="6" a="1"/>
  <c r="L325" i="6" s="1"/>
  <c r="L324" i="6" a="1"/>
  <c r="L324" i="6" s="1"/>
  <c r="L323" i="6" a="1"/>
  <c r="L323" i="6" s="1"/>
  <c r="L322" i="6" a="1"/>
  <c r="L322" i="6" s="1"/>
  <c r="L321" i="6" a="1"/>
  <c r="L321" i="6" s="1"/>
  <c r="L320" i="6" a="1"/>
  <c r="L320" i="6" s="1"/>
  <c r="L319" i="6" a="1"/>
  <c r="L319" i="6" s="1"/>
  <c r="L318" i="6" a="1"/>
  <c r="L318" i="6" s="1"/>
  <c r="L317" i="6" a="1"/>
  <c r="L317" i="6" s="1"/>
  <c r="L316" i="6" a="1"/>
  <c r="L316" i="6" s="1"/>
  <c r="L315" i="6" a="1"/>
  <c r="L315" i="6" s="1"/>
  <c r="L314" i="6" a="1"/>
  <c r="L314" i="6" s="1"/>
  <c r="L313" i="6" a="1"/>
  <c r="L313" i="6" s="1"/>
  <c r="L312" i="6" a="1"/>
  <c r="L312" i="6" s="1"/>
  <c r="L311" i="6" a="1"/>
  <c r="L311" i="6" s="1"/>
  <c r="L310" i="6" a="1"/>
  <c r="L310" i="6" s="1"/>
  <c r="L309" i="6" a="1"/>
  <c r="L309" i="6" s="1"/>
  <c r="L308" i="6" a="1"/>
  <c r="L308" i="6" s="1"/>
  <c r="L307" i="6" a="1"/>
  <c r="L307" i="6" s="1"/>
  <c r="L306" i="6" a="1"/>
  <c r="L306" i="6" s="1"/>
  <c r="L305" i="6" a="1"/>
  <c r="L305" i="6" s="1"/>
  <c r="L304" i="6" a="1"/>
  <c r="L304" i="6" s="1"/>
  <c r="L303" i="6" a="1"/>
  <c r="L303" i="6" s="1"/>
  <c r="L302" i="6" a="1"/>
  <c r="L302" i="6" s="1"/>
  <c r="L301" i="6" a="1"/>
  <c r="L301" i="6" s="1"/>
  <c r="L300" i="6" a="1"/>
  <c r="L300" i="6" s="1"/>
  <c r="L299" i="6" a="1"/>
  <c r="L299" i="6" s="1"/>
  <c r="L298" i="6" a="1"/>
  <c r="L298" i="6" s="1"/>
  <c r="L297" i="6" a="1"/>
  <c r="L297" i="6" s="1"/>
  <c r="L296" i="6" a="1"/>
  <c r="L296" i="6" s="1"/>
  <c r="L295" i="6" a="1"/>
  <c r="L295" i="6" s="1"/>
  <c r="L294" i="6" a="1"/>
  <c r="L294" i="6" s="1"/>
  <c r="L293" i="6" a="1"/>
  <c r="L293" i="6" s="1"/>
  <c r="L292" i="6" a="1"/>
  <c r="L292" i="6" s="1"/>
  <c r="L291" i="6" a="1"/>
  <c r="L291" i="6" s="1"/>
  <c r="L290" i="6" a="1"/>
  <c r="L290" i="6" s="1"/>
  <c r="L289" i="6" a="1"/>
  <c r="L289" i="6" s="1"/>
  <c r="L288" i="6" a="1"/>
  <c r="L288" i="6" s="1"/>
  <c r="L287" i="6" a="1"/>
  <c r="L287" i="6" s="1"/>
  <c r="L286" i="6" a="1"/>
  <c r="L286" i="6" s="1"/>
  <c r="L285" i="6" a="1"/>
  <c r="L285" i="6" s="1"/>
  <c r="L284" i="6" a="1"/>
  <c r="L284" i="6" s="1"/>
  <c r="L283" i="6" a="1"/>
  <c r="L283" i="6" s="1"/>
  <c r="L282" i="6" a="1"/>
  <c r="L282" i="6" s="1"/>
  <c r="L281" i="6" a="1"/>
  <c r="L281" i="6" s="1"/>
  <c r="L280" i="6" a="1"/>
  <c r="L280" i="6" s="1"/>
  <c r="L279" i="6" a="1"/>
  <c r="L279" i="6" s="1"/>
  <c r="L278" i="6" a="1"/>
  <c r="L278" i="6" s="1"/>
  <c r="L277" i="6" a="1"/>
  <c r="L277" i="6" s="1"/>
  <c r="L276" i="6" a="1"/>
  <c r="L276" i="6" s="1"/>
  <c r="L275" i="6" a="1"/>
  <c r="L275" i="6" s="1"/>
  <c r="L274" i="6" a="1"/>
  <c r="L274" i="6" s="1"/>
  <c r="L273" i="6" a="1"/>
  <c r="L273" i="6" s="1"/>
  <c r="L272" i="6" a="1"/>
  <c r="L272" i="6" s="1"/>
  <c r="L271" i="6" a="1"/>
  <c r="L271" i="6" s="1"/>
  <c r="L270" i="6" a="1"/>
  <c r="L270" i="6" s="1"/>
  <c r="L269" i="6" a="1"/>
  <c r="L269" i="6" s="1"/>
  <c r="L268" i="6" a="1"/>
  <c r="L268" i="6" s="1"/>
  <c r="L267" i="6" a="1"/>
  <c r="L267" i="6" s="1"/>
  <c r="L266" i="6" a="1"/>
  <c r="L266" i="6" s="1"/>
  <c r="L265" i="6" a="1"/>
  <c r="L265" i="6" s="1"/>
  <c r="L264" i="6" a="1"/>
  <c r="L264" i="6" s="1"/>
  <c r="L263" i="6" a="1"/>
  <c r="L263" i="6" s="1"/>
  <c r="L262" i="6" a="1"/>
  <c r="L262" i="6" s="1"/>
  <c r="L261" i="6" a="1"/>
  <c r="L261" i="6" s="1"/>
  <c r="L260" i="6" a="1"/>
  <c r="L260" i="6" s="1"/>
  <c r="L259" i="6" a="1"/>
  <c r="L259" i="6" s="1"/>
  <c r="L258" i="6" a="1"/>
  <c r="L258" i="6" s="1"/>
  <c r="L257" i="6" a="1"/>
  <c r="L257" i="6" s="1"/>
  <c r="L256" i="6" a="1"/>
  <c r="L256" i="6" s="1"/>
  <c r="L255" i="6" a="1"/>
  <c r="L255" i="6" s="1"/>
  <c r="L254" i="6" a="1"/>
  <c r="L254" i="6" s="1"/>
  <c r="L253" i="6" a="1"/>
  <c r="L253" i="6" s="1"/>
  <c r="L252" i="6" a="1"/>
  <c r="L252" i="6" s="1"/>
  <c r="L251" i="6" a="1"/>
  <c r="L251" i="6" s="1"/>
  <c r="L250" i="6" a="1"/>
  <c r="L250" i="6" s="1"/>
  <c r="L249" i="6" a="1"/>
  <c r="L249" i="6" s="1"/>
  <c r="L248" i="6" a="1"/>
  <c r="L248" i="6" s="1"/>
  <c r="L247" i="6" a="1"/>
  <c r="L247" i="6" s="1"/>
  <c r="L246" i="6" a="1"/>
  <c r="L246" i="6" s="1"/>
  <c r="L245" i="6" a="1"/>
  <c r="L245" i="6" s="1"/>
  <c r="L244" i="6" a="1"/>
  <c r="L244" i="6" s="1"/>
  <c r="L243" i="6" a="1"/>
  <c r="L243" i="6" s="1"/>
  <c r="L242" i="6" a="1"/>
  <c r="L242" i="6" s="1"/>
  <c r="L241" i="6" a="1"/>
  <c r="L241" i="6" s="1"/>
  <c r="L240" i="6" a="1"/>
  <c r="L240" i="6" s="1"/>
  <c r="L239" i="6" a="1"/>
  <c r="L239" i="6" s="1"/>
  <c r="L238" i="6" a="1"/>
  <c r="L238" i="6" s="1"/>
  <c r="L237" i="6" a="1"/>
  <c r="L237" i="6" s="1"/>
  <c r="L236" i="6" a="1"/>
  <c r="L236" i="6" s="1"/>
  <c r="L235" i="6" a="1"/>
  <c r="L235" i="6" s="1"/>
  <c r="L234" i="6" a="1"/>
  <c r="L234" i="6" s="1"/>
  <c r="L233" i="6" a="1"/>
  <c r="L233" i="6" s="1"/>
  <c r="L232" i="6" a="1"/>
  <c r="L232" i="6" s="1"/>
  <c r="L231" i="6" a="1"/>
  <c r="L231" i="6" s="1"/>
  <c r="L230" i="6" a="1"/>
  <c r="L230" i="6" s="1"/>
  <c r="L229" i="6" a="1"/>
  <c r="L229" i="6" s="1"/>
  <c r="L228" i="6" a="1"/>
  <c r="L228" i="6" s="1"/>
  <c r="L227" i="6" a="1"/>
  <c r="L227" i="6" s="1"/>
  <c r="L226" i="6" a="1"/>
  <c r="L226" i="6" s="1"/>
  <c r="L225" i="6" a="1"/>
  <c r="L225" i="6" s="1"/>
  <c r="L224" i="6" a="1"/>
  <c r="L224" i="6" s="1"/>
  <c r="L223" i="6" a="1"/>
  <c r="L223" i="6" s="1"/>
  <c r="L222" i="6" a="1"/>
  <c r="L222" i="6" s="1"/>
  <c r="L221" i="6" a="1"/>
  <c r="L221" i="6" s="1"/>
  <c r="L220" i="6" a="1"/>
  <c r="L220" i="6" s="1"/>
  <c r="L219" i="6" a="1"/>
  <c r="L219" i="6" s="1"/>
  <c r="L218" i="6" a="1"/>
  <c r="L218" i="6" s="1"/>
  <c r="L217" i="6" a="1"/>
  <c r="L217" i="6" s="1"/>
  <c r="L216" i="6" a="1"/>
  <c r="L216" i="6" s="1"/>
  <c r="L215" i="6" a="1"/>
  <c r="L215" i="6" s="1"/>
  <c r="L214" i="6" a="1"/>
  <c r="L214" i="6" s="1"/>
  <c r="L213" i="6" a="1"/>
  <c r="L213" i="6" s="1"/>
  <c r="L212" i="6" a="1"/>
  <c r="L212" i="6" s="1"/>
  <c r="L211" i="6" a="1"/>
  <c r="L211" i="6" s="1"/>
  <c r="L210" i="6" a="1"/>
  <c r="L210" i="6" s="1"/>
  <c r="L209" i="6" a="1"/>
  <c r="L209" i="6" s="1"/>
  <c r="L208" i="6" a="1"/>
  <c r="L208" i="6" s="1"/>
  <c r="L207" i="6" a="1"/>
  <c r="L207" i="6" s="1"/>
  <c r="L206" i="6" a="1"/>
  <c r="L206" i="6" s="1"/>
  <c r="L205" i="6" a="1"/>
  <c r="L205" i="6" s="1"/>
  <c r="L204" i="6" a="1"/>
  <c r="L204" i="6" s="1"/>
  <c r="L203" i="6" a="1"/>
  <c r="L203" i="6" s="1"/>
  <c r="L202" i="6" a="1"/>
  <c r="L202" i="6" s="1"/>
  <c r="L201" i="6" a="1"/>
  <c r="L201" i="6" s="1"/>
  <c r="L200" i="6" a="1"/>
  <c r="L200" i="6" s="1"/>
  <c r="L199" i="6" a="1"/>
  <c r="L199" i="6" s="1"/>
  <c r="L198" i="6" a="1"/>
  <c r="L198" i="6" s="1"/>
  <c r="L197" i="6" a="1"/>
  <c r="L197" i="6" s="1"/>
  <c r="L196" i="6" a="1"/>
  <c r="L196" i="6" s="1"/>
  <c r="L195" i="6" a="1"/>
  <c r="L195" i="6" s="1"/>
  <c r="L194" i="6" a="1"/>
  <c r="L194" i="6" s="1"/>
  <c r="L193" i="6" a="1"/>
  <c r="L193" i="6" s="1"/>
  <c r="L192" i="6" a="1"/>
  <c r="L192" i="6" s="1"/>
  <c r="L191" i="6" a="1"/>
  <c r="L191" i="6" s="1"/>
  <c r="L190" i="6" a="1"/>
  <c r="L190" i="6" s="1"/>
  <c r="L189" i="6" a="1"/>
  <c r="L189" i="6" s="1"/>
  <c r="L188" i="6" a="1"/>
  <c r="L188" i="6" s="1"/>
  <c r="L187" i="6" a="1"/>
  <c r="L187" i="6" s="1"/>
  <c r="L186" i="6" a="1"/>
  <c r="L186" i="6" s="1"/>
  <c r="L185" i="6" a="1"/>
  <c r="L185" i="6" s="1"/>
  <c r="L184" i="6" a="1"/>
  <c r="L184" i="6" s="1"/>
  <c r="L183" i="6" a="1"/>
  <c r="L183" i="6" s="1"/>
  <c r="L182" i="6" a="1"/>
  <c r="L182" i="6" s="1"/>
  <c r="L181" i="6" a="1"/>
  <c r="L181" i="6" s="1"/>
  <c r="L180" i="6" a="1"/>
  <c r="L180" i="6" s="1"/>
  <c r="L179" i="6" a="1"/>
  <c r="L179" i="6" s="1"/>
  <c r="L178" i="6" a="1"/>
  <c r="L178" i="6" s="1"/>
  <c r="L177" i="6" a="1"/>
  <c r="L177" i="6" s="1"/>
  <c r="L176" i="6" a="1"/>
  <c r="L176" i="6" s="1"/>
  <c r="L175" i="6" a="1"/>
  <c r="L175" i="6" s="1"/>
  <c r="L174" i="6" a="1"/>
  <c r="L174" i="6" s="1"/>
  <c r="L173" i="6" a="1"/>
  <c r="L173" i="6" s="1"/>
  <c r="L172" i="6" a="1"/>
  <c r="L172" i="6" s="1"/>
  <c r="L171" i="6" a="1"/>
  <c r="L171" i="6" s="1"/>
  <c r="L170" i="6" a="1"/>
  <c r="L170" i="6" s="1"/>
  <c r="L169" i="6" a="1"/>
  <c r="L169" i="6" s="1"/>
  <c r="L168" i="6" a="1"/>
  <c r="L168" i="6" s="1"/>
  <c r="L167" i="6" a="1"/>
  <c r="L167" i="6" s="1"/>
  <c r="L166" i="6" a="1"/>
  <c r="L166" i="6" s="1"/>
  <c r="L165" i="6" a="1"/>
  <c r="L165" i="6" s="1"/>
  <c r="L164" i="6" a="1"/>
  <c r="L164" i="6" s="1"/>
  <c r="L163" i="6" a="1"/>
  <c r="L163" i="6" s="1"/>
  <c r="L162" i="6" a="1"/>
  <c r="L162" i="6" s="1"/>
  <c r="L161" i="6" a="1"/>
  <c r="L161" i="6" s="1"/>
  <c r="L160" i="6" a="1"/>
  <c r="L160" i="6" s="1"/>
  <c r="L159" i="6" a="1"/>
  <c r="L159" i="6" s="1"/>
  <c r="L158" i="6" a="1"/>
  <c r="L158" i="6" s="1"/>
  <c r="L157" i="6" a="1"/>
  <c r="L157" i="6" s="1"/>
  <c r="L156" i="6" a="1"/>
  <c r="L156" i="6" s="1"/>
  <c r="L155" i="6" a="1"/>
  <c r="L155" i="6" s="1"/>
  <c r="L154" i="6" a="1"/>
  <c r="L154" i="6" s="1"/>
  <c r="L153" i="6" a="1"/>
  <c r="L153" i="6" s="1"/>
  <c r="L152" i="6" a="1"/>
  <c r="L152" i="6" s="1"/>
  <c r="L151" i="6" a="1"/>
  <c r="L151" i="6" s="1"/>
  <c r="L150" i="6" a="1"/>
  <c r="L150" i="6" s="1"/>
  <c r="L149" i="6" a="1"/>
  <c r="L149" i="6" s="1"/>
  <c r="L148" i="6" a="1"/>
  <c r="L148" i="6" s="1"/>
  <c r="L147" i="6" a="1"/>
  <c r="L147" i="6" s="1"/>
  <c r="L146" i="6" a="1"/>
  <c r="L146" i="6" s="1"/>
  <c r="L145" i="6" a="1"/>
  <c r="L145" i="6" s="1"/>
  <c r="L144" i="6" a="1"/>
  <c r="L144" i="6" s="1"/>
  <c r="L143" i="6" a="1"/>
  <c r="L143" i="6" s="1"/>
  <c r="L142" i="6" a="1"/>
  <c r="L142" i="6" s="1"/>
  <c r="L141" i="6" a="1"/>
  <c r="L141" i="6" s="1"/>
  <c r="L140" i="6" a="1"/>
  <c r="L140" i="6" s="1"/>
  <c r="L139" i="6" a="1"/>
  <c r="L139" i="6" s="1"/>
  <c r="L138" i="6" a="1"/>
  <c r="L138" i="6" s="1"/>
  <c r="L137" i="6" a="1"/>
  <c r="L137" i="6" s="1"/>
  <c r="L136" i="6" a="1"/>
  <c r="L136" i="6" s="1"/>
  <c r="L135" i="6" a="1"/>
  <c r="L135" i="6" s="1"/>
  <c r="L134" i="6" a="1"/>
  <c r="L134" i="6" s="1"/>
  <c r="L133" i="6" a="1"/>
  <c r="L133" i="6" s="1"/>
  <c r="L132" i="6" a="1"/>
  <c r="L132" i="6" s="1"/>
  <c r="L131" i="6" a="1"/>
  <c r="L131" i="6" s="1"/>
  <c r="L130" i="6" a="1"/>
  <c r="L130" i="6" s="1"/>
  <c r="L129" i="6" a="1"/>
  <c r="L129" i="6" s="1"/>
  <c r="L128" i="6" a="1"/>
  <c r="L128" i="6" s="1"/>
  <c r="L127" i="6" a="1"/>
  <c r="L127" i="6" s="1"/>
  <c r="L126" i="6" a="1"/>
  <c r="L126" i="6" s="1"/>
  <c r="L125" i="6" a="1"/>
  <c r="L125" i="6" s="1"/>
  <c r="L124" i="6" a="1"/>
  <c r="L124" i="6" s="1"/>
  <c r="L123" i="6" a="1"/>
  <c r="L123" i="6" s="1"/>
  <c r="L122" i="6" a="1"/>
  <c r="L122" i="6" s="1"/>
  <c r="L121" i="6" a="1"/>
  <c r="L121" i="6" s="1"/>
  <c r="L120" i="6" a="1"/>
  <c r="L120" i="6" s="1"/>
  <c r="L119" i="6" a="1"/>
  <c r="L119" i="6" s="1"/>
  <c r="L118" i="6" a="1"/>
  <c r="L118" i="6" s="1"/>
  <c r="L117" i="6" a="1"/>
  <c r="L117" i="6" s="1"/>
  <c r="L116" i="6" a="1"/>
  <c r="L116" i="6" s="1"/>
  <c r="L115" i="6" a="1"/>
  <c r="L115" i="6" s="1"/>
  <c r="L114" i="6" a="1"/>
  <c r="L114" i="6" s="1"/>
  <c r="L113" i="6" a="1"/>
  <c r="L113" i="6" s="1"/>
  <c r="L112" i="6" a="1"/>
  <c r="L112" i="6" s="1"/>
  <c r="L111" i="6" a="1"/>
  <c r="L111" i="6" s="1"/>
  <c r="L110" i="6" a="1"/>
  <c r="L110" i="6" s="1"/>
  <c r="L109" i="6" a="1"/>
  <c r="L109" i="6" s="1"/>
  <c r="L108" i="6" a="1"/>
  <c r="L108" i="6" s="1"/>
  <c r="L107" i="6" a="1"/>
  <c r="L107" i="6" s="1"/>
  <c r="L106" i="6" a="1"/>
  <c r="L106" i="6" s="1"/>
  <c r="L105" i="6" a="1"/>
  <c r="L105" i="6" s="1"/>
  <c r="L104" i="6" a="1"/>
  <c r="L104" i="6" s="1"/>
  <c r="L103" i="6" a="1"/>
  <c r="L103" i="6" s="1"/>
  <c r="L102" i="6" a="1"/>
  <c r="L102" i="6" s="1"/>
  <c r="L101" i="6" a="1"/>
  <c r="L101" i="6" s="1"/>
  <c r="L100" i="6" a="1"/>
  <c r="L100" i="6" s="1"/>
  <c r="L99" i="6" a="1"/>
  <c r="L99" i="6" s="1"/>
  <c r="L98" i="6" a="1"/>
  <c r="L98" i="6" s="1"/>
  <c r="L97" i="6" a="1"/>
  <c r="L97" i="6" s="1"/>
  <c r="L96" i="6" a="1"/>
  <c r="L96" i="6" s="1"/>
  <c r="L95" i="6" a="1"/>
  <c r="L95" i="6" s="1"/>
  <c r="L94" i="6" a="1"/>
  <c r="L94" i="6" s="1"/>
  <c r="L93" i="6" a="1"/>
  <c r="L93" i="6" s="1"/>
  <c r="L92" i="6" a="1"/>
  <c r="L92" i="6" s="1"/>
  <c r="L91" i="6" a="1"/>
  <c r="L91" i="6" s="1"/>
  <c r="L90" i="6" a="1"/>
  <c r="L90" i="6" s="1"/>
  <c r="L89" i="6" a="1"/>
  <c r="L89" i="6" s="1"/>
  <c r="L88" i="6" a="1"/>
  <c r="L88" i="6" s="1"/>
  <c r="L87" i="6" a="1"/>
  <c r="L87" i="6" s="1"/>
  <c r="L86" i="6" a="1"/>
  <c r="L86" i="6" s="1"/>
  <c r="L85" i="6" a="1"/>
  <c r="L85" i="6" s="1"/>
  <c r="L84" i="6" a="1"/>
  <c r="L84" i="6" s="1"/>
  <c r="L83" i="6" a="1"/>
  <c r="L83" i="6" s="1"/>
  <c r="L82" i="6" a="1"/>
  <c r="L82" i="6" s="1"/>
  <c r="L81" i="6" a="1"/>
  <c r="L81" i="6" s="1"/>
  <c r="L80" i="6" a="1"/>
  <c r="L80" i="6" s="1"/>
  <c r="L79" i="6" a="1"/>
  <c r="L79" i="6" s="1"/>
  <c r="L78" i="6" a="1"/>
  <c r="L78" i="6" s="1"/>
  <c r="L77" i="6" a="1"/>
  <c r="L77" i="6" s="1"/>
  <c r="L76" i="6" a="1"/>
  <c r="L76" i="6" s="1"/>
  <c r="L75" i="6" a="1"/>
  <c r="L75" i="6" s="1"/>
  <c r="L74" i="6" a="1"/>
  <c r="L74" i="6" s="1"/>
  <c r="L73" i="6" a="1"/>
  <c r="L73" i="6" s="1"/>
  <c r="L72" i="6" a="1"/>
  <c r="L72" i="6" s="1"/>
  <c r="L71" i="6" a="1"/>
  <c r="L71" i="6" s="1"/>
  <c r="L70" i="6" a="1"/>
  <c r="L70" i="6" s="1"/>
  <c r="L69" i="6" a="1"/>
  <c r="L69" i="6" s="1"/>
  <c r="L68" i="6" a="1"/>
  <c r="L68" i="6" s="1"/>
  <c r="L67" i="6" a="1"/>
  <c r="L67" i="6" s="1"/>
  <c r="L66" i="6" a="1"/>
  <c r="L66" i="6" s="1"/>
  <c r="L65" i="6" a="1"/>
  <c r="L65" i="6" s="1"/>
  <c r="L64" i="6" a="1"/>
  <c r="L64" i="6" s="1"/>
  <c r="L63" i="6" a="1"/>
  <c r="L63" i="6" s="1"/>
  <c r="L62" i="6" a="1"/>
  <c r="L62" i="6" s="1"/>
  <c r="L61" i="6" a="1"/>
  <c r="L61" i="6" s="1"/>
  <c r="L60" i="6" a="1"/>
  <c r="L60" i="6" s="1"/>
  <c r="L59" i="6" a="1"/>
  <c r="L59" i="6" s="1"/>
  <c r="L58" i="6" a="1"/>
  <c r="L58" i="6" s="1"/>
  <c r="L57" i="6" a="1"/>
  <c r="L57" i="6" s="1"/>
  <c r="L56" i="6" a="1"/>
  <c r="L56" i="6" s="1"/>
  <c r="L55" i="6" a="1"/>
  <c r="L55" i="6" s="1"/>
  <c r="L54" i="6" a="1"/>
  <c r="L54" i="6" s="1"/>
  <c r="L53" i="6" a="1"/>
  <c r="L53" i="6" s="1"/>
  <c r="L52" i="6" a="1"/>
  <c r="L52" i="6" s="1"/>
  <c r="L51" i="6" a="1"/>
  <c r="L51" i="6" s="1"/>
  <c r="L50" i="6" a="1"/>
  <c r="L50" i="6" s="1"/>
  <c r="L49" i="6" a="1"/>
  <c r="L49" i="6" s="1"/>
  <c r="L48" i="6" a="1"/>
  <c r="L48" i="6" s="1"/>
  <c r="L47" i="6" a="1"/>
  <c r="L47" i="6" s="1"/>
  <c r="L46" i="6" a="1"/>
  <c r="L46" i="6" s="1"/>
  <c r="L45" i="6" a="1"/>
  <c r="L45" i="6" s="1"/>
  <c r="L44" i="6" a="1"/>
  <c r="L44" i="6" s="1"/>
  <c r="L43" i="6" a="1"/>
  <c r="L43" i="6" s="1"/>
  <c r="L42" i="6" a="1"/>
  <c r="L42" i="6" s="1"/>
  <c r="L41" i="6" a="1"/>
  <c r="L41" i="6" s="1"/>
  <c r="L40" i="6" a="1"/>
  <c r="L40" i="6" s="1"/>
  <c r="L39" i="6" a="1"/>
  <c r="L39" i="6" s="1"/>
  <c r="L38" i="6" a="1"/>
  <c r="L38" i="6" s="1"/>
  <c r="L37" i="6" a="1"/>
  <c r="L37" i="6" s="1"/>
  <c r="L36" i="6" a="1"/>
  <c r="L36" i="6" s="1"/>
  <c r="L35" i="6" a="1"/>
  <c r="L35" i="6" s="1"/>
  <c r="L34" i="6" a="1"/>
  <c r="L34" i="6" s="1"/>
  <c r="L33" i="6" a="1"/>
  <c r="L33" i="6" s="1"/>
  <c r="L32" i="6" a="1"/>
  <c r="L32" i="6" s="1"/>
  <c r="L31" i="6" a="1"/>
  <c r="L31" i="6" s="1"/>
  <c r="L30" i="6" a="1"/>
  <c r="L30" i="6" s="1"/>
  <c r="L29" i="6" a="1"/>
  <c r="L29" i="6" s="1"/>
  <c r="L28" i="6" a="1"/>
  <c r="L28" i="6" s="1"/>
  <c r="L27" i="6" a="1"/>
  <c r="L27" i="6" s="1"/>
  <c r="L26" i="6" a="1"/>
  <c r="L26" i="6" s="1"/>
  <c r="L25" i="6" a="1"/>
  <c r="L25" i="6" s="1"/>
  <c r="L24" i="6" a="1"/>
  <c r="L24" i="6" s="1"/>
  <c r="L23" i="6" a="1"/>
  <c r="L23" i="6" s="1"/>
  <c r="L22" i="6" a="1"/>
  <c r="L22" i="6" s="1"/>
  <c r="L21" i="6" a="1"/>
  <c r="L21" i="6" s="1"/>
  <c r="L20" i="6" a="1"/>
  <c r="L20" i="6" s="1"/>
  <c r="L19" i="6" a="1"/>
  <c r="L19" i="6" s="1"/>
  <c r="L18" i="6" a="1"/>
  <c r="L18" i="6" s="1"/>
  <c r="L17" i="6" a="1"/>
  <c r="L17" i="6" s="1"/>
  <c r="L16" i="6" a="1"/>
  <c r="L16" i="6" s="1"/>
  <c r="L15" i="6" a="1"/>
  <c r="L15" i="6" s="1"/>
  <c r="L14" i="6" a="1"/>
  <c r="L14" i="6" s="1"/>
  <c r="L13" i="6" a="1"/>
  <c r="L13" i="6" s="1"/>
  <c r="L12" i="6" a="1"/>
  <c r="L12" i="6" s="1"/>
  <c r="L11" i="6" a="1"/>
  <c r="L11" i="6" s="1"/>
  <c r="L10" i="6" a="1"/>
  <c r="L10" i="6" s="1"/>
  <c r="L9" i="6" a="1"/>
  <c r="L9" i="6" s="1"/>
  <c r="L8" i="6" a="1"/>
  <c r="L8" i="6" s="1"/>
  <c r="L7" i="6" a="1"/>
  <c r="L7" i="6" s="1"/>
  <c r="L6" i="6" a="1"/>
  <c r="L6" i="6" s="1"/>
  <c r="L5" i="6" a="1"/>
  <c r="L5" i="6" s="1"/>
  <c r="L4" i="6" a="1"/>
  <c r="L4" i="6" s="1"/>
  <c r="L3" i="6" a="1"/>
  <c r="L3" i="6" s="1"/>
  <c r="L2" i="6" a="1"/>
  <c r="L2" i="6" s="1"/>
  <c r="K2" i="5" a="1"/>
  <c r="K2" i="5" s="1"/>
  <c r="K3" i="5" a="1"/>
  <c r="K3" i="5" s="1"/>
  <c r="K4" i="5" a="1"/>
  <c r="K4" i="5" s="1"/>
  <c r="K5" i="5" a="1"/>
  <c r="K5" i="5" s="1"/>
  <c r="K6" i="5" a="1"/>
  <c r="K6" i="5" s="1"/>
  <c r="K7" i="5" a="1"/>
  <c r="K7" i="5" s="1"/>
  <c r="K8" i="5" a="1"/>
  <c r="K8" i="5" s="1"/>
  <c r="K9" i="5" a="1"/>
  <c r="K9" i="5" s="1"/>
  <c r="K10" i="5" a="1"/>
  <c r="K10" i="5" s="1"/>
  <c r="K11" i="5" a="1"/>
  <c r="K11" i="5" s="1"/>
  <c r="K12" i="5" a="1"/>
  <c r="K12" i="5" s="1"/>
  <c r="K13" i="5" a="1"/>
  <c r="K13" i="5" s="1"/>
  <c r="K14" i="5" a="1"/>
  <c r="K14"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26" i="5" a="1"/>
  <c r="K26" i="5" s="1"/>
  <c r="K27" i="5" a="1"/>
  <c r="K27" i="5" s="1"/>
  <c r="K28" i="5" a="1"/>
  <c r="K28" i="5" s="1"/>
  <c r="K29" i="5" a="1"/>
  <c r="K29" i="5" s="1"/>
  <c r="K30" i="5" a="1"/>
  <c r="K30" i="5" s="1"/>
  <c r="K31" i="5" a="1"/>
  <c r="K31" i="5" s="1"/>
  <c r="K32" i="5" a="1"/>
  <c r="K32" i="5" s="1"/>
  <c r="K33" i="5" a="1"/>
  <c r="K33" i="5" s="1"/>
  <c r="K34" i="5" a="1"/>
  <c r="K34" i="5" s="1"/>
  <c r="K35" i="5" a="1"/>
  <c r="K35"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K74" i="5" a="1"/>
  <c r="K74" i="5" s="1"/>
  <c r="K75" i="5" a="1"/>
  <c r="K75" i="5" s="1"/>
  <c r="K76" i="5" a="1"/>
  <c r="K76" i="5" s="1"/>
  <c r="K77" i="5" a="1"/>
  <c r="K77" i="5" s="1"/>
  <c r="K78" i="5" a="1"/>
  <c r="K78" i="5" s="1"/>
  <c r="K79" i="5" a="1"/>
  <c r="K79" i="5" s="1"/>
  <c r="K80" i="5" a="1"/>
  <c r="K80" i="5" s="1"/>
  <c r="K81" i="5" a="1"/>
  <c r="K81" i="5" s="1"/>
  <c r="K82" i="5" a="1"/>
  <c r="K82" i="5" s="1"/>
  <c r="K83" i="5" a="1"/>
  <c r="K83" i="5" s="1"/>
  <c r="K84" i="5" a="1"/>
  <c r="K84" i="5" s="1"/>
  <c r="K85" i="5" a="1"/>
  <c r="K85" i="5" s="1"/>
  <c r="K86" i="5" a="1"/>
  <c r="K86" i="5" s="1"/>
  <c r="K87" i="5" a="1"/>
  <c r="K87" i="5" s="1"/>
  <c r="K88" i="5" a="1"/>
  <c r="K88" i="5" s="1"/>
  <c r="K89" i="5" a="1"/>
  <c r="K89" i="5" s="1"/>
  <c r="K90" i="5" a="1"/>
  <c r="K90" i="5" s="1"/>
  <c r="K91" i="5" a="1"/>
  <c r="K91" i="5" s="1"/>
  <c r="K92" i="5" a="1"/>
  <c r="K92" i="5" s="1"/>
  <c r="K93" i="5" a="1"/>
  <c r="K93" i="5" s="1"/>
  <c r="K94" i="5" a="1"/>
  <c r="K94" i="5" s="1"/>
  <c r="K95" i="5" a="1"/>
  <c r="K95" i="5" s="1"/>
  <c r="K96" i="5" a="1"/>
  <c r="K96" i="5" s="1"/>
  <c r="K97" i="5" a="1"/>
  <c r="K97" i="5" s="1"/>
  <c r="K98" i="5" a="1"/>
  <c r="K98" i="5" s="1"/>
  <c r="K99" i="5" a="1"/>
  <c r="K99" i="5" s="1"/>
  <c r="K100" i="5" a="1"/>
  <c r="K100" i="5" s="1"/>
  <c r="K101" i="5" a="1"/>
  <c r="K101" i="5" s="1"/>
  <c r="K102" i="5" a="1"/>
  <c r="K102" i="5" s="1"/>
  <c r="K103" i="5" a="1"/>
  <c r="K103" i="5" s="1"/>
  <c r="K104" i="5" a="1"/>
  <c r="K104" i="5" s="1"/>
  <c r="K105" i="5" a="1"/>
  <c r="K105" i="5" s="1"/>
  <c r="K106" i="5" a="1"/>
  <c r="K106" i="5" s="1"/>
  <c r="K107" i="5" a="1"/>
  <c r="K107" i="5" s="1"/>
  <c r="K108" i="5" a="1"/>
  <c r="K108" i="5" s="1"/>
  <c r="K109" i="5" a="1"/>
  <c r="K109" i="5" s="1"/>
  <c r="K110" i="5" a="1"/>
  <c r="K110" i="5" s="1"/>
  <c r="K111" i="5" a="1"/>
  <c r="K111" i="5" s="1"/>
  <c r="K112" i="5" a="1"/>
  <c r="K112" i="5" s="1"/>
  <c r="K113" i="5" a="1"/>
  <c r="K113" i="5" s="1"/>
  <c r="K114" i="5" a="1"/>
  <c r="K114" i="5" s="1"/>
  <c r="K115" i="5" a="1"/>
  <c r="K115" i="5" s="1"/>
  <c r="K116" i="5" a="1"/>
  <c r="K116" i="5" s="1"/>
  <c r="K117" i="5" a="1"/>
  <c r="K117" i="5" s="1"/>
  <c r="K118" i="5" a="1"/>
  <c r="K118" i="5" s="1"/>
  <c r="K119" i="5" a="1"/>
  <c r="K119" i="5" s="1"/>
  <c r="K120" i="5" a="1"/>
  <c r="K120" i="5" s="1"/>
  <c r="K121" i="5" a="1"/>
  <c r="K121" i="5" s="1"/>
  <c r="K122" i="5" a="1"/>
  <c r="K122" i="5" s="1"/>
  <c r="K123" i="5" a="1"/>
  <c r="K123" i="5" s="1"/>
  <c r="K124" i="5" a="1"/>
  <c r="K124" i="5" s="1"/>
  <c r="K125" i="5" a="1"/>
  <c r="K125" i="5" s="1"/>
  <c r="K126" i="5" a="1"/>
  <c r="K126" i="5" s="1"/>
  <c r="K127" i="5" a="1"/>
  <c r="K127" i="5" s="1"/>
  <c r="K128" i="5" a="1"/>
  <c r="K128" i="5" s="1"/>
  <c r="K129" i="5" a="1"/>
  <c r="K129" i="5" s="1"/>
  <c r="K130" i="5" a="1"/>
  <c r="K130" i="5" s="1"/>
  <c r="K131" i="5" a="1"/>
  <c r="K131" i="5" s="1"/>
  <c r="K132" i="5" a="1"/>
  <c r="K132" i="5" s="1"/>
  <c r="K133" i="5" a="1"/>
  <c r="K133" i="5" s="1"/>
  <c r="K134" i="5" a="1"/>
  <c r="K134" i="5" s="1"/>
  <c r="K135" i="5" a="1"/>
  <c r="K135" i="5" s="1"/>
  <c r="K136" i="5" a="1"/>
  <c r="K136" i="5" s="1"/>
  <c r="K137" i="5" a="1"/>
  <c r="K137" i="5" s="1"/>
  <c r="K138" i="5" a="1"/>
  <c r="K138" i="5" s="1"/>
  <c r="K139" i="5" a="1"/>
  <c r="K139" i="5" s="1"/>
  <c r="K140" i="5" a="1"/>
  <c r="K140" i="5" s="1"/>
  <c r="K141" i="5" a="1"/>
  <c r="K141" i="5" s="1"/>
  <c r="K142" i="5" a="1"/>
  <c r="K142" i="5" s="1"/>
  <c r="K143" i="5" a="1"/>
  <c r="K143" i="5" s="1"/>
  <c r="K144" i="5" a="1"/>
  <c r="K144" i="5" s="1"/>
  <c r="K145" i="5" a="1"/>
  <c r="K145" i="5" s="1"/>
  <c r="K146" i="5" a="1"/>
  <c r="K146" i="5" s="1"/>
  <c r="K147" i="5" a="1"/>
  <c r="K147" i="5" s="1"/>
  <c r="K148" i="5" a="1"/>
  <c r="K148" i="5" s="1"/>
  <c r="K149" i="5" a="1"/>
  <c r="K149" i="5" s="1"/>
  <c r="K150" i="5" a="1"/>
  <c r="K150" i="5" s="1"/>
  <c r="K151" i="5" a="1"/>
  <c r="K151" i="5" s="1"/>
  <c r="K152" i="5" a="1"/>
  <c r="K152" i="5" s="1"/>
  <c r="K153" i="5" a="1"/>
  <c r="K153" i="5" s="1"/>
  <c r="K154" i="5" a="1"/>
  <c r="K154" i="5" s="1"/>
  <c r="K155" i="5" a="1"/>
  <c r="K155" i="5" s="1"/>
  <c r="K156" i="5" a="1"/>
  <c r="K156" i="5" s="1"/>
  <c r="K157" i="5" a="1"/>
  <c r="K157" i="5" s="1"/>
  <c r="K158" i="5" a="1"/>
  <c r="K158" i="5" s="1"/>
  <c r="K159" i="5" a="1"/>
  <c r="K159" i="5" s="1"/>
  <c r="K160" i="5" a="1"/>
  <c r="K160" i="5" s="1"/>
  <c r="K161" i="5" a="1"/>
  <c r="K161" i="5" s="1"/>
  <c r="K162" i="5" a="1"/>
  <c r="K162" i="5" s="1"/>
  <c r="K163" i="5" a="1"/>
  <c r="K163" i="5" s="1"/>
  <c r="K164" i="5" a="1"/>
  <c r="K164" i="5" s="1"/>
  <c r="K165" i="5" a="1"/>
  <c r="K165" i="5" s="1"/>
  <c r="K166" i="5" a="1"/>
  <c r="K166" i="5" s="1"/>
  <c r="K167" i="5" a="1"/>
  <c r="K167" i="5" s="1"/>
  <c r="K168" i="5" a="1"/>
  <c r="K168" i="5" s="1"/>
  <c r="K169" i="5" a="1"/>
  <c r="K169" i="5" s="1"/>
  <c r="K170" i="5" a="1"/>
  <c r="K170" i="5" s="1"/>
  <c r="K171" i="5" a="1"/>
  <c r="K171" i="5" s="1"/>
  <c r="K172" i="5" a="1"/>
  <c r="K172" i="5" s="1"/>
  <c r="K173" i="5" a="1"/>
  <c r="K173" i="5" s="1"/>
  <c r="K174" i="5" a="1"/>
  <c r="K174" i="5" s="1"/>
  <c r="K175" i="5" a="1"/>
  <c r="K175" i="5" s="1"/>
  <c r="K176" i="5" a="1"/>
  <c r="K176" i="5" s="1"/>
  <c r="K177" i="5" a="1"/>
  <c r="K177" i="5" s="1"/>
  <c r="K178" i="5" a="1"/>
  <c r="K178" i="5" s="1"/>
  <c r="K179" i="5" a="1"/>
  <c r="K179" i="5" s="1"/>
  <c r="K180" i="5" a="1"/>
  <c r="K180" i="5" s="1"/>
  <c r="K181" i="5" a="1"/>
  <c r="K181" i="5" s="1"/>
  <c r="K182" i="5" a="1"/>
  <c r="K182" i="5" s="1"/>
  <c r="K183" i="5" a="1"/>
  <c r="K183" i="5"/>
  <c r="K184" i="5" a="1"/>
  <c r="K184" i="5" s="1"/>
  <c r="K185" i="5" a="1"/>
  <c r="K185" i="5" s="1"/>
  <c r="K186" i="5" a="1"/>
  <c r="K186" i="5" s="1"/>
  <c r="K187" i="5" a="1"/>
  <c r="K187" i="5" s="1"/>
  <c r="K188" i="5" a="1"/>
  <c r="K188" i="5" s="1"/>
  <c r="K189" i="5" a="1"/>
  <c r="K189" i="5" s="1"/>
  <c r="K190" i="5" a="1"/>
  <c r="K190" i="5" s="1"/>
  <c r="K191" i="5" a="1"/>
  <c r="K191" i="5" s="1"/>
  <c r="K192" i="5" a="1"/>
  <c r="K192" i="5" s="1"/>
  <c r="K193" i="5" a="1"/>
  <c r="K193" i="5" s="1"/>
  <c r="K194" i="5" a="1"/>
  <c r="K194" i="5" s="1"/>
  <c r="K195" i="5" a="1"/>
  <c r="K195" i="5" s="1"/>
  <c r="K196" i="5" a="1"/>
  <c r="K196" i="5" s="1"/>
  <c r="K197" i="5" a="1"/>
  <c r="K197" i="5" s="1"/>
  <c r="K198" i="5" a="1"/>
  <c r="K198" i="5" s="1"/>
  <c r="K199" i="5" a="1"/>
  <c r="K199" i="5" s="1"/>
  <c r="K200" i="5" a="1"/>
  <c r="K200" i="5" s="1"/>
  <c r="K201" i="5" a="1"/>
  <c r="K201" i="5" s="1"/>
  <c r="K202" i="5" a="1"/>
  <c r="K202" i="5" s="1"/>
  <c r="K203" i="5" a="1"/>
  <c r="K203" i="5"/>
  <c r="K204" i="5" a="1"/>
  <c r="K204" i="5" s="1"/>
  <c r="K205" i="5" a="1"/>
  <c r="K205" i="5" s="1"/>
  <c r="K206" i="5" a="1"/>
  <c r="K206" i="5" s="1"/>
  <c r="K207" i="5" a="1"/>
  <c r="K207" i="5" s="1"/>
  <c r="K208" i="5" a="1"/>
  <c r="K208" i="5" s="1"/>
  <c r="K209" i="5" a="1"/>
  <c r="K209" i="5" s="1"/>
  <c r="K210" i="5" a="1"/>
  <c r="K210" i="5" s="1"/>
  <c r="K211" i="5" a="1"/>
  <c r="K211" i="5"/>
  <c r="K212" i="5" a="1"/>
  <c r="K212" i="5" s="1"/>
  <c r="K213" i="5" a="1"/>
  <c r="K213" i="5" s="1"/>
  <c r="K214" i="5" a="1"/>
  <c r="K214" i="5" s="1"/>
  <c r="K215" i="5" a="1"/>
  <c r="K215" i="5"/>
  <c r="K216" i="5" a="1"/>
  <c r="K216" i="5" s="1"/>
  <c r="K217" i="5" a="1"/>
  <c r="K217" i="5" s="1"/>
  <c r="K218" i="5" a="1"/>
  <c r="K218" i="5" s="1"/>
  <c r="K219" i="5" a="1"/>
  <c r="K219" i="5" s="1"/>
  <c r="K220" i="5" a="1"/>
  <c r="K220" i="5" s="1"/>
  <c r="K221" i="5" a="1"/>
  <c r="K221" i="5" s="1"/>
  <c r="K222" i="5" a="1"/>
  <c r="K222" i="5" s="1"/>
  <c r="K223" i="5" a="1"/>
  <c r="K223" i="5"/>
  <c r="K224" i="5" a="1"/>
  <c r="K224" i="5" s="1"/>
  <c r="K225" i="5" a="1"/>
  <c r="K225" i="5" s="1"/>
  <c r="K226" i="5" a="1"/>
  <c r="K226" i="5" s="1"/>
  <c r="K227" i="5" a="1"/>
  <c r="K227" i="5" s="1"/>
  <c r="K228" i="5" a="1"/>
  <c r="K228" i="5" s="1"/>
  <c r="K229" i="5" a="1"/>
  <c r="K229" i="5" s="1"/>
  <c r="K230" i="5" a="1"/>
  <c r="K230" i="5" s="1"/>
  <c r="K231" i="5" a="1"/>
  <c r="K231" i="5" s="1"/>
  <c r="K232" i="5" a="1"/>
  <c r="K232" i="5" s="1"/>
  <c r="K233" i="5" a="1"/>
  <c r="K233" i="5" s="1"/>
  <c r="K234" i="5" a="1"/>
  <c r="K234" i="5" s="1"/>
  <c r="K235" i="5" a="1"/>
  <c r="K235" i="5" s="1"/>
  <c r="K236" i="5" a="1"/>
  <c r="K236" i="5" s="1"/>
  <c r="K237" i="5" a="1"/>
  <c r="K237" i="5" s="1"/>
  <c r="K238" i="5" a="1"/>
  <c r="K238" i="5" s="1"/>
  <c r="K239" i="5" a="1"/>
  <c r="K239" i="5" s="1"/>
  <c r="K240" i="5" a="1"/>
  <c r="K240" i="5" s="1"/>
  <c r="K241" i="5" a="1"/>
  <c r="K241" i="5" s="1"/>
  <c r="K242" i="5" a="1"/>
  <c r="K242" i="5" s="1"/>
  <c r="K243" i="5" a="1"/>
  <c r="K243" i="5" s="1"/>
  <c r="K244" i="5" a="1"/>
  <c r="K244" i="5" s="1"/>
  <c r="K245" i="5" a="1"/>
  <c r="K245" i="5" s="1"/>
  <c r="K246" i="5" a="1"/>
  <c r="K246" i="5" s="1"/>
  <c r="K247" i="5" a="1"/>
  <c r="K247" i="5" s="1"/>
  <c r="K248" i="5" a="1"/>
  <c r="K248" i="5" s="1"/>
  <c r="K249" i="5" a="1"/>
  <c r="K249" i="5" s="1"/>
  <c r="K250" i="5" a="1"/>
  <c r="K250" i="5" s="1"/>
  <c r="K251" i="5" a="1"/>
  <c r="K251" i="5" s="1"/>
  <c r="K252" i="5" a="1"/>
  <c r="K252" i="5" s="1"/>
  <c r="K253" i="5" a="1"/>
  <c r="K253" i="5" s="1"/>
  <c r="K254" i="5" a="1"/>
  <c r="K254" i="5" s="1"/>
  <c r="K255" i="5" a="1"/>
  <c r="K255" i="5" s="1"/>
  <c r="K256" i="5" a="1"/>
  <c r="K256" i="5" s="1"/>
  <c r="K257" i="5" a="1"/>
  <c r="K257" i="5" s="1"/>
  <c r="K258" i="5" a="1"/>
  <c r="K258" i="5" s="1"/>
  <c r="K259" i="5" a="1"/>
  <c r="K259" i="5" s="1"/>
  <c r="K260" i="5" a="1"/>
  <c r="K260" i="5" s="1"/>
  <c r="K261" i="5" a="1"/>
  <c r="K261" i="5" s="1"/>
  <c r="K262" i="5" a="1"/>
  <c r="K262" i="5" s="1"/>
  <c r="K263" i="5" a="1"/>
  <c r="K263" i="5" s="1"/>
  <c r="K264" i="5" a="1"/>
  <c r="K264" i="5" s="1"/>
  <c r="K265" i="5" a="1"/>
  <c r="K265" i="5" s="1"/>
  <c r="K266" i="5" a="1"/>
  <c r="K266" i="5" s="1"/>
  <c r="K267" i="5" a="1"/>
  <c r="K267" i="5"/>
  <c r="K268" i="5" a="1"/>
  <c r="K268" i="5" s="1"/>
  <c r="K269" i="5" a="1"/>
  <c r="K269" i="5" s="1"/>
  <c r="K270" i="5" a="1"/>
  <c r="K270" i="5" s="1"/>
  <c r="K271" i="5" a="1"/>
  <c r="K271" i="5" s="1"/>
  <c r="K272" i="5" a="1"/>
  <c r="K272" i="5" s="1"/>
  <c r="K273" i="5" a="1"/>
  <c r="K273" i="5" s="1"/>
  <c r="K274" i="5" a="1"/>
  <c r="K274" i="5" s="1"/>
  <c r="K275" i="5" a="1"/>
  <c r="K275" i="5" s="1"/>
  <c r="K276" i="5" a="1"/>
  <c r="K276" i="5" s="1"/>
  <c r="K277" i="5" a="1"/>
  <c r="K277" i="5" s="1"/>
  <c r="K278" i="5" a="1"/>
  <c r="K278" i="5" s="1"/>
  <c r="K279" i="5" a="1"/>
  <c r="K279" i="5" s="1"/>
  <c r="K280" i="5" a="1"/>
  <c r="K280" i="5" s="1"/>
  <c r="K281" i="5" a="1"/>
  <c r="K281" i="5" s="1"/>
  <c r="K282" i="5" a="1"/>
  <c r="K282" i="5" s="1"/>
  <c r="K283" i="5" a="1"/>
  <c r="K283" i="5" s="1"/>
  <c r="K284" i="5" a="1"/>
  <c r="K284" i="5" s="1"/>
  <c r="K285" i="5" a="1"/>
  <c r="K285" i="5" s="1"/>
  <c r="K286" i="5" a="1"/>
  <c r="K286" i="5" s="1"/>
  <c r="K287" i="5" a="1"/>
  <c r="K287" i="5"/>
  <c r="K288" i="5" a="1"/>
  <c r="K288" i="5" s="1"/>
  <c r="K289" i="5" a="1"/>
  <c r="K289" i="5" s="1"/>
  <c r="K290" i="5" a="1"/>
  <c r="K290" i="5" s="1"/>
  <c r="K291" i="5" a="1"/>
  <c r="K291" i="5" s="1"/>
  <c r="K292" i="5" a="1"/>
  <c r="K292" i="5" s="1"/>
  <c r="K293" i="5" a="1"/>
  <c r="K293" i="5" s="1"/>
  <c r="K294" i="5" a="1"/>
  <c r="K294" i="5" s="1"/>
  <c r="K295" i="5" a="1"/>
  <c r="K295" i="5" s="1"/>
  <c r="K296" i="5" a="1"/>
  <c r="K296" i="5" s="1"/>
  <c r="K297" i="5" a="1"/>
  <c r="K297" i="5" s="1"/>
  <c r="K298" i="5" a="1"/>
  <c r="K298" i="5" s="1"/>
  <c r="K299" i="5" a="1"/>
  <c r="K299" i="5" s="1"/>
  <c r="K300" i="5" a="1"/>
  <c r="K300" i="5" s="1"/>
  <c r="K301" i="5" a="1"/>
  <c r="K301" i="5" s="1"/>
  <c r="K302" i="5" a="1"/>
  <c r="K302" i="5" s="1"/>
  <c r="K303" i="5" a="1"/>
  <c r="K303" i="5" s="1"/>
  <c r="K304" i="5" a="1"/>
  <c r="K304" i="5" s="1"/>
  <c r="K305" i="5" a="1"/>
  <c r="K305" i="5" s="1"/>
  <c r="K306" i="5" a="1"/>
  <c r="K306" i="5" s="1"/>
  <c r="K307" i="5" a="1"/>
  <c r="K307" i="5" s="1"/>
  <c r="K308" i="5" a="1"/>
  <c r="K308" i="5" s="1"/>
  <c r="K309" i="5" a="1"/>
  <c r="K309" i="5" s="1"/>
  <c r="K310" i="5" a="1"/>
  <c r="K310" i="5" s="1"/>
  <c r="K311" i="5" a="1"/>
  <c r="K311" i="5"/>
  <c r="K312" i="5" a="1"/>
  <c r="K312" i="5" s="1"/>
  <c r="K313" i="5" a="1"/>
  <c r="K313" i="5" s="1"/>
  <c r="K314" i="5" a="1"/>
  <c r="K314" i="5" s="1"/>
  <c r="K315" i="5" a="1"/>
  <c r="K315" i="5" s="1"/>
  <c r="K316" i="5" a="1"/>
  <c r="K316" i="5" s="1"/>
  <c r="K317" i="5" a="1"/>
  <c r="K317" i="5" s="1"/>
  <c r="K318" i="5" a="1"/>
  <c r="K318" i="5" s="1"/>
  <c r="K319" i="5" a="1"/>
  <c r="K319" i="5" s="1"/>
  <c r="K320" i="5" a="1"/>
  <c r="K320" i="5" s="1"/>
  <c r="K321" i="5" a="1"/>
  <c r="K321" i="5" s="1"/>
  <c r="K322" i="5" a="1"/>
  <c r="K322" i="5" s="1"/>
  <c r="K323" i="5" a="1"/>
  <c r="K323" i="5" s="1"/>
  <c r="K324" i="5" a="1"/>
  <c r="K324" i="5" s="1"/>
  <c r="K325" i="5" a="1"/>
  <c r="K325" i="5" s="1"/>
  <c r="K326" i="5" a="1"/>
  <c r="K326" i="5" s="1"/>
  <c r="K327" i="5" a="1"/>
  <c r="K327" i="5" s="1"/>
  <c r="K328" i="5" a="1"/>
  <c r="K328" i="5" s="1"/>
  <c r="K329" i="5" a="1"/>
  <c r="K329" i="5" s="1"/>
  <c r="K330" i="5" a="1"/>
  <c r="K330" i="5" s="1"/>
  <c r="K331" i="5" a="1"/>
  <c r="K331" i="5" s="1"/>
  <c r="K332" i="5" a="1"/>
  <c r="K332" i="5" s="1"/>
  <c r="K333" i="5" a="1"/>
  <c r="K333" i="5" s="1"/>
  <c r="K334" i="5" a="1"/>
  <c r="K334" i="5" s="1"/>
  <c r="K335" i="5" a="1"/>
  <c r="K335" i="5"/>
  <c r="K336" i="5" a="1"/>
  <c r="K336" i="5" s="1"/>
  <c r="K337" i="5" a="1"/>
  <c r="K337" i="5" s="1"/>
  <c r="K338" i="5" a="1"/>
  <c r="K338" i="5" s="1"/>
  <c r="K339" i="5" a="1"/>
  <c r="K339" i="5" s="1"/>
  <c r="K340" i="5" a="1"/>
  <c r="K340" i="5" s="1"/>
  <c r="K341" i="5" a="1"/>
  <c r="K341" i="5" s="1"/>
  <c r="K342" i="5" a="1"/>
  <c r="K342" i="5" s="1"/>
  <c r="K343" i="5" a="1"/>
  <c r="K343" i="5" s="1"/>
  <c r="K344" i="5" a="1"/>
  <c r="K344" i="5" s="1"/>
  <c r="K345" i="5" a="1"/>
  <c r="K345" i="5" s="1"/>
  <c r="K346" i="5" a="1"/>
  <c r="K346" i="5" s="1"/>
  <c r="K347" i="5" a="1"/>
  <c r="K347" i="5"/>
  <c r="K348" i="5" a="1"/>
  <c r="K348" i="5" s="1"/>
  <c r="K349" i="5" a="1"/>
  <c r="K349" i="5" s="1"/>
  <c r="K350" i="5" a="1"/>
  <c r="K350" i="5" s="1"/>
  <c r="K351" i="5" a="1"/>
  <c r="K351" i="5"/>
  <c r="K352" i="5" a="1"/>
  <c r="K352" i="5" s="1"/>
  <c r="K353" i="5" a="1"/>
  <c r="K353" i="5" s="1"/>
  <c r="K354" i="5" a="1"/>
  <c r="K354" i="5" s="1"/>
  <c r="K355" i="5" a="1"/>
  <c r="K355" i="5" s="1"/>
  <c r="K356" i="5" a="1"/>
  <c r="K356" i="5" s="1"/>
  <c r="K357" i="5" a="1"/>
  <c r="K357" i="5" s="1"/>
  <c r="K358" i="5" a="1"/>
  <c r="K358" i="5" s="1"/>
  <c r="K359" i="5" a="1"/>
  <c r="K359" i="5" s="1"/>
  <c r="K360" i="5" a="1"/>
  <c r="K360" i="5"/>
  <c r="K361" i="5" a="1"/>
  <c r="K361" i="5" s="1"/>
  <c r="K362" i="5" a="1"/>
  <c r="K362" i="5" s="1"/>
  <c r="K363" i="5" a="1"/>
  <c r="K363" i="5" s="1"/>
  <c r="K364" i="5" a="1"/>
  <c r="K364" i="5" s="1"/>
  <c r="K365" i="5" a="1"/>
  <c r="K365" i="5" s="1"/>
  <c r="K366" i="5" a="1"/>
  <c r="K366" i="5" s="1"/>
  <c r="K367" i="5" a="1"/>
  <c r="K367" i="5" s="1"/>
  <c r="K368" i="5" a="1"/>
  <c r="K368" i="5" s="1"/>
  <c r="K369" i="5" a="1"/>
  <c r="K369" i="5" s="1"/>
  <c r="K370" i="5" a="1"/>
  <c r="K370" i="5" s="1"/>
  <c r="K371" i="5" a="1"/>
  <c r="K371" i="5" s="1"/>
  <c r="K372" i="5" a="1"/>
  <c r="K372" i="5" s="1"/>
  <c r="K373" i="5" a="1"/>
  <c r="K373" i="5" s="1"/>
  <c r="K374" i="5" a="1"/>
  <c r="K374" i="5" s="1"/>
  <c r="K375" i="5" a="1"/>
  <c r="K375" i="5" s="1"/>
  <c r="K376" i="5" a="1"/>
  <c r="K376" i="5" s="1"/>
  <c r="K377" i="5" a="1"/>
  <c r="K377" i="5" s="1"/>
  <c r="K378" i="5" a="1"/>
  <c r="K378" i="5" s="1"/>
  <c r="K379" i="5" a="1"/>
  <c r="K379" i="5" s="1"/>
  <c r="K380" i="5" a="1"/>
  <c r="K380" i="5" s="1"/>
  <c r="K381" i="5" a="1"/>
  <c r="K381" i="5" s="1"/>
  <c r="K382" i="5" a="1"/>
  <c r="K382" i="5" s="1"/>
  <c r="K383" i="5" a="1"/>
  <c r="K383" i="5" s="1"/>
  <c r="K384" i="5" a="1"/>
  <c r="K384" i="5" s="1"/>
  <c r="K385" i="5" a="1"/>
  <c r="K385" i="5" s="1"/>
  <c r="K386" i="5" a="1"/>
  <c r="K386" i="5" s="1"/>
  <c r="K387" i="5" a="1"/>
  <c r="K387" i="5" s="1"/>
  <c r="K388" i="5" a="1"/>
  <c r="K388" i="5" s="1"/>
  <c r="K389" i="5" a="1"/>
  <c r="K389" i="5" s="1"/>
  <c r="K390" i="5" a="1"/>
  <c r="K390" i="5" s="1"/>
  <c r="K391" i="5" a="1"/>
  <c r="K391" i="5" s="1"/>
  <c r="K392" i="5" a="1"/>
  <c r="K392" i="5" s="1"/>
  <c r="K393" i="5" a="1"/>
  <c r="K393" i="5" s="1"/>
  <c r="K394" i="5" a="1"/>
  <c r="K394" i="5" s="1"/>
  <c r="K395" i="5" a="1"/>
  <c r="K395" i="5" s="1"/>
  <c r="K396" i="5" a="1"/>
  <c r="K396" i="5" s="1"/>
  <c r="K397" i="5" a="1"/>
  <c r="K397" i="5" s="1"/>
  <c r="K398" i="5" a="1"/>
  <c r="K398" i="5" s="1"/>
  <c r="K399" i="5" a="1"/>
  <c r="K399" i="5" s="1"/>
  <c r="K400" i="5" a="1"/>
  <c r="K400" i="5" s="1"/>
  <c r="K401" i="5" a="1"/>
  <c r="K401" i="5" s="1"/>
  <c r="K402" i="5" a="1"/>
  <c r="K402" i="5" s="1"/>
  <c r="K403" i="5" a="1"/>
  <c r="K403" i="5" s="1"/>
  <c r="K404" i="5" a="1"/>
  <c r="K404" i="5" s="1"/>
  <c r="K405" i="5" a="1"/>
  <c r="K405" i="5" s="1"/>
  <c r="K406" i="5" a="1"/>
  <c r="K406" i="5" s="1"/>
  <c r="K407" i="5" a="1"/>
  <c r="K407" i="5" s="1"/>
  <c r="K408" i="5" a="1"/>
  <c r="K408" i="5" s="1"/>
  <c r="K409" i="5" a="1"/>
  <c r="K409" i="5" s="1"/>
  <c r="K410" i="5" a="1"/>
  <c r="K410" i="5" s="1"/>
  <c r="K411" i="5" a="1"/>
  <c r="K411" i="5" s="1"/>
  <c r="K412" i="5" a="1"/>
  <c r="K412" i="5" s="1"/>
  <c r="K413" i="5" a="1"/>
  <c r="K413" i="5" s="1"/>
  <c r="K414" i="5" a="1"/>
  <c r="K414" i="5" s="1"/>
  <c r="K415" i="5" a="1"/>
  <c r="K415" i="5" s="1"/>
  <c r="K416" i="5" a="1"/>
  <c r="K416" i="5" s="1"/>
  <c r="K417" i="5" a="1"/>
  <c r="K417" i="5" s="1"/>
  <c r="K418" i="5" a="1"/>
  <c r="K418" i="5" s="1"/>
  <c r="K419" i="5" a="1"/>
  <c r="K419" i="5" s="1"/>
  <c r="K420" i="5" a="1"/>
  <c r="K420" i="5"/>
  <c r="K421" i="5" a="1"/>
  <c r="K421" i="5" s="1"/>
  <c r="K422" i="5" a="1"/>
  <c r="K422" i="5" s="1"/>
  <c r="K423" i="5" a="1"/>
  <c r="K423" i="5" s="1"/>
  <c r="K424" i="5" a="1"/>
  <c r="K424" i="5"/>
  <c r="K425" i="5" a="1"/>
  <c r="K425" i="5" s="1"/>
  <c r="K426" i="5" a="1"/>
  <c r="K426" i="5" s="1"/>
  <c r="K427" i="5" a="1"/>
  <c r="K427" i="5" s="1"/>
  <c r="K428" i="5" a="1"/>
  <c r="K428" i="5" s="1"/>
  <c r="K429" i="5" a="1"/>
  <c r="K429" i="5" s="1"/>
  <c r="K430" i="5" a="1"/>
  <c r="K430" i="5" s="1"/>
  <c r="K431" i="5" a="1"/>
  <c r="K431" i="5" s="1"/>
  <c r="K432" i="5" a="1"/>
  <c r="K432" i="5" s="1"/>
  <c r="K433" i="5" a="1"/>
  <c r="K433" i="5" s="1"/>
  <c r="K434" i="5" a="1"/>
  <c r="K434" i="5" s="1"/>
  <c r="K435" i="5" a="1"/>
  <c r="K435" i="5" s="1"/>
  <c r="K436" i="5" a="1"/>
  <c r="K436" i="5" s="1"/>
  <c r="K437" i="5" a="1"/>
  <c r="K437" i="5" s="1"/>
  <c r="K438" i="5" a="1"/>
  <c r="K438" i="5" s="1"/>
  <c r="K439" i="5" a="1"/>
  <c r="K439" i="5" s="1"/>
  <c r="K440" i="5" a="1"/>
  <c r="K440" i="5" s="1"/>
  <c r="K441" i="5" a="1"/>
  <c r="K441" i="5" s="1"/>
  <c r="K442" i="5" a="1"/>
  <c r="K442" i="5" s="1"/>
  <c r="K443" i="5" a="1"/>
  <c r="K443" i="5" s="1"/>
  <c r="K444" i="5" a="1"/>
  <c r="K444" i="5" s="1"/>
  <c r="K445" i="5" a="1"/>
  <c r="K445" i="5" s="1"/>
  <c r="K446" i="5" a="1"/>
  <c r="K446" i="5" s="1"/>
  <c r="K447" i="5" a="1"/>
  <c r="K447" i="5" s="1"/>
  <c r="K448" i="5" a="1"/>
  <c r="K448" i="5" s="1"/>
  <c r="K449" i="5" a="1"/>
  <c r="K449" i="5" s="1"/>
  <c r="K450" i="5" a="1"/>
  <c r="K450" i="5" s="1"/>
  <c r="K451" i="5" a="1"/>
  <c r="K451" i="5" s="1"/>
  <c r="K452" i="5" a="1"/>
  <c r="K452" i="5"/>
  <c r="K453" i="5" a="1"/>
  <c r="K453" i="5" s="1"/>
  <c r="K454" i="5" a="1"/>
  <c r="K454" i="5" s="1"/>
  <c r="K455" i="5" a="1"/>
  <c r="K455" i="5" s="1"/>
  <c r="K456" i="5" a="1"/>
  <c r="K456" i="5" s="1"/>
  <c r="K457" i="5" a="1"/>
  <c r="K457" i="5" s="1"/>
  <c r="K458" i="5" a="1"/>
  <c r="K458" i="5" s="1"/>
  <c r="K459" i="5" a="1"/>
  <c r="K459" i="5" s="1"/>
  <c r="K460" i="5" a="1"/>
  <c r="K460" i="5" s="1"/>
  <c r="K461" i="5" a="1"/>
  <c r="K461" i="5" s="1"/>
  <c r="K462" i="5" a="1"/>
  <c r="K462" i="5" s="1"/>
  <c r="K463" i="5" a="1"/>
  <c r="K463" i="5" s="1"/>
  <c r="K464" i="5" a="1"/>
  <c r="K464" i="5" s="1"/>
  <c r="K465" i="5" a="1"/>
  <c r="K465" i="5" s="1"/>
  <c r="K466" i="5" a="1"/>
  <c r="K466" i="5" s="1"/>
  <c r="K467" i="5" a="1"/>
  <c r="K467" i="5" s="1"/>
  <c r="K468" i="5" a="1"/>
  <c r="K468" i="5" s="1"/>
  <c r="K469" i="5" a="1"/>
  <c r="K469" i="5" s="1"/>
  <c r="K470" i="5" a="1"/>
  <c r="K470" i="5" s="1"/>
  <c r="K471" i="5" a="1"/>
  <c r="K471" i="5" s="1"/>
  <c r="K472" i="5" a="1"/>
  <c r="K472" i="5" s="1"/>
  <c r="K473" i="5" a="1"/>
  <c r="K473" i="5" s="1"/>
  <c r="K474" i="5" a="1"/>
  <c r="K474" i="5" s="1"/>
  <c r="K475" i="5" a="1"/>
  <c r="K475" i="5"/>
  <c r="K476" i="5" a="1"/>
  <c r="K476" i="5" s="1"/>
  <c r="K477" i="5" a="1"/>
  <c r="K477" i="5"/>
  <c r="K478" i="5" a="1"/>
  <c r="K478" i="5" s="1"/>
  <c r="K479" i="5" a="1"/>
  <c r="K479" i="5" s="1"/>
  <c r="K480" i="5" a="1"/>
  <c r="K480" i="5" s="1"/>
  <c r="K481" i="5" a="1"/>
  <c r="K481" i="5" s="1"/>
  <c r="K482" i="5" a="1"/>
  <c r="K482" i="5" s="1"/>
  <c r="K483" i="5" a="1"/>
  <c r="K483" i="5" s="1"/>
  <c r="K484" i="5" a="1"/>
  <c r="K484" i="5" s="1"/>
  <c r="K485" i="5" a="1"/>
  <c r="K485" i="5" s="1"/>
  <c r="K486" i="5" a="1"/>
  <c r="K486" i="5" s="1"/>
  <c r="K487" i="5" a="1"/>
  <c r="K487" i="5" s="1"/>
  <c r="K488" i="5" a="1"/>
  <c r="K488" i="5" s="1"/>
  <c r="K489" i="5" a="1"/>
  <c r="K489" i="5" s="1"/>
  <c r="K490" i="5" a="1"/>
  <c r="K490" i="5" s="1"/>
  <c r="K491" i="5" a="1"/>
  <c r="K491" i="5" s="1"/>
  <c r="K492" i="5" a="1"/>
  <c r="K492" i="5" s="1"/>
  <c r="K493" i="5" a="1"/>
  <c r="K493" i="5" s="1"/>
  <c r="K494" i="5" a="1"/>
  <c r="K494" i="5" s="1"/>
  <c r="K495" i="5" a="1"/>
  <c r="K495" i="5" s="1"/>
  <c r="K496" i="5" a="1"/>
  <c r="K496" i="5" s="1"/>
  <c r="K497" i="5" a="1"/>
  <c r="K497" i="5" s="1"/>
  <c r="K498" i="5" a="1"/>
  <c r="K498" i="5" s="1"/>
  <c r="K499" i="5" a="1"/>
  <c r="K499" i="5" s="1"/>
  <c r="K500" i="5" a="1"/>
  <c r="K500" i="5" s="1"/>
  <c r="K501" i="5" a="1"/>
  <c r="K501" i="5" s="1"/>
  <c r="K502" i="5" a="1"/>
  <c r="K502" i="5" s="1"/>
  <c r="K503" i="5" a="1"/>
  <c r="K503" i="5" s="1"/>
  <c r="K504" i="5" a="1"/>
  <c r="K504" i="5" s="1"/>
  <c r="K505" i="5" a="1"/>
  <c r="K505" i="5" s="1"/>
  <c r="K506" i="5" a="1"/>
  <c r="K506" i="5" s="1"/>
  <c r="K507" i="5" a="1"/>
  <c r="K507" i="5" s="1"/>
  <c r="K508" i="5" a="1"/>
  <c r="K508" i="5" s="1"/>
  <c r="K509" i="5" a="1"/>
  <c r="K509" i="5" s="1"/>
  <c r="K510" i="5" a="1"/>
  <c r="K510" i="5" s="1"/>
  <c r="K511" i="5" a="1"/>
  <c r="K511" i="5"/>
  <c r="K512" i="5" a="1"/>
  <c r="K512" i="5" s="1"/>
  <c r="K513" i="5" a="1"/>
  <c r="K513" i="5" s="1"/>
  <c r="K514" i="5" a="1"/>
  <c r="K514" i="5" s="1"/>
  <c r="K515" i="5" a="1"/>
  <c r="K515" i="5" s="1"/>
  <c r="K516" i="5" a="1"/>
  <c r="K516" i="5" s="1"/>
  <c r="K517" i="5" a="1"/>
  <c r="K517" i="5" s="1"/>
  <c r="K518" i="5" a="1"/>
  <c r="K518" i="5" s="1"/>
  <c r="K519" i="5" a="1"/>
  <c r="K519" i="5" s="1"/>
  <c r="K520" i="5" a="1"/>
  <c r="K520" i="5"/>
  <c r="K521" i="5" a="1"/>
  <c r="K521" i="5" s="1"/>
  <c r="K522" i="5" a="1"/>
  <c r="K522" i="5" s="1"/>
  <c r="K523" i="5" a="1"/>
  <c r="K523" i="5"/>
  <c r="K524" i="5" a="1"/>
  <c r="K524" i="5" s="1"/>
  <c r="K525" i="5" a="1"/>
  <c r="K525" i="5" s="1"/>
  <c r="K526" i="5" a="1"/>
  <c r="K526" i="5" s="1"/>
  <c r="K527" i="5" a="1"/>
  <c r="K527" i="5" s="1"/>
  <c r="K528" i="5" a="1"/>
  <c r="K528" i="5" s="1"/>
  <c r="K529" i="5" a="1"/>
  <c r="K529" i="5" s="1"/>
  <c r="K530" i="5" a="1"/>
  <c r="K530" i="5" s="1"/>
  <c r="K531" i="5" a="1"/>
  <c r="K531" i="5" s="1"/>
  <c r="K532" i="5" a="1"/>
  <c r="K532" i="5" s="1"/>
  <c r="K533" i="5" a="1"/>
  <c r="K533" i="5" s="1"/>
  <c r="K534" i="5" a="1"/>
  <c r="K534" i="5" s="1"/>
  <c r="K535" i="5" a="1"/>
  <c r="K535" i="5" s="1"/>
  <c r="K536" i="5" a="1"/>
  <c r="K536" i="5" s="1"/>
  <c r="K537" i="5" a="1"/>
  <c r="K537" i="5" s="1"/>
  <c r="K538" i="5" a="1"/>
  <c r="K538" i="5" s="1"/>
  <c r="K539" i="5" a="1"/>
  <c r="K539" i="5" s="1"/>
  <c r="K540" i="5" a="1"/>
  <c r="K540" i="5" s="1"/>
  <c r="K541" i="5" a="1"/>
  <c r="K541" i="5" s="1"/>
  <c r="K542" i="5" a="1"/>
  <c r="K542" i="5" s="1"/>
  <c r="K543" i="5" a="1"/>
  <c r="K543" i="5" s="1"/>
  <c r="K544" i="5" a="1"/>
  <c r="K544" i="5" s="1"/>
  <c r="K545" i="5" a="1"/>
  <c r="K545" i="5" s="1"/>
  <c r="K546" i="5" a="1"/>
  <c r="K546" i="5" s="1"/>
  <c r="K547" i="5" a="1"/>
  <c r="K547" i="5" s="1"/>
  <c r="K548" i="5" a="1"/>
  <c r="K548" i="5" s="1"/>
  <c r="K549" i="5" a="1"/>
  <c r="K549" i="5" s="1"/>
  <c r="K550" i="5" a="1"/>
  <c r="K550" i="5" s="1"/>
  <c r="K551" i="5" a="1"/>
  <c r="K551" i="5" s="1"/>
  <c r="K552" i="5" a="1"/>
  <c r="K552" i="5" s="1"/>
  <c r="K553" i="5" a="1"/>
  <c r="K553" i="5" s="1"/>
  <c r="K554" i="5" a="1"/>
  <c r="K554" i="5" s="1"/>
  <c r="K555" i="5" a="1"/>
  <c r="K555" i="5" s="1"/>
  <c r="K556" i="5" a="1"/>
  <c r="K556" i="5" s="1"/>
  <c r="K557" i="5" a="1"/>
  <c r="K557" i="5" s="1"/>
  <c r="K558" i="5" a="1"/>
  <c r="K558" i="5" s="1"/>
  <c r="K559" i="5" a="1"/>
  <c r="K559" i="5" s="1"/>
  <c r="K560" i="5" a="1"/>
  <c r="K560" i="5"/>
  <c r="K561" i="5" a="1"/>
  <c r="K561" i="5" s="1"/>
  <c r="K562" i="5" a="1"/>
  <c r="K562" i="5" s="1"/>
  <c r="K563" i="5" a="1"/>
  <c r="K563" i="5" s="1"/>
  <c r="K564" i="5" a="1"/>
  <c r="K564" i="5" s="1"/>
  <c r="K565" i="5" a="1"/>
  <c r="K565" i="5" s="1"/>
  <c r="K566" i="5" a="1"/>
  <c r="K566" i="5" s="1"/>
  <c r="K567" i="5" a="1"/>
  <c r="K567" i="5" s="1"/>
  <c r="K568" i="5" a="1"/>
  <c r="K568" i="5" s="1"/>
  <c r="K569" i="5" a="1"/>
  <c r="K569" i="5" s="1"/>
  <c r="K570" i="5" a="1"/>
  <c r="K570" i="5" s="1"/>
  <c r="K571" i="5" a="1"/>
  <c r="K571" i="5" s="1"/>
  <c r="K572" i="5" a="1"/>
  <c r="K572" i="5" s="1"/>
  <c r="K573" i="5" a="1"/>
  <c r="K573" i="5" s="1"/>
  <c r="K574" i="5" a="1"/>
  <c r="K574" i="5" s="1"/>
  <c r="K575" i="5" a="1"/>
  <c r="K575" i="5" s="1"/>
  <c r="K576" i="5" a="1"/>
  <c r="K576" i="5" s="1"/>
  <c r="K577" i="5" a="1"/>
  <c r="K577" i="5" s="1"/>
  <c r="K578" i="5" a="1"/>
  <c r="K578" i="5" s="1"/>
  <c r="K579" i="5" a="1"/>
  <c r="K579" i="5" s="1"/>
  <c r="K580" i="5" a="1"/>
  <c r="K580" i="5" s="1"/>
  <c r="K581" i="5" a="1"/>
  <c r="K581" i="5" s="1"/>
  <c r="K582" i="5" a="1"/>
  <c r="K582" i="5" s="1"/>
  <c r="K583" i="5" a="1"/>
  <c r="K583" i="5" s="1"/>
  <c r="K584" i="5" a="1"/>
  <c r="K584" i="5" s="1"/>
  <c r="K585" i="5" a="1"/>
  <c r="K585" i="5" s="1"/>
  <c r="K586" i="5" a="1"/>
  <c r="K586" i="5" s="1"/>
  <c r="K587" i="5" a="1"/>
  <c r="K587" i="5"/>
  <c r="K588" i="5" a="1"/>
  <c r="K588" i="5" s="1"/>
  <c r="K589" i="5" a="1"/>
  <c r="K589" i="5" s="1"/>
  <c r="K590" i="5" a="1"/>
  <c r="K590" i="5" s="1"/>
  <c r="K591" i="5" a="1"/>
  <c r="K591" i="5" s="1"/>
  <c r="K592" i="5" a="1"/>
  <c r="K592" i="5" s="1"/>
  <c r="K593" i="5" a="1"/>
  <c r="K593" i="5" s="1"/>
  <c r="K594" i="5" a="1"/>
  <c r="K594" i="5" s="1"/>
  <c r="K595" i="5" a="1"/>
  <c r="K595" i="5" s="1"/>
  <c r="K596" i="5" a="1"/>
  <c r="K596" i="5" s="1"/>
  <c r="K597" i="5" a="1"/>
  <c r="K597" i="5" s="1"/>
  <c r="K598" i="5" a="1"/>
  <c r="K598" i="5" s="1"/>
  <c r="K599" i="5" a="1"/>
  <c r="K599" i="5" s="1"/>
  <c r="K600" i="5" a="1"/>
  <c r="K600" i="5" s="1"/>
  <c r="K601" i="5" a="1"/>
  <c r="K601" i="5" s="1"/>
  <c r="K602" i="5" a="1"/>
  <c r="K602" i="5" s="1"/>
  <c r="K603" i="5" a="1"/>
  <c r="K603" i="5" s="1"/>
  <c r="K604" i="5" a="1"/>
  <c r="K604" i="5" s="1"/>
  <c r="K605" i="5" a="1"/>
  <c r="K605" i="5" s="1"/>
  <c r="K606" i="5" a="1"/>
  <c r="K606" i="5" s="1"/>
  <c r="K607" i="5" a="1"/>
  <c r="K607" i="5" s="1"/>
  <c r="K608" i="5" a="1"/>
  <c r="K608" i="5" s="1"/>
  <c r="K609" i="5" a="1"/>
  <c r="K609" i="5"/>
  <c r="K610" i="5" a="1"/>
  <c r="K610" i="5" s="1"/>
  <c r="K611" i="5" a="1"/>
  <c r="K611" i="5" s="1"/>
  <c r="K612" i="5" a="1"/>
  <c r="K612" i="5" s="1"/>
  <c r="K613" i="5" a="1"/>
  <c r="K613" i="5" s="1"/>
  <c r="K614" i="5" a="1"/>
  <c r="K614" i="5" s="1"/>
  <c r="K615" i="5" a="1"/>
  <c r="K615" i="5" s="1"/>
  <c r="K616" i="5" a="1"/>
  <c r="K616" i="5"/>
  <c r="K617" i="5" a="1"/>
  <c r="K617" i="5" s="1"/>
  <c r="K618" i="5" a="1"/>
  <c r="K618" i="5" s="1"/>
  <c r="K619" i="5" a="1"/>
  <c r="K619" i="5" s="1"/>
  <c r="K620" i="5" a="1"/>
  <c r="K620" i="5" s="1"/>
  <c r="K621" i="5" a="1"/>
  <c r="K621" i="5" s="1"/>
  <c r="K622" i="5" a="1"/>
  <c r="K622" i="5" s="1"/>
  <c r="K623" i="5" a="1"/>
  <c r="K623" i="5"/>
  <c r="K624" i="5" a="1"/>
  <c r="K624" i="5" s="1"/>
  <c r="K625" i="5" a="1"/>
  <c r="K625" i="5" s="1"/>
  <c r="K626" i="5" a="1"/>
  <c r="K626" i="5" s="1"/>
  <c r="K627" i="5" a="1"/>
  <c r="K627" i="5" s="1"/>
  <c r="K628" i="5" a="1"/>
  <c r="K628" i="5"/>
  <c r="K629" i="5" a="1"/>
  <c r="K629" i="5" s="1"/>
  <c r="K630" i="5" a="1"/>
  <c r="K630" i="5" s="1"/>
  <c r="K631" i="5" a="1"/>
  <c r="K631" i="5" s="1"/>
  <c r="K632" i="5" a="1"/>
  <c r="K632" i="5" s="1"/>
  <c r="K633" i="5" a="1"/>
  <c r="K633" i="5" s="1"/>
  <c r="K634" i="5" a="1"/>
  <c r="K634" i="5" s="1"/>
  <c r="K635" i="5" a="1"/>
  <c r="K635" i="5" s="1"/>
  <c r="K636" i="5" a="1"/>
  <c r="K636" i="5" s="1"/>
  <c r="K637" i="5" a="1"/>
  <c r="K637" i="5" s="1"/>
  <c r="K638" i="5" a="1"/>
  <c r="K638" i="5" s="1"/>
  <c r="K639" i="5" a="1"/>
  <c r="K639" i="5" s="1"/>
  <c r="K640" i="5" a="1"/>
  <c r="K640" i="5" s="1"/>
  <c r="K641" i="5" a="1"/>
  <c r="K641" i="5" s="1"/>
  <c r="K642" i="5" a="1"/>
  <c r="K642" i="5" s="1"/>
  <c r="K643" i="5" a="1"/>
  <c r="K643" i="5" s="1"/>
  <c r="K644" i="5" a="1"/>
  <c r="K644" i="5" s="1"/>
  <c r="K645" i="5" a="1"/>
  <c r="K645" i="5" s="1"/>
  <c r="K646" i="5" a="1"/>
  <c r="K646" i="5" s="1"/>
  <c r="K647" i="5" a="1"/>
  <c r="K647" i="5" s="1"/>
  <c r="K648" i="5" a="1"/>
  <c r="K648" i="5" s="1"/>
  <c r="K649" i="5" a="1"/>
  <c r="K649" i="5" s="1"/>
  <c r="K650" i="5" a="1"/>
  <c r="K650" i="5" s="1"/>
  <c r="K651" i="5" a="1"/>
  <c r="K651" i="5" s="1"/>
  <c r="K652" i="5" a="1"/>
  <c r="K652" i="5" s="1"/>
  <c r="K653" i="5" a="1"/>
  <c r="K653" i="5" s="1"/>
  <c r="K654" i="5" a="1"/>
  <c r="K654" i="5" s="1"/>
  <c r="K655" i="5" a="1"/>
  <c r="K655" i="5" s="1"/>
  <c r="K656" i="5" a="1"/>
  <c r="K656" i="5" s="1"/>
  <c r="K657" i="5" a="1"/>
  <c r="K657" i="5" s="1"/>
  <c r="K658" i="5" a="1"/>
  <c r="K658" i="5" s="1"/>
  <c r="K659" i="5" a="1"/>
  <c r="K659" i="5" s="1"/>
  <c r="K660" i="5" a="1"/>
  <c r="K660" i="5" s="1"/>
  <c r="K661" i="5" a="1"/>
  <c r="K661" i="5" s="1"/>
  <c r="K662" i="5" a="1"/>
  <c r="K662" i="5" s="1"/>
  <c r="K663" i="5" a="1"/>
  <c r="K663" i="5" s="1"/>
  <c r="K664" i="5" a="1"/>
  <c r="K664" i="5" s="1"/>
  <c r="K665" i="5" a="1"/>
  <c r="K665" i="5" s="1"/>
  <c r="K666" i="5" a="1"/>
  <c r="K666" i="5" s="1"/>
  <c r="K667" i="5" a="1"/>
  <c r="K667" i="5" s="1"/>
  <c r="K668" i="5" a="1"/>
  <c r="K668" i="5" s="1"/>
  <c r="K669" i="5" a="1"/>
  <c r="K669" i="5" s="1"/>
  <c r="K670" i="5" a="1"/>
  <c r="K670" i="5" s="1"/>
  <c r="K671" i="5" a="1"/>
  <c r="K671" i="5" s="1"/>
  <c r="K672" i="5" a="1"/>
  <c r="K672" i="5" s="1"/>
  <c r="K673" i="5" a="1"/>
  <c r="K673" i="5" s="1"/>
  <c r="K674" i="5" a="1"/>
  <c r="K674" i="5" s="1"/>
  <c r="K675" i="5" a="1"/>
  <c r="K675" i="5" s="1"/>
  <c r="K676" i="5" a="1"/>
  <c r="K676" i="5" s="1"/>
  <c r="K677" i="5" a="1"/>
  <c r="K677" i="5" s="1"/>
  <c r="K678" i="5" a="1"/>
  <c r="K678" i="5" s="1"/>
  <c r="K679" i="5" a="1"/>
  <c r="K679" i="5" s="1"/>
  <c r="K680" i="5" a="1"/>
  <c r="K680" i="5" s="1"/>
  <c r="K681" i="5" a="1"/>
  <c r="K681" i="5" s="1"/>
  <c r="K682" i="5" a="1"/>
  <c r="K682" i="5" s="1"/>
  <c r="K683" i="5" a="1"/>
  <c r="K683" i="5" s="1"/>
  <c r="K684" i="5" a="1"/>
  <c r="K684" i="5" s="1"/>
  <c r="K685" i="5" a="1"/>
  <c r="K685" i="5" s="1"/>
  <c r="K686" i="5" a="1"/>
  <c r="K686" i="5" s="1"/>
  <c r="K687" i="5" a="1"/>
  <c r="K687" i="5" s="1"/>
  <c r="K688" i="5" a="1"/>
  <c r="K688" i="5" s="1"/>
  <c r="K689" i="5" a="1"/>
  <c r="K689" i="5" s="1"/>
  <c r="K690" i="5" a="1"/>
  <c r="K690" i="5" s="1"/>
  <c r="K691" i="5" a="1"/>
  <c r="K691" i="5" s="1"/>
  <c r="K692" i="5" a="1"/>
  <c r="K692" i="5" s="1"/>
  <c r="K693" i="5" a="1"/>
  <c r="K693" i="5" s="1"/>
  <c r="K694" i="5" a="1"/>
  <c r="K694" i="5" s="1"/>
  <c r="K695" i="5" a="1"/>
  <c r="K695" i="5" s="1"/>
  <c r="K696" i="5" a="1"/>
  <c r="K696" i="5" s="1"/>
  <c r="K697" i="5" a="1"/>
  <c r="K697" i="5" s="1"/>
  <c r="K698" i="5" a="1"/>
  <c r="K698" i="5" s="1"/>
  <c r="K699" i="5" a="1"/>
  <c r="K699" i="5" s="1"/>
  <c r="K700" i="5" a="1"/>
  <c r="K700" i="5" s="1"/>
  <c r="K701" i="5" a="1"/>
  <c r="K701" i="5" s="1"/>
  <c r="K702" i="5" a="1"/>
  <c r="K702" i="5" s="1"/>
  <c r="K703" i="5" a="1"/>
  <c r="K703" i="5" s="1"/>
  <c r="K704" i="5" a="1"/>
  <c r="K704" i="5" s="1"/>
  <c r="K705" i="5" a="1"/>
  <c r="K705" i="5" s="1"/>
  <c r="K706" i="5" a="1"/>
  <c r="K706" i="5" s="1"/>
  <c r="K707" i="5" a="1"/>
  <c r="K707" i="5" s="1"/>
  <c r="K708" i="5" a="1"/>
  <c r="K708" i="5" s="1"/>
  <c r="K709" i="5" a="1"/>
  <c r="K709" i="5" s="1"/>
  <c r="K710" i="5" a="1"/>
  <c r="K710" i="5" s="1"/>
  <c r="K711" i="5" a="1"/>
  <c r="K711" i="5" s="1"/>
  <c r="K712" i="5" a="1"/>
  <c r="K712" i="5" s="1"/>
  <c r="K713" i="5" a="1"/>
  <c r="K713" i="5" s="1"/>
  <c r="K714" i="5" a="1"/>
  <c r="K714" i="5" s="1"/>
  <c r="K715" i="5" a="1"/>
  <c r="K715" i="5" s="1"/>
  <c r="K716" i="5" a="1"/>
  <c r="K716" i="5" s="1"/>
  <c r="K717" i="5" a="1"/>
  <c r="K717" i="5" s="1"/>
  <c r="K718" i="5" a="1"/>
  <c r="K718" i="5" s="1"/>
  <c r="K719" i="5" a="1"/>
  <c r="K719" i="5" s="1"/>
  <c r="K720" i="5" a="1"/>
  <c r="K720" i="5" s="1"/>
  <c r="K721" i="5" a="1"/>
  <c r="K721" i="5" s="1"/>
  <c r="K722" i="5" a="1"/>
  <c r="K722" i="5" s="1"/>
  <c r="K723" i="5" a="1"/>
  <c r="K723" i="5" s="1"/>
  <c r="K724" i="5" a="1"/>
  <c r="K724" i="5" s="1"/>
  <c r="K725" i="5" a="1"/>
  <c r="K725" i="5" s="1"/>
  <c r="K726" i="5" a="1"/>
  <c r="K726" i="5" s="1"/>
  <c r="K727" i="5" a="1"/>
  <c r="K727" i="5" s="1"/>
  <c r="K728" i="5" a="1"/>
  <c r="K728" i="5" s="1"/>
  <c r="K729" i="5" a="1"/>
  <c r="K729" i="5" s="1"/>
  <c r="K730" i="5" a="1"/>
  <c r="K730" i="5" s="1"/>
  <c r="K731" i="5" a="1"/>
  <c r="K731" i="5" s="1"/>
  <c r="K732" i="5" a="1"/>
  <c r="K732" i="5" s="1"/>
  <c r="K733" i="5" a="1"/>
  <c r="K733" i="5" s="1"/>
  <c r="K734" i="5" a="1"/>
  <c r="K734" i="5" s="1"/>
  <c r="K735" i="5" a="1"/>
  <c r="K735" i="5" s="1"/>
  <c r="K736" i="5" a="1"/>
  <c r="K736" i="5" s="1"/>
  <c r="K737" i="5" a="1"/>
  <c r="K737" i="5" s="1"/>
  <c r="K738" i="5" a="1"/>
  <c r="K738" i="5" s="1"/>
  <c r="K739" i="5" a="1"/>
  <c r="K739" i="5" s="1"/>
  <c r="K740" i="5" a="1"/>
  <c r="K740" i="5" s="1"/>
  <c r="K741" i="5" a="1"/>
  <c r="K741" i="5" s="1"/>
  <c r="K742" i="5" a="1"/>
  <c r="K742" i="5" s="1"/>
  <c r="K743" i="5" a="1"/>
  <c r="K743" i="5" s="1"/>
  <c r="K744" i="5" a="1"/>
  <c r="K744" i="5" s="1"/>
  <c r="K745" i="5" a="1"/>
  <c r="K745" i="5" s="1"/>
  <c r="K746" i="5" a="1"/>
  <c r="K746" i="5" s="1"/>
  <c r="K747" i="5" a="1"/>
  <c r="K747" i="5" s="1"/>
  <c r="K748" i="5" a="1"/>
  <c r="K748" i="5" s="1"/>
  <c r="K749" i="5" a="1"/>
  <c r="K749" i="5" s="1"/>
  <c r="K750" i="5" a="1"/>
  <c r="K750" i="5" s="1"/>
  <c r="K751" i="5" a="1"/>
  <c r="K751" i="5" s="1"/>
  <c r="K752" i="5" a="1"/>
  <c r="K752" i="5" s="1"/>
  <c r="K753" i="5" a="1"/>
  <c r="K753" i="5" s="1"/>
  <c r="K754" i="5" a="1"/>
  <c r="K754" i="5" s="1"/>
  <c r="K755" i="5" a="1"/>
  <c r="K755" i="5" s="1"/>
  <c r="K756" i="5" a="1"/>
  <c r="K756" i="5" s="1"/>
  <c r="K757" i="5" a="1"/>
  <c r="K757" i="5" s="1"/>
  <c r="K758" i="5" a="1"/>
  <c r="K758" i="5" s="1"/>
  <c r="K759" i="5" a="1"/>
  <c r="K759" i="5" s="1"/>
  <c r="K760" i="5" a="1"/>
  <c r="K760" i="5" s="1"/>
  <c r="K761" i="5" a="1"/>
  <c r="K761" i="5" s="1"/>
  <c r="K762" i="5" a="1"/>
  <c r="K762" i="5" s="1"/>
  <c r="K763" i="5" a="1"/>
  <c r="K763" i="5" s="1"/>
  <c r="K764" i="5" a="1"/>
  <c r="K764" i="5" s="1"/>
  <c r="K765" i="5" a="1"/>
  <c r="K765" i="5" s="1"/>
  <c r="K766" i="5" a="1"/>
  <c r="K766" i="5" s="1"/>
  <c r="K767" i="5" a="1"/>
  <c r="K767" i="5" s="1"/>
  <c r="K768" i="5" a="1"/>
  <c r="K768" i="5" s="1"/>
  <c r="K769" i="5" a="1"/>
  <c r="K769" i="5" s="1"/>
  <c r="K770" i="5" a="1"/>
  <c r="K770" i="5" s="1"/>
  <c r="K771" i="5" a="1"/>
  <c r="K771" i="5" s="1"/>
  <c r="K772" i="5" a="1"/>
  <c r="K772" i="5" s="1"/>
  <c r="K773" i="5" a="1"/>
  <c r="K773" i="5" s="1"/>
  <c r="K774" i="5" a="1"/>
  <c r="K774" i="5" s="1"/>
  <c r="K775" i="5" a="1"/>
  <c r="K775" i="5" s="1"/>
  <c r="K776" i="5" a="1"/>
  <c r="K776" i="5" s="1"/>
  <c r="K777" i="5" a="1"/>
  <c r="K777" i="5" s="1"/>
  <c r="K778" i="5" a="1"/>
  <c r="K778" i="5" s="1"/>
  <c r="K779" i="5" a="1"/>
  <c r="K779" i="5" s="1"/>
  <c r="K780" i="5" a="1"/>
  <c r="K780" i="5" s="1"/>
  <c r="K781" i="5" a="1"/>
  <c r="K781" i="5" s="1"/>
  <c r="K782" i="5" a="1"/>
  <c r="K782" i="5" s="1"/>
  <c r="K783" i="5" a="1"/>
  <c r="K783" i="5" s="1"/>
  <c r="K784" i="5" a="1"/>
  <c r="K784" i="5" s="1"/>
  <c r="K785" i="5" a="1"/>
  <c r="K785" i="5" s="1"/>
  <c r="K786" i="5" a="1"/>
  <c r="K786" i="5" s="1"/>
  <c r="K787" i="5" a="1"/>
  <c r="K787" i="5"/>
  <c r="K788" i="5" a="1"/>
  <c r="K788" i="5" s="1"/>
  <c r="K789" i="5" a="1"/>
  <c r="K789" i="5" s="1"/>
  <c r="K790" i="5" a="1"/>
  <c r="K790" i="5" s="1"/>
  <c r="K791" i="5" a="1"/>
  <c r="K791" i="5" s="1"/>
  <c r="K792" i="5" a="1"/>
  <c r="K792" i="5" s="1"/>
  <c r="K793" i="5" a="1"/>
  <c r="K793" i="5"/>
  <c r="K794" i="5" a="1"/>
  <c r="K794" i="5" s="1"/>
  <c r="K795" i="5" a="1"/>
  <c r="K795" i="5"/>
  <c r="K796" i="5" a="1"/>
  <c r="K796" i="5" s="1"/>
  <c r="K797" i="5" a="1"/>
  <c r="K797" i="5" s="1"/>
  <c r="K798" i="5" a="1"/>
  <c r="K798" i="5" s="1"/>
  <c r="K799" i="5" a="1"/>
  <c r="K799" i="5"/>
  <c r="K800" i="5" a="1"/>
  <c r="K800" i="5" s="1"/>
  <c r="K801" i="5" a="1"/>
  <c r="K801" i="5" s="1"/>
  <c r="K802" i="5" a="1"/>
  <c r="K802" i="5" s="1"/>
  <c r="K803" i="5" a="1"/>
  <c r="K803" i="5" s="1"/>
  <c r="K804" i="5" a="1"/>
  <c r="K804" i="5" s="1"/>
  <c r="K805" i="5" a="1"/>
  <c r="K805" i="5"/>
  <c r="K806" i="5" a="1"/>
  <c r="K806" i="5" s="1"/>
  <c r="K807" i="5" a="1"/>
  <c r="K807" i="5" s="1"/>
  <c r="K808" i="5" a="1"/>
  <c r="K808" i="5" s="1"/>
  <c r="K809" i="5" a="1"/>
  <c r="K809" i="5" s="1"/>
  <c r="K810" i="5" a="1"/>
  <c r="K810" i="5" s="1"/>
  <c r="K811" i="5" a="1"/>
  <c r="K811" i="5" s="1"/>
  <c r="K812" i="5" a="1"/>
  <c r="K812" i="5" s="1"/>
  <c r="K813" i="5" a="1"/>
  <c r="K813" i="5" s="1"/>
  <c r="K814" i="5" a="1"/>
  <c r="K814" i="5" s="1"/>
  <c r="K815" i="5" a="1"/>
  <c r="K815" i="5" s="1"/>
  <c r="K816" i="5" a="1"/>
  <c r="K816" i="5" s="1"/>
  <c r="K817" i="5" a="1"/>
  <c r="K817" i="5" s="1"/>
  <c r="K818" i="5" a="1"/>
  <c r="K818" i="5" s="1"/>
  <c r="K819" i="5" a="1"/>
  <c r="K819" i="5" s="1"/>
  <c r="K820" i="5" a="1"/>
  <c r="K820" i="5"/>
  <c r="K821" i="5" a="1"/>
  <c r="K821" i="5" s="1"/>
  <c r="K822" i="5" a="1"/>
  <c r="K822" i="5" s="1"/>
  <c r="K823" i="5" a="1"/>
  <c r="K823" i="5" s="1"/>
  <c r="K824" i="5" a="1"/>
  <c r="K824" i="5" s="1"/>
  <c r="K825" i="5" a="1"/>
  <c r="K825" i="5" s="1"/>
  <c r="K826" i="5" a="1"/>
  <c r="K826" i="5" s="1"/>
  <c r="K827" i="5" a="1"/>
  <c r="K827" i="5"/>
  <c r="K828" i="5" a="1"/>
  <c r="K828" i="5" s="1"/>
  <c r="K829" i="5" a="1"/>
  <c r="K829" i="5" s="1"/>
  <c r="K830" i="5" a="1"/>
  <c r="K830" i="5" s="1"/>
  <c r="K831" i="5" a="1"/>
  <c r="K831" i="5" s="1"/>
  <c r="K832" i="5" a="1"/>
  <c r="K832" i="5" s="1"/>
  <c r="K833" i="5" a="1"/>
  <c r="K833" i="5" s="1"/>
  <c r="K834" i="5" a="1"/>
  <c r="K834" i="5" s="1"/>
  <c r="K835" i="5" a="1"/>
  <c r="K835" i="5" s="1"/>
  <c r="K836" i="5" a="1"/>
  <c r="K836" i="5" s="1"/>
  <c r="K837" i="5" a="1"/>
  <c r="K837" i="5" s="1"/>
  <c r="K838" i="5" a="1"/>
  <c r="K838" i="5" s="1"/>
  <c r="K839" i="5" a="1"/>
  <c r="K839" i="5" s="1"/>
  <c r="K840" i="5" a="1"/>
  <c r="K840" i="5" s="1"/>
  <c r="K841" i="5" a="1"/>
  <c r="K841" i="5" s="1"/>
  <c r="K842" i="5" a="1"/>
  <c r="K842" i="5" s="1"/>
  <c r="K843" i="5" a="1"/>
  <c r="K843" i="5" s="1"/>
  <c r="K844" i="5" a="1"/>
  <c r="K844" i="5" s="1"/>
  <c r="K845" i="5" a="1"/>
  <c r="K845" i="5" s="1"/>
  <c r="K846" i="5" a="1"/>
  <c r="K846" i="5" s="1"/>
  <c r="K847" i="5" a="1"/>
  <c r="K847" i="5" s="1"/>
  <c r="K848" i="5" a="1"/>
  <c r="K848" i="5" s="1"/>
  <c r="K849" i="5" a="1"/>
  <c r="K849" i="5" s="1"/>
  <c r="K850" i="5" a="1"/>
  <c r="K850" i="5" s="1"/>
  <c r="K851" i="5" a="1"/>
  <c r="K851" i="5" s="1"/>
  <c r="K852" i="5" a="1"/>
  <c r="K852" i="5" s="1"/>
  <c r="K853" i="5" a="1"/>
  <c r="K853" i="5" s="1"/>
  <c r="K854" i="5" a="1"/>
  <c r="K854" i="5" s="1"/>
  <c r="K855" i="5" a="1"/>
  <c r="K855" i="5" s="1"/>
  <c r="K856" i="5" a="1"/>
  <c r="K856" i="5" s="1"/>
  <c r="K857" i="5" a="1"/>
  <c r="K857" i="5" s="1"/>
  <c r="K858" i="5" a="1"/>
  <c r="K858" i="5" s="1"/>
  <c r="K859" i="5" a="1"/>
  <c r="K859" i="5" s="1"/>
  <c r="K860" i="5" a="1"/>
  <c r="K860" i="5" s="1"/>
  <c r="K861" i="5" a="1"/>
  <c r="K861" i="5" s="1"/>
  <c r="K862" i="5" a="1"/>
  <c r="K862" i="5" s="1"/>
  <c r="K863" i="5" a="1"/>
  <c r="K863" i="5" s="1"/>
  <c r="K864" i="5" a="1"/>
  <c r="K864" i="5" s="1"/>
  <c r="K865" i="5" a="1"/>
  <c r="K865" i="5" s="1"/>
  <c r="K866" i="5" a="1"/>
  <c r="K866" i="5" s="1"/>
  <c r="K867" i="5" a="1"/>
  <c r="K867" i="5" s="1"/>
  <c r="K868" i="5" a="1"/>
  <c r="K868" i="5" s="1"/>
  <c r="K869" i="5" a="1"/>
  <c r="K869" i="5" s="1"/>
  <c r="K870" i="5" a="1"/>
  <c r="K870" i="5" s="1"/>
  <c r="K871" i="5" a="1"/>
  <c r="K871" i="5"/>
  <c r="K872" i="5" a="1"/>
  <c r="K872" i="5" s="1"/>
  <c r="K873" i="5" a="1"/>
  <c r="K873" i="5" s="1"/>
  <c r="K874" i="5" a="1"/>
  <c r="K874" i="5" s="1"/>
  <c r="K875" i="5" a="1"/>
  <c r="K875" i="5" s="1"/>
  <c r="K876" i="5" a="1"/>
  <c r="K876" i="5" s="1"/>
  <c r="K877" i="5" a="1"/>
  <c r="K877" i="5"/>
  <c r="K878" i="5" a="1"/>
  <c r="K878" i="5" s="1"/>
  <c r="K879" i="5" a="1"/>
  <c r="K879" i="5" s="1"/>
  <c r="K880" i="5" a="1"/>
  <c r="K880" i="5" s="1"/>
  <c r="K881" i="5" a="1"/>
  <c r="K881" i="5" s="1"/>
  <c r="K882" i="5" a="1"/>
  <c r="K882" i="5" s="1"/>
  <c r="K883" i="5" a="1"/>
  <c r="K883" i="5" s="1"/>
  <c r="K884" i="5" a="1"/>
  <c r="K884" i="5" s="1"/>
  <c r="K885" i="5" a="1"/>
  <c r="K885" i="5" s="1"/>
  <c r="K886" i="5" a="1"/>
  <c r="K886" i="5" s="1"/>
  <c r="K887" i="5" a="1"/>
  <c r="K887" i="5" s="1"/>
  <c r="K888" i="5" a="1"/>
  <c r="K888" i="5" s="1"/>
  <c r="K889" i="5" a="1"/>
  <c r="K889" i="5" s="1"/>
  <c r="K890" i="5" a="1"/>
  <c r="K890" i="5" s="1"/>
  <c r="K891" i="5" a="1"/>
  <c r="K891" i="5" s="1"/>
  <c r="K892" i="5" a="1"/>
  <c r="K892" i="5" s="1"/>
  <c r="K893" i="5" a="1"/>
  <c r="K893" i="5" s="1"/>
  <c r="K894" i="5" a="1"/>
  <c r="K894" i="5" s="1"/>
  <c r="K895" i="5" a="1"/>
  <c r="K895" i="5" s="1"/>
  <c r="K896" i="5" a="1"/>
  <c r="K896" i="5" s="1"/>
  <c r="K897" i="5" a="1"/>
  <c r="K897" i="5" s="1"/>
  <c r="K898" i="5" a="1"/>
  <c r="K898" i="5" s="1"/>
  <c r="K899" i="5" a="1"/>
  <c r="K899" i="5" s="1"/>
  <c r="K900" i="5" a="1"/>
  <c r="K900" i="5" s="1"/>
  <c r="K901" i="5" a="1"/>
  <c r="K901" i="5" s="1"/>
  <c r="K902" i="5" a="1"/>
  <c r="K902" i="5" s="1"/>
  <c r="K903" i="5" a="1"/>
  <c r="K903" i="5"/>
  <c r="K904" i="5" a="1"/>
  <c r="K904" i="5" s="1"/>
  <c r="K905" i="5" a="1"/>
  <c r="K905" i="5" s="1"/>
  <c r="K906" i="5" a="1"/>
  <c r="K906" i="5" s="1"/>
  <c r="K907" i="5" a="1"/>
  <c r="K907" i="5"/>
  <c r="K908" i="5" a="1"/>
  <c r="K908" i="5" s="1"/>
  <c r="K909" i="5" a="1"/>
  <c r="K909" i="5" s="1"/>
  <c r="K910" i="5" a="1"/>
  <c r="K910" i="5" s="1"/>
  <c r="K911" i="5" a="1"/>
  <c r="K911" i="5" s="1"/>
  <c r="K912" i="5" a="1"/>
  <c r="K912" i="5" s="1"/>
  <c r="K913" i="5" a="1"/>
  <c r="K913" i="5" s="1"/>
  <c r="K914" i="5" a="1"/>
  <c r="K914" i="5" s="1"/>
  <c r="K915" i="5" a="1"/>
  <c r="K915" i="5" s="1"/>
  <c r="K916" i="5" a="1"/>
  <c r="K916" i="5" s="1"/>
  <c r="K917" i="5" a="1"/>
  <c r="K917" i="5" s="1"/>
  <c r="K918" i="5" a="1"/>
  <c r="K918" i="5" s="1"/>
  <c r="K919" i="5" a="1"/>
  <c r="K919" i="5" s="1"/>
  <c r="K920" i="5" a="1"/>
  <c r="K920" i="5" s="1"/>
  <c r="K921" i="5" a="1"/>
  <c r="K921" i="5" s="1"/>
  <c r="K922" i="5" a="1"/>
  <c r="K922" i="5" s="1"/>
  <c r="K923" i="5" a="1"/>
  <c r="K923" i="5" s="1"/>
  <c r="K924" i="5" a="1"/>
  <c r="K924" i="5" s="1"/>
  <c r="K925" i="5" a="1"/>
  <c r="K925" i="5" s="1"/>
  <c r="K926" i="5" a="1"/>
  <c r="K926" i="5" s="1"/>
  <c r="K927" i="5" a="1"/>
  <c r="K927" i="5" s="1"/>
  <c r="K928" i="5" a="1"/>
  <c r="K928" i="5" s="1"/>
  <c r="K929" i="5" a="1"/>
  <c r="K929" i="5" s="1"/>
  <c r="K930" i="5" a="1"/>
  <c r="K930" i="5" s="1"/>
  <c r="K931" i="5" a="1"/>
  <c r="K931" i="5" s="1"/>
  <c r="K932" i="5" a="1"/>
  <c r="K932" i="5" s="1"/>
  <c r="K933" i="5" a="1"/>
  <c r="K933" i="5" s="1"/>
  <c r="K934" i="5" a="1"/>
  <c r="K934" i="5" s="1"/>
  <c r="K935" i="5" a="1"/>
  <c r="K935" i="5" s="1"/>
  <c r="K936" i="5" a="1"/>
  <c r="K936" i="5" s="1"/>
  <c r="K937" i="5" a="1"/>
  <c r="K937" i="5" s="1"/>
  <c r="K938" i="5" a="1"/>
  <c r="K938" i="5" s="1"/>
  <c r="K939" i="5" a="1"/>
  <c r="K939" i="5" s="1"/>
  <c r="K940" i="5" a="1"/>
  <c r="K940" i="5" s="1"/>
  <c r="K941" i="5" a="1"/>
  <c r="K941" i="5" s="1"/>
  <c r="K942" i="5" a="1"/>
  <c r="K942" i="5" s="1"/>
  <c r="K943" i="5" a="1"/>
  <c r="K943" i="5" s="1"/>
  <c r="K944" i="5" a="1"/>
  <c r="K944" i="5" s="1"/>
  <c r="K945" i="5" a="1"/>
  <c r="K945" i="5" s="1"/>
  <c r="K946" i="5" a="1"/>
  <c r="K946" i="5" s="1"/>
  <c r="K947" i="5" a="1"/>
  <c r="K947" i="5" s="1"/>
  <c r="K948" i="5" a="1"/>
  <c r="K948" i="5"/>
  <c r="K949" i="5" a="1"/>
  <c r="K949" i="5" s="1"/>
  <c r="K950" i="5" a="1"/>
  <c r="K950" i="5" s="1"/>
  <c r="K951" i="5" a="1"/>
  <c r="K951" i="5" s="1"/>
  <c r="K952" i="5" a="1"/>
  <c r="K952" i="5" s="1"/>
  <c r="K953" i="5" a="1"/>
  <c r="K953" i="5" s="1"/>
  <c r="K954" i="5" a="1"/>
  <c r="K954" i="5" s="1"/>
  <c r="K955" i="5" a="1"/>
  <c r="K955" i="5" s="1"/>
  <c r="K956" i="5" a="1"/>
  <c r="K956" i="5" s="1"/>
  <c r="K957" i="5" a="1"/>
  <c r="K957" i="5"/>
  <c r="K958" i="5" a="1"/>
  <c r="K958" i="5" s="1"/>
  <c r="K959" i="5" a="1"/>
  <c r="K959" i="5" s="1"/>
  <c r="K960" i="5" a="1"/>
  <c r="K960" i="5" s="1"/>
  <c r="K961" i="5" a="1"/>
  <c r="K961" i="5" s="1"/>
  <c r="K962" i="5" a="1"/>
  <c r="K962" i="5" s="1"/>
  <c r="K963" i="5" a="1"/>
  <c r="K963" i="5" s="1"/>
  <c r="K964" i="5" a="1"/>
  <c r="K964" i="5" s="1"/>
  <c r="K965" i="5" a="1"/>
  <c r="K965" i="5" s="1"/>
  <c r="K966" i="5" a="1"/>
  <c r="K966" i="5" s="1"/>
  <c r="K967" i="5" a="1"/>
  <c r="K967" i="5" s="1"/>
  <c r="K968" i="5" a="1"/>
  <c r="K968" i="5" s="1"/>
  <c r="K969" i="5" a="1"/>
  <c r="K969" i="5" s="1"/>
  <c r="K970" i="5" a="1"/>
  <c r="K970" i="5" s="1"/>
  <c r="K971" i="5" a="1"/>
  <c r="K971" i="5"/>
  <c r="K972" i="5" a="1"/>
  <c r="K972" i="5" s="1"/>
  <c r="K973" i="5" a="1"/>
  <c r="K973" i="5" s="1"/>
  <c r="K974" i="5" a="1"/>
  <c r="K974" i="5" s="1"/>
  <c r="K975" i="5" a="1"/>
  <c r="K975" i="5" s="1"/>
  <c r="K976" i="5" a="1"/>
  <c r="K976" i="5" s="1"/>
  <c r="K977" i="5" a="1"/>
  <c r="K977" i="5" s="1"/>
  <c r="K978" i="5" a="1"/>
  <c r="K978" i="5" s="1"/>
  <c r="K979" i="5" a="1"/>
  <c r="K979" i="5" s="1"/>
  <c r="K980" i="5" a="1"/>
  <c r="K980" i="5"/>
  <c r="K981" i="5" a="1"/>
  <c r="K981" i="5" s="1"/>
  <c r="K982" i="5" a="1"/>
  <c r="K982" i="5" s="1"/>
  <c r="K983" i="5" a="1"/>
  <c r="K983" i="5" s="1"/>
  <c r="K984" i="5" a="1"/>
  <c r="K984" i="5" s="1"/>
  <c r="K985" i="5" a="1"/>
  <c r="K985" i="5" s="1"/>
  <c r="K986" i="5" a="1"/>
  <c r="K986" i="5" s="1"/>
  <c r="K987" i="5" a="1"/>
  <c r="K987" i="5" s="1"/>
  <c r="K988" i="5" a="1"/>
  <c r="K988" i="5" s="1"/>
  <c r="K989" i="5" a="1"/>
  <c r="K989" i="5" s="1"/>
  <c r="K990" i="5" a="1"/>
  <c r="K990" i="5" s="1"/>
  <c r="K991" i="5" a="1"/>
  <c r="K991" i="5" s="1"/>
  <c r="K992" i="5" a="1"/>
  <c r="K992" i="5" s="1"/>
  <c r="K993" i="5" a="1"/>
  <c r="K993" i="5" s="1"/>
  <c r="K994" i="5" a="1"/>
  <c r="K994" i="5" s="1"/>
  <c r="K995" i="5" a="1"/>
  <c r="K995" i="5" s="1"/>
  <c r="K996" i="5" a="1"/>
  <c r="K996" i="5" s="1"/>
  <c r="K997" i="5" a="1"/>
  <c r="K997" i="5" s="1"/>
  <c r="K998" i="5" a="1"/>
  <c r="K998" i="5" s="1"/>
  <c r="K999" i="5" a="1"/>
  <c r="K999" i="5" s="1"/>
  <c r="K1000" i="5" a="1"/>
  <c r="K1000" i="5" s="1"/>
  <c r="K1001" i="5" a="1"/>
  <c r="K1001" i="5" s="1"/>
  <c r="K1002" i="5" a="1"/>
  <c r="K1002" i="5" s="1"/>
  <c r="K1003" i="5" a="1"/>
  <c r="K1003" i="5" s="1"/>
  <c r="K1004" i="5" a="1"/>
  <c r="K1004" i="5" s="1"/>
  <c r="K1005" i="5" a="1"/>
  <c r="K1005" i="5" s="1"/>
  <c r="K1006" i="5" a="1"/>
  <c r="K1006" i="5" s="1"/>
  <c r="K1007" i="5" a="1"/>
  <c r="K1007" i="5" s="1"/>
  <c r="K1008" i="5" a="1"/>
  <c r="K1008" i="5" s="1"/>
  <c r="K1009" i="5" a="1"/>
  <c r="K1009" i="5" s="1"/>
  <c r="K1010" i="5" a="1"/>
  <c r="K1010" i="5" s="1"/>
  <c r="K1011" i="5" a="1"/>
  <c r="K1011" i="5" s="1"/>
  <c r="K1012" i="5" a="1"/>
  <c r="K1012" i="5" s="1"/>
  <c r="K1013" i="5" a="1"/>
  <c r="K1013" i="5" s="1"/>
  <c r="K1014" i="5" a="1"/>
  <c r="K1014" i="5" s="1"/>
  <c r="K1015" i="5" a="1"/>
  <c r="K1015" i="5" s="1"/>
  <c r="K1016" i="5" a="1"/>
  <c r="K1016" i="5" s="1"/>
  <c r="K1017" i="5" a="1"/>
  <c r="K1017" i="5" s="1"/>
  <c r="K1018" i="5" a="1"/>
  <c r="K1018" i="5" s="1"/>
  <c r="K1019" i="5" a="1"/>
  <c r="K1019" i="5" s="1"/>
  <c r="K1020" i="5" a="1"/>
  <c r="K1020" i="5" s="1"/>
  <c r="K1021" i="5" a="1"/>
  <c r="K1021" i="5" s="1"/>
  <c r="K1022" i="5" a="1"/>
  <c r="K1022" i="5" s="1"/>
  <c r="K1023" i="5" a="1"/>
  <c r="K1023" i="5" s="1"/>
  <c r="K1024" i="5" a="1"/>
  <c r="K1024" i="5" s="1"/>
  <c r="K1025" i="5" a="1"/>
  <c r="K1025" i="5" s="1"/>
  <c r="K1026" i="5" a="1"/>
  <c r="K1026" i="5" s="1"/>
  <c r="K1027" i="5" a="1"/>
  <c r="K1027" i="5" s="1"/>
  <c r="K1028" i="5" a="1"/>
  <c r="K1028" i="5" s="1"/>
  <c r="K1029" i="5" a="1"/>
  <c r="K1029" i="5" s="1"/>
  <c r="K1030" i="5" a="1"/>
  <c r="K1030" i="5" s="1"/>
  <c r="K1031" i="5" a="1"/>
  <c r="K1031" i="5" s="1"/>
  <c r="K1032" i="5" a="1"/>
  <c r="K1032" i="5"/>
  <c r="K1033" i="5" a="1"/>
  <c r="K1033" i="5" s="1"/>
  <c r="K1034" i="5" a="1"/>
  <c r="K1034" i="5" s="1"/>
  <c r="K1035" i="5" a="1"/>
  <c r="K1035" i="5"/>
  <c r="K1036" i="5" a="1"/>
  <c r="K1036" i="5" s="1"/>
  <c r="K1037" i="5" a="1"/>
  <c r="K1037" i="5"/>
  <c r="K1038" i="5" a="1"/>
  <c r="K1038" i="5" s="1"/>
  <c r="K1039" i="5" a="1"/>
  <c r="K1039" i="5" s="1"/>
  <c r="K1040" i="5" a="1"/>
  <c r="K1040" i="5" s="1"/>
  <c r="K1041" i="5" a="1"/>
  <c r="K1041" i="5" s="1"/>
  <c r="K1042" i="5" a="1"/>
  <c r="K1042" i="5" s="1"/>
  <c r="K1043" i="5" a="1"/>
  <c r="K1043" i="5" s="1"/>
  <c r="K1044" i="5" a="1"/>
  <c r="K1044" i="5" s="1"/>
  <c r="K1045" i="5" a="1"/>
  <c r="K1045" i="5" s="1"/>
  <c r="K1046" i="5" a="1"/>
  <c r="K1046" i="5" s="1"/>
  <c r="K1047" i="5" a="1"/>
  <c r="K1047" i="5"/>
  <c r="K1048" i="5" a="1"/>
  <c r="K1048" i="5" s="1"/>
  <c r="K1049" i="5" a="1"/>
  <c r="K1049" i="5" s="1"/>
  <c r="K1050" i="5" a="1"/>
  <c r="K1050" i="5" s="1"/>
  <c r="K1051" i="5" a="1"/>
  <c r="K1051" i="5" s="1"/>
  <c r="K1052" i="5" a="1"/>
  <c r="K1052" i="5" s="1"/>
  <c r="K1053" i="5" a="1"/>
  <c r="K1053" i="5" s="1"/>
  <c r="K1054" i="5" a="1"/>
  <c r="K1054" i="5" s="1"/>
  <c r="K1055" i="5" a="1"/>
  <c r="K1055" i="5" s="1"/>
  <c r="K1056" i="5" a="1"/>
  <c r="K1056" i="5" s="1"/>
  <c r="K1057" i="5" a="1"/>
  <c r="K1057" i="5" s="1"/>
  <c r="K1058" i="5" a="1"/>
  <c r="K1058" i="5" s="1"/>
  <c r="K1059" i="5" a="1"/>
  <c r="K1059" i="5"/>
  <c r="K1060" i="5" a="1"/>
  <c r="K1060" i="5" s="1"/>
  <c r="K1061" i="5" a="1"/>
  <c r="K1061" i="5" s="1"/>
  <c r="K1062" i="5" a="1"/>
  <c r="K1062" i="5" s="1"/>
  <c r="K1063" i="5" a="1"/>
  <c r="K1063" i="5" s="1"/>
  <c r="K1064" i="5" a="1"/>
  <c r="K1064" i="5" s="1"/>
  <c r="K1065" i="5" a="1"/>
  <c r="K1065" i="5" s="1"/>
  <c r="K1066" i="5" a="1"/>
  <c r="K1066" i="5" s="1"/>
  <c r="K1067" i="5" a="1"/>
  <c r="K1067" i="5" s="1"/>
  <c r="K1068" i="5" a="1"/>
  <c r="K1068" i="5" s="1"/>
  <c r="K1069" i="5" a="1"/>
  <c r="K1069" i="5"/>
  <c r="K1070" i="5" a="1"/>
  <c r="K1070" i="5" s="1"/>
  <c r="K1071" i="5" a="1"/>
  <c r="K1071" i="5" s="1"/>
  <c r="K1072" i="5" a="1"/>
  <c r="K1072" i="5" s="1"/>
  <c r="K1073" i="5" a="1"/>
  <c r="K1073" i="5" s="1"/>
  <c r="K1074" i="5" a="1"/>
  <c r="K1074" i="5" s="1"/>
  <c r="K1075" i="5" a="1"/>
  <c r="K1075" i="5" s="1"/>
  <c r="K1076" i="5" a="1"/>
  <c r="K1076" i="5" s="1"/>
  <c r="K1077" i="5" a="1"/>
  <c r="K1077" i="5" s="1"/>
  <c r="K1078" i="5" a="1"/>
  <c r="K1078" i="5" s="1"/>
  <c r="K1079" i="5" a="1"/>
  <c r="K1079" i="5" s="1"/>
  <c r="K1080" i="5" a="1"/>
  <c r="K1080" i="5" s="1"/>
  <c r="K1081" i="5" a="1"/>
  <c r="K1081" i="5" s="1"/>
  <c r="K1082" i="5" a="1"/>
  <c r="K1082" i="5" s="1"/>
  <c r="K1083" i="5" a="1"/>
  <c r="K1083" i="5" s="1"/>
  <c r="K1084" i="5" a="1"/>
  <c r="K1084" i="5" s="1"/>
  <c r="K1085" i="5" a="1"/>
  <c r="K1085" i="5" s="1"/>
  <c r="K1086" i="5" a="1"/>
  <c r="K1086" i="5" s="1"/>
  <c r="K1087" i="5" a="1"/>
  <c r="K1087" i="5" s="1"/>
  <c r="K1088" i="5" a="1"/>
  <c r="K1088" i="5" s="1"/>
  <c r="K1089" i="5" a="1"/>
  <c r="K1089" i="5" s="1"/>
  <c r="K1090" i="5" a="1"/>
  <c r="K1090" i="5" s="1"/>
  <c r="K1091" i="5" a="1"/>
  <c r="K1091" i="5" s="1"/>
  <c r="K1092" i="5" a="1"/>
  <c r="K1092" i="5" s="1"/>
  <c r="K1093" i="5" a="1"/>
  <c r="K1093" i="5" s="1"/>
  <c r="K1094" i="5" a="1"/>
  <c r="K1094" i="5" s="1"/>
  <c r="K1095" i="5" a="1"/>
  <c r="K1095" i="5" s="1"/>
  <c r="K1096" i="5" a="1"/>
  <c r="K1096" i="5" s="1"/>
  <c r="K1097" i="5" a="1"/>
  <c r="K1097" i="5" s="1"/>
  <c r="K1098" i="5" a="1"/>
  <c r="K1098" i="5" s="1"/>
  <c r="K1099" i="5" a="1"/>
  <c r="K1099" i="5" s="1"/>
  <c r="K1100" i="5" a="1"/>
  <c r="K1100" i="5" s="1"/>
  <c r="K1101" i="5" a="1"/>
  <c r="K1101" i="5" s="1"/>
  <c r="K1102" i="5" a="1"/>
  <c r="K1102" i="5" s="1"/>
  <c r="K1103" i="5" a="1"/>
  <c r="K1103" i="5" s="1"/>
  <c r="K1104" i="5" a="1"/>
  <c r="K1104" i="5" s="1"/>
  <c r="K1105" i="5" a="1"/>
  <c r="K1105" i="5" s="1"/>
  <c r="K1106" i="5" a="1"/>
  <c r="K1106" i="5" s="1"/>
  <c r="K1107" i="5" a="1"/>
  <c r="K1107" i="5" s="1"/>
  <c r="K1108" i="5" a="1"/>
  <c r="K1108" i="5" s="1"/>
  <c r="K1109" i="5" a="1"/>
  <c r="K1109" i="5" s="1"/>
  <c r="K1110" i="5" a="1"/>
  <c r="K1110" i="5" s="1"/>
  <c r="K1111" i="5" a="1"/>
  <c r="K1111" i="5"/>
  <c r="K1112" i="5" a="1"/>
  <c r="K1112" i="5" s="1"/>
  <c r="K1113" i="5" a="1"/>
  <c r="K1113" i="5" s="1"/>
  <c r="K1114" i="5" a="1"/>
  <c r="K1114" i="5"/>
  <c r="K1115" i="5" a="1"/>
  <c r="K1115" i="5" s="1"/>
  <c r="K1116" i="5" a="1"/>
  <c r="K1116" i="5" s="1"/>
  <c r="K1117" i="5" a="1"/>
  <c r="K1117" i="5" s="1"/>
  <c r="K1118" i="5" a="1"/>
  <c r="K1118" i="5" s="1"/>
  <c r="K1119" i="5" a="1"/>
  <c r="K1119" i="5" s="1"/>
  <c r="K1120" i="5" a="1"/>
  <c r="K1120" i="5" s="1"/>
  <c r="K1121" i="5" a="1"/>
  <c r="K1121" i="5"/>
  <c r="K1122" i="5" a="1"/>
  <c r="K1122" i="5" s="1"/>
  <c r="K1123" i="5" a="1"/>
  <c r="K1123" i="5" s="1"/>
  <c r="K1124" i="5" a="1"/>
  <c r="K1124" i="5" s="1"/>
  <c r="K1125" i="5" a="1"/>
  <c r="K1125" i="5" s="1"/>
  <c r="K1126" i="5" a="1"/>
  <c r="K1126" i="5" s="1"/>
  <c r="K1127" i="5" a="1"/>
  <c r="K1127" i="5" s="1"/>
  <c r="K1128" i="5" a="1"/>
  <c r="K1128" i="5" s="1"/>
  <c r="K1129" i="5" a="1"/>
  <c r="K1129" i="5" s="1"/>
  <c r="K1130" i="5" a="1"/>
  <c r="K1130" i="5" s="1"/>
  <c r="K1131" i="5" a="1"/>
  <c r="K1131" i="5" s="1"/>
  <c r="K1132" i="5" a="1"/>
  <c r="K1132" i="5" s="1"/>
  <c r="K1133" i="5" a="1"/>
  <c r="K1133" i="5" s="1"/>
  <c r="K1134" i="5" a="1"/>
  <c r="K1134" i="5" s="1"/>
  <c r="K1135" i="5" a="1"/>
  <c r="K1135" i="5" s="1"/>
  <c r="K1136" i="5" a="1"/>
  <c r="K1136" i="5" s="1"/>
  <c r="K1137" i="5" a="1"/>
  <c r="K1137" i="5" s="1"/>
  <c r="K1138" i="5" a="1"/>
  <c r="K1138" i="5" s="1"/>
  <c r="K1139" i="5" a="1"/>
  <c r="K1139" i="5" s="1"/>
  <c r="K1140" i="5" a="1"/>
  <c r="K1140" i="5" s="1"/>
  <c r="K1141" i="5" a="1"/>
  <c r="K1141" i="5" s="1"/>
  <c r="K1142" i="5" a="1"/>
  <c r="K1142" i="5" s="1"/>
  <c r="K1143" i="5" a="1"/>
  <c r="K1143" i="5"/>
  <c r="K1144" i="5" a="1"/>
  <c r="K1144" i="5" s="1"/>
  <c r="K1145" i="5" a="1"/>
  <c r="K1145" i="5" s="1"/>
  <c r="K1146" i="5" a="1"/>
  <c r="K1146" i="5" s="1"/>
  <c r="K1147" i="5" a="1"/>
  <c r="K1147" i="5" s="1"/>
  <c r="K1148" i="5" a="1"/>
  <c r="K1148" i="5" s="1"/>
  <c r="K1149" i="5" a="1"/>
  <c r="K1149" i="5" s="1"/>
  <c r="K1150" i="5" a="1"/>
  <c r="K1150" i="5" s="1"/>
  <c r="K1151" i="5" a="1"/>
  <c r="K1151" i="5" s="1"/>
  <c r="K1152" i="5" a="1"/>
  <c r="K1152" i="5" s="1"/>
  <c r="K1153" i="5" a="1"/>
  <c r="K1153" i="5" s="1"/>
  <c r="K1154" i="5" a="1"/>
  <c r="K1154" i="5" s="1"/>
  <c r="K1155" i="5" a="1"/>
  <c r="K1155" i="5"/>
  <c r="K1156" i="5" a="1"/>
  <c r="K1156" i="5" s="1"/>
  <c r="K1157" i="5" a="1"/>
  <c r="K1157" i="5" s="1"/>
  <c r="K1158" i="5" a="1"/>
  <c r="K1158" i="5" s="1"/>
  <c r="K1159" i="5" a="1"/>
  <c r="K1159" i="5" s="1"/>
  <c r="K1160" i="5" a="1"/>
  <c r="K1160" i="5" s="1"/>
  <c r="K1161" i="5" a="1"/>
  <c r="K1161" i="5" s="1"/>
  <c r="K1162" i="5" a="1"/>
  <c r="K1162" i="5"/>
  <c r="K1163" i="5" a="1"/>
  <c r="K1163" i="5" s="1"/>
  <c r="K1164" i="5" a="1"/>
  <c r="K1164" i="5" s="1"/>
  <c r="K1165" i="5" a="1"/>
  <c r="K1165" i="5" s="1"/>
  <c r="K1166" i="5" a="1"/>
  <c r="K1166" i="5" s="1"/>
  <c r="K1167" i="5" a="1"/>
  <c r="K1167" i="5" s="1"/>
  <c r="K1168" i="5" a="1"/>
  <c r="K1168" i="5" s="1"/>
  <c r="K1169" i="5" a="1"/>
  <c r="K1169" i="5" s="1"/>
  <c r="K1170" i="5" a="1"/>
  <c r="K1170" i="5" s="1"/>
  <c r="K1171" i="5" a="1"/>
  <c r="K1171" i="5" s="1"/>
  <c r="K1172" i="5" a="1"/>
  <c r="K1172" i="5" s="1"/>
  <c r="K1173" i="5" a="1"/>
  <c r="K1173" i="5" s="1"/>
  <c r="K1174" i="5" a="1"/>
  <c r="K1174" i="5" s="1"/>
  <c r="K1175" i="5" a="1"/>
  <c r="K1175" i="5" s="1"/>
  <c r="K1176" i="5" a="1"/>
  <c r="K1176" i="5" s="1"/>
  <c r="K1177" i="5" a="1"/>
  <c r="K1177" i="5" s="1"/>
  <c r="K1178" i="5" a="1"/>
  <c r="K1178" i="5"/>
  <c r="K1179" i="5" a="1"/>
  <c r="K1179" i="5" s="1"/>
  <c r="K1180" i="5" a="1"/>
  <c r="K1180" i="5" s="1"/>
  <c r="K1181" i="5" a="1"/>
  <c r="K1181" i="5" s="1"/>
  <c r="K1182" i="5" a="1"/>
  <c r="K1182" i="5" s="1"/>
  <c r="K1183" i="5" a="1"/>
  <c r="K1183" i="5" s="1"/>
  <c r="K1184" i="5" a="1"/>
  <c r="K1184" i="5" s="1"/>
  <c r="K1185" i="5" a="1"/>
  <c r="K1185" i="5"/>
  <c r="K1186" i="5" a="1"/>
  <c r="K1186" i="5" s="1"/>
  <c r="K1187" i="5" a="1"/>
  <c r="K1187" i="5" s="1"/>
  <c r="K1188" i="5" a="1"/>
  <c r="K1188" i="5" s="1"/>
  <c r="K1189" i="5" a="1"/>
  <c r="K1189" i="5" s="1"/>
  <c r="K1190" i="5" a="1"/>
  <c r="K1190" i="5" s="1"/>
  <c r="K1191" i="5" a="1"/>
  <c r="K1191" i="5" s="1"/>
  <c r="K1192" i="5" a="1"/>
  <c r="K1192" i="5" s="1"/>
  <c r="K1193" i="5" a="1"/>
  <c r="K1193" i="5" s="1"/>
  <c r="K1194" i="5" a="1"/>
  <c r="K1194" i="5" s="1"/>
  <c r="K1195" i="5" a="1"/>
  <c r="K1195" i="5" s="1"/>
  <c r="K1196" i="5" a="1"/>
  <c r="K1196" i="5" s="1"/>
  <c r="K1197" i="5" a="1"/>
  <c r="K1197" i="5"/>
  <c r="K1198" i="5" a="1"/>
  <c r="K1198" i="5"/>
  <c r="K1199" i="5" a="1"/>
  <c r="K1199" i="5" s="1"/>
  <c r="K1200" i="5" a="1"/>
  <c r="K1200" i="5" s="1"/>
  <c r="K1201" i="5" a="1"/>
  <c r="K1201" i="5" s="1"/>
  <c r="K1202" i="5" a="1"/>
  <c r="K1202" i="5" s="1"/>
  <c r="K1203" i="5" a="1"/>
  <c r="K1203" i="5" s="1"/>
  <c r="K1204" i="5" a="1"/>
  <c r="K1204" i="5" s="1"/>
  <c r="K1205" i="5" a="1"/>
  <c r="K1205" i="5" s="1"/>
  <c r="K1206" i="5" a="1"/>
  <c r="K1206" i="5" s="1"/>
  <c r="K1207" i="5" a="1"/>
  <c r="K1207" i="5"/>
  <c r="K1208" i="5" a="1"/>
  <c r="K1208" i="5" s="1"/>
  <c r="K1209" i="5" a="1"/>
  <c r="K1209" i="5" s="1"/>
  <c r="K1210" i="5" a="1"/>
  <c r="K1210" i="5"/>
  <c r="K1211" i="5" a="1"/>
  <c r="K1211" i="5" s="1"/>
  <c r="K1212" i="5" a="1"/>
  <c r="K1212" i="5" s="1"/>
  <c r="K1213" i="5" a="1"/>
  <c r="K1213" i="5" s="1"/>
  <c r="K1214" i="5" a="1"/>
  <c r="K1214" i="5" s="1"/>
  <c r="K1215" i="5" a="1"/>
  <c r="K1215" i="5" s="1"/>
  <c r="K1216" i="5" a="1"/>
  <c r="K1216" i="5" s="1"/>
  <c r="K1217" i="5" a="1"/>
  <c r="K1217" i="5" s="1"/>
  <c r="K1218" i="5" a="1"/>
  <c r="K1218" i="5" s="1"/>
  <c r="K1219" i="5" a="1"/>
  <c r="K1219" i="5"/>
  <c r="K1220" i="5" a="1"/>
  <c r="K1220" i="5" s="1"/>
  <c r="K1221" i="5" a="1"/>
  <c r="K1221" i="5" s="1"/>
  <c r="K1222" i="5" a="1"/>
  <c r="K1222" i="5" s="1"/>
  <c r="K1223" i="5" a="1"/>
  <c r="K1223" i="5" s="1"/>
  <c r="K1224" i="5" a="1"/>
  <c r="K1224" i="5" s="1"/>
  <c r="K1225" i="5" a="1"/>
  <c r="K1225" i="5" s="1"/>
  <c r="K1226" i="5" a="1"/>
  <c r="K1226" i="5" s="1"/>
  <c r="K1227" i="5" a="1"/>
  <c r="K1227" i="5" s="1"/>
  <c r="K1228" i="5" a="1"/>
  <c r="K1228" i="5" s="1"/>
  <c r="K1229" i="5" a="1"/>
  <c r="K1229" i="5" s="1"/>
  <c r="K1230" i="5" a="1"/>
  <c r="K1230" i="5" s="1"/>
  <c r="K1231" i="5" a="1"/>
  <c r="K1231" i="5" s="1"/>
  <c r="K1232" i="5" a="1"/>
  <c r="K1232" i="5" s="1"/>
  <c r="K1233" i="5" a="1"/>
  <c r="K1233" i="5" s="1"/>
  <c r="K1234" i="5" a="1"/>
  <c r="K1234" i="5" s="1"/>
  <c r="K1235" i="5" a="1"/>
  <c r="K1235" i="5" s="1"/>
  <c r="K1236" i="5" a="1"/>
  <c r="K1236" i="5" s="1"/>
  <c r="K1237" i="5" a="1"/>
  <c r="K1237" i="5" s="1"/>
  <c r="K1238" i="5" a="1"/>
  <c r="K1238" i="5" s="1"/>
  <c r="K1239" i="5" a="1"/>
  <c r="K1239" i="5"/>
  <c r="K1240" i="5" a="1"/>
  <c r="K1240" i="5" s="1"/>
  <c r="K1241" i="5" a="1"/>
  <c r="K1241" i="5" s="1"/>
  <c r="K1242" i="5" a="1"/>
  <c r="K1242" i="5" s="1"/>
  <c r="K1243" i="5" a="1"/>
  <c r="K1243" i="5" s="1"/>
  <c r="K1244" i="5" a="1"/>
  <c r="K1244" i="5" s="1"/>
  <c r="K1245" i="5" a="1"/>
  <c r="K1245" i="5" s="1"/>
  <c r="K1246" i="5" a="1"/>
  <c r="K1246" i="5" s="1"/>
  <c r="K1247" i="5" a="1"/>
  <c r="K1247" i="5" s="1"/>
  <c r="K1248" i="5" a="1"/>
  <c r="K1248" i="5" s="1"/>
  <c r="K1249" i="5" a="1"/>
  <c r="K1249" i="5" s="1"/>
  <c r="K1250" i="5" a="1"/>
  <c r="K1250" i="5" s="1"/>
  <c r="K1251" i="5" a="1"/>
  <c r="K1251" i="5"/>
  <c r="K1252" i="5" a="1"/>
  <c r="K1252" i="5" s="1"/>
  <c r="K1253" i="5" a="1"/>
  <c r="K1253" i="5" s="1"/>
  <c r="K1254" i="5" a="1"/>
  <c r="K1254" i="5" s="1"/>
  <c r="K1255" i="5" a="1"/>
  <c r="K1255" i="5" s="1"/>
  <c r="K1256" i="5" a="1"/>
  <c r="K1256" i="5" s="1"/>
  <c r="K1257" i="5" a="1"/>
  <c r="K1257" i="5" s="1"/>
  <c r="K1258" i="5" a="1"/>
  <c r="K1258" i="5" s="1"/>
  <c r="K1259" i="5" a="1"/>
  <c r="K1259" i="5" s="1"/>
  <c r="K1260" i="5" a="1"/>
  <c r="K1260" i="5" s="1"/>
  <c r="K1261" i="5" a="1"/>
  <c r="K1261" i="5" s="1"/>
  <c r="K1262" i="5" a="1"/>
  <c r="K1262" i="5" s="1"/>
  <c r="K1263" i="5" a="1"/>
  <c r="K1263" i="5" s="1"/>
  <c r="K1264" i="5" a="1"/>
  <c r="K1264" i="5" s="1"/>
  <c r="K1265" i="5" a="1"/>
  <c r="K1265" i="5" s="1"/>
  <c r="K1266" i="5" a="1"/>
  <c r="K1266" i="5" s="1"/>
  <c r="K1267" i="5" a="1"/>
  <c r="K1267" i="5" s="1"/>
  <c r="K1268" i="5" a="1"/>
  <c r="K1268" i="5" s="1"/>
  <c r="K1269" i="5" a="1"/>
  <c r="K1269" i="5" s="1"/>
  <c r="K1270" i="5" a="1"/>
  <c r="K1270" i="5" s="1"/>
  <c r="K1271" i="5" a="1"/>
  <c r="K1271" i="5" s="1"/>
  <c r="K1272" i="5" a="1"/>
  <c r="K1272" i="5" s="1"/>
  <c r="K1273" i="5" a="1"/>
  <c r="K1273" i="5" s="1"/>
  <c r="K1274" i="5" a="1"/>
  <c r="K1274" i="5"/>
  <c r="K1275" i="5" a="1"/>
  <c r="K1275" i="5" s="1"/>
  <c r="K1276" i="5" a="1"/>
  <c r="K1276" i="5" s="1"/>
  <c r="K1277" i="5" a="1"/>
  <c r="K1277" i="5" s="1"/>
  <c r="K1278" i="5" a="1"/>
  <c r="K1278" i="5" s="1"/>
  <c r="K1279" i="5" a="1"/>
  <c r="K1279" i="5" s="1"/>
  <c r="K1280" i="5" a="1"/>
  <c r="K1280" i="5" s="1"/>
  <c r="K1281" i="5" a="1"/>
  <c r="K1281" i="5" s="1"/>
  <c r="K1282" i="5" a="1"/>
  <c r="K1282" i="5" s="1"/>
  <c r="K1283" i="5" a="1"/>
  <c r="K1283" i="5"/>
  <c r="K1284" i="5" a="1"/>
  <c r="K1284" i="5" s="1"/>
  <c r="K1285" i="5" a="1"/>
  <c r="K1285" i="5" s="1"/>
  <c r="K1286" i="5" a="1"/>
  <c r="K1286" i="5" s="1"/>
  <c r="K1287" i="5" a="1"/>
  <c r="K1287" i="5" s="1"/>
  <c r="K1288" i="5" a="1"/>
  <c r="K1288" i="5" s="1"/>
  <c r="K1289" i="5" a="1"/>
  <c r="K1289" i="5" s="1"/>
  <c r="K1290" i="5" a="1"/>
  <c r="K1290" i="5"/>
  <c r="K1291" i="5" a="1"/>
  <c r="K1291" i="5" s="1"/>
  <c r="K1292" i="5" a="1"/>
  <c r="K1292" i="5" s="1"/>
  <c r="K1293" i="5" a="1"/>
  <c r="K1293" i="5" s="1"/>
  <c r="K1294" i="5" a="1"/>
  <c r="K1294" i="5" s="1"/>
  <c r="K1295" i="5" a="1"/>
  <c r="K1295" i="5" s="1"/>
  <c r="K1296" i="5" a="1"/>
  <c r="K1296" i="5" s="1"/>
  <c r="K1297" i="5" a="1"/>
  <c r="K1297" i="5" s="1"/>
  <c r="K1298" i="5" a="1"/>
  <c r="K1298" i="5" s="1"/>
  <c r="K1299" i="5" a="1"/>
  <c r="K1299" i="5" s="1"/>
  <c r="K1300" i="5" a="1"/>
  <c r="K1300" i="5" s="1"/>
  <c r="K1301" i="5" a="1"/>
  <c r="K1301" i="5" s="1"/>
  <c r="K1302" i="5" a="1"/>
  <c r="K1302" i="5"/>
  <c r="K1303" i="5" a="1"/>
  <c r="K1303" i="5"/>
  <c r="K1304" i="5" a="1"/>
  <c r="K1304" i="5" s="1"/>
  <c r="K1305" i="5" a="1"/>
  <c r="K1305" i="5" s="1"/>
  <c r="K1306" i="5" a="1"/>
  <c r="K1306" i="5" s="1"/>
  <c r="K1307" i="5" a="1"/>
  <c r="K1307" i="5" s="1"/>
  <c r="K1308" i="5" a="1"/>
  <c r="K1308" i="5" s="1"/>
  <c r="K1309" i="5" a="1"/>
  <c r="K1309" i="5" s="1"/>
  <c r="K1310" i="5" a="1"/>
  <c r="K1310" i="5" s="1"/>
  <c r="K1311" i="5" a="1"/>
  <c r="K1311" i="5" s="1"/>
  <c r="K1312" i="5" a="1"/>
  <c r="K1312" i="5" s="1"/>
  <c r="K1313" i="5" a="1"/>
  <c r="K1313" i="5" s="1"/>
  <c r="K1314" i="5" a="1"/>
  <c r="K1314" i="5" s="1"/>
  <c r="K1315" i="5" a="1"/>
  <c r="K1315" i="5"/>
  <c r="K1316" i="5" a="1"/>
  <c r="K1316" i="5" s="1"/>
  <c r="K1317" i="5" a="1"/>
  <c r="K1317" i="5" s="1"/>
  <c r="K1318" i="5" a="1"/>
  <c r="K1318" i="5" s="1"/>
  <c r="K1319" i="5" a="1"/>
  <c r="K1319" i="5" s="1"/>
  <c r="K1320" i="5" a="1"/>
  <c r="K1320" i="5" s="1"/>
  <c r="K1321" i="5" a="1"/>
  <c r="K1321" i="5" s="1"/>
  <c r="K1322" i="5" a="1"/>
  <c r="K1322" i="5"/>
  <c r="K1323" i="5" a="1"/>
  <c r="K1323" i="5" s="1"/>
  <c r="K1324" i="5" a="1"/>
  <c r="K1324" i="5" s="1"/>
  <c r="K1325" i="5" a="1"/>
  <c r="K1325" i="5" s="1"/>
  <c r="K1326" i="5" a="1"/>
  <c r="K1326" i="5" s="1"/>
  <c r="K1327" i="5" a="1"/>
  <c r="K1327" i="5" s="1"/>
  <c r="K1328" i="5" a="1"/>
  <c r="K1328" i="5" s="1"/>
  <c r="K1329" i="5" a="1"/>
  <c r="K1329" i="5" s="1"/>
  <c r="K1330" i="5" a="1"/>
  <c r="K1330" i="5" s="1"/>
  <c r="K1331" i="5" a="1"/>
  <c r="K1331" i="5" s="1"/>
  <c r="K1332" i="5" a="1"/>
  <c r="K1332" i="5" s="1"/>
  <c r="K1333" i="5" a="1"/>
  <c r="K1333" i="5" s="1"/>
  <c r="K1334" i="5" a="1"/>
  <c r="K1334" i="5" s="1"/>
  <c r="K1335" i="5" a="1"/>
  <c r="K1335" i="5" s="1"/>
  <c r="K1336" i="5" a="1"/>
  <c r="K1336" i="5" s="1"/>
  <c r="K1337" i="5" a="1"/>
  <c r="K1337" i="5" s="1"/>
  <c r="K1338" i="5" a="1"/>
  <c r="K1338" i="5" s="1"/>
  <c r="K1339" i="5" a="1"/>
  <c r="K1339" i="5" s="1"/>
  <c r="K1340" i="5" a="1"/>
  <c r="K1340" i="5" s="1"/>
  <c r="K1341" i="5" a="1"/>
  <c r="K1341" i="5" s="1"/>
  <c r="K1342" i="5" a="1"/>
  <c r="K1342" i="5" s="1"/>
  <c r="K1343" i="5" a="1"/>
  <c r="K1343" i="5"/>
  <c r="K1344" i="5" a="1"/>
  <c r="K1344" i="5" s="1"/>
  <c r="K1345" i="5" a="1"/>
  <c r="K1345" i="5" s="1"/>
  <c r="K1346" i="5" a="1"/>
  <c r="K1346" i="5" s="1"/>
  <c r="K1347" i="5" a="1"/>
  <c r="K1347" i="5" s="1"/>
  <c r="K1348" i="5" a="1"/>
  <c r="K1348" i="5" s="1"/>
  <c r="K1349" i="5" a="1"/>
  <c r="K1349" i="5" s="1"/>
  <c r="K1350" i="5" a="1"/>
  <c r="K1350" i="5" s="1"/>
  <c r="K1351" i="5" a="1"/>
  <c r="K1351" i="5" s="1"/>
  <c r="K1352" i="5" a="1"/>
  <c r="K1352" i="5" s="1"/>
  <c r="K1353" i="5" a="1"/>
  <c r="K1353" i="5" s="1"/>
  <c r="K1354" i="5" a="1"/>
  <c r="K1354" i="5"/>
  <c r="K1355" i="5" a="1"/>
  <c r="K1355" i="5" s="1"/>
  <c r="K1356" i="5" a="1"/>
  <c r="K1356" i="5" s="1"/>
  <c r="K1357" i="5" a="1"/>
  <c r="K1357" i="5"/>
  <c r="K1358" i="5" a="1"/>
  <c r="K1358" i="5" s="1"/>
  <c r="K1359" i="5" a="1"/>
  <c r="K1359" i="5" s="1"/>
  <c r="K1360" i="5" a="1"/>
  <c r="K1360" i="5" s="1"/>
  <c r="K1361" i="5" a="1"/>
  <c r="K1361" i="5"/>
  <c r="K1362" i="5" a="1"/>
  <c r="K1362" i="5"/>
  <c r="K1363" i="5" a="1"/>
  <c r="K1363" i="5" s="1"/>
  <c r="K1364" i="5" a="1"/>
  <c r="K1364" i="5" s="1"/>
  <c r="K1365" i="5" a="1"/>
  <c r="K1365" i="5" s="1"/>
  <c r="K1366" i="5" a="1"/>
  <c r="K1366" i="5" s="1"/>
  <c r="K1367" i="5" a="1"/>
  <c r="K1367" i="5" s="1"/>
  <c r="K1368" i="5" a="1"/>
  <c r="K1368" i="5" s="1"/>
  <c r="K1369" i="5" a="1"/>
  <c r="K1369" i="5" s="1"/>
  <c r="K1370" i="5" a="1"/>
  <c r="K1370" i="5" s="1"/>
  <c r="K1371" i="5" a="1"/>
  <c r="K1371" i="5" s="1"/>
  <c r="K1372" i="5" a="1"/>
  <c r="K1372" i="5" s="1"/>
  <c r="K1373" i="5" a="1"/>
  <c r="K1373" i="5" s="1"/>
  <c r="K1374" i="5" a="1"/>
  <c r="K1374" i="5" s="1"/>
  <c r="K1375" i="5" a="1"/>
  <c r="K1375" i="5" s="1"/>
  <c r="K1376" i="5" a="1"/>
  <c r="K1376" i="5" s="1"/>
  <c r="K1377" i="5" a="1"/>
  <c r="K1377" i="5" s="1"/>
  <c r="K1378" i="5" a="1"/>
  <c r="K1378" i="5" s="1"/>
  <c r="K1379" i="5" a="1"/>
  <c r="K1379" i="5"/>
  <c r="K1380" i="5" a="1"/>
  <c r="K1380" i="5" s="1"/>
  <c r="K1381" i="5" a="1"/>
  <c r="K1381" i="5" s="1"/>
  <c r="K1382" i="5" a="1"/>
  <c r="K1382" i="5" s="1"/>
  <c r="K1383" i="5" a="1"/>
  <c r="K1383" i="5" s="1"/>
  <c r="K1384" i="5" a="1"/>
  <c r="K1384" i="5" s="1"/>
  <c r="K1385" i="5" a="1"/>
  <c r="K1385" i="5" s="1"/>
  <c r="K1386" i="5" a="1"/>
  <c r="K1386" i="5" s="1"/>
  <c r="K1387" i="5" a="1"/>
  <c r="K1387" i="5" s="1"/>
  <c r="K1388" i="5" a="1"/>
  <c r="K1388" i="5" s="1"/>
  <c r="K1389" i="5" a="1"/>
  <c r="K1389" i="5" s="1"/>
  <c r="K1390" i="5" a="1"/>
  <c r="K1390" i="5" s="1"/>
  <c r="K1391" i="5" a="1"/>
  <c r="K1391" i="5" s="1"/>
  <c r="K1392" i="5" a="1"/>
  <c r="K1392" i="5" s="1"/>
  <c r="K1393" i="5" a="1"/>
  <c r="K1393" i="5" s="1"/>
  <c r="K1394" i="5" a="1"/>
  <c r="K1394" i="5"/>
  <c r="K1395" i="5" a="1"/>
  <c r="K1395" i="5" s="1"/>
  <c r="K1396" i="5" a="1"/>
  <c r="K1396" i="5" s="1"/>
  <c r="K1397" i="5" a="1"/>
  <c r="K1397" i="5" s="1"/>
  <c r="K1398" i="5" a="1"/>
  <c r="K1398" i="5" s="1"/>
  <c r="K1399" i="5" a="1"/>
  <c r="K1399" i="5" s="1"/>
  <c r="K1400" i="5" a="1"/>
  <c r="K1400" i="5" s="1"/>
  <c r="K1401" i="5" a="1"/>
  <c r="K1401" i="5" s="1"/>
  <c r="K1402" i="5" a="1"/>
  <c r="K1402" i="5" s="1"/>
  <c r="K1403" i="5" a="1"/>
  <c r="K1403" i="5" s="1"/>
  <c r="K1404" i="5" a="1"/>
  <c r="K1404" i="5" s="1"/>
  <c r="K1405" i="5" a="1"/>
  <c r="K1405" i="5" s="1"/>
  <c r="K1406" i="5" a="1"/>
  <c r="K1406" i="5" s="1"/>
  <c r="K1407" i="5" a="1"/>
  <c r="K1407" i="5" s="1"/>
  <c r="K1408" i="5" a="1"/>
  <c r="K1408" i="5" s="1"/>
  <c r="K1409" i="5" a="1"/>
  <c r="K1409" i="5" s="1"/>
  <c r="K1410" i="5" a="1"/>
  <c r="K1410" i="5" s="1"/>
  <c r="K1411" i="5" a="1"/>
  <c r="K1411" i="5" s="1"/>
  <c r="K1412" i="5" a="1"/>
  <c r="K1412" i="5" s="1"/>
  <c r="K1413" i="5" a="1"/>
  <c r="K1413" i="5" s="1"/>
  <c r="K1414" i="5" a="1"/>
  <c r="K1414" i="5" s="1"/>
  <c r="K1415" i="5" a="1"/>
  <c r="K1415" i="5" s="1"/>
  <c r="K1416" i="5" a="1"/>
  <c r="K1416" i="5" s="1"/>
  <c r="K1417" i="5" a="1"/>
  <c r="K1417" i="5"/>
  <c r="K1418" i="5" a="1"/>
  <c r="K1418" i="5"/>
  <c r="K1419" i="5" a="1"/>
  <c r="K1419" i="5" s="1"/>
  <c r="K1420" i="5" a="1"/>
  <c r="K1420" i="5" s="1"/>
  <c r="K1421" i="5" a="1"/>
  <c r="K1421" i="5" s="1"/>
  <c r="K1422" i="5" a="1"/>
  <c r="K1422" i="5" s="1"/>
  <c r="K1423" i="5" a="1"/>
  <c r="K1423" i="5" s="1"/>
  <c r="K1424" i="5" a="1"/>
  <c r="K1424" i="5" s="1"/>
  <c r="K1425" i="5" a="1"/>
  <c r="K1425" i="5" s="1"/>
  <c r="K1426" i="5" a="1"/>
  <c r="K1426" i="5" s="1"/>
  <c r="K1427" i="5" a="1"/>
  <c r="K1427" i="5" s="1"/>
  <c r="K1428" i="5" a="1"/>
  <c r="K1428" i="5" s="1"/>
  <c r="K1429" i="5" a="1"/>
  <c r="K1429" i="5" s="1"/>
  <c r="K1430" i="5" a="1"/>
  <c r="K1430" i="5" s="1"/>
  <c r="K1431" i="5" a="1"/>
  <c r="K1431" i="5" s="1"/>
  <c r="K1432" i="5" a="1"/>
  <c r="K1432" i="5" s="1"/>
  <c r="K1433" i="5" a="1"/>
  <c r="K1433" i="5" s="1"/>
  <c r="K1434" i="5" a="1"/>
  <c r="K1434" i="5" s="1"/>
  <c r="K1435" i="5" a="1"/>
  <c r="K1435" i="5"/>
  <c r="K1436" i="5" a="1"/>
  <c r="K1436" i="5" s="1"/>
  <c r="K1437" i="5" a="1"/>
  <c r="K1437" i="5" s="1"/>
  <c r="K1438" i="5" a="1"/>
  <c r="K1438" i="5" s="1"/>
  <c r="K1439" i="5" a="1"/>
  <c r="K1439" i="5"/>
  <c r="K1440" i="5" a="1"/>
  <c r="K1440" i="5" s="1"/>
  <c r="K1441" i="5" a="1"/>
  <c r="K1441" i="5"/>
  <c r="K1442" i="5" a="1"/>
  <c r="K1442" i="5" s="1"/>
  <c r="K1443" i="5" a="1"/>
  <c r="K1443" i="5" s="1"/>
  <c r="K1444" i="5" a="1"/>
  <c r="K1444" i="5" s="1"/>
  <c r="K1445" i="5" a="1"/>
  <c r="K1445" i="5" s="1"/>
  <c r="K1446" i="5" a="1"/>
  <c r="K1446" i="5" s="1"/>
  <c r="K1447" i="5" a="1"/>
  <c r="K1447" i="5" s="1"/>
  <c r="K1448" i="5" a="1"/>
  <c r="K1448" i="5" s="1"/>
  <c r="K1449" i="5" a="1"/>
  <c r="K1449" i="5"/>
  <c r="K1450" i="5" a="1"/>
  <c r="K1450" i="5" s="1"/>
  <c r="K1451" i="5" a="1"/>
  <c r="K1451" i="5" s="1"/>
  <c r="K1452" i="5" a="1"/>
  <c r="K1452" i="5" s="1"/>
  <c r="K1453" i="5" a="1"/>
  <c r="K1453" i="5" s="1"/>
  <c r="K1454" i="5" a="1"/>
  <c r="K1454" i="5" s="1"/>
  <c r="K1455" i="5" a="1"/>
  <c r="K1455" i="5" s="1"/>
  <c r="K1456" i="5" a="1"/>
  <c r="K1456" i="5" s="1"/>
  <c r="K1457" i="5" a="1"/>
  <c r="K1457" i="5" s="1"/>
  <c r="K1458" i="5" a="1"/>
  <c r="K1458" i="5" s="1"/>
  <c r="K1459" i="5" a="1"/>
  <c r="K1459" i="5" s="1"/>
  <c r="K1460" i="5" a="1"/>
  <c r="K1460" i="5" s="1"/>
  <c r="K1461" i="5" a="1"/>
  <c r="K1461" i="5" s="1"/>
  <c r="K1462" i="5" a="1"/>
  <c r="K1462" i="5"/>
  <c r="K1463" i="5" a="1"/>
  <c r="K1463" i="5" s="1"/>
  <c r="K1464" i="5" a="1"/>
  <c r="K1464" i="5" s="1"/>
  <c r="K1465" i="5" a="1"/>
  <c r="K1465" i="5" s="1"/>
  <c r="K1466" i="5" a="1"/>
  <c r="K1466" i="5" s="1"/>
  <c r="K1467" i="5" a="1"/>
  <c r="K1467" i="5" s="1"/>
  <c r="K1468" i="5" a="1"/>
  <c r="K1468" i="5" s="1"/>
  <c r="K1469" i="5" a="1"/>
  <c r="K1469" i="5" s="1"/>
  <c r="K1470" i="5" a="1"/>
  <c r="K1470" i="5" s="1"/>
  <c r="K1471" i="5" a="1"/>
  <c r="K1471" i="5" s="1"/>
  <c r="K1472" i="5" a="1"/>
  <c r="K1472" i="5" s="1"/>
  <c r="K1473" i="5" a="1"/>
  <c r="K1473" i="5" s="1"/>
  <c r="K1474" i="5" a="1"/>
  <c r="K1474" i="5" s="1"/>
  <c r="K1475" i="5" a="1"/>
  <c r="K1475" i="5" s="1"/>
  <c r="K1476" i="5" a="1"/>
  <c r="K1476" i="5" s="1"/>
  <c r="K1477" i="5" a="1"/>
  <c r="K1477" i="5" s="1"/>
  <c r="K1478" i="5" a="1"/>
  <c r="K1478" i="5" s="1"/>
  <c r="K1479" i="5" a="1"/>
  <c r="K1479" i="5" s="1"/>
  <c r="K1480" i="5" a="1"/>
  <c r="K1480" i="5" s="1"/>
  <c r="K1481" i="5" a="1"/>
  <c r="K1481" i="5" s="1"/>
  <c r="K1482" i="5" a="1"/>
  <c r="K1482" i="5" s="1"/>
  <c r="K1483" i="5" a="1"/>
  <c r="K1483" i="5" s="1"/>
  <c r="K1484" i="5" a="1"/>
  <c r="K1484" i="5" s="1"/>
  <c r="K1485" i="5" a="1"/>
  <c r="K1485" i="5" s="1"/>
  <c r="K1486" i="5" a="1"/>
  <c r="K1486" i="5" s="1"/>
  <c r="K1487" i="5" a="1"/>
  <c r="K1487" i="5" s="1"/>
  <c r="K1488" i="5" a="1"/>
  <c r="K1488" i="5" s="1"/>
  <c r="K1489" i="5" a="1"/>
  <c r="K1489" i="5" s="1"/>
  <c r="K1490" i="5" a="1"/>
  <c r="K1490" i="5"/>
  <c r="K1491" i="5" a="1"/>
  <c r="K1491" i="5" s="1"/>
  <c r="K1492" i="5" a="1"/>
  <c r="K1492" i="5" s="1"/>
  <c r="K1493" i="5" a="1"/>
  <c r="K1493" i="5" s="1"/>
  <c r="K1494" i="5" a="1"/>
  <c r="K1494" i="5"/>
  <c r="K1495" i="5" a="1"/>
  <c r="K1495" i="5" s="1"/>
  <c r="K1496" i="5" a="1"/>
  <c r="K1496" i="5" s="1"/>
  <c r="K1497" i="5" a="1"/>
  <c r="K1497" i="5" s="1"/>
  <c r="K1498" i="5" a="1"/>
  <c r="K1498" i="5"/>
  <c r="K1499" i="5" a="1"/>
  <c r="K1499" i="5" s="1"/>
  <c r="K1500" i="5" a="1"/>
  <c r="K1500" i="5" s="1"/>
  <c r="K1501" i="5" a="1"/>
  <c r="K1501" i="5" s="1"/>
  <c r="K1502" i="5" a="1"/>
  <c r="K1502" i="5" s="1"/>
  <c r="K1503" i="5" a="1"/>
  <c r="K1503" i="5" s="1"/>
  <c r="K1504" i="5" a="1"/>
  <c r="K1504" i="5" s="1"/>
  <c r="K1505" i="5" a="1"/>
  <c r="K1505" i="5" s="1"/>
  <c r="K1506" i="5" a="1"/>
  <c r="K1506" i="5" s="1"/>
  <c r="K1507" i="5" a="1"/>
  <c r="K1507" i="5" s="1"/>
  <c r="K1508" i="5" a="1"/>
  <c r="K1508" i="5" s="1"/>
  <c r="K1509" i="5" a="1"/>
  <c r="K1509" i="5" s="1"/>
  <c r="K1510" i="5" a="1"/>
  <c r="K1510" i="5" s="1"/>
  <c r="K1511" i="5" a="1"/>
  <c r="K1511" i="5" s="1"/>
  <c r="K1512" i="5" a="1"/>
  <c r="K1512" i="5" s="1"/>
  <c r="K1513" i="5" a="1"/>
  <c r="K1513" i="5" s="1"/>
  <c r="K1514" i="5" a="1"/>
  <c r="K1514" i="5" s="1"/>
  <c r="K1515" i="5" a="1"/>
  <c r="K1515" i="5" s="1"/>
  <c r="K1516" i="5" a="1"/>
  <c r="K1516" i="5" s="1"/>
  <c r="K1517" i="5" a="1"/>
  <c r="K1517" i="5" s="1"/>
  <c r="K1518" i="5" a="1"/>
  <c r="K1518" i="5" s="1"/>
  <c r="K1519" i="5" a="1"/>
  <c r="K1519" i="5" s="1"/>
  <c r="K1520" i="5" a="1"/>
  <c r="K1520" i="5" s="1"/>
  <c r="K1521" i="5" a="1"/>
  <c r="K1521" i="5" s="1"/>
  <c r="K1522" i="5" a="1"/>
  <c r="K1522" i="5" s="1"/>
  <c r="K1523" i="5" a="1"/>
  <c r="K1523" i="5" s="1"/>
  <c r="K1524" i="5" a="1"/>
  <c r="K1524" i="5" s="1"/>
  <c r="K1525" i="5" a="1"/>
  <c r="K1525" i="5" s="1"/>
  <c r="K1526" i="5" a="1"/>
  <c r="K1526" i="5" s="1"/>
  <c r="K1527" i="5" a="1"/>
  <c r="K1527" i="5" s="1"/>
  <c r="K1528" i="5" a="1"/>
  <c r="K1528" i="5" s="1"/>
  <c r="K1529" i="5" a="1"/>
  <c r="K1529" i="5" s="1"/>
  <c r="K1530" i="5" a="1"/>
  <c r="K1530" i="5" s="1"/>
  <c r="K1531" i="5" a="1"/>
  <c r="K1531" i="5" s="1"/>
  <c r="K1532" i="5" a="1"/>
  <c r="K1532" i="5" s="1"/>
  <c r="K1533" i="5" a="1"/>
  <c r="K1533" i="5" s="1"/>
  <c r="K1534" i="5" a="1"/>
  <c r="K1534" i="5" s="1"/>
  <c r="K1535" i="5" a="1"/>
  <c r="K1535" i="5" s="1"/>
  <c r="K1536" i="5" a="1"/>
  <c r="K1536" i="5" s="1"/>
  <c r="K1537" i="5" a="1"/>
  <c r="K1537" i="5" s="1"/>
  <c r="K1538" i="5" a="1"/>
  <c r="K1538" i="5" s="1"/>
  <c r="K1539" i="5" a="1"/>
  <c r="K1539" i="5" s="1"/>
  <c r="K1540" i="5" a="1"/>
  <c r="K1540" i="5" s="1"/>
  <c r="K1541" i="5" a="1"/>
  <c r="K1541" i="5" s="1"/>
  <c r="K1542" i="5" a="1"/>
  <c r="K1542" i="5" s="1"/>
  <c r="K1543" i="5" a="1"/>
  <c r="K1543" i="5" s="1"/>
  <c r="K1544" i="5" a="1"/>
  <c r="K1544" i="5" s="1"/>
  <c r="K1545" i="5" a="1"/>
  <c r="K1545" i="5" s="1"/>
  <c r="K1546" i="5" a="1"/>
  <c r="K1546" i="5" s="1"/>
  <c r="K1547" i="5" a="1"/>
  <c r="K1547" i="5" s="1"/>
  <c r="K1548" i="5" a="1"/>
  <c r="K1548" i="5" s="1"/>
  <c r="K1549" i="5" a="1"/>
  <c r="K1549" i="5" s="1"/>
  <c r="K1550" i="5" a="1"/>
  <c r="K1550" i="5" s="1"/>
  <c r="K1551" i="5" a="1"/>
  <c r="K1551" i="5" s="1"/>
  <c r="K1552" i="5" a="1"/>
  <c r="K1552" i="5" s="1"/>
  <c r="K1553" i="5" a="1"/>
  <c r="K1553" i="5" s="1"/>
  <c r="K1554" i="5" a="1"/>
  <c r="K1554" i="5" s="1"/>
  <c r="K1555" i="5" a="1"/>
  <c r="K1555" i="5" s="1"/>
  <c r="K1556" i="5" a="1"/>
  <c r="K1556" i="5" s="1"/>
  <c r="K1557" i="5" a="1"/>
  <c r="K1557" i="5" s="1"/>
  <c r="K1558" i="5" a="1"/>
  <c r="K1558" i="5" s="1"/>
  <c r="K1559" i="5" a="1"/>
  <c r="K1559" i="5" s="1"/>
  <c r="K1560" i="5" a="1"/>
  <c r="K1560" i="5" s="1"/>
  <c r="K1561" i="5" a="1"/>
  <c r="K1561" i="5" s="1"/>
  <c r="K1562" i="5" a="1"/>
  <c r="K1562" i="5" s="1"/>
  <c r="K1563" i="5" a="1"/>
  <c r="K1563" i="5" s="1"/>
  <c r="K1564" i="5" a="1"/>
  <c r="K1564" i="5" s="1"/>
  <c r="K1565" i="5" a="1"/>
  <c r="K1565" i="5" s="1"/>
  <c r="K1566" i="5" a="1"/>
  <c r="K1566" i="5" s="1"/>
  <c r="K1567" i="5" a="1"/>
  <c r="K1567" i="5" s="1"/>
  <c r="K1568" i="5" a="1"/>
  <c r="K1568" i="5" s="1"/>
  <c r="K1569" i="5" a="1"/>
  <c r="K1569" i="5" s="1"/>
  <c r="K1570" i="5" a="1"/>
  <c r="K1570" i="5" s="1"/>
  <c r="K1571" i="5" a="1"/>
  <c r="K1571" i="5" s="1"/>
  <c r="K1572" i="5" a="1"/>
  <c r="K1572" i="5" s="1"/>
  <c r="K1573" i="5" a="1"/>
  <c r="K1573" i="5" s="1"/>
  <c r="K1574" i="5" a="1"/>
  <c r="K1574" i="5" s="1"/>
  <c r="K1575" i="5" a="1"/>
  <c r="K1575" i="5" s="1"/>
  <c r="K1576" i="5" a="1"/>
  <c r="K1576" i="5" s="1"/>
  <c r="K1577" i="5" a="1"/>
  <c r="K1577" i="5" s="1"/>
  <c r="K1578" i="5" a="1"/>
  <c r="K1578" i="5" s="1"/>
  <c r="K1579" i="5" a="1"/>
  <c r="K1579" i="5" s="1"/>
  <c r="K1580" i="5" a="1"/>
  <c r="K1580" i="5" s="1"/>
  <c r="K1581" i="5" a="1"/>
  <c r="K1581" i="5" s="1"/>
  <c r="K1582" i="5" a="1"/>
  <c r="K1582" i="5" s="1"/>
  <c r="K1583" i="5" a="1"/>
  <c r="K1583" i="5" s="1"/>
  <c r="K1584" i="5" a="1"/>
  <c r="K1584" i="5" s="1"/>
  <c r="K1585" i="5" a="1"/>
  <c r="K1585" i="5" s="1"/>
  <c r="K1586" i="5" a="1"/>
  <c r="K1586" i="5" s="1"/>
  <c r="K1587" i="5" a="1"/>
  <c r="K1587" i="5" s="1"/>
  <c r="K1588" i="5" a="1"/>
  <c r="K1588" i="5" s="1"/>
  <c r="K1589" i="5" a="1"/>
  <c r="K1589" i="5" s="1"/>
  <c r="K1590" i="5" a="1"/>
  <c r="K1590" i="5" s="1"/>
  <c r="K1591" i="5" a="1"/>
  <c r="K1591" i="5" s="1"/>
  <c r="K1592" i="5" a="1"/>
  <c r="K1592" i="5" s="1"/>
  <c r="K1593" i="5" a="1"/>
  <c r="K1593" i="5" s="1"/>
  <c r="K1594" i="5" a="1"/>
  <c r="K1594" i="5" s="1"/>
  <c r="K1595" i="5" a="1"/>
  <c r="K1595"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EC0E80-9EF6-4CE8-949B-9F80B70A6B5D}" keepAlive="1" name="Consulta - Boletim" description="Conexão com a consulta 'Boletim' na pasta de trabalho." type="5" refreshedVersion="7" background="1" saveData="1">
    <dbPr connection="Provider=Microsoft.Mashup.OleDb.1;Data Source=$Workbook$;Location=Boletim;Extended Properties=&quot;&quot;" command="SELECT * FROM [Boletim]"/>
  </connection>
  <connection id="2" xr16:uid="{49E23666-27A4-4A16-B574-E439425DE397}" keepAlive="1" name="Consulta - Boletim (10)" description="Conexão com a consulta 'Boletim (10)' na pasta de trabalho." type="5" refreshedVersion="7" background="1" saveData="1">
    <dbPr connection="Provider=Microsoft.Mashup.OleDb.1;Data Source=$Workbook$;Location=&quot;Boletim (10)&quot;;Extended Properties=&quot;&quot;" command="SELECT * FROM [Boletim (10)]"/>
  </connection>
  <connection id="3" xr16:uid="{000F73FD-23C5-4C75-9A84-F035CB0E7BB6}" keepAlive="1" name="Consulta - Boletim (100)" description="Conexão com a consulta 'Boletim (100)' na pasta de trabalho." type="5" refreshedVersion="7" background="1" saveData="1">
    <dbPr connection="Provider=Microsoft.Mashup.OleDb.1;Data Source=$Workbook$;Location=&quot;Boletim (100)&quot;;Extended Properties=&quot;&quot;" command="SELECT * FROM [Boletim (100)]"/>
  </connection>
  <connection id="4" xr16:uid="{D020628E-7512-4283-A404-F6AA91ECA960}" keepAlive="1" name="Consulta - Boletim (101)" description="Conexão com a consulta 'Boletim (101)' na pasta de trabalho." type="5" refreshedVersion="7" background="1" saveData="1">
    <dbPr connection="Provider=Microsoft.Mashup.OleDb.1;Data Source=$Workbook$;Location=&quot;Boletim (101)&quot;;Extended Properties=&quot;&quot;" command="SELECT * FROM [Boletim (101)]"/>
  </connection>
  <connection id="5" xr16:uid="{6BAFA9C4-21E1-4563-984F-DB268C6C18F3}" keepAlive="1" name="Consulta - Boletim (102)" description="Conexão com a consulta 'Boletim (102)' na pasta de trabalho." type="5" refreshedVersion="7" background="1" saveData="1">
    <dbPr connection="Provider=Microsoft.Mashup.OleDb.1;Data Source=$Workbook$;Location=&quot;Boletim (102)&quot;;Extended Properties=&quot;&quot;" command="SELECT * FROM [Boletim (102)]"/>
  </connection>
  <connection id="6" xr16:uid="{57F14ECC-4866-494E-B366-B6C62E00F0B1}" keepAlive="1" name="Consulta - Boletim (103)" description="Conexão com a consulta 'Boletim (103)' na pasta de trabalho." type="5" refreshedVersion="7" background="1" saveData="1">
    <dbPr connection="Provider=Microsoft.Mashup.OleDb.1;Data Source=$Workbook$;Location=&quot;Boletim (103)&quot;;Extended Properties=&quot;&quot;" command="SELECT * FROM [Boletim (103)]"/>
  </connection>
  <connection id="7" xr16:uid="{392C26EC-9404-4611-890C-3A1953DC7B63}" keepAlive="1" name="Consulta - Boletim (104)" description="Conexão com a consulta 'Boletim (104)' na pasta de trabalho." type="5" refreshedVersion="7" background="1" saveData="1">
    <dbPr connection="Provider=Microsoft.Mashup.OleDb.1;Data Source=$Workbook$;Location=&quot;Boletim (104)&quot;;Extended Properties=&quot;&quot;" command="SELECT * FROM [Boletim (104)]"/>
  </connection>
  <connection id="8" xr16:uid="{F4B58BB1-590B-4BEF-8829-1758C74886EA}" keepAlive="1" name="Consulta - Boletim (105)" description="Conexão com a consulta 'Boletim (105)' na pasta de trabalho." type="5" refreshedVersion="7" background="1" saveData="1">
    <dbPr connection="Provider=Microsoft.Mashup.OleDb.1;Data Source=$Workbook$;Location=&quot;Boletim (105)&quot;;Extended Properties=&quot;&quot;" command="SELECT * FROM [Boletim (105)]"/>
  </connection>
  <connection id="9" xr16:uid="{38F4E3AD-9958-40D1-8F18-17184D9C0129}" keepAlive="1" name="Consulta - Boletim (106)" description="Conexão com a consulta 'Boletim (106)' na pasta de trabalho." type="5" refreshedVersion="7" background="1" saveData="1">
    <dbPr connection="Provider=Microsoft.Mashup.OleDb.1;Data Source=$Workbook$;Location=&quot;Boletim (106)&quot;;Extended Properties=&quot;&quot;" command="SELECT * FROM [Boletim (106)]"/>
  </connection>
  <connection id="10" xr16:uid="{4EA661E8-30FC-48E7-99F0-E4BA0547490F}" keepAlive="1" name="Consulta - Boletim (107)" description="Conexão com a consulta 'Boletim (107)' na pasta de trabalho." type="5" refreshedVersion="7" background="1" saveData="1">
    <dbPr connection="Provider=Microsoft.Mashup.OleDb.1;Data Source=$Workbook$;Location=&quot;Boletim (107)&quot;;Extended Properties=&quot;&quot;" command="SELECT * FROM [Boletim (107)]"/>
  </connection>
  <connection id="11" xr16:uid="{FB668FD7-CA85-4978-8C65-72B20D3F8C47}" keepAlive="1" name="Consulta - Boletim (108)" description="Conexão com a consulta 'Boletim (108)' na pasta de trabalho." type="5" refreshedVersion="7" background="1" saveData="1">
    <dbPr connection="Provider=Microsoft.Mashup.OleDb.1;Data Source=$Workbook$;Location=&quot;Boletim (108)&quot;;Extended Properties=&quot;&quot;" command="SELECT * FROM [Boletim (108)]"/>
  </connection>
  <connection id="12" xr16:uid="{5424ED18-E597-43AD-B0DD-2F491F456392}" keepAlive="1" name="Consulta - Boletim (109)" description="Conexão com a consulta 'Boletim (109)' na pasta de trabalho." type="5" refreshedVersion="7" background="1" saveData="1">
    <dbPr connection="Provider=Microsoft.Mashup.OleDb.1;Data Source=$Workbook$;Location=&quot;Boletim (109)&quot;;Extended Properties=&quot;&quot;" command="SELECT * FROM [Boletim (109)]"/>
  </connection>
  <connection id="13" xr16:uid="{F7ED11AF-C871-40C2-BF25-8B894F0CD2DF}" keepAlive="1" name="Consulta - Boletim (11)" description="Conexão com a consulta 'Boletim (11)' na pasta de trabalho." type="5" refreshedVersion="7" background="1" saveData="1">
    <dbPr connection="Provider=Microsoft.Mashup.OleDb.1;Data Source=$Workbook$;Location=&quot;Boletim (11)&quot;;Extended Properties=&quot;&quot;" command="SELECT * FROM [Boletim (11)]"/>
  </connection>
  <connection id="14" xr16:uid="{76E92BC1-7758-4495-91B5-082BA9E62986}" keepAlive="1" name="Consulta - Boletim (110)" description="Conexão com a consulta 'Boletim (110)' na pasta de trabalho." type="5" refreshedVersion="7" background="1" saveData="1">
    <dbPr connection="Provider=Microsoft.Mashup.OleDb.1;Data Source=$Workbook$;Location=&quot;Boletim (110)&quot;;Extended Properties=&quot;&quot;" command="SELECT * FROM [Boletim (110)]"/>
  </connection>
  <connection id="15" xr16:uid="{89AEADBB-3FB6-478D-9BCB-06591AAB2B2E}" keepAlive="1" name="Consulta - Boletim (111)" description="Conexão com a consulta 'Boletim (111)' na pasta de trabalho." type="5" refreshedVersion="7" background="1" saveData="1">
    <dbPr connection="Provider=Microsoft.Mashup.OleDb.1;Data Source=$Workbook$;Location=&quot;Boletim (111)&quot;;Extended Properties=&quot;&quot;" command="SELECT * FROM [Boletim (111)]"/>
  </connection>
  <connection id="16" xr16:uid="{53C6C1EC-301E-4A5A-B19F-3E5785CAD95E}" keepAlive="1" name="Consulta - Boletim (112)" description="Conexão com a consulta 'Boletim (112)' na pasta de trabalho." type="5" refreshedVersion="7" background="1" saveData="1">
    <dbPr connection="Provider=Microsoft.Mashup.OleDb.1;Data Source=$Workbook$;Location=&quot;Boletim (112)&quot;;Extended Properties=&quot;&quot;" command="SELECT * FROM [Boletim (112)]"/>
  </connection>
  <connection id="17" xr16:uid="{879549E9-BD75-4D71-AC03-812294FAEB9F}" keepAlive="1" name="Consulta - Boletim (113)" description="Conexão com a consulta 'Boletim (113)' na pasta de trabalho." type="5" refreshedVersion="7" background="1" saveData="1">
    <dbPr connection="Provider=Microsoft.Mashup.OleDb.1;Data Source=$Workbook$;Location=&quot;Boletim (113)&quot;;Extended Properties=&quot;&quot;" command="SELECT * FROM [Boletim (113)]"/>
  </connection>
  <connection id="18" xr16:uid="{80CD8D05-2B01-44BF-A1D4-BDEF4E28C09A}" keepAlive="1" name="Consulta - Boletim (114)" description="Conexão com a consulta 'Boletim (114)' na pasta de trabalho." type="5" refreshedVersion="7" background="1" saveData="1">
    <dbPr connection="Provider=Microsoft.Mashup.OleDb.1;Data Source=$Workbook$;Location=&quot;Boletim (114)&quot;;Extended Properties=&quot;&quot;" command="SELECT * FROM [Boletim (114)]"/>
  </connection>
  <connection id="19" xr16:uid="{6F206097-0416-4678-B5DE-B25D0C345AA4}" keepAlive="1" name="Consulta - Boletim (115)" description="Conexão com a consulta 'Boletim (115)' na pasta de trabalho." type="5" refreshedVersion="7" background="1" saveData="1">
    <dbPr connection="Provider=Microsoft.Mashup.OleDb.1;Data Source=$Workbook$;Location=&quot;Boletim (115)&quot;;Extended Properties=&quot;&quot;" command="SELECT * FROM [Boletim (115)]"/>
  </connection>
  <connection id="20" xr16:uid="{FD2792FA-F3A5-42AF-85B8-5954244BCF46}" keepAlive="1" name="Consulta - Boletim (116)" description="Conexão com a consulta 'Boletim (116)' na pasta de trabalho." type="5" refreshedVersion="7" background="1" saveData="1">
    <dbPr connection="Provider=Microsoft.Mashup.OleDb.1;Data Source=$Workbook$;Location=&quot;Boletim (116)&quot;;Extended Properties=&quot;&quot;" command="SELECT * FROM [Boletim (116)]"/>
  </connection>
  <connection id="21" xr16:uid="{F9620CBE-FBA8-4358-AA19-6674E250AEFA}" keepAlive="1" name="Consulta - Boletim (117)" description="Conexão com a consulta 'Boletim (117)' na pasta de trabalho." type="5" refreshedVersion="7" background="1" saveData="1">
    <dbPr connection="Provider=Microsoft.Mashup.OleDb.1;Data Source=$Workbook$;Location=&quot;Boletim (117)&quot;;Extended Properties=&quot;&quot;" command="SELECT * FROM [Boletim (117)]"/>
  </connection>
  <connection id="22" xr16:uid="{FF5ED39B-73B3-4F75-86CE-F291F73CEA69}" keepAlive="1" name="Consulta - Boletim (118)" description="Conexão com a consulta 'Boletim (118)' na pasta de trabalho." type="5" refreshedVersion="7" background="1" saveData="1">
    <dbPr connection="Provider=Microsoft.Mashup.OleDb.1;Data Source=$Workbook$;Location=&quot;Boletim (118)&quot;;Extended Properties=&quot;&quot;" command="SELECT * FROM [Boletim (118)]"/>
  </connection>
  <connection id="23" xr16:uid="{BD5BB41D-AF89-4AA8-8E37-C056818D517C}" keepAlive="1" name="Consulta - Boletim (119)" description="Conexão com a consulta 'Boletim (119)' na pasta de trabalho." type="5" refreshedVersion="7" background="1" saveData="1">
    <dbPr connection="Provider=Microsoft.Mashup.OleDb.1;Data Source=$Workbook$;Location=&quot;Boletim (119)&quot;;Extended Properties=&quot;&quot;" command="SELECT * FROM [Boletim (119)]"/>
  </connection>
  <connection id="24" xr16:uid="{41E712AF-0BAD-4DA2-9E2D-C129FA696A30}" keepAlive="1" name="Consulta - Boletim (12)" description="Conexão com a consulta 'Boletim (12)' na pasta de trabalho." type="5" refreshedVersion="7" background="1" saveData="1">
    <dbPr connection="Provider=Microsoft.Mashup.OleDb.1;Data Source=$Workbook$;Location=&quot;Boletim (12)&quot;;Extended Properties=&quot;&quot;" command="SELECT * FROM [Boletim (12)]"/>
  </connection>
  <connection id="25" xr16:uid="{7838793F-B99A-450E-993F-A3C45EF59A6C}" keepAlive="1" name="Consulta - Boletim (120)" description="Conexão com a consulta 'Boletim (120)' na pasta de trabalho." type="5" refreshedVersion="7" background="1" saveData="1">
    <dbPr connection="Provider=Microsoft.Mashup.OleDb.1;Data Source=$Workbook$;Location=&quot;Boletim (120)&quot;;Extended Properties=&quot;&quot;" command="SELECT * FROM [Boletim (120)]"/>
  </connection>
  <connection id="26" xr16:uid="{7E177FE6-53C8-4277-BB38-21EC1F3758F0}" keepAlive="1" name="Consulta - Boletim (13)" description="Conexão com a consulta 'Boletim (13)' na pasta de trabalho." type="5" refreshedVersion="7" background="1" saveData="1">
    <dbPr connection="Provider=Microsoft.Mashup.OleDb.1;Data Source=$Workbook$;Location=&quot;Boletim (13)&quot;;Extended Properties=&quot;&quot;" command="SELECT * FROM [Boletim (13)]"/>
  </connection>
  <connection id="27" xr16:uid="{30C798BB-BF2C-48C0-AFAE-8EE3C2668537}" keepAlive="1" name="Consulta - Boletim (14)" description="Conexão com a consulta 'Boletim (14)' na pasta de trabalho." type="5" refreshedVersion="7" background="1" saveData="1">
    <dbPr connection="Provider=Microsoft.Mashup.OleDb.1;Data Source=$Workbook$;Location=&quot;Boletim (14)&quot;;Extended Properties=&quot;&quot;" command="SELECT * FROM [Boletim (14)]"/>
  </connection>
  <connection id="28" xr16:uid="{468BBB12-C684-4BFE-886D-F6326C2ACC04}" keepAlive="1" name="Consulta - Boletim (15)" description="Conexão com a consulta 'Boletim (15)' na pasta de trabalho." type="5" refreshedVersion="7" background="1" saveData="1">
    <dbPr connection="Provider=Microsoft.Mashup.OleDb.1;Data Source=$Workbook$;Location=&quot;Boletim (15)&quot;;Extended Properties=&quot;&quot;" command="SELECT * FROM [Boletim (15)]"/>
  </connection>
  <connection id="29" xr16:uid="{85A762A5-27B0-44CB-9F43-9D851AF862EC}" keepAlive="1" name="Consulta - Boletim (16)" description="Conexão com a consulta 'Boletim (16)' na pasta de trabalho." type="5" refreshedVersion="7" background="1" saveData="1">
    <dbPr connection="Provider=Microsoft.Mashup.OleDb.1;Data Source=$Workbook$;Location=&quot;Boletim (16)&quot;;Extended Properties=&quot;&quot;" command="SELECT * FROM [Boletim (16)]"/>
  </connection>
  <connection id="30" xr16:uid="{5E2622B9-B725-4602-9C47-F385DD476594}" keepAlive="1" name="Consulta - Boletim (17)" description="Conexão com a consulta 'Boletim (17)' na pasta de trabalho." type="5" refreshedVersion="7" background="1" saveData="1">
    <dbPr connection="Provider=Microsoft.Mashup.OleDb.1;Data Source=$Workbook$;Location=&quot;Boletim (17)&quot;;Extended Properties=&quot;&quot;" command="SELECT * FROM [Boletim (17)]"/>
  </connection>
  <connection id="31" xr16:uid="{3E2CC7E1-9EFA-439B-8D32-1FCAD6860C63}" keepAlive="1" name="Consulta - Boletim (18)" description="Conexão com a consulta 'Boletim (18)' na pasta de trabalho." type="5" refreshedVersion="7" background="1" saveData="1">
    <dbPr connection="Provider=Microsoft.Mashup.OleDb.1;Data Source=$Workbook$;Location=&quot;Boletim (18)&quot;;Extended Properties=&quot;&quot;" command="SELECT * FROM [Boletim (18)]"/>
  </connection>
  <connection id="32" xr16:uid="{55166FDB-306A-41B2-BA07-89ADF04753C0}" keepAlive="1" name="Consulta - Boletim (19)" description="Conexão com a consulta 'Boletim (19)' na pasta de trabalho." type="5" refreshedVersion="7" background="1" saveData="1">
    <dbPr connection="Provider=Microsoft.Mashup.OleDb.1;Data Source=$Workbook$;Location=&quot;Boletim (19)&quot;;Extended Properties=&quot;&quot;" command="SELECT * FROM [Boletim (19)]"/>
  </connection>
  <connection id="33" xr16:uid="{31EA9961-3071-4CA9-A1AD-50BCDE834F4F}" keepAlive="1" name="Consulta - Boletim (2)" description="Conexão com a consulta 'Boletim (2)' na pasta de trabalho." type="5" refreshedVersion="7" background="1" saveData="1">
    <dbPr connection="Provider=Microsoft.Mashup.OleDb.1;Data Source=$Workbook$;Location=&quot;Boletim (2)&quot;;Extended Properties=&quot;&quot;" command="SELECT * FROM [Boletim (2)]"/>
  </connection>
  <connection id="34" xr16:uid="{C8B00131-DC7E-49ED-9A71-8BA23D21584E}" keepAlive="1" name="Consulta - Boletim (20)" description="Conexão com a consulta 'Boletim (20)' na pasta de trabalho." type="5" refreshedVersion="7" background="1" saveData="1">
    <dbPr connection="Provider=Microsoft.Mashup.OleDb.1;Data Source=$Workbook$;Location=&quot;Boletim (20)&quot;;Extended Properties=&quot;&quot;" command="SELECT * FROM [Boletim (20)]"/>
  </connection>
  <connection id="35" xr16:uid="{B927CCE2-98B5-4B20-A85A-8BDE06DA3C21}" keepAlive="1" name="Consulta - Boletim (21)" description="Conexão com a consulta 'Boletim (21)' na pasta de trabalho." type="5" refreshedVersion="7" background="1" saveData="1">
    <dbPr connection="Provider=Microsoft.Mashup.OleDb.1;Data Source=$Workbook$;Location=&quot;Boletim (21)&quot;;Extended Properties=&quot;&quot;" command="SELECT * FROM [Boletim (21)]"/>
  </connection>
  <connection id="36" xr16:uid="{B06985E0-4AB9-4532-8CE1-2F1C35CF9B37}" keepAlive="1" name="Consulta - Boletim (22)" description="Conexão com a consulta 'Boletim (22)' na pasta de trabalho." type="5" refreshedVersion="7" background="1" saveData="1">
    <dbPr connection="Provider=Microsoft.Mashup.OleDb.1;Data Source=$Workbook$;Location=&quot;Boletim (22)&quot;;Extended Properties=&quot;&quot;" command="SELECT * FROM [Boletim (22)]"/>
  </connection>
  <connection id="37" xr16:uid="{12474514-5FB3-42FE-842F-0D611351176B}" keepAlive="1" name="Consulta - Boletim (23)" description="Conexão com a consulta 'Boletim (23)' na pasta de trabalho." type="5" refreshedVersion="7" background="1" saveData="1">
    <dbPr connection="Provider=Microsoft.Mashup.OleDb.1;Data Source=$Workbook$;Location=&quot;Boletim (23)&quot;;Extended Properties=&quot;&quot;" command="SELECT * FROM [Boletim (23)]"/>
  </connection>
  <connection id="38" xr16:uid="{D915216D-784D-4F72-A399-16972F03E4CF}" keepAlive="1" name="Consulta - Boletim (24)" description="Conexão com a consulta 'Boletim (24)' na pasta de trabalho." type="5" refreshedVersion="7" background="1" saveData="1">
    <dbPr connection="Provider=Microsoft.Mashup.OleDb.1;Data Source=$Workbook$;Location=&quot;Boletim (24)&quot;;Extended Properties=&quot;&quot;" command="SELECT * FROM [Boletim (24)]"/>
  </connection>
  <connection id="39" xr16:uid="{2AC69D74-3410-4191-B9EB-ECD0230ABD8C}" keepAlive="1" name="Consulta - Boletim (25)" description="Conexão com a consulta 'Boletim (25)' na pasta de trabalho." type="5" refreshedVersion="7" background="1" saveData="1">
    <dbPr connection="Provider=Microsoft.Mashup.OleDb.1;Data Source=$Workbook$;Location=&quot;Boletim (25)&quot;;Extended Properties=&quot;&quot;" command="SELECT * FROM [Boletim (25)]"/>
  </connection>
  <connection id="40" xr16:uid="{B27224B2-32A0-46D5-BF61-AE584AB28858}" keepAlive="1" name="Consulta - Boletim (26)" description="Conexão com a consulta 'Boletim (26)' na pasta de trabalho." type="5" refreshedVersion="7" background="1" saveData="1">
    <dbPr connection="Provider=Microsoft.Mashup.OleDb.1;Data Source=$Workbook$;Location=&quot;Boletim (26)&quot;;Extended Properties=&quot;&quot;" command="SELECT * FROM [Boletim (26)]"/>
  </connection>
  <connection id="41" xr16:uid="{314151E8-94BA-40DB-BC5F-B2FAF78DBD75}" keepAlive="1" name="Consulta - Boletim (27)" description="Conexão com a consulta 'Boletim (27)' na pasta de trabalho." type="5" refreshedVersion="7" background="1" saveData="1">
    <dbPr connection="Provider=Microsoft.Mashup.OleDb.1;Data Source=$Workbook$;Location=&quot;Boletim (27)&quot;;Extended Properties=&quot;&quot;" command="SELECT * FROM [Boletim (27)]"/>
  </connection>
  <connection id="42" xr16:uid="{CE4B63BF-8415-4ED1-B8DE-512C54FF1D09}" keepAlive="1" name="Consulta - Boletim (28)" description="Conexão com a consulta 'Boletim (28)' na pasta de trabalho." type="5" refreshedVersion="7" background="1" saveData="1">
    <dbPr connection="Provider=Microsoft.Mashup.OleDb.1;Data Source=$Workbook$;Location=&quot;Boletim (28)&quot;;Extended Properties=&quot;&quot;" command="SELECT * FROM [Boletim (28)]"/>
  </connection>
  <connection id="43" xr16:uid="{FA578CF8-0B51-48D6-ADED-CE44BEFE9C07}" keepAlive="1" name="Consulta - Boletim (29)" description="Conexão com a consulta 'Boletim (29)' na pasta de trabalho." type="5" refreshedVersion="7" background="1" saveData="1">
    <dbPr connection="Provider=Microsoft.Mashup.OleDb.1;Data Source=$Workbook$;Location=&quot;Boletim (29)&quot;;Extended Properties=&quot;&quot;" command="SELECT * FROM [Boletim (29)]"/>
  </connection>
  <connection id="44" xr16:uid="{17B6050E-70EC-472E-A994-8EDCF1633977}" keepAlive="1" name="Consulta - Boletim (3)" description="Conexão com a consulta 'Boletim (3)' na pasta de trabalho." type="5" refreshedVersion="7" background="1" saveData="1">
    <dbPr connection="Provider=Microsoft.Mashup.OleDb.1;Data Source=$Workbook$;Location=&quot;Boletim (3)&quot;;Extended Properties=&quot;&quot;" command="SELECT * FROM [Boletim (3)]"/>
  </connection>
  <connection id="45" xr16:uid="{F6FE89B7-9F01-459B-865B-97ADBE363029}" keepAlive="1" name="Consulta - Boletim (30)" description="Conexão com a consulta 'Boletim (30)' na pasta de trabalho." type="5" refreshedVersion="7" background="1" saveData="1">
    <dbPr connection="Provider=Microsoft.Mashup.OleDb.1;Data Source=$Workbook$;Location=&quot;Boletim (30)&quot;;Extended Properties=&quot;&quot;" command="SELECT * FROM [Boletim (30)]"/>
  </connection>
  <connection id="46" xr16:uid="{F966C3E5-B68E-4821-993B-8FF4D3257C41}" keepAlive="1" name="Consulta - Boletim (31)" description="Conexão com a consulta 'Boletim (31)' na pasta de trabalho." type="5" refreshedVersion="7" background="1" saveData="1">
    <dbPr connection="Provider=Microsoft.Mashup.OleDb.1;Data Source=$Workbook$;Location=&quot;Boletim (31)&quot;;Extended Properties=&quot;&quot;" command="SELECT * FROM [Boletim (31)]"/>
  </connection>
  <connection id="47" xr16:uid="{2B92EBC7-6856-42F4-B5B0-932929D2A661}" keepAlive="1" name="Consulta - Boletim (32)" description="Conexão com a consulta 'Boletim (32)' na pasta de trabalho." type="5" refreshedVersion="7" background="1" saveData="1">
    <dbPr connection="Provider=Microsoft.Mashup.OleDb.1;Data Source=$Workbook$;Location=&quot;Boletim (32)&quot;;Extended Properties=&quot;&quot;" command="SELECT * FROM [Boletim (32)]"/>
  </connection>
  <connection id="48" xr16:uid="{1E2E6312-8A2B-48D7-AC2D-42BC7BC79C56}" keepAlive="1" name="Consulta - Boletim (33)" description="Conexão com a consulta 'Boletim (33)' na pasta de trabalho." type="5" refreshedVersion="7" background="1" saveData="1">
    <dbPr connection="Provider=Microsoft.Mashup.OleDb.1;Data Source=$Workbook$;Location=&quot;Boletim (33)&quot;;Extended Properties=&quot;&quot;" command="SELECT * FROM [Boletim (33)]"/>
  </connection>
  <connection id="49" xr16:uid="{F215089A-3AB0-4F46-94E0-CDB9266C574B}" keepAlive="1" name="Consulta - Boletim (34)" description="Conexão com a consulta 'Boletim (34)' na pasta de trabalho." type="5" refreshedVersion="7" background="1" saveData="1">
    <dbPr connection="Provider=Microsoft.Mashup.OleDb.1;Data Source=$Workbook$;Location=&quot;Boletim (34)&quot;;Extended Properties=&quot;&quot;" command="SELECT * FROM [Boletim (34)]"/>
  </connection>
  <connection id="50" xr16:uid="{A72AE003-895F-465C-871A-8685A5897E1A}" keepAlive="1" name="Consulta - Boletim (35)" description="Conexão com a consulta 'Boletim (35)' na pasta de trabalho." type="5" refreshedVersion="7" background="1" saveData="1">
    <dbPr connection="Provider=Microsoft.Mashup.OleDb.1;Data Source=$Workbook$;Location=&quot;Boletim (35)&quot;;Extended Properties=&quot;&quot;" command="SELECT * FROM [Boletim (35)]"/>
  </connection>
  <connection id="51" xr16:uid="{D97D26DF-2DBA-4325-AFA9-5A6C43275492}" keepAlive="1" name="Consulta - Boletim (36)" description="Conexão com a consulta 'Boletim (36)' na pasta de trabalho." type="5" refreshedVersion="7" background="1" saveData="1">
    <dbPr connection="Provider=Microsoft.Mashup.OleDb.1;Data Source=$Workbook$;Location=&quot;Boletim (36)&quot;;Extended Properties=&quot;&quot;" command="SELECT * FROM [Boletim (36)]"/>
  </connection>
  <connection id="52" xr16:uid="{1823B9A4-ABF2-476E-9541-6B0978863878}" keepAlive="1" name="Consulta - Boletim (37)" description="Conexão com a consulta 'Boletim (37)' na pasta de trabalho." type="5" refreshedVersion="7" background="1" saveData="1">
    <dbPr connection="Provider=Microsoft.Mashup.OleDb.1;Data Source=$Workbook$;Location=&quot;Boletim (37)&quot;;Extended Properties=&quot;&quot;" command="SELECT * FROM [Boletim (37)]"/>
  </connection>
  <connection id="53" xr16:uid="{CC949EFB-F460-4E8C-964E-25081B713A61}" keepAlive="1" name="Consulta - Boletim (38)" description="Conexão com a consulta 'Boletim (38)' na pasta de trabalho." type="5" refreshedVersion="7" background="1" saveData="1">
    <dbPr connection="Provider=Microsoft.Mashup.OleDb.1;Data Source=$Workbook$;Location=&quot;Boletim (38)&quot;;Extended Properties=&quot;&quot;" command="SELECT * FROM [Boletim (38)]"/>
  </connection>
  <connection id="54" xr16:uid="{94422CC9-2A6D-4359-B76C-DE66ABC33F5B}" keepAlive="1" name="Consulta - Boletim (39)" description="Conexão com a consulta 'Boletim (39)' na pasta de trabalho." type="5" refreshedVersion="7" background="1" saveData="1">
    <dbPr connection="Provider=Microsoft.Mashup.OleDb.1;Data Source=$Workbook$;Location=&quot;Boletim (39)&quot;;Extended Properties=&quot;&quot;" command="SELECT * FROM [Boletim (39)]"/>
  </connection>
  <connection id="55" xr16:uid="{6B545D17-BBA7-43ED-ABF6-7F5A9F8572B7}" keepAlive="1" name="Consulta - Boletim (4)" description="Conexão com a consulta 'Boletim (4)' na pasta de trabalho." type="5" refreshedVersion="7" background="1" saveData="1">
    <dbPr connection="Provider=Microsoft.Mashup.OleDb.1;Data Source=$Workbook$;Location=&quot;Boletim (4)&quot;;Extended Properties=&quot;&quot;" command="SELECT * FROM [Boletim (4)]"/>
  </connection>
  <connection id="56" xr16:uid="{DBC6D7F9-FC40-4812-947B-7559D4C6C60F}" keepAlive="1" name="Consulta - Boletim (40)" description="Conexão com a consulta 'Boletim (40)' na pasta de trabalho." type="5" refreshedVersion="7" background="1" saveData="1">
    <dbPr connection="Provider=Microsoft.Mashup.OleDb.1;Data Source=$Workbook$;Location=&quot;Boletim (40)&quot;;Extended Properties=&quot;&quot;" command="SELECT * FROM [Boletim (40)]"/>
  </connection>
  <connection id="57" xr16:uid="{757EF974-CC02-4565-A895-C84C8648AC90}" keepAlive="1" name="Consulta - Boletim (41)" description="Conexão com a consulta 'Boletim (41)' na pasta de trabalho." type="5" refreshedVersion="7" background="1" saveData="1">
    <dbPr connection="Provider=Microsoft.Mashup.OleDb.1;Data Source=$Workbook$;Location=&quot;Boletim (41)&quot;;Extended Properties=&quot;&quot;" command="SELECT * FROM [Boletim (41)]"/>
  </connection>
  <connection id="58" xr16:uid="{1F2BB458-9E5E-4734-B437-E250B34AD6D7}" keepAlive="1" name="Consulta - Boletim (42)" description="Conexão com a consulta 'Boletim (42)' na pasta de trabalho." type="5" refreshedVersion="7" background="1" saveData="1">
    <dbPr connection="Provider=Microsoft.Mashup.OleDb.1;Data Source=$Workbook$;Location=&quot;Boletim (42)&quot;;Extended Properties=&quot;&quot;" command="SELECT * FROM [Boletim (42)]"/>
  </connection>
  <connection id="59" xr16:uid="{EA709B5A-D208-4920-B477-67483D591B9A}" keepAlive="1" name="Consulta - Boletim (43)" description="Conexão com a consulta 'Boletim (43)' na pasta de trabalho." type="5" refreshedVersion="7" background="1" saveData="1">
    <dbPr connection="Provider=Microsoft.Mashup.OleDb.1;Data Source=$Workbook$;Location=&quot;Boletim (43)&quot;;Extended Properties=&quot;&quot;" command="SELECT * FROM [Boletim (43)]"/>
  </connection>
  <connection id="60" xr16:uid="{ADC73B1F-26E1-46D7-BF1A-4861B7CF7026}" keepAlive="1" name="Consulta - Boletim (44)" description="Conexão com a consulta 'Boletim (44)' na pasta de trabalho." type="5" refreshedVersion="7" background="1" saveData="1">
    <dbPr connection="Provider=Microsoft.Mashup.OleDb.1;Data Source=$Workbook$;Location=&quot;Boletim (44)&quot;;Extended Properties=&quot;&quot;" command="SELECT * FROM [Boletim (44)]"/>
  </connection>
  <connection id="61" xr16:uid="{E9FE06FB-B993-415C-89B9-8276E295BC0E}" keepAlive="1" name="Consulta - Boletim (45)" description="Conexão com a consulta 'Boletim (45)' na pasta de trabalho." type="5" refreshedVersion="7" background="1" saveData="1">
    <dbPr connection="Provider=Microsoft.Mashup.OleDb.1;Data Source=$Workbook$;Location=&quot;Boletim (45)&quot;;Extended Properties=&quot;&quot;" command="SELECT * FROM [Boletim (45)]"/>
  </connection>
  <connection id="62" xr16:uid="{7C486CF7-FA09-43A0-A880-2561A4407683}" keepAlive="1" name="Consulta - Boletim (46)" description="Conexão com a consulta 'Boletim (46)' na pasta de trabalho." type="5" refreshedVersion="7" background="1" saveData="1">
    <dbPr connection="Provider=Microsoft.Mashup.OleDb.1;Data Source=$Workbook$;Location=&quot;Boletim (46)&quot;;Extended Properties=&quot;&quot;" command="SELECT * FROM [Boletim (46)]"/>
  </connection>
  <connection id="63" xr16:uid="{ABB2532C-F068-4AAA-9EB0-1CEE38C4D566}" keepAlive="1" name="Consulta - Boletim (47)" description="Conexão com a consulta 'Boletim (47)' na pasta de trabalho." type="5" refreshedVersion="7" background="1" saveData="1">
    <dbPr connection="Provider=Microsoft.Mashup.OleDb.1;Data Source=$Workbook$;Location=&quot;Boletim (47)&quot;;Extended Properties=&quot;&quot;" command="SELECT * FROM [Boletim (47)]"/>
  </connection>
  <connection id="64" xr16:uid="{4D722E90-61FD-4B7A-9322-6CC7E0BBC37E}" keepAlive="1" name="Consulta - Boletim (48)" description="Conexão com a consulta 'Boletim (48)' na pasta de trabalho." type="5" refreshedVersion="7" background="1" saveData="1">
    <dbPr connection="Provider=Microsoft.Mashup.OleDb.1;Data Source=$Workbook$;Location=&quot;Boletim (48)&quot;;Extended Properties=&quot;&quot;" command="SELECT * FROM [Boletim (48)]"/>
  </connection>
  <connection id="65" xr16:uid="{92D08845-E9FA-4FF9-B8A7-214D3A8AC579}" keepAlive="1" name="Consulta - Boletim (49)" description="Conexão com a consulta 'Boletim (49)' na pasta de trabalho." type="5" refreshedVersion="7" background="1" saveData="1">
    <dbPr connection="Provider=Microsoft.Mashup.OleDb.1;Data Source=$Workbook$;Location=&quot;Boletim (49)&quot;;Extended Properties=&quot;&quot;" command="SELECT * FROM [Boletim (49)]"/>
  </connection>
  <connection id="66" xr16:uid="{112120A0-142A-450E-9CFD-16E3CD83FC10}" keepAlive="1" name="Consulta - Boletim (5)" description="Conexão com a consulta 'Boletim (5)' na pasta de trabalho." type="5" refreshedVersion="7" background="1" saveData="1">
    <dbPr connection="Provider=Microsoft.Mashup.OleDb.1;Data Source=$Workbook$;Location=&quot;Boletim (5)&quot;;Extended Properties=&quot;&quot;" command="SELECT * FROM [Boletim (5)]"/>
  </connection>
  <connection id="67" xr16:uid="{3BE1958D-A95D-4DB6-996D-3445F71B7E8E}" keepAlive="1" name="Consulta - Boletim (50)" description="Conexão com a consulta 'Boletim (50)' na pasta de trabalho." type="5" refreshedVersion="7" background="1" saveData="1">
    <dbPr connection="Provider=Microsoft.Mashup.OleDb.1;Data Source=$Workbook$;Location=&quot;Boletim (50)&quot;;Extended Properties=&quot;&quot;" command="SELECT * FROM [Boletim (50)]"/>
  </connection>
  <connection id="68" xr16:uid="{652B69F5-C4EF-4F35-9362-8CE2F01A3786}" keepAlive="1" name="Consulta - Boletim (51)" description="Conexão com a consulta 'Boletim (51)' na pasta de trabalho." type="5" refreshedVersion="7" background="1" saveData="1">
    <dbPr connection="Provider=Microsoft.Mashup.OleDb.1;Data Source=$Workbook$;Location=&quot;Boletim (51)&quot;;Extended Properties=&quot;&quot;" command="SELECT * FROM [Boletim (51)]"/>
  </connection>
  <connection id="69" xr16:uid="{78FE5646-A145-450B-AEC6-78B1E3459004}" keepAlive="1" name="Consulta - Boletim (52)" description="Conexão com a consulta 'Boletim (52)' na pasta de trabalho." type="5" refreshedVersion="7" background="1" saveData="1">
    <dbPr connection="Provider=Microsoft.Mashup.OleDb.1;Data Source=$Workbook$;Location=&quot;Boletim (52)&quot;;Extended Properties=&quot;&quot;" command="SELECT * FROM [Boletim (52)]"/>
  </connection>
  <connection id="70" xr16:uid="{5348452F-A346-4836-B8A3-EB740FC95326}" keepAlive="1" name="Consulta - Boletim (53)" description="Conexão com a consulta 'Boletim (53)' na pasta de trabalho." type="5" refreshedVersion="7" background="1" saveData="1">
    <dbPr connection="Provider=Microsoft.Mashup.OleDb.1;Data Source=$Workbook$;Location=&quot;Boletim (53)&quot;;Extended Properties=&quot;&quot;" command="SELECT * FROM [Boletim (53)]"/>
  </connection>
  <connection id="71" xr16:uid="{0A5CC68E-3C95-4E78-B185-3F3BF73FCB0C}" keepAlive="1" name="Consulta - Boletim (54)" description="Conexão com a consulta 'Boletim (54)' na pasta de trabalho." type="5" refreshedVersion="7" background="1" saveData="1">
    <dbPr connection="Provider=Microsoft.Mashup.OleDb.1;Data Source=$Workbook$;Location=&quot;Boletim (54)&quot;;Extended Properties=&quot;&quot;" command="SELECT * FROM [Boletim (54)]"/>
  </connection>
  <connection id="72" xr16:uid="{35DF4435-B208-41F9-880D-A2F969FC63FB}" keepAlive="1" name="Consulta - Boletim (55)" description="Conexão com a consulta 'Boletim (55)' na pasta de trabalho." type="5" refreshedVersion="7" background="1" saveData="1">
    <dbPr connection="Provider=Microsoft.Mashup.OleDb.1;Data Source=$Workbook$;Location=&quot;Boletim (55)&quot;;Extended Properties=&quot;&quot;" command="SELECT * FROM [Boletim (55)]"/>
  </connection>
  <connection id="73" xr16:uid="{72D9EAD6-3A3B-418B-8A36-9E98AAEBF398}" keepAlive="1" name="Consulta - Boletim (56)" description="Conexão com a consulta 'Boletim (56)' na pasta de trabalho." type="5" refreshedVersion="7" background="1" saveData="1">
    <dbPr connection="Provider=Microsoft.Mashup.OleDb.1;Data Source=$Workbook$;Location=&quot;Boletim (56)&quot;;Extended Properties=&quot;&quot;" command="SELECT * FROM [Boletim (56)]"/>
  </connection>
  <connection id="74" xr16:uid="{C5BA95B8-73D1-4B09-838C-87EC864A52A6}" keepAlive="1" name="Consulta - Boletim (57)" description="Conexão com a consulta 'Boletim (57)' na pasta de trabalho." type="5" refreshedVersion="7" background="1" saveData="1">
    <dbPr connection="Provider=Microsoft.Mashup.OleDb.1;Data Source=$Workbook$;Location=&quot;Boletim (57)&quot;;Extended Properties=&quot;&quot;" command="SELECT * FROM [Boletim (57)]"/>
  </connection>
  <connection id="75" xr16:uid="{BD1868AB-9B70-4AA5-BE48-2955B50D039A}" keepAlive="1" name="Consulta - Boletim (58)" description="Conexão com a consulta 'Boletim (58)' na pasta de trabalho." type="5" refreshedVersion="7" background="1" saveData="1">
    <dbPr connection="Provider=Microsoft.Mashup.OleDb.1;Data Source=$Workbook$;Location=&quot;Boletim (58)&quot;;Extended Properties=&quot;&quot;" command="SELECT * FROM [Boletim (58)]"/>
  </connection>
  <connection id="76" xr16:uid="{A3F42696-6C09-451E-96BC-8EE1F9317297}" keepAlive="1" name="Consulta - Boletim (59)" description="Conexão com a consulta 'Boletim (59)' na pasta de trabalho." type="5" refreshedVersion="7" background="1" saveData="1">
    <dbPr connection="Provider=Microsoft.Mashup.OleDb.1;Data Source=$Workbook$;Location=&quot;Boletim (59)&quot;;Extended Properties=&quot;&quot;" command="SELECT * FROM [Boletim (59)]"/>
  </connection>
  <connection id="77" xr16:uid="{197F0ED5-B6A4-4203-8CBB-CEBA69048BA8}" keepAlive="1" name="Consulta - Boletim (6)" description="Conexão com a consulta 'Boletim (6)' na pasta de trabalho." type="5" refreshedVersion="7" background="1" saveData="1">
    <dbPr connection="Provider=Microsoft.Mashup.OleDb.1;Data Source=$Workbook$;Location=&quot;Boletim (6)&quot;;Extended Properties=&quot;&quot;" command="SELECT * FROM [Boletim (6)]"/>
  </connection>
  <connection id="78" xr16:uid="{50E04818-0BE8-40F8-BF50-ABA2EBFBD4EA}" keepAlive="1" name="Consulta - Boletim (60)" description="Conexão com a consulta 'Boletim (60)' na pasta de trabalho." type="5" refreshedVersion="7" background="1" saveData="1">
    <dbPr connection="Provider=Microsoft.Mashup.OleDb.1;Data Source=$Workbook$;Location=&quot;Boletim (60)&quot;;Extended Properties=&quot;&quot;" command="SELECT * FROM [Boletim (60)]"/>
  </connection>
  <connection id="79" xr16:uid="{9F4BBD54-4E22-4AC5-BB7A-99FE7568428C}" keepAlive="1" name="Consulta - Boletim (61)" description="Conexão com a consulta 'Boletim (61)' na pasta de trabalho." type="5" refreshedVersion="7" background="1" saveData="1">
    <dbPr connection="Provider=Microsoft.Mashup.OleDb.1;Data Source=$Workbook$;Location=&quot;Boletim (61)&quot;;Extended Properties=&quot;&quot;" command="SELECT * FROM [Boletim (61)]"/>
  </connection>
  <connection id="80" xr16:uid="{C9CDBC94-F8CB-4A23-B888-B029BB2372A7}" keepAlive="1" name="Consulta - Boletim (62)" description="Conexão com a consulta 'Boletim (62)' na pasta de trabalho." type="5" refreshedVersion="7" background="1" saveData="1">
    <dbPr connection="Provider=Microsoft.Mashup.OleDb.1;Data Source=$Workbook$;Location=&quot;Boletim (62)&quot;;Extended Properties=&quot;&quot;" command="SELECT * FROM [Boletim (62)]"/>
  </connection>
  <connection id="81" xr16:uid="{56ECA7EA-E22C-48B1-B81E-DCC9ED1BB2F4}" keepAlive="1" name="Consulta - Boletim (63)" description="Conexão com a consulta 'Boletim (63)' na pasta de trabalho." type="5" refreshedVersion="7" background="1" saveData="1">
    <dbPr connection="Provider=Microsoft.Mashup.OleDb.1;Data Source=$Workbook$;Location=&quot;Boletim (63)&quot;;Extended Properties=&quot;&quot;" command="SELECT * FROM [Boletim (63)]"/>
  </connection>
  <connection id="82" xr16:uid="{0E12D7A9-C203-40B0-91AD-E794D6DE108E}" keepAlive="1" name="Consulta - Boletim (64)" description="Conexão com a consulta 'Boletim (64)' na pasta de trabalho." type="5" refreshedVersion="7" background="1" saveData="1">
    <dbPr connection="Provider=Microsoft.Mashup.OleDb.1;Data Source=$Workbook$;Location=&quot;Boletim (64)&quot;;Extended Properties=&quot;&quot;" command="SELECT * FROM [Boletim (64)]"/>
  </connection>
  <connection id="83" xr16:uid="{8B9CA00A-4E27-47A0-B302-FF91DE6F5C72}" keepAlive="1" name="Consulta - Boletim (65)" description="Conexão com a consulta 'Boletim (65)' na pasta de trabalho." type="5" refreshedVersion="7" background="1" saveData="1">
    <dbPr connection="Provider=Microsoft.Mashup.OleDb.1;Data Source=$Workbook$;Location=&quot;Boletim (65)&quot;;Extended Properties=&quot;&quot;" command="SELECT * FROM [Boletim (65)]"/>
  </connection>
  <connection id="84" xr16:uid="{5B38630D-587B-4C98-A089-0561D333527F}" keepAlive="1" name="Consulta - Boletim (66)" description="Conexão com a consulta 'Boletim (66)' na pasta de trabalho." type="5" refreshedVersion="7" background="1" saveData="1">
    <dbPr connection="Provider=Microsoft.Mashup.OleDb.1;Data Source=$Workbook$;Location=&quot;Boletim (66)&quot;;Extended Properties=&quot;&quot;" command="SELECT * FROM [Boletim (66)]"/>
  </connection>
  <connection id="85" xr16:uid="{C9FCB376-85D0-42C7-B29E-D8194FACA2BF}" keepAlive="1" name="Consulta - Boletim (67)" description="Conexão com a consulta 'Boletim (67)' na pasta de trabalho." type="5" refreshedVersion="7" background="1" saveData="1">
    <dbPr connection="Provider=Microsoft.Mashup.OleDb.1;Data Source=$Workbook$;Location=&quot;Boletim (67)&quot;;Extended Properties=&quot;&quot;" command="SELECT * FROM [Boletim (67)]"/>
  </connection>
  <connection id="86" xr16:uid="{52642FDE-920C-47F5-A03F-FBC711937F98}" keepAlive="1" name="Consulta - Boletim (68)" description="Conexão com a consulta 'Boletim (68)' na pasta de trabalho." type="5" refreshedVersion="7" background="1" saveData="1">
    <dbPr connection="Provider=Microsoft.Mashup.OleDb.1;Data Source=$Workbook$;Location=&quot;Boletim (68)&quot;;Extended Properties=&quot;&quot;" command="SELECT * FROM [Boletim (68)]"/>
  </connection>
  <connection id="87" xr16:uid="{53079B98-A091-4C83-A373-3163580E1F42}" keepAlive="1" name="Consulta - Boletim (69)" description="Conexão com a consulta 'Boletim (69)' na pasta de trabalho." type="5" refreshedVersion="7" background="1" saveData="1">
    <dbPr connection="Provider=Microsoft.Mashup.OleDb.1;Data Source=$Workbook$;Location=&quot;Boletim (69)&quot;;Extended Properties=&quot;&quot;" command="SELECT * FROM [Boletim (69)]"/>
  </connection>
  <connection id="88" xr16:uid="{0C958F29-327F-4DBD-9D29-FA7EC0760941}" keepAlive="1" name="Consulta - Boletim (7)" description="Conexão com a consulta 'Boletim (7)' na pasta de trabalho." type="5" refreshedVersion="7" background="1" saveData="1">
    <dbPr connection="Provider=Microsoft.Mashup.OleDb.1;Data Source=$Workbook$;Location=&quot;Boletim (7)&quot;;Extended Properties=&quot;&quot;" command="SELECT * FROM [Boletim (7)]"/>
  </connection>
  <connection id="89" xr16:uid="{0D0AF97F-57C3-4572-BAF7-971130D5A041}" keepAlive="1" name="Consulta - Boletim (70)" description="Conexão com a consulta 'Boletim (70)' na pasta de trabalho." type="5" refreshedVersion="7" background="1" saveData="1">
    <dbPr connection="Provider=Microsoft.Mashup.OleDb.1;Data Source=$Workbook$;Location=&quot;Boletim (70)&quot;;Extended Properties=&quot;&quot;" command="SELECT * FROM [Boletim (70)]"/>
  </connection>
  <connection id="90" xr16:uid="{029E6678-63B8-40BA-B6DA-1BEDF43815F6}" keepAlive="1" name="Consulta - Boletim (71)" description="Conexão com a consulta 'Boletim (71)' na pasta de trabalho." type="5" refreshedVersion="7" background="1" saveData="1">
    <dbPr connection="Provider=Microsoft.Mashup.OleDb.1;Data Source=$Workbook$;Location=&quot;Boletim (71)&quot;;Extended Properties=&quot;&quot;" command="SELECT * FROM [Boletim (71)]"/>
  </connection>
  <connection id="91" xr16:uid="{9E7F170E-22A0-4CFB-8A72-7819CBB54405}" keepAlive="1" name="Consulta - Boletim (72)" description="Conexão com a consulta 'Boletim (72)' na pasta de trabalho." type="5" refreshedVersion="7" background="1" saveData="1">
    <dbPr connection="Provider=Microsoft.Mashup.OleDb.1;Data Source=$Workbook$;Location=&quot;Boletim (72)&quot;;Extended Properties=&quot;&quot;" command="SELECT * FROM [Boletim (72)]"/>
  </connection>
  <connection id="92" xr16:uid="{446C9761-8483-48F5-BE04-AEBEC9BC2559}" keepAlive="1" name="Consulta - Boletim (73)" description="Conexão com a consulta 'Boletim (73)' na pasta de trabalho." type="5" refreshedVersion="7" background="1" saveData="1">
    <dbPr connection="Provider=Microsoft.Mashup.OleDb.1;Data Source=$Workbook$;Location=&quot;Boletim (73)&quot;;Extended Properties=&quot;&quot;" command="SELECT * FROM [Boletim (73)]"/>
  </connection>
  <connection id="93" xr16:uid="{3E483729-1F70-4029-811D-8281D9472097}" keepAlive="1" name="Consulta - Boletim (74)" description="Conexão com a consulta 'Boletim (74)' na pasta de trabalho." type="5" refreshedVersion="7" background="1" saveData="1">
    <dbPr connection="Provider=Microsoft.Mashup.OleDb.1;Data Source=$Workbook$;Location=&quot;Boletim (74)&quot;;Extended Properties=&quot;&quot;" command="SELECT * FROM [Boletim (74)]"/>
  </connection>
  <connection id="94" xr16:uid="{0D05BF54-A31A-44A3-91A9-A5EE1B033363}" keepAlive="1" name="Consulta - Boletim (75)" description="Conexão com a consulta 'Boletim (75)' na pasta de trabalho." type="5" refreshedVersion="7" background="1" saveData="1">
    <dbPr connection="Provider=Microsoft.Mashup.OleDb.1;Data Source=$Workbook$;Location=&quot;Boletim (75)&quot;;Extended Properties=&quot;&quot;" command="SELECT * FROM [Boletim (75)]"/>
  </connection>
  <connection id="95" xr16:uid="{AA78AD46-447E-4D09-A37C-F843E37915C8}" keepAlive="1" name="Consulta - Boletim (76)" description="Conexão com a consulta 'Boletim (76)' na pasta de trabalho." type="5" refreshedVersion="7" background="1" saveData="1">
    <dbPr connection="Provider=Microsoft.Mashup.OleDb.1;Data Source=$Workbook$;Location=&quot;Boletim (76)&quot;;Extended Properties=&quot;&quot;" command="SELECT * FROM [Boletim (76)]"/>
  </connection>
  <connection id="96" xr16:uid="{E7D5F030-3353-486D-8686-21A583379995}" keepAlive="1" name="Consulta - Boletim (77)" description="Conexão com a consulta 'Boletim (77)' na pasta de trabalho." type="5" refreshedVersion="7" background="1" saveData="1">
    <dbPr connection="Provider=Microsoft.Mashup.OleDb.1;Data Source=$Workbook$;Location=&quot;Boletim (77)&quot;;Extended Properties=&quot;&quot;" command="SELECT * FROM [Boletim (77)]"/>
  </connection>
  <connection id="97" xr16:uid="{D21A6FB7-6428-4DC3-90E2-D516DE4F947A}" keepAlive="1" name="Consulta - Boletim (78)" description="Conexão com a consulta 'Boletim (78)' na pasta de trabalho." type="5" refreshedVersion="7" background="1" saveData="1">
    <dbPr connection="Provider=Microsoft.Mashup.OleDb.1;Data Source=$Workbook$;Location=&quot;Boletim (78)&quot;;Extended Properties=&quot;&quot;" command="SELECT * FROM [Boletim (78)]"/>
  </connection>
  <connection id="98" xr16:uid="{B1804904-ED33-4D2F-877D-96846CA6DEE8}" keepAlive="1" name="Consulta - Boletim (79)" description="Conexão com a consulta 'Boletim (79)' na pasta de trabalho." type="5" refreshedVersion="7" background="1" saveData="1">
    <dbPr connection="Provider=Microsoft.Mashup.OleDb.1;Data Source=$Workbook$;Location=&quot;Boletim (79)&quot;;Extended Properties=&quot;&quot;" command="SELECT * FROM [Boletim (79)]"/>
  </connection>
  <connection id="99" xr16:uid="{A42358F6-BAC8-431A-8160-023559F76211}" keepAlive="1" name="Consulta - Boletim (8)" description="Conexão com a consulta 'Boletim (8)' na pasta de trabalho." type="5" refreshedVersion="7" background="1" saveData="1">
    <dbPr connection="Provider=Microsoft.Mashup.OleDb.1;Data Source=$Workbook$;Location=&quot;Boletim (8)&quot;;Extended Properties=&quot;&quot;" command="SELECT * FROM [Boletim (8)]"/>
  </connection>
  <connection id="100" xr16:uid="{6571B710-C21F-4F4C-AD46-7C8E581548EC}" keepAlive="1" name="Consulta - Boletim (80)" description="Conexão com a consulta 'Boletim (80)' na pasta de trabalho." type="5" refreshedVersion="7" background="1" saveData="1">
    <dbPr connection="Provider=Microsoft.Mashup.OleDb.1;Data Source=$Workbook$;Location=&quot;Boletim (80)&quot;;Extended Properties=&quot;&quot;" command="SELECT * FROM [Boletim (80)]"/>
  </connection>
  <connection id="101" xr16:uid="{2E5AC06A-86F6-4841-BFBC-922D736E8B1D}" keepAlive="1" name="Consulta - Boletim (81)" description="Conexão com a consulta 'Boletim (81)' na pasta de trabalho." type="5" refreshedVersion="7" background="1" saveData="1">
    <dbPr connection="Provider=Microsoft.Mashup.OleDb.1;Data Source=$Workbook$;Location=&quot;Boletim (81)&quot;;Extended Properties=&quot;&quot;" command="SELECT * FROM [Boletim (81)]"/>
  </connection>
  <connection id="102" xr16:uid="{A4396E32-7578-4AFE-9046-894DD2003D70}" keepAlive="1" name="Consulta - Boletim (82)" description="Conexão com a consulta 'Boletim (82)' na pasta de trabalho." type="5" refreshedVersion="7" background="1" saveData="1">
    <dbPr connection="Provider=Microsoft.Mashup.OleDb.1;Data Source=$Workbook$;Location=&quot;Boletim (82)&quot;;Extended Properties=&quot;&quot;" command="SELECT * FROM [Boletim (82)]"/>
  </connection>
  <connection id="103" xr16:uid="{47EC179A-2DA2-497A-920A-99FFE6822E07}" keepAlive="1" name="Consulta - Boletim (83)" description="Conexão com a consulta 'Boletim (83)' na pasta de trabalho." type="5" refreshedVersion="7" background="1" saveData="1">
    <dbPr connection="Provider=Microsoft.Mashup.OleDb.1;Data Source=$Workbook$;Location=&quot;Boletim (83)&quot;;Extended Properties=&quot;&quot;" command="SELECT * FROM [Boletim (83)]"/>
  </connection>
  <connection id="104" xr16:uid="{78B2C53E-C5DF-415A-BA34-753E5BE7C770}" keepAlive="1" name="Consulta - Boletim (84)" description="Conexão com a consulta 'Boletim (84)' na pasta de trabalho." type="5" refreshedVersion="7" background="1" saveData="1">
    <dbPr connection="Provider=Microsoft.Mashup.OleDb.1;Data Source=$Workbook$;Location=&quot;Boletim (84)&quot;;Extended Properties=&quot;&quot;" command="SELECT * FROM [Boletim (84)]"/>
  </connection>
  <connection id="105" xr16:uid="{1E5C9848-9443-47E0-A0ED-2E31109B2B38}" keepAlive="1" name="Consulta - Boletim (85)" description="Conexão com a consulta 'Boletim (85)' na pasta de trabalho." type="5" refreshedVersion="7" background="1" saveData="1">
    <dbPr connection="Provider=Microsoft.Mashup.OleDb.1;Data Source=$Workbook$;Location=&quot;Boletim (85)&quot;;Extended Properties=&quot;&quot;" command="SELECT * FROM [Boletim (85)]"/>
  </connection>
  <connection id="106" xr16:uid="{47A72686-BFFF-4283-AE50-29964E940251}" keepAlive="1" name="Consulta - Boletim (86)" description="Conexão com a consulta 'Boletim (86)' na pasta de trabalho." type="5" refreshedVersion="7" background="1" saveData="1">
    <dbPr connection="Provider=Microsoft.Mashup.OleDb.1;Data Source=$Workbook$;Location=&quot;Boletim (86)&quot;;Extended Properties=&quot;&quot;" command="SELECT * FROM [Boletim (86)]"/>
  </connection>
  <connection id="107" xr16:uid="{2D7DE88C-FAD8-4316-BC5F-23AC4BC5E986}" keepAlive="1" name="Consulta - Boletim (87)" description="Conexão com a consulta 'Boletim (87)' na pasta de trabalho." type="5" refreshedVersion="7" background="1" saveData="1">
    <dbPr connection="Provider=Microsoft.Mashup.OleDb.1;Data Source=$Workbook$;Location=&quot;Boletim (87)&quot;;Extended Properties=&quot;&quot;" command="SELECT * FROM [Boletim (87)]"/>
  </connection>
  <connection id="108" xr16:uid="{EA364CD0-C424-420D-A3B5-AF5EE640AE21}" keepAlive="1" name="Consulta - Boletim (88)" description="Conexão com a consulta 'Boletim (88)' na pasta de trabalho." type="5" refreshedVersion="7" background="1" saveData="1">
    <dbPr connection="Provider=Microsoft.Mashup.OleDb.1;Data Source=$Workbook$;Location=&quot;Boletim (88)&quot;;Extended Properties=&quot;&quot;" command="SELECT * FROM [Boletim (88)]"/>
  </connection>
  <connection id="109" xr16:uid="{9339CC45-533C-41E2-8B69-D92F90C044CB}" keepAlive="1" name="Consulta - Boletim (89)" description="Conexão com a consulta 'Boletim (89)' na pasta de trabalho." type="5" refreshedVersion="7" background="1" saveData="1">
    <dbPr connection="Provider=Microsoft.Mashup.OleDb.1;Data Source=$Workbook$;Location=&quot;Boletim (89)&quot;;Extended Properties=&quot;&quot;" command="SELECT * FROM [Boletim (89)]"/>
  </connection>
  <connection id="110" xr16:uid="{7A16A40F-14A9-442A-9D58-A204D616CDF2}" keepAlive="1" name="Consulta - Boletim (9)" description="Conexão com a consulta 'Boletim (9)' na pasta de trabalho." type="5" refreshedVersion="7" background="1" saveData="1">
    <dbPr connection="Provider=Microsoft.Mashup.OleDb.1;Data Source=$Workbook$;Location=&quot;Boletim (9)&quot;;Extended Properties=&quot;&quot;" command="SELECT * FROM [Boletim (9)]"/>
  </connection>
  <connection id="111" xr16:uid="{2922BD85-6336-4E96-84C5-E94F702190FB}" keepAlive="1" name="Consulta - Boletim (90)" description="Conexão com a consulta 'Boletim (90)' na pasta de trabalho." type="5" refreshedVersion="7" background="1" saveData="1">
    <dbPr connection="Provider=Microsoft.Mashup.OleDb.1;Data Source=$Workbook$;Location=&quot;Boletim (90)&quot;;Extended Properties=&quot;&quot;" command="SELECT * FROM [Boletim (90)]"/>
  </connection>
  <connection id="112" xr16:uid="{E17DD643-DD19-4338-84CE-F9D78A02E57F}" keepAlive="1" name="Consulta - Boletim (91)" description="Conexão com a consulta 'Boletim (91)' na pasta de trabalho." type="5" refreshedVersion="7" background="1" saveData="1">
    <dbPr connection="Provider=Microsoft.Mashup.OleDb.1;Data Source=$Workbook$;Location=&quot;Boletim (91)&quot;;Extended Properties=&quot;&quot;" command="SELECT * FROM [Boletim (91)]"/>
  </connection>
  <connection id="113" xr16:uid="{160C871C-EFEC-44F1-A817-70B450703AFC}" keepAlive="1" name="Consulta - Boletim (92)" description="Conexão com a consulta 'Boletim (92)' na pasta de trabalho." type="5" refreshedVersion="7" background="1" saveData="1">
    <dbPr connection="Provider=Microsoft.Mashup.OleDb.1;Data Source=$Workbook$;Location=&quot;Boletim (92)&quot;;Extended Properties=&quot;&quot;" command="SELECT * FROM [Boletim (92)]"/>
  </connection>
  <connection id="114" xr16:uid="{285DC2A6-BB41-4B7B-9085-BB88792E345E}" keepAlive="1" name="Consulta - Boletim (93)" description="Conexão com a consulta 'Boletim (93)' na pasta de trabalho." type="5" refreshedVersion="7" background="1" saveData="1">
    <dbPr connection="Provider=Microsoft.Mashup.OleDb.1;Data Source=$Workbook$;Location=&quot;Boletim (93)&quot;;Extended Properties=&quot;&quot;" command="SELECT * FROM [Boletim (93)]"/>
  </connection>
  <connection id="115" xr16:uid="{099D0725-A2A5-4AD9-94F0-92F32A2C00EE}" keepAlive="1" name="Consulta - Boletim (94)" description="Conexão com a consulta 'Boletim (94)' na pasta de trabalho." type="5" refreshedVersion="7" background="1" saveData="1">
    <dbPr connection="Provider=Microsoft.Mashup.OleDb.1;Data Source=$Workbook$;Location=&quot;Boletim (94)&quot;;Extended Properties=&quot;&quot;" command="SELECT * FROM [Boletim (94)]"/>
  </connection>
  <connection id="116" xr16:uid="{739FC045-C396-4E9E-8A4C-ACEEDA78A677}" keepAlive="1" name="Consulta - Boletim (95)" description="Conexão com a consulta 'Boletim (95)' na pasta de trabalho." type="5" refreshedVersion="7" background="1" saveData="1">
    <dbPr connection="Provider=Microsoft.Mashup.OleDb.1;Data Source=$Workbook$;Location=&quot;Boletim (95)&quot;;Extended Properties=&quot;&quot;" command="SELECT * FROM [Boletim (95)]"/>
  </connection>
  <connection id="117" xr16:uid="{971799F7-17B2-44A9-8A9F-53C4AC7D7DB0}" keepAlive="1" name="Consulta - Boletim (96)" description="Conexão com a consulta 'Boletim (96)' na pasta de trabalho." type="5" refreshedVersion="7" background="1" saveData="1">
    <dbPr connection="Provider=Microsoft.Mashup.OleDb.1;Data Source=$Workbook$;Location=&quot;Boletim (96)&quot;;Extended Properties=&quot;&quot;" command="SELECT * FROM [Boletim (96)]"/>
  </connection>
  <connection id="118" xr16:uid="{7C47C7B0-3C70-4E34-9546-2872C06A4D6D}" keepAlive="1" name="Consulta - Boletim (97)" description="Conexão com a consulta 'Boletim (97)' na pasta de trabalho." type="5" refreshedVersion="7" background="1" saveData="1">
    <dbPr connection="Provider=Microsoft.Mashup.OleDb.1;Data Source=$Workbook$;Location=&quot;Boletim (97)&quot;;Extended Properties=&quot;&quot;" command="SELECT * FROM [Boletim (97)]"/>
  </connection>
  <connection id="119" xr16:uid="{81D932C7-3D06-4A40-962E-A3A1E09D7B81}" keepAlive="1" name="Consulta - Boletim (98)" description="Conexão com a consulta 'Boletim (98)' na pasta de trabalho." type="5" refreshedVersion="7" background="1" saveData="1">
    <dbPr connection="Provider=Microsoft.Mashup.OleDb.1;Data Source=$Workbook$;Location=&quot;Boletim (98)&quot;;Extended Properties=&quot;&quot;" command="SELECT * FROM [Boletim (98)]"/>
  </connection>
  <connection id="120" xr16:uid="{1E0725F9-528A-4C15-84FB-8C45760C1650}" keepAlive="1" name="Consulta - Boletim (99)" description="Conexão com a consulta 'Boletim (99)' na pasta de trabalho." type="5" refreshedVersion="7" background="1" saveData="1">
    <dbPr connection="Provider=Microsoft.Mashup.OleDb.1;Data Source=$Workbook$;Location=&quot;Boletim (99)&quot;;Extended Properties=&quot;&quot;" command="SELECT * FROM [Boletim (99)]"/>
  </connection>
  <connection id="121" xr16:uid="{8A0251EF-C686-4EF6-8758-E02A16DAF029}" keepAlive="1" name="Consulta - Erros em Boletim" description="Conexão com a consulta 'Erros em Boletim' na pasta de trabalho." type="5" refreshedVersion="0" background="1">
    <dbPr connection="Provider=Microsoft.Mashup.OleDb.1;Data Source=$Workbook$;Location=&quot;Erros em Boletim&quot;;Extended Properties=&quot;&quot;" command="SELECT * FROM [Erros em Boleti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<sst xmlns="http://schemas.openxmlformats.org/spreadsheetml/2006/main" count="24289" uniqueCount="3427">
  <si>
    <t>Palavras-Chave</t>
  </si>
  <si>
    <t>SBL</t>
  </si>
  <si>
    <t>BOMBEAMENTO</t>
  </si>
  <si>
    <t>BOOSTER</t>
  </si>
  <si>
    <t>DIP</t>
  </si>
  <si>
    <t>ELEVATORIA</t>
  </si>
  <si>
    <t>EM LINHA</t>
  </si>
  <si>
    <t>IN LINE</t>
  </si>
  <si>
    <t>INLINE</t>
  </si>
  <si>
    <t>DIAGNÓSTICO</t>
  </si>
  <si>
    <t>DIAGNOSTICO</t>
  </si>
  <si>
    <t>EFICIÊNCIA</t>
  </si>
  <si>
    <t>EFICIENCIA</t>
  </si>
  <si>
    <t>MEDIÇÃO</t>
  </si>
  <si>
    <t>RENDIMENTO</t>
  </si>
  <si>
    <t>TERMODIN</t>
  </si>
  <si>
    <t>APOIADO</t>
  </si>
  <si>
    <t>CILINDRICO</t>
  </si>
  <si>
    <t>ELEVADO</t>
  </si>
  <si>
    <t>INOX PARAFUSADO</t>
  </si>
  <si>
    <t>PARAFUSADO</t>
  </si>
  <si>
    <t>RESERVAT</t>
  </si>
  <si>
    <t>TAÇA</t>
  </si>
  <si>
    <t>TANQUE</t>
  </si>
  <si>
    <t>VITRIFICADO</t>
  </si>
  <si>
    <t>OZÔNIO</t>
  </si>
  <si>
    <t>OZONIO</t>
  </si>
  <si>
    <t>ABRACADEIRA</t>
  </si>
  <si>
    <t>ACOPLAMENTO</t>
  </si>
  <si>
    <t>BI PARTI</t>
  </si>
  <si>
    <t>BI-PARTI</t>
  </si>
  <si>
    <t>BIPARTI</t>
  </si>
  <si>
    <t>JUNTA</t>
  </si>
  <si>
    <t>OPEN FLEX</t>
  </si>
  <si>
    <t>UNIAO</t>
  </si>
  <si>
    <t>Número ConLicitação</t>
  </si>
  <si>
    <t>Órgão</t>
  </si>
  <si>
    <t>Cidade</t>
  </si>
  <si>
    <t>Estado</t>
  </si>
  <si>
    <t>Edital</t>
  </si>
  <si>
    <t>Situação</t>
  </si>
  <si>
    <t>Abertura</t>
  </si>
  <si>
    <t>Objeto</t>
  </si>
  <si>
    <t>Atualizada em</t>
  </si>
  <si>
    <t>Observação</t>
  </si>
  <si>
    <t>Palavra Chave</t>
  </si>
  <si>
    <t>INOX</t>
  </si>
  <si>
    <t>ELEVATÓRIA</t>
  </si>
  <si>
    <t>ELEVAT</t>
  </si>
  <si>
    <t>UNIÃO</t>
  </si>
  <si>
    <t>AM</t>
  </si>
  <si>
    <t>URGENTE</t>
  </si>
  <si>
    <t>Manaus</t>
  </si>
  <si>
    <t>Salvador</t>
  </si>
  <si>
    <t>BA</t>
  </si>
  <si>
    <t>COMPRAS ELETRÔNICAS</t>
  </si>
  <si>
    <t>Não informado</t>
  </si>
  <si>
    <t>Camaçari</t>
  </si>
  <si>
    <t>SENAI-Serviço Nacional de Aprendizagem Industrial - Departamento Regional da Bahia</t>
  </si>
  <si>
    <t>Fortaleza</t>
  </si>
  <si>
    <t>CE</t>
  </si>
  <si>
    <t>Brasília</t>
  </si>
  <si>
    <t>DF</t>
  </si>
  <si>
    <t>ES</t>
  </si>
  <si>
    <t>GO</t>
  </si>
  <si>
    <t>Belo Horizonte</t>
  </si>
  <si>
    <t>MG</t>
  </si>
  <si>
    <t>MS</t>
  </si>
  <si>
    <t>PA</t>
  </si>
  <si>
    <t>Recife</t>
  </si>
  <si>
    <t>PE</t>
  </si>
  <si>
    <t>PI</t>
  </si>
  <si>
    <t>PR</t>
  </si>
  <si>
    <t>Curitiba</t>
  </si>
  <si>
    <t>PETROBRÁS-Petróleo Brasileiro S/A</t>
  </si>
  <si>
    <t>Rio de Janeiro</t>
  </si>
  <si>
    <t>RJ</t>
  </si>
  <si>
    <t>RN</t>
  </si>
  <si>
    <t>RO</t>
  </si>
  <si>
    <t>Porto Alegre</t>
  </si>
  <si>
    <t>RS</t>
  </si>
  <si>
    <t>SC</t>
  </si>
  <si>
    <t>SP</t>
  </si>
  <si>
    <t>São Paulo</t>
  </si>
  <si>
    <t>TO</t>
  </si>
  <si>
    <t>NOVA</t>
  </si>
  <si>
    <t>AL</t>
  </si>
  <si>
    <t>Maceió</t>
  </si>
  <si>
    <t>Vitória</t>
  </si>
  <si>
    <t>MA</t>
  </si>
  <si>
    <t/>
  </si>
  <si>
    <t>MT</t>
  </si>
  <si>
    <t>PB</t>
  </si>
  <si>
    <t>SE</t>
  </si>
  <si>
    <t>RETIFICAÇÃO</t>
  </si>
  <si>
    <t>PRORROGADA</t>
  </si>
  <si>
    <t>REABERTURA</t>
  </si>
  <si>
    <t>SUSPENSA</t>
  </si>
  <si>
    <t>REVOGADA</t>
  </si>
  <si>
    <t xml:space="preserve">COPASA-Companhia de Saneamento de Minas Gerais </t>
  </si>
  <si>
    <t>João Pessoa</t>
  </si>
  <si>
    <t>Goiânia</t>
  </si>
  <si>
    <t>Natal</t>
  </si>
  <si>
    <t>abraçadeira</t>
  </si>
  <si>
    <t>Florianópolis</t>
  </si>
  <si>
    <t>DL/2/2026</t>
  </si>
  <si>
    <t>PE/3/2026</t>
  </si>
  <si>
    <t>PE/2/2026</t>
  </si>
  <si>
    <t>CR/1/2026</t>
  </si>
  <si>
    <t>PE/1/2026</t>
  </si>
  <si>
    <t>DL/1/2026</t>
  </si>
  <si>
    <t>Cuiabá</t>
  </si>
  <si>
    <t>PE/90001/2026</t>
  </si>
  <si>
    <t>CR/3/2026</t>
  </si>
  <si>
    <t>CR/2/2026</t>
  </si>
  <si>
    <t>PE/4/2026</t>
  </si>
  <si>
    <t>DL/SN</t>
  </si>
  <si>
    <t>PE/5/2026</t>
  </si>
  <si>
    <t>DL/3/2026</t>
  </si>
  <si>
    <t>DL/6/2026</t>
  </si>
  <si>
    <t>PE/6/2026</t>
  </si>
  <si>
    <t>PE/7/2026</t>
  </si>
  <si>
    <t>PE/8/2026</t>
  </si>
  <si>
    <t>Campo Grande</t>
  </si>
  <si>
    <t>PE/10/2026</t>
  </si>
  <si>
    <t>DL/7/2026</t>
  </si>
  <si>
    <t>PE/11/2026</t>
  </si>
  <si>
    <t>CR/4/2026</t>
  </si>
  <si>
    <t>PE/12/2026</t>
  </si>
  <si>
    <t>DL/5/2026</t>
  </si>
  <si>
    <t>Belém</t>
  </si>
  <si>
    <t>www.copasa.com.br link: Licitações e Contratos/Licitação.
 - Licitação sujeita a confirmação pois não foi informado que trata-se de prorrogação.</t>
  </si>
  <si>
    <t>www.copasa.com.br link: Licitações e Contratos/Licitação.</t>
  </si>
  <si>
    <t>Teresina</t>
  </si>
  <si>
    <t>PE/13/2026</t>
  </si>
  <si>
    <t>PE/9/2026</t>
  </si>
  <si>
    <t>Porto Velho</t>
  </si>
  <si>
    <t>DL/12/2026</t>
  </si>
  <si>
    <t xml:space="preserve">
 - Licitação sujeita a confirmação pois não foi informado que trata-se de prorrogação.</t>
  </si>
  <si>
    <t>DL/10/2026</t>
  </si>
  <si>
    <t>PE/90006/2026</t>
  </si>
  <si>
    <t>DL/9/2026</t>
  </si>
  <si>
    <t>PE/16/2026</t>
  </si>
  <si>
    <t>PE/15/2026</t>
  </si>
  <si>
    <t>AC</t>
  </si>
  <si>
    <t>DL/4/2026</t>
  </si>
  <si>
    <t>PE/14/2026</t>
  </si>
  <si>
    <t>DL/8/2026</t>
  </si>
  <si>
    <t>CR/5/2026</t>
  </si>
  <si>
    <t>CR/6/2026</t>
  </si>
  <si>
    <t>Serviço Nacional de Aprendizagem Industrial -  SENAI CIMATEC Park</t>
  </si>
  <si>
    <t>Governo do Estado do Ceará</t>
  </si>
  <si>
    <t>PE/90005/2026</t>
  </si>
  <si>
    <t>SESI-Serviço Social da Indústria</t>
  </si>
  <si>
    <t>Ribeirão Preto</t>
  </si>
  <si>
    <t>PE/17/2026</t>
  </si>
  <si>
    <t>SANEPAR-Companhia de Saneamento do Paraná</t>
  </si>
  <si>
    <t>PE/90002/2026</t>
  </si>
  <si>
    <t>SM/1/2026</t>
  </si>
  <si>
    <t>São Luís</t>
  </si>
  <si>
    <t>Aracaju</t>
  </si>
  <si>
    <t>DL/13/2026</t>
  </si>
  <si>
    <t>Rio Branco</t>
  </si>
  <si>
    <t>EMBASA-Empresa Baiana de Águas e Saneamento S/A</t>
  </si>
  <si>
    <t>Campinas</t>
  </si>
  <si>
    <t>PE/18/2026</t>
  </si>
  <si>
    <t>PE/19/2026</t>
  </si>
  <si>
    <t>ADIADA</t>
  </si>
  <si>
    <t>SUSPENSA SINE DIE</t>
  </si>
  <si>
    <t>*</t>
  </si>
  <si>
    <t>CASAN-Companhia Catarinense de Águas e Saneamento</t>
  </si>
  <si>
    <t>SM/2/2026</t>
  </si>
  <si>
    <t>PE/24/2026</t>
  </si>
  <si>
    <t>CP/SN</t>
  </si>
  <si>
    <t>PR/7/2026</t>
  </si>
  <si>
    <t>Secretaria Estadual da Administração</t>
  </si>
  <si>
    <t>PE/90020/2026</t>
  </si>
  <si>
    <t>Petrobrás Transporte S/A - TRANSPETRO</t>
  </si>
  <si>
    <t>PE/90013/2026</t>
  </si>
  <si>
    <t xml:space="preserve"> - Licitação sujeita a confirmação pois não foi informado que trata-se de prorrogação.</t>
  </si>
  <si>
    <t>DL/11/2026</t>
  </si>
  <si>
    <t>Prefeitura Municipal de Assis</t>
  </si>
  <si>
    <t>Assis</t>
  </si>
  <si>
    <t>Jequié</t>
  </si>
  <si>
    <t>PE/90003/2026</t>
  </si>
  <si>
    <t>Prefeitura Municipal de São José do Cerrito</t>
  </si>
  <si>
    <t>São José do Cerrito</t>
  </si>
  <si>
    <t>ALTERADA</t>
  </si>
  <si>
    <t>NÃO INFORMADO</t>
  </si>
  <si>
    <t>DL/57/2026</t>
  </si>
  <si>
    <t xml:space="preserve"> </t>
  </si>
  <si>
    <t>SESI - Serviço Social da Indústria</t>
  </si>
  <si>
    <t>PE/27/2026</t>
  </si>
  <si>
    <t>CECOM-Central de Compras do Estado</t>
  </si>
  <si>
    <t>FIEC - Federação das Industrias do Estado do Ceará</t>
  </si>
  <si>
    <t>Niterói</t>
  </si>
  <si>
    <t>DL/20/2026</t>
  </si>
  <si>
    <t>DL/32/2026</t>
  </si>
  <si>
    <t>DL/15/2026</t>
  </si>
  <si>
    <t>Joinville</t>
  </si>
  <si>
    <t>Montes Claros</t>
  </si>
  <si>
    <t>Prefeitura Municipal de Braço do Trombudo</t>
  </si>
  <si>
    <t>Braço do Trombudo</t>
  </si>
  <si>
    <t>Prefeitura Municipal de Quirinópolis</t>
  </si>
  <si>
    <t>Quirinópolis</t>
  </si>
  <si>
    <t>CR/7/2026</t>
  </si>
  <si>
    <t>Ponta Grossa</t>
  </si>
  <si>
    <t>CR/9/2026</t>
  </si>
  <si>
    <t>Fundo Municipal de Assistência Social de Bela Vista do Toldo</t>
  </si>
  <si>
    <t>Bela Vista do Toldo</t>
  </si>
  <si>
    <t>CONTRATAÇÃO DE EMPRESA ESPECIALIZADA PARA CONSTRUÇÃO DE 12 DOZE UNIDADES HABITACIONAIS UNIFAMILIARES, CADA UMA COM ÁREA DE 56,56 M², NO ÂMBITO DO PROGRAMA ESTADUAL CASA CATARINA, DESTINADAS À POPULAÇÃO DE BAIXA RENDA DO MUNICIPIO DE BELA VISTA DO TOLDO/SC, INCLUINDO MATERIAIS, MÃO DE OBRA, EQUIPAMENTOS E DEMAIS INSUMOS NECESSÁRIOS.</t>
  </si>
  <si>
    <t>Entidade: FUNDO MUN. DE ASSIST. SOC. BELA VISTA DO TOLDO
Modalidade: Concorrência eletrônica
Forma de julgamento: MENOR PREÇO.
Email contato: social@pmbvt.sc.gov.br
Situação: AGUARDANDO ABERTURA</t>
  </si>
  <si>
    <t>PE/22/2026</t>
  </si>
  <si>
    <t>Anápolis</t>
  </si>
  <si>
    <t>Fundo Municipal de Saúde de Chapadão do Céu</t>
  </si>
  <si>
    <t>Chapadão do Céu</t>
  </si>
  <si>
    <t>DL/19/2026</t>
  </si>
  <si>
    <t>SENAI-Serviço Nacional de Aprendizagem Industrial</t>
  </si>
  <si>
    <t>FAEPA-Fundação de Apoio ao Ensino, Pesquisa e Assistência do Hospital das Clínicas de Ribeirão Preto</t>
  </si>
  <si>
    <t>** Confirmar prazo na Unidade Licitante, pois não foi informado pela Fonte Oficial **</t>
  </si>
  <si>
    <t>DL/26/2026</t>
  </si>
  <si>
    <t>CR/90003/2026</t>
  </si>
  <si>
    <t>PE/90004/2026</t>
  </si>
  <si>
    <t>PE/26/2026</t>
  </si>
  <si>
    <t>PE/90015/2026</t>
  </si>
  <si>
    <t>Resende</t>
  </si>
  <si>
    <t>Hospital Geral Ernesto Simões Filho</t>
  </si>
  <si>
    <t>Rondonópolis</t>
  </si>
  <si>
    <t>Atibaia</t>
  </si>
  <si>
    <t>Prefeitura Municipal da Estância de Atibaia</t>
  </si>
  <si>
    <t>PE/90014/2026</t>
  </si>
  <si>
    <t>Barbacena</t>
  </si>
  <si>
    <t>PE/90007/2026</t>
  </si>
  <si>
    <t>Sete Lagoas</t>
  </si>
  <si>
    <t>SANEAR - Serviço de Saneamento Ambiental de Rondonópolis</t>
  </si>
  <si>
    <t>Prefeitura Municipal de Francisco Alves</t>
  </si>
  <si>
    <t>Francisco Alves</t>
  </si>
  <si>
    <t>Foz do Iguaçu</t>
  </si>
  <si>
    <t>PE/90009/2026</t>
  </si>
  <si>
    <t>Prefeitura Municipal de Campo Largo</t>
  </si>
  <si>
    <t>Campo Largo</t>
  </si>
  <si>
    <t>Prefeitura Municipal do Rio de Janeiro</t>
  </si>
  <si>
    <t>Americana</t>
  </si>
  <si>
    <t>Itaparica</t>
  </si>
  <si>
    <t>DL/14/2026</t>
  </si>
  <si>
    <t>Balneário Camboriú</t>
  </si>
  <si>
    <t>DL/64/2026</t>
  </si>
  <si>
    <t>PE/53/2026</t>
  </si>
  <si>
    <t>CEMIG Geração e Transmissão S.A.</t>
  </si>
  <si>
    <t>SM/14/2026</t>
  </si>
  <si>
    <t>CAGEPA-Companhia de Água e Esgotos da Paraíba</t>
  </si>
  <si>
    <t>Sobral</t>
  </si>
  <si>
    <t>São Benedito</t>
  </si>
  <si>
    <t>Iguatu</t>
  </si>
  <si>
    <t>Viçosa</t>
  </si>
  <si>
    <t>DL/186/2026</t>
  </si>
  <si>
    <t>FIRJAN - Federação das Industrias do Estado do Rio de Janeiro</t>
  </si>
  <si>
    <t>Santa Cruz do Sul</t>
  </si>
  <si>
    <t>Jaú</t>
  </si>
  <si>
    <t>METRÔ-Companhia do Metropolitano de São Paulo</t>
  </si>
  <si>
    <t>DL/37/2026</t>
  </si>
  <si>
    <t>SAEP-Serviço de Água e Esgoto de Pirassununga</t>
  </si>
  <si>
    <t>Pirassununga</t>
  </si>
  <si>
    <t>DL/24/2026</t>
  </si>
  <si>
    <t>DL/22/2026</t>
  </si>
  <si>
    <t>PE/28/2026</t>
  </si>
  <si>
    <t>Prefeitura Municipal de São Luís</t>
  </si>
  <si>
    <t>CR/90006/2026</t>
  </si>
  <si>
    <t>PE/90011/2026</t>
  </si>
  <si>
    <t>Nova Mutum</t>
  </si>
  <si>
    <t>PE/90010/2026</t>
  </si>
  <si>
    <t>JUSTIÇA FEDERAL DE 1ª INSTÂNCIA</t>
  </si>
  <si>
    <t>Prefeitura Municipal de Toledo</t>
  </si>
  <si>
    <t>Toledo</t>
  </si>
  <si>
    <t>PE/31/2026</t>
  </si>
  <si>
    <t>Fundação Norte-Rio-Grandense de Pesquisa e Cultura - FUNPEC</t>
  </si>
  <si>
    <t>Casa Civil</t>
  </si>
  <si>
    <t>Santa Rosa</t>
  </si>
  <si>
    <t>Superintendência dos Serviços Penitenciários</t>
  </si>
  <si>
    <t>DL/185/2026</t>
  </si>
  <si>
    <t>Prefeitura Municipal de Bagé</t>
  </si>
  <si>
    <t>Bagé</t>
  </si>
  <si>
    <t>GOVERNO DO ESTADO DE SERGIPE - Secretaria de Administração</t>
  </si>
  <si>
    <t>Aparecida</t>
  </si>
  <si>
    <t>PE/90018/2026</t>
  </si>
  <si>
    <t>Araras</t>
  </si>
  <si>
    <t>PE/90008/2026</t>
  </si>
  <si>
    <t>SAAE-Serviço Autônomo de Água e Esgotos de Garça</t>
  </si>
  <si>
    <t>Garça</t>
  </si>
  <si>
    <t>SANASA-Sociedade de Abastecimento de Água e Saneamento S/A</t>
  </si>
  <si>
    <t>Prefeitura Municipal de Aparecida</t>
  </si>
  <si>
    <t>Prefeitura Municipal de Lages</t>
  </si>
  <si>
    <t>Lages</t>
  </si>
  <si>
    <t>SESC - Casa do Comércio</t>
  </si>
  <si>
    <t>RR</t>
  </si>
  <si>
    <t>ANULADA</t>
  </si>
  <si>
    <t>EDITAL</t>
  </si>
  <si>
    <t>FIEB-Federação das Indústrias do Estado da Bahia</t>
  </si>
  <si>
    <t>Fundação de Apoio à Universidade Federal de Lavras - UFLA</t>
  </si>
  <si>
    <t>Lavras</t>
  </si>
  <si>
    <t>SENAI - Serviço Nacional de Aprendizagem Industrial</t>
  </si>
  <si>
    <t>SM/3/2026</t>
  </si>
  <si>
    <t>Agência Brasileira de Apoio à Gestão do SUS</t>
  </si>
  <si>
    <t>Capinzal</t>
  </si>
  <si>
    <t>DL/36/2026</t>
  </si>
  <si>
    <t>Fundação de Apoio ao Ensino, Pesquisa, Extensão e Interiorização do IFAM- FAEPI</t>
  </si>
  <si>
    <t>SM/230/2026</t>
  </si>
  <si>
    <t>Produto/Serviço Quant. Unidade
Produto/Serviço: Canela para motor YAMAHA 30Hmhs
Descrição: Canela do motor caixa superior para motor Yamaha 30 Hmhs, 2 tempos moderno ou equivalente 1 Unidade</t>
  </si>
  <si>
    <t>UNEB-Universidade do Estado da Bahia</t>
  </si>
  <si>
    <t>DL/18/2026</t>
  </si>
  <si>
    <t>Aquisição de elementos de fixação para montagem dos subsistemas do protótipo do projeto BRAVE MEC. * https://compras.fieb.org.br *</t>
  </si>
  <si>
    <t>Teixeira de Freitas</t>
  </si>
  <si>
    <t>Aquisição dos componentes comerciais e personalizados para a montagem do circuito hidráulico de um protótipo de implemento agrícola * https://compras.fieb.org.br *</t>
  </si>
  <si>
    <t>Juazeiro</t>
  </si>
  <si>
    <t>Defensoria Pública do Estado</t>
  </si>
  <si>
    <t>Paulo Afonso</t>
  </si>
  <si>
    <t>Secretaria da Saude - Fundo Estadual de Saúde - Hospital Geral Santa Tereza</t>
  </si>
  <si>
    <t>Ribeira do Pombal</t>
  </si>
  <si>
    <t>Secretaria Estadual da Saude - Diretoria Geral</t>
  </si>
  <si>
    <t>Crato</t>
  </si>
  <si>
    <t>Juazeiro do Norte</t>
  </si>
  <si>
    <t>Secretaria Estadual de Educação Básica - E.E.F.M - ARQUITETO ROGERIO FROES</t>
  </si>
  <si>
    <t>ISGH - Instituto de Saúde e Gestão Hospitalar</t>
  </si>
  <si>
    <t xml:space="preserve">Secretaria Estadual de Educação Básica - E.E.E.P - ISAIAS GONÇALVES DAMASCENO </t>
  </si>
  <si>
    <t>SM/44/2026</t>
  </si>
  <si>
    <t>FUNEV – Hospital Estadual de São Luiz de Montes Belos Dr. Geraldo Landó</t>
  </si>
  <si>
    <t>Turvânia</t>
  </si>
  <si>
    <t>Prefeitura Municipal de Turvânia</t>
  </si>
  <si>
    <t>Itajubá</t>
  </si>
  <si>
    <t>DL/39/2026</t>
  </si>
  <si>
    <t>DL/31/2026</t>
  </si>
  <si>
    <t>Prefeitura Municipal do Recife - Comissão Central de Licitação</t>
  </si>
  <si>
    <t>DL/155/2026</t>
  </si>
  <si>
    <t>SM/7004572804</t>
  </si>
  <si>
    <t>* Licitação Eletrônica * Transmissor de vazão DN 2 - 60 POL Faixa Multifaixas, conforme as especificações deste Edital e de seus adendos</t>
  </si>
  <si>
    <t>DL/61/2026</t>
  </si>
  <si>
    <t>São Gonçalo do Amarante</t>
  </si>
  <si>
    <t>SM/6/2026</t>
  </si>
  <si>
    <t>AQUISIÇÃO DE BENS DAS FAMÍLIAS:
0450-FERRAGENS/ABRASIVOS;0465-EQUIPAMENTOS/MATERIAIS P/CONSTRUCAO CIVIL;</t>
  </si>
  <si>
    <t>Brigada Militar - Comando de Policiamento Fronteira Noroeste</t>
  </si>
  <si>
    <t>AQUISIÇÃO DE BENS DAS FAMÍLIAS:
0465-EQUIPAMENTOS/MATERIAIS P/CONSTRUCAO CIVIL;</t>
  </si>
  <si>
    <t>DL/129/2026</t>
  </si>
  <si>
    <t>DL/17/2026</t>
  </si>
  <si>
    <t>Prefeitura Municipal de Jacareí</t>
  </si>
  <si>
    <t>Jacareí</t>
  </si>
  <si>
    <t>Prefeitura Municipal de Pindamonhangaba</t>
  </si>
  <si>
    <t>Pindamonhangaba</t>
  </si>
  <si>
    <t>DL/49/2026</t>
  </si>
  <si>
    <t>Jundiaí</t>
  </si>
  <si>
    <t>DL/112/2026</t>
  </si>
  <si>
    <t>Comando da Marinha  - Centro de Intendência Tecnológico da Marinha em São Paulo</t>
  </si>
  <si>
    <t>DL/56/2026</t>
  </si>
  <si>
    <t>SM/23/2026</t>
  </si>
  <si>
    <t>* Licitação Eletrônica * Aquisição de Válvula Esfera</t>
  </si>
  <si>
    <t>Prefeitura Municipal de Itamaraju</t>
  </si>
  <si>
    <t>Itamaraju</t>
  </si>
  <si>
    <t>Aquiraz</t>
  </si>
  <si>
    <t>Prefeitura Municipal de Cariacica</t>
  </si>
  <si>
    <t>Cariacica</t>
  </si>
  <si>
    <t>DL/44/2026</t>
  </si>
  <si>
    <t>Curvelo</t>
  </si>
  <si>
    <t>Serviço Autônomo de Água e Esgoto de Formiga</t>
  </si>
  <si>
    <t>Formiga</t>
  </si>
  <si>
    <t>MINISTÉRIO DA DEFESA - Comando do Exército - Comando Militar do Leste - 4ª Região Militar/4ª Divisão de Exército - 4ºBatalhão de Engenharia de Combate</t>
  </si>
  <si>
    <t>Prefeitura Municipal de Juatuba</t>
  </si>
  <si>
    <t>Juatuba</t>
  </si>
  <si>
    <t>PR/12/2026</t>
  </si>
  <si>
    <t>Prefeitura Municipal de Central de Minas</t>
  </si>
  <si>
    <t>Central de Minas</t>
  </si>
  <si>
    <t>Prefeitura Municipal de Guaxupé</t>
  </si>
  <si>
    <t>Guaxupé</t>
  </si>
  <si>
    <t>SAS - Serviço de Água e Saneamento de Barbacena</t>
  </si>
  <si>
    <t>PR/5/2026</t>
  </si>
  <si>
    <t>Prefeitura Municipal de Sete Lagoas</t>
  </si>
  <si>
    <t>PE/120/2026</t>
  </si>
  <si>
    <t>Prefeitura Municipal de Batayporã</t>
  </si>
  <si>
    <t>Batayporã</t>
  </si>
  <si>
    <t>PE/29/2026</t>
  </si>
  <si>
    <t>São Lourenço da Mata</t>
  </si>
  <si>
    <t>Prefeitura Municipal de Padre Marcos</t>
  </si>
  <si>
    <t>Padre Marcos</t>
  </si>
  <si>
    <t>PE/25/2026</t>
  </si>
  <si>
    <t>Prefeitura Municipal de Coronel Vivida</t>
  </si>
  <si>
    <t>Coronel Vivida</t>
  </si>
  <si>
    <t>Prefeitura Municipal de Ponta Grossa</t>
  </si>
  <si>
    <t>Cascavel</t>
  </si>
  <si>
    <t>PE/80/2026</t>
  </si>
  <si>
    <t>SM/29/2026</t>
  </si>
  <si>
    <t>SM/55/2026</t>
  </si>
  <si>
    <t>SM/106/2026</t>
  </si>
  <si>
    <t>Angra dos Reis</t>
  </si>
  <si>
    <t>Teresópolis</t>
  </si>
  <si>
    <t>PE/90023/2026</t>
  </si>
  <si>
    <t>São Vicente</t>
  </si>
  <si>
    <t>PE/90027/2026</t>
  </si>
  <si>
    <t>Prefeitura Municipal de Santa Cruz do Sul</t>
  </si>
  <si>
    <t>Prefeitura Municipal de Lavras do Sul</t>
  </si>
  <si>
    <t>Lavras do Sul</t>
  </si>
  <si>
    <t>Prefeitura Municipal de Esteio</t>
  </si>
  <si>
    <t>Esteio</t>
  </si>
  <si>
    <t>Prefeitura Municipal de Jaraguá do Sul</t>
  </si>
  <si>
    <t>Jaraguá do Sul</t>
  </si>
  <si>
    <t>PE/36/2026</t>
  </si>
  <si>
    <t>Porto Belo</t>
  </si>
  <si>
    <t>PE/72/2026</t>
  </si>
  <si>
    <t>Treviso</t>
  </si>
  <si>
    <t>CR/50/2026</t>
  </si>
  <si>
    <t>PE/49/2026</t>
  </si>
  <si>
    <t>Companhia Águas de Joinville</t>
  </si>
  <si>
    <t>Prefeitura Municipal de Osvaldo Cruz</t>
  </si>
  <si>
    <t>Osvaldo Cruz</t>
  </si>
  <si>
    <t>Prefeitura Municipal de Franca</t>
  </si>
  <si>
    <t>Franca</t>
  </si>
  <si>
    <t>Taubaté</t>
  </si>
  <si>
    <t>Prefeitura Municipal de São José do Rio Preto</t>
  </si>
  <si>
    <t>São José do Rio Preto</t>
  </si>
  <si>
    <t>IPSEMG-Instituto de Previdência dos Servidores do Estado de Minas Gerais</t>
  </si>
  <si>
    <t>Prefeitura Municipal de Santa Margarida</t>
  </si>
  <si>
    <t>Santa Margarida</t>
  </si>
  <si>
    <t>Contratação de pessoa jurídica especializada na execução de obras de engenharia, destinadas à reforma dos banheiros públicos localizados nas Praças Celestino Pereira Lima e Cônego Arnaldo, no Centro do Município de Santa Margarida/MG, incluindo, exclusivamente em relação ao último local, a ampliação da área com a construção de pergolado e lavabo, em regime de empreitada por preço global, abrangendo o fornecimento de mão de obra, materiais, equipamentos, ferramentas e demais insumos necessários à perfeita execução do objeto, em conformidade com os projetos, memoriais descritivos, planilhas orçamentárias e demais documentos técnicos integrantes do processo, conforme especificações contidas nos projetos e demais documentos que integram o presente Edital de Licitação. * https://licitar.digital *</t>
  </si>
  <si>
    <t>Id: 93940
Unidade licitante: Prefeitura Municipal de Santa Margarida - UNIDADE UNICA
Plataforma: licitardigital
 - Licitação sujeita a confirmação pois não foi informado que trata-se de prorrogação.</t>
  </si>
  <si>
    <t>Prefeitura Municipal de Assis Chateaubriand</t>
  </si>
  <si>
    <t>Assis Chateaubriand</t>
  </si>
  <si>
    <t>Itaipu Binacional</t>
  </si>
  <si>
    <t>Prefeitura Municipal de Nova Londrina</t>
  </si>
  <si>
    <t>Nova Londrina</t>
  </si>
  <si>
    <t>PR/3/2026</t>
  </si>
  <si>
    <t>Prefeitura Municipal de Otacílio Costa</t>
  </si>
  <si>
    <t>Otacílio Costa</t>
  </si>
  <si>
    <t>Seleção de Fornecedores
A FAEPI recebe as entregas de segunda a sexta-feira nos horários de 08 às 17 hs.
Outras Compras
 - Licitação sujeita a confirmação pois não foi informado que trata-se de prorrogação.</t>
  </si>
  <si>
    <t>Brumado</t>
  </si>
  <si>
    <t>SENAI-Serviço Nacional de Aprendizagem Industrial - Depart. Reg. da Bahia - Unidade de Dendezeiros</t>
  </si>
  <si>
    <t>CONTRATAÇÃO NA MODALIDADE SEM DISPUTA Aquisição de materiais metálicos destinados à realização das aulas práticas do curso de Soldador por Eletrodo Revestido de Estruturas e Tubulações, bem como para utilização nas atividades práticas da unidade curricular de Fundamentos de Soldagem SENAI DENDEZEIROS * https://compras.fieb.org.br *</t>
  </si>
  <si>
    <t>Prefeitura Municipal de Santa Bárbara</t>
  </si>
  <si>
    <t>Santa Bárbara</t>
  </si>
  <si>
    <t>CE/4/2025</t>
  </si>
  <si>
    <t>Fundação Christiano Ottoni</t>
  </si>
  <si>
    <t xml:space="preserve">Belo Horizonte </t>
  </si>
  <si>
    <t>Cotação compra direta
A Fundação Christiano Ottoni recebe as entregas de segunda à sexta-feira nos horários de 8:00 às 12:00 e de 13:00 às 17:00 hs.
Equipamentos para Laboratório</t>
  </si>
  <si>
    <t>Prefeitura Municipal de Rondonópolis</t>
  </si>
  <si>
    <t>Barra do Piraí</t>
  </si>
  <si>
    <t>Ji-Paraná</t>
  </si>
  <si>
    <t>São Borja</t>
  </si>
  <si>
    <t>DL/211/2026</t>
  </si>
  <si>
    <t>DL/35/2026</t>
  </si>
  <si>
    <t>Prefeitura Municipal de Limeira</t>
  </si>
  <si>
    <t>Limeira</t>
  </si>
  <si>
    <t>Prefeitura Municipal de Catanduva</t>
  </si>
  <si>
    <t>Catanduva</t>
  </si>
  <si>
    <t>Prefeitura Municipal de Jaú</t>
  </si>
  <si>
    <t>SAAE-Serviço Autônomo de Água e Esgoto de Barretos</t>
  </si>
  <si>
    <t>Barretos</t>
  </si>
  <si>
    <t>SESC-Serviço Social do Comércio - Administração Regional de Góias</t>
  </si>
  <si>
    <t>PR/13/2026</t>
  </si>
  <si>
    <t>SM/16/2026</t>
  </si>
  <si>
    <t>Comando da Aeronáutica - Comissão Aeronáutica Brasileira em Washington</t>
  </si>
  <si>
    <t>PE/50/2026</t>
  </si>
  <si>
    <t>Prefeitura Municipal de Cascavel</t>
  </si>
  <si>
    <t>Prefeitura Municipal de Cruzília</t>
  </si>
  <si>
    <t>Cruzília</t>
  </si>
  <si>
    <t xml:space="preserve"> Constitui objeto da presente licitação a contratação de empresa especializada em serviços de construção civil destinada à execução de obra para edificação da estrutura física do transbordo de resíduos sólidos urbanos RSU, provenientes da coleta domiciliar e comercial. Em atendimento a Secretaria Municipal de Meio Ambiente, Desenvolvimento Econômico, Industrial e Agropecuário. Recurso: c/c: 20.287-8. Em atendimento a Secretaria Municipal de Meio Ambiente, Desenvolvimento Econômico, Industrial e Agropecuário.</t>
  </si>
  <si>
    <t>PE/30/2026</t>
  </si>
  <si>
    <t>Prefeitura Municipal de Ortigueira</t>
  </si>
  <si>
    <t>Ortigueira</t>
  </si>
  <si>
    <t>Osório</t>
  </si>
  <si>
    <t>DL/81/2026</t>
  </si>
  <si>
    <t>Produto/Serviço Quant. Unidade
Produto/Serviço: Colmeia de abelhas sem ferrão com abelhas.
Descrição: Colmeia de abelhas sem ferrão com abelhas Este item referese uma colmeia contendo uma colônia de abelhas sem ferrão da espécie Scaptotrigona polysticta canudo preta Colmeia modelo INPA, de madeira, constituida por 3 módulos ninho,sonbreninho e melgueira de dimensões internas 20 cm de largura X 20 cm de comprimento X 8 cm de altura 16 Unidade
Produto/Serviço: Colmeia de abelhas sem ferrão com abelhas
Descrição: Colmeia de abelhas sem ferrão com abelhas Este item referese uma colmeia contendo uma colônia de abelhas sem ferrão da espécie Melipona paraensis uruçu boca de ralo Colmeia modelo INPA, de madeira, constituida por 3 módulos ninho, sonbreninho e melgueira de dimensões internas 20 cm de largura X 20 cm de comprimento X 8 cm de altura 4 Unidade
Produto/Serviço: Colmeia de abelhas sem ferrão.
Descrição: Colmeia de abelhas sem ferrão Este item refere se a colmeia para abelhas sem ferrão Modelo INPA, de madeira, constituida por 3 módulos ninho, sonbreninho e melgueira de dimensões internas 20 cm de largura X 20 cm de comprimento X 8 cm de altura 20 Unidade</t>
  </si>
  <si>
    <t>Compra Direta
A FAEPI recebe as entregas de segunda a sexta-feira nos horários de 08 às 17 hs.
Contratação de Outros Serviços
 - Licitação sujeita a confirmação pois não foi informado que trata-se de prorrogação.</t>
  </si>
  <si>
    <t>MINISTÉRIO DA DEFESA - Comando do Exército - Comando Militar da Amazônia - 1ªBrigada de Infantaria de Selva - 1ºBatalhão de Infantaria de Selva</t>
  </si>
  <si>
    <t>* Licitação Eletrônica * Aquisição de materiais para reforma do telhado da Seção de Fiscalização de Produtos Controlado SFPC do 1 BIS Amv * https://pncp.gov.br *</t>
  </si>
  <si>
    <t>Unidade compradora: 160006 - COMANDO DO EXERCITO - 1 BATALHAO DE INFANTARIA DE SELVA/AM
Local: Manaus/AM
Órgão: COMANDO DO EXERCITO
Id contratação PNCP: 00394452000103-1-007181/2026
Fonte: Compras.gov.br
 - Dispensa</t>
  </si>
  <si>
    <t>SM/7004583076</t>
  </si>
  <si>
    <t>* Licitação Eletrônica * Aquisição de Regulador de fluxo</t>
  </si>
  <si>
    <t>** Esta publicação está sendo informada para os estados BA e RJ onde será realizado o objeto da licitação. Informamos que a publicação oficial é do estado de RJ. **
Regiões: BA 
Inicio: 2026/04/13 - 17:00:00 Término dos lances: 2026/04/13 17:00:00
 - Licitação sujeita a confirmação pois não foi informado que trata-se de prorrogação.</t>
  </si>
  <si>
    <t>SESC - Serviço Social do Comércio - Alagoinhas</t>
  </si>
  <si>
    <t>Alagoinhas</t>
  </si>
  <si>
    <t>2026 - MANUTENÇÃO PREVENTIVA EM CASA DE BOMBAS PISCINAS DA UNIDADE, CONFORME ESCOPO TÉCNICO https://egov.paradigmabs.com.br/sescba/Default.aspx</t>
  </si>
  <si>
    <t>* Licitação Eletrônica * AREIA tipo fina lavada para construcao ensacada * www.comprasnet.ba.gov.br *</t>
  </si>
  <si>
    <t xml:space="preserve">Nº do PCE 19.123.2026.0124
Data da Disputa 13/04/2026 14:30:00
Período 14:30 às 16:30h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</si>
  <si>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SALVA registro embutido p chuveiro com 10 roscas metalicas medidas 35 a 50 mm 0 a 25 mm e 25 a 35 mm * www.comprasnet.ba.gov.br *</t>
  </si>
  <si>
    <t xml:space="preserve">Nº do PCE 19.123.2026.0125
Data da Disputa 13/04/2026 15:30:00
Período 15:30 às 17:30h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</si>
  <si>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Hospital Geral Roberto Santos</t>
  </si>
  <si>
    <t>Contratação de empresa especializada para aquisição de materiais de divisórias, por um período de 12 doze meses</t>
  </si>
  <si>
    <t>SESAB - SECRETARIA DE SAÚDE DO ESTADO DA BAHIA
HGRS - HOSPITAL GERAL ROBERTO SANTOS
AVISO DE CHAMAMENTO PÚBLICO Nº 023/2026
O Hospital Geral Roberto Santos HGRS - SESAB, visando o conhecimento das empresas
interessadas, torna público que receberá propostas objetivando a regular composição de preço
do processo, que tem como objeto a contratação de empresa especializada para aquisição de
materiais de divisórias, por um período de 12 doze meses, com prazo de recebimento de
propostas do dia 08/04 até dia 10/04/2026, das 08h30min às 16h00min, no Hospital Geral
Roberto Santos, Estrada do Saboeiro s/nº, prédio Anexo do HGRS, 1º andar, Salvador - BA,
CEP: 41.180-780, sala do Setor de Compras/SEMAT. O descritivo completo do item poderá ser
consultado por meio de solicitação via e-mail: hgrs.comat@saude.ba.gov.br
ESPECIFICAÇÃO UF QUANT
FUSO estreito, de aco, cor preta, para montante de porta divisória, dimensão 3m.
56.70.00.00014896-2
UN 120
LEITO, de baguete, em aco carbono, cor branca, 1,20 m. 56.70.00.00039356-8 UN 120
PAINEL, para divisória, na cor branco neve, dimensão 35 x 1200 x 2100mm.
56.70.00.00172413-4
UN 240
LEITO, de baguete, em aço carbono, cor preta, para vidro de divisória...
56.70.00.00190730-1
UN 120
PERFIL, guia, para divisória, em galvanizado, na cor branco, vara com 3 metros,
tolerância -2%... 56.70.00.00191108-2
UN 240
PERFIL, guia, para divisória, em aço carbono, na cor preto, vara com 3 metros, tolerância
-2%... 56.70.00.00191109-0
UN 240
Maiores esclarecimentos através dos telefones 71 3103-8863 ou 8753
Salvador-Bahia, 07 de Abril de 2026 - Andreia de Oliveira Santos - SEMAT/HGRS</t>
  </si>
  <si>
    <t>SESC - Serviço Social do Comércio - Itaparica</t>
  </si>
  <si>
    <t>FORNECIMENTO E INSTALAÇÃO DE MOTOR AUTOMATIZADOR PARA PORTA DE AÇO DE ENROLAR - SESC ITAPARICA https://egov.paradigmabs.com.br/sescba/Default.aspx</t>
  </si>
  <si>
    <t>2026 - PRESTAÇÃO DE SERVIÇO DE SUCÇÃO E HIGIENIZAÇÃO COMPLETA DE SISTEMA DE TRATAMENTO DE EFLUENTES ETE - SESC ALAGOINHAS https://egov.paradigmabs.com.br/sescba/Default.aspx</t>
  </si>
  <si>
    <t>SM/15311/2026</t>
  </si>
  <si>
    <t>Material de Construção Civil * https://compras.fieb.org.br *</t>
  </si>
  <si>
    <t>Acesse o Central de Compras BA Fieb https://compras.fieb.org.br/portal/Mural.aspx e consulte os detalhes. 
Em andamento
 Edital: SDE 2026015311
 Inicio dos lances: 07/04/2026 15:08:00 Término dos lances: 09/04/2026 16:00:00</t>
  </si>
  <si>
    <t>SM/15321/2026</t>
  </si>
  <si>
    <t>CONTRATAÇÃO MODALIDADE SEM DISPUTA  COM ENTREGA UNICA Aquisição de materiais POR EXECUÇÃO VARIÁVEL para as aulas práticas de Pintor de Obras de OP/PJ na área de Construção Civil SENAI Dendezeiros. * https://compras.fieb.org.br *</t>
  </si>
  <si>
    <t>Acesse o Central de Compras BA Fieb https://compras.fieb.org.br/portal/Mural.aspx e consulte os detalhes. 
Chamamento público
 Edital: SDE 2026015321
 Inicio dos lances: 08/04/2026 08:00:00 Término dos lances: 09/04/2026 12:00:00</t>
  </si>
  <si>
    <t>SM/607/2026</t>
  </si>
  <si>
    <t>Aquisição CHAPA DE AÇO A36 * https://compras.fieb.org.br *</t>
  </si>
  <si>
    <t>Acesse o Central de Compras BA Fieb https://compras.fieb.org.br/portal/Mural.aspx e consulte os detalhes. 
Recebimento de lances
 Edital: 31001156.2026.CD.0607.PARK
 Inicio dos lances: 07/04/2026 18:40:00 Término dos lances: 09/04/2026 13:00:00</t>
  </si>
  <si>
    <t>SM/308/2026</t>
  </si>
  <si>
    <t>Fornecimento dos motoredutores para o protótipo do projeto BRAVE-MEC. * https://compras.fieb.org.br *</t>
  </si>
  <si>
    <t>Acesse o Central de Compras BA Fieb https://compras.fieb.org.br/portal/Mural.aspx e consulte os detalhes. 
Recebimento de lances
 Edital: 30997300.2026.CD.0308.PARK
 Inicio dos lances: 23/02/2026 14:25:00 Término dos lances: 10/04/2026 10:00:00
 - Licitação sujeita a confirmação pois não foi informado que trata-se de prorrogação.</t>
  </si>
  <si>
    <t>SM/433/2026</t>
  </si>
  <si>
    <t>Contratação de serviço de revestimento para os rolos das esteiras para protótipo do projeto BRAVE MEC. * https://compras.fieb.org.br *</t>
  </si>
  <si>
    <t>Acesse o Central de Compras BA Fieb https://compras.fieb.org.br/portal/Mural.aspx e consulte os detalhes. 
Recebimento de lances
 Edital: 30998751.2026.CD.0433.PARK
 Inicio dos lances: 10/03/2026 16:15:00 Término dos lances: 10/04/2026 10:00:00
 - Licitação sujeita a confirmação pois não foi informado que trata-se de prorrogação.</t>
  </si>
  <si>
    <t>SM/514/2026</t>
  </si>
  <si>
    <t>Acesse o Central de Compras BA Fieb https://compras.fieb.org.br/portal/Mural.aspx e consulte os detalhes. 
Recebimento de lances
 Edital: 31000333.2026.CD.0514.PARK
 Inicio dos lances: 24/03/2026 15:45:00 Término dos lances: 10/04/2026 10:00:00
 - Licitação sujeita a confirmação pois não foi informado que trata-se de prorrogação.</t>
  </si>
  <si>
    <t>SM/525/2026</t>
  </si>
  <si>
    <t>Aquisição de correias para esteiras de transporte * https://compras.fieb.org.br *</t>
  </si>
  <si>
    <t>Acesse o Central de Compras BA Fieb https://compras.fieb.org.br/portal/Mural.aspx e consulte os detalhes. 
Recebimento de lances
 Edital: 31000411.2026.CD.0525.PARK
 Inicio dos lances: 25/03/2026 17:30:00 Término dos lances: 10/04/2026 10:00:00
 - Licitação sujeita a confirmação pois não foi informado que trata-se de prorrogação.</t>
  </si>
  <si>
    <t>SM/546/2026</t>
  </si>
  <si>
    <t>Aquisição de elementos de máquina para montagem dos subsistemas do protótipo do projeto BRAVE MEC. * https://compras.fieb.org.br *</t>
  </si>
  <si>
    <t>Acesse o Central de Compras BA Fieb https://compras.fieb.org.br/portal/Mural.aspx e consulte os detalhes. 
Recebimento de lances
 Edital: 31000539.2026.CD.0546.PARK
 Inicio dos lances: 27/03/2026 15:10:00 Término dos lances: 10/04/2026 10:00:00
 - Licitação sujeita a confirmação pois não foi informado que trata-se de prorrogação.</t>
  </si>
  <si>
    <t>SM/432/2026</t>
  </si>
  <si>
    <t>Fornecimento do material para montagem do sistema hidráulico para o protótipo do projeto BRAVE MEC. * https://compras.fieb.org.br *</t>
  </si>
  <si>
    <t>Acesse o Central de Compras BA Fieb https://compras.fieb.org.br/portal/Mural.aspx e consulte os detalhes. 
Recebimento de lances
 Edital: 30998750.2026.CD.0432.PARK
 Inicio dos lances: 10/03/2026 15:25:00 Término dos lances: 09/04/2026 10:00:00
 - Licitação sujeita a confirmação pois não foi informado que trata-se de prorrogação.</t>
  </si>
  <si>
    <t>SM/523/2026</t>
  </si>
  <si>
    <t>Aquisição de tinta para pintura dos subsistemas do protótipo do projeto BRAVE MEC. * https://compras.fieb.org.br *</t>
  </si>
  <si>
    <t>Acesse o Central de Compras BA Fieb https://compras.fieb.org.br/portal/Mural.aspx e consulte os detalhes. 
Recebimento de lances
 Edital: 31000402.2026.CD.0523.PARK
 Inicio dos lances: 25/03/2026 17:00:00 Término dos lances: 09/04/2026 10:00:00
 - Licitação sujeita a confirmação pois não foi informado que trata-se de prorrogação.</t>
  </si>
  <si>
    <t>SM/524/2026</t>
  </si>
  <si>
    <t>Fornecimento de ferramentas e acessórios * https://compras.fieb.org.br *</t>
  </si>
  <si>
    <t>Acesse o Central de Compras BA Fieb https://compras.fieb.org.br/portal/Mural.aspx e consulte os detalhes. 
Recebimento de lances
 Edital: 31000404.2026.CD.0524.PARK
 Inicio dos lances: 25/03/2026 17:15:00 Término dos lances: 09/04/2026 10:00:00
 - Licitação sujeita a confirmação pois não foi informado que trata-se de prorrogação.</t>
  </si>
  <si>
    <t>SM/567/2026</t>
  </si>
  <si>
    <t>Aquisição de suprimentos para a confecção de um protótipo * https://compras.fieb.org.br *</t>
  </si>
  <si>
    <t>Acesse o Central de Compras BA Fieb https://compras.fieb.org.br/portal/Mural.aspx e consulte os detalhes. 
Recebimento de lances
 Edital: 31000670.2026.CD.0567.SENAICI
 Inicio dos lances: 31/03/2026 11:35:00 Término dos lances: 09/04/2026 10:00:00
 - Licitação sujeita a confirmação pois não foi informado que trata-se de prorrogação.</t>
  </si>
  <si>
    <t>Prefeitura Municipal de São Félix do Coribe</t>
  </si>
  <si>
    <t>São Félix do Coribe</t>
  </si>
  <si>
    <t>* Registro de preços * * Licitação Eletrônica * [LICITANET] - Registro de Preços para eventual e futuras aquisições de pedra em paralelepípedo para calçamento com dimensões: 20x10x8cm, para uso em pavimentações e manutenção de logradouros públicos, deste município</t>
  </si>
  <si>
    <t>Unidade compradora: 2636 - MUNICÍPIO DE SÃO FÉLIX DO CORIBE/BA
Local: São Félix do Coribe/BA
Órgão: MUNICIPIO DE SAO FELIX DO CORIBE
Id contratação PNCP: 16430951000130-1-000006/2026
Fonte: Licitanet Licitações Eletrônicas LTDA
 - Número compra: 011 - Pregão - Eletrônico
 - Licitação sujeita a confirmação pois não foi informado que trata-se de prorrogação.</t>
  </si>
  <si>
    <t>SM/557/2026</t>
  </si>
  <si>
    <t>Aquisição de 1 um Conjunto Motobomba Centrífuga para água do mar com sólidos em suspensão. Conforme detalhamento e especificações no termo de referência. * https://compras.fieb.org.br *</t>
  </si>
  <si>
    <t>Acesse o Central de Compras BA Fieb https://compras.fieb.org.br/portal/Mural.aspx e consulte os detalhes. 
Recebimento de lances
 Edital: 31000610.2026.CD.0557.PARK
 Inicio dos lances: 30/03/2026 11:35:00 Término dos lances: 10/04/2026 11:00:00
 - Licitação sujeita a confirmação pois não foi informado que trata-se de prorrogação.</t>
  </si>
  <si>
    <t>SM/603/2026</t>
  </si>
  <si>
    <t>Acesse o Central de Compras BA Fieb https://compras.fieb.org.br/portal/Mural.aspx e consulte os detalhes. 
Recebimento de lances
 Edital: 31001118.2026.CD.0603.PARK
 Inicio dos lances: 07/04/2026 17:21:00 Término dos lances: 10/04/2026 10:00:00</t>
  </si>
  <si>
    <t>SM/15308/2026</t>
  </si>
  <si>
    <t>Processo de seleção SEM DISPUTA, com entrega única, para Contratação de empresa especializada para fornecimento e instalação de barra de apoio para as salas de práticas esportivas no centro esportivo, conforme Termo de Referencia. * https://compras.fieb.org.br *</t>
  </si>
  <si>
    <t>Acesse o Central de Compras BA Fieb https://compras.fieb.org.br/portal/Mural.aspx e consulte os detalhes. 
Em andamento
 Edital: SDE 2026015308
 Inicio dos lances: 07/04/2026 14:42:00 Término dos lances: 09/04/2026 15:00:00</t>
  </si>
  <si>
    <t>AQUISIÇÃO | SOB DEMANDA | MATERIAIS DE MARCENARIA | SESC ITAPARICA https://egov.paradigmabs.com.br/sescba/Default.aspx</t>
  </si>
  <si>
    <t>SM/575/2026</t>
  </si>
  <si>
    <t>Aquisição dos materiais de elétrica Cabos Elétricos e de Sinal * https://compras.fieb.org.br *</t>
  </si>
  <si>
    <t>Acesse o Central de Compras BA Fieb https://compras.fieb.org.br/portal/Mural.aspx e consulte os detalhes. 
Recebimento de lances
 Edital: 31000733.2026.CD.0575.PARK
 Inicio dos lances: 31/03/2026 17:20:00 Término dos lances: 09/04/2026 10:00:00
 - Licitação sujeita a confirmação pois não foi informado que trata-se de prorrogação.</t>
  </si>
  <si>
    <t>SM/577/2026</t>
  </si>
  <si>
    <t>Aquisição de chapas, tubos e perfis metálicos * https://compras.fieb.org.br *</t>
  </si>
  <si>
    <t>Acesse o Central de Compras BA Fieb https://compras.fieb.org.br/portal/Mural.aspx e consulte os detalhes. 
Recebimento de lances
 Edital: 31000743.2026.CD.0577.PARK
 Inicio dos lances: 31/03/2026 18:49:00 Término dos lances: 10/04/2026 10:00:00
 - Licitação sujeita a confirmação pois não foi informado que trata-se de prorrogação.</t>
  </si>
  <si>
    <t>Equipamentos de construção civil para a escola técnica do SENAI BAHIA. * https://compras.fieb.org.br *</t>
  </si>
  <si>
    <t>Acesse o Central de Compras BA Fieb https://compras.fieb.org.br/portal/Mural.aspx e consulte os detalhes. 
Agendada
 Edital: 
 Inicio dos lances: 08/04/2026 13:00:00 Término dos lances: 14/04/2026 12:00:00</t>
  </si>
  <si>
    <t>SEAGRI - Secretaria da Agricultura, Pecuária, Irrigação, Pesca e Aquicultura - Diretoria Geral</t>
  </si>
  <si>
    <t>* Licitação Eletrônica * AQUISICAO DE REGUA * www.comprasnet.ba.gov.br *</t>
  </si>
  <si>
    <t xml:space="preserve">Nº do PCE 10.004.2026.0018
Data da Disputa 14/04/2026 14:30:00
Período 14:30 às 16:30h
Endereço Unidade: AV. LUIZ VIANA FILHO,QUARTA AVENIDA, N405, CAB - CAB - Salvador - BA - 41745000
Local de Entrega: 100040057 - ALMOXARIFADO - 10004
Observações: 
Contato: DEISE COSTA
E-mail: deise.jesus@seagri.ba.gov.br
Telefone: 0XX71 3115-2805
Fax: </t>
  </si>
  <si>
    <t>* Licitação Eletrônica * MALHA de ferro * www.comprasnet.ba.gov.br *</t>
  </si>
  <si>
    <t xml:space="preserve">Nº do PCE 19.123.2026.0129
Data da Disputa 13/04/2026 08:30:00
Período 08:30 às 10:30h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</si>
  <si>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Aquisição da mola para porta de vidro do auditório e instalação * www.comprasnet.ba.gov.br *</t>
  </si>
  <si>
    <t xml:space="preserve">Nº do PCE 11.610.2026.0037
Data da Disputa 14/04/2026 14:30:00
Período 14:30 às 16:30h
Endereço Unidade: RUA SILVEIRA MARTINS Nº 2555 - CABULA - Salvador - BA - 41195000
Local de Entrega: 116100049 - REITORIA - CENTRO DE PESQ. EM EDUC.E DES. REGIONAL
Observações: 
Contato: Vinicius Cassemiro
E-mail: vcassemiro@uneb.br
Telefone: 71997165207
Fax: </t>
  </si>
  <si>
    <t>* Licitação Eletrônica * TINTA acrilica cor areia para parede lata 18 litros * www.comprasnet.ba.gov.br *</t>
  </si>
  <si>
    <t xml:space="preserve">Nº do PCE 19.123.2026.0137
Data da Disputa 13/04/2026 08:30:00
Período 08:30 às 10:30h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</si>
  <si>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Procuradoria Geral do Estado</t>
  </si>
  <si>
    <t>* Licitação Eletrônica * ESCADA em alumínio * www.comprasnet.ba.gov.br *</t>
  </si>
  <si>
    <t xml:space="preserve">Nº do PCE 06.004.2026.0010
Data da Disputa 14/04/2026 13:30:00
Período 13:30 às 15:30h
Endereço Unidade: 3ª AVENIDA, 370, SUBSOLO - NOVA SEDE - CAB - PARALELA - Salvador - BA - 41745005
Local de Entrega: 060040002 - COORDENACAO DE MATERIAL E PATRIMONIO -ALMOXARIFADO
Observações: 
Contato: MARCOS ANDRADE
E-mail: cmp@pge.ba.gov.br
Telefone: 0XX71 3115-0437
Fax: </t>
  </si>
  <si>
    <t>Secretaria de Justiça e Direitos Humanos - Diretoria Geral</t>
  </si>
  <si>
    <t>* Licitação Eletrônica * fechadura tubular * www.comprasnet.ba.gov.br *</t>
  </si>
  <si>
    <t xml:space="preserve">Nº do PCE 44.004.2026.0031
Data da Disputa 14/04/2026 15:30:00
Período 15:30 às 17:30h
Endereço Unidade: 3ª AV CENTRO ADMINISTRATIVO Nº390, SUBSOLO - CAB - Salvador - BA - 41745005
Local de Entrega: 440040001 - ALMOXARIFADO SJDH
Observações: 
Contato: Gabriele Cristina Santos Palafos
E-mail: gabriele.palafos@sjdh.ba.gov.br
Telefone: 0XX71 3115-6946
Fax: </t>
  </si>
  <si>
    <t>* Licitação Eletrônica * EMBOLO para válvula de descarga e outros * www.comprasnet.ba.gov.br *</t>
  </si>
  <si>
    <t xml:space="preserve">Nº do PCE 11.236.2026.0008
Data da Disputa 14/04/2026 14:30:00
Período 14:30 às 16:30h
Endereço Unidade: RUA DO BOM CONSELHO, 179 - ALVES DE SOUZA - Paulo Afonso - BA - 48608230
Local de Entrega: 112360016 - ALMOXARIFADO CAMPUS VIII
Observações: Atenção: Inserir MARCA e MODELO do item. Paulo Afonso - Ba, CAMPUS DEDC VIII.
Contato: Rogéria Vilela
E-mail: rvsgomes@uneb.br
Telefone: 71996967919
Fax: </t>
  </si>
  <si>
    <t>* Licitação Eletrônica * FILTRO de agua AP 200 * www.comprasnet.ba.gov.br *</t>
  </si>
  <si>
    <t xml:space="preserve">Nº do PCE 19.123.2026.0138
Data da Disputa 14/04/2026 08:30:00
Período 08:30 às 10:30h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</si>
  <si>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SM/606/2026</t>
  </si>
  <si>
    <t>Aquisição de um scanner 3D * https://compras.fieb.org.br *</t>
  </si>
  <si>
    <t>Acesse o Central de Compras BA Fieb https://compras.fieb.org.br/portal/Mural.aspx e consulte os detalhes. 
Recebimento de lances
 Edital: 31001155.2026.CD.0606.SENAICI
 Inicio dos lances: 07/04/2026 18:10:00 Término dos lances: 09/04/2026 13:00:00</t>
  </si>
  <si>
    <t>Secretaria de Administração Penitenciaria e Ressocialização - Superintendência de Ressocialização Sustentável</t>
  </si>
  <si>
    <t>* Licitação Eletrônica * PEDRA * www.comprasnet.ba.gov.br *</t>
  </si>
  <si>
    <t xml:space="preserve">Nº do PCE 35.100.2026.0008
Data da Disputa 14/04/2026 09:30:00
Período 09:30 às 11:30h
Endereço Unidade: ESTRADA DA MATA ESCURA, S/N - MATA ESCURA - Salvador - BA - 41225000
Local de Entrega: 351000013 - CADEIA PUBLICA DE SALVADOR
Observações: 
Contato: Maria
E-mail: maria.amorim@seap.ba.gov.br
Telefone: 0XX71 3118-7356
Fax: </t>
  </si>
  <si>
    <t>* Licitação Eletrônica * REGISTRO de esfera em PVC soldavel 75 mm * www.comprasnet.ba.gov.br *</t>
  </si>
  <si>
    <t xml:space="preserve">Nº do PCE 19.123.2026.0134
Data da Disputa 13/04/2026 15:30:00
Período 15:30 às 17:30h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</si>
  <si>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SELADOR acrilico EMBALAGEM Lata com 18 litros * www.comprasnet.ba.gov.br *</t>
  </si>
  <si>
    <t xml:space="preserve">Nº do PCE 19.123.2026.0136
Data da Disputa 13/04/2026 13:30:00
Período 13:30 às 15:30h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</si>
  <si>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SM/581/2026</t>
  </si>
  <si>
    <t>Aquisição de conexões de tubulação em PEAD, conforme especificações contidas no termo de referência. * https://compras.fieb.org.br *</t>
  </si>
  <si>
    <t>Acesse o Central de Compras BA Fieb https://compras.fieb.org.br/portal/Mural.aspx e consulte os detalhes. 
Recebimento de lances
 Edital: 31000826.2026.EMBRAPII.CD.0581.PARK
 Inicio dos lances: 01/04/2026 10:30:00 Término dos lances: 10/04/2026 10:00:00
 - Licitação sujeita a confirmação pois não foi informado que trata-se de prorrogação.</t>
  </si>
  <si>
    <t>* Licitação Eletrônica * ADAPTADOR uso rede hidráulica 85 mm x 3 polegadas * www.comprasnet.ba.gov.br *</t>
  </si>
  <si>
    <t xml:space="preserve">Nº do PCE 19.123.2026.0132
Data da Disputa 13/04/2026 13:30:00
Período 13:30 às 15:30h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</si>
  <si>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xml:space="preserve">Nº do PCE 19.123.2026.0139
Data da Disputa 14/04/2026 13:30:00
Período 13:30 às 15:30h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</si>
  <si>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UNIAO em PVC uso rede hidraulica 75 mm e 85 mm * www.comprasnet.ba.gov.br *</t>
  </si>
  <si>
    <t xml:space="preserve">Nº do PCE 19.123.2026.0127
Data da Disputa 13/04/2026 15:30:00
Período 15:30 às 17:30h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</si>
  <si>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LUBRIFICANTE antioxidante em aerosol isento de CFC * www.comprasnet.ba.gov.br *</t>
  </si>
  <si>
    <t xml:space="preserve">Nº do PCE 19.123.2026.0126
Data da Disputa 13/04/2026 14:30:00
Período 14:30 às 16:30h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</si>
  <si>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Processo de seleção COM DISPUTA, com entrega única, para Contratação de empresa especializada para o fornecimento de matérias de CFTV para ampliação do monitoramento do SESI JUAZEIRO. * https://compras.fieb.org.br *</t>
  </si>
  <si>
    <t>Acesse o Central de Compras BA Fieb https://compras.fieb.org.br/portal/Mural.aspx e consulte os detalhes. 
Em andamento
 Edital: CDE 2026000106
 Inicio dos lances: 27/03/2026 17:00:00 Término dos lances: 10/04/2026 09:00:00
 - Licitação sujeita a confirmação pois não foi informado que trata-se de prorrogação.</t>
  </si>
  <si>
    <t>* Licitação Eletrônica * CURVA uso rede hidráulica 90 graus em PVC 20 mm soldável para agua fria * www.comprasnet.ba.gov.br *</t>
  </si>
  <si>
    <t xml:space="preserve">Nº do PCE 50.003.2026.0046
Data da Disputa 13/04/2026 15:30:00
Período 15:30 às 17:30h
Endereço Unidade: AV. ULISSES GUIMARÃES, Nº 3.386 - SUSSUARANA - Salvador - BA - 41745007
Local de Entrega: 500030001 - ALMOXARIFADO-SEDE
Observações: sob pena de NOTIFICAÇÃO junto á SAEB, em caso de descumprimento do prazo de entrega
Contato: JOEMELLE PEREIRA
E-mail: joemelle.pereira@defensoria.ba.def.br
Telefone: 0XX71 3117-9110
Fax: </t>
  </si>
  <si>
    <t>SM/15314/2026</t>
  </si>
  <si>
    <t>Aquisição de Multímetro * https://compras.fieb.org.br *</t>
  </si>
  <si>
    <t>Acesse o Central de Compras BA Fieb https://compras.fieb.org.br/portal/Mural.aspx e consulte os detalhes. 
Em andamento
 Edital: SDE 2026015314
 Inicio dos lances: 07/04/2026 16:15:00 Término dos lances: 09/04/2026 16:00:00</t>
  </si>
  <si>
    <t>Prefeitura Municipal de Jequié</t>
  </si>
  <si>
    <t>* Licitação Eletrônica * CONTRATAÇÃO DE EMPRESA ESPECIALIZADA NA PRESTAÇÃO DE SERVIÇOS DE MANUTENÇÃO PREVENTIVA E CORRETIVA DO GRAMADO E DO SISTEMA DE IRRIGAÇÃO DO CAMPO DE FUTEBOL DO ESTÁDIO MUNICIPAL WALDOMIRO BORGES EM JEQUIÉ/BA. * https://bnccompras.com *</t>
  </si>
  <si>
    <t>LOCAL: https://bnccompras.com/
Nº PROC. ADM: 58.2026
 TIPO CONTRATO: AQUISIÇÃO
 INÍCIO REC. PROPOSTA: 09/04/2026 08:00:00
 FIM REC. PROPOSTA: 14/04/2026 08:30:00
 INÍCIO DISPUTA: 14/04/2026 09:00:00
 CIDADE: JEQUIÉ
 FASE: PUBLICADO
 EXCLUSIVO ME: NÃO
 EXCLUSIVO REGIONAL: NÃO
 MODO DE DISPUTA: ABERTO
 TIPO DE LANCE: MENOR LANCE
 FONE PROMOTOR: 7335268024
 E-MAIL PROMOTOR: comprasadmjequie@gmail.com
 CONDUTOR: PRISCILLA OLIVEIRA DA SILVA
 AUTORIDADE: SAN DAVID PEREIRA ARAGÃO
 VALOR ESTIMADO: R$64.159,98</t>
  </si>
  <si>
    <t>SM/15322/2026</t>
  </si>
  <si>
    <t>CONTRATAÇÃO MODALIDADE SEM DISPUTA ENTREGA UNICA AQUISIÇÃO DE MATERIAIS ELETRICOS SESI RETIRO * https://compras.fieb.org.br *</t>
  </si>
  <si>
    <t>Acesse o Central de Compras BA Fieb https://compras.fieb.org.br/portal/Mural.aspx e consulte os detalhes. 
Chamamento público
 Edital: SDE 2026015322
 Inicio dos lances: 08/04/2026 08:00:00 Término dos lances: 09/04/2026 12:00:00</t>
  </si>
  <si>
    <t>SM/556/2026</t>
  </si>
  <si>
    <t>Aquisição de Circuitos Integrados de Flotação, composto por 04 quatro sistemas de células de flotação incluindo, estrutura de suporte SKID, instrumentação e quadro elétrico/comando * https://compras.fieb.org.br *</t>
  </si>
  <si>
    <t>Acesse o Central de Compras BA Fieb https://compras.fieb.org.br/portal/Mural.aspx e consulte os detalhes. 
Recebimento de lances
 Edital: 31000593.2026.CD.0556.PARK
 Inicio dos lances: 30/03/2026 11:00:00 Término dos lances: 13/04/2026 11:00:00
 - Licitação sujeita a confirmação pois não foi informado que trata-se de prorrogação.</t>
  </si>
  <si>
    <t>* Licitação Eletrônica * GRAVILHAO PARA CONCRETO TRES OITAVO ENSACADO * www.comprasnet.ba.gov.br *</t>
  </si>
  <si>
    <t xml:space="preserve">Nº do PCE 19.004.2026.0149
Data da Disputa 13/04/2026 14:30:00
Período 14:30 às 16:30h
Endereço Unidade: QUARTA AVENIDA Nº 400 PLATAFORMA 6 LADO B - CAB - Salvador - BA - 41745002
Local de Entrega: 190040840 - SESAB ALMOXARIFADO SEDE
Observações: NECESSARIO APRESENTAR AMOSTRA/PROSPECTO APOS DISPUTA ELETRONICA
Contato: ELISABETE ALMEIDA
E-mail: sesab.dam@saude.ba.gov.br
Telefone: 0XX71 3115-8388
Fax: </t>
  </si>
  <si>
    <t>SM/15258/2026</t>
  </si>
  <si>
    <t>Processo de seleção sem disputa, com entrega única de Contratação de empresa especializada para fornecimento de placas refletivas de advertência, conforme Termo de Referência * https://compras.fieb.org.br *</t>
  </si>
  <si>
    <t>Acesse o Central de Compras BA Fieb https://compras.fieb.org.br/portal/Mural.aspx e consulte os detalhes. 
Em andamento
 Edital: SDE 2026015258
 Inicio dos lances: 06/04/2026 16:05:00 Término dos lances: 09/04/2026 16:00:00
 - Licitação sujeita a confirmação pois não foi informado que trata-se de prorrogação.</t>
  </si>
  <si>
    <t>SM/15007/2026</t>
  </si>
  <si>
    <t>Aquisição de anéis de anel de vedação o' ring para montagem dos cilindros pneumáticos da fábrica modelo. * https://compras.fieb.org.br *</t>
  </si>
  <si>
    <t>Acesse o Central de Compras BA Fieb https://compras.fieb.org.br/portal/Mural.aspx e consulte os detalhes. 
Em andamento
 Edital: SDE 2026015007
 Inicio dos lances: 25/03/2026 09:30:00 Término dos lances: 09/04/2026 14:00:00
 - Licitação sujeita a confirmação pois não foi informado que trata-se de prorrogação.</t>
  </si>
  <si>
    <t>SM/15332/2026</t>
  </si>
  <si>
    <t>Processo de seleção SEM DISPUTA, Aquisição de poste para nylofor e tampa dos postes, ambos na cor azul para entrega na SEDE do Sistema FIEB Conforme termo de referencia * https://compras.fieb.org.br *</t>
  </si>
  <si>
    <t>Acesse o Central de Compras BA Fieb https://compras.fieb.org.br/portal/Mural.aspx e consulte os detalhes. 
Em andamento
 Edital: SDE 2026015332
 Inicio dos lances: 08/04/2026 11:15:00 Término dos lances: 09/04/2026 17:00:00</t>
  </si>
  <si>
    <t>SM/609/2026</t>
  </si>
  <si>
    <t>Aquisição de detectores direcionais de chamas com detecção por Infravermelho IR à prova de explosão AEX, * https://compras.fieb.org.br *</t>
  </si>
  <si>
    <t>Acesse o Central de Compras BA Fieb https://compras.fieb.org.br/portal/Mural.aspx e consulte os detalhes. 
Recebimento de lances
 Edital: 31001190.2026.CD.0609.PARK
 Inicio dos lances: 08/04/2026 11:20:00 Término dos lances: 10/04/2026 12:00:00</t>
  </si>
  <si>
    <t>* Licitação Eletrônica * PORTA de madeira em imbuia semi oca lisa para interior dimensoes 210 X 70 cm espessura 3 cm * www.comprasnet.ba.gov.br *</t>
  </si>
  <si>
    <t xml:space="preserve">Nº do PCE 19.123.2026.0133
Data da Disputa 13/04/2026 14:30:00
Período 14:30 às 16:30h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</si>
  <si>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Fita métrica inelástica antropométrica medindo 180cm * www.comprasnet.ba.gov.br *</t>
  </si>
  <si>
    <t xml:space="preserve">Nº do PCE 19.801.2026.0043
Data da Disputa 13/04/2026 14:30:00
Período 14:30 às 16:30h
Endereço Unidade: RUA SALUSTIANO GUERRA, 338 CENTRO - CENTRO - Ribeira do Pombal - BA - 48400000
Local de Entrega: 198010001 - ALMOXARIFADO
Observações: ENTREGA IMEDIATA/ O VENCEDOR DEVERÁ ENVIAR A FICHA TÉCNICA DO ITEM
Contato: Douglas Pimentel
E-mail: douglas.gois@saude.ba.gov.br
Telefone: 75998966239
Fax: </t>
  </si>
  <si>
    <t>* Licitação Eletrônica * FITA isolante plastica alta fusao antichama cor preta alta aderencia dimensao 19mm x 10 m * www.comprasnet.ba.gov.br *</t>
  </si>
  <si>
    <t xml:space="preserve">Nº do PCE 19.123.2026.0135
Data da Disputa 13/04/2026 08:30:00
Período 08:30 às 10:30h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</si>
  <si>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SM/15312/2026</t>
  </si>
  <si>
    <t>Material de Sistema de Irrigação e Conexões Hidráulico * https://compras.fieb.org.br *</t>
  </si>
  <si>
    <t>Acesse o Central de Compras BA Fieb https://compras.fieb.org.br/portal/Mural.aspx e consulte os detalhes. 
Em andamento
 Edital: SDE 2026015312
 Inicio dos lances: 07/04/2026 15:49:00 Término dos lances: 09/04/2026 16:00:00</t>
  </si>
  <si>
    <t>SESC - Serviço Social do Comércio - Vitoria da Conquista</t>
  </si>
  <si>
    <t>Vitória da Conquista</t>
  </si>
  <si>
    <t>AQUISIÇÃO EMERGENCIAL DE MATERIAIS DE ARMARINHO/ ARTES E ARTESANATO, POR LOTE, COM ENTREGA SOB DEMANDA, PELO PERÍODO DE 06 MESES - VITÓRIA DA CONQUISTA https://egov.paradigmabs.com.br/sescba/Default.aspx</t>
  </si>
  <si>
    <t>Câmara Municipal de Vereadores de Vitória da Conquista</t>
  </si>
  <si>
    <t>* Licitação Eletrônica * Aquisição de materiais destinados à conservação, reparos e melhorias na infraestrutura física, bem como à reposição de equipamentos e à adequação das dependências da Câmara Municipal de Vitória da Conquista. * https://licitanet.com.br *</t>
  </si>
  <si>
    <t xml:space="preserve">Processo: 80
Quantidade de lotes: 4
 </t>
  </si>
  <si>
    <t>EEM HERMÍNIO BARROSO</t>
  </si>
  <si>
    <t>Paracuru</t>
  </si>
  <si>
    <t>DL/12366/2026</t>
  </si>
  <si>
    <t>* Licitação Eletrônica * COTAÇÃO ELETRÔNICA N 11/2026. AQUISIÇÃO DE MATERIAL PARA MANUTENÇÃO DE BENS IMÓVEIS EM FAVOR DA EEM HERMÍNIO BARROSO. * https://pncp.gov.br *</t>
  </si>
  <si>
    <t>Unidade compradora: 228245 - ESTADO DO CEARA - EEM HERMÍNIO BARROSO
Local: Paracuru/CE
Órgão: ESTADO DO CEARA
Id contratação PNCP: 07954480000179-1-008077/2026
Fonte: Secretaria do Planejamento e Gestão do Ceará
A presente aquisição AQUISIÇÃO DE MATERIAL PARA MANUTENÇÃO DE BENS IMÓVEIS/INSTALAÇÕES visa suprir as necessidade de garantir a conservação, segurança, funcionalidade e higiene dos espaços da escola, prevenindo a deterioração precoce e garantindo o atendimento adequado para os alunos matriculados nesta unidade escolar , assim atendendo às EEM
HERMÍNIO BARROSO. Desse modo, se faz necessário adquirir o bem ou serviço citado com Aporte de Recursos Financeiros da Portaria 01/2026. - Dispensa</t>
  </si>
  <si>
    <t>Secretaria Estadual de Educação Básica - E.E.E.P MARIA JOSÉ MEDEIROS</t>
  </si>
  <si>
    <t>DL/11357/2026</t>
  </si>
  <si>
    <t>* Licitação Eletrônica * MATERIAL PARA MANUTENÇÃO DE BENS IMOVEIS * https://pncp.gov.br *</t>
  </si>
  <si>
    <t>Unidade compradora: 228066 - ESTADO DO CEARA - EEEP MARIA JOSÉ MEDEIROS
Local: Fortaleza/CE
Órgão: ESTADO DO CEARA
Id contratação PNCP: 07954480000179-1-008097/2026
Fonte: Secretaria do Planejamento e Gestão do Ceará
A aquisição de materiais para a manutenção dos imóveis, garante reparos em diferentes áreas alvenaria, carpintaria, serralheria, marcenaria, elétrica e hidráulica. Essa manutenção contínua preserva a estrutura, assegura a segurança dos usuários e cria condições adequadas para o ensino, sendo indispensável ao bom funcionamento da instituição. - Dispensa</t>
  </si>
  <si>
    <t>Secretaria Estadual de Educação Básica - E.E.M PROFESSOR OTÁVIO TERCEIRO DE FARIAS</t>
  </si>
  <si>
    <t>DL/7047/2026</t>
  </si>
  <si>
    <t>* Licitação Eletrônica * COTAÇÃO ELETRÔNICA N 08 - MANUTENÇÃO E CONSERVAÇÃO DE MAQUINAS: BEBEDOURO, BOMBA E CISTERNAS ELETRÔNICAS E MOTOR PARA PORTÃO DESLIZANTE * https://pncp.gov.br *</t>
  </si>
  <si>
    <t>Unidade compradora: 228163 - ESTADO DO CEARA - EEM PROFESSOR OTÁVIO TERCEIRO DE FARIAS
Local: Fortaleza/CE
Órgão: ESTADO DO CEARA
Id contratação PNCP: 07954480000179-1-008069/2026
Fonte: Secretaria do Planejamento e Gestão do Ceará
PARA ATENDER AS NECESSIDADES DA ESCOLA - Dispensa</t>
  </si>
  <si>
    <t>Secretaria Estadual de Educação Básica - EEEP FRANCISCA ROCHA SILVA</t>
  </si>
  <si>
    <t>Jaguaruana</t>
  </si>
  <si>
    <t>DL/6788/2026</t>
  </si>
  <si>
    <t>* Licitação Eletrônica * Contratação de serviços profissionais para limpeza da caixa d'água e de fossas sépticas na EEEP Francisca Rocha Silva. * https://pncp.gov.br *</t>
  </si>
  <si>
    <t>Unidade compradora: 228454 - ESTADO DO CEARA - EEEP FRANCISCA ROCHA SILVA
Local: Jaguaruana/CE
Órgão: ESTADO DO CEARA
Id contratação PNCP: 07954480000179-1-008082/2026
Fonte: Secretaria do Planejamento e Gestão do Ceará
Contratação de serviços profissionais para limpeza da caixa d'água e de fossas sépticas na EEEP Francisca Rocha Silva. - Dispensa</t>
  </si>
  <si>
    <t>Secretaria Estadual de Educação Básica - Colégio Estadual Liceu do Ceará</t>
  </si>
  <si>
    <t>DL/11419/2026</t>
  </si>
  <si>
    <t>* Licitação Eletrônica * Material para Manutenção de Bens Imóveis para atender as necessidades da escola.  * https://pncp.gov.br *</t>
  </si>
  <si>
    <t>Unidade compradora: 228064 - ESTADO DO CEARA - COLÉGIO ESTADUAL LICEU DO CEARÁ
Local: Fortaleza/CE
Órgão: ESTADO DO CEARA
Id contratação PNCP: 07954480000179-1-008079/2026
Fonte: Secretaria do Planejamento e Gestão do Ceará
Para atender as necessidades da escola.  - Dispensa</t>
  </si>
  <si>
    <t>DL/1005/2026</t>
  </si>
  <si>
    <t>ALICATE AMPERÍMETRO - SAEP</t>
  </si>
  <si>
    <t>Secretaria Estadual de Educação Básica -  EEEP Maria Violeta Arraes de Alencar Gervaiseau</t>
  </si>
  <si>
    <t>DL/12095/2026</t>
  </si>
  <si>
    <t>* Licitação Eletrônica * MATERIAL DE LIMPEZA E PRODUÇÃO DE HIGIENIZAÇÃO * https://pncp.gov.br *</t>
  </si>
  <si>
    <t>Unidade compradora: 228598 - ESTADO DO CEARA - EEEP MARIA VIOLETA ARRAES DE ALENCAR GERVAISEAU
Local: Crato/CE
Órgão: ESTADO DO CEARA
Id contratação PNCP: 07954480000179-1-008119/2026
Fonte: Secretaria do Planejamento e Gestão do Ceará
A presente aquisição Material de Limpeza e Produção de Higienização justifica-se pela necessidade contínua de manter as instalações higienizadas, salubres e organizadas, garantindo um ambiente seguro e confortável para colaboradores e usuários. A compra é essencial para evitar o desabastecimento, prevenir a transmissão de doenças bactérias/vírus e assegurar a conformidade
sanitária das dependências. Assim atendendo à EEEP MARIA VIOLETA ARRAES DE ALENCAR GERVAISEAU. Desse modo, se faz necessário adquirir o bem ou serviço citado com Aporte de Recursos Financeiros da Portaria de 01/2026 Manutenção. - Dispensa</t>
  </si>
  <si>
    <t>DL/4396/2026</t>
  </si>
  <si>
    <t>* Licitação Eletrônica * MATERIAL DE EXPEDIENTE * https://pncp.gov.br *</t>
  </si>
  <si>
    <t>Unidade compradora: 228073 - ESTADO DO CEARA - EEFM ARQUITETO ROGÉRIO FROES
Local: Fortaleza/CE
Órgão: ESTADO DO CEARA
Id contratação PNCP: 07954480000179-1-008134/2026
Fonte: Secretaria do Planejamento e Gestão do Ceará
PARA ATENDER AS NECESSIDADES DA ESCOLA - Dispensa</t>
  </si>
  <si>
    <t>Secretaria Estadual de Educação Básica - E.E.F.M MARIA CONCEIÇÃO PORFÍRIO TELES</t>
  </si>
  <si>
    <t>DL/12812/2026</t>
  </si>
  <si>
    <t>REPASSE PARA MANUTENÇÃO DE ESCOLAS</t>
  </si>
  <si>
    <t>GOVERNO DO ESTADO DO CEARÁ - SEPLAG - Secretaria do Planejamento e Gestão
**  https://s2gpr.sefaz.ce.gov.br/licita-web/paginas/licita/PublicacaoList.seam  ** 
Número da publicação: 
Nº Edital - Contratante - Entrega: 
Sistemática - Forma de Aquisição: 
Gestor Contratante: ANTONIO CARLOS DA SILVA LIMA FILHO</t>
  </si>
  <si>
    <t>DL/994/2026</t>
  </si>
  <si>
    <t>KIT ANÁLISE DE COMBUSTÍVEL</t>
  </si>
  <si>
    <t>Secretaria Estadual de Educação Básica - COLÉGIO ESTADUAL DOM JOSÉ TUPINAMBÁ DA FROTA</t>
  </si>
  <si>
    <t>DL/12557/2026</t>
  </si>
  <si>
    <t>* Licitação Eletrônica * AQUISIÇÃO - MATERIAL DE CONSUMO - FERRAMENTAS * https://pncp.gov.br *</t>
  </si>
  <si>
    <t>Unidade compradora: 228355 - ESTADO DO CEARA - COLÉGIO ESTADUAL DOM JOSÉ TUPINAMBÁ DA FROTA
Local: Sobral/CE
Órgão: ESTADO DO CEARA
Id contratação PNCP: 07954480000179-1-008124/2026
Fonte: Secretaria do Planejamento e Gestão do Ceará
ATENDER AS NECESSIDADES DA ESCOLA - Dispensa</t>
  </si>
  <si>
    <t>DL/991/2026</t>
  </si>
  <si>
    <t>COMPONENTES AUTOMAÇÃO</t>
  </si>
  <si>
    <t xml:space="preserve">Secretaria de Educação Básica - EEMTI GOVERNADOR ADAUTO BEZERRA </t>
  </si>
  <si>
    <t>DL/12467/2026</t>
  </si>
  <si>
    <t>* Licitação Eletrônica * AQUISIÇÃO DE MATERIAL DE PROTEÇÃO E SEGURANÇA * https://pncp.gov.br *</t>
  </si>
  <si>
    <t>Unidade compradora: 228582 - ESTADO DO CEARA - EEMTI GOVERNADOR ADAUTO BEZERRA
Local: Crato/CE
Órgão: ESTADO DO CEARA
Id contratação PNCP: 07954480000179-1-008177/2026
Fonte: Secretaria do Planejamento e Gestão do Ceará
NECESSÁRIO PARA SEGURANÇA DOS COLABORADORES - Dispensa</t>
  </si>
  <si>
    <t>SM/15/2026</t>
  </si>
  <si>
    <t>Aquisição de materiais automotivos para o projeto de melhoria da oficina do SENAI Juazeiro.</t>
  </si>
  <si>
    <t>Secretaria Estadual de Educação Básica - E.E.F.M. POLIVALENTE MODELO DE FORTALEZA</t>
  </si>
  <si>
    <t>DL/12499/2026</t>
  </si>
  <si>
    <t>* Licitação Eletrônica * Material para Manutenção de Bens Imóveis/Instalações * https://pncp.gov.br *</t>
  </si>
  <si>
    <t>Unidade compradora: 228167 - ESTADO DO CEARA - EEFM POLIVALENTE MODELO DE FORTALEZA
Local: Fortaleza/CE
Órgão: ESTADO DO CEARA
Id contratação PNCP: 07954480000179-1-008118/2026
Fonte: Secretaria do Planejamento e Gestão do Ceará
Material para Manutenção de Bens Imóveis/Instalações - Dispensa</t>
  </si>
  <si>
    <t>Secretaria Estadual de Educação Básica - E.E.F.M. BELARMINO LINS DE MEDEIROS</t>
  </si>
  <si>
    <t>Abaiara</t>
  </si>
  <si>
    <t>DL/12370/2026</t>
  </si>
  <si>
    <t>* Licitação Eletrônica * AQUISIÇÃO DE MATERIAL LABORATORIAL PARA ATENDER AS NECESSIDADES DA EEMTI BELARMINO LINS DE MEDEIROS. * https://pncp.gov.br *</t>
  </si>
  <si>
    <t>Unidade compradora: 228640 - ESTADO DO CEARA - EEFM BELARMINO LINS DE MEDEIROS
Local: Abaiara/CE
Órgão: ESTADO DO CEARA
Id contratação PNCP: 07954480000179-1-008169/2026
Fonte: Secretaria do Planejamento e Gestão do Ceará
A presente aquisição de Material Laboratorial visa fortalecer o processo de ensino-aprendizagem, especialmente nas disciplinas de Ciências da Natureza. A disponibilidade de recursos adequados possibilita  a realização de aulas práticas, tornando o aprendizado mais significativo, dinâmico e alinhado às diretrizes 
educacionais, além de estimular o pensamento crítico, a investigação científica e o interesse dos estudantes, assim atendendo a EEMTI Belarmino Lins de Medeiros. - Dispensa</t>
  </si>
  <si>
    <t>Secretaria Estadual de Educação Básica - EEM Maria de Castro Bernardo</t>
  </si>
  <si>
    <t>DL/12522/2026</t>
  </si>
  <si>
    <t>* Licitação Eletrônica * REPASSE DE MANUTENÇÃO PARA ESCOLAS * https://pncp.gov.br *</t>
  </si>
  <si>
    <t>Unidade compradora: 228689 - ESTADO DO CEARA - EEM MARIA DE CASTRO BERNARDO
Local: Aquiraz/CE
Órgão: ESTADO DO CEARA
Id contratação PNCP: 07954480000179-1-008128/2026
Fonte: Secretaria do Planejamento e Gestão do Ceará
NECESSIDADE ESCOLAR - Dispensa</t>
  </si>
  <si>
    <t>Secretaria Estadual de Educação Basica - E.E.E.P - JOSÉ DE BARCELOS</t>
  </si>
  <si>
    <t>DL/11516/2026</t>
  </si>
  <si>
    <t>* Licitação Eletrônica * AQUISIÇÃO DE MATERIAIS PARA MANUTENÇÃO DE BENS E IMÓVEIS PARA ATENDER A DEMANDA DO ANO LETIVO DE 2026. * https://pncp.gov.br *</t>
  </si>
  <si>
    <t>Unidade compradora: 228091 - ESTADO DO CEARA - EEEP JOSÉ DE BARCELOS
Local: Fortaleza/CE
Órgão: ESTADO DO CEARA
Id contratação PNCP: 07954480000179-1-008164/2026
Fonte: Secretaria do Planejamento e Gestão do Ceará
PARA ATENDER A DEMANDA DO ANO LETIVO DE 2026. - Dispensa</t>
  </si>
  <si>
    <t>DL/11988/2026</t>
  </si>
  <si>
    <t>* Licitação Eletrônica * AQUISIÇÃO MATERIAL DE LIMPEZA E PRODUÇÃO DE HIGIENIZAÇÃO. * https://pncp.gov.br *</t>
  </si>
  <si>
    <t>Unidade compradora: 228329 - ESTADO DO CEARA - EEEP ISAÍAS GONÇALVES DAMASCENO
Local: São Benedito/CE
Órgão: ESTADO DO CEARA
Id contratação PNCP: 07954480000179-1-008192/2026
Fonte: Secretaria do Planejamento e Gestão do Ceará
aquisição de material de limpeza é essencial para garantir a manutenção adequada das condições de higiene, saúde e conservação dos ambientes. A limpeza regular dos espaços contribui diretamente para a prevenção de doenças, bem como para o bem-estar e a segurança de colaboradores, usuários e visitantes.
 - Dispensa</t>
  </si>
  <si>
    <t>Eem Franklin Távora</t>
  </si>
  <si>
    <t>Itapiúna</t>
  </si>
  <si>
    <t>DL/12550/2026</t>
  </si>
  <si>
    <t xml:space="preserve">* Licitação Eletrônica * Aquisição de Material para Manutenção de Bens Imóveis para atender a demanda da EEMTI Franklin Távora, ano 2026. </t>
  </si>
  <si>
    <t>GOVERNO DO ESTADO DO CEARÁ - SEPLAG - Secretaria do Planejamento e Gestão
**  https://s2gpr.sefaz.ce.gov.br/licita-web/paginas/licita/PublicacaoList.seam  ** 
Número da publicação: 2026/12550
Nº Edital - Contratante - Entrega: 20260014 - EEM FRANKLIN TÁVORA -
Sistemática - Forma de Aquisição: DISPENSA - COTAÇÃO ELETRÔNICA
Gestor Contratante: JOSE IVANILDO COSTA</t>
  </si>
  <si>
    <t>Consórcio Público de Saúde da Microrregião do Crateús</t>
  </si>
  <si>
    <t>Crateús</t>
  </si>
  <si>
    <t>* Licitação Eletrônica * Aquisição de equipamentos odontológicos e hospitalares, compreendendo 02dois compressores odontológicos, 02 duas bombas a vácuo e 01 um bisturi elétrico com alimentação 110 VAC - 4A / 220V - 2A, destinados ao fortalecimento da infraestrutura assistencial do Centro de Especialidades Odontológicas - CEO e da Policlínica Raimundo Soares Resende, unidades integrantes da rede de serviços vinculada ao Consórcio Público de Saúde da Microrregião de Crateús, com a finalidade de garantir o adequado suporte ao funcionamento dos equipamentos clínicos, assegurar a continuidade dos atendimentos especializados, bem como promover maior eficiência operacional, segurança e qualidade na prestação dos serviços de saúde à população assistida.</t>
  </si>
  <si>
    <t>Dispensa Eletrônica
CERTAME LICITATÓRIO Nº 00926DL
Tipo de apuração: Item
Critério de julgamento: Menor Preço</t>
  </si>
  <si>
    <t>DL/12652/2026</t>
  </si>
  <si>
    <t>* Licitação Eletrônica * Material Elétrico e Eletrônico para atender as necessidades da escola.  * https://pncp.gov.br *</t>
  </si>
  <si>
    <t>Unidade compradora: 228064 - ESTADO DO CEARA - COLÉGIO ESTADUAL LICEU DO CEARÁ
Local: Fortaleza/CE
Órgão: ESTADO DO CEARA
Id contratação PNCP: 07954480000179-1-008174/2026
Fonte: Secretaria do Planejamento e Gestão do Ceará
Para atender as necessidades da escola.  - Dispensa</t>
  </si>
  <si>
    <t>Secretaria Estadual de Educação Básica - EEEP Professora Abigail Sampaio</t>
  </si>
  <si>
    <t>DL/10894/2026</t>
  </si>
  <si>
    <t>* Licitação Eletrônica * COTAÇÃO ELETRÔNICA 14/2026 - AQUISIÇÃO - SERVIÇOS DE TERCEIROS - MANUTENÇÃO E CONSERVAÇÃO DE BENS IMÓVEIS EM PROL DA EEEP PROFESSORA ABIGAIL SAMPAIO. * https://pncp.gov.br *</t>
  </si>
  <si>
    <t>Unidade compradora: 228268 - ESTADO DO CEARA - EEEP PROFESSORA ABIGAIL SAMPAIO
Local: Paracuru/CE
Órgão: ESTADO DO CEARA
Id contratação PNCP: 07954480000179-1-008167/2026
Fonte: Secretaria do Planejamento e Gestão do Ceará
A presente AQUISIÇÃO - SERVIÇOS DE TERCEIROS - MANUTENÇÃO E CONSERVAÇÃO DE BENS IMÓVEIS visa suprir a necessidade revitalização dos ambientes escolares, tornando estes mais acolhedores para alunos, professores e funcionários, assim atendendo às EEEP PROFESSORA ABIGAIL SAMPAIO - CREDE 2. Desse modo, se faz necessário adquirir o bem ou serviço citado com
Aporte de Recursos Financeiros da Portaria de Manutenção n 01/2026. - Dispensa</t>
  </si>
  <si>
    <t>Secretaria Estadual de Educação Básica - EEEP Francisco Paiva Tavares</t>
  </si>
  <si>
    <t>Caridade</t>
  </si>
  <si>
    <t>DL/11797/2026</t>
  </si>
  <si>
    <t>* Licitação Eletrônica * 0011/2026 - FERRAMENTAS * https://pncp.gov.br *</t>
  </si>
  <si>
    <t>Unidade compradora: 228765 - ESTADO DO CEARA - EEEP FRANCISCO PAIVA TAVARES
Local: Caridade/CE
Órgão: ESTADO DO CEARA
Id contratação PNCP: 07954480000179-1-008206/2026
Fonte: Secretaria do Planejamento e Gestão do Ceará
0011/2026/ FERRAMENTAS - Dispensa</t>
  </si>
  <si>
    <t>Guarda Municipal de Fortaleza</t>
  </si>
  <si>
    <t>DL/12111/2026</t>
  </si>
  <si>
    <t>* Licitação Eletrônica * Constitui objeto da presente Dispensa de Licitação a aquisição de equipamentos para resgate, contenção e manejo de fauna silvestre, tais como: gancho para serpentes, puçá para captura, cambão, pinção para répteis e caixa para transporte de animais, de acordo com as especificações e quantitativos previstos no termo de referência. * https://pncp.gov.br *</t>
  </si>
  <si>
    <t>Unidade compradora: 105000 - ESTADO DO CEARA - PMF - GUARDA MUNICIPAL DE FORTALEZA
Local: Fortaleza/CE
Órgão: ESTADO DO CEARA
Id contratação PNCP: 07954480000179-1-008183/2026
Fonte: Secretaria do Planejamento e Gestão do Ceará
A Guarda Municipal de Fortaleza GMF, nos termos do art. 144, 8, da Constituição Federal, possui a atribuição de proteger bens, serviços e instalações do Município. No âmbito de suas competências, a Inspetoria de Proteção Ambiental IPAM atua na preservação ambiental, incluindo o atendimento a ocorrências com fauna silvestre em áreas urbanas. O aumento da presença desses animais na cidade, decorrente da urbanização, degradação ambiental e fatores climáticos, exige atuação técnica e segura. Assim, a presente contratação visa ao fornecimento de equipamentos adequados para captura, contenção, manejo e transporte de animais, garantindo a segurança dos agentes, da população e dos próprios animais. A aquisição é essencial para padronizar procedimentos, assegurar eficiência operacional e fortalecer a atuação institucional da GMF nas ações de proteção ambiental. - Dispensa</t>
  </si>
  <si>
    <t>Secretaria Estadual de Educação Básica - EEFM FRANKLIM TÁVORA</t>
  </si>
  <si>
    <t>DL/12555/2026</t>
  </si>
  <si>
    <t>* Licitação Eletrônica * Aquisição de Material de proteção e segurança para atender a demanda da EEMTI Franklin Távora, ano 2026.  * https://pncp.gov.br *</t>
  </si>
  <si>
    <t>Unidade compradora: 228397 - ESTADO DO CEARA - EEM FRANKLIN TÁVORA
Local: Itapiúna/CE
Órgão: ESTADO DO CEARA
Id contratação PNCP: 07954480000179-1-008229/2026
Fonte: Secretaria do Planejamento e Gestão do Ceará
Atender a demanda da EEMTI Franklin Távora, ano 2026 - Dispensa</t>
  </si>
  <si>
    <t>CP/190244/2026</t>
  </si>
  <si>
    <t>AQUISIÇÃO DE INSUMOS</t>
  </si>
  <si>
    <t>Eventuais dúvidas poderão ser esclarecidas através do e-mail suprimentos@isgh.org.br, observada a antecedência de 24h antes do término do prazoprevisto para o encerramento da Cotação
ISGH - GOVERNO DO ESTADO DO CEARA
Data solicitação: 07/04/2026
Categoria: INSUMOS DE MANUTENÇÃO</t>
  </si>
  <si>
    <t>CP/190260/2026</t>
  </si>
  <si>
    <t>Secretaria Estadual de Educação Básica - E.E.F.M. DOM ANTÔNIO DE ALMEIDA LUSTOSA</t>
  </si>
  <si>
    <t>DL/13067/2026</t>
  </si>
  <si>
    <t>* Licitação Eletrônica * A aquisição de materiais elétricos e eletrônicos visando à manutenção preventiva e corretiva das instalações físicas, bem como à atualização tecnológica dos ambientes administrativos e pedagógicos da unidade escolar, garantindo a segurança elétrica e a continuidade das atividades de ensino, visando atender as necessidades desta unidade escolar da rede Estadual de Ensino do Estado do Ceará. * https://pncp.gov.br *</t>
  </si>
  <si>
    <t>Unidade compradora: 228082 - ESTADO DO CEARA - EEFM DOM ANTONIO DE ALMEIDA LUSTOSA
Local: Fortaleza/CE
Órgão: ESTADO DO CEARA
Id contratação PNCP: 07954480000179-1-008244/2026
Fonte: Secretaria do Planejamento e Gestão do Ceará
A aquisição de materiais elétricos e eletrônicos é fundamental para garantir a continuidade das atividades pedagógicas e administrativas, assegurando a manutenção da infraestrutura física e o funcionamento de equipamentos essenciais, como computadores, projetores e sistemas de iluminação. A disponibilidade desses itens permite um ambiente de aprendizagem seguro, moderno e tecnologicamente integrado, prevenindo a interrupção de aulas por falhas técnicas e viabilizando o uso de ferramentas digitais que são indispensáveis para a formação contemporânea dos alunos e para a eficiência da gestão escolar. - Dispensa</t>
  </si>
  <si>
    <t>MINISTÉRIO DA DEFESA - Comando do Exército - Comando Militar do Nordeste - 10ª Região Militar</t>
  </si>
  <si>
    <t>DL/52/2026</t>
  </si>
  <si>
    <t>* Licitação Eletrônica * Aquisição e dispositivos de segurança Cadeados para utilização nas instalações do comando da 10ª RM * https://pncp.gov.br *</t>
  </si>
  <si>
    <t>Unidade compradora: 160047 - COMANDO DO EXERCITO - COMANDO 10 REGIAO MILITAR/MEX - CE
Local: Fortaleza/CE
Órgão: COMANDO DO EXERCITO
Id contratação PNCP: 00394452000103-1-007223/2026
Fonte: Compras.gov.br
 - Dispensa</t>
  </si>
  <si>
    <t>Secretaria Estadual de Educação Básica -  EEM  Monsenhor Antonio Feitosa</t>
  </si>
  <si>
    <t>Missão Velha</t>
  </si>
  <si>
    <t>DL/12123/2026</t>
  </si>
  <si>
    <t>* Licitação Eletrônica * AQUISIÇÃO OUTROS SERVIÇOS DE TERCEIROS.
 MANUTENÇÃO PREDIAL * https://pncp.gov.br *</t>
  </si>
  <si>
    <t>Unidade compradora: 228641 - ESTADO DO CEARA - EEM MONSENHOR ANTÔNIO FEITOSA
Local: Missão Velha/CE
Órgão: ESTADO DO CEARA
Id contratação PNCP: 07954480000179-1-008254/2026
Fonte: Secretaria do Planejamento e Gestão do Ceará
PARA SUPRIR AS NECESSIDADES DA UNIDADE ESCOLAR. - Dispensa</t>
  </si>
  <si>
    <t>DL/12599/2026</t>
  </si>
  <si>
    <t>* Licitação Eletrônica * Aquisição de material de proteção e segurança para atender as necessidades da escola.  * https://pncp.gov.br *</t>
  </si>
  <si>
    <t>Unidade compradora: 228064 - ESTADO DO CEARA - COLÉGIO ESTADUAL LICEU DO CEARÁ
Local: Fortaleza/CE
Órgão: ESTADO DO CEARA
Id contratação PNCP: 07954480000179-1-008098/2026
Fonte: Secretaria do Planejamento e Gestão do Ceará
Para atender as necessidades da escola.  - Dispensa</t>
  </si>
  <si>
    <t>DL/462/2026</t>
  </si>
  <si>
    <t>AQUISIÇÃO DE ESCOVA DE AÇO 
PRE 036346 SC 024242 P/GEMED</t>
  </si>
  <si>
    <t>GOVERNO DO ESTADO DO CEARÁ - SEPLAG - Secretaria do Planejamento e Gestão
**  https://s2gpr.sefaz.ce.gov.br/licita-web/paginas/licita/PublicacaoList.seam  ** 
Número da publicação: 2026/13100
Nº Edital - Contratante - Entrega: 20260462 - COMPANHIA DE AGUA E ESGOTO DO CEARA -
Sistemática - Forma de Aquisição: DISPENSA LEI 13.303/2016, ART. 29 -
Gestor Contratante: JADE DOS SANTOS CARMONA COSTA LIMA
 - Licitação sujeita a confirmação pois não foi informado que trata-se de prorrogação.</t>
  </si>
  <si>
    <t>SM/1506/2026</t>
  </si>
  <si>
    <t>FLUIG 798086: AQUISICAO DE ASSENTOS SANITARIOS MODELO UNIVERSAL SESI JARDIM DA PENHA https://portaldecompras.findes.org.br/portal/Mural.aspx</t>
  </si>
  <si>
    <t>CP/7362/2026</t>
  </si>
  <si>
    <t>Aquisição de material para manutenção predial - pedido de cotação nº 7362/2026 - informamos que a cotação estará disponível neste site e na plataforma apoio cotações, sob a ID 1497861 conforme solicitação em anexo, no período de 07/04/2026 a 14/04/2026, às 23h55.</t>
  </si>
  <si>
    <t>Data publicação: 2026-04-07 03:00:00.000</t>
  </si>
  <si>
    <t>FUNEV - Hospital Municipal Alfredo Abrahão</t>
  </si>
  <si>
    <t>CP/7363/2026</t>
  </si>
  <si>
    <t>Aquisição de material para manutenção predial - pedido de cotação nº 7363/2026 - informamos que a cotação estará disponível neste site e na plataforma apoio cotações sob a ID 1498049 e neste site, conforme solicitação em anexo, no período de 07/04/2026 a 14/04/2026, às 23h55.</t>
  </si>
  <si>
    <t>CP/187/2026</t>
  </si>
  <si>
    <t>Edital pedido de cotação nº 187/2026 - aquisição e instalação de  reservatório de água.Informamos ainda que o pedido está publicado no site e na plataforma Apoio Cotações através do ID: 1494461 no período de 01/04/2026 até às 23h59min do dia 09/04/2026.</t>
  </si>
  <si>
    <t>Data publicação: 2026-04-01 03:00:00.000</t>
  </si>
  <si>
    <t>Fundo Municipal de Educação de Novo Planalto</t>
  </si>
  <si>
    <t>Novo Planalto</t>
  </si>
  <si>
    <t>DL/45/2026</t>
  </si>
  <si>
    <t>* Licitação Eletrônica * CONTRATAÇÃO DE EMPRESA ESPECIALIZADA EM PRESTAÇÃO DE SERVIÇOS MANUTENÇÃO DE TACÓGRAFO DOS VEÍCULOS TIPO ÔNIBUS LOTADOS NO TRANSPORTE ESCOLAR, ATENDENDO AS DEMANDAS DO FUNDO MUNICIPAL DE EDUCAÇÃO DE NOVO PLANALTO/GO. * https://pncp.gov.br *</t>
  </si>
  <si>
    <t>Unidade compradora: 18 - FUNDO MUNICIPAL DE EDUCACAO - FME - FUNDO MUNICIPAL DE EDUCAÇÃO - FME
Local: Novo Planalto/GO
Órgão: FUNDO MUNICIPAL DE EDUCACAO - FME
Id contratação PNCP: 44351199000178-1-000015/2026
Fonte: Megasoft Informática
 - Dispensa</t>
  </si>
  <si>
    <t>Prefeitura Municipal de Planaltina</t>
  </si>
  <si>
    <t>Planaltina</t>
  </si>
  <si>
    <t>DL/11571/2026</t>
  </si>
  <si>
    <t>* Licitação Eletrônica * AQUISIÇÃO DE PRODUTOS DIVERSOS * https://pncp.gov.br *</t>
  </si>
  <si>
    <t>Unidade compradora: 31 - FEMBOM/MUNICIPIO DE PLANALTINA - FUNDO MUNICIPAL CORPO DE BOMBEIROS
Local: Planaltina/GO
Órgão: FEMBOM/MUNICIPIO DE PLANALTINA
Id contratação PNCP: 08599046000180-1-000008/2026
Fonte: Sigep - Sistemas Integrados
 e-mail: fembom.10cibm@gmail.com - Dispensa</t>
  </si>
  <si>
    <t>DL/84503/2026</t>
  </si>
  <si>
    <t>* Licitação Eletrônica * AQUISIÇÃO DE PLUGUES PADRÃO 2P+T 10A E PLUGUES PADRÃO 2P+T 20A, DESTINADOS À INSTALAÇÃO, SUBSTITUIÇÃO E ADEQUAÇÃO DOS APARELHOS DE AR-CONDICIONADO DOS SETORES QUE COMPÕEM A SECRETARIA MUNICIPAL DE SAÚ * https://pncp.gov.br *</t>
  </si>
  <si>
    <t>Unidade compradora: 0 - MUNICIPIO DE CHAPADAO DO CEU - FUNDO MUNICIPAL DE SAUDE DE CHAPADAO DO CEU-FMS
Local: Chapadão do Céu/GO
Órgão: MUNICIPIO DE CHAPADAO DO CEU
Id contratação PNCP: 24859332000194-1-000262/2026
Fonte: CENTI
AQUISIÇÃO DE PLUGUES PADRÃO 2P+T 10A E PLUGUES PADRÃO 2P+T 20A, DESTINADOS À INSTALAÇÃO, SUBSTITUIÇÃO E ADEQUAÇÃO DOS APARELHOS DE AR-CONDICIONADO DOS SETORES QUE COMPÕEM A SECRETARIA MUNICIPAL DE SAÚDE DE CHAPADÃO DO CÉU - GO. - Dispensa</t>
  </si>
  <si>
    <t>INST.FED.DE EDUC., CIENCIA E TEC. GOIANO</t>
  </si>
  <si>
    <t>* Licitação Eletrônica * Aquisição de bomba dosadora duplex para utilização no Setor de Tratamento de Água do Campus Ceres do IF Goiano, conforme condições, quantidades e exigências estabelecidas no Aviso de Contratação Direta e seus anexos. * https://pncp.gov.br *</t>
  </si>
  <si>
    <t>Unidade compradora: 158124 - INSTITUTO FEDERAL DE EDUCACAO, CIENCIA E TECNOLOGIA GOIANO - INST.FED.DE EDUC., CIENCIA E TEC. GOIANO
Local: Goiânia/GO
Órgão: INSTITUTO FEDERAL DE EDUCACAO, CIENCIA E TECNOLOGIA GOIANO
Id contratação PNCP: 10651417000178-1-000044/2026
Fonte: Compras.gov.br
Leia atentamente o Edital e seus anexos, disponibilizados em arquivo compactado. - Dispensa</t>
  </si>
  <si>
    <t>SANEACÉU – Sistema de Água e Esgoto de Chapadão do Céu</t>
  </si>
  <si>
    <t>DL/84469/2026</t>
  </si>
  <si>
    <t>* Licitação Eletrônica * CONTRATAÇÃO DE EMPRESA ESPECIALIZADA NA PRESTAÇÃO DE SERVIÇOS DE SUBSTITUIÇÃO E INSTALAÇÃO DE BOMBAS SUBMERSÍVEIS DE POÇOS SEMI ARTESIANOS DO SISTEMA DE ABASTECIMENTO DE ÁGUA DO MUNICÍPIO DE CHAPADÃO  * https://pncp.gov.br *</t>
  </si>
  <si>
    <t>Unidade compradora: 9 - MUNICIPIO DE CHAPADAO DO CEU - SIST DE AGUA E ESGOTO DE CHAPADAO DO CEU SANEACEU
Local: Chapadão do Céu/GO
Órgão: MUNICIPIO DE CHAPADAO DO CEU
Id contratação PNCP: 24859332000194-1-000261/2026
Fonte: CENTI
CONTRATAÇÃO DE EMPRESA ESPECIALIZADA NA PRESTAÇÃO DE SERVIÇOS DE SUBSTITUIÇÃO E INSTALAÇÃO DE BOMBAS SUBMERSÍVEIS DE POÇOS SEMI ARTESIANOS DO SISTEMA DE ABASTECIMENTO DE ÁGUA DO MUNICÍPIO DE CHAPADÃO DO CÉU - GO - Dispensa</t>
  </si>
  <si>
    <t>DL/84500/2026</t>
  </si>
  <si>
    <t>* Licitação Eletrônica * AQUISIÇÃO DE ACESSÓRIOS DESTINADOS À LIMPEZA E MANUTENÇÃO DE PISCINA, PARA ATENDER ÀS NECESSIDADES DO CENTRO INTEGRADO DE SAÚDE MENTAL - CISM. A CONTRATAÇÃO SERÁ REALIZADA EM LOTE ÚNICO, CONSIDERANDO  * https://pncp.gov.br *</t>
  </si>
  <si>
    <t>Unidade compradora: 0 - MUNICIPIO DE CHAPADAO DO CEU - FUNDO MUNICIPAL DE SAUDE DE CHAPADAO DO CEU-FMS
Local: Chapadão do Céu/GO
Órgão: MUNICIPIO DE CHAPADAO DO CEU
Id contratação PNCP: 24859332000194-1-000263/2026
Fonte: CENTI
AQUISIÇÃO DE ACESSÓRIOS DESTINADOS À LIMPEZA E MANUTENÇÃO DE PISCINA, PARA ATENDER ÀS NECESSIDADES DO CENTRO INTEGRADO DE SAÚDE MENTAL - CISM. A CONTRATAÇÃO SERÁ REALIZADA EM LOTE ÚNICO, CONSIDERANDO A NECESSIDADE DE COMPATIBILIDADE ENTRE OS ITENS QUE COMPÕEM O CONJUNTO DE ACESSÓRIOS, GARANTINDO SEU ADEQUADO FUNCIONAMENTO, EFICIÊNCIA NA UTILIZAÇÃO E PADRONIZAÇÃO DOS MATERIAIS A SEREM ADQUIRIDOS. - Dispensa</t>
  </si>
  <si>
    <t>DL/75/2026</t>
  </si>
  <si>
    <t>* Licitação Eletrônica * FERRAMENTAS PARA O SETOR DO PATRIMONIO, SENDO CAPACIMETRO DIGITAL, ALICATE CORTADOR, ALARGADOR TUBO E BOMBA DE VÁCUO. * https://pncp.gov.br *</t>
  </si>
  <si>
    <t>Unidade compradora: 2 - MUNICIPIO DE QUIRINOPOLIS - PODER EXECUTIVO
Local: Quirinópolis/GO
Órgão: MUNICIPIO DE QUIRINOPOLIS
Id contratação PNCP: 02056737000151-1-000095/2026
Fonte: CENTI
A AQUISIÇÃO DOS MATERIAIS É NECESSÁRIA PARA ATENDER ÀS DEMANDAS DE MANUTENÇÃO E SERVIÇOS TÉCNICOS DO SETOR DE PATRIMÔNIO, POSSIBILITANDO A REALIZAÇÃO DE REPAROS, INSTALAÇÕES E VERIFICAÇÕES EM EQUIPAMENTOS. OS ITENS SÃO ESSENCIAIS PARA GARANTIR MAIOR EFICIÊNCIA, AGILIDADE E SEGURANÇA NAS ATIVIDADES, ALÉM DE CONTRIBUIR PARA A CONTINUIDADE DOS SERVIÇOS E REDUÇÃO DE CUSTOS COM TERCEIRIZAÇÕES. | COMPRAS AGRUPADAS DOS PEDIDOS: 2020064630 - Dispensa</t>
  </si>
  <si>
    <t>SM/7004552269</t>
  </si>
  <si>
    <t>* Licitação Eletrônica * Serviços técnicos de substituição por obsolescência de painéis elétricos da ESMAN, conforme as especificações deste Edital e de seus adendos</t>
  </si>
  <si>
    <t>** Esta publicação está sendo informada para os estados MG e RJ onde será realizado o objeto da licitação. Informamos que a publicação oficial é do estado de RJ. **
Regiões: MG 
Inicio: 2026/04/09 - 12:00:00 Término dos lances: 2026/04/09 12:00:00
 - Licitação sujeita a confirmação pois não foi informado que trata-se de prorrogação.</t>
  </si>
  <si>
    <t>DL/615/2026</t>
  </si>
  <si>
    <t>Produto/Serviço Quant. Unidade
Produto/Serviço: Peças para manutenção
Descrição: Válvula Outlet para equipamentos da Linha Vario Flex 850/881/882/883/930/940/ECO NCM:84812090 1 Unidade
Produto/Serviço: Peças para manutenção
Descrição: TUBO PARA SUPRESSOR PHAARMED OG/GB COM 3 STOPPERS NCM:39173900 1 Unidade
Produto/Serviço: Peças para manutenção
Descrição: ELEMENTO FILTRANTE PARA FILTRO CONJUNTO COM 10 UNIDADES NCM:84219999 1 Unidade
Produto/Serviço: Peças para manutenção
Descrição: FILTRO DE ASPIRAÇÃO DE ELUENTE CONJUNTO COM 5 UNIDADES NCM:84212990 1 Unidade
Produto/Serviço: Peças para manutenção
Descrição: Mola para pistão da bomba de alta pressão do cromatógrafo de íons. Tamanho 44mm NCM:73209000 1 Unidade</t>
  </si>
  <si>
    <t>Cotação compra direta
A Fundação Christiano Ottoni recebe as entregas de segunda à sexta-feira nos horários de 8:00 às 12:00 e de 13:00 às 17:00 hs.
Material de Consumo para Laboratório</t>
  </si>
  <si>
    <t>DL/618/2026</t>
  </si>
  <si>
    <t>Produto/Serviço Quant. Unidade
Produto/Serviço: Álcool Isopropílico PA
Descrição: Teor concentração Min. 99,5 % aspecto forma liquido aspecto cor incolor solubilidade 5% em agua limpido e incolor compostos carbonilicos máx. 0,002 % residuo após a evaporação máx. 0,001 % acidez como acido acetico máx. 0,02 meq/g agua h2o máx. 0,2 % cor apha Máx. 10 10 Litro
Produto/Serviço: Frasco para amostras
Descrição: Coletor de plástico estéril tampa vermelha 50 ml. Fabricado em polipropileno transparente; Tampa fabricada em polietileno de alta densidade; Sistema de vedação tipo rosca; Graduado; Estéril por Radiação Ionizante E beam ; Volume: 50 mL. 100 Unidade
Produto/Serviço: Parafilm M 10 cm de largura
Descrição: Comprimento: 38 metros; Largura: 10 cm; Cor: Translúcido branco; Material: Termoplástico auto aderente; Compatibilidade: Vidro, metal, plástico; Elástico: Estica até 200% sem rasgar, 2 Unidade
Produto/Serviço: Almofariz e pistilo Agata 100 ml
Descrição: Feito de Ágata natural com superfícies altamente polidas. Capacidade 100 ml. Diâmetro externo 120 mm; diâmetro interno 100 mm. 1 Unidade
Produto/Serviço: Molde cilíndrico de silicone para fondant de 15 cavidades
Descrição: Molde geométrico especial de silicone 3D tem 15 cavidades cilíndricas, cada uma com uma profundidade de 5,3 cm/2,1 polegadas e um diâmetro de 3,7 cm/1,5 polegadas. Flexível e fácil de desmoldar. Resistência a altas temperaturas de 40 C a +230 C. 3 Unidade
Produto/Serviço: Antifoam C Emulsion aqueous-silicone emulsion 500 ml
Descrição: Emulsion Antifoam C Emulsion is an aqueous emulsion containing 30% active silicone. It contains non ionic emulsifiers different from those in Antifoam Emulsions B and Y 30. Antifoam C Emulsion can be prediluted with 3 10 parts of cool water to aid in dispersion. Prediluted suspensions should be used immediately. Antifoam C Emulsion is typically effective at 1 10 ppm. The flow properties of Antifoam C Emulsion are such that it can be pumped on an as needed basis to a fermentor system with sufficient agitation to disperse the antifoam. Appearance: White emulsion pH: ~3 Density: 1.0 at 25 C 1 Unidade
Produto/Serviço: Resina acrílica metalografia
Descrição: Resina acrílica para embutimento metalográfico, com o catalisador acrílico. 2 Unidade
Produto/Serviço: Lixa d´água #5000
Descrição: Lixas d'água com carbeto de sílicio ou alumina. #5000 10 Unidade
Produto/Serviço: Lixa d´água #4000
Descrição: Lixas d'água com carbeto de sílicio ou alumina. #4000 10 Unidade
Produto/Serviço: Lixa d´água #3000
Descrição: Lixas d'água com carbeto de sílicio ou alumina. #3000 10 Unidade
Produto/Serviço: Pote de Plástico 6L Tampa
Descrição: Pote de Plástico 6L Tampa de Rosca 22 cm x 22 cm Plástico resistente, atóxico e livre de BPA 10 Unidade
Produto/Serviço: Caixa Organizadora Plástica de 1 Litro e Tampa com Travas
Descrição: Caixa Organizadora Plástica de 1 Litro e Tampa com Travas, Linha Top Stock. 26,2 x 17,7 x 8,5 cm LxCxA ; 175 g 5 Unidade
Produto/Serviço: Caixa Organizadora Plástica de 2,3 Litros e Tampa com Travas
Descrição: Caixa Organizadora Plástica de 2,3 Litros e Tampa com Travas, Linha Top Stock. 18,6 x 14,5 x 7,2 cm LxCxA ; 120 g 5 Unidade
Produto/Serviço: Caixa Organizadora Plástica de 8,6 Litros e Tampa com Travas
Descrição: Caixa Organizadora Plástica de 8,6 Litros e Tampa com Travas, Linha Top Stock. 40 x 27 x 13,3 cm LxCxA ; 436 g 5 Unidade
Produto/Serviço: Caixa Organizadora Plástica de 28,2 Litros e Tampa com Travas
Descrição: Caixa Organizadora Plástica de 28,2 Litros e Tampa com Travas, Linha Top Stock. 56,4 x 38,5 x 20,1 cm LxCxA ; 1060 g 2 Unidade
Produto/Serviço: Saco Zip lock 4x4 cm kit 100 unidades
Descrição: Plástico Zip Lock é produzido em polietileno transparente 4x4 cm kit 100 unidades 3 Unidade
Produto/Serviço: Saco Zip lock 15x22 cm kit 100 unidades
Descrição: Plástico Zip Lock é produzido em polietileno transparente 5x7 cm kit 100 unidades 4 Unidade
Produto/Serviço: Saco Zip lock 10x14 cm kit 100 unidades
Descrição: Plástico Zip Lock é produzido em polietileno transparente 10x14 cm kit 100 unidades 3 Unidade
Produto/Serviço: Saco Zip lock 15x22 cm kit 100 unidades
Descrição: Plástico Zip Lock é produzido em polietileno transparente 15x22 cm kit 100 unidades 4 Unidade
Produto/Serviço: Saco Zip lock 17x24 cm kit 100 unidades
Descrição: Plástico Zip Lock é produzido em polietileno transparente 17x24 cm kit 100 unidades 4 Unidade
Produto/Serviço: Luvas nitrílicas descartáveis G cx.
Descrição: Luva nitrílica tamanho G cx c/100 3 Unidade
Produto/Serviço: Luvas nitrílicas descartáveis M cx.
Descrição: Luva nitrílica tamanho M cx c/100 3 Unidade
Produto/Serviço: Luvas nitrílicas descartáveis P cx.
Descrição: Luva nitrílica tamanho P cx c/100 3 Unidade
Produto/Serviço: Respirador PFF3 com válvula Kit com 100
Descrição: Respirador PFF3 descartável com vávula ABNT NRB 13.698; Elástico e clipe nasal acoplado; Válvula de exalação; CA 38.505, Aprovado para proteção das vias respiratórias contra poeiras, névoas, fumos e radionuclídeos. 3 Pacote</t>
  </si>
  <si>
    <t>DL/616/2026</t>
  </si>
  <si>
    <t>Produto/Serviço Quant. Unidade
Produto/Serviço: Peças para manutenção
Descrição: SELO DO PISTAO DA BOMBA DE ALTA PRESSAO DO IC NCM:40169990 2 Unidade
Produto/Serviço: Peças para manutenção
Descrição: TUBO PLÁSTICO PARA BOMBA DO CROMATÓGRAFO DE ÍONS NCM:39173900 3 Unidade
Produto/Serviço: Peças para manutenção
Descrição: Pistão de óxido de zircônio para bomba de alta pressão do cromatógrafo de íons NCM:84149010 1 Unidade</t>
  </si>
  <si>
    <t>SM/1218/2026</t>
  </si>
  <si>
    <t>Contratação emergencial de empresa especializada para prestação de serviços de desentupimento de tubulações do sistema hidráulico e sanitário da unidade SESI, localizada na Rua Bela Vista Nº 220; Bairro Chácaras; Betim MG.</t>
  </si>
  <si>
    <t>Acesse site https://compras.fiemg.com.br/Portal/Mural.aspx e consulte os detalhes. 
 Em andamento 
 Edital: SDE 2026001218 
 Inicio dos lances: 2026-04-07 09:00:00 Término dos lances: 2026-04-09 10:00:00</t>
  </si>
  <si>
    <t>Prefeitura Municipal de Santana do Paraíso</t>
  </si>
  <si>
    <t>Santana do Paraíso</t>
  </si>
  <si>
    <t>COTAÇÃO PARA AQUISIÇÃO DE TUBOS PEAD * https://ammlicita.org.br *</t>
  </si>
  <si>
    <t>Id: 96675
Unidade licitante: Prefeitura Municipal de Santana do Paraíso - Unidade Única
Plataforma: ammlicita</t>
  </si>
  <si>
    <t>Prefeitura Municipal de Varginha</t>
  </si>
  <si>
    <t>Varginha</t>
  </si>
  <si>
    <t>Aquisição de tela de alambrado, com fornecimento de forma parcelada, de acordo com a necessidade da Secretaria Municipal de Obras e Serviços Urbanos * www.portaldecompraspublicas.com.br *</t>
  </si>
  <si>
    <t>Órgão: Prefeitura do Município de Varginha - Prefeitura do Município de Varginha - MG
				Processo: 62/2026
				Edital: 24/2026
				Modalidade: Dispensa
				Início de envio das propostas: 08-04-2026 ás 08:29
				Término de envio das propostas: 13/04/2026 ás 08:29		
				Início dos lances: 13/04/2026 ás 08:30</t>
  </si>
  <si>
    <t>Policia Militar de Minas Gerais - 14 RPM</t>
  </si>
  <si>
    <t>CE/1/2026</t>
  </si>
  <si>
    <t xml:space="preserve">* Licitação eletrônica * Materiais para instruções de tiro para a 14ªRPM, localizado em Curvelo/MG, conforme especificações do Termo de Referência. </t>
  </si>
  <si>
    <t>Data de início para recebimento
das propostas: entre 16h25min de 06/04/2026 até às 08h00min do dia
10/04/2026. Data/hora de abertura e fechamento da sessão de lances da
cotação eletrônica: entre 08h00min até às 14h00min do dia 10/04/2026.
ID contratação PNCP: 16695025000197-1-000089/2026.</t>
  </si>
  <si>
    <t>CE/720260394</t>
  </si>
  <si>
    <t>* Licitação eletrônica * Aquisicao de padrao cemig conforme termo de ref. anexo.</t>
  </si>
  <si>
    <t>SM/820261572</t>
  </si>
  <si>
    <t xml:space="preserve"> * Licitação Eletrônica * - * Orçamentação Eletrônica * AQUISICAO DE CURVA 90o RL GALV. ELETROD.JRE DN 3/4"</t>
  </si>
  <si>
    <t>SM/820261568</t>
  </si>
  <si>
    <t>SM/820261560</t>
  </si>
  <si>
    <t>SM/7004579515</t>
  </si>
  <si>
    <t>* Licitação Eletrônica * Aquisição de Válvulas</t>
  </si>
  <si>
    <t>** Esta publicação está sendo informada para os estados MG e RJ onde será realizado o objeto da licitação. Informamos que a publicação oficial é do estado de RJ. **
Regiões: MG RJ 
Inicio: 2026/04/10 - 17:00:00 Término dos lances: 2026/04/10 17:00:00
 - Licitação sujeita a confirmação pois não foi informado que trata-se de prorrogação.</t>
  </si>
  <si>
    <t>SM/1190/2026</t>
  </si>
  <si>
    <t>Contratação de empresa especializada para fabricação e instalação de portão de grade com fechadura digital e manutenção de guarda-corpo, com todos os materiais necessários inclusos. Em atendimento ao SESI, localizado na Avenida Delfino Francisco Xavier nº 100 Vale do Jatobá - Belo Horizonte, MG. 30.664-792.</t>
  </si>
  <si>
    <t>Acesse site https://compras.fiemg.com.br/Portal/Mural.aspx e consulte os detalhes. 
 Em andamento 
 Edital: SDE 2026001190 
 Inicio dos lances: 2026-04-02 10:30:00 Término dos lances: 2026-04-09 10:00:00
 - Licitação sujeita a confirmação pois não foi informado que trata-se de prorrogação.</t>
  </si>
  <si>
    <t>Serviço Autônomo de Água e Esgoto de Bocaiúva</t>
  </si>
  <si>
    <t>Bocaiúva</t>
  </si>
  <si>
    <t>DL/27/2026</t>
  </si>
  <si>
    <t>* Licitação Eletrônica * AQUISIÇÃO DE CHAVE BOIA REGULADORA PARA CONTROLE DE NÍVEL E AUTOMAÇÃO DO SISTEMA DE RECALQUE DA E.T.A * https://pncp.gov.br *</t>
  </si>
  <si>
    <t>Unidade compradora: 001 - SERVICO AUTONOMO DE AGUA E ESGOTO - SERVICO AUTONOMO DE AGUA E ESGOTO DE BOCAIUVA
Local: Bocaiúva/MG
Órgão: SERVICO AUTONOMO DE AGUA E ESGOTO
Id contratação PNCP: 19116243000118-1-000044/2026
Fonte: HLH Assessoria e Consultoria Ltda
 - Dispensa</t>
  </si>
  <si>
    <t>EMATER-Empresa de Assistência Técnica e Extensão Rural</t>
  </si>
  <si>
    <t>CE/20/2026</t>
  </si>
  <si>
    <t>Fechadura digital * https://pncp.gov.br *</t>
  </si>
  <si>
    <t>Unidade compradora: 3041002 - EMPRESA DE ASSISTENCIA TECNICA E EXTENSAO RURAL DO ESTADO DE MINAS GERAIS - EMATER-MG - CPL/EMATER-MG
Local: Belo Horizonte/MG
Órgão: EMPRESA DE ASSISTENCIA TECNICA E EXTENSAO RURAL DO ESTADO DE MINAS GERAIS - EMATER-MG
Id contratação PNCP: 19198118000102-1-000020/2026
Fonte: Portal de Compras do Estado de Minas Gerais
CONFORME AVISO ABERTURA COTEP - Dispensa</t>
  </si>
  <si>
    <t>Câmara Municipal de Capitólio</t>
  </si>
  <si>
    <t>Capitólio</t>
  </si>
  <si>
    <t>Aquisição de materiais de consumo destinados a atender às demandas da Câmara Municipal de Capitólio, conforme condições e exigências estabelecidas no edital.</t>
  </si>
  <si>
    <t>Propostas e documentos devem ser enviados para o e-mail compras@capitolio.mg.leg.br até o prazo informado. Aviso de Dispensa de Licitação e Termo de Referência disponíveis a partir de 01/04/2026 no site www.capitolio.mg.leg.br.</t>
  </si>
  <si>
    <t>DL/554/2026</t>
  </si>
  <si>
    <t>Produto/Serviço Quant. Unidade
Produto/Serviço: Kit GNSS RTK UM980 GNSS RTK Base OEM Kit de antena de desenvolvimento USB Tipo C Placa GPS Beidou Glonass Galileo
Descrição: Canal 1408 canais, Frequência GPS L1C/A, L1C, L2C, L2P Y , L5 BDS B1I, B2I, B3I, B1C, B2a, B2b GLONASS G1, G2, G3 Galileo E1, E5a, E5b, E6 QZSS L1C/A, L1C, L2C, L5 NavIC L5 SBAS L1C/A Posicionamento de ponto único RMS Horizontal: 1,5m Vertical: 2,5m DGPS RMS Horizontal: 0,4m Vertical: 0,8m RTK RMS Horizontal: 0,8 cm+1ppm Vertical: 1,5cm+1ppm PPP RMS Horizontal: 5cm Vertical: 10cm Precisão de observação RMS BDS GPS GLONASS Galileo Código B1I/B1C/L1C*/L1C/A/G1/E1 10cm 10cm 10cm 10cm Fase da portadora B1I/B1C/L1C*/L1C/A/G1/E1 1mm 1mm 1mm 1mm Código B2I/B2a/B2b*/L5/E5a/E5b 10cm 10cm 10cm 10cm Fase da portadora B2I/B2a/B2b*/L5/E5a/E5b 1mm 1mm 1mm 1mm Código B3I/L2P Y /L2C/G2 10cm 10cm 10cm 10cm Fase portadora B3I/L2P Y /L2C/G2 1mm 1mm 1mm 1mm Precisão de tempo RMS 20 ns Precisão de velocidade RMS 0,03 m/s Partida a frio 12 s Tempo de inicialização 5 s típico Confiabilidade da inicialização 99.9% Taxa de atualização de dados 50 Hz* RTK+Dados crus Dados Diferenciais RTCM V3.X Formato de dados NMEA 0183, Unicórnio 4 Unidade</t>
  </si>
  <si>
    <t>Contratação direta
As autorizações de fornecimento serão consideradas válidas, somente quando enviadas por e-mail.
A FUNDECC recebe as entregas de segunda a sexta-feira nos horários de 8:00 às 12:00 hs e de 13:00 às 17:00 hs.
-
 - Licitação sujeita a confirmação pois não foi informado que trata-se de prorrogação.</t>
  </si>
  <si>
    <t>Fundação Artística, Cultural e de Educação para a Cidadania de Viçosa</t>
  </si>
  <si>
    <t>DL/141/2026</t>
  </si>
  <si>
    <t>Produto/Serviço Quant. Unidade
Produto/Serviço: Calcário Dolomítico
Descrição: Produto para correção do solo e recomposição dos nutrientes cálcio e magnésio 10 Tonelada
Produto/Serviço: Fertilizante Cloreto de Potássio
Descrição: Fertilizante agrícola com potássio em sua composição 5 Tonelada
Produto/Serviço: Fertilizante Fosfato monoamônico MAP
Descrição: Fertilizante agrícola com nitrogênio e fósforo em sua composição 5 Tonelada</t>
  </si>
  <si>
    <t>Pesquisa de preços Compra direta
A Fundação Facev tem expediente de segunda à sexta-feira, de 08h às 17h.
Material de Consumo
 - Licitação sujeita a confirmação pois não foi informado que trata-se de prorrogação.</t>
  </si>
  <si>
    <t>FAPED - Fundação de Apoio á Pesquisa e ao Desenvolvimento</t>
  </si>
  <si>
    <t>DL/33/2026</t>
  </si>
  <si>
    <t>Produto/Serviço Quant. Unidade
Produto/Serviço: ASSY, SEAT PORT, .003 ID
Descrição: Peça do injetor FTN Acquity da Waters ASSY, SEAT PORT, .003 ID p/n 700006056 da Waters orçamento 24416068 1 Unidade
Produto/Serviço: UPPER NEEDLE SEAL SUPPORT SLEEVE &amp; CUP
Descrição: Peça do injetor FTN Acquity Waters UPPER NEEDLE SEAL SUPPORT SLEEVE CUP 1 Unidade
Produto/Serviço: FITTING, 1/4-28, PEEK
Descrição: Peça do injetor FTN Acquity da Waters FITTING, 1/4 28, PEEK 1 Unidade</t>
  </si>
  <si>
    <t>CONTRATAÇÃO DIRETA - INEXIGIBILIDADE
A FAPED recebe as entregas de segunda a sexta-feira nos horários de 8 às 12 hs e de 13 às 17 hs.
PEÇAS E ACESSORIOS</t>
  </si>
  <si>
    <t>SM/56/2026</t>
  </si>
  <si>
    <t>Produto/Serviço Quant. Unidade
Produto/Serviço: Galpão para processamento/produção e análise de materiais sustentáveis
Descrição: Galpão conforme detalhado nos projetos encaminhados. OBS:Todas as plantas e orçamentos no link :https://drive.google.com/file/d/1rDAZJ9UD5wKxvpPkdqumySXFVAzMIu5f/view 1 Unidade</t>
  </si>
  <si>
    <t>Seleção publica
As autorizações de fornecimento serão consideradas válidas, somente quando enviadas por e-mail.
A FUNDECC recebe as entregas de segunda a sexta-feira nos horários de 8:00 às 12:00 hs e de 13:00 às 17:00 hs.
-</t>
  </si>
  <si>
    <t>SM/820261566</t>
  </si>
  <si>
    <t xml:space="preserve"> * Licitação Eletrônica * - * Orçamentação Eletrônica * AQUISICAO DE MATERIAIS ABRACADEIRA, CONDULETE, TERMINAL,PROTETOR, TRILHO</t>
  </si>
  <si>
    <t>SM/820261559</t>
  </si>
  <si>
    <t xml:space="preserve"> * Licitação Eletrônica * - * Orçamentação Eletrônica * AQUISICAO DE MATERIAIS, CONDULETE, CANALETA, TERMINAL, PROTETOR</t>
  </si>
  <si>
    <t>Fundação Hemominas - Fundação Centro de Hematologia e Hemoterapia de Minas Gerais</t>
  </si>
  <si>
    <t>CE/58/2026</t>
  </si>
  <si>
    <t>aquisição do Painel de Comunicação IHM C600 Touch Screen modelo 2711C-T6M, fabricante Allen-Bradley
SEI 2320.01.0003796/2026-28 * https://pncp.gov.br *</t>
  </si>
  <si>
    <t>Unidade compradora: 2320310 - FUND CENTRO HEMATOLOGIA E HEMOTERAPIA DE MINAS GERAIS - COMPRAS/HEMOMINAS
Local: Belo Horizonte/MG
Órgão: FUND CENTRO HEMATOLOGIA E HEMOTERAPIA DE MINAS GERAIS
Id contratação PNCP: 26388330000190-1-000030/2026
Fonte: Portal de Compras do Estado de Minas Gerais
 - Dispensa</t>
  </si>
  <si>
    <t>Prefeitura Municipal de Cristais</t>
  </si>
  <si>
    <t>Cristais</t>
  </si>
  <si>
    <t>CONTRATAÇÃO DE SERVIÇOS PARA REALIZAÇÃO DE CARACTERIZAÇÃO E TESTES DE BOMBEAMENTO NO POÇO TUBULAR LOCALIZADO NA USINA DE TRIAGEM E COMPOSTAGEM, PARA ATENDER AS DEMANDAS SECRETARIA MUNICIPAL DE AGRICULTURA E MEIO AMBIENTE</t>
  </si>
  <si>
    <t>Aviso de Licitação</t>
  </si>
  <si>
    <t>CONTRATAÇÃO DE UMA EMPRESA PARA REALIZAÇÃO DE ANÁLISES DE EFLUENTES LÍQUIDOS E ANÁLISES DO CORPO HÍDRICO RECEPTOR</t>
  </si>
  <si>
    <t>DL/610/2026</t>
  </si>
  <si>
    <t>Produto/Serviço Quant. Unidade
Produto/Serviço: Kit com 4 Garrafa de Tintas para impressora Epson L4260
Descrição: Kit com 4 Garrafa de Tintas Preto, Ciano, Magenta, Amarelo para Impressora Epson modelo L4260 2 Unidade
Produto/Serviço: Recarga de gás CO2 33 kg
Descrição: gás para ensaios de carbonatação acelerada em corpos de prova de argamassas e concretos 2 Unidade
Produto/Serviço: Formas metálicas cilíndricas 5x10 cm para argamassas
Descrição: Formas para moldagem de corpos de prova cilíndricos de argamassa para ensaios de caracterização físico mecânicas e de resistividade elétrica. 20 Unidade
Produto/Serviço: Kit com 10 unid de formas plásticas cilindricas 5x10 cm argamassa
Descrição: Formas plásticas cilíndricas 5x10 cm para moldagem de argamassa kit com 10 unid. total do pedido 100 formas 10 Unidade
Produto/Serviço: Frasco de LeChatelier, com tampa, capacidade 250 ml
Descrição: O frasco Le Chatelier é utilizado para determinar a densidade de materiais em pó. 2 Unidade
Produto/Serviço: Capsula de alumínio com tampa, 80mm diâmetro, 30mm altura - formato cilindrico e fundo reto, com tampa.
Descrição: Utilizadas para secagem ou aquecimento de pequenas amostras em estufas ou fornos. 20 Unidade
Produto/Serviço: Concha de aço inox 304, 500 ml
Descrição: Para manuseio de amostras de solos, rejeitos e agregados. 2 Unidade
Produto/Serviço: Concha de aço inox 304, 1000 ml
Descrição: Para manuseio de amostras de solos, rejeitos e agregados. 1 Unidade
Produto/Serviço: Espátula tipo Pão Duro Pequena, 25 cm, resistente até 50°C
Descrição: A espátula é necessária no manuseio e preparação de argamassas. 10 Unidade
Produto/Serviço: Espátula de aço com cabo de plástico, 29x150 mm, ponta redonda
Descrição: Utilizado na preparação de amostras em corpos de prova. 3 Unidade
Produto/Serviço: Espátula de aço com cabo de plástico, 29x200 mm, ponta redonda
Descrição: Utilizado na preparação de amostras em corpos de prova. 3 Unidade</t>
  </si>
  <si>
    <t>DL/614/2026</t>
  </si>
  <si>
    <t>Produto/Serviço Quant. Unidade
Produto/Serviço: Peças para manutenção
Descrição: Válvula Inlet para equipamentos da Linha Vario Flex 850/881/882/883/930/940/ECO NCM:84812090 1 Unidade</t>
  </si>
  <si>
    <t>Prefeitura Municipal de Lavras</t>
  </si>
  <si>
    <t>AQUISIÇÃO DE EQUIPAMENTO DE INFORMÁTICA PARA O LAVRASPREV. * www.portaldecompraspublicas.com.br *</t>
  </si>
  <si>
    <t>Órgão: Prefeitura Municipal de Lavras - Prefeitura Municipal de Lavras - MG
				Processo: 02/2026
				Edital: 02/2026
				Modalidade: Dispensa
				Início de envio das propostas: 08-04-2026 ás 12:25
				Término de envio das propostas: 17/04/2026 ás 08:00		
				Início dos lances: 17/04/2026 ás 09:00
 - Licitação sujeita a confirmação pois não foi informado que trata-se de prorrogação.</t>
  </si>
  <si>
    <t>Policia Militar de Minas Gerais - 7ª Região da Polícia Militar</t>
  </si>
  <si>
    <t>Divinópolis</t>
  </si>
  <si>
    <t>CE/2/2026</t>
  </si>
  <si>
    <t>Serviços de manutenção e reparo em compressor de ar na seção Frota da 7ª RPM. * https://pncp.gov.br *</t>
  </si>
  <si>
    <t>Unidade compradora: 1259975 - POLICIA MILITAR DO ESTADO DE MINAS GERAIS - EM7RPM/7 RPM
Local: Divinópolis/MG
Órgão: POLICIA MILITAR DO ESTADO DE MINAS GERAIS
Id contratação PNCP: 16695025000197-1-000090/2026
Fonte: Portal de Compras do Estado de Minas Gerais
 - Dispensa</t>
  </si>
  <si>
    <t>DL/158/2026</t>
  </si>
  <si>
    <t>Produto/Serviço Quant. Unidade
Produto/Serviço: Cimento
Descrição: Sacos de cimento 50 Kg 40 Unidade
Produto/Serviço: Brita
Descrição: Brita 1 6 Metro cúbico
Produto/Serviço: Areia
Descrição: Areia grossa paraopeba 6 Metro cúbico
Produto/Serviço: Barra de aço
Descrição: Barra de aço 4 2mm 50 Unidade
Produto/Serviço: Tábua
Descrição: Tábua, com as seguintes especificações: material, dimensão entre outras Forma de tábuas 14,4 metros quadrados de 3 metros de comprimento e 10cm de altura 22 Unidade</t>
  </si>
  <si>
    <t>Pesquisa de preços Compra direta
A Fundação Facev tem expediente de segunda à sexta-feira, de 08h às 17h.
Material de Consumo</t>
  </si>
  <si>
    <t>DL/157/2026</t>
  </si>
  <si>
    <t>Produto/Serviço Quant. Unidade
Produto/Serviço: Cimento
Descrição: Sacos de cimento Csn Cpiii Rs 32 50Kg 400 Unidade
Produto/Serviço: Caixa d'água
Descrição: Caixa D'água De 10 000 Litros Poliet Fortleve 1 Unidade
Produto/Serviço: Barras de ferro
Descrição: Barras De Ferro 16 0mm 5/8 12m 100 Unidade
Produto/Serviço: Areia
Descrição: Areia Grossa Do Rio Paraopeba 30 Metro cúbico
Produto/Serviço: Tijolo
Descrição: Tijolo, com as seguintes características: Tijolo Furado 29x19x9 9574 Unidade</t>
  </si>
  <si>
    <t>Agência Estadual de Regulação de Serviços Públicos de Mato Grosso do Sul - AGEMS</t>
  </si>
  <si>
    <t>* Licitação Eletrônica * Aquisição de 8 oito unidades de Pontos de Entrega Voluntária PEVs, com estrutura metálica interna e utilização de materiais ecológicos provenientes de reaproveitamento, destinados à coleta seletiva de resíduos secos papel, metal e plástico, para instalação em unidades de ensino do Estado de Mato Grosso do Sul, no âmbito do Projeto "PEV AGEMS nas Escolas". * https://pncp.gov.br *</t>
  </si>
  <si>
    <t>Unidade compradora: 109 - AGENCIA ESTADUAL DE REGULACAO DE SERVICOS PUBLICOS DE MATO GROSSO DO SUL - Agência Estadual de Regulação de Serviços Públicos de Mato Grosso do Sul
Local: Campo Grande/MS
Órgão: AGENCIA ESTADUAL DE REGULACAO DE SERVICOS PUBLICOS DE MATO GROSSO DO SUL
Id contratação PNCP: 04895130000190-1-000004/2026
Fonte: AZ INFORMATICA LTDA
Estrutura metálica resistente, com uso de materiais sustentáveis reaproveitados.
Adequado para ambiente interno e externo, com resistência a sol, chuva e segurança contra propagação de chamas.
03 compartimentos para coleta de papel, metal e plástico, com respectivos refis tipo "big bag".
Cobertura de proteção, porta de acesso com possibilidade de cadeado, rodízios, dreno interno e suporte para fixação de segurança.
Espaço para comunicação visual personalizada, com produção e fixação pelo fornecedor conforme arte fornecida pela AGEMS.
Dimensões mínimas aproximadas de 150 x 150 x 70 cm.
Entrega de 8 unidades, conforme prazos e cronograma definidos pela AGEMS. - Dispensa</t>
  </si>
  <si>
    <t xml:space="preserve">MINISTÉRIO DA EDUCAÇÃO - Instituto Federal de Educação, Ciência e Tecnologia de Mato Grosso </t>
  </si>
  <si>
    <t>Barra do Garças</t>
  </si>
  <si>
    <t>* Licitação Eletrônica * Aquisição de piso tipo paver * https://pncp.gov.br *</t>
  </si>
  <si>
    <t>Unidade compradora: 158497 - INSTITUTO FEDERAL DE EDUCACAO, CIENCIA E TECNOLOGIA DE MATO GROSSO - INST.FED.MATO GROSSO/CAMPUS BARRA DO GARÇAS
Local: Barra do Garças/MT
Órgão: INSTITUTO FEDERAL DE EDUCACAO, CIENCIA E TECNOLOGIA DE MATO GROSSO
Id contratação PNCP: 10784782000150-1-000111/2026
Fonte: Compras.gov.br
 - Dispensa</t>
  </si>
  <si>
    <t>Câmara Municipal de Colniza</t>
  </si>
  <si>
    <t>Colniza</t>
  </si>
  <si>
    <t>Contratação de empresa para fornecimento e instalação de porta de vidro em ambiente destinado ao acesso da Sala da Mulher, espaço que será utilizado para atendimento ao público, especialmente para acolhimento e recebimento de denúncias nas... * www.portaldecompraspublicas.com.br *</t>
  </si>
  <si>
    <t>Órgão: Câmara Municipal de Colniza - Câmara Municipal de Colniza - MT
				Processo: 008/2026
				Edital: 008/2026
				Modalidade: Dispensa
				Início de envio das propostas: 14-04-2026 ás 07:00
				Término de envio das propostas: 13/04/2026 ás 23:59		
				Início dos lances: 13/04/2026 ás 23:59</t>
  </si>
  <si>
    <t>MINISTÉRIO DA DEFESA - Comando da Marinha - Comando de Operações Navais - Comando do 9º Distrito Naval - Base Naval de Val-de-Cães</t>
  </si>
  <si>
    <t>DL/23/2026</t>
  </si>
  <si>
    <t>* Licitação Eletrônica * AQUISIÇÃO DE MATERIAIS PARA REPARO NA BALSA SALVA-VIDA DO NAVIO TOCANTINS * https://pncp.gov.br *</t>
  </si>
  <si>
    <t>Unidade compradora: 784800 - COMANDO DA MARINHA - BASE NAVAL DE VAL-DE-CAES
Local: Belém/PA
Órgão: COMANDO DA MARINHA
Id contratação PNCP: 00394502000144-1-002521/2026
Fonte: Compras.gov.br
 - Dispensa</t>
  </si>
  <si>
    <t>SESPA/LACEN-Secretaria Executiva de Saúde Pública - Laboratório Central</t>
  </si>
  <si>
    <t>Aquisição de Termômetro digital. https://cotacao.banpara.b.br/portal/Mural.aspx</t>
  </si>
  <si>
    <t>Acesse site https://cotacao.banpara.b.br/portal/Mural.aspx e consulte os detalhes. 
Agendado/Publicado
 Edital: 008/2026
 Inicio dos lances: 13/04/2026 08:30:00 Término dos lances: 13/04/2026 11:30:00</t>
  </si>
  <si>
    <t>Prefeitura Municipal de Ipixuna do Pará</t>
  </si>
  <si>
    <t>Ipixuna do Pará</t>
  </si>
  <si>
    <t>CR/3.2026.0007</t>
  </si>
  <si>
    <t xml:space="preserve"> CONTRATAÇÃO DE EMPRESA ESPECIALIZADA PARA A PERFURAÇÃO DE POÇO ARTESIANO, REDE DE ABASTECIMENTO DE ÁGUA E CONSTRUÇÃO DE TORRE PARA BASE DE CAIXA D'ÁGUA INCLUINDO 2 CAIXAS D'ÁGUA DE 20.000, LOCALIZADA NO RESIDENCIAL NOVA CANAÃ, DISTRITO CANAÃ, NO MUNICÍPIO DE IPIXUNA DO PARÁ, EM CONFORMIDADE COM O PROJETO BÁSICO, PLANILHA ORÇAMENTÁRIA, MEMORIAL DESCRITIVO E CRONOGRAMA FÍSICO-FINANCEIRO. * https://bllcompras.com *</t>
  </si>
  <si>
    <t xml:space="preserve">RETIFICAÇÃO CONCORRÊNCIA Nº 3.2026-0007-PMIP Na matéria circulada neste jornal na data 20 de março de 2026, edição Nº 3967, página 56 - 57,denominada AVISO DE LICITAÇÃO, que tem como objeto: CONTRATAÇÃO DE EMPRESA ESPECIALIZADA PARA A PERFURAÇÃO DE POÇO ARTESIANO, REDE DE ABASTECIMENTO DE ÁGUA E CONSTRUÇÃO DE TORRE PARA BASE DE CAIXA D'ÁGUA INCLUINDO 2 CAIXAS D'ÁGUA DE 20.000, LOCALIZADA NO RESIDENCIAL NOVA CANAÃ, DISTRITO CANAÃ, NO MUNICÍPIO DE IPIXUNA DO PARÁ, EM CONFORMIDADE COM O PROJETO BÁSICO, PLANILHA ORÇAMENTÁRIA, MEMORIAL DESCRITIVO E CRONOGRAMA FÍSICO-FINANCEIRO. faz-se necessário retificação; A onde se lê: abertura será no dia 08/04/2026 ÀS 08:00 horas, leia - se: abertura será no dia 13/04/2026, às 08:00 horas.   ARTEMES SILVA DE OLIVEIRA Prefeito </t>
  </si>
  <si>
    <t>Universidade Estadual do Pará</t>
  </si>
  <si>
    <t>* Licitação Eletrônica * A aquisição de material permanente tribunas e mastros para bandeiras aos campi da UEPA * https://pncp.gov.br *</t>
  </si>
  <si>
    <t>Unidade compradora: 37 - UNIVERSIDADE DO ESTADO DO PARA UEP - UEPA
Local: Belém/PA
Órgão: UNIVERSIDADE DO ESTADO DO PARA UEP
Id contratação PNCP: 34860833000144-1-000013/2026
Fonte: Compras Pará
 - Dispensa</t>
  </si>
  <si>
    <t>Universidade de Pernambuco - Pronto Socorro Cardiológico de Pernambuco Prof. Luiz Tavares</t>
  </si>
  <si>
    <t>CONTRATAÇÃO DE EMPRESA ESPECIALIZADA NO SERVIÇO CONTINUADO DE MANUTENÇÃO PREVENTIVA E CORRETIVA DO SISTEMA DE POÇO ARTESIANO * www.peintegrado.pe.gov.br *</t>
  </si>
  <si>
    <t>Acesse o Central de Compras PE Integrado https://www.peintegrado.pe.gov.br/Portal/Pages/LicitacoesEmAndamento.aspx e consulte os detalhes. 
Recebimento de lances
 Edital: 0105.2026.CCD.DL.0024.PROCAPE
 Inicio dos lances: 07/04/2026 14:12:00 Término dos lances: 10/04/2026 14:20:00</t>
  </si>
  <si>
    <t>Prefeitura Municipal de Tacaratu</t>
  </si>
  <si>
    <t>Tacaratu</t>
  </si>
  <si>
    <t>* Licitação Eletrônica *  Contratação de empresa especializada para CONSTRUÇÃO DE REDE COLETORA DE ÁGUAS 
PLUVIAIS.  * https://bnccompras.com *</t>
  </si>
  <si>
    <t>LOCAL: https://bnccompras.com/
Nº PROC. ADM: 020/2026
 TIPO CONTRATO: AQUISIÇÃO PARCELADA
 INÍCIO REC. PROPOSTA: 08/04/2026 10:15:00
 FIM REC. PROPOSTA: 14/04/2026 08:00:00
 INÍCIO DISPUTA: 14/04/2026 14:00:00
 CIDADE: TACARATU
 FASE: RECEPÇÃO DE PROPOSTAS
 EXCLUSIVO ME: NÃO
 EXCLUSIVO REGIONAL: NÃO
 MODO DE DISPUTA: FECHADO
 TIPO DE LANCE: MENOR LANCE
 FONE PROMOTOR: 8738431156
 E-MAIL PROMOTOR: pregao@tacaratu.pe.gov.br
 CONDUTOR: SIMONE ALVES DE SOUZA
 AUTORIDADE: WASHINGTON ÂNGELO DE ARAÚJO
 VALOR ESTIMADO: R$18.166,95
 - Licitação sujeita a confirmação pois não foi informado que trata-se de prorrogação.</t>
  </si>
  <si>
    <t>* Licitação Eletrônica * Aquisição de Compressores de 4TR a serem utilizados para reposição no Sistema de Climatização do edifício-sede da Subseção Judiciária de Goiana * https://pncp.gov.br *</t>
  </si>
  <si>
    <t>Unidade compradora: 090009 - JUSTICA FEDERAL DE PRIMEIRA INSTANCIA - JUSTICA FEDERAL DE 1A. INSTANCIA - PE
Local: Recife/PE
Órgão: JUSTICA FEDERAL DE PRIMEIRA INSTANCIA
Id contratação PNCP: 00508903000188-1-000608/2026
Fonte: Compras.gov.br
 - Dispensa</t>
  </si>
  <si>
    <t>Polícia Militar - Comando Geral</t>
  </si>
  <si>
    <t>* Licitação Eletrônica * DATC -PISO EASYFLOOR PARA FORMATURA DO CFHP * https://pncp.gov.br *</t>
  </si>
  <si>
    <t>Unidade compradora: 9484 - POLICIA MILITAR - CENTRO DE FORM E APERF DE PRACAS
Local: Recife/PE
Órgão: POLICIA MILITAR
Id contratação PNCP: 11433190000157-1-000013/2026
Fonte: Secretaria de Administração do Estado de Pernambuco
 - Dispensa</t>
  </si>
  <si>
    <t>Hospital da Restauração</t>
  </si>
  <si>
    <t>DL/224/2026</t>
  </si>
  <si>
    <t>* Licitação Eletrônica * MMH TERMOMETRO, EXTENSOR ANTI-REFLUXO E TRANSOFIX * https://pncp.gov.br *</t>
  </si>
  <si>
    <t>Unidade compradora: 5765 - SECRETARIA DE SAUDE - [P]-HOSPITAL DA RESTAURAÇÃO
Local: Recife/PE
Órgão: SECRETARIA DE SAUDE
Id contratação PNCP: 10572048000209-1-000221/2026
Fonte: Secretaria de Administração do Estado de Pernambuco
 - Dispensa</t>
  </si>
  <si>
    <t>Câmara Municipal de Araucária</t>
  </si>
  <si>
    <t>Araucária</t>
  </si>
  <si>
    <t>* Licitação Eletrônica * Aquisição de  01 uma bomba de incêndio de 20 CV e 02 duas baterias estacionárias de 100 Ah. * https://pncp.gov.br *</t>
  </si>
  <si>
    <t>Unidade compradora: 926434 - ARAUCARIA CAMARA MUNICIPAL - CAMARA MUNICIPAL DE ARAUCÁRIA - PR
Local: Araucária/PR
Órgão: ARAUCARIA CAMARA MUNICIPAL
Id contratação PNCP: 78134012000104-1-000006/2026
Fonte: Compras.gov.br
 - Dispensa</t>
  </si>
  <si>
    <t>Prefeitura Municipal de Moreira Sales</t>
  </si>
  <si>
    <t>Moreira Sales</t>
  </si>
  <si>
    <t>DL/29/2026</t>
  </si>
  <si>
    <t>* Licitação Eletrônica * Constitui objeto deste seleção de proposta visando a aquisição de produtos e materiais destinados à atividade de design de sobrancelhas, a serem utilizados nas oficinas desenvolvidas com o grupo de mulheres acompanhadas pela Secretaria Municipal de Assistência Social e pelo Centro de Referência de Assistência Social - CRAS desse município. * https://pncp.gov.br *</t>
  </si>
  <si>
    <t>Unidade compradora: 76217025000103 - MUNICIPIO DE MOREIRA SALES - UNIDADE ADMINISTRATIVA
Local: Moreira Sales/PR
Órgão: MUNICIPIO DE MOREIRA SALES
Id contratação PNCP: 76217025000103-1-000034/2026
Fonte: Elotech Gestão Pública Ltda
PARA ATENDER A DEMANDA DA SECRETARIA MUNICIPAL DE ASSISTENCIA SOCIAL E CENTRO DE REFERENCIA DE ASSISTENCIA SOCIAL - CRAS. - Dispensa</t>
  </si>
  <si>
    <t>MINISTÉRIO DA AGRICULTURA, PECUÁRIA E ABASTECIMENTO - Delegacia Federal de Agricultura e do Abastecimento no Paraná</t>
  </si>
  <si>
    <t>* Licitação Eletrônica * Lacre de Segurança Material: Plástico, Comprimento: 16 a 23 CM, Tipo: Escadinha, Características Adicionais: Numerado Sequencialmente, com 7 digitos, para pacotes e malotes, Cor: Azul, * https://pncp.gov.br *</t>
  </si>
  <si>
    <t>Unidade compradora: 130070 - MINISTERIO DA AGRICULTURA, PECUARIA E ABASTECIMENTO - SUPERINT.FEDERAL DE AGRIC.PECUARIA E ABASTEC.
Local: Curitiba/PR
Órgão: MINISTERIO DA AGRICULTURA, PECUARIA E ABASTECIMENTO
Id contratação PNCP: 00396895000125-1-000122/2026
Fonte: Compras.gov.br
Os participantes deveram atender de maneira minusiosa as especificações do objeto do item 1, o prazo para a entrega do material é de 30 trinta dias corridos a contar do envio da Nota de Empenho. Em casos de divergência com o sistema, deve o participante orientar-se pelo Edital e seus anexos. - Dispensa</t>
  </si>
  <si>
    <t>MINISTÉRIO DO DESENVOLVIMENTO AGRÁRIO - Instituto Nacional de Colonização e Reforma Agrária</t>
  </si>
  <si>
    <t>* Licitação Eletrônica * Recarga dos extintores de incêndio da sede da SR09PR e da  Unidade Avançada em Cascavel/PR * https://pncp.gov.br *</t>
  </si>
  <si>
    <t>Unidade compradora: 373067 - INST. NAC. COLON. REFORMA AGRARIA - INCRA - SUPERINTENDENCIA REGIONAL DO INCRA/PR
Local: Curitiba/PR
Órgão: INST. NAC. COLON. REFORMA AGRARIA - INCRA
Id contratação PNCP: 03204421000122-1-000066/2026
Fonte: Compras.gov.br
De acordo com Termo de Referência e demais documentação processual. - Dispensa</t>
  </si>
  <si>
    <t>MINISTÉRIO DA DEFESA - Comando da Marinha - 1º Batalhão de Infantaria de Fuzileiros Navais</t>
  </si>
  <si>
    <t>* Licitação Eletrônica * A aquisição dos materiais que tem a finalidade para montagem da TOBtemporary operating base e complementar itens do SURstatement of unit requirements que será inspecionado pela ONUOrganização das Nações Unidas , aqui nesta Unidade. * https://pncp.gov.br *</t>
  </si>
  <si>
    <t>Unidade compradora: 795120 - COMANDO DA MARINHA - 1.BATALHAO DE INFANTARIA DE FUZILEIROS NAVAIS
Local: Rio de Janeiro/RJ
Órgão: COMANDO DA MARINHA
Id contratação PNCP: 00394502000144-1-002519/2026
Fonte: Compras.gov.br
 - Dispensa</t>
  </si>
  <si>
    <t>SM/7004582369</t>
  </si>
  <si>
    <t>* Licitação Eletrônica * Aquisição de Tornos Mecânicos, Horizontais e Paralelos, Automáticos e Manuais, conforme as especificações deste documento e de seus adendos</t>
  </si>
  <si>
    <t>** Esta publicação está sendo informada para os estados SP e RJ onde será realizado o objeto da licitação. Informamos que a publicação oficial é do estado de RJ. **
Regiões: RJ SP 
Inicio: 2026/04/09 - 17:00:00 Término dos lances: 2026/04/09 17:00:00
 - Licitação sujeita a confirmação pois não foi informado que trata-se de prorrogação.</t>
  </si>
  <si>
    <t>SM/982/2026</t>
  </si>
  <si>
    <t>AQUISICAO DE VARIOS MATERIAIS PARA A IMPLEMENTACAO DA AREA DO CURSO DE EMPILHADEIRA PARA O SENAI CAXIAS. https://portaldecompras.firjan.com.br/Portal/Mural.aspx</t>
  </si>
  <si>
    <t>Acesse site https://portaldecompras.firjan.com.br/Portal/Mural.aspx e consulte os detalhes. 
Em andamento
 Edital: SS 00982/2026
 Inicio dos lances: 07/04/2026 10:10:00 Término dos lances: 09/04/2026 16:00:00</t>
  </si>
  <si>
    <t>SM/987/2026</t>
  </si>
  <si>
    <t>AQUISICAO DE 5 REBOLO RETO GRAO A46 PARA RETIFICADORA PLANA, PARA USO NOS CURSOS DE MECANICA INDUSTRIAL DO SENAI FRIBURGO. https://portaldecompras.firjan.com.br/Portal/Mural.aspx</t>
  </si>
  <si>
    <t>Acesse site https://portaldecompras.firjan.com.br/Portal/Mural.aspx e consulte os detalhes. 
Em andamento
 Edital: SS 00987/2026
 Inicio dos lances: 07/04/2026 11:57:00 Término dos lances: 09/04/2026 16:00:00</t>
  </si>
  <si>
    <t>SENAI - Serviço Nacional de Aprendizagem Industrial - SENAI Angra</t>
  </si>
  <si>
    <t>SM/985/2026</t>
  </si>
  <si>
    <t>AQUISICAO DE 400 PECAS DE PONTA MONTADA, HASTE 1 4 TIPO A5 GRAO 46 PARA GARANTIR A CONTINUIDADE DAS ATIVIDADES PRATICAS DOS CURSOS EM METALURGIA DO SENAI ANGRA. https://portaldecompras.firjan.com.br/Portal/Mural.aspx</t>
  </si>
  <si>
    <t>Acesse site https://portaldecompras.firjan.com.br/Portal/Mural.aspx e consulte os detalhes. 
Em andamento
 Edital: SS 00985/2026
 Inicio dos lances: 07/04/2026 11:30:00 Término dos lances: 09/04/2026 16:00:00</t>
  </si>
  <si>
    <t>AQUISICAO DE SOLVENTE, EM ATENDIMENTO AO PROJETO DO INSTITUTO SENAI DE INOVACAO EM BIOSSINTETICOS E FIBRAS. https://portaldecompras.firjan.com.br/Portal/Mural.aspx</t>
  </si>
  <si>
    <t>Acesse site https://portaldecompras.firjan.com.br/Portal/Mural.aspx e consulte os detalhes. 
Recebimento de lances
 Edital: 000388
 Inicio dos lances: 07/04/2026 10:00:00 Término dos lances: 10/04/2026 15:00:00</t>
  </si>
  <si>
    <t>Prefeitura Municipal de São Francisco de Itabapoana</t>
  </si>
  <si>
    <t>São Francisco de Itabapoana</t>
  </si>
  <si>
    <t>* Licitação Eletrônica * REGISTRO DE PREÇOS, VISANDO A FUTURA CONTRATAÇÃO DE EMPRESA, PARA FORNECIMENTO DE EQUIPAMENTOS DE PROTEÇÃO INDIVIDUAL EPI   * https://bnccompras.com *</t>
  </si>
  <si>
    <t>LOCAL: https://bnccompras.com/
Nº PROC. ADM: 4630 - 2250 - 7338/2025
 TIPO CONTRATO: REGISTRO DE PREÇO
 INÍCIO REC. PROPOSTA: 20/03/2026 13:00:00
 FIM REC. PROPOSTA: 13/04/2026 09:59:00
 INÍCIO DISPUTA: 13/04/2026 10:00:00
 CIDADE: SÃO FRANCISCO DE ITABAPOANA
 FASE: RECEPÇÃO DE PROPOSTAS
 EXCLUSIVO ME: NÃO
 EXCLUSIVO REGIONAL: NÃO
 MODO DE DISPUTA: ABERTO
 TIPO DE LANCE: MENOR LANCE
 FONE PROMOTOR: 2227891616
 E-MAIL PROMOTOR: licitacao@pmsfi.rj.gov.br
 CONDUTOR: MATEUS CHAVES DE SOUZA
 AUTORIDADE: YARA CINTHIA ROCHA NOGUEIRA
 VALOR ESTIMADO: R$0,00
 - Licitação sujeita a confirmação pois não foi informado que trata-se de prorrogação.</t>
  </si>
  <si>
    <t>SM/997/2026</t>
  </si>
  <si>
    <t>AQUISICAO DE TUBOS DE COBRE FLEXIVEIS DE 1 4" E 3 8" PANQUECA COM 15 METROS CADA PARA ATENDER AS AULAS DE REFRIGERACAO DO SENAI REGIAO DOS LAGOS https://portaldecompras.firjan.com.br/Portal/Mural.aspx</t>
  </si>
  <si>
    <t>Acesse site https://portaldecompras.firjan.com.br/Portal/Mural.aspx e consulte os detalhes. 
Em andamento
 Edital: SS 00997/2026
 Inicio dos lances: 07/04/2026 15:50:00 Término dos lances: 09/04/2026 16:00:00</t>
  </si>
  <si>
    <t>SESC - Serviço Social do Comércio - Cabo Frio</t>
  </si>
  <si>
    <t>Cabo Frio</t>
  </si>
  <si>
    <t>Serviços de manutenção dos filtros da piscina da unidade Sesc Cabo Frio - ESCOPO EM ANEXO/VISITA TÉCNICA OBRIGATÓRIA/ANEXAR PROPOSTA https://egov.paradigmabs.com.br/SESCRJ/portal/Mural.aspx?nNmTela=E</t>
  </si>
  <si>
    <t>MINISTÉRIO DA DEFESA - Comando do Exército - Comando Militar do Leste - 1ª Região Militar - Odontoclínica Central do Exército</t>
  </si>
  <si>
    <t>* Licitação Eletrônica * Aquisição de cera e removedor para pisos * https://pncp.gov.br *</t>
  </si>
  <si>
    <t>Unidade compradora: 160241 - COMANDO DO EXERCITO - ODONTOCLINICA CENTRAL DO EXERCITO
Local: Rio de Janeiro/RJ
Órgão: COMANDO DO EXERCITO
Id contratação PNCP: 00394452000103-1-007212/2026
Fonte: Compras.gov.br
 - Dispensa</t>
  </si>
  <si>
    <t>Casa da Moeda do Brasil</t>
  </si>
  <si>
    <t>* Licitação Eletrônica * SERVICO DE FORNECIMENTO E INSTALACAO DE PORTA DE ENROLAR METALICA AUTOMATIZADA, TP. TRANSVISION, PERFURADA OU MICROPERFURADA, OU TECNICAMENTE EQUIVALENTE, SOB MEDIDA INCLUINDO TODOS OS COMPONENTES, ACESSORIOS, DISPOSITIVOS DE SEGURANCA, AUTOMATIZADOR, ESTRUTURA METALICA, GUIAS, EIXO, SOLEIRA, SISTEMA DE ACIONAMENTO, PINTURA ELETROSTATICA, ADEQUACOES DE INFRAESTRUTURA DIRETAMENTE ASSOCIADAS À INSTALACAO, MONTAGEM, AJUSTES E TESTES, COMISSIONAMENTO E ENTREGA EM PLENO FUNCIONAMENTO * https://pncp.gov.br *</t>
  </si>
  <si>
    <t>Unidade compradora: 179083 - CASA DA MOEDA DO BRASIL - CASA DA MOEDA DO BRASIL/MF
Local: Rio de Janeiro/RJ
Órgão: CASA DA MOEDA DO BRASIL
Id contratação PNCP: 34164319000174-1-000057/2026
Fonte: Compras.gov.br
O prazo de entrega dos bens é de até 90 noventa dias consecutivos, contados do recebimento do pedido.
Pagamento em conta corrente em até 30 dias após apresentação da respectiva Nota Fiscal Fatura. Dúvidas: macarvalho@cmb.gov.br
Em caso de discordância existente entre as especificações deste objeto descritas no COMPRASNET - CATSERV e as especificações constantes do Anexo I desta especificação prevalecerão às últimas ESPECIFICAÇÃO.
As propostas apresentadas deverão atender, de forma integral, aos requisitos técnicos e demais condições estabelecidas no Termo de Referência, sob pena de desclassificação. ATENÇÃO AOS ITENS DETALHADOS NO TR
 - Dispensa</t>
  </si>
  <si>
    <t>MINISTÉRIO DA DEFESA - Comando da Marinha - Centro de Reparos e Suprimentos Especiais do Corpo de Fuzileiros Navais</t>
  </si>
  <si>
    <t>* Licitação Eletrônica * Aquisição de insumos para o apoio industrial. * https://pncp.gov.br *</t>
  </si>
  <si>
    <t>Unidade compradora: 731040 - COMANDO DA MARINHA - CENTRO TECNOLÓGICO DO CORPO DE FUZILEIROS NAV
Local: Rio de Janeiro/RJ
Órgão: COMANDO DA MARINHA
Id contratação PNCP: 00394502000144-1-002539/2026
Fonte: Compras.gov.br
 - Dispensa</t>
  </si>
  <si>
    <t>CEDAE-Companhia Estadual de Águas e Esgotos</t>
  </si>
  <si>
    <t>DL/159/2026</t>
  </si>
  <si>
    <t>* Licitação Eletrônica * AQUISIÇÃO DE CONEXÃO 16 MM. ROSCA MACHO 1/4" BSP EM POLIURETANO  - ** www.comprasbr.com.br **</t>
  </si>
  <si>
    <t>* Licitação Eletrônica * Aquisição de porta de correr para abrigo de resíduos * https://pncp.gov.br *</t>
  </si>
  <si>
    <t>Unidade compradora: 160241 - COMANDO DO EXERCITO - ODONTOCLINICA CENTRAL DO EXERCITO
Local: Rio de Janeiro/RJ
Órgão: COMANDO DO EXERCITO
Id contratação PNCP: 00394452000103-1-007215/2026
Fonte: Compras.gov.br
 - Dispensa</t>
  </si>
  <si>
    <t>Câmara Municipal de Nova Friburgo</t>
  </si>
  <si>
    <t>Nova Friburgo</t>
  </si>
  <si>
    <t>* Licitação Eletrônica * Aquisição de materiais de consumo e permanente diversos, conforme condições, especificações, exigências e estimativas estabelecidas neste Aviso de Contratação Direta e seus anexos. * https://pncp.gov.br *</t>
  </si>
  <si>
    <t>Unidade compradora: 928063 - NOVA FRIBURGO CAMARA MUNICIPAL - CAMARA MUNICIPAL DE NOVA FRIBURGO - RJ
Local: Nova Friburgo/RJ
Órgão: NOVA FRIBURGO CAMARA MUNICIPAL
Id contratação PNCP: 29844172000123-1-000018/2026
Fonte: Compras.gov.br
Vide termo de referência - Grupo 01  itens 08 a 12 necessitam de instalação inclusa  - Dispensa</t>
  </si>
  <si>
    <t>Estaleiro de Manutenção da Ilha da Madeira</t>
  </si>
  <si>
    <t>Itaguaí</t>
  </si>
  <si>
    <t>* Licitação Eletrônica * Contratação do Serviço de Remontagem e Testes do Chiller McQuay ALS125AS27 para atender as necessidades do Estaleiro nas manutenções dos submarinos Classe Riachuelo. * https://pncp.gov.br *</t>
  </si>
  <si>
    <t>Unidade compradora: 740034 - COMANDO DA MARINHA - ESTALEIRO DE MANUTENÇÃO DA ILHA DA MADEIRA
Local: Itaguaí/RJ
Órgão: COMANDO DA MARINHA
Id contratação PNCP: 00394502000144-1-002547/2026
Fonte: Compras.gov.br
 - Dispensa</t>
  </si>
  <si>
    <t>RIOPREVIDÊNCIA-Fundo Único de Previdência Social do Estado do Rio de Janeiro</t>
  </si>
  <si>
    <t>* Licitação Eletrônica * Elemento filtrante para purificador de água LIBBEL, coador de pano, assento sanitário e dispenser de assento sanitário. * https://pncp.gov.br *</t>
  </si>
  <si>
    <t>Unidade compradora: 123425 - ESTADO DO RIO DE JANEIRO - FUNDO UNICO DE PREVIDENCIA SOCIAL DO ESTADO DO RIO DE JANEIRO
Local: Rio de Janeiro/RJ
Órgão: ESTADO DO RIO DE JANEIRO
Id contratação PNCP: 42498600000171-1-001480/2026
Fonte: Portal de Compras Públicas do Estado do Rio de Janeiro
https://www.compras.rj.gov.br/EditaisLicitacoes/detalhar.action?idLic=36445 - Dispensa</t>
  </si>
  <si>
    <t>DL/152/2026</t>
  </si>
  <si>
    <t>* Licitação Eletrônica * Aquisição de fita de aço, fecho dentado, espigão, acoplador, roscas e abraçadeiras - ** www.comprasbr.com.br **</t>
  </si>
  <si>
    <t>DL/153/2026</t>
  </si>
  <si>
    <t>* Licitação Eletrônica * Indicador universal com display LCD gráfico - ** www.comprasbr.com.br **</t>
  </si>
  <si>
    <t>* Licitação Eletrônica * Azulejos cerâmicos brancos telados  - ** www.comprasbr.com.br **</t>
  </si>
  <si>
    <t>MINISTÉRIO DA DEFESA - Comando da Marinha - Comando de Operações Navais - Comando do 1º Distrito Naval - Comando do Grupamento Naval do Sudeste</t>
  </si>
  <si>
    <t>* Licitação Eletrônica * Contratação de empresas para o fornecimento de 3 três quartéis de amarra cada quartel com 27,5 metros com elos de bitola de 19 mm de diâmetro, 1 um tornel, 4 quatro elos kenter, 2 duas manilhas, conforme especificações e quantidades descritas neste Termo de Referência, a fim de manter o aprestamento dos meio e a consequente prontificação para execução de Operações de Socorro e de Patrulha Naval. * https://pncp.gov.br *</t>
  </si>
  <si>
    <t>Unidade compradora: 781100 - COMANDO DA MARINHA - COMANDO DO GRUPAMENTO NAVAL DO SUDESTE
Local: Rio de Janeiro/RJ
Órgão: COMANDO DA MARINHA
Id contratação PNCP: 00394502000144-1-002549/2026
Fonte: Compras.gov.br
 - Dispensa</t>
  </si>
  <si>
    <t>* Licitação Eletrônica * tábua pinho, perna 3, madeirite - ** www.comprasbr.com.br **</t>
  </si>
  <si>
    <t>Câmara Municipal de Santana do Matos</t>
  </si>
  <si>
    <t>Santana do Matos</t>
  </si>
  <si>
    <t>* Licitação Eletrônica * Aquisição de material de limpeza, a fim de atender as necessidades da Câmara Municipal de Santana do Matos/RN. * https://pncp.gov.br *</t>
  </si>
  <si>
    <t>Unidade compradora: 932725 - SANTANA DO MATOS CAMARA MUNICIPAL - MRN-CÂMARA MUNICIPAL DE SANTANA DO MATOS
Local: Santana do Matos/RN
Órgão: SANTANA DO MATOS CAMARA MUNICIPAL
Id contratação PNCP: 09079344000102-1-000005/2026
Fonte: Agili Software Brasil Ltda
 - Dispensa</t>
  </si>
  <si>
    <t>MINISTÉRIO DA DEFESA - Comando da Marinha - Base Naval de Natal</t>
  </si>
  <si>
    <t>* Licitação Eletrônica * Manutenção e revitalização do Motor MBB OM 352A contando com os seguintes serviços:
-  Serviços de Retifica: face, válvulas, sedes, descarbonizar, esmerilhar e montar com substituição de guias, válvulas, sedes e retentores de válvula no cabeçote,
-  Retificar, Substituir buchas, brunir aço e alinhamento da biela, 
- Retificar e Polir virabrequim e comando, 
-  Retificar face, Encamisar, Alinhar Mancais e trocar buchas de Comando do bloco. Entre outros que estarão descritos no aviso de dispensa
  * https://pncp.gov.br *</t>
  </si>
  <si>
    <t>Unidade compradora: 783143 - COMANDO DA MARINHA - NAVIO PATRULHA GOIANA
Local: Natal/RN
Órgão: COMANDO DA MARINHA
Id contratação PNCP: 00394502000144-1-002532/2026
Fonte: Compras.gov.br
 - Dispensa</t>
  </si>
  <si>
    <t>CP/5430/2026</t>
  </si>
  <si>
    <t>COTAÇÃO DE FILTROS - REQUISIÇÃO Nº 54302026 </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</si>
  <si>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07/04/2026, Prazo final para envio: até às 17h do dia 10/04/2026 As propostas deverão ser enviadas A/C: Grupo de Compras - FUNPEC, para o e-mail: ????ramonielle.linhares@funpec.br</t>
  </si>
  <si>
    <t>Prefeitura Municipal de Theobroma</t>
  </si>
  <si>
    <t>Theobroma</t>
  </si>
  <si>
    <t>Aquisição de materiais de construção diversos, visando atender às necessidades de organização, montagem de estandes, adequações estruturais e apoio logístico da 7ª Festa da Agricultura Familiar, conforme Termo de Referência.</t>
  </si>
  <si>
    <t>Endereço eletrônico para envio da proposta e documentação: supel@theobroma.ro.gov.br. Link dos Anexos: https://transparencia.theobroma.ro.gov.br/transparencia/. Data limite para apresentação da proposta e documentação: dia 13/04/2026, às 18:00 Hrs.</t>
  </si>
  <si>
    <t>Prefeitura Municipal de Capão da Canoa</t>
  </si>
  <si>
    <t>Capão da Canoa</t>
  </si>
  <si>
    <t>Aquisição de lona com laminado em PVC reforçada para a Secretaria de Obras * www.portaldecompraspublicas.com.br *</t>
  </si>
  <si>
    <t>Órgão: Secretaria de Gestão, Inovação e Tecnologia - Prefeitura Municipal de Capão da Canoa - RS
				Processo: 336/2026
				Edital: 24/2026
				Modalidade: Dispensa
				Início de envio das propostas: 08-04-2026 ás 10:00
				Término de envio das propostas: 13/04/2026 ás 10:00		
				Início dos lances: 13/04/2026 ás 10:01</t>
  </si>
  <si>
    <t>Câmara Municipal de Vereadores de Osório</t>
  </si>
  <si>
    <t>* Licitação Eletrônica * aquisição de materiais para a rede de internet da Câmara de Vereadores de Osório, para a perfeita utilização do Sistema de gestão informatizado e integrado de processo legislativo e sessões plenárias. * https://pncp.gov.br *</t>
  </si>
  <si>
    <t>Unidade compradora: 01001 - OSORIO CAMARA MUNICIPAL DE VEREADORES - UNIDADES SUBORDINADAS
Local: Osório/RS
Órgão: OSORIO CAMARA MUNICIPAL DE VEREADORES
Id contratação PNCP: 90938143000131-1-000036/2026
Fonte: IPM Sistemas
 - Dispensa</t>
  </si>
  <si>
    <t>DL/247/2026</t>
  </si>
  <si>
    <t>AQUISIÇÃO DE BENS DAS FAMÍLIAS:
0475-EQUIPAMENTOS/MATERIAIS P/INSTALACOES ELETRICAS;</t>
  </si>
  <si>
    <t>Edital : DL/247/2026
Modalidade : Dispensa eletrônica com disputa
Nº Licitação : 349371</t>
  </si>
  <si>
    <t>DL/223/2026</t>
  </si>
  <si>
    <t>Edital : DL/223/2026
Modalidade : Dispensa eletrônica com disputa
Nº Licitação : 349024
 - Licitação sujeita a confirmação pois não foi informado que trata-se de prorrogação.</t>
  </si>
  <si>
    <t>Prefeitura Municipal de Roque Gonzales</t>
  </si>
  <si>
    <t>Roque Gonzales</t>
  </si>
  <si>
    <t>O objeto da contratação é a aquisição de materiais e a prestação de serviços de manutenção preventiva e corretiva
para o sistema de prevenção e combate a incêndio nas Escolas Municipais Santo Antônio de Pádua e Martin Luther</t>
  </si>
  <si>
    <t>Município de Roque Gonzales
DL/12/2026/2026</t>
  </si>
  <si>
    <t>SM/85/2026</t>
  </si>
  <si>
    <t>SERVIÇOS DE ENSAIOS TERCEIRIZADOS PARA O SENAI BENTO GONÇALVES https://compras.sistemafiergs.org.br/Portal/Mural.aspx</t>
  </si>
  <si>
    <t>Acesse site https://compras.sistemafiergs.org.br/Portal/Mural.aspx e consulte os detalhes. 
Chamamento público
 Edital: SC000852026DR
 Inicio dos lances: 08/04/2026 10:00:00 Término dos lances: 16/04/2026 10:00:00</t>
  </si>
  <si>
    <t>Comando da Marinha - Serviço de Sinalizaçao Nautica do Sul</t>
  </si>
  <si>
    <t>* Licitação Eletrônica * Aquisição de material para manutenção de Alvenaria e Cercadura. * https://pncp.gov.br *</t>
  </si>
  <si>
    <t>Unidade compradora: 785510 - COMANDO DA MARINHA - SERVICO DE SINALIZACAO NAUTICA DO SUL/RS
Local: Porto Alegre/RS
Órgão: COMANDO DA MARINHA
Id contratação PNCP: 00394502000144-1-002540/2026
Fonte: Compras.gov.br
 - Dispensa</t>
  </si>
  <si>
    <t>* Licitação Eletrônica * Aquisição de material para manutenção de Cercadura * https://pncp.gov.br *</t>
  </si>
  <si>
    <t>Unidade compradora: 785510 - COMANDO DA MARINHA - SERVICO DE SINALIZACAO NAUTICA DO SUL/RS
Local: Porto Alegre/RS
Órgão: COMANDO DA MARINHA
Id contratação PNCP: 00394502000144-1-002537/2026
Fonte: Compras.gov.br
Aquisição de material para manutenção de Cercadura - Dispensa</t>
  </si>
  <si>
    <t>SM/2311/2026</t>
  </si>
  <si>
    <t>AQUISIÇÃO DE INSTRUMENTOS DE MEDIÇÃO https://compras.sistemafiergs.org.br/Portal/Mural.aspx</t>
  </si>
  <si>
    <t>Acesse site https://compras.sistemafiergs.org.br/Portal/Mural.aspx e consulte os detalhes. 
Em andamento
 Edital: CD023112026DR
 Inicio dos lances: 07/04/2026 11:00:00 Término dos lances: 09/04/2026 11:00:00</t>
  </si>
  <si>
    <t>Instituto Federal de Educação, Ciência e Tecnologia Sul-Rio-Grandense-RS - Campus Visconde da Graça - Pelotas</t>
  </si>
  <si>
    <t>Pelotas</t>
  </si>
  <si>
    <t>* Licitação Eletrônica * Serviço necessário para controle da qualidade da água que abastece o campus Pelotas Visconde da Graça, evitando contaminação da mesma por meio de micro-organismos, sujeiras e outros. Assim, melhorando a saúde e bem estar dos usuários do referido campus. * https://pncp.gov.br *</t>
  </si>
  <si>
    <t>Unidade compradora: 151895 - INSTITUTO FEDERAL DE EDUCACAO, CIENCIA E TECNOLOGIA SUL-RIO-GRANDENSE - RS - IFSUL/CAMPUS VISCONDE DA GRAçA PELOTAS
Local: Pelotas/RS
Órgão: INSTITUTO FEDERAL DE EDUCACAO, CIENCIA E TECNOLOGIA SUL-RIO-GRANDENSE - RS
Id contratação PNCP: 10729992000146-1-000048/2026
Fonte: Compras.gov.br
 - Dispensa</t>
  </si>
  <si>
    <t>Prefeitura Municipal de São João do Sul</t>
  </si>
  <si>
    <t>São João do Sul</t>
  </si>
  <si>
    <t>DL/34/2026</t>
  </si>
  <si>
    <t>* Licitação Eletrônica * Ref.: Aquisição de materiais de construção, elétricos, hidráulicos, sanitários, de pintura, ferragens, madeira e itens correlatos, destinados à manutenção preventiva e corretiva de bens imóveis, espaços públicos e demais estruturas vinculadas à Administração Pública Municipal.  * https://pncp.gov.br *</t>
  </si>
  <si>
    <t>Unidade compradora: 09001 - MUNICIPIO DE SAO JOAO DO SUL - SECRETARIA MUNICIPAL DE OBRAS E SERVIÇOS
Local: São João do Sul/SC
Órgão: MUNICIPIO DE SAO JOAO DO SUL
Id contratação PNCP: 82547274000160-1-000046/2026
Fonte: IPM Sistemas
 - Dispensa</t>
  </si>
  <si>
    <t>Prefeitura Municipal de Xanxerê</t>
  </si>
  <si>
    <t>Xanxerê</t>
  </si>
  <si>
    <t>* Licitação Eletrônica * Aquisição de 03 três unidades de indicador visual de direção e intensidade do vento biruta/cone de vento, destinadas à manutenção das condições operacionais do Aeroporto Municipal João Winckler. * https://pncp.gov.br *</t>
  </si>
  <si>
    <t>Unidade compradora: 988383 - MUNICIPIO DE XANXERE - PREFEITURA MUNICIPAL DE XANXERÊ - SC
Local: Xanxerê/SC
Órgão: MUNICIPIO DE XANXERE
Id contratação PNCP: 83009860000113-1-000127/2026
Fonte: Compras.gov.br
 - Dispensa</t>
  </si>
  <si>
    <t>Serviço Autônomo Municipal de água e Esgoto de Nova Trento</t>
  </si>
  <si>
    <t>Nova Trento</t>
  </si>
  <si>
    <t>* Licitação Eletrônica * Aquisição e instalação de lona em PVC vinílico de alta resistência sobre a estrutura metálica existente na Sede Administrativa do SAMAE. A cobertura possui dimensões aproximadas de 5 metros de largura por 11 metros de comprimento aproximadamente 55 m². A contratação inclui fornecimento de materiais de fixação, mão de obra especializada e preparação da estrutura, seguindo normas técnicas e critérios de segurança e durabilidade.  * https://bnccompras.com *</t>
  </si>
  <si>
    <t>LOCAL: https://bnccompras.com/
Nº PROC. ADM: 09/2026
 TIPO CONTRATO: AQUISIÇÃO
 INÍCIO REC. PROPOSTA: 08/04/2026 07:00:00
 FIM REC. PROPOSTA: 13/04/2026 09:00:00
 INÍCIO DISPUTA: 13/04/2026 09:30:00
 CIDADE: NOVA TRENTO
 FASE: PUBLICADO
 EXCLUSIVO ME: NÃO
 EXCLUSIVO REGIONAL: NÃO
 MODO DE DISPUTA: FECHADO
 TIPO DE LANCE: MENOR LANCE
 FONE PROMOTOR: 4832670380
 E-MAIL PROMOTOR: samae@novatrento.sc.gov.br
 CONDUTOR: ADENI DE LIMA
 AUTORIDADE: ODAIR FELLER
 VALOR ESTIMADO: R$9.000,20</t>
  </si>
  <si>
    <t>Secretaria de Estado da Administração Prisional e Socioeducativa - Fundo Rotativo Regional Serrano</t>
  </si>
  <si>
    <t>São Cristóvão do Sul</t>
  </si>
  <si>
    <t>DL/79/2026</t>
  </si>
  <si>
    <t>* Licitação Eletrônica * Aquisição de 2 duas moto bombas, tipo: centrífuga, motor: trifásico e serviço de instalação das mesmas, destinado ao Presídio Masculino de Lages. * https://pncp.gov.br *</t>
  </si>
  <si>
    <t>Unidade compradora: 7 - FUNDO PENITENCIARIO DO ESTADO DE SANTA CATARINA FUPESC - Fundo Rotativo Regional Serrano
Local: São Cristóvão do Sul/SC
Órgão: FUNDO PENITENCIARIO DO ESTADO DE SANTA CATARINA FUPESC
Id contratação PNCP: 01577780000108-1-000070/2026
Fonte: Secretaria de Estado da Administração de Santa Catarina
 - Dispensa</t>
  </si>
  <si>
    <t>Prefeitura Municipal de Belmonte</t>
  </si>
  <si>
    <t>Belmonte</t>
  </si>
  <si>
    <t>AQUISIÇÃO DE 04 QUATRO CONJUNTOS COM TRÊS BANDEIRAS CONFECCIONADAS EM TECIDO NYLON 100% POLIÉSTER EM ESTAMPA DIGITAL COM QUALIDADE E RESISTÊNCIA, DUPLA FACE COM REFORÇOS ANTI DESFIAMENTO E ILHOSES DE METAL PARA HASTEAR, SENDO DO BRASIL, DO ESTADO DE SANTA CATARINA E DO MUNICÍPIO DE BELMONTE NOS TAMANHOS OFICIAIS CONFORME NORMA DA ABNT; 01 UND BASE SUPORTE QUADRIPÉ EM MADEIRA NOBRE DE MOGNO ENVERNIZADA COM 03 TRÊS FUROS E 03 UND MASTROS EM AÇO INOXIDÁVEL COM PONTEIRA TORNEADA EM FORMA ESPIRAL, DESTINADAS A SECRETARIA MUNICIPAL DE ADMINISTRAÇÃO DO MUNICÍPIO DE BELMONTE/SC, CONFORME DOCUMENTOS.</t>
  </si>
  <si>
    <t>Local: licitacaopregao@belmonte.sc.gov.br
Setor Responsável: SECRETARIA MUNICIPAL DE ADMINISTRAÇÃO</t>
  </si>
  <si>
    <t>DL/315/2026</t>
  </si>
  <si>
    <t>* Licitação Eletrônica *AQUISIÇÃO DE TERMÔMETROS Site: www.comprasnet.se.gov.br</t>
  </si>
  <si>
    <t xml:space="preserve">Responsável
Responsável:
Maianne Mirelle Costa Santos Andrade
Telefone:
79 31988845
E-mail:
maianne.mirelle@itps.se.gov.br
Publicação
Data de publicação:
08/04/2026 08:11:00
Data de início da disputa:
08/04/2026 13:00:00 inicia em 44 minutos
Data de término da disputa:
13/04/2026 13:00:00 termina em 6 dias: </t>
  </si>
  <si>
    <t>DL/320/2026</t>
  </si>
  <si>
    <t>* Licitação Eletrônica *AQUISIÇÃO DE BOMBA D´ÁGUA PARA O PARQUE GOVERNADOR JOSÉ ROLLEMBERG LEITE, GERIDO PELA ADMINISTRAÇÃO ESTADUAL DO MEIO AMBIENTE - ADEMA. Site: www.comprasnet.se.gov.br</t>
  </si>
  <si>
    <t xml:space="preserve">Responsável
Responsável:
Edgar Medeiros de Andrade
Telefone:
79 3198-7150
E-mail:
edgar.andrade@adema.se.gov.br
Publicação
Data de publicação:
07/04/2026 15:19:00
Data de início da disputa:
07/04/2026 15:30:00 iniciado à 5 horas
Data de término da disputa:
10/04/2026 15:30:00 termina em 3 dias: </t>
  </si>
  <si>
    <t>DL/322/2026</t>
  </si>
  <si>
    <t>* Licitação Eletrônica * DESENGRIPANTE/ÓLEO LUBRIFICANTE SPRAY 300 ML. OBSERVAR TERMO DE REFERÊNCIA. Site: www.comprasnet.se.gov.br</t>
  </si>
  <si>
    <t xml:space="preserve">Responsável
Responsável:
Clúvia Libório Prado
Telefone:
79 3205-7422
E-mail:
cluvia.liborio@iose.se.gov.br
Publicação
Data de publicação:
08/04/2026 09:24:00
Data de início da disputa:
08/04/2026 09:30:00 iniciado à 2 horas
Data de término da disputa:
13/04/2026 09:40:00 termina em 5 dias: </t>
  </si>
  <si>
    <t>DL/325/2026</t>
  </si>
  <si>
    <t>* Licitação Eletrônica *MATERIAIS PARA PROTEÇÃO. Site: www.comprasnet.se.gov.br</t>
  </si>
  <si>
    <t xml:space="preserve">Responsável
Responsável:
José Etevaldes Oliveira
Telefone:
79 3234-2666
E-mail:
joseetevaldes.oliveira@emdagro.se.gov.br
Publicação
Data de publicação:
08/04/2026 11:40:00
Data de início da disputa:
08/04/2026 11:50:00 iniciado à 27 minutos
Data de término da disputa:
13/04/2026 08:00:00 termina em 5 dias: </t>
  </si>
  <si>
    <t>Prefeitura Municipal de Iracemápolis</t>
  </si>
  <si>
    <t>Iracemápolis</t>
  </si>
  <si>
    <t>DL/60/2026</t>
  </si>
  <si>
    <t>* Licitação Eletrônica * CONTRATAÇÃO DE EMPRESA ESPECIALIZADA E DEVIDAMENTE AUTENTICADA PARA REMOÇÃO, TRANSPORTE E DESTINAÇÃO DE RESÍDUOS DE GRADEAMENTO DE ESTAÇÃO ELEVATÓRIA DE BOMBEAMENTO DE ESGOTO E ESTAÇÃO DE TRATAMENTO DE ESGOTO COMPACTA CONFORME TERMO DE REFERÊNCIA * https://pncp.gov.br *</t>
  </si>
  <si>
    <t>Unidade compradora: 1 - MUNICIPIO DE IRACEMAPOLIS - Prefeitura Municipal de Iracemápolis
Local: Iracemápolis/SP
Órgão: MUNICIPIO DE IRACEMAPOLIS
Id contratação PNCP: 45786159000111-1-000113/2026
Fonte: INTER - TEC SOLUCOES EM SOFTWARE LTDA
O manejo inadequado desses resíduos pode ocasionar acúmulo excessivo, transbordamentos, contaminação do solo e dos corpos hídricos, além de interferir diretamente na eficiência do sistema de tratamento, colocando em risco a qualidade da água distribuída à população e o equilíbrio ambiental do entorno.
O correto armazenamento temporário, a coleta periódica, o transporte e a destinação final ambientalmente adequada dos lodos e resíduos de gradeamento do sistema de esgotamento sanitário, constituem etapas essenciais do processo operacional a todo sistema de saneamento, e devem ser executadas em conformidade com a legislação ambiental, sanitária e de saúde pública, bem como com as condicionantes estabelecidas na Licença de Operação emitida pela Companhia Ambiental do Estado de São Paulo – CETESB. O descumprimento dessas exigências pode resultar em sanções administrativas, autuações, multas, restrições operacionais ou até mesmo a suspensão das atividades da unidade, com prejuízos diretos à prestação de serviço público essencial - Dispensa
 - Licitação sujeita a confirmação pois não foi informado que trata-se de prorrogação.</t>
  </si>
  <si>
    <t>MINISTÉRIO DA DEFESA - Comando do Exército - Comando Militar do Sudeste - 2ªDivisão de Exército - 2ºBatalhão de Caçadores</t>
  </si>
  <si>
    <t>DL/41/2026</t>
  </si>
  <si>
    <t>* Licitação Eletrônica * Manutenção em equipamentos odontológicos: Autoclave Stermax, Autoclave Digitale, Ultrassom Emissonic, Equipo Gnatus G4, Equipo Dentemed, Raio X D700, Raio X XDent, Fotopolimerizador Radical SDI, Compressor Schuster e DentraMed, Canetas: Kavo, Dentflex e D700; Bomba a vácuo, Seladora, Lavadora ultrassônica,Sensor digital Rx Gnatus,Localizador apical,Motor endodôntico VDW2. Duração do serviço: 12 meses 1 visita trimestral e 2 emergências [1 dia útil após confecção do orçamento] durante o ano.  * https://pncp.gov.br *</t>
  </si>
  <si>
    <t>Unidade compradora: 160498 - COMANDO DO EXERCITO - 2 BATALHAO DE INFANTARIA LEVE
Local: São Vicente/SP
Órgão: COMANDO DO EXERCITO
Id contratação PNCP: 00394452000103-1-007177/2026
Fonte: Compras.gov.br
Condições da contratação a serem informados ao fornecedor:
1 Local e horário do serviço; Avenida Antonio Emmerich, n 975 - Jardim Guassu - São
Vicente-SP
2 Prazo da 1° visita para manutenção a contar da data de emissão da Nota de Empenho
correspondente: 10 dias corridos.
3 Há necessidade de instalação e montagem do bem pelo fornecedor? - Sim
4 Será exigida garantia para o serviço? Caso afirmativo, de quanto tempo? Sim, 30 dias.
5 Quando retirado equipamento para manutenção, deverá fornecer aparelho de reposição. - Dispensa</t>
  </si>
  <si>
    <t>Câmara Municipal de Jundiaí</t>
  </si>
  <si>
    <t>DL/38/2026</t>
  </si>
  <si>
    <t>* Licitação Eletrônica * AQUISICAO DE MATERIAIS DE INFORMATICA CONFORME TERMO DE REFERENCIA. * https://pncp.gov.br *</t>
  </si>
  <si>
    <t xml:space="preserve">Unidade compradora: 1 - CAMARA MUNICIPAL DE JUNDIAI - CAMARA MUNICIPAL DE JUNDIAI
Local: Jundiaí/SP
Órgão: CAMARA MUNICIPAL DE JUNDIAI
Id contratação PNCP: 51864114000110-1-000039/2026
Fonte: Cijun - Cia. de Informatica de Jundiai
 - Dispensa
 </t>
  </si>
  <si>
    <t>CE/1530/2026</t>
  </si>
  <si>
    <t>MANUTENÇÃO EM BOMBA CENTRÍFUGA - SME</t>
  </si>
  <si>
    <t>Fase da Cotação:  EM ANDAMENTO 
Item: MANUTENÇÃO EM BOMBA CENTRÍFUGA - SME
Período de Cotação: 07/04/2026 - 00:00:00 até 10/04/2026 - 23:59:59
Tipo de Cotação:  Orçamento via ComprAssis
Responsável:   THAYNNA M.</t>
  </si>
  <si>
    <t>MINISTÉRIO DA CIÊNCIA E TECNOLOGIA - Comissão Nacional de Energia Nuclear - Instituto de Pesquisas Energética e Nucleares</t>
  </si>
  <si>
    <t>DL/573/2026</t>
  </si>
  <si>
    <t>* Licitação Eletrônica * Aquisição de Períféricos de Tecnologia da Informação para atender o SECRF * https://pncp.gov.br *</t>
  </si>
  <si>
    <t>Unidade compradora: 113202 - COMISSAO NACIONAL DE ENERGIA NUCLEAR - COMISSAO NACIONAL DE ENERGIA NUCLEAR
Local: São Paulo/SP
Órgão: COMISSAO NACIONAL DE ENERGIA NUCLEAR
Id contratação PNCP: 00402552000126-1-000100/2026
Fonte: Compras.gov.br
cassia.g-plansul@ipen.br - Dispensa</t>
  </si>
  <si>
    <t>Penitenciária Nelson Vieira</t>
  </si>
  <si>
    <t>Guareí</t>
  </si>
  <si>
    <t>* Licitação Eletrônica * Aquisição de materiais de consumo para manutenção preventiva e corretiva, compreendendo itens elétricos lâmpadas LED bulbo e tubular, refletores e hidráulicos caixas de descarga, engates flexíveis, sifões, torneiras, lavatórios e registros em PVC. Os materiais visam suprir as necessidades rotineiras de reparos na infraestrutura da unidade, conforme especificações e quantitativos detalhados no Termo de Referência. * https://pncp.gov.br *</t>
  </si>
  <si>
    <t>Unidade compradora: 380239 - SAO PAULO SECRETARIA DA ADMINISTRACAO PENITENCIARIA - ESP-PENITENCIARIA "NELSON VIEIRA" DE GUAREI
Local: Guareí/SP
Órgão: SAO PAULO SECRETARIA DA ADMINISTRACAO PENITENCIARIA
Id contratação PNCP: 96291141000180-1-001746/2026
Fonte: Compras.gov.br
 - Dispensa</t>
  </si>
  <si>
    <t>DAE-Departamento de Água e Esgoto de Santa Bárbara D'Oeste</t>
  </si>
  <si>
    <t>Santa Bárbara D'Oeste</t>
  </si>
  <si>
    <t>* Licitação Eletrônica * Aquisição de luvas DEFOFO, para utilização das equipes de manutenção de redes. * https://jornaldolicitante.com.br *</t>
  </si>
  <si>
    <t>Segmento: Engenharia - materiais</t>
  </si>
  <si>
    <t>Comando da Marinha - Navio-patrulha Guajará</t>
  </si>
  <si>
    <t>* Licitação Eletrônica * O objeto do presente procedimento é a escolha da proposta mais vantajosa para a contratação, por dispensa de
licitação, de isolamento térmico para a descarga dos motores de combustão, conforme condições, quantidades e exigências
estabelecidas neste Aviso de Contratação Direta e seus anexos. * https://pncp.gov.br *</t>
  </si>
  <si>
    <t>Unidade compradora: 789144 - COMANDO DA MARINHA - NAVIO-PATRULHA GUAJARá
Local: São Paulo/SP
Órgão: COMANDO DA MARINHA
Id contratação PNCP: 00394502000144-1-002531/2026
Fonte: Compras.gov.br
 - Dispensa</t>
  </si>
  <si>
    <t>Unidade compradora: 789144 - COMANDO DA MARINHA - NAVIO-PATRULHA GUAJARá
Local: São Paulo/SP
Órgão: COMANDO DA MARINHA
Id contratação PNCP: 00394502000144-1-002529/2026
Fonte: Compras.gov.br
 - Dispensa</t>
  </si>
  <si>
    <t>Prefeitura Municipal de Piracicaba</t>
  </si>
  <si>
    <t>Piracicaba</t>
  </si>
  <si>
    <t>DL/21/2026</t>
  </si>
  <si>
    <t>* Licitação Eletrônica * Aquisição de materiais para instalação e manutenção em bebedouros e purificadores de água. * https://bnccompras.com *</t>
  </si>
  <si>
    <t>LOCAL: https://bnccompras.com/
Nº PROC. ADM: 51841/2026
 TIPO CONTRATO: AQUISIÇÃO
 INÍCIO REC. PROPOSTA: 07/04/2026 18:00:00
 FIM REC. PROPOSTA: 13/04/2026 08:00:00
 INÍCIO DISPUTA: 13/04/2026 09:00:00
 CIDADE: PIRACICABA
 FASE: RECEPÇÃO DE PROPOSTAS
 EXCLUSIVO ME: NÃO
 EXCLUSIVO REGIONAL: NÃO
 MODO DE DISPUTA: ABERTO
 TIPO DE LANCE: MENOR LANCE
 FONE PROMOTOR: 1934031020
 E-MAIL PROMOTOR: licitacoes@piracicaba.sp.gov.br
 CONDUTOR: MARIANA DIAS DE CAMPOS
 AUTORIDADE: LARISSA PALOMO MONFERDINI
 VALOR ESTIMADO: R$5.177,40</t>
  </si>
  <si>
    <t>DL/98/2026</t>
  </si>
  <si>
    <t>* Licitação Eletrônica * Contratação de empresa especializada para fornecimento de 60 kg sessenta quilogramas de graxa para manutenção preventiva lubrificação de bombas, motores, equipamentos e materiais mecânicos dos Reservatórios e Estações de Tratamento de Água do DAE de Santa Bárbara d'Oeste. * https://jornaldolicitante.com.br *</t>
  </si>
  <si>
    <t>Segmento: Combustíveis</t>
  </si>
  <si>
    <t>DL/121/2026</t>
  </si>
  <si>
    <t>CONTRATAÇÃO DE EMPRESA ESPECIALIZADA PARA PRESTAÇÃO DE SERVIÇOS DE MANUTENÇÃO CORRETIVA COM FORNECIMENTO DE PEÇAS PARA MANUTENÇÃO DA CÂMARA DE VACINAS MARCA: ELBER  MOD.CSV280 - SÉRIE: 222308227, Nº PATRIMÔNIO 106553, CONFORME CONDIÇÕES E EXIGÊNCIAS... * www.portaldecompraspublicas.com.br *</t>
  </si>
  <si>
    <t>Órgão: Prefeitura Municipal da Estância de Atibaia - Prefeitura Municipal da Estância de Atibaia - SP
				Processo: 226/2026
				Edital: 121/2026
				Modalidade: Dispensa
				Início de envio das propostas: 08-04-2026 ás 09:40
				Término de envio das propostas: 13/04/2026 ás 07:59		
				Início dos lances: 13/04/2026 ás 08:00
 - Licitação sujeita a confirmação pois não foi informado que trata-se de prorrogação.</t>
  </si>
  <si>
    <t>SAAE-Serviço Autônomo de Água e Esgoto de São Carlos</t>
  </si>
  <si>
    <t>São Carlos</t>
  </si>
  <si>
    <t>* Licitação Eletrônica * AQUISIÇÃO DE CIMENTO CP II. * https://pncp.gov.br *</t>
  </si>
  <si>
    <t>Unidade compradora: 164 - SERVICO AUTONOMO DE AGUA E ESGOTO - SAAE - SERVIÇO AUTÔNOMO DE ÁGUA E ESGOTO
Local: São Carlos/SP
Órgão: SERVICO AUTONOMO DE AGUA E ESGOTO
Id contratação PNCP: 45359973000150-1-000079/2026
Fonte: Centro Eletrônico Bancário Industrial LTDA
 - Dispensa</t>
  </si>
  <si>
    <t>DL/99/2026</t>
  </si>
  <si>
    <t>* Licitação Eletrônica * FORNECIMENTO DE ROLAMENTO DE ESFERAS * https://pncp.gov.br *</t>
  </si>
  <si>
    <t>Unidade compradora: 373301 - UO ESP-CIA.DO METROPOLIT DE SAO PAULO-METRO - ESP-CIA. METROPOLITANA DE SAO PAULO-METRO
Local: São Paulo/SP
Órgão: UO ESP-CIA.DO METROPOLIT DE SAO PAULO-METRO
Id contratação PNCP: 62070362000106-1-000227/2026
Fonte: Compras.gov.br
 - Dispensa</t>
  </si>
  <si>
    <t>Prefeitura Municipal de Quatá</t>
  </si>
  <si>
    <t>Quatá</t>
  </si>
  <si>
    <t>CP/1291/2026</t>
  </si>
  <si>
    <t>Compra nº 1291 - AQUISIÇÃO DE MATERIAL DE CONSTRUÇÃO FEPASA</t>
  </si>
  <si>
    <t>SAEMA - Serviço de Água, Esgoto e Meio Ambiente do Município de Araras</t>
  </si>
  <si>
    <t>Aquisição dos seguintes materiais para reposição de estoque</t>
  </si>
  <si>
    <t>Prazo de Execução: Imediato
Interessados enviar proposta para: compras4@saema.com.br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</si>
  <si>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Aquisição dos seguintes materiais para reposição de estoque:</t>
  </si>
  <si>
    <t>Aquisição dos seguintes materiais para reposição</t>
  </si>
  <si>
    <t>Interessados enviar proposta para: compras4@saema.com.br
Informações Whatsapp: 19 9.9956-0919
Início Recebimento das Propostas: 08/04/2026
Data Limite de recebimento de propostas: 10/04/2026</t>
  </si>
  <si>
    <t>AQUISIÇÃO DE MATERIAIS DE BORRACHARIA DESTINADOS À MANUTENÇÃO E REPARO DE PNEUS</t>
  </si>
  <si>
    <t>Prefeitura Municipal de Louveira</t>
  </si>
  <si>
    <t>Louveira</t>
  </si>
  <si>
    <t>DL/53/2026</t>
  </si>
  <si>
    <t>* Licitação Eletrônica * Aquisição de latas de tinta acrílica látex de 20 litros na cor branca, acabamento fosco. - ** www.comprasbr.com.br **</t>
  </si>
  <si>
    <t>Secretaria Municipal de Coordenação das Subprefeituras - Subprefeitura Pinheiros</t>
  </si>
  <si>
    <t>* Licitação Eletrônica * AQUISIÇÃO DE 300M³ trezentos metros cúbicos DE AREIA MÉDIA LAVADA, CONFORME ESPECIFICAÇÕES CONSTANTES NO TERMO DE REFERÊNCIA * https://pncp.gov.br *</t>
  </si>
  <si>
    <t>Unidade compradora: 928657 - SUBPREFEITURA DE PINHEIROS - PMSP - SUBPREFEITURA PINHEIROS
Local: São Paulo/SP
Órgão: SUBPREFEITURA DE PINHEIROS
Id contratação PNCP: 05649898000147-1-000013/2026
Fonte: Compras.gov.br
CONFORME ESPECIFICAÇÕES CONSTANTES NO TERMO DE REFERÊNCIA - Dispensa</t>
  </si>
  <si>
    <t>Interessados enviar proposta para: compras4@saema.com.br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</si>
  <si>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UNESP-Universidade Estadual Paulista Julio de Mesquita Filho - Faculdade de Engenharia</t>
  </si>
  <si>
    <t>Ilha Solteira</t>
  </si>
  <si>
    <t>DL/127/2026</t>
  </si>
  <si>
    <t>* Licitação Eletrônica * Aquisição de massa asfáltica * https://pncp.gov.br *</t>
  </si>
  <si>
    <t>Unidade compradora: 102318 - UNIVERSIDADE ESTADUAL PAULISTA JULIO DE MESQUITA FILHO - ESP-UNESP-FACUL.DE ENGENHARIA-C.ILHA SOLTEIRA
Local: Ilha Solteira/SP
Órgão: UNIVERSIDADE ESTADUAL PAULISTA JULIO DE MESQUITA FILHO
Id contratação PNCP: 48031918000124-1-000660/2026
Fonte: Compras.gov.br
 - Dispensa</t>
  </si>
  <si>
    <t>Penitenciária Orlando Brando Filinto de Iaras</t>
  </si>
  <si>
    <t>Iaras</t>
  </si>
  <si>
    <t>* Licitação Eletrônica * materiais de consumo * https://pncp.gov.br *</t>
  </si>
  <si>
    <t>Unidade compradora: 380156 - SAO PAULO SECRETARIA DA ADMINISTRACAO PENITENCIARIA - ESP-PENIT. ORLANDO BRANDO FILINTO
Local: Iaras/SP
Órgão: SAO PAULO SECRETARIA DA ADMINISTRACAO PENITENCIARIA
Id contratação PNCP: 96291141000180-1-001764/2026
Fonte: Compras.gov.br
 - Dispensa</t>
  </si>
  <si>
    <t>CP/4485/2026</t>
  </si>
  <si>
    <t>* COLETA DE PREÇOS * CONSERVACAO E REPARO</t>
  </si>
  <si>
    <t>SEMAE-Serviço Municipal de Água e Esgoto de Piracicaba</t>
  </si>
  <si>
    <t>* Licitação Eletrônica * CONTRATAÇÃO DE EMPRESA PARA FORNECIMENTO DE TARUGOS DE ALUMÍNIO * https://bnccompras.com *</t>
  </si>
  <si>
    <t>LOCAL: https://bnccompras.com/
Nº PROC. ADM: 2026/002091
 TIPO CONTRATO: AQUISIÇÃO
 INÍCIO REC. PROPOSTA: 09/04/2026 08:30:00
 FIM REC. PROPOSTA: 15/04/2026 08:30:00
 INÍCIO DISPUTA: 15/04/2026 09:00:00
 CIDADE: PIRACICABA
 FASE: PUBLICADO
 EXCLUSIVO ME: SIM
 EXCLUSIVO REGIONAL: NÃO
 MODO DE DISPUTA: ABERTO
 TIPO DE LANCE: MENOR LANCE
 FONE PROMOTOR: 1934039614
 E-MAIL PROMOTOR: licitacao@semaepiracicaba.sp.gov.br
 CONDUTOR: ALANA FERNANDES
 AUTORIDADE: ALANA FERNANDES
 VALOR ESTIMADO: R$19.052,31
 - Licitação sujeita a confirmação pois não foi informado que trata-se de prorrogação.</t>
  </si>
  <si>
    <t>* Licitação Eletrônica * PRESTAÇÃO DE SERVIÇO PARA MANUTENÇÃO DE BOMBAS DE RECALQUE COM REVISAO GERAL E INSTALAÇÃO NO HOSPITAL DIA, CONF SOLIC 2195 DA SM SAÚDE. * https://pncp.gov.br *</t>
  </si>
  <si>
    <t>Unidade compradora: 1 - MUNICIPIO DE SAO JOSE DO RIO PRETO - PREFEITURA MUNICIPAL DE SAO JOSE DO RIO PRETO
Local: São José do Rio Preto/SP
Órgão: MUNICIPIO DE SAO JOSE DO RIO PRETO
Id contratação PNCP: 46588950000180-1-000350/2026
Fonte: EMPRO TECNOLOGIA E INFORMACAO
 - Dispensa</t>
  </si>
  <si>
    <t>* Licitação Eletrônica * Contratação de empresa especializada para fornecimento de 20 vinte filtros para substituir os que estão instalados nos bebedouros das Estações Elevatórias de Água Bruta e Tratada * https://jornaldolicitante.com.br *</t>
  </si>
  <si>
    <t>Segmento: Eletro eletrônicos/Ótica</t>
  </si>
  <si>
    <t>* Licitação Eletrônica * AQUISIÇÃO DE MATERIAL PROVENIENTE DA RECICLAGEM DE RESÍDUOS DA CONSTRUÇÃO CIVIL, LIVRE DE IMPUREZAS, COM DIMENSÃO MÁXIMA CARACTERÍSTICA DE 19 MM. * https://pncp.gov.br *</t>
  </si>
  <si>
    <t>Unidade compradora: 164 - SERVICO AUTONOMO DE AGUA E ESGOTO - SAAE - SERVIÇO AUTÔNOMO DE ÁGUA E ESGOTO
Local: São Carlos/SP
Órgão: SERVICO AUTONOMO DE AGUA E ESGOTO
Id contratação PNCP: 45359973000150-1-000080/2026
Fonte: Centro Eletrônico Bancário Industrial LTDA
 - Dispensa</t>
  </si>
  <si>
    <t>DL/232/2026</t>
  </si>
  <si>
    <t>* Licitação Eletrônica * Solicitamos a aquisição de lacres numerados para controle e segurança dos materiais armazenados no carrinho de emergência das Unidades de Saúde. * https://pncp.gov.br *</t>
  </si>
  <si>
    <t>Unidade compradora: 1 - MUNICIPIO DE JACAREI - GERAL
Local: Jacareí/SP
Órgão: MUNICIPIO DE JACAREI
Id contratação PNCP: 46694139000183-1-000289/2026
Fonte: EMBRAS - EMPRESA BRASILEIRA DE TECNOLOGIA LTDA
Solicitamos a aquisição de lacres numerados para controle e segurança dos materiais armazenados no carrinho de emergência das Unidades de Saúde. - Dispensa</t>
  </si>
  <si>
    <t xml:space="preserve"> CONTRATAÇÃO DE EMPRESA ESPECIALIZADA PARA A ELABORAÇÃO DO
PLANO MUNICIPAL DE SANEAMENTO RURAL PMSR DE LIMEIRA. * https://bnccompras.com *</t>
  </si>
  <si>
    <t>LOCAL: https://bnccompras.com/
Nº PROC. ADM: 904.461/2025
 TIPO CONTRATO: AQUISIÇÃO
 INÍCIO REC. PROPOSTA: 09/04/2026 00:00:00
 FIM REC. PROPOSTA: 13/04/2026 09:29:00
 INÍCIO DISPUTA: 13/04/2026 09:30:00
 CIDADE: LIMEIRA
 FASE: PUBLICADO
 EXCLUSIVO ME: NÃO
 EXCLUSIVO REGIONAL: NÃO
 MODO DE DISPUTA: FECHADO
 TIPO DE LANCE: MELHOR TÉCNICA E PREÇO
 FONE PROMOTOR: 1934049726
 E-MAIL PROMOTOR: licitacoes@limeira.sp.gov.br
 CONDUTOR: RAFAEL SCHRÖDER
 AUTORIDADE: JUAN FELIPE DE OLIVEIRA
INFORMACÕES ADICIONAIS: Critério de julgamento: Técnica e Preço VALOR ESTIMADO: R$408.165,54
 - Licitação sujeita a confirmação pois não foi informado que trata-se de prorrogação.</t>
  </si>
  <si>
    <t>DL/66/2026</t>
  </si>
  <si>
    <t>* Licitação Eletrônica * Aquisição de Materiais de Marcenaria * https://pncp.gov.br *</t>
  </si>
  <si>
    <t>Unidade compradora: 742050 - COMANDO DA MARINHA - CENTRO DE INTENDÊNCIA TECNO.DA MARINHA SP
Local: São Paulo/SP
Órgão: COMANDO DA MARINHA
Id contratação PNCP: 00394502000144-1-002560/2026
Fonte: Compras.gov.br
 - Dispensa</t>
  </si>
  <si>
    <t>Secretaria da Fazenda e Planejamento - Departamento de Suprimentos e Infraestrutura</t>
  </si>
  <si>
    <t>DL/319/2026</t>
  </si>
  <si>
    <t>* Licitação Eletrônica * Aquisição de fitilho, barbante de algodão, fitas adesiva, porta-fita adesivas e cadarço. * https://pncp.gov.br *</t>
  </si>
  <si>
    <t>Unidade compradora: 933011 - SECRETARIA DA FAZENDA E PLANEJAMENTO - ESP-DIR DE ADMIN, SUP E INFRAESTRUTURA - DASI
Local: São Paulo/SP
Órgão: SECRETARIA DA FAZENDA E PLANEJAMENTO
Id contratação PNCP: 46377222000129-1-000064/2026
Fonte: Compras.gov.br
 - Dispensa</t>
  </si>
  <si>
    <t>SAAE-Serviço Autônomo de Água e Esgoto de Cruzeiro</t>
  </si>
  <si>
    <t>Cruzeiro</t>
  </si>
  <si>
    <t>* Licitação Eletrônica * AQUISIÇÃO DE BOMBA E MOTOBOMBA SUBMERSA. * https://pncp.gov.br *</t>
  </si>
  <si>
    <t>Unidade compradora: 2 - SERVICO AUTONOMO DE AGUA E ESGOTO - GERAL
Local: Cruzeiro/SP
Órgão: SERVICO AUTONOMO DE AGUA E ESGOTO
Id contratação PNCP: 48971139000109-1-000044/2026
Fonte: EMBRAS - EMPRESA BRASILEIRA DE TECNOLOGIA LTDA
 - Dispensa</t>
  </si>
  <si>
    <t>Centro de Detenção Provisória  Asp Francisco Carlos Caneschi</t>
  </si>
  <si>
    <t>Bauru</t>
  </si>
  <si>
    <t>* Licitação Eletrônica * Aquisição de Pneumáticos e Material da Segurança * https://pncp.gov.br *</t>
  </si>
  <si>
    <t>Unidade compradora: 380216 - SAO PAULO SECRETARIA DA ADMINISTRACAO PENITENCIARIA - ESP-CDP. "ASP FRANCIS CARLOS CANESCHI", BAURU
Local: Bauru/SP
Órgão: SAO PAULO SECRETARIA DA ADMINISTRACAO PENITENCIARIA
Id contratação PNCP: 96291141000180-1-001765/2026
Fonte: Compras.gov.br
 - Dispensa</t>
  </si>
  <si>
    <t>DL/3018/2026</t>
  </si>
  <si>
    <t>* Licitação Eletrônica * AQUISIÇÃO DE MATERIAIS LUDOPEDAGÓGICOS * https://pncp.gov.br *</t>
  </si>
  <si>
    <t>Unidade compradora: 2 - MUNICIPIO DE ASSIS - PREFEITURA MUNICIPAL DE ASSIS
Local: Assis/SP
Órgão: MUNICIPIO DE ASSIS
Id contratação PNCP: 46179941000135-1-000098/2026
Fonte: Fiorilli Software
AQUISIÇÃO DE MATERIAIS LUDOPEDAGÓGICOS
 - Dispensa</t>
  </si>
  <si>
    <t>Prefeitura Municipal de Ferraz de Vasconcelos</t>
  </si>
  <si>
    <t>Ferraz de Vasconcelos</t>
  </si>
  <si>
    <t>* Licitação Eletrônica * Contratação de empresa especializada para a prestação de serviços técnicos de instalação do  Sistema de Hidrantes e demais necessidades do SCI, visando à obtenção e entrega do Auto de Vistoria do  Corpo de Bombeiros AVCB da Unidade Básica de Saúde UBS Mário Margarido da Silva CS II, nos termos  a seguir expostos, conforme condições, quantidades e exigências estabelecidas no Termo de Referência. * https://jornaldolicitante.com.br *</t>
  </si>
  <si>
    <t>Segmento: Prestação de Serviços - Outros</t>
  </si>
  <si>
    <t xml:space="preserve"> CONTRATAÇÃO DE EMPRESA PARA ELABORAÇÃO DE PROJETO BÁSICO DE ENGENHARIA PARA TRANSPOSIÇÃO DE REDES ATRAVÉS DE RODOVIAS E FERROVIAS EM GARÇA/SP, PELO MÉTODO NÃO DESTRUTIVO. * https://jornaldolicitante.com.br *</t>
  </si>
  <si>
    <t>Segmento: Engenharia - serviços
 - Licitação sujeita a confirmação pois não foi informado que trata-se de prorrogação.</t>
  </si>
  <si>
    <t>DL/136/2026</t>
  </si>
  <si>
    <t>AQUISIÇÃO DE MATERIAIS ESSENCIAIS PARA BANHEIRO PARA USO DO GABINETE DO PREFEITO E FUNDO SOCIAL * www.portaldecompraspublicas.com.br *</t>
  </si>
  <si>
    <t>Órgão: Prefeitura Municipal da Estância de Atibaia - Prefeitura Municipal da Estância de Atibaia - SP
				Processo: 259/2026
				Edital: 136/2026
				Modalidade: Dispensa
				Início de envio das propostas: 08-04-2026 ás 10:20
				Término de envio das propostas: 13/04/2026 ás 07:59		
				Início dos lances: 13/04/2026 ás 08:00</t>
  </si>
  <si>
    <t>DL/235/2026</t>
  </si>
  <si>
    <t>* Licitação Eletrônica * FICHA 438 - RECURSO FEDERAL. AQUISIÇÃO DE  ACIONADOR LATERAL DE CAIXA ACOPLADA CONDIÇÕES DE PAGAMENTO: 11 DFD * https://pncp.gov.br *</t>
  </si>
  <si>
    <t>Unidade compradora: 1 - MUNICIPIO DE JACAREI - GERAL
Local: Jacareí/SP
Órgão: MUNICIPIO DE JACAREI
Id contratação PNCP: 46694139000183-1-000293/2026
Fonte: EMBRAS - EMPRESA BRASILEIRA DE TECNOLOGIA LTDA
FICHA 438 - RECURSO FEDERAL.
AQUISIÇÃO DE  ACIONADOR LATERAL DE CAIXA ACOPLADA
CONDIÇÕES DE PAGAMENTO: 11 DFD - Dispensa</t>
  </si>
  <si>
    <t>DL/100/2026</t>
  </si>
  <si>
    <t>* Licitação Eletrônica * CALÇO PLAQUETA, TRAVA E CONEXÃO * https://pncp.gov.br *</t>
  </si>
  <si>
    <t>Unidade compradora: 373301 - UO ESP-CIA.DO METROPOLIT DE SAO PAULO-METRO - ESP-CIA. METROPOLITANA DE SAO PAULO-METRO
Local: São Paulo/SP
Órgão: UO ESP-CIA.DO METROPOLIT DE SAO PAULO-METRO
Id contratação PNCP: 62070362000106-1-000228/2026
Fonte: Compras.gov.br
 - Dispensa</t>
  </si>
  <si>
    <t>Policia Militar do Estado de Sao Paulo - Diretoria de Ensino e Cultura</t>
  </si>
  <si>
    <t>DL/84/2026</t>
  </si>
  <si>
    <t>* Licitação Eletrônica * Auisição de Refil e Filtro para Purificador de Água * https://pncp.gov.br *</t>
  </si>
  <si>
    <t>Unidade compradora: 180153 - SAO PAULO SECRETARIA DA SEGURANCA PUBLICA - ESP-DIRETORIA DE EDUCACAO E CULTURADEC
Local: São Paulo/SP
Órgão: SAO PAULO SECRETARIA DA SEGURANCA PUBLICA
Id contratação PNCP: 46377800000127-1-001205/2026
Fonte: Compras.gov.br
 - Dispensa</t>
  </si>
  <si>
    <t>* Licitação Eletrônica * Aquisição de equipamentos para teste de motores e sistemas automotivos, destinados à modernização e ao aprimoramento das atividades de diagnóstico e manutenção da frota do Serviço de Água e Esgoto de Pirassununga * https://bllcompras.com *</t>
  </si>
  <si>
    <t>LOCAL: https://bllcompras.com/
Nº PROC. ADM: 629/2026
 TIPO CONTRATO: AQUISIÇÃO
 INÍCIO REC. PROPOSTA: 08/04/2026 08:00:00
 FIM REC. PROPOSTA: 13/04/2026 08:30:00
 INÍCIO DISPUTA: 13/04/2026 09:00:00
 CIDADE: PIRASSUNUNGA
 FASE: PUBLICADO
 EXCLUSIVO ME: SIM
 EXCLUSIVO REGIONAL: NÃO
 MODO DE DISPUTA: ABERTO
 TIPO DE LANCE: MENOR LANCE
 FONE PROMOTOR: 1935654511
 E-MAIL PROMOTOR: compras@saep.sp.gov.br
 CONDUTOR: MATHEUS HANSEN PAES
 AUTORIDADE: PEDRO WESTPHAL NUNES
 INFORMACÕES ADICIONAIS: 
 VALOR ESTIMADO: R$9.412,28
 - Licitação sujeita a confirmação pois não foi informado que trata-se de prorrogação.</t>
  </si>
  <si>
    <t>Prefeitura Municipal de Paranã</t>
  </si>
  <si>
    <t>Paranã</t>
  </si>
  <si>
    <t>Aquisição de 02 dois compressores odontológicos 2HP 1500W, 220V, baixa rotação, reservatório mínimo de 50 litros, isento de óleo, destinados às Unidades Básicas de Saúde.</t>
  </si>
  <si>
    <t>O Edital e seus anexos poderão ser obtidos pelo site oficial do Município: www.parana.to.gov.br, pela plataforma BNC: www.bnc.org.br ou pelo e-mail: licitacaoparanato@gmail.com. Maiores informações junto ao Setor de Licitações. DATA DA SESSÃO: 09/04/2026 às 08h30min.</t>
  </si>
  <si>
    <t>Prefeitura Municipal de Andirá</t>
  </si>
  <si>
    <t>Andirá</t>
  </si>
  <si>
    <t>* Licitação eletrônica * REGISTRO DE PREÇO PARA FUTURA E EVENTUAL AQUISIÇÃO DE MATERIAIS E
EQUIPAMENTOS DE PINTURA, ATENDENDO ÀS DIVERSAS SECRETARIAS MUNICIPAIS,
FUNPESPA E SAMAE.</t>
  </si>
  <si>
    <t>* Retificação do número do edital conforme Coleta Conlicitação. * 
Onde se lê: PR/11/2026
Leia-se: pe/11/2026
** Favor DESCONSIDERAR o presente aviso, pois a oportunidade já está informada através do Número ConLicitação 18791197 **</t>
  </si>
  <si>
    <t>Prefeitura Municipal de Marechal Deodoro</t>
  </si>
  <si>
    <t>Marechal Deodoro</t>
  </si>
  <si>
    <t xml:space="preserve">* Licitação eletrônica * Registro de preços para futura e eventual aquisição de bebedouros industriais, filtros industriais e elementos filtrantes, destinados ao fornecimento e tratamento de água potável. </t>
  </si>
  <si>
    <t>Data da realização: 24 de abril de 2026, às 10h.
Local: Banco Nacional de Compras - BNC. Os editais encontram-se à disposição dos interessados através do site da Prefeitura Municipal de Marechal Deodoro e na plataforma eletrônica do BNC. Dúvidas através do e-mail licitacoesmarechaldeodoro@gmail.com.</t>
  </si>
  <si>
    <t>PE/32/2026</t>
  </si>
  <si>
    <t>* Licitação Eletrônica * Registro de preços para futura e eventual aquisição de equipamentos e mobiliários destinados às cozinhas e refeitórios das unidades escolares.  * https://bnccompras.com *</t>
  </si>
  <si>
    <t>LOCAL: https://bnccompras.com/
Nº PROC. ADM: 12050015/2025
 TIPO CONTRATO: REGISTRO DE PREÇO
 INÍCIO REC. PROPOSTA: 08/04/2026 10:30:00
 FIM REC. PROPOSTA: 24/04/2026 10:29:00
 INÍCIO DISPUTA: 24/04/2026 10:30:00
 CIDADE: MARECHAL DEODORO
 FASE: RECEPÇÃO DE PROPOSTAS
 EXCLUSIVO ME: NÃO
 EXCLUSIVO REGIONAL: NÃO
 MODO DE DISPUTA: ABERTO
 TIPO DE LANCE: MENOR LANCE
 FONE PROMOTOR: 8281131987
 E-MAIL PROMOTOR: licitacoesmarechaldeodoro@gmail.com
 CONDUTOR: LEANDRO BITTENCOURT MIRANDA
 AUTORIDADE: ANDRÉ LUIZ BARROS DA SILVA
 VALOR ESTIMADO: R$537.340,07</t>
  </si>
  <si>
    <t>Prefeitura Municipal de Anadia</t>
  </si>
  <si>
    <t>Anadia</t>
  </si>
  <si>
    <t>* Licitação eletrônica * Contratação de empresa de engenharia para prestar, sob demanda, serviços de manutenção de vias, com fornecimento de peças, equipamentos, materiais e mão de obra, nas vias urbanas, rurais e áreas pertencentes ou sob a responsabilidade da Prefeitura Municipal de Limoeiro de Anadia - AL</t>
  </si>
  <si>
    <t>ABERTURA: 17 de abril de 2026, às 09h:00mim.
DISPONIBILIDADE DOS EDITAIS E INFORMAÇÕES: sala de licitações, localizada
na Praça Boa vista, 20, Centro, Limoeiro de Anadia/AL, CEP: 57.260-000, de segunda à
sexta-feira das 8:00 às 13:00 horas, ou por solicitação via e-mail através do endereço
eletrônico: cpl.novostempos@gmail.com ou no site: http://limoeirodeanadia.al.gov.br/ ;
https://minhaconta.conagreste.al.gov.br/oauth2/in/; https://app2-
compras.conagreste.al.gov.br/cadastro/</t>
  </si>
  <si>
    <t>SM/7004583766</t>
  </si>
  <si>
    <t>* Licitação Eletrônica * Aquisição de Compensado de madeira , conforme as especificações deste
documento e de seus adendos.</t>
  </si>
  <si>
    <t>** Esta publicação está sendo informada para os estados AM e RJ onde será realizado o objeto da licitação. Informamos que a publicação oficial é do estado de RJ. **
Regiões: AM 
Inicio: 2026/04/20 - 20:00:00 Término dos lances: 2026/04/20 20:00:00</t>
  </si>
  <si>
    <t>SM/7004585833</t>
  </si>
  <si>
    <t>* Licitação Eletrônica *  Aquisição de Motores elétricos de indução, conforme as especificações deste documento e de seus adendos.</t>
  </si>
  <si>
    <t>** Esta publicação está sendo informada para os estados AM, PE, PR, SP e RJ onde será realizado o objeto da licitação. Informamos que a publicação oficial é do estado de RJ. **
Regiões: AM PE PR RJ SP 
Inicio: 2026/04/15 - 20:00:00 Término dos lances: 2026/04/15 20:00:00</t>
  </si>
  <si>
    <t>Spa e Maternidade Chapot Prevost</t>
  </si>
  <si>
    <t>PE/149/2026</t>
  </si>
  <si>
    <t>* Licitação Eletrônica * Serviços de Manutenção</t>
  </si>
  <si>
    <t>Unidade compradora: 17106 - HOSPITAL DE ISOLAMENTO CHAPOT PREVOST
Local: Manaus/AM
Órgão: SECRETARIA DE ESTADO DA SAUDE - SUSAM
Id contratação PNCP: 00697295000792-1-000011/2026
Fonte: Centro de Serviços Compartilhados
 - Número compra: PE 149 - Pregão - Eletrônico</t>
  </si>
  <si>
    <t>Polícia Civil do Estado da Bahia</t>
  </si>
  <si>
    <t>* Licitação eletrônica * Aquisição de equipamentos táticos para operações aéreas.</t>
  </si>
  <si>
    <t>AVISO DE LICITAÇÃO - PREGÃO ELETRÔNICO Nº004/2026. ID LICITAÇÕES-E Nº 1090850
-PCBA/DILOG/COSEL
Abertura: 24/04/2026, às 10h00 min. HORÁRIO DE BRASÍLIA. Local da sessão: Site https://
licitacoese2.bb.com.br/aop-inter-estatico/ Objeto: Aquisição de equipamentos táticos para operações
aéreas. Nº Processo: 012.3068.2025.0112248-44. Regência legal: Lei nº14.133/2021 O Edital
e seus anexos poderão ser obtidos através dos sites www.comprasnet.ba.gov.br, https://
licitacoes-e2.bb.com.br/aop-inter-estatico/ ou www.gov.br/pncp/pt-br. Os interessados poderão
entrar em contato através do e-mail: dilog.cosel@pcivil.ba.gov.br, telefones 71 98309-8640 /
71 3116-6759 ou presencialmente, de segunda a sexta-feira, das 8h30 às 18h no endereço:
Praça da Piedade, S/N, Dois de Julho - BA, 06/04/2026. Alan Alves de Santana Santos -
Pregoeiro Oficial.</t>
  </si>
  <si>
    <t>Prefeitura Municipal de Pojuca</t>
  </si>
  <si>
    <t>Pojuca</t>
  </si>
  <si>
    <t>* Licitação eletrônica * Contratação de empresa para fornecimento de areia e brita para atender as demandas da Secretaria de Serviços Públicos e Meio Ambiente</t>
  </si>
  <si>
    <t>Órgão: MUNICIPIO DE POJUCA
Id: 1090946
Edital: PE026-2026
Modalidade: Pregão
Tipo: Menor preço
Pregoeiro: JOICE ALVES REIS
Participação do fornecedor: Ampla
Data de publicação: 07/04/2026
Início do acolhimento de propostas: 09/04/2026 08:00
Limite do acolhimento de propostas: 30/04/2026 10:00
Data e hora da disputa: 30/04/2026 10:00</t>
  </si>
  <si>
    <t xml:space="preserve">* Licitação eletrônica * Fornecimento regular de material de expediente, armarinho e afins para atender as demandas das diversas Secretarias do Município de Pojuca/BA. Conforme termo de referência. 
</t>
  </si>
  <si>
    <t>Órgão: MUNICIPIO DE POJUCA
Id: 1090593
Edital: 025-2026
Modalidade: Pregão
Tipo: Menor preço
Pregoeiro: NAIARA ALMEIDA DE SOUZA
Participação do fornecedor: Ampla
Data de publicação: 07/04/2026
Início do acolhimento de propostas: 08/04/2026 08:00
Limite do acolhimento de propostas: 23/04/2026 10:00
Data e hora da disputa: 23/04/2026 10:00</t>
  </si>
  <si>
    <t>Prefeitura Municipal de Maraú</t>
  </si>
  <si>
    <t>Maraú</t>
  </si>
  <si>
    <t>* Licitação Eletrônica * Seleção de proposta apta a gerar o melhor resultado para a contratação de empresa especializada na aquisição de materiais para construção e pré-moldados para atender às necessidades de diversas secretarias do Município de Maraú/BA, através do Sistema de Registro de Preços</t>
  </si>
  <si>
    <t>Unidade compradora: 1771 - Prefeitura Municipal de Maraú
Local: Maraú/BA
Órgão: MUNICIPIO DE MARAU
Id contratação PNCP: 13848973000127-1-000024/2026
Fonte: Instituto Municipal de Administração Pública - IMAP
 - Número compra: PE06/2026 - Pregão - Eletrônico</t>
  </si>
  <si>
    <t>EGBA-Empresa Gráfica da Bahia</t>
  </si>
  <si>
    <t xml:space="preserve">* Licitação eletrônica * Aquisição de chapas CTP, limpador de chapas, revelador 500 CTP e goma para proteção de chapas. </t>
  </si>
  <si>
    <t>AVISO DE LICITAÇÃO - PREGÃO ELETRÔNICO Nº 0010/2026-EGBA
BB Nº 1090737
Abertura: 16/04/2026 às 10h30. Objeto: Aquisição de chapas CTP, limpador de chapas,
revelador 500 CTP e goma para proteção de chapas. Local de realização: https://licitacoes-e2.
bb.com.br/. O edital e seus anexos poderão ser obtidos através do site https://www.ba.gov.br/
egba/ e https://licitacoes-e2.bb.com.br/. Os interessados poderão entrar em contato através
do e-mail copel@egba.ba.gov.br, telefone 71 3343-2832 ou presencialmente, de segunda à
sexta, das 9:00 às 11:00 h, no endereço: Rua Mello Moraes Filho, nº 189, sala 121, 1º andar.
NÃO ENCAMINHAMOS EDITAL POR E-MAIL. Salvador, 02/04/2026. Mª Anunciada Souza
Sampaio - Pregoeira.</t>
  </si>
  <si>
    <t>SEAGRI - Secretaria da Agricultura, Pecuária, Irrigação, Pesca e Aquicultura</t>
  </si>
  <si>
    <t>* Licitação eletrônica * Registro de Preço para a CARRETA TANQUE TIPO AGRÍCOLA, nova, dotada de chassi, 2 eixos, com molas, barra para reboque, freios, com 4 pneus novos com câmaras, sistema quebra ondas no interior do tanque, capacidade mínima de 4.000 litros. Com qualificação ISO 9001 e garantia mínima 12 meses. Famílias: 37.10</t>
  </si>
  <si>
    <t>AVISO DE LICITAÇÃO - PREGÃO ELETRÔNICO Nº 002/2026. ID BB Nº 1090908 Secretaria da
Agricultura, Pecuária, Irrigação, Pesca e Aquicultura - Superintendência De Desenvolvimento e
Agricultura - SDA. Abertura: 27/04/2026 às 10h00min HORÁRIO DE BRASÍLIA. Local da sessão:
Site https://licitacoes-e2.bb.com.br/aop-inter-estatico/ Objeto: Registro de Preço para a CARRETA
TANQUE TIPO AGRÍCOLA, nova, dotada de chassi, 2 eixos, com molas, barra para reboque, freios,
com 4 pneus novos com câmaras, sistema quebra ondas no interior do tanque, capacidade mínima de
4.000 litros. Com qualificação ISO 9001 e garantia mínima 12 meses. Famílias: 37.10 Nº Processo:
010.0609.2025.0002197-56. Regência legal: Lei nº 14.133/2021. O Edital e seus anexos poderão ser
obtidos através dos sites www.comprasnet.ba.gov.br, https://licitacoes-e2.bb.com.br ou www.
gov.br/pncp/pt-br. Os interessados poderão entrar em contato através do e-mail: copel@seagriba.
gov.br telefone 71 3115-2714 ou presencialmente, de segunda-feira a sexta-feira, das 08:30 h
às 17:30 h no endereço: 4ª avenida nº 405 - Centro Administrativo da Bahia - CAB, Salvador - BA,
07/04/2026. Júlia Santana de Matos Vianna - Pregoeiro a Oficial.</t>
  </si>
  <si>
    <t>Secretaria Municipal da Saúde de Salvador</t>
  </si>
  <si>
    <t>PE/61/2026</t>
  </si>
  <si>
    <t>* Registro de preços * * Licitação Eletrônica * REGISTRO DE PREÇOS PARA AQUISIÇÃO DE ARAME GALVANIZADO N 22.</t>
  </si>
  <si>
    <t>Unidade compradora: 000000002 - SMS SECRETARIA MUNICIPAL DA SAUDE
Local: Salvador/BA
Órgão: MUNICIPIO DE SALVADOR
Id contratação PNCP: 13927801000149-1-000083/2026
Fonte: Licitações-E BB
 - Número compra: 061/2026 - Pregão - Eletrônico</t>
  </si>
  <si>
    <t>Prefeitura Municipal de Caetité</t>
  </si>
  <si>
    <t>Caetité</t>
  </si>
  <si>
    <t>* Registro de preços * * Licitação Eletrônica * Registro de preços para futura e eventual aquisição de materiais de construção civil, bem como de Equipamentos de Proteção Individual EPI's e Equipamentos de Proteção Coletiva EPC's, destinados ao atendimento das demandas das unidades administrativas do Município de Caetité-BA. Senhores Licitantes, ocorrendo divergência entre a descrição do produto constante no código SIASG CATSER e no Termo de Referência Anexo l, prevalecerá à descrição deste último.</t>
  </si>
  <si>
    <t>Unidade compradora: 983403 - PREFEITURA MUNICIPAL DE CAETITE - BA
Local: Caetité/BA
Órgão: MUNICIPIO DE CAETITE
Id contratação PNCP: 13811476000154-1-000070/2026
Fonte: Compras.gov.br
 Para as respostas de esclarecimentos e impugnações deste edital acesse o link: https://cnetmobile.estaleiro.serpro.gov.br/comprasnet-web/public/landing?destino=quadro-informativo&amp;compra=98340305900202026 - Número compra: 90020 - Pregão - Eletrônico</t>
  </si>
  <si>
    <t>Secretaria Municipal de Gestão de Salvador</t>
  </si>
  <si>
    <t>PE/90028/2026</t>
  </si>
  <si>
    <t>* Registro de preços * * Licitação Eletrônica * Aquisição de cadeado e porta cadeado, esse produto tem por finalidade, o uso para os servidores em atividades administrativas e eventos institucionais em prol Administração da Prefeitura Municipal do Salvador, visando manter o pleno funcionamento das atividades, no suporte das tarefas e ações operacionais, através do sistema de registro de preços, no âmbito do Município de Salvador, por meio do Sistema de Registro de Preços.</t>
  </si>
  <si>
    <t>Unidade compradora: 926821 - SECRETARIA MUNICIPAL DE GESTÃO SALVADOR - BA
Local: Salvador/BA
Órgão: MUNICIPIO DE SALVADOR
Id contratação PNCP: 13927801000300-1-000033/2026
Fonte: Compras.gov.br
As especifiações devem ser seguidas conforme o edital Para as respostas de esclarecimentos e impugnações deste edital acesse o link: https://cnetmobile.estaleiro.serpro.gov.br/comprasnet-web/public/landing?destino=quadro-informativo&amp;compra=92682105900282026 - Número compra: 90028 - Pregão - Eletrônico</t>
  </si>
  <si>
    <t>Prefeitura Municipal de Dom Basílio</t>
  </si>
  <si>
    <t>Dom Basílio</t>
  </si>
  <si>
    <t>* Licitação Eletrônica * Aquisição de materiais hidráulicos diversos, destinados à manutenção e operação do sistema de abastecimento de água do SAAE, incluindo tubos, conexões, registros, válvulas e acessórios, visando garantir melhores condições de atendimento à população</t>
  </si>
  <si>
    <t>Unidade compradora: 983501 - PREFEITURA MUNICIPAL DE DOM BASILIO
Local: Dom Basílio/BA
Órgão: MUNICIPIO DE DOM BASILIO
Id contratação PNCP: 13673314000105-1-000067/2026
Fonte: Compras.gov.br
 Para as respostas de esclarecimentos e impugnações deste edital acesse o link: https://cnetmobile.estaleiro.serpro.gov.br/comprasnet-web/public/landing?destino=quadro-informativo&amp;compra=98350105900202026 - Número compra: 90020 - Pregão - Eletrônico</t>
  </si>
  <si>
    <t xml:space="preserve">Aquisição tubos PEAD 90 e 110mm pe 100 pn10 sdr 17, no Sistema de Registro de Preços. </t>
  </si>
  <si>
    <t>AVISO DE LICITAÇÃO PELO RITO SIMILAR AO PREGÃO ELETRÔNICO NO SISTEMA DE
REGISTRO DE PREÇO N.º 055/2026.
Objeto: Aquisição tubos PEAD 90 e 110mm pe 100 pn10 sdr 17, no Sistema de Registro
de Preços. Disputa: 24/04/2026 às 09h Horário de Brasília-DF. Edital: https://licitacoes-e2.
bb.com.br/aop-inter-estatico Licitação nº 1090928 Recursos: Próprios/Financiados.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Paula Ferreira Papa dos Santos Lyra - Agente de Licitação.</t>
  </si>
  <si>
    <t>SM/54/2026</t>
  </si>
  <si>
    <t>Aquisição curva 90 pvc rc pb jei 100mm col esg, no sistema de registro de preços.</t>
  </si>
  <si>
    <t>AVISO DE LICITAÇÃO PELO RITO SIMILAR AO PREGÃO ELETRÔNICO NO SISTEMA DE
REGISTRO DE PREÇO N.º 054/2026.
Objeto: Aquisição curva 90 pvc rc pb jei 100mm col esg, no sistema de registro de preços. Disputa:
16/04/2026 às 09h Horário de Brasília-DF. Edital: https://licitacoes-e2.bb.com.br/aop-inter-estatico
Licitação nº 1090892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Patrícia dos Santos Lyra - Agente de Licitação.</t>
  </si>
  <si>
    <t>Prefeitura Municipal de Coribe</t>
  </si>
  <si>
    <t>Coribe</t>
  </si>
  <si>
    <t>* Registro de preços * * Licitação Eletrônica * Pregão Eletrônico para Registro de Preço para futuras e eventuais aquisições parceladas de Ferramentas, Equipamentos, Materiais Elétricos e Materiais de Construção em geral destinados a manutenção das demandas das Secretarias do Município de Coribe.</t>
  </si>
  <si>
    <t>Unidade compradora: 926606 - PREFEITURA MUNICIPAL DE CORIBE - BA
Local: Coribe/BA
Órgão: MUNICIPIO DE CORIBE
Id contratação PNCP: 13912084000181-1-000012/2026
Fonte: Compras.gov.br
 Para as respostas de esclarecimentos e impugnações deste edital acesse o link: https://cnetmobile.estaleiro.serpro.gov.br/comprasnet-web/public/landing?destino=quadro-informativo&amp;compra=92660605900112026 - Número compra: 90011 - Pregão - Eletrônico</t>
  </si>
  <si>
    <t>MINISTÉRIO DA INFRAESTRUTURA - Departamento Nacional de Infra-estrutura de Transportes - 05ª Unidade de Infra-estrutura Terrestre</t>
  </si>
  <si>
    <t>PE/90112/2026</t>
  </si>
  <si>
    <t>* Licitação Eletrônica * Execução dos Serviços Necessários de Manutenção Rodoviária Conservação/Recuperação na Rodovia BR-242/BA, segmentos: km 227,0 - km 357,6, sob jurisdição da Unidade Local de Feira de Santana/BA, no âmbito do Plano Anual de Trabalho e Orçamento - PATO.</t>
  </si>
  <si>
    <t>Unidade compradora: 393027 - SUPERINTENDÊNCIA REGIONAL DO DNIT - BA
Local: Salvador/BA
Órgão: DNIT-DEPARTAMENTO NACIONAL DE INFRAEST DE TRANSPORTES
Id contratação PNCP: 04892707001930-1-000015/2026
Fonte: Compras.gov.br
Demais informações podem ser retiradas no site do DNIT: www.dnit.gov.br Para as respostas de esclarecimentos e impugnações deste edital acesse o link: https://cnetmobile.estaleiro.serpro.gov.br/comprasnet-web/public/landing?destino=quadro-informativo&amp;compra=39302705901122026 - Número compra: 90112 - Pregão - Eletrônico</t>
  </si>
  <si>
    <t>Prefeitura Municipal de Valença</t>
  </si>
  <si>
    <t>Valença</t>
  </si>
  <si>
    <t>SM/7/2026</t>
  </si>
  <si>
    <t>[LICITANET] - Contratação de Empresa Especializada em Engenharia para Prestação de Serviços de Pavimentação, Recuperação de Estradas Vicinais com Revestimento Primário, Manutenção, Pintura e Sinalização de Vias Públicas para atender o Município de Valença, com Fornecimento de Materiais, Equipamentos e Mão de Obra, na forma estabelecida nas Planilhas de Serviços e Insumos diversos descritas nas Tabelas de Preços Oficiais SINAPI, ORSE, SBC e SICRO, de acordo com as Especificações e Quantitativos constantes do Projeto Básico.</t>
  </si>
  <si>
    <t>Local do certame: PREFEITURA MUNICIPAL DE VALENÇA
Status: EM ANDAMENTO</t>
  </si>
  <si>
    <t>Prefeitura Municipal de Itatim</t>
  </si>
  <si>
    <t>Itatim</t>
  </si>
  <si>
    <t>* Licitação Eletrônica * Contratação de empresa para aquisição de materiais do tipo: descartável, higiene pessoal, incluindo roupa de cama e banho, material de limpeza comum e hospitalar e limpeza automotiva, a fim de necessidades das secretarias municipais e repartições públicas pertencentes ao Município de Itatim - BA. * https://bllcompras.com *</t>
  </si>
  <si>
    <t>LOCAL: https://bllcompras.com/
Nº PROC. ADM: 033-2026
 TIPO CONTRATO: AQUISIÇÃO
 INÍCIO REC. PROPOSTA: 07/04/2026 17:00:00
 FIM REC. PROPOSTA: 17/04/2026 23:59:00
 INÍCIO DISPUTA: 22/04/2026 09:30:00
 CIDADE: ITATIM
 FASE: RECEPÇÃO DE PROPOSTAS
 EXCLUSIVO ME: NÃO
 EXCLUSIVO REGIONAL: NÃO
 MODO DE DISPUTA: ABERTO E FECHADO
 TIPO DE LANCE: MENOR LANCE
 FONE PROMOTOR: 7534522166
 E-MAIL PROMOTOR: daianeanjos@hotmail.com
 CONDUTOR: ADRIEL DE SOUZA SANTOS
 AUTORIDADE: DAIANE SILVA DOS ANJOS
 INFORMACÕES ADICIONAIS: Seguir Termo de Referência. 
 VALOR ESTIMADO: R$0,00</t>
  </si>
  <si>
    <t>Prefeitura Municipal de Pé de Serra</t>
  </si>
  <si>
    <t>Pé de Serra</t>
  </si>
  <si>
    <t>* Licitação Eletrônica * Contratação de empresa aquisição  de insumos  para  ar condicionado  para atender as necessidades das  diversas Secretarias  do  município de Pé Serra- Bahia * https://bnccompras.com *</t>
  </si>
  <si>
    <t>LOCAL: https://bnccompras.com/
Nº PROC. ADM: 112-2026
 TIPO CONTRATO: AQUISIÇÃO
 INÍCIO REC. PROPOSTA: 08/04/2026 10:35:00
 FIM REC. PROPOSTA: 19/04/2026 08:00:00
 INÍCIO DISPUTA: 20/04/2026 09:00:00
 CIDADE: PÉ DE SERRA
 FASE: RECEPÇÃO DE PROPOSTAS
 EXCLUSIVO ME: NÃO
 EXCLUSIVO REGIONAL: NÃO
 MODO DE DISPUTA: ABERTO E FECHADO
 TIPO DE LANCE: MENOR LANCE
 FONE PROMOTOR: 7598182609
 E-MAIL PROMOTOR: osvaldocleberti@gmail.com
 CONDUTOR: DALY RIOS DA SILVA
 AUTORIDADE: ZEDIVAN DE FREITAS RIOS
 VALOR ESTIMADO: R$404.393,33</t>
  </si>
  <si>
    <t>Prefeitura Municipal de Itajuípe</t>
  </si>
  <si>
    <t>Itajuípe</t>
  </si>
  <si>
    <t>* Licitação Eletrônica * Contratação de Empresa Especializada no Fornecimento de Material Elétrico e Hidráulico, objetivando atender as necessidades da Secretaria Municipal de Desenvolvimento Urbano e demais Secretarias do Município de Itajuípe - BA.  * https://bllcompras.com *</t>
  </si>
  <si>
    <t>LOCAL: https://bllcompras.com/
Nº PROC. ADM: 080/2026
 TIPO CONTRATO: AQUISIÇÃO PARCELADA
 INÍCIO REC. PROPOSTA: 13/04/2026 08:00:00
 FIM REC. PROPOSTA: 22/04/2026 08:00:00
 INÍCIO DISPUTA: 22/04/2026 09:00:00
 CIDADE: ITAJUÍPE
 FASE: PUBLICADO
 EXCLUSIVO ME: NÃO
 EXCLUSIVO REGIONAL: NÃO
 MODO DE DISPUTA: ABERTO E FECHADO
 TIPO DE LANCE: MENOR LANCE
 FONE PROMOTOR: 7332381712
 E-MAIL PROMOTOR: prefeitura@itajuipe.b.gov.br
 CONDUTOR: CHARLES OLIVEIRA DOS SANTOS
 AUTORIDADE: LEANDRO JUNQUILHO CUNHA
 INFORMACÕES ADICIONAIS: 
 VALOR ESTIMADO: R$1.144.769,00</t>
  </si>
  <si>
    <t>Prefeitura Municipal de Guanambi</t>
  </si>
  <si>
    <t>Guanambi</t>
  </si>
  <si>
    <t>* Licitação Eletrônica * CONTRATAÇÃO DE EMPRESA PARA AQUISIÇÃO DE MATERIAIS PARA CONFECÇÃO DA ORNAMENTAÇÃO DAS BARRACAS E ESTRUTURAS DOS FESTEJOS JUNINOS DE 2026, "SÃO JOÃO DO GURUTUBA 2026", QUE SERÁ REALIZADO NA PRAÇA HENRIQUE PEREIRA DONATO PRAÇA DO FEIJÃO NO MUNICÍPIO DE GUANAMBI/BA, EVENTO REALIZADO PELA SECRETARIA MUNICIPAL DE CULTURA, ESPORTE, LAZER E TURISMO. * https://bnccompras.com *</t>
  </si>
  <si>
    <t>LOCAL: https://bnccompras.com/
Nº PROC. ADM: 037-26-PMG
 TIPO CONTRATO: AQUISIÇÃO
 INÍCIO REC. PROPOSTA: 08/04/2026 07:00:00
 FIM REC. PROPOSTA: 22/04/2026 08:00:00
 INÍCIO DISPUTA: 22/04/2026 08:30:00
 CIDADE: GUANAMBI
 FASE: PUBLICADO
 EXCLUSIVO ME: NÃO
 EXCLUSIVO REGIONAL: NÃO
 MODO DE DISPUTA: ABERTO
 TIPO DE LANCE: MENOR LANCE
 FONE PROMOTOR: 7798471392
 E-MAIL PROMOTOR: sec.adm@edu.guanambi.ba.gov.br
 CONDUTOR: JARYNE SOARES COSTA ARAUJO
 AUTORIDADE: ARNALDO PEREIRA DE AZEVEDO
 VALOR ESTIMADO: R$422.594,83</t>
  </si>
  <si>
    <t>SM/53/2026</t>
  </si>
  <si>
    <t>Aquisição adesivo plastico conexoes PVC 75g, no Sistema de Registro de Preços.</t>
  </si>
  <si>
    <t>AVISO DE LICITAÇÃO PELO RITO SIMILAR AO PREGÃO ELETRÔNICO NO SISTEMA DE
REGISTRO DE PREÇO N.º 053/2026.
Objeto: Aquisição adesivo plastico conexoes PVC 75g, no Sistema de Registro de Preços. Disputa:
15/04/2026 às 09h Horário de Brasília-DF. Edital: https://licitacoes-e2.bb.com.br/aop-inter-estatico
Licitação nº 1090874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Jorge Carlos da Silva Filho - Agente de Licitação.</t>
  </si>
  <si>
    <t>SM/45/2026</t>
  </si>
  <si>
    <t xml:space="preserve">Ampliação do Sistema Integrado de Abastecimento de Água SIAA de Serrinha-Conceição do Coité para atendimento às localidades de Biongo, Simão e Torta - Município de Conceição do Coité-BA. </t>
  </si>
  <si>
    <t>AVISO DA LICITAÇÃO Nº 045/26
A Embasa torna público que realizará a LICITAÇÃO n.º 045/26, processada de acordo com
as disposições da Lei nº 13.303/2016, Lei Complementar 123/2006 e Regulamento Interno de
Licitações e Contratos da EMBASA. Objeto: Ampliação do Sistema Integrado de Abastecimento
de Água SIAA de Serrinha-Conceição do Coité para atendimento às localidades de Biongo, Simão
e Torta - Município de Conceição do Coité-BA. Abertura de Propostas: 04/05/2026 às 14:00.
Horário de Brasília-DF. Recursos Financeiros: Próprios. O Edital e seus anexos encontram-se
disponíveis para download no site https://licitacoes-e2.bb.com.br/aop-inter-estatico/, Licitação
BB nº: 1090831. O cadastro da proposta deverá ser feito no site https://licitacoes-e2.bb.com.
br/aop-inter-estatico/, antes da abertura da sessão pública. Informações através do e-mail: glcle.
esclarecimentos@embasa.ba.gov.br ou por telefone: 71 3372-4015/4022. Salvador, 07 de abril
de 2026. - Samuel Cordeiro de Jesus- Agente de Licitação.</t>
  </si>
  <si>
    <t>Serviço Autônomo de Água e Esgoto de Itapetinga</t>
  </si>
  <si>
    <t>Itapetinga</t>
  </si>
  <si>
    <t>* Licitação Eletrônica * Aquisição de inversor de frequência, cabos elétricos e terminais de conexão. * https://licitanet.com.br *</t>
  </si>
  <si>
    <t>Processo: 045.23-03-2026
Quantidade de lotes: 3</t>
  </si>
  <si>
    <t>* Licitação eletrônica * CONTRATAÇÃO DE EMPRESA DE ENGENHARIA PARA SERVIÇOS DE INSTALAÇÃO DE RESERVATÓRIO E GRADIL NA UNIDADE SESC, LOCALIZADA NA CIDADE DE PORTO SEGURO / BA https://egov.paradigmabs.com.br/sescba/Default.aspx</t>
  </si>
  <si>
    <t>Prefeitura Municipal de Itiúba</t>
  </si>
  <si>
    <t>Itiúba</t>
  </si>
  <si>
    <t>* Licitação Eletrônica * Aquisição de materiais de construção em geral para construção, reforma, manutenção e ampliação de prédios, redes de esgoto, vias, praças, parques e jardins públicos, para atender às necessidades das secretarias do município de Itiúba.</t>
  </si>
  <si>
    <t>Unidade compradora: 2024 - SECRETARIA MUNICIPAL DE ADM. E SERV. PUBLICOS
Local: Itiúba/BA
Órgão: MUNICIPIO DE ITIUBA
Id contratação PNCP: 13988324000121-1-000015/2026
Fonte: GUIMARÃES SISTEMAS GESTÃO E TECNOLOGIA LTDA
 - Número compra: PR012 - Pregão - Eletrônico</t>
  </si>
  <si>
    <t>Prefeitura Municipal de Nova Ibiá</t>
  </si>
  <si>
    <t>Nova Ibiá</t>
  </si>
  <si>
    <t>CONTRATAÇÃO DE EMPRESA DE ENGENHARIA PARA EXECUÇÃO DE PAVIMENTAÇÃO EM PARALELEPÍPEDOS COM DRENAGEM SUPERFICIAL, NO BAIRRO ALÍPIO LOPES, NO  MUNICÍPIO DE NOVA IBIÁ-BAHIA. TERMO DE CONVÊNIO SOB Nº 064/2025, FIRMADO ENTRE O MUNICÍPIO DE NOVA IBIÁ E A CONDER - COMPANHIA DE DESENVOLVIMENTO URBANO DO ESTADO DA BAHIA, EM ATENDIMENTO A SECRETARIA MUNICIPAL DE INFRAESTRUTURA * https://licitanet.com.br *</t>
  </si>
  <si>
    <t>Processo: 002-2026CON
Quantidade de lotes: 1</t>
  </si>
  <si>
    <t>Prefeitura Municipal de Filadélfia</t>
  </si>
  <si>
    <t>Filadélfia</t>
  </si>
  <si>
    <t>* Licitação eletrônica * contratação de empresas para o fornecimento de materiais de construção em geral, compreendendo materiais básicos, elétricos, hidráulicos, de acabamento, pré-moldados, esquadrias, ferramentas, Epis, materiais de cobertura e correlatos, destinados à execução de serviços de manutenção, reforma, conservação e pequenas obras em prédios públicos, vias e demais instalações pertencentes ao município de Filadélfia-Ba</t>
  </si>
  <si>
    <t>portal eletrônico: https://emunicipio.com.br/filadelfia/modalidade/index.php
O edital contendo as instruções encontra-se à disposição dos interessados no
https://filadelfia.ba.gov.br/transparencia/licitacoes.php, 06/04/2026 - José Adeuton Pereira Maia - Pregoeiro.</t>
  </si>
  <si>
    <t>Consórcio Intermunicipal do Oeste da Bahia - CONSID</t>
  </si>
  <si>
    <t>Barreiras</t>
  </si>
  <si>
    <t>execução de obras de engenharia visando à implantação/construção de 02 duas passagens molhadas nas comunidades de Lagoa Seca e Riachão do Aricobé, município de Angical/BA, conforme Termo de Convênio Nº 0023/26-CAR/SDR.</t>
  </si>
  <si>
    <t>CONSÓRCIO INTERMUNICIPAL DO OESTE DA BAHIA -
CONSID
AVISO DE PUBLICAÇÃO - CONCORRÊNCIA ELETRÔNICA Nº 001/2026: Realizara Licitação na
modalidade "CONCORRÊNCIA ELETRÔNICA Nº 001/2026", no dia 27/04/2026, às 09:00min, execução de obras de engenharia
visando à implantação/construção de 02 duas passagens molhadas nas comunidades de Lagoa Seca e Riachão do
Aricobé, município de Angical/BA, conforme Termo de Convênio Nº 0023/26-CAR/SDR. Barreiras - Bahia, 07 de abril de 2026.
Agnaldo de Oliveira Ferreira - Agente de Contratação.</t>
  </si>
  <si>
    <t>* Licitação Eletrônica * [LICITANET] - Aquisição de Água Mineral e Gás GLP, bem como material de suporte, a fim de atender as demandas das secretarias do Município de Itamaraju-BA.</t>
  </si>
  <si>
    <t>Unidade compradora: 2857 - MUNICIPIO DE ITAMARAJU - BA 
Local: Itamaraju/BA
Órgão: MUNICIPIO DE ITAMARAJU
Id contratação PNCP: 13761697000165-1-000054/2026
Fonte: Licitanet Licitações Eletrônicas LTDA
 - Número compra: 017 - Pregão - Eletrônico
 - Licitação sujeita a confirmação pois não foi informado que trata-se de prorrogação.</t>
  </si>
  <si>
    <t>Prefeitura Municipal de Ocara</t>
  </si>
  <si>
    <t>Ocara</t>
  </si>
  <si>
    <t>Contratação de empresa especializada para a prestação de serviços de transbordo de resíduos sólidos urbanos gerados no Município de Ocara/CE.</t>
  </si>
  <si>
    <t>O Edital poderá ser obtido no endereço eletrônico www.licitacaoocara.com.br. Informações: setorlicitacaoocara@gmail.com, horário de 08:00h às 12:00h na sede da Comissão.</t>
  </si>
  <si>
    <t>Prefeitura Municipal de Baixio</t>
  </si>
  <si>
    <t>Baixio</t>
  </si>
  <si>
    <t>PE/7.04.01/2026</t>
  </si>
  <si>
    <t>* Licitação Eletrônica * AQUISIÇÃO DE RECARGA DE CILINDRO DE OXIGÊNIO MEDICINAL EM REGIME DE COMODATO E EQUIPAMENTOS DESTINADO A ATENDER AS NECESSIDADES DO HOSPITAL MUNICIPAL POR INTERMÉDIO DA SECRETARIA MUNICIPAL DE SAÚDE DE BAIXIO-CE.</t>
  </si>
  <si>
    <t>Pregão Eletrônico
CERTAME LICITATÓRIO Nº 07.04.01.2026PE
Tipo de apuração: Lote
Critério de julgamento: Menor Preço</t>
  </si>
  <si>
    <t>Secretaria Municipal de Saude de Morada Nova</t>
  </si>
  <si>
    <t>Morada Nova</t>
  </si>
  <si>
    <t>PE/1.04.01.2026</t>
  </si>
  <si>
    <t>* Licitação Eletrônica * AQUISIÇÃO DE MATERIAIS PERMANENTES, INCLUINDO EQUIPAMENTOS E MOBILIÁRIO, DESTINADO AO FORTALECIMENTO DA ESTRUTURAÇÃO E FUNCIONAMENTO DO CENTRO DE REABILITAÇÃO EM SAÚDE E DAS EQUIPES MULTIPROFISSIONAIS, ATRAVÉS DA SECRETARIA DA SAÚDE DO MUNICÍPIO DE MORADA NOVA-CE.</t>
  </si>
  <si>
    <t>Unidade compradora: 22 - SECRETARIA DA SAUDE
Local: Morada Nova/CE
Órgão: MUNICIPIO DE MORADA NOVA
Id contratação PNCP: 07782840000100-1-000047/2026
Fonte: M2A tecnologia
 - Número compra: PE-01.04.01.2026 - Pregão - Eletrônico</t>
  </si>
  <si>
    <t>PE/108/2026</t>
  </si>
  <si>
    <t>* Registro de preços * * Licitação Eletrônica * REGISTRO DE PREÇO PARA AQUISIÇÃO DE INSUMOS PARA OFICINAS</t>
  </si>
  <si>
    <t>Unidade compradora: 430201 - COMPANHIA DE AGUA E ESGOTO DO CEARA
Local: Fortaleza/CE
Órgão: ESTADO DO CEARA
Id contratação PNCP: 07954480000179-1-008187/2026
Fonte: Secretaria do Planejamento e Gestão do Ceará
NÚMERO COMPRASNET: 90256/2026  - Número compra: 202600108 - Pregão - Eletrônico</t>
  </si>
  <si>
    <t>Secretaria Municipal de Educação de Russas</t>
  </si>
  <si>
    <t>Russas</t>
  </si>
  <si>
    <t>PE/2.01.04.2026</t>
  </si>
  <si>
    <t>* Registro de preços * * Licitação Eletrônica * REGISTRO DE PREÇOS PARA FUTURA E EVENTUAL IMPLANTAÇÃO DE PROJETO DE EDUCAÇÃO 4.0 EDUCAÇÃO CIENTÍFICA, TECNOLÓGICA E DIGITAL ALINHADO À BNCC E AO PNED-PARA O ENSINO FUNDAMENTAL- COM PENSAMENTO COMPUTACIONAL E ROBÓTICA EDUCACIONAL SUSTENTÁVEL COM PROGRAMAÇÃO VISUAL.</t>
  </si>
  <si>
    <t>Unidade compradora: 202503 - FUNDO MUNICIPAL DE EDUCACAO
Local: Russas/CE
Órgão: MUNICIPIO DE RUSSAS
Id contratação PNCP: 07535446000160-1-000028/2026
Fonte: M2A tecnologia
 - Número compra: 002.01.04.2026-SEMED - Pregão - Eletrônico</t>
  </si>
  <si>
    <t>PEFOCE - Perícia Forense do Estado do Ceará</t>
  </si>
  <si>
    <t>PE/69/2026</t>
  </si>
  <si>
    <t>* Licitação Eletrônica * Aquisição de consumíveis/insumos utilizados nos equipamentos cromatográficos do laboratório de Toxicologia Forense e no preparo das amostras que serão analisadas</t>
  </si>
  <si>
    <t>Unidade compradora: 101071 - PERICIA FORENSE DO ESTADO DO CEARA
Local: Fortaleza/CE
Órgão: ESTADO DO CEARA
Id contratação PNCP: 07954480000179-1-008235/2026
Fonte: Secretaria do Planejamento e Gestão do Ceará
NÚMERO COMPRASNET: 90255/2026 - Número compra: 202600069 - Pregão - Eletrônico</t>
  </si>
  <si>
    <t>Prefeitura Municipal de Juazeiro do Norte</t>
  </si>
  <si>
    <t>PE/2026.04.06.1</t>
  </si>
  <si>
    <t>* Licitação Eletrônica * Aquisição de Equipamento de Proteção Individual - EPI, para serem distribuídos aos servidores das diversas Unidades Gestoras pertencentes ao Município de Juazeiro do Norte/CE * https://bllcompras.com *</t>
  </si>
  <si>
    <t>LOCAL: https://bllcompras.com/
Nº PROC. ADM: 2026.04.06.1
 TIPO CONTRATO: AQUISIÇÃO
 INÍCIO REC. PROPOSTA: 08/04/2026 17:00:00
 FIM REC. PROPOSTA: 22/04/2026 09:00:00
 INÍCIO DISPUTA: 22/04/2026 09:30:00
 CIDADE: JUAZEIRO DO NORTE
 FASE: PUBLICADO
 EXCLUSIVO ME: NÃO
 EXCLUSIVO REGIONAL: NÃO
 MODO DE DISPUTA: ABERTO E FECHADO
 TIPO DE LANCE: MENOR LANCE
 FONE PROMOTOR: 8835661044
 E-MAIL PROMOTOR: sead@juazeiro.ce.gov.br
 CONDUTOR: IARA PEREIRA DE SOUSA
 AUTORIDADE: GLÊDSON LIMA BEZERRA
 INFORMACÕES ADICIONAIS: 
 VALOR ESTIMADO: R$619.201,14</t>
  </si>
  <si>
    <t>Prefeitura Municipal de Fortim</t>
  </si>
  <si>
    <t>Fortim</t>
  </si>
  <si>
    <t>PE/3103.01/2026</t>
  </si>
  <si>
    <t>* Licitação Eletrônica * CONTRATAÇÃO DE EMPRESA PARA PRESTAÇÃO DE SERVIÇO DE METALÚRGICA, TAIS COMO CONFECÇÃO, RECUPERAÇÃO E MANUTENÇÃO DE DIVERSOS ITENS JUNTO ÀS UNIDADES ADMINISTRATIVAS DO MUNICÍPIO DE FORTIM-CE * https://jornaldolicitante.com.br *</t>
  </si>
  <si>
    <t>Tribunal de Contas do Distrito Federal</t>
  </si>
  <si>
    <t>* Licitação Eletrônica * Contratação de empresas especializadas para o fornecimento de equipamentos da área médica e odontológica para atendimento das necessidades da Divisão de Assistência Direta à Saúde DSAUD do Tribunal de Contas do Distrito Federal TCDF.</t>
  </si>
  <si>
    <t>Unidade compradora: 974003 - TRIBUNAL DE CONTAS DO DISTRITO FEDERAL
Local: Brasília/DF
Órgão: TRIBUNAL DE CONTAS DO DISTRITO FEDERAL
Id contratação PNCP: 00534560000126-1-000013/2026
Fonte: Compras.gov.br
Qualquer divergência no tocante à divulgação do certame, prevalecem as disposições do edital. Para as respostas de esclarecimentos e impugnações deste edital acesse o link: https://cnetmobile.estaleiro.serpro.gov.br/comprasnet-web/public/landing?destino=quadro-informativo&amp;compra=97400305900082026 - Número compra: 90008 - Pregão - Eletrônico</t>
  </si>
  <si>
    <t>MINISTÉRIO DA DEFESA - Comando da Aeronáutica - Grupamento de Apoio do Distrito Federal</t>
  </si>
  <si>
    <t>PE/90025/2026</t>
  </si>
  <si>
    <t>* Registro de preços * * Licitação Eletrônica * Aquisição de materiais de construção</t>
  </si>
  <si>
    <t>Unidade compradora: 120625 - GRUPAMENTO DE APOIO DO DF
Local: Brasília/DF
Órgão: COMANDO DA AERONAUTICA
Id contratação PNCP: 00394429000100-1-000612/2026
Fonte: Compras.gov.br
 Para as respostas de esclarecimentos e impugnações deste edital acesse o link: https://cnetmobile.estaleiro.serpro.gov.br/comprasnet-web/public/landing?destino=quadro-informativo&amp;compra=12062505900252026 - Número compra: 90025 - Pregão - Eletrônico</t>
  </si>
  <si>
    <t>MINISTÉRIO DA EDUCAÇÃO - Instituto Federal de Educação, Ciência e Tecnologia de Brasília</t>
  </si>
  <si>
    <t>PE/90076/2026</t>
  </si>
  <si>
    <t>* Registro de preços * * Licitação Eletrônica * Aquisição de insumos para produção e alimentação animal</t>
  </si>
  <si>
    <t>Unidade compradora: 158143 - INST.FED.DE EDUC.,CIENC.E TEC.DE BRASILIA
Local: Brasília/DF
Órgão: INSTITUTO FEDERAL DE EDUCACAO, CIENCIA E TECNOLOGIA DE BRASILIA
Id contratação PNCP: 10791831000182-1-000004/2026
Fonte: Compras.gov.br
 Para as respostas de esclarecimentos e impugnações deste edital acesse o link: https://cnetmobile.estaleiro.serpro.gov.br/comprasnet-web/public/landing?destino=quadro-informativo&amp;compra=15814305900762026 - Número compra: 90076 - Pregão - Eletrônico</t>
  </si>
  <si>
    <t>CAESB-Companhia de Saneamento Ambiental do Distrito Federal</t>
  </si>
  <si>
    <t>Fornecimento de peças e serviços para manutenção em medidores de vazão macromedidores, na forma do Sistema de Registro de Preços -SRP. * www.portaldecompraspublicas.com.br *</t>
  </si>
  <si>
    <t>Órgão: Companhia de Saneamento Ambiental do Distrito Federal - CAESB - Companhia de Saneamento Ambiental do Distrito Federal - CAESB - DF
				Processo: 00092-00001039/2026-22
				Edital: LC 029/2026
				Modalidade: RCE-Regime de Contratação Estatal
				Início de envio das propostas: 08-04-2026 ás 08:00
				Término de envio das propostas: 27/04/2026 ás 08:59		
				Início dos lances: 27/04/2026 ás 09:00</t>
  </si>
  <si>
    <t>Prefeitura Municipal de Pedro Canário</t>
  </si>
  <si>
    <t>Pedro Canário</t>
  </si>
  <si>
    <t>* Licitação Eletrônica * AQUISIÇÃO DE EPI E FERRAMENTAS PARA ATENDER A SECRETARIA DE SERVICOS URBANOS</t>
  </si>
  <si>
    <t>Órgão: Prefeitura Municipal de Pedro Canário - Prefeitura Municipal de Pedro Canário - ES
				Processo: 000260/2026
				Edital: 10/2026
				Modalidade: Pregão para Registro de Preço
				Início de envio das propostas: 06-04-2026 ás 13:00
				Término de envio das propostas: 22/04/2026 ás 12:59		
				Início dos lances: 22/04/2026 ás 13:00</t>
  </si>
  <si>
    <t>Fundação Estadual de Inovação em Saúde - INOVA CAPIXABA</t>
  </si>
  <si>
    <t>Vila Velha</t>
  </si>
  <si>
    <t>DL/44024/2026</t>
  </si>
  <si>
    <t>AQUISIÇÃO DE MATERIAL DE INFORMÁTICA, VISANDO ATENDER AS NECESSIDADES DO SETOR DE TECNOLOGIA DA INFORMAÇÃO DO HOSPITAL ESTADUAL CENTRAL - HEC * www.portaldecompraspublicas.com.br *</t>
  </si>
  <si>
    <t>Órgão: Fundação Inova Capixaba - Fundação Inova Capixaba - ES
				Processo: 2025-JFQVM..
				Edital: 44024/2026
				Modalidade: Dispensa
				Início de envio das propostas: 08-04-2026 ás 08:00
				Término de envio das propostas: 14/04/2026 ás 08:00		
				Início dos lances: 14/04/2026 ás 08:01</t>
  </si>
  <si>
    <t>SM/7004587368</t>
  </si>
  <si>
    <t>* Licitação Eletrônica * Aquisição de Válvula controle esfera</t>
  </si>
  <si>
    <t>** Esta publicação está sendo informada para os estados ES, PR, SP e RJ onde será realizado o objeto da licitação. Informamos que a publicação oficial é do estado de RJ. **
Regiões: ES PR RJ SP 
Inicio: 2026/04/24 - 17:00:00 Término dos lances: 2026/04/24 17:00:00</t>
  </si>
  <si>
    <t>Fundo Municipal de Saúde de Santa Maria de Jetibá</t>
  </si>
  <si>
    <t>Santa Maria de Jetibá</t>
  </si>
  <si>
    <t>* Licitação Eletrônica * AQUISIÇÃO DE FILTRO DE AGUA TIPO CENTRAL E ELEMENTOS DE TROCA/ REPOSIÇÃO DO SISTEMA DE FILTRAGEM * https://bnccompras.com *</t>
  </si>
  <si>
    <t>LOCAL: https://bnccompras.com/
Nº PROC. ADM: 2025-8S4X8/2025
 TIPO CONTRATO: AQUISIÇÃO
 INÍCIO REC. PROPOSTA: 09/04/2026 08:00:00
 FIM REC. PROPOSTA: 17/04/2026 08:29:00
 INÍCIO DISPUTA: 17/04/2026 09:00:00
 CIDADE: SANTA MARIA DE JETIBÁ
 FASE: PUBLICADO
 EXCLUSIVO ME: NÃO
 EXCLUSIVO REGIONAL: NÃO
 MODO DE DISPUTA: ABERTO
 TIPO DE LANCE: MENOR LANCE
 FONE PROMOTOR: 2732634350
 E-MAIL PROMOTOR: sms.smjetiba@pmsmj.es.gov.br
 CONDUTOR: GEISA CARLA FRANCISCO
 AUTORIDADE: RONAN ZOCOLOTO SOUZA DUTRA
 VALOR ESTIMADO: R$52.108,21</t>
  </si>
  <si>
    <t>Prefeitura Municipal de Santa Maria de Jetibá</t>
  </si>
  <si>
    <t>CR/11/2026</t>
  </si>
  <si>
    <t>* Licitação Eletrônica * Pavimentação e drenagem em vias rurais na localidade de Alto São Sebastião.</t>
  </si>
  <si>
    <t>Unidade compradora: 36388445000138 - PREFEITURA MUNICIPAL DE SANTA MARIA DE JETIBÁ
Local: Santa Maria de Jetibá/ES
Órgão: MUNICIPIO DE SANTA MARIA DE JETIBA
Id contratação PNCP: 36388445000138-1-000071/2026
Fonte: E &amp; L PRODUCOES DE SOFTWARE LTDA
A realização destas obras é de fundamental importância para a melhoria da infraestrutura das vias, promovendo melhores condições de trafegabilidade, segurança viária e acessibilidade aos moradores e transeuntes.  - Número compra: 000011 - Concorrência - Eletrônica</t>
  </si>
  <si>
    <t>* Licitação Eletrônica * Contratação de empresa especializada para execução de obras de construção de flutuante na orla de Cariacica-ES.</t>
  </si>
  <si>
    <t>Unidade compradora: 1 - PREFEITURA MUNICIPAL DE CARIACICA
Local: Cariacica/ES
Órgão: MUNICIPIO DE CARIACICA
Id contratação PNCP: 27150549000119-1-000058/2026
Fonte: SMARAPD INFORMATICA LTDA
 - Número compra: 11 - Concorrência - Eletrônica</t>
  </si>
  <si>
    <t>Prefeitura Municipal de Marataízes</t>
  </si>
  <si>
    <t>Marataízes</t>
  </si>
  <si>
    <t>* Licitação Eletrônica * AQUISIÇÃO DE MATERIAIS ODONTOLÓGICOS PARA ATENDIMENTO CLÍNICO</t>
  </si>
  <si>
    <t>Órgão: Prefeitura Municipal de Marataízes - Prefeitura Municipal de Marataízes - ES
				Processo: 068449/2025
				Edital: 000012/2026
				Modalidade: Pregão para Registro de Preço
				Início de envio das propostas: 09-04-2026 ás 00:00
				Término de envio das propostas: 24/04/2026 ás 09:00		
				Início dos lances: 24/04/2026 ás 09:30</t>
  </si>
  <si>
    <t>Prefeitura Municipal de Serra</t>
  </si>
  <si>
    <t>Serra</t>
  </si>
  <si>
    <t>* Registro de preços * * Licitação Eletrônica * REGISTRO DE PREÇOS PARA AQUISIÇÃO DE MATERIAIS DE HIGIENE, LIMPEZA E DESCARTÁVEIS.</t>
  </si>
  <si>
    <t>Unidade compradora: 1 - PREFEITURA MUNICIPAL DA SERRA
Local: Serra/ES
Órgão: MUNICIPIO DA SERRA
Id contratação PNCP: 27174093000127-1-000175/2026
Fonte: SMARAPD INFORMATICA LTDA
 - Número compra: 029 - Pregão - Eletrônico</t>
  </si>
  <si>
    <t>Serviço Autônomo de Água e Esgoto de Aracruz</t>
  </si>
  <si>
    <t>Aracruz</t>
  </si>
  <si>
    <t>* Licitação Eletrônica * AQUISIÇÃO DE BOMBAS HIDRÁULICAS</t>
  </si>
  <si>
    <t>Unidade compradora: 1 - SERVICO AUTONOMO DE AGUA E ESGOTO
Local: Aracruz/ES
Órgão: SERVICO AUTONOMO DE AGUA E ESGOTO
Id contratação PNCP: 27108141000189-1-000020/2026
Fonte: SMARAPD INFORMATICA LTDA
 - Número compra: 007 - Pregão - Eletrônico</t>
  </si>
  <si>
    <t>PE/14/2025</t>
  </si>
  <si>
    <t>* Licitação Eletrônica * Aquisição de equipamentos para realização de pequenas obras e para manutenção predial das unidades do Senac Goiás. * http://www.licitacoes-e.com.br *</t>
  </si>
  <si>
    <t xml:space="preserve">Edital : 0014/2025 
Modalidade : Pregão 
Nº Licitação : 1090832 
Início acolhimento de propostas : 07/04/2026-09:30 
Limite acolhimento de propostas : 15/04/2026-09:30 
Abertura das propostas : 15/04/2026-09:30 
Data e a hora da disputa : 15/04/2026-14:30 
Pregoeiro : CARMEM LUCY MORAES DE SOUZA
 </t>
  </si>
  <si>
    <t>Câmara Municipal de São Luis de Montes Belos</t>
  </si>
  <si>
    <t>São Luís de Montes Belos</t>
  </si>
  <si>
    <t>* Registro de preços * * Licitação Eletrônica * PREGÃO 03/2026 - REGISTRO DE PREÇO PARA CONTRATAÇÃO DE EMPRESA PARA FORNECIMENTO DE MATERIAIS DE CONSTRUÇÃO, SERVIÇOS ESPECIALIZADOS PARA EXECUÇÃO DE PINTURA E ASSENTAMENTO DE PISOS, DESTINADOS À MANUTENÇÃO PREDIAL, REVITALIZAÇÃO DE ESPAÇOS PÚBLICOS E MELHORIA DA INFRAESTRUTURA DA CÂMARA</t>
  </si>
  <si>
    <t>Unidade compradora: 1 - CAMARA MUNICIPAL
Local: São Luís de Montes Belos/GO
Órgão: CAMARA MUNICIPAL DE SAO LUIS DE MONTES BELOS
Id contratação PNCP: 01725501000106-1-000018/2026
Fonte: CENTI
PREGÃO 03/2026 - REGISTRO DE PREÇO PARA CONTRATAÇÃO DE EMPRESA PARA FORNECIMENTO DE MATERIAIS DE CONSTRUÇÃO, SERVIÇOS ESPECIALIZADOS PARA EXECUÇÃO DE PINTURA E ASSENTAMENTO DE PISOS, DESTINADOS À MANUTENÇÃO PREDIAL, REVITALIZAÇÃO DE ESPAÇOS PÚBLICOS E MELHORIA DA INFRAESTRUTURA DA CÂMARA. - Número compra: 3 - Pregão - Eletrônico</t>
  </si>
  <si>
    <t>Prefeitura Municipal de Mossâmedes</t>
  </si>
  <si>
    <t>Mossâmedes</t>
  </si>
  <si>
    <t>* Licitação Eletrônica * Registro de preços para contratação de empresa especializada no fornecimento de oxigênio medicinal, regulador medicinal com kit e fluxômetro medicinal, sob demanda, visando atender as necessidades da Secretaria Municipal de Saúde, conforme especificações constantes nas planilhas e Termo de Referência - Anexo I, do Edital. * https://bnccompras.com *</t>
  </si>
  <si>
    <t>LOCAL: https://bnccompras.com/
Nº PROC. ADM: 620/2026
 TIPO CONTRATO: REGISTRO DE PREÇO
 INÍCIO REC. PROPOSTA: 07/04/2026 17:15:00
 FIM REC. PROPOSTA: 22/04/2026 08:00:00
 INÍCIO DISPUTA: 22/04/2026 09:01:00
 CIDADE: MOSSÂMEDES
 FASE: RECEPÇÃO DE PROPOSTAS
 EXCLUSIVO ME: NÃO
 EXCLUSIVO REGIONAL: NÃO
 MODO DE DISPUTA: ABERTO
 TIPO DE LANCE: MENOR LANCE
 FONE PROMOTOR: 6433771129
 E-MAIL PROMOTOR: pref.mossamedes@gmail.com
 CONDUTOR: RAQUEL MARCELINO DOS SANTOS TOLENTINO
 AUTORIDADE: MARTA MARIA CAETANO DE ALMEIDA CUNHA
 VALOR ESTIMADO: R$306.914,80</t>
  </si>
  <si>
    <t>* Licitação Eletrônica * SOLICITA AQUISIÇÃO DE MATERIAIS DE CONSTRUÇÃO, PARA CONTRUÇÃO DE BANHEIROS PÚBLICOS NESTE MUNICÍPIO. * https://bnccompras.com *</t>
  </si>
  <si>
    <t>LOCAL: https://bnccompras.com/
Nº PROC. ADM: 1868/2026
 TIPO CONTRATO: REGISTRO DE PREÇO
 INÍCIO REC. PROPOSTA: 08/04/2026 09:00:00
 FIM REC. PROPOSTA: 23/04/2026 08:59:00
 INÍCIO DISPUTA: 23/04/2026 09:00:00
 CIDADE: TURVÂNIA
 FASE: PUBLICADO
 EXCLUSIVO ME: NÃO
 EXCLUSIVO REGIONAL: NÃO
 MODO DE DISPUTA: ABERTO
 TIPO DE LANCE: MENOR LANCE
 FONE PROMOTOR: 6436821768
 E-MAIL PROMOTOR: licitacaoturvania@gmail.com
 CONDUTOR: MARIANA CARMÉLIA DOS SANTOS BERNARDO
 AUTORIDADE: JADIR DIAS POLICARPIO
 VALOR ESTIMADO: R$54.387,88</t>
  </si>
  <si>
    <t>Prefeitura Municipal de São Miguel de Passa Quatro</t>
  </si>
  <si>
    <t>São Miguel do Passa Quatro</t>
  </si>
  <si>
    <t>* Licitação Eletrônica * CONTRATAÇÃO DE EMPRESA PARA FORNECMENTO DE MATERIAIS DE CONSTRUÇÃO E FERRAMENTAS. * https://bllcompras.com *</t>
  </si>
  <si>
    <t>LOCAL: https://bllcompras.com/
Nº PROC. ADM: 125/2026
 TIPO CONTRATO: REGISTRO DE PREÇO
 INÍCIO REC. PROPOSTA: 08/04/2026 08:50:00
 FIM REC. PROPOSTA: 22/04/2026 08:50:00
 INÍCIO DISPUTA: 22/04/2026 09:00:00
 CIDADE: SÃO MIGUEL DO PASSA QUATRO
 FASE: PUBLICADO
 EXCLUSIVO ME: NÃO
 EXCLUSIVO REGIONAL: NÃO
 MODO DE DISPUTA: ABERTO
 TIPO DE LANCE: MENOR LANCE
 FONE PROMOTOR: 6293402962
 E-MAIL PROMOTOR: prefeitura.smp4@gmail.com
 CONDUTOR: ELENILSON JOSE DE OLIVEIRA
 AUTORIDADE: GILMAR PEREIRA DE SOUZA
 INFORMACÕES ADICIONAIS: 
 VALOR ESTIMADO: R$1.344.113,11</t>
  </si>
  <si>
    <t>Prefeitura Municipal de Ipiranga de Goias</t>
  </si>
  <si>
    <t>Ipiranga de Goiás</t>
  </si>
  <si>
    <t xml:space="preserve"> Contratação de empresa especializada em engenharia civil para execução das obras de construção de 25 vinte e cinco unidades habitacionais de interesse social, a serem implantadas no Município de Ipiranga de Goias, no âmbito do Programa Minha Casa, Minha Vida MCMV, em conformidade com as diretrizes e exigências estabelecidas pelo Governo Federal, vinculadas ao Termo de Compromisso nº  OGU MCIDADES 970513/2024 * https://bllcompras.com *</t>
  </si>
  <si>
    <t>LOCAL: https://bllcompras.com/
Nº PROC. ADM: 1710/2026
 TIPO CONTRATO: AQUISIÇÃO
 INÍCIO REC. PROPOSTA: 08/04/2026 08:00:00
 FIM REC. PROPOSTA: 04/05/2026 08:00:00
 INÍCIO DISPUTA: 04/05/2026 09:00:00
 CIDADE: IPIRANGA DE GOIÁS
 FASE: RECEPÇÃO DE PROPOSTAS
 EXCLUSIVO ME: NÃO
 EXCLUSIVO REGIONAL: NÃO
 MODO DE DISPUTA: ABERTO
 TIPO DE LANCE: MENOR LANCE
 FONE PROMOTOR: 6233426145
 E-MAIL PROMOTOR: admfinancasipiranga2528@gmail.com
 CONDUTOR: JULIANA MARIA DE JESUS GONZAGA DE OLIVEIRA
 AUTORIDADE: BALTAZAR LUIZ DA SILVA
 INFORMACÕES ADICIONAIS: Contratação de empresa especializada em engenharia civil para execução das obras de construção de 25 vinte e cinco unidades habitacionais de interesse social, a serem implantadas no Município de Ipiranga de Goias, no âmbito do PMCMV
 VALOR ESTIMADO: R$3.668.450,52</t>
  </si>
  <si>
    <t>* Licitação eletrônica * Aquisição de equipamentos náuticos a fim de atender as necessidades das unidades administrativas que constituem as estruturas básicas da SEMAD.</t>
  </si>
  <si>
    <t>Os interessados deverão ser previamente cadastrados no SISLOG. As informações encontram-se nos sites: www.sislog.go.gov.br e https://goias.gov.br/meioambiente/</t>
  </si>
  <si>
    <t>MINISTÉRIO DA DEFESA - Comando da Aeronáutica - Comando-Geral de Operações Aéreas - NÚCLEO DO GRUPAMENTO DE APOIO DE ANÁPOLIS</t>
  </si>
  <si>
    <t>* Registro de preços * * Licitação Eletrônica * Registro de preços para eventual aquisição de material de proteção e socorro, a fim de atender as demandas da Base Aérea de Anápolis, conforme condições, quantidades e exigências estabelecidas neste Edital e seus anexos.</t>
  </si>
  <si>
    <t>Unidade compradora: 120624 - BASE AÉREA DE ANÁPOLIS
Local: Anápolis/GO
Órgão: COMANDO DA AERONAUTICA
Id contratação PNCP: 00394429000100-1-000616/2026
Fonte: Compras.gov.br
 Para as respostas de esclarecimentos e impugnações deste edital acesse o link: https://cnetmobile.estaleiro.serpro.gov.br/comprasnet-web/public/landing?destino=quadro-informativo&amp;compra=12062405900032026 - Número compra: 90003 - Pregão - Eletrônico</t>
  </si>
  <si>
    <t>Serviço Autônomo de Água e Esgoto de Mineiros</t>
  </si>
  <si>
    <t>Mineiros</t>
  </si>
  <si>
    <t>* Licitação Eletrônica * AQUISIÇÃO DE MATERIAIS PRÉ-MOLDADOS PARA USO DO SERVIÇO AUTÔNOMO DE ÁGUA E ESGOTO DE MINEIROS-GO SAAE. * https://bnccompras.com *</t>
  </si>
  <si>
    <t>LOCAL: https://bnccompras.com/
Nº PROC. ADM: 2026003461
 TIPO CONTRATO: REGISTRO DE PREÇO
 INÍCIO REC. PROPOSTA: 07/04/2026 17:00:00
 FIM REC. PROPOSTA: 23/04/2026 08:00:00
 INÍCIO DISPUTA: 23/04/2026 09:00:00
 CIDADE: MINEIROS
 FASE: RECEPÇÃO DE PROPOSTAS
 EXCLUSIVO ME: NÃO
 EXCLUSIVO REGIONAL: NÃO
 MODO DE DISPUTA: ABERTO
 TIPO DE LANCE: MENOR LANCE
 FONE PROMOTOR: 6436727816
 E-MAIL PROMOTOR: compras@saaemineiros.go.gov.br
 CONDUTOR: PAULA REGINA CARRIJO NOVAIS
 AUTORIDADE: CELISMAR FERREIRA BORGES ALVES
 VALOR ESTIMADO: R$0,00</t>
  </si>
  <si>
    <t>PE/107874/2026</t>
  </si>
  <si>
    <t>* Registro de preços * * Licitação Eletrônica * AQUISIÇÃO DE MATERIAIS PRÉ-MOLDADOS PARA USO DO SERVIÇO AUTÔNOMO DE ÁGUA E ESGOTO DE MINEIROS-GO SAAE.</t>
  </si>
  <si>
    <t>Unidade compradora: 0501 - SAAE
Local: Mineiros/GO
Órgão: SERVICO AUTONOMO DE AGUA E ESGOTO
Id contratação PNCP: 02316487000141-1-000015/2026
Fonte: Prodata Informática
 - Número compra: 107874 - Pregão - Eletrônico</t>
  </si>
  <si>
    <t>Prefeitura Municipal de Itaguaru</t>
  </si>
  <si>
    <t>Itaguaru</t>
  </si>
  <si>
    <t>* Licitação Eletrônica * Registro de Preços para contratação, sob demanda, de empresa especializada no fornecimento de gêneros alimentícios, materiais de limpeza, copa e cozinha visando atender as necessidades das secretarias municipais, conforme especificações constantes nas planilhas e Termo de Referência - Anexo I, do Edital. * https://bnccompras.com *</t>
  </si>
  <si>
    <t>LOCAL: https://bnccompras.com/
Nº PROC. ADM: 2817/2025
 TIPO CONTRATO: REGISTRO DE PREÇO
 INÍCIO REC. PROPOSTA: 08/04/2026 10:15:00
 FIM REC. PROPOSTA: 24/04/2026 08:00:00
 INÍCIO DISPUTA: 24/04/2026 09:01:00
 CIDADE: ITAGUARU
 FASE: RECEPÇÃO DE PROPOSTAS
 EXCLUSIVO ME: NÃO
 EXCLUSIVO REGIONAL: NÃO
 MODO DE DISPUTA: ABERTO
 TIPO DE LANCE: MENOR LANCE
 FONE PROMOTOR: 6233981144
 E-MAIL PROMOTOR: prefeitura_itaguaru@hotmail.com
 CONDUTOR: THAYNARA MOREIRA RIBEIRO OLIVEIRA
 AUTORIDADE: JOAQUIM FERNANDO MOREIRA ARAUJO
 VALOR ESTIMADO: R$3.938.201,42</t>
  </si>
  <si>
    <t>Prefeitura Municipal de Mutunópolis</t>
  </si>
  <si>
    <t>Mutunópolis</t>
  </si>
  <si>
    <t>* Licitação Eletrônica * ATA DE REGISTRO DE PREÇO PARA AQUISIÇÃO DE LUMINÁRIAS PÚBLICAS E RELÊ PARA MANTER A MANUTENÇÃO E QUALIDADE DE ILUMINAÇÃO PÚBLICA, ATENDENDO AS NECESSIDADES DO MUNICÍPIO DE MUTUNÓPOLIS. * https://bnccompras.com *</t>
  </si>
  <si>
    <t>LOCAL: https://bnccompras.com/
Nº PROC. ADM: 2489/2026
 TIPO CONTRATO: REGISTRO DE PREÇO
 INÍCIO REC. PROPOSTA: 07/04/2026 17:00:00
 FIM REC. PROPOSTA: 22/04/2026 08:00:00
 INÍCIO DISPUTA: 22/04/2026 09:01:00
 CIDADE: MUTUNÓPOLIS
 FASE: RECEPÇÃO DE PROPOSTAS
 EXCLUSIVO ME: NÃO
 EXCLUSIVO REGIONAL: NÃO
 MODO DE DISPUTA: ABERTO
 TIPO DE LANCE: MENOR LANCE
 FONE PROMOTOR: 6233826223
 E-MAIL PROMOTOR: licitacao@mutunopolis.go.gov.br
 CONDUTOR: MARIANA GOMES DE OLIVEIRA
 AUTORIDADE: MARIA APARECIDA DE LIMA
 VALOR ESTIMADO: R$402.679,01</t>
  </si>
  <si>
    <t>Prefeitura Municipal de Acreúna</t>
  </si>
  <si>
    <t>Acreúna</t>
  </si>
  <si>
    <t xml:space="preserve">* Registro de preços * REGISTRO DE PREÇO PARA FUTURA E EVENTUAL CONTRATAÇÃO DE EMPRESAS ESPECIALIZADAS PARA A PRESTAÇÃO DE SERVIÇOS DIVERSOS DE APOIO LOGÍSTICO E ESTRUTURAL, ABRANGENDO OS SEGUINTES LOTES: SERVIÇOS GRÁFICOS; INSTALAÇÃO DE CAIXAS DE SOM AMBIENTE; HOSPEDAGEM; E LOCAÇÃO DE TENDAS, COMPREENDENDO O FORNECIMENTO DE MATERIAIS, MONTAGEM, INSTALAÇÃO, MANUTENÇÃO E DESMOBILIZAÇÃO, DESTINADOS À REALIZAÇÃO DE EVENTOS NO MUNICÍPIO DE ACREÚNA/GO A AQUISIÇÃO SE DARÁ EM CONFORMIDADE COM OS TERMOS DA LEI 14.133/2021
</t>
  </si>
  <si>
    <t>Unidade compradora: 0 - PODER EXECUTIVO
Local: Acreúna/GO
Órgão: MUNICIPIO DE ACREUNA
Id contratação PNCP: 02218683000183-1-000153/2026
Fonte: CENTI
Registro de preço para futura e eventual contratação de empresas especializadas para a prestação de serviços diversos de apoio logístico e estrutural, abrangendo os seguintes lotes: serviços gráficos; instalação de caixas de som ambiente; hospedagem; e locação de tendas, compreendendo o fornecimento de materiais, montagem, instalação, manutenção e desmobilização, destinados à realização de eventos no Município de Acreúna/GO A aquisição se dará em conformidade com os termos da Lei 14.133/2021
 - Número compra: 13 - Pregão - Presencial</t>
  </si>
  <si>
    <t>Prefeitura Municipal de Corumbaíba</t>
  </si>
  <si>
    <t>Corumbaíba</t>
  </si>
  <si>
    <t>Registro de preços para aquisição de mata-burros, conforme especificações estabelecidas no Edital e seus Anexos.</t>
  </si>
  <si>
    <t>O Edital pode ser solicitado via e-mail: licitacaopmcorumbaiba1@hotmail.com. Outras informações: 64 99279-0878. Sessão presencial: 17/04/2026 às 09h00 na Sala de Licitação da Prefeitura, Rua Simon Bolívar, nº 58, Centro, Corumbaíba-GO.</t>
  </si>
  <si>
    <t>Empresa Brasileira de Serviços Hospitalares - EBSERH - Filial Hospital Universitário de São Luis - Filial Huufma</t>
  </si>
  <si>
    <t>* Licitação Eletrônica * Contratação deempresa para prestação de serviço contínuo no ramo de Engenharia Clínica,com dedicação exclusiva demão de obra,para manutenção de equipamentos médico-hospitalares,execução do plano de gestão damanutenção,manutenção preventiva e corretiva,calibração,teste de segurançaelétrica,controle de qualidade,validação,qualificação,treinamento de operadores,elaboração deespecificações/pareceres/laudos técnicos,apoio ao gerenciamento de equip medico-hospitalares</t>
  </si>
  <si>
    <t>Unidade compradora: 155010 - EMPRESA BRASILEIRA DE SERVIÇOS HOSPITALARES
Local: São Luís/MA
Órgão: EMPRESA BRASILEIRA DE SERVICOS HOSPITALARES - EBSERH
Id contratação PNCP: 15126437000305-1-001224/2026
Fonte: Compras.gov.br
As propostas deverão atender as especificações contidas no Edital e seus anexos. Para as respostas de esclarecimentos e impugnações deste edital acesse o link: https://cnetmobile.estaleiro.serpro.gov.br/comprasnet-web/public/landing?destino=quadro-informativo&amp;compra=15501005900142026 - Número compra: 90014 - Pregão - Eletrônico</t>
  </si>
  <si>
    <t>PE/90021/2026</t>
  </si>
  <si>
    <t>* Registro de preços * * Licitação Eletrônica * Contratação de Serviço Técnico Especializado de Engenharia Clínica, para realização de manutenção preditiva, preventiva, corretiva, calibração e teste de segurança elétrica, com substituição de peças, partes, acessórios, componentes e serviços especializados, treinamento para equipe assistencial e técnica, e apoio ao gerenciamento dos Equipamentos Médico-Hospitalares, quando necessário, para  atender às necessidades da Secretaria Municipal de Saúde de São Luís/SEMUS.</t>
  </si>
  <si>
    <t>Unidade compradora: 980921 - PREFEITURA MUNICIPAL DE SÃO LUÍS - MA
Local: São Luís/MA
Órgão: MUNICIPIO DE SAO LUIS
Id contratação PNCP: 06307102000130-1-000084/2026
Fonte: Compras.gov.br
 Para as respostas de esclarecimentos e impugnações deste edital acesse o link: https://cnetmobile.estaleiro.serpro.gov.br/comprasnet-web/public/landing?destino=quadro-informativo&amp;compra=98092105900212026 - Número compra: 90021 - Pregão - Eletrônico</t>
  </si>
  <si>
    <t>Prefeitura Municipal de Rosário</t>
  </si>
  <si>
    <t>Rosário</t>
  </si>
  <si>
    <t>* Registro de preços * * Licitação Eletrônica * Registro de preço para futura e eventual contratação de empresa especializada no fornecimento de material de limpeza destinado ao atendimento das demandas das secretarias do Município de Rosário/MA.</t>
  </si>
  <si>
    <t>Unidade compradora: 4242 - Secretaria Municipal de Administração e Recursos Humanos
Local: Rosário/MA
Órgão: MUNICIPIO DE ROSARIO
Id contratação PNCP: 41479569000169-1-000028/2026
Fonte: STARTGOV SOLUCOES EM TECNOLOGIA LTDA
 - Número compra: 13 - Pregão - Eletrônico</t>
  </si>
  <si>
    <t>Prefeitura Municipal de Rio Paranaíba</t>
  </si>
  <si>
    <t>Rio Paranaíba</t>
  </si>
  <si>
    <t>* Licitação eletrônica * Registro de preços para o fornecimento e instalação de itens de vidraçaria, forro PVC, divisórias de compensado removíveis e toldos em lona</t>
  </si>
  <si>
    <t>PREGÃO ELETRÔNICO Nº
005/2026 - Objeto: Registro de preços para o fornecimento e instalação
de itens de vidraçaria, forro PVC, divisórias de compensado removíveis
e toldos em lona.Abertura: 23/04/2026 às 14 horas</t>
  </si>
  <si>
    <t>* Licitação eletrônica *  Registro de preços para aquisição de madeiras diversas.</t>
  </si>
  <si>
    <t>PREGÃO ELETRÔNICO Nº 006/2026
Objeto: Registro de preços para aquisição de madeiras diversas. Abertura: 22/04/2026 às 13 horas.</t>
  </si>
  <si>
    <t>Serviço Autônomo de Água e Esgoto de Elói Mendes</t>
  </si>
  <si>
    <t>Elói Mendes</t>
  </si>
  <si>
    <t>* Licitação Eletrônica * AQUISIÇÃO DE HIDRÔMETROS UNIJATOS E MULTIJATOS</t>
  </si>
  <si>
    <t>Órgão: Serviço Autônomo de Água e Esgoto de Elói Mendes-MG - Serviço Autônomo de Água e Esgoto de Elói Mendes-MG - MG
				Processo: 13/2026
				Edital: 8/2026
				Modalidade: Pregão para Registro de Preço
				Início de envio das propostas: 08-04-2026 ás 05:00
				Término de envio das propostas: 22/04/2026 ás 08:59		
				Início dos lances: 22/04/2026 ás 09:00</t>
  </si>
  <si>
    <t>Prefeitura Municipal de Catas Altas</t>
  </si>
  <si>
    <t>Catas Altas</t>
  </si>
  <si>
    <t>Aquisição e instalação de bancadas e prateleiras para implantação do laboratório de águas.</t>
  </si>
  <si>
    <t>Sessão pública: 14/04/2026 às 08h01min. Local: www.portaldecompraspublicas.com.br. Catas Altas/MG, 06 de abril de 2026.</t>
  </si>
  <si>
    <t>Prefeitura Municipal de Carvalhópolis</t>
  </si>
  <si>
    <t>Carvalhópolis</t>
  </si>
  <si>
    <t>PR/9/2026</t>
  </si>
  <si>
    <t>* Registro de preços * CONTRATAÇÕES DE EMPRESA ESPECIALIZADA PARA PRESTAÇÃO DE SERVIÇOS DE INSTALAÇÃO DE PEDRA GRANITO, PAREDES EM DRYWALL COM ISOLAMENTO ACÚSTICO E VIDRO DE 8MM, COM FORNECIMENTO DE MATERIAL, CONFORME ESPECIFICAÇÕES CONSTANTES EM ANEXO AO EDITAL, PARA SUPRIR AS NECESSIDADES DAS SECRETARIAS DA PREFEITURA MUNICIPAL DE CARVALHÓPOLIS-MG, PELO SISTEMA DE REGISTRO DE PREÇOS</t>
  </si>
  <si>
    <t>Unidade compradora: 1 - PREFEITURA MUNICIPAL DE CARVALHOPOLIS
Local: Carvalhópolis/MG
Órgão: MUNICIPIO DE CARVALHOPOLIS
Id contratação PNCP: 18242800000184-1-000033/2026
Fonte: Fiorilli Software
CONTRATAÇÕES DE EMPRESA ESPECIALIZADA PARA PRESTAÇÃO DE SERVIÇOS DE INSTALAÇÃO DE PEDRA GRANITO, PAREDES EM DRYWALL COM ISOLAMENTO ACÚSTICO E VIDRO DE 8MM, COM FORNECIMENTO DE MATERIAL, CONFORME ESPECIFICAÇÕES CONSTANTES EM ANEXO AO EDITAL, PARA SUPRIR AS NECESSIDADES DAS SECRETARIAS DA PREFEITURA MUNICIPAL DE CARVALHÓPOLIS-MG, PELO SISTEMA DE REGISTRO DE PREÇOS - Número compra: 9 - Pregão - Presencial</t>
  </si>
  <si>
    <t>Prefeitura Municipal de Ervália</t>
  </si>
  <si>
    <t>Ervália</t>
  </si>
  <si>
    <t>PE/21/2026</t>
  </si>
  <si>
    <t>* Licitação Eletrônica * Registro de Preço para futuras e eventuais aquisições de massa asfáltica asfalto frio - saco 25kg, conforme descrito e especificado no Anexo I do Edital nº 027/2026.  * https://bllcompras.com *</t>
  </si>
  <si>
    <t>LOCAL: https://bllcompras.com/
Nº PROC. ADM: 045/2026
 TIPO CONTRATO: REGISTRO DE PREÇO
 INÍCIO REC. PROPOSTA: 08/04/2026 08:00:00
 FIM REC. PROPOSTA: 28/04/2026 08:00:00
 INÍCIO DISPUTA: 28/04/2026 09:00:00
 CIDADE: ERVÁLIA
 FASE: PUBLICADO
 EXCLUSIVO ME: NÃO
 EXCLUSIVO REGIONAL: NÃO
 MODO DE DISPUTA: ABERTO
 TIPO DE LANCE: MENOR LANCE
 FONE PROMOTOR: 3235541124
 E-MAIL PROMOTOR: gabinete@ervalia.mg.gov.br
 CONDUTOR: ALEXANDRA APARECIDA DURAES
 AUTORIDADE: JOSÉ MAURO GODINHO
 INFORMACÕES ADICIONAIS: 
 VALOR ESTIMADO: R$108.675,00</t>
  </si>
  <si>
    <t>SESC-Serviço Social do Comércio de Minas Gerais</t>
  </si>
  <si>
    <t>* Licitação Eletrônica * Contratação de empresa especializada para execução serviço de perfuração e instalação de poço artesiano no Sesc Ouro Preto.</t>
  </si>
  <si>
    <t>Unidade compradora: 926483 - SERVICO SOCIAL DO COMERCIO - SESC AR/MG
Local: Belo Horizonte/MG
Órgão: SERVICO SOCIAL DO COMERCIO - ADMINISTRACAO REGIONAL NO ESTADO DE MINAS GERAIS
Id contratação PNCP: 03643856000173-1-000015/2026
Fonte: Compras.gov.br
 Para as respostas de esclarecimentos e impugnações deste edital acesse o link: https://cnetmobile.estaleiro.serpro.gov.br/comprasnet-web/public/landing?destino=quadro-informativo&amp;compra=92648305900112026 - Número compra: 90011 - Pregão - Eletrônico</t>
  </si>
  <si>
    <t>Departamento Municipal de Autonomo de Agua e Esgoto de Ouro Fino</t>
  </si>
  <si>
    <t>Ouro Fino</t>
  </si>
  <si>
    <t>* Registro de preços * * Licitação Eletrônica * Futura e eventual aquisição de tubo corrugado PEAD para uso nas atividades do DMAAE.</t>
  </si>
  <si>
    <t>Unidade compradora: 1 - DEP. MUN. AUTON. AGUA E ESGOTO OURO FINO
Local: Ouro Fino/MG
Órgão: DEPARTAMENTO MUNICIPAL AUTONOMO DE AGUA E ESGOTO
Id contratação PNCP: 41779117000100-1-000015/2026
Fonte: Fiorilli Software
Futura e eventual aquisição de tubo corrugado PEAD para uso nas atividades do DMAAE. - Número compra: 7 - Pregão - Eletrônico</t>
  </si>
  <si>
    <t xml:space="preserve">* Licitação Eletrônica * REgistro de preços para futura e eventual aquisição de material de limpeza </t>
  </si>
  <si>
    <t>Unidade compradora: 982691 - PREFEITURA MUNICIPAL DE JUATUBA - MG
Local: Juatuba/MG
Órgão: MUNICIPIO DE JUATUBA
Id contratação PNCP: 64487614000122-1-000060/2026
Fonte: Compras.gov.br
 Para as respostas de esclarecimentos e impugnações deste edital acesse o link: https://cnetmobile.estaleiro.serpro.gov.br/comprasnet-web/public/landing?destino=quadro-informativo&amp;compra=98269105900232026 - Número compra: 90023 - Pregão - Eletrônico</t>
  </si>
  <si>
    <t>Prefeitura Municipal de Orizania</t>
  </si>
  <si>
    <t>Orizânia</t>
  </si>
  <si>
    <t>* Licitação Eletrônica * Registro de preços para futura e eventual aquisição de mobiliário, equipamentos e materiais de apoio, destinados ao atendimento das necessidades das diversas Secretarias Municipais da Prefeitura Municipal de Orizânia/MG, conforme termo de referência.</t>
  </si>
  <si>
    <t>Em andamento - Pregão Eletrônico</t>
  </si>
  <si>
    <t>* Licitação Eletrônica * AQUISIÇÃO DE CAIXA PARA INSTALAÇÃO DE HIDRÔMETROS</t>
  </si>
  <si>
    <t>Órgão: Serviço Autônomo de Água e Esgoto de Elói Mendes-MG - Serviço Autônomo de Água e Esgoto de Elói Mendes-MG - MG
				Processo: 09/2026
				Edital: 5/2026
				Modalidade: Pregão para Registro de Preço
				Início de envio das propostas: 08-04-2026 ás 05:00
				Término de envio das propostas: 23/04/2026 ás 08:59		
				Início dos lances: 23/04/2026 ás 09:00</t>
  </si>
  <si>
    <t>Prefeitura Municipal de Fruta de Leite</t>
  </si>
  <si>
    <t>Fruta de Leite</t>
  </si>
  <si>
    <t xml:space="preserve">* Licitação Eletrônica * Tipo Menor Preço GLOBAL - A Prefeitura Municipal de Fruta de Leite - MG, TORNA PÚBLICO A REALIZAÇÃO DE LICITAÇÃO NA MODALIDADE: Concorrência Eletrônica 001/2026, tipo MENOR PREÇO GLOBAL, destinado a Contratação de empresa especializada para EXECUÇÃO DE OBRAS E SERVIÇOS DE Engenharia para implementação de Drenagem da Praça e Vias de Entorno, CONSTRUÇÃO DA PRAÇA VALDOMIRO NERE E REFORMA DO GINÁSIO NA SEDE DO MUNICÍPIO E PROJETO em anexo.  </t>
  </si>
  <si>
    <t>Data de abertura 28 de abril de 2026, às 09:00 nove horas, horário de Brasília,
PLATAFORMA DE LICITAÇÕES LICITAR DIGITAL - www.licitardigital.com.br. 
Maiores informações, bem como EDITAL COMPLETO, JUNTO A PREFEITURA MUNICIPAL DE FRUTA DE
LEITE - MG, com sede na Av. Montes Claros, 900 - Centro, pelo telefone: 38 99936-6764, E-MAIL: licitacao@frutadeleite.mg.gov.br e
SITE: frutadeleite.mg.gov.br</t>
  </si>
  <si>
    <t>Prefeitura Municipal de Três Pontas</t>
  </si>
  <si>
    <t>Três Pontas</t>
  </si>
  <si>
    <t>* Registro de preços * * Licitação Eletrônica * REGISTRO DE PREÇOS PARA AQUISIÇÃO DE CONCRETO USINADO, COM RESISTÊNCIA CARACTERÍSTICA FCK DEFINIDA, DESTINADO À EXECUÇÃO DE SERVIÇOS DE MANUTENÇÃO PREDIAL, CONSERVAÇÃO E OBRAS DE INFRAESTRUTURA URBANA DO MUNICÍPIO.</t>
  </si>
  <si>
    <t>Unidade compradora: 02004 - SEC. MUNICIPAL DE TRANSPORTES E OBRAS
Local: Três Pontas/MG
Órgão: MUNICIPIO DE TRES PONTAS
Id contratação PNCP: 18245167000188-1-000046/2026
Fonte: IPM Sistemas
 - Número compra: PRE 21 - Pregão - Eletrônico</t>
  </si>
  <si>
    <t>Prefeitura Municipal de Cristalia</t>
  </si>
  <si>
    <t>Cristália</t>
  </si>
  <si>
    <t>Contratação de empresa especializada para execução de obra de engenharia para construção de 20 vinte unidades habitacionais no Município de Cristália, localizado na Rua Nivaldo Borges SN, com as especificações técnicas de acordo com a Proposta nº 0397062025 e TERMO DE COMPROMISSO Nº 9925942025MCIDADESCAIXA firmado entre o Ministério das Cidades e o Município de Cristália. * https://licitar.digital *</t>
  </si>
  <si>
    <t>Id: 96394
Unidade licitante: PREFEITURA MUNICIPAL DE CRISTALIA - Unidade Única
Plataforma: licitardigital</t>
  </si>
  <si>
    <t>MINISTÉRIO DA EDUCAÇÃO - Universidade Federal de Viçosa - Central de Ensino e Desenvolvimento Agrário de Florestal</t>
  </si>
  <si>
    <t>Florestal</t>
  </si>
  <si>
    <t>* Registro de preços * * Licitação Eletrônica * Registro de preço para eventual aquisição de material de construção para atendimento de demandas do setor de Manutenção do Campus e Coordenação de Obras e Projetos da Universidade Federal de Viçosa - Campus Florestal.</t>
  </si>
  <si>
    <t>Unidade compradora: 154052 - UFV - CAMPUS FLORESTAL
Local: Florestal/MG
Órgão: UNIVERSIDADE FEDERAL DE VICOSA
Id contratação PNCP: 25944455000196-1-000015/2026
Fonte: Compras.gov.br
 Para as respostas de esclarecimentos e impugnações deste edital acesse o link: https://cnetmobile.estaleiro.serpro.gov.br/comprasnet-web/public/landing?destino=quadro-informativo&amp;compra=15405205900022026 - Número compra: 90002 - Pregão - Eletrônico</t>
  </si>
  <si>
    <t>Prefeitura Municipal de Rubelita</t>
  </si>
  <si>
    <t>Rubelita</t>
  </si>
  <si>
    <t>* Licitação Eletrônica * Contratação de empresa especializada em serviços de engenharia para execução, em regime de empreitada por preço unitário, da conclusão das obras de adequação de estradas vicinais no município de Rubelita/MG, compreendendo os serviços remanescentes...</t>
  </si>
  <si>
    <t>Órgão: Prefeitura Municipal de Rubelita - Prefeitura Municipal de Rubelita - MG
				Processo: 034/2026
				Edital: 004/2026
				Modalidade: Concorrência
				Início de envio das propostas: 08-04-2026 ás 12:00
				Término de envio das propostas: 27/04/2026 ás 08:00		
				Início dos lances: 27/04/2026 ás 08:05</t>
  </si>
  <si>
    <t>Prefeitura Municipal de Carneirinho</t>
  </si>
  <si>
    <t>Carneirinho</t>
  </si>
  <si>
    <t>* Licitação Eletrônica * REGISTRO DE PREÇOS PARA FUTURA E EVENTUAL, AQUISIÇÃO DE PRODUTOS QUÍMICOS E MATERIAIS DIVERSOS, PARA TRATAMENTO E LIMPEZA, DAS PISCINAS DA VILA OLÍMPICA DO DISTRITO DE SÃO SEBASTIÃO DO PONTAL E DA VILA OLÍMPICA DA SEDE DO MUNICÍPIO DE CARNEIRINHO/MG, DE ACORDO COM O TERMO DE REFERÊNCIA - ANEXO I DESTE EDITAL. * https://licitanet.com.br *</t>
  </si>
  <si>
    <t>Processo: 53/2026
Quantidade de lotes: 23</t>
  </si>
  <si>
    <t>ICISMEP - Instituição de Cooperação Intermunicipal do Médio Paraopeba</t>
  </si>
  <si>
    <t>São Joaquim de Bicas</t>
  </si>
  <si>
    <t>* Licitação Eletrônica * Registro de preços para futura e eventual aquisição de equipamentos e acessórios clínicos, incluindo a instalação, com os devidos laudos de calibração, além do fornecimento de insumos e materiais para o funcionamento individual de cada item.</t>
  </si>
  <si>
    <t>Órgão: ICISMEP - ICISMEP - MG
				Processo: 26/2026
				Edital: 18/2026
				Modalidade: Pregão para Registro de Preço
				Início de envio das propostas: 08-04-2026 ás 15:00
				Término de envio das propostas: 22/04/2026 ás 09:59		
				Início dos lances: 22/04/2026 ás 10:00</t>
  </si>
  <si>
    <t>Prefeitura Municipal de Tocantins</t>
  </si>
  <si>
    <t>Tocantins</t>
  </si>
  <si>
    <t>* Licitação Eletrônica * Registro de preços para futura e eventual aquisição de MANILHAS DE CONCRETO, em atendimento as necessidades da secretaria municipal de urbanismo, conforme condições, quantidades e exigências estabelecidas neste Edital e seus anexos.</t>
  </si>
  <si>
    <t>Órgão: Prefeitura Municipal de Tocantins - Prefeitura Municipal de Tocantins - MG
				Processo: 031/2026
				Edital: 017/2026
				Modalidade: Pregão para Registro de Preço
				Início de envio das propostas: 08-04-2026 ás 17:00
				Término de envio das propostas: 22/04/2026 ás 08:00		
				Início dos lances: 22/04/2026 ás 08:01</t>
  </si>
  <si>
    <t>* Licitação Eletrônica * AQUISIÇÃO DE FERRAGENS E DEMAIS COMPONENTES PARA CONFEÇÃO DE  GRADINHAS DE PROTEÇÃO DE HIDRÔMETROS</t>
  </si>
  <si>
    <t>Órgão: Serviço Autônomo de Água e Esgoto de Elói Mendes-MG - Serviço Autônomo de Água e Esgoto de Elói Mendes-MG - MG
				Processo: 08/2026
				Edital: 4/2026
				Modalidade: Pregão para Registro de Preço
				Início de envio das propostas: 08-04-2026 ás 08:00
				Término de envio das propostas: 20/04/2026 ás 08:59		
				Início dos lances: 20/04/2026 ás 09:00
 - Licitação sujeita a confirmação pois não foi informado que trata-se de prorrogação.</t>
  </si>
  <si>
    <t>Universidade do Estado de Minas Gerais</t>
  </si>
  <si>
    <t>PE/2311076.33/2026</t>
  </si>
  <si>
    <t xml:space="preserve">* Licitação eletrônica * PRESTAÇÃO DE SERVIÇOS DE MANUTENÇÃO, REPAROS, ADAPTAÇÃO E CONSERVAÇÃO EM BOMBAS MANUAIS, MECÂNICAS, MOTO-BOMBAS E COMPRESSORES. </t>
  </si>
  <si>
    <t>Data da sessão: 27/04/2026.
Abertura: 09:00 horas. O referido certame será realizado por meio de
sistema eletrônico, pelo site: www.compras.mg.gov.br. As propostas
comerciais deverão ser encaminhadas no endereço eletrônico acima
determinado até a data e horário marcados para a abertura da sessão.
Edital e anexos estão disponíveis nos sites www.unimontes.br, www.
compras.mg.gov.br e pncp.gov.br</t>
  </si>
  <si>
    <t>MINISTÉRIO DA EDUCAÇÃO - Universidade Federal de Minas Gerais - Hospital das Clínicas</t>
  </si>
  <si>
    <t>* Registro de preços * * Licitação Eletrônica * Insumos para a Unidade de Hemoterapia do Hospital das Clínicas da Universidade Federal de Minas Gerais da Rede Ebserh.</t>
  </si>
  <si>
    <t>Unidade compradora: 155021 - HOSPITAL DAS CLÍNICAS DE MINAS GERAIS
Local: Belo Horizonte/MG
Órgão: EMPRESA BRASILEIRA DE SERVICOS HOSPITALARES - EBSERH
Id contratação PNCP: 15126437000305-1-001223/2026
Fonte: Compras.gov.br
 Para as respostas de esclarecimentos e impugnações deste edital acesse o link: https://cnetmobile.estaleiro.serpro.gov.br/comprasnet-web/public/landing?destino=quadro-informativo&amp;compra=15502105900022026 - Número compra: 90002 - Pregão - Eletrônico</t>
  </si>
  <si>
    <t>Prefeitura Municipal de Itaguara</t>
  </si>
  <si>
    <t>Itaguara</t>
  </si>
  <si>
    <t>* Licitação Eletrônica * Aquisição de Agregado Siderúrgico escória destinado à manutenção, recuperação e melhoria das estradas vicinais, em atendimento às demandas da Secretaria de Obras do Município de Itaguara/MG.</t>
  </si>
  <si>
    <t>Unidade compradora: 984643 - PREFEITURA MUNICIPAL DE ITAGUARA
Local: Itaguara/MG
Órgão: MUNICIPIO DE ITAGUARA
Id contratação PNCP: 18313015000175-1-000021/2026
Fonte: Compras.gov.br
Divergências na especificação do Item entre o ComprasNet e o Edital prevalecerá o Edital. Para as respostas de esclarecimentos e impugnações deste edital acesse o link: https://cnetmobile.estaleiro.serpro.gov.br/comprasnet-web/public/landing?destino=quadro-informativo&amp;compra=98464305900182026 - Número compra: 90018 - Pregão - Eletrônico</t>
  </si>
  <si>
    <t>MINISTÉRIO DA DEFESA - Comando do Exército - Comando Militar do Sudeste - 1ª Brigada de Artilharia Antiaérea - 4ºgrupo de Artilharia Antiaérea</t>
  </si>
  <si>
    <t>* Registro de preços * * Licitação Eletrônica * Aquisição de material de consumo e permanente, a fim de atender as necessidades do Hotel de Trânsito,Núcleo de Preparação de Oficiais da Reserva, Áreas de Lazer e demais setores sob responsabilidade do 4Grupo de Artilharia Antiaérea, nos termos da tabela abaixo, conforme condições e exigências estabelecidasneste instrumento.</t>
  </si>
  <si>
    <t>Unidade compradora: 160127 - 4 GRUPO DE ARTILHARIA ANTIAEREA
Local: Sete Lagoas/MG
Órgão: COMANDO DO EXERCITO
Id contratação PNCP: 00394452000103-1-007189/2026
Fonte: Compras.gov.br
 Para as respostas de esclarecimentos e impugnações deste edital acesse o link: https://cnetmobile.estaleiro.serpro.gov.br/comprasnet-web/public/landing?destino=quadro-informativo&amp;compra=16012705900062026 - Número compra: 90006 - Pregão - Eletrônico</t>
  </si>
  <si>
    <t>Prefeitura Municipal de Campo Belo</t>
  </si>
  <si>
    <t>Campo Belo</t>
  </si>
  <si>
    <t>PE/43/2026</t>
  </si>
  <si>
    <t>* Registro de preços * * Licitação Eletrônica * AQUISIÇÃO  DE TUBOS CORRUGADO DE PAREDE DUPLA EM POLIETILENO DE ALTA DENSIDADEPEAD,600mm PRETO, DN/DI, CLASSE DE RIGIDEZ MÍNIMA SN4 COMPRIMENTO DE 6  SEIS  METROS , FORNECIDO COM ANEL DE VEDAÇÃO E JUNTA ELÁSTICA DEVENDO ATENDER INTEGRALMENTE AOS REQUESITOS DA NOVA NORMA DNIT094/2014 ES OI NORMA TÉCNICA QUE A SUBSTITUA.</t>
  </si>
  <si>
    <t>Unidade compradora: 02006 - SECRETARIA MUNICIPAL DE INFRAESTRUTURA
Local: Campo Belo/MG
Órgão: MUNICIPIO DE CAMPO BELO
Id contratação PNCP: 18659334000137-1-000199/2026
Fonte: IPM Sistemas
 - Número compra: PRE 43 - Pregão - Eletrônico</t>
  </si>
  <si>
    <t>* Licitação Eletrônica * Registro de preço para futura e eventual aquisição de acessórios para cilindros e redes de oxigênio, ar comprimido e vácuo</t>
  </si>
  <si>
    <t>Órgão: Prefeitura Municipal de Lavras - Prefeitura Municipal de Lavras - MG
				Processo: 69/2026
				Edital: 36/2026
				Modalidade: Pregão para Registro de Preço
				Início de envio das propostas: 08-04-2026 ás 13:00
				Término de envio das propostas: 28/04/2026 ás 13:15		
				Início dos lances: 28/04/2026 ás 13:30</t>
  </si>
  <si>
    <t>* Licitação Eletrônica *  Contratação de empresa especializada para a execução das obras de implantação e/ou ampliação do Sistema de Abastecimento de Água no Município de Central de Minas/ MG, com foco no Distrito de Floresta, conforme previsto no Termo de Compromisso nº 968205/2024, no âmbito do Novo PAC.</t>
  </si>
  <si>
    <t>INÍCIO DE RECEBIMENTO DAS PROPOSTAS: 09h00min de 09/04/2026. 
FIM DE RECEBIMENTOS DAS PROPOSTAS: 08h29min de 24/04/2026.
INÍCIO DA DISPUTA: 24 de abril de 2026, as 08h30min. 
Disponibilização do edital e informações no endereço eletrônico: http://www.licitanet.com.br. Tel.: 0800 100 5050.</t>
  </si>
  <si>
    <t>* Registro de preços * * Licitação Eletrônica * Aquisição de materiais para acondicionamento e embalagem para o Hospital das Clínicas da Universidade Federal de Minas Gerais.</t>
  </si>
  <si>
    <t>Unidade compradora: 155021 - HOSPITAL DAS CLÍNICAS DE MINAS GERAIS
Local: Belo Horizonte/MG
Órgão: EMPRESA BRASILEIRA DE SERVICOS HOSPITALARES - EBSERH
Id contratação PNCP: 15126437000305-1-001217/2026
Fonte: Compras.gov.br
 Para as respostas de esclarecimentos e impugnações deste edital acesse o link: https://cnetmobile.estaleiro.serpro.gov.br/comprasnet-web/public/landing?destino=quadro-informativo&amp;compra=15502105900012026 - Número compra: 90001 - Pregão - Eletrônico</t>
  </si>
  <si>
    <t>MINISTÉRIO DA AGRICULTURA, PECUÁRIA E ABASTECIMENTO - Empresa Brasileira de Pesquisa Agropecuária - EMBRAPA/CNPMS</t>
  </si>
  <si>
    <t>* Registro de preços * * Licitação Eletrônica * Aquisição eventual de materiais de expediente, limpeza e insumos de TI</t>
  </si>
  <si>
    <t>Unidade compradora: 135016 - EMBRAPA MILHO E SORGO/SETE LAGOAS/MG
Local: Sete Lagoas/MG
Órgão: EMPRESA BRASILEIRA DE PESQUISA AGROPECUARIA
Id contratação PNCP: 00348003000110-1-000099/2026
Fonte: Compras.gov.br
 Para as respostas de esclarecimentos e impugnações deste edital acesse o link: https://cnetmobile.estaleiro.serpro.gov.br/comprasnet-web/public/landing?destino=quadro-informativo&amp;compra=13501605900022026 - Número compra: 90002 - Pregão - Eletrônico</t>
  </si>
  <si>
    <t>* Registro de preços * * Licitação Eletrônica * Aquisição de Material Elétrico.</t>
  </si>
  <si>
    <t>Unidade compradora: 160113 - 4 BATALHAO DE ENGENHARIA DE COMBATE
Local: Itajubá/MG
Órgão: COMANDO DO EXERCITO
Id contratação PNCP: 00394452000103-1-007195/2026
Fonte: Compras.gov.br
 Para as respostas de esclarecimentos e impugnações deste edital acesse o link: https://cnetmobile.estaleiro.serpro.gov.br/comprasnet-web/public/landing?destino=quadro-informativo&amp;compra=16011305900052026 - Número compra: 90005 - Pregão - Eletrônico</t>
  </si>
  <si>
    <t>DEMAE - Departamento Municipal de Água e Esgoto de Campo Belo</t>
  </si>
  <si>
    <t>* Registro de preços * * Licitação Eletrônica * Aquisição futura e eventual de materiais elétricos, para manutenção dos prédios, estações de tratamento de água e espaços públicos de responsabilidade do demae departamento municipal de água e esgoto de campo belo/mg.</t>
  </si>
  <si>
    <t>Unidade compradora: 928376 - DEPARTAMENTO MUN. A.ESGOTO DE CAMPO BELO - MG
Local: Campo Belo/MG
Órgão: DEPARTAMENTO MUNICIPAL DE AGUA E ESGOTO
Id contratação PNCP: 19130038000107-1-000023/2026
Fonte: Compras.gov.br
 Para as respostas de esclarecimentos e impugnações deste edital acesse o link: https://cnetmobile.estaleiro.serpro.gov.br/comprasnet-web/public/landing?destino=quadro-informativo&amp;compra=92837605900092026 - Número compra: 90009 - Pregão - Eletrônico</t>
  </si>
  <si>
    <t>* Licitação Eletrônica * REGISTRO DE PREÇOS PARA EVENTUAL E FUTURA AQUISIÇÃO DE CONCRETO BETUMINOSO USINADO A QUENTE CBUQ, PARA APLICAÇÃO A FRIO, PARA MANUTENÇÃO EM RUAS E AVENIDAS, APÓS INTERVENÇÕES DOS SETORES DE ÁGUA E ESGOTO DO SAAE FORMIGA, NESTE MUNICÍPIO. * https://licitanet.com.br *</t>
  </si>
  <si>
    <t>Processo: 0015/2026
Quantidade de lotes: 2</t>
  </si>
  <si>
    <t>Prefeitura Municipal de Paraopeba</t>
  </si>
  <si>
    <t>Paraopeba</t>
  </si>
  <si>
    <t>* Licitação Eletrônica * OBJETO: Aquisição de tintas específicas para demarcação viária com a composição básica de resina à base de Metilmetacrilato, solventes, aditivos, pigmentos orgânicos e/ou inorgânicos e cargas minerais, e microesfera de vidro tipo II-A, destinadas à execução e manutenção da sinalização horizontal das vias públicas deste município.
 * https://licitar.digital *</t>
  </si>
  <si>
    <t>Id: 96694
Unidade licitante: Prefeitura Municipal de Paraopeba - Unidade Unica
Plataforma: licitardigital</t>
  </si>
  <si>
    <t>Prefeitura Municipal de Sabinópolis</t>
  </si>
  <si>
    <t>Sabinópolis</t>
  </si>
  <si>
    <t>* Licitação Eletrônica * AQUISIÇÃO DE EQUIPAMENTOS PARA DRENAGEM EM VIAS URBANAS GRELHAS PARA BUEIROS E TAMPÃO PARA PVS * https://licitar.digital *</t>
  </si>
  <si>
    <t>Id: 96759
Unidade licitante: Prefeitura Municipal de Sabinópolis - Unidade Única
Plataforma: licitardigital</t>
  </si>
  <si>
    <t>Secretaria Estadual de Educação - Superintendência Regional de Ensino de Passos</t>
  </si>
  <si>
    <t>Passos</t>
  </si>
  <si>
    <t>* Licitação eletrônica * Aquisição de Trena Eletrônica para atender a demanda da SRE de Passos. * https://pncp.gov.br *</t>
  </si>
  <si>
    <t>Unidade compradora: 1261027 - MINAS GERAIS SECRETARIA DE ESTADO DA EDUCACAO - SEE/PASSOS
Local: Passos/MG
Órgão: MINAS GERAIS SECRETARIA DE ESTADO DA EDUCACAO
Id contratação PNCP: 18715599000105-1-000385/2026
Fonte: Portal de Compras do Estado de Minas Gerais
 - Dispensa
 - Licitação sujeita a confirmação pois não foi informado que trata-se de prorrogação.</t>
  </si>
  <si>
    <t>Prefeitura Municipal de Comercinho</t>
  </si>
  <si>
    <t>Comercinho</t>
  </si>
  <si>
    <t>* Licitação Eletrônica * REGISTRO DE PREÇOS PARA EVENTUAL CONTRATAÇÃO DE EMPRESA PARA O FORNECIMENTO DE MATERIAIS ESPORTIVOS PARA ATENDER A DEMANDA DO MUNICIPIO. * https://licitar.digital *</t>
  </si>
  <si>
    <t>Id: 96590
Unidade licitante: Prefeitura Municipal de Comercinho - Unidade Única
Plataforma: licitardigital</t>
  </si>
  <si>
    <t>Prefeitura Municipal de Luz</t>
  </si>
  <si>
    <t>Luz</t>
  </si>
  <si>
    <t>* Licitação Eletrônica * AQUISIÇÃO DE MATERIAIS DE CONSTRUÇÃO DESTINADOS AO ATENDIMENTO DE FAMÍLIAS EM SITUAÇÃO DE VULNERABILIDADE SOCIAL AFETADAS POR EVENTO CLIMÁTICO ADVERSO OCORRIDO NO MUNICÍPIO DE LUZ/MG EM 31/10/2025, QUE OCASIONOU DANOS EM RESIDÊNCIAS E MOTIVOU A DECLARAÇÃO DE SITUAÇÃO DE EMERGÊNCIA NAS ÁREAS AFETADAS DO MUNICÍPIO, CLASSIFICADA SOB O COBRADE Nº 1.3.2.1.3, CONFORME DECRETO MUNICIPAL Nº 3.918/2025, DE 31 DE OUTUBRO DE 2025 * https://bnccompras.com *</t>
  </si>
  <si>
    <t>LOCAL: https://bnccompras.com/
Nº PROC. ADM: 360/2026
 TIPO CONTRATO: AQUISIÇÃO
 INÍCIO REC. PROPOSTA: 22/04/2026 08:00:00
 FIM REC. PROPOSTA: 27/04/2026 07:50:00
 INÍCIO DISPUTA: 27/04/2026 08:00:00
 CIDADE: LUZ
 FASE: PUBLICADO
 EXCLUSIVO ME: NÃO
 EXCLUSIVO REGIONAL: NÃO
 MODO DE DISPUTA: ABERTO
 TIPO DE LANCE: MENOR LANCE
 FONE PROMOTOR: 3734213030
 E-MAIL PROMOTOR: licitacao@luz.mg.gov.br
 CONDUTOR: TALÉCIA ELENN PINTO DA SILVA MACHADO
 AUTORIDADE: AILTON DUARTE
 VALOR ESTIMADO: R$388.523,25</t>
  </si>
  <si>
    <t>Prefeitura Municipal de João Monlevade</t>
  </si>
  <si>
    <t>João Monlevade</t>
  </si>
  <si>
    <t>* Licitação Eletrônica * Aquisição de CONCRETO USINADO FEITO EM AMBIENTE CONTROLADO DE 200 kgf e 300 kgf e SERVIÇO DE BOMBEAMENTO ESTACIONÁRIA PARA CONCRETO, que visa otimizar os processos de construções e manutenções de vias urbanas e malhas viárias e garantir a qualidade das obras públicas executadas pela Secretaria Municipal de Obras. * https://licitar.digital *</t>
  </si>
  <si>
    <t>Id: 96763
Unidade licitante: PREFEITURA MUNICIPAL DE JOÃO MONLEVADE - Unidade Única
Plataforma: licitardigital</t>
  </si>
  <si>
    <t>* Licitação Eletrônica * EVENTUAL CONTRATAÇÃO DE EMPRESA ESPECIALIZADA NA PRESTAÇÃO DOS SERVIÇOS DE FORNECIMENTO E INSTALAÇÃO DE VIDROS, FECHADURAS, DOBRADIÇAS, ROLDANAS, KIT COMPLETO DE PORTA PIVOTANTE, INSULFILM, A FIM DE ATENDER ÀS NECESSIDADES DAS UNIDADES DE SAÚDE VINCULADAS AO SISTEMA ÚNICO DE SAÚDE - SUS, GERIDO PELA SECRETARIA MUNICIPAL DE SAÚDE - SMS DO MUNICÍPIO DE SETE LAGOAS/MG E SECRETARIA MUNICIPAL DE EDUCAÇÃO, PARTICIPANTE DESSE PROCESSO LICITATÓRIO * https://licitar.digital *</t>
  </si>
  <si>
    <t>Id: 96735
Unidade licitante: Prefeitura Municipal de Sete Lagoas - Núcleo de Licitações e Compras
Plataforma: licitardigital</t>
  </si>
  <si>
    <t>Prefeitura Municipal de Turmalina</t>
  </si>
  <si>
    <t>Turmalina</t>
  </si>
  <si>
    <t>* Licitação eletrônica * Registro de preço para prestação de serviços de manutenção preventiva e/ou corretiva, bem como de calibração, abrangendo equipamentos médico-hospitalares, fisioterapêuticos e laboratoriais itens fracassados pregão nº 2/2026 em atendimento à secretaria municipal de saúde.</t>
  </si>
  <si>
    <t>Envio de propostas e documentos de habilitação por meio do sistema https://licitar.digital/ até as 07h59min do dia 24/04/2026. Edital disponível na Av. Lauro Machado, nº 230 - Centro, telefones 38 3527-1257 Ramais 210 e 211, 38 93300-4972, e-mail: licitacao@turmalina.mg.gov.br, site www.turmalina.mg.gov.br/licitacoes/1 e sistema https://licitar.digital/.</t>
  </si>
  <si>
    <t>Prefeitura Municipal de Quartel Geral</t>
  </si>
  <si>
    <t>Quartel Geral</t>
  </si>
  <si>
    <t>* Registro de preços * * Licitação Eletrônica * AQUISIÇÃO DE FERRAMENTAS E MATERIAIS DE CONSTRUÇÃO PARA ATENDIMENTO A DIVERSOS SETORES DA PREFEITURA MUNICIPAL DE QUARTEL GERAL/MG</t>
  </si>
  <si>
    <t>Unidade compradora: 0204002 - Seção de Patrimônio e Compras
Local: Quartel Geral/MG
Órgão: MUNICIPIO DE QUARTEL GERAL
Id contratação PNCP: 18296699000144-1-000122/2026
Fonte: ADPM - Administração Pública para Municípios Ltda
 - Número compra: 000120 - Pregão - Eletrônico</t>
  </si>
  <si>
    <t>Prefeitura Municipal de São Joaquim de Bicas</t>
  </si>
  <si>
    <t>Registro de Preços para futura e eventual contratação de empresa de engenharia especializada para execução de esgotamento sanitário e drenagem pluvial, bem como para a execução de obras de recapeamento, pavimentação, contenção e manutenção de vias pavimentadas em diversas localidades em São Joaquim de Bicas/MG, a serem executados de forma parcelada, conforme a demanda da Administração, incluindo o fornecimento de todos os materiais, equipamentos, mão de obra, insumos e demais acessórios necessários à perfeita execução dos serviços, em conformidade com os projetos, planilha orçamentária, e demais documentos técnicos complementares, visando ao atendimento das necessidades do Município.</t>
  </si>
  <si>
    <t xml:space="preserve"> Abertura da sessão 20/05/2026 às 09h:30min.
Site para realização, consultas ao edital e divulgação de informações:
na internet www.novobbmnet.com.br ou no site da Prefeitura https://
www.saojoaquimdebicas.mg.gov.br/licitacoes.
</t>
  </si>
  <si>
    <t>Prefeitura Municípal De Alfredo Vasconcelos</t>
  </si>
  <si>
    <t>Alfredo Vasconcelos</t>
  </si>
  <si>
    <t>PE/3626/2026</t>
  </si>
  <si>
    <t>* Registro de preços * * Licitação Eletrônica * Registro de Preços para futura e eventual aquisição de materiais de construção em geral.</t>
  </si>
  <si>
    <t>Unidade compradora: 01001 - PREFEITURA  MUNICIPAL DE ALFREDO VASCONCELOS
Local: Alfredo Vasconcelos/MG
Órgão: MUNICIPIO DE ALFREDO VASCONCELOS
Id contratação PNCP: 26130617000115-1-000030/2026
Fonte: SH3 Informática Ltda.
 - Número compra: 00003626 - Pregão - Eletrônico</t>
  </si>
  <si>
    <t>PE/2012015.240/2025</t>
  </si>
  <si>
    <t xml:space="preserve">* Licitação eletrônica * Contratação da prestação de serviços continuados de assistência técnica, com fornecimento de peças e calibração com emissão de certificado, em 343 trezentos e quarenta e três aparelhos de aferição de pressão arterial não invasiva esfigmomanômetros, modelo pedestal, sendo 241 duzentos e quarenta e um aparelhos alocados no Hospital Governador Israel Pinheiro - HGIP/IPSEMG e 102 cento e dois aparelhos alocados no Centro de Especialidades Médicas do IPSEMG/CEM, mediante contrato anual, sem dedicação exclusiva de mão de obra. </t>
  </si>
  <si>
    <t>Data da sessão pública: 23/04/2026, às 09h00m nove
horas, horário de Brasília - DF, no sítio eletrônico www.compras.
mg.gov.br. O cadastramento de propostas inicia-se no momento em que
for publicado o edital no Portal de Compras do estado de Minas Gerais
e encerra-se, automaticamente, na data e hora marcadas para realização
da sessão do pregão. O edital poderá ser obtido nos sites www.compras.
mg.gov.br ou PNCP - Portal Nacional de Contratações Públicas.
Belo Horizonte, 30 de março de 2026.</t>
  </si>
  <si>
    <t>* Licitação Eletrônica * Registro de preços para futuro e eventual fornecimento de materiais diversos de manutenção, para atendimento às demandas  do Serviço de Água e Saneamento SAS.  * https://bllcompras.com *</t>
  </si>
  <si>
    <t>LOCAL: https://bllcompras.com/
Nº PROC. ADM: 028/2025
 TIPO CONTRATO: REGISTRO DE PREÇO
 INÍCIO REC. PROPOSTA: 08/04/2026 16:00:00
 FIM REC. PROPOSTA: 23/04/2026 12:00:00
 INÍCIO DISPUTA: 23/04/2026 14:00:00
 CIDADE: BARBACENA
 FASE: PUBLICADO
 EXCLUSIVO ME: NÃO
 EXCLUSIVO REGIONAL: NÃO
 MODO DE DISPUTA: ABERTO
 TIPO DE LANCE: MENOR LANCE
 FONE PROMOTOR: 3233392026
 E-MAIL PROMOTOR: licitacao@barbacena.mg.gov.br
 CONDUTOR: ELISÂNGELA APARECIDA FERREIRA
 AUTORIDADE: DANIEL SALGARELLO
 INFORMACÕES ADICIONAIS: 
 VALOR ESTIMADO: R$796.468,24</t>
  </si>
  <si>
    <t>PE/21678</t>
  </si>
  <si>
    <t xml:space="preserve">* Licitação eletrônica * Testador de Perdas Dielétricas em Óleo Isolante. </t>
  </si>
  <si>
    <t>Edital e demais informações: https://app2-compras.cemig.com.br/pesquisa</t>
  </si>
  <si>
    <t>ESURB-Empresa Municipal de Serviços, Obras e Urbanização</t>
  </si>
  <si>
    <t>* Licitação Eletrônica * Contratação de empresa para aquisição de Equipamento de Proteção Individual - EPIs, e Equipamento de proteção coletiva - EPC, para uso dos funcionários do setor de Elétrica da  ESURB. O fornecimento será por um período de 12 doze meses, as demais...</t>
  </si>
  <si>
    <t>Órgão: Empresa Municipal de Serviços Obras e Urbanização- ESURB - Empresa Municipal de Serviços Obras e Urbanização - ESURB - MG
				Processo: 2011
				Edital: 005/2026
				Modalidade: Pregão
				Início de envio das propostas: 10-04-2026 ás 08:30
				Término de envio das propostas: 23/04/2026 ás 08:30		
				Início dos lances: 23/04/2026 ás 08:31</t>
  </si>
  <si>
    <t>Serviço Autônomo de Água e Esgoto de Paraisópolis</t>
  </si>
  <si>
    <t>Paraisópolis</t>
  </si>
  <si>
    <t>* Licitação Eletrônica * CONTRATAÇÃO DE EMPRESA PARA FUTURA E EVENTUAL AQUISIÇÃO DE EQUIPAMENTOS DE PROTEÇÃO INDIVIDUAL EPIS, VISANDO ATENDER ÀS DEMANDAS DOS SERVIDORES DO SERVIÇO AUTÔNOMO DE ÁGUA E ESGOTO SAAE DE PARAISÓPOLIS/MG, QUE ATUAM NA ESTAÇÃO DE TRATAMENTO DE...</t>
  </si>
  <si>
    <t>Órgão: Serviço Autônomo de Água e Esgoto - SAAE - Serviço Autônomo de Água e Esgoto de Paraisópolis - SAAE - MG
				Processo: 022
				Edital: 012/2026
				Modalidade: Pregão para Registro de Preço
				Início de envio das propostas: 08-04-2026 ás 09:00
				Término de envio das propostas: 22/04/2026 ás 08:45		
				Início dos lances: 22/04/2026 ás 09:00</t>
  </si>
  <si>
    <t>MINISTÉRIO DA DEFESA - Comando da Marinha - Base Fluvial de Ladario</t>
  </si>
  <si>
    <t>Ladário</t>
  </si>
  <si>
    <t xml:space="preserve">* Registro de preços * * Licitação Eletrônica * Caldeiraria, Forração e Limpeza de Tanques </t>
  </si>
  <si>
    <t>Unidade compradora: 786800 - BASE FLUVIAL DE LADARIO/MS
Local: Ladário/MS
Órgão: COMANDO DA MARINHA
Id contratação PNCP: 00394502000144-1-002534/2026
Fonte: Compras.gov.br
Contratação de de  caldeiraria pesada, limpeza, desgaseificação, tratamento e pintura de tanques combustíveis e água e fundo da Praça de serviços Máquinas porão, assim como, forração em compartimentos dos Meios Operativos subordinados ao Com6DN e da Porta Batel, conforme termo de referência. Para as respostas de esclarecimentos e impugnações deste edital acesse o link: https://cnetmobile.estaleiro.serpro.gov.br/comprasnet-web/public/landing?destino=quadro-informativo&amp;compra=78680005900022026 - Número compra: 90002 - Pregão - Eletrônico</t>
  </si>
  <si>
    <t>FAPEC - Fundação de Apoio à Pesquisa, ao Ensino e à Cultura</t>
  </si>
  <si>
    <t>* Licitação Eletrônica * Aquisição de equipamento e material de permanente, mais especificamente como eletrodomésticos, eletrônicos e de informática , para atender às demandas do Contrato 117/2025 Programa UFMS Digital e Programa Mais Professores: oferta do Curso de Especialização em Formação Docente para a Educação Básica , Projeto sob a Coordenação do Prof Dr Bruno Dias Amaro.</t>
  </si>
  <si>
    <t>Unidade compradora: 453714 - FUNDAÇÃO DE APOIO À PESQ. AO ENS. E À CULTURA
Local: Campo Grande/MS
Órgão: FUNDACAO DE APOIO A PESQUISA AO ENSINO E A CULTURA
Id contratação PNCP: 15513690000150-1-000021/2026
Fonte: Compras.gov.br
Em caso de divergência entre os itens do ComprasNet e o Termo de Referência, PREVALECERÁ a descrição do Termo de Referência. Para as respostas de esclarecimentos e impugnações deste edital acesse o link: https://cnetmobile.estaleiro.serpro.gov.br/comprasnet-web/public/landing?destino=quadro-informativo&amp;compra=45371405900082026 - Número compra: 90008 - Pregão - Eletrônico</t>
  </si>
  <si>
    <t>Prefeitura Municipal de Bandeirantes</t>
  </si>
  <si>
    <t>Bandeirantes</t>
  </si>
  <si>
    <t>* Licitação Eletrônica * Contratação de empresa especializada para fornecimento de TUBOS DE CONCRETO, para atender as necessidades do Município de Bandeirantes/MS. - ** www.comprasbr.com.br **</t>
  </si>
  <si>
    <t>SAAE-Serviço Autônomo de Água e Esgoto de São Gabriel do Oeste</t>
  </si>
  <si>
    <t>São Gabriel do Oeste</t>
  </si>
  <si>
    <t>* Licitação Eletrônica * Contratação de empresa ou profissional legalmente habilitado para a elaboração de projetos elétricos executivos para implantação de 02 duas subestações de energia elétrica com potência de 112,5 kVA, sendo uma destinada à Unidade de Tratamento de...</t>
  </si>
  <si>
    <t>Órgão: Serviço Autônomo de Água e Esgoto de São Gabriel do Oeste - Serviço Autônomo de Água e Esgoto de São Gabriel do Oeste - MS
				Processo: 4497
				Edital: 005/2026
				Modalidade: Pregão
				Início de envio das propostas: 09-04-2026 ás 09:00
				Término de envio das propostas: 28/04/2026 ás 09:00		
				Início dos lances: 28/04/2026 ás 09:01</t>
  </si>
  <si>
    <t>Prefeitura Municipal de Nova Alvorada do Sul</t>
  </si>
  <si>
    <t>Nova Alvorada do Sul</t>
  </si>
  <si>
    <t>* Licitação Eletrônica * Registro de preços para Aquisição futura de materiais destinados à manutenção, ampliação e melhoria do sistema de iluminação pública do Município de Nova Alvorada do Sul/MS pelo período de 12 doze meses. * https://bllcompras.com *</t>
  </si>
  <si>
    <t>LOCAL: https://bllcompras.com/
Nº PROC. ADM: 016/2026
 TIPO CONTRATO: REGISTRO DE PREÇO
 INÍCIO REC. PROPOSTA: 08/04/2026 10:00:00
 FIM REC. PROPOSTA: 23/04/2026 08:00:00
 INÍCIO DISPUTA: 23/04/2026 08:30:00
 CIDADE: NOVA ALVORADA DO SUL
 FASE: RECEPÇÃO DE PROPOSTAS
 EXCLUSIVO ME: NÃO
 EXCLUSIVO REGIONAL: NÃO
 MODO DE DISPUTA: ABERTO
 TIPO DE LANCE: MENOR LANCE
 FONE PROMOTOR: 6734564100
 E-MAIL PROMOTOR: gabinete@novaalvoradadosul.ms.gov.br
 CONDUTOR: RAQUEL APARECIDA FONTANA
 AUTORIDADE: JOSÉ PAULO PALEARI
 INFORMACÕES ADICIONAIS: 
 VALOR ESTIMADO: R$1.754.959,80</t>
  </si>
  <si>
    <t>Consórcio Intermunicpal de Desenvolvimento Sustentável da Região Central de Mato Grosso do Sul – Central</t>
  </si>
  <si>
    <t>* Licitação Eletrônica * AQUISIÇÃO DE ÓLEO DE PIRÓLISE PARA O FUNCIONAMENTO DA USINA DE ASFALTO DO CONSÓRCIO INTERMUNICIPAL DE DESENVOLVIMENTO SUSTENTÁVEL DA REGIÃO CENTRAL DE MATO GROSSO DO SUL - CENTRAL - MS. - ** www.comprasbr.com.br **</t>
  </si>
  <si>
    <t xml:space="preserve">Fundação Estatal de Saúde do Pantanal </t>
  </si>
  <si>
    <t>Coxim</t>
  </si>
  <si>
    <t>* Licitação Eletrônica * Contratação de empresas para a aquisição de eletrodomésticos e materiais de cozinha, para atender as necessidades da Fundação Estatal de Saúde do Pantanal, conforme condições e especificações constantes no edital e seus anexos.
 * https://bllcompras.com *</t>
  </si>
  <si>
    <t>LOCAL: https://bllcompras.com/
Nº PROC. ADM: 030/2026
 TIPO CONTRATO: AQUISIÇÃO PARCELADA
 INÍCIO REC. PROPOSTA: 09/04/2026 11:36:00
 FIM REC. PROPOSTA: 22/04/2026 23:00:00
 INÍCIO DISPUTA: 23/04/2026 09:00:00
 CIDADE: COXIM
 FASE: PUBLICADO
 EXCLUSIVO ME: SIM
 EXCLUSIVO REGIONAL: NÃO
 MODO DE DISPUTA: ABERTO
 TIPO DE LANCE: MENOR LANCE
 FONE PROMOTOR: 6732913123
 E-MAIL PROMOTOR: fespcoxim@yahoo.com.br
 CONDUTOR: RAFAEL ANDRÉ CUNHA GOMES
 AUTORIDADE: DEVANIR RODRIGUES PEREIRA JUNIOR
 INFORMACÕES ADICIONAIS: Contato Fornecedor BLL - 41 3097-4600
 VALOR ESTIMADO: R$0,00</t>
  </si>
  <si>
    <t>FUNSAU-Fundação de Serviços de Saúde de Nova Andradina</t>
  </si>
  <si>
    <t>Nova Andradina</t>
  </si>
  <si>
    <t>PE/20/2026</t>
  </si>
  <si>
    <t>* Licitação Eletrônica * AQUISIÇÃO DE MATERIAIS DE HIGIENIZAÇÃO E EQUIPAMENTOS DE PROTEÇÃO INDIVIDUAL PARA ATENDER A DEMANDA DA FUNDAÇÃO SERVIÇOS DE SAÚDE DE NOVA ANDRADINA-FUNSAU/NA * https://bllcompras.com *</t>
  </si>
  <si>
    <t>LOCAL: https://bllcompras.com/
Nº PROC. ADM: 026/2026
 TIPO CONTRATO: REGISTRO DE PREÇO
 INÍCIO REC. PROPOSTA: 09/04/2026 08:00:00
 FIM REC. PROPOSTA: 23/04/2026 08:00:00
 INÍCIO DISPUTA: 23/04/2026 09:00:00
 CIDADE: NOVA ANDRADINA
 FASE: PUBLICADO
 EXCLUSIVO ME: NÃO
 EXCLUSIVO REGIONAL: NÃO
 MODO DE DISPUTA: ABERTO
 TIPO DE LANCE: MENOR LANCE
 FONE PROMOTOR: 6734415050
 E-MAIL PROMOTOR: recepcao@funsau-na.ms.gov.br
 CONDUTOR: CÍNTIA RODRIGUES DE ALMEIDA
 AUTORIDADE: NORBERTO FABRI JUNIOR
 INFORMACÕES ADICIONAIS: 
 VALOR ESTIMADO: R$400.885,15</t>
  </si>
  <si>
    <t>* Licitação Eletrônica * Registro de Preços para futura e eventual materiais de distribuição gratuita, para atender as demandas da secretaria municipal de saúde do município de Batayporã-MS. * https://bnccompras.com *</t>
  </si>
  <si>
    <t>LOCAL: https://bnccompras.com/
Nº PROC. ADM: 048/2026
 TIPO CONTRATO: REGISTRO DE PREÇO
 INÍCIO REC. PROPOSTA: 09/04/2026 08:00:00
 FIM REC. PROPOSTA: 27/04/2026 09:00:00
 INÍCIO DISPUTA: 27/04/2026 09:15:00
 CIDADE: BATAYPORÃ
 FASE: PUBLICADO
 EXCLUSIVO ME: NÃO
 EXCLUSIVO REGIONAL: NÃO
 MODO DE DISPUTA: ABERTO
 TIPO DE LANCE: MENOR LANCE
 FONE PROMOTOR: 6734431288
 E-MAIL PROMOTOR: licitacao@bataypora.ms.gov.br
 CONDUTOR: SABRINA AMORIM ARAÚJO
 AUTORIDADE: GERMINO DA ROZ SILVA
 VALOR ESTIMADO: R$1.424.018,90</t>
  </si>
  <si>
    <t>* Licitação Eletrônica * AQUISICAO DE MATERIAIS PARA OBRAS DE INFRAESTRUTURA DE SANEAMENTO PARA EXECUCAO DE REDES DE ESGOTAMENTO SANITARIO NO LOTEAMENTO RODOVIARIO, NO MUNICIPIO DE RONDONOPOLIS/MT, COM RECURSOS PROVENIENTES DO NOVO PAC TERMO DE COMPROMISSO Nº 968724/2024 * https://bllcompras.com *</t>
  </si>
  <si>
    <t xml:space="preserve">LOCAL: https://bllcompras.com/
Nº PROC. ADM: MEM. DIRTEC 087/2026
 TIPO CONTRATO: AQUISIÇÃO
 INÍCIO REC. PROPOSTA: 08/04/2026 17:00:00
 FIM REC. PROPOSTA: 22/04/2026 17:00:00
 INÍCIO DISPUTA: 23/04/2026 09:00:00
 CIDADE: RONDONÓPOLIS
 FASE: PUBLICADO
 EXCLUSIVO ME: NÃO
 EXCLUSIVO REGIONAL: NÃO
 MODO DE DISPUTA: ABERTO
 TIPO DE LANCE: MENOR LANCE
 FONE PROMOTOR: 6634100400
 E-MAIL PROMOTOR: licitacao@sanearmt.com.br
 CONDUTOR: MARILEY BARROS SOARES
 AUTORIDADE: VICTOR YAGO DOS SANTOS VITORINO
 INFORMACÕES ADICIONAIS: 
 VALOR ESTIMADO: R$292.752,31
 </t>
  </si>
  <si>
    <t>MINISTÉRIO DA EDUCAÇÃO - Fundação Universidade Federal de Mato Grosso</t>
  </si>
  <si>
    <t>PE/90012/2026</t>
  </si>
  <si>
    <t>* Registro de preços * * Licitação Eletrônica * Contratação de serviços de compactação, carregamento, transporte e destinação final de resíduos Classe II para aterro sanitário licenciado, com fornecimento de mão de obra, maquinário e veículos necessários para todas as etapas do serviço.</t>
  </si>
  <si>
    <t>Unidade compradora: 154045 - FUNDACAO UNIVERSIDADE FEDERAL DE MATO GROSSO
Local: Cuiabá/MT
Órgão: FUNDACAO UNIVERSIDADE FEDERAL DE MATO GROSSO
Id contratação PNCP: 33004540000100-1-000030/2026
Fonte: Compras.gov.br
 Para as respostas de esclarecimentos e impugnações deste edital acesse o link: https://cnetmobile.estaleiro.serpro.gov.br/comprasnet-web/public/landing?destino=quadro-informativo&amp;compra=15404505900122026 - Número compra: 90012 - Pregão - Eletrônico</t>
  </si>
  <si>
    <t>Prefeitura Municipal de Lambari D'Oeste</t>
  </si>
  <si>
    <t>Lambari D'Oeste</t>
  </si>
  <si>
    <t>* Licitação Eletrônica * CONTRATAÇÃO DE EMPRESA PARA EXECUÇÃO DE OBRA DE AMPLIAÇÃO DO SISTEMA DE ABASTECIMENTO DE ÁGUA DA ZONA URBANA DE LAMBARI D'OESTE/MT, EM ATENDIMENTO AO CONVÊNIO FUNASA Nº CV 0011/2020, NOS TERMOS DO PROJETO EXECUTIVO. * https://bllcompras.com *</t>
  </si>
  <si>
    <t>LOCAL: https://bllcompras.com/
Nº PROC. ADM: 15/2026
 TIPO CONTRATO: AQUISIÇÃO
 INÍCIO REC. PROPOSTA: 08/04/2026 08:00:00
 FIM REC. PROPOSTA: 27/04/2026 09:00:00
 INÍCIO DISPUTA: 27/04/2026 09:05:00
 CIDADE: LAMBARI D'OESTE
 FASE: PUBLICADO
 EXCLUSIVO ME: NÃO
 EXCLUSIVO REGIONAL: NÃO
 MODO DE DISPUTA: ABERTO
 TIPO DE LANCE: MENOR LANCE
 FONE PROMOTOR: 6532281178
 E-MAIL PROMOTOR: prefeito@lambaridoeste.mt.gov.br
 CONDUTOR: EDIMAR APARECIDO DOS SANTOS
 AUTORIDADE: MARCELO VIERA VITORAZZI
 INFORMACÕES ADICIONAIS: 
 VALOR ESTIMADO: R$453.727,00</t>
  </si>
  <si>
    <t>Prefeitura Municipal de Terra Nova do Norte</t>
  </si>
  <si>
    <t>Terra Nova do Norte</t>
  </si>
  <si>
    <t>* Licitação Eletrônica * REGISTRO DE PREÇOS PARA FUTURA E EVENTUAL AQUISIÇÃO DE REAGENTES QUÍMICOS E MATERIAIS LABORATORIAIS PARA ATENDER AS NECESSIDADES DA SECRETARIA MUNICIPAL DE SAÚDE DO MUNICÍPIO DE TERRA NOVA DO NORTE-MT LABORATÓRIO DE ANÁLISES CLÍNICAS * https://bllcompras.com *</t>
  </si>
  <si>
    <t>LOCAL: https://bllcompras.com/
Nº PROC. ADM: 030/2026
 TIPO CONTRATO: REGISTRO DE PREÇO
 INÍCIO REC. PROPOSTA: 08/04/2026 08:00:00
 FIM REC. PROPOSTA: 20/04/2026 07:00:00
 INÍCIO DISPUTA: 20/04/2026 09:00:00
 CIDADE: TERRA NOVA DO NORTE
 FASE: PUBLICADO
 EXCLUSIVO ME: NÃO
 EXCLUSIVO REGIONAL: NÃO
 MODO DE DISPUTA: ABERTO
 TIPO DE LANCE: MENOR LANCE
 FONE PROMOTOR: 6635342500
 E-MAIL PROMOTOR: gabinete@terranovadonorte.mt.gov.br
 CONDUTOR: EDIVALDO MOREIRA DA SILVA
 AUTORIDADE: PASCOAL ALBERTON
 INFORMACÕES ADICIONAIS: 
 VALOR ESTIMADO: R$106.171,02</t>
  </si>
  <si>
    <t>Prefeitura Municipal de Nova Mutum</t>
  </si>
  <si>
    <t>* Licitação Eletrônica * RELANÇAMENTO DE REGISTRO DE PREÇO PARA FUTURA E EVENTUAL AQUISIÇÃO DE MATERIAIS DE LIMPEZA, COPA, COZINHA, LAVANDERIA, PISCINA, SOLÚVEIS, DESCARTÁVEIS E HIGIENE QUE VISA ATENDER AS DEMANDAS DAS SECRETARIAS MUNICIPAIS * https://bllcompras.com *</t>
  </si>
  <si>
    <t>LOCAL: https://bllcompras.com/
Nº PROC. ADM: 064/2026
 TIPO CONTRATO: REGISTRO DE PREÇO
 INÍCIO REC. PROPOSTA: 08/04/2026 08:00:00
 FIM REC. PROPOSTA: 29/04/2026 08:00:00
 INÍCIO DISPUTA: 29/04/2026 09:00:00
 CIDADE: NOVA MUTUM
 FASE: PUBLICADO
 EXCLUSIVO ME: NÃO
 EXCLUSIVO REGIONAL: NÃO
 MODO DE DISPUTA: ABERTO E FECHADO
 TIPO DE LANCE: MENOR LANCE
 FONE PROMOTOR: 6533085400
 E-MAIL PROMOTOR: gabinete@novamutum.mt.gov.br
 CONDUTOR: EDUARDO HENRIQUE CORREIA MIILLER
 AUTORIDADE: ILDO ADEMIR FACCIO
 INFORMACÕES ADICIONAIS: ATENÇÃO AO TERMO DE REFERÊNCIA - ANEXO 01.
 VALOR ESTIMADO: R$828.637,62</t>
  </si>
  <si>
    <t>Prefeitura Municipal de Vila Rica</t>
  </si>
  <si>
    <t>Vila Rica</t>
  </si>
  <si>
    <t>* Licitação Eletrônica * REGISTRO DE PREÇO PARA FUTURA E EVENTUAL AQUISIÇÃO DE 01 UM TUBO DE RAIOS X NOVO, COMPATÍVEL COM O TOMÓGRAFO COMPUTADORIZADO SIEMENS SOMATOM GO.UP, INSTALADO NO HOSPITAL MUNICIPAL DE VILA RICA - MT, INCLUINDO A PRESTAÇÃO DE SERVIÇOS TÉCNICOS ESPECIALIZADOS PARA SUA SUBSTITUIÇÃO, INSTALAÇÃO, TESTES DE FUNCIONAMENTO, CALIBRAÇÃO E VALIDAÇÃO OPERACIONAL DO EQUIPAMENTO, BEM COMO O FORNECIMENTO DE TODA A DOCUMENTAÇÃO TÉCNICA PERTINENTE, TAIS COMO MANUAIS, CERTIFICADOS, LAUDOS TÉCNICOS E TERMOS DE GARANTIA, VISANDO ASSEGURAR O PLENO FUNCIONAMENTO, A SEGURANÇA OPERACIONAL E A CONTINUIDADE DOS SERVIÇOS DE DIAGNÓSTICO POR IMAGEM, EM ATENDIMENTO ÀS DEMANDAS DA SECRETARIA MUNICIPAL DE SAÚDE / FUNDO MUNICIPAL DE SAÚDE DO MUNICÍPIO DE VILA RICA - MT. * http://www.licitacoes-e.com.br *</t>
  </si>
  <si>
    <t>Edital : 15/2026 
Modalidade : Pregão 
Nº Licitação : 1090974 
Início acolhimento de propostas : 17/04/2026-08:00 
Limite acolhimento de propostas : 22/04/2026-08:30 
Abertura das propostas : 22/04/2026-08:30 
Data e a hora da disputa : 22/04/2026-09:00 
Pregoeiro : CRISTINA MAGALHAES CASTRO</t>
  </si>
  <si>
    <t>Secretaria Municipal de Saúde de Santarém</t>
  </si>
  <si>
    <t>Santarém</t>
  </si>
  <si>
    <t>* Licitação Eletrônica * REGISTRO DE PREÇO PARA EVENTUAL E FUTURA AQUISIÇÃO DE MATERIAIS HOSPITALARES PERMANENTES QUE CONTEMPLE O HOSPITAL MUNICIPAL DE SANTARÉM E A UNIDADE DE PRONTO ATENDIMENTO 24 HORAS,</t>
  </si>
  <si>
    <t>Órgão: FUNDO MUNICIPAL DE SAUDE - FMS - Prefeitura Municipal de Santarém - PA
				Processo: 3.164/2025-SEMSA
				Edital: 010/2026 - SEMSA/2026
				Modalidade: Pregão
				Início de envio das propostas: 06-04-2026 ás 16:00
				Término de envio das propostas: 23/04/2026 ás 08:59		
				Início dos lances: 23/04/2026 ás 09:00</t>
  </si>
  <si>
    <t>Secretaria Municipal de Educação de Santarém</t>
  </si>
  <si>
    <t>* Licitação Eletrônica * REGISTRO DE PREÇO PARA AQUISIÇÃO DE MOLA HIDRÁULICA AÉREA PARA PORTAS PARA AS UNIDADES E CENTROS DE EDUCAÇÃO INFANTIL VINCULADOS A SECRETARIA MUNICIPAL DE EDUCAÇÃO</t>
  </si>
  <si>
    <t>Órgão: SECRETARIA MUNICIPAL DE EDUCAÇÃO - SEMED - Prefeitura Municipal de Santarém - PA
				Processo: 001/2026 -SEMED
				Edital: 005/2026 - SEMED/2026
				Modalidade: Pregão
				Início de envio das propostas: 09-04-2026 ás 08:00
				Término de envio das propostas: 22/04/2026 ás 08:59		
				Início dos lances: 22/04/2026 ás 09:00</t>
  </si>
  <si>
    <t>Prefeitura Municipal de Bannach</t>
  </si>
  <si>
    <t>Bannach</t>
  </si>
  <si>
    <t>* Licitação Eletrônica * Registro de preços para futura e eventual contratação de empresa para o fornecimento de materiais de expediente, objetivando atender as necessidades da Prefeitura Municipal de Bannach/PA, Fundos Municipais, Secretarias Municipais e seus departamentos.</t>
  </si>
  <si>
    <t>Órgão: Prefeitura Municipal de Bannach - Prefeitura Municipal de Bannach - PA
				Processo: 007.2026.01
				Edital: 003/2026
				Modalidade: Pregão
				Início de envio das propostas: 08-04-2026 ás 10:30
				Término de envio das propostas: 22/04/2026 ás 10:30		
				Início dos lances: 22/04/2026 ás 10:31</t>
  </si>
  <si>
    <t>Fundo Municipal de Saúde de Canaã dos Carajás</t>
  </si>
  <si>
    <t>Canaã dos Carajás</t>
  </si>
  <si>
    <t>* Licitação Eletrônica * Registro de Preços para futura e eventual aquisição de materiais, equipamentos laboratoriais, instrumentos e EPI´s destinados ao apoio das atividades técnicas e operacionais da Vigilância em Saúde, utilizados em ações de vigilância epidemiológica,...</t>
  </si>
  <si>
    <t>Órgão: FUNDO MUNICIPAL DE SAUDE DE CANAA DOS CARAJAS - Prefeitura Municipal de Canaã dos Carajás - PA
				Processo: PREGÃO ELETRÔNICO Nº 032/2026/SRP
				Edital: Nº 049/2026-FMS-CPL/2026
				Modalidade: Pregão para Registro de Preço
				Início de envio das propostas: 08-04-2026 ás 18:00
				Término de envio das propostas: 22/04/2026 ás 07:59		
				Início dos lances: 22/04/2026 ás 08:00</t>
  </si>
  <si>
    <t>* Licitação Eletrônica * AQUISIÇÃO PARCELADA DE MATERIAL MÉDICO E INSUMOS DE USO HOSPITALAR DESTINADO A SECRETARIA MUNICIPAL DE SAÚDEDE APARECIDA</t>
  </si>
  <si>
    <t>Órgão: Prefeitura Municipal de Aparecida - Prefeitura Municipal de Aparecida - PB
				Processo: 260402PE00005
				Edital: 5/2026
				Modalidade: Pregão para Registro de Preço
				Início de envio das propostas: 09-04-2026 ás 00:00
				Término de envio das propostas: 22/04/2026 ás 00:00		
				Início dos lances: 22/04/2026 ás 00:01</t>
  </si>
  <si>
    <t>Prefeitura Municipal de Santa Cecília</t>
  </si>
  <si>
    <t>Santa Cecília</t>
  </si>
  <si>
    <t>Contratação de empresa especializada em engenharia para construção de unidades habitacionais no município de Santa Cecília - PB, em regime de contratação integrada, vinculada à operação nº 1100389-06, referente ao Transferegov nº 974514/2024, firmado com o Ministério das Cidades, compreendendo a elaboração e desenvolvimento dos projetos básico e executivo, a execução da obra e as demais operações necessárias e suficientes para a entrega final das unidades habitacionais.</t>
  </si>
  <si>
    <t>Edital disponível em https://santacecilia.pb.gov.br/, www.portaldecompraspublicas.com.br e www.gov.br/pncp. Informações: das 08:00 às 13:00 em dias úteis, e-mail: licitacao@santacecilia.pb.gov.br. Abertura da sessão pública: 08/07/2026 às 09:00. Início da fase de lances: 08/07/2026 às 09:15. Referência: horário de Brasília.</t>
  </si>
  <si>
    <t>Prefeitura Municipal de Solânea</t>
  </si>
  <si>
    <t>Solânea</t>
  </si>
  <si>
    <t>* Licitação Eletrônica * Aquisição parcelada de materiais, instrumentais e equipamentos odontológicos, para o exercício de 2026</t>
  </si>
  <si>
    <t>Órgão: Prefeitura Municipal de Solânea - Prefeitura Municipal de Solânea - PB
				Processo: 058
				Edital: 24/2026
				Modalidade: Pregão para Registro de Preço
				Início de envio das propostas: 02-04-2026 ás 22:00
				Término de envio das propostas: 15/04/2026 ás 08:59		
				Início dos lances: 15/04/2026 ás 09:00</t>
  </si>
  <si>
    <t>* Licitação Eletrônica * Aquisição de materiais de limpeza diversos, destinados ao atendimento das necessidades das Secretarias Municipais,para o exercício de 2026</t>
  </si>
  <si>
    <t>Órgão: Prefeitura Municipal de Solânea - Prefeitura Municipal de Solânea - PB
				Processo: 056/2026
				Edital: 22/2026
				Modalidade: Pregão
				Início de envio das propostas: 01-04-2026 ás 23:00
				Término de envio das propostas: 14/04/2026 ás 13:29		
				Início dos lances: 14/04/2026 ás 13:30</t>
  </si>
  <si>
    <t>Prefeitura Municipal de Itaporanga</t>
  </si>
  <si>
    <t>Itaporanga</t>
  </si>
  <si>
    <t>* Licitação Eletrônica * CONTRATAÇÃO DE EMPRESA ESPECIALIZADA PARA PRESTAÇÃO DE SERVIÇOS DE LOCAÇÃO DE MÁQUINAS PESADAS, REFERENTES A ITENS REMANESCENTES DE PROCEDIMENTO LICITATÓRIO ANTERIOR, DESTINADOS AO ATENDIMENTO DAS DEMANDAS DA PREFEITURA MUNICIPAL DE ITAPORANGA-PB.</t>
  </si>
  <si>
    <t>Órgão: Departamento de Licitação e Compras - Prefeitura Municipal de Itaporanga - PB
				Processo: 0041/2026
				Edital: 0013/2026
				Modalidade: Pregão
				Início de envio das propostas: 08-04-2026 ás 16:00
				Término de envio das propostas: 23/04/2026 ás 08:59		
				Início dos lances: 23/04/2026 ás 09:00</t>
  </si>
  <si>
    <t>Prefeitura Municipal de São João do Cariri</t>
  </si>
  <si>
    <t>São João do Cariri</t>
  </si>
  <si>
    <t>* Licitação Eletrônica * AQUISIÇÃO DE UTENSÍLIOS DOMÉSTICOS PARA AS SECRETARIAS DA PREFEITURA DE SÃO JOÃO DO CARIRI - PB</t>
  </si>
  <si>
    <t>Órgão: PREFEITURA MUNICIPAL DE SÃO JOÃO DO CARIRI - Prefeitura Municipal de São João do Cariri - PB
				Processo: 260330PE00025
				Edital: 25/2026
				Modalidade: Pregão
				Início de envio das propostas: 08-04-2026 ás 10:50
				Término de envio das propostas: 22/04/2026 ás 08:59		
				Início dos lances: 22/04/2026 ás 09:00</t>
  </si>
  <si>
    <t>Prefeitura Municipal de Umbuzeiro</t>
  </si>
  <si>
    <t>Umbuzeiro</t>
  </si>
  <si>
    <t>* Licitação Eletrônica * Aquisição parcelada de materiais de Construções diversos, destinados as demandas operacionais desta Prefeitura</t>
  </si>
  <si>
    <t>Órgão: Prefeitura Municipal de Umbuzeiro - Prefeitura Municipal de Umbuzeiro - PB
				Processo: 260406PE00006
				Edital: 6/2026
				Modalidade: Pregão para Registro de Preço
				Início de envio das propostas: 08-04-2026 ás 16:00
				Término de envio das propostas: 22/04/2026 ás 08:29		
				Início dos lances: 22/04/2026 ás 08:30</t>
  </si>
  <si>
    <t>Prefeitura Municipal de Itaíba</t>
  </si>
  <si>
    <t>Itaíba</t>
  </si>
  <si>
    <t>* Licitação Eletrônica * Registro de Preços para futura e eventual Contratação de empresa especializada para fornecimento de equipamentos e suprimentos de informática, para atender as necessidades das Secretarias do Município de Itaíba/PE</t>
  </si>
  <si>
    <t>Órgão: Secretaria Municipal de Administração - Prefeitura Municipal de Itaíba - PE
				Processo: 19
				Edital: 009/2026
				Modalidade: Pregão
				Início de envio das propostas: 08-04-2026 ás 09:00
				Término de envio das propostas: 22/04/2026 ás 09:00		
				Início dos lances: 22/04/2026 ás 09:30</t>
  </si>
  <si>
    <t>DER-Departamento de Estradas de Rodagem do Estado de Pernambuco</t>
  </si>
  <si>
    <t>CR/12/2026</t>
  </si>
  <si>
    <t xml:space="preserve"> [Portal de Compras Públicas] - CONTRATAÇÃO DE EMPRESAS ESPECIALIZADAS PARA EXECUÇÃO DAS OBRAS E SERVIÇOS DE REABILITAÇÃO FUNCIONAL DE RODOVIAS INCLUÍDAS NO PROGRAMA PE NA ESTRADA DO ESTADO DE PERNAMBUCO LOTES 01 AO 09, COM EXTENSÃO TOTAL DE 1.508,82 KM</t>
  </si>
  <si>
    <t>Unidade compradora: 9462 - Departamento de Estradas de Rodagem de Pernambuco DER/PE
Local: Recife/PE
Órgão: DEPARTAMENTO DE ESTRADAS DE RODAGEM DO ESTADO DE PE
Id contratação PNCP: 11554474000100-1-000040/2026
Fonte: ECustomize Consultoria em Software S.A
 - Número compra: 0012 - Concorrência - Eletrônica</t>
  </si>
  <si>
    <t>Prefeitura Municipal de Nazaré da Mata</t>
  </si>
  <si>
    <t>Nazaré da Mata</t>
  </si>
  <si>
    <t>* Licitação Eletrônica * Formalização de Ata de Registro de Preços para futura e eventual aquisição, sob demanda, de materiais para pintura, visando atender às necessidades operacionais da Secretaria Municipal de Infraestrutura de Nazaré da Mata - PE, conforme especificações, quantitativos e exigências estabelecidas no Termo de Referência. * https://bnccompras.com *</t>
  </si>
  <si>
    <t>LOCAL: https://bnccompras.com/
Nº PROC. ADM: 009/2026
 TIPO CONTRATO: REGISTRO DE PREÇO
 INÍCIO REC. PROPOSTA: 08/04/2026 12:00:00
 FIM REC. PROPOSTA: 23/04/2026 08:30:00
 INÍCIO DISPUTA: 23/04/2026 09:00:00
 CIDADE: NAZARÉ DA MATA
 FASE: PUBLICADO
 EXCLUSIVO ME: SIM
 EXCLUSIVO REGIONAL: NÃO
 MODO DE DISPUTA: ABERTO
 TIPO DE LANCE: MENOR LANCE
 FONE PROMOTOR: 0000000000
 E-MAIL PROMOTOR: licitacoes@nazaredamata.pe.gov.br
 CONDUTOR: BRUNO CÉSAR LOPES DA NOBREGA
 AUTORIDADE: ADRIANA ANDRADE LIMA VASCONCELOS COUTINHO
 VALOR ESTIMADO: R$418.751,28</t>
  </si>
  <si>
    <t>Empresa Brasileira de Serviços Hospitalares - EBSERH - Filial Hospital de Ensino - Dr. Washington Antônio de Barros</t>
  </si>
  <si>
    <t>Petrolina</t>
  </si>
  <si>
    <t>* Registro de preços * * Licitação Eletrônica * Aquisição de produtos para saúde por meio de Registro de Preços, a fim de atender às necessidades do Hospital Universitário da Universidade Federal do Vale do São Francisco HU-UNIVASF, Unidade Gestora UG 155180, integrante da Rede Ebserh, pelo período de 12 doze meses.</t>
  </si>
  <si>
    <t>Unidade compradora: 155180 - HOSP ENS DR WASHINGTON ANTONIO BARROS
Local: Petrolina/PE
Órgão: EMPRESA BRASILEIRA DE SERVICOS HOSPITALARES - EBSERH
Id contratação PNCP: 15126437000305-1-001213/2026
Fonte: Compras.gov.br
 Para as respostas de esclarecimentos e impugnações deste edital acesse o link: https://cnetmobile.estaleiro.serpro.gov.br/comprasnet-web/public/landing?destino=quadro-informativo&amp;compra=15518005900142026 - Número compra: 90014 - Pregão - Eletrônico</t>
  </si>
  <si>
    <t>Prefeitura Municipal de Catende</t>
  </si>
  <si>
    <t>Catende</t>
  </si>
  <si>
    <t>* Licitação Eletrônica * Aquisição de Materiais de Construção para revitalização, manutenção preventiva e corretiva, reforma e ampliação dos prédios públicos do municipio de Catende -PE * https://bnccompras.com *</t>
  </si>
  <si>
    <t>LOCAL: https://bnccompras.com/
Nº PROC. ADM: 05-006/2026
 TIPO CONTRATO: REGISTRO DE PREÇO
 INÍCIO REC. PROPOSTA: 09/04/2026 00:00:00
 FIM REC. PROPOSTA: 24/04/2026 09:00:00
 INÍCIO DISPUTA: 24/04/2026 09:30:00
 CIDADE: CATENDE
 FASE: PUBLICADO
 EXCLUSIVO ME: NÃO
 EXCLUSIVO REGIONAL: NÃO
 MODO DE DISPUTA: ABERTO
 TIPO DE LANCE: MENOR LANCE
 FONE PROMOTOR: 8136731156
 E-MAIL PROMOTOR: gracabraz@gmail.com
 CONDUTOR: PAULO ALVES FERREIRA
 AUTORIDADE: GRACINA MARIA RAMOS BRAZ DA SILVA
 VALOR ESTIMADO: R$5.597.991,24</t>
  </si>
  <si>
    <t>Prefeitura Municipal de Jupi</t>
  </si>
  <si>
    <t>Jupi</t>
  </si>
  <si>
    <t>* Licitação Eletrônica * Contratação de empresa de engenharia para executar serviços de CONSTRUÇÃO DE 20 UNIDADES HABITACIONAIS DE INTERESSE SOCIAL, NO ÂMBITO DO FUNDO NACIONAL DE HABITAÇÃO DE INTERESSE SOCIAL FNHIS, MODALIDADE SUB 50, NA ZONA URBANA, POR MEIO DO CONVÊNIO Nº 99. 3130/2026, NO MUNICÍPIO DE JUPI - PE * https://bnccompras.com *</t>
  </si>
  <si>
    <t>LOCAL: https://bnccompras.com/
Nº PROC. ADM: 013/2026
 TIPO CONTRATO: AQUISIÇÃO
 INÍCIO REC. PROPOSTA: 08/04/2026 14:10:00
 FIM REC. PROPOSTA: 23/04/2026 08:00:00
 INÍCIO DISPUTA: 23/04/2026 09:00:00
 CIDADE: JUPI
 FASE: PUBLICADO
 EXCLUSIVO ME: NÃO
 EXCLUSIVO REGIONAL: NÃO
 MODO DE DISPUTA: ABERTO E FECHADO
 TIPO DE LANCE: MENOR LANCE
 FONE PROMOTOR: 8737791464
 E-MAIL PROMOTOR: sadpmjupi2017@gmail.com
 CONDUTOR: MARCOS VINÍCIUS INACIO ARAUJO
 AUTORIDADE: DOUGLAS TOBIAS DO NASCIMENTO
 VALOR ESTIMADO: R$3.034.584,60</t>
  </si>
  <si>
    <t>Prefeitura Municipal de Pesqueira</t>
  </si>
  <si>
    <t>Pesqueira</t>
  </si>
  <si>
    <t>* Licitação Eletrônica * AQUISIÇÃO DE MÁQUINAS AGRÍCOLAS DE ITEM FRACASSADO, COM RECURSOS ORIUNDOS DA EMENDA PARLAMENTAR Nº 40053/2024, FORMALIZADA POR MEIO DO CONVÊNIO DE COOPERAÇÃO FINANCEIRA Nº 017/2025, CELEBRADO ENTRE O ESTADO DE PERNAMBUCO, POR INTERMÉDIO DA SECRETARIA DE DESENVOLVIMENTO AGRÁRIO, AGRICULTURA, PECUÁRIA E PESCA E O MUNICÍPIO DE PESQUEIRA/PE * https://bnccompras.com *</t>
  </si>
  <si>
    <t>LOCAL: https://bnccompras.com/
Nº PROC. ADM: 037/2026/PMP
 TIPO CONTRATO: AQUISIÇÃO
 INÍCIO REC. PROPOSTA: 09/04/2026 08:00:00
 FIM REC. PROPOSTA: 22/04/2026 08:00:00
 INÍCIO DISPUTA: 22/04/2026 10:00:00
 CIDADE: PESQUEIRA
 FASE: PUBLICADO
 EXCLUSIVO ME: NÃO
 EXCLUSIVO REGIONAL: NÃO
 MODO DE DISPUTA: ABERTO
 TIPO DE LANCE: MENOR LANCE
 FONE PROMOTOR: 8738358706
 E-MAIL PROMOTOR: licita@pesqueira.pe.gov.br
 CONDUTOR: JULIANA MOURA PINHEIRO
 AUTORIDADE: MARCOS LUIDSON DE ARAUJO
 VALOR ESTIMADO: R$59.500,00</t>
  </si>
  <si>
    <t>COMPESA-Companhia Pernambucana de Saneamento</t>
  </si>
  <si>
    <t>SM/27/2026</t>
  </si>
  <si>
    <t xml:space="preserve">FORNECIMENTO E INSTALAÇÃO DE ESTAÇÃO DE TRATAMENTO DE ÁGUA 200 l/s, TIPO CONVENCIONAL EM PRFV COM FILTROS MULTICELULARES, INCLUINDO O FORNECIMENTO E INSTALAÇÃO DE UM SISTEMA BOOSTER DE CONTROLE DE PRESSÃO, PARA IMPLANTAÇÃO DO SISTEMA ADUTOR DO RIO PARATIBE, PAULISTA/PE </t>
  </si>
  <si>
    <t xml:space="preserve">COMPESA Nº 027/2026 CEL2
PROCESSO Nº 3975/2025 - FORNECIMENTO E INSTALAÇÃO
DE ESTAÇÃO DE TRATAMENTO DE ÁGUA 200 l/s, TIPO
CONVENCIONAL EM PRFV COM FILTROS MULTICELULARES,
INCLUINDO O FORNECIMENTO E INSTALAÇÃO DE UM
SISTEMA BOOSTER DE CONTROLE DE PRESSÃO, PARA
IMPLANTAÇÃO DO SISTEMA ADUTOR DO RIO PARATIBE,
PAULISTA/PE. Abertura: 16/04/2026 às 09:00h. Disputa:
16/04/2026 às 10:00h. Edital disponível 09/04/2026. Alessandra
Vasconcelos da Silva - Agente de Licitação. </t>
  </si>
  <si>
    <t>Fundo Municipal de Saúde de São Lourenço da Mata</t>
  </si>
  <si>
    <t>* Licitação Eletrônica * Contratação de Empresa para Aquisição de Equipamentos e Insumos Odontológicos para atender as necessidades dos Serviços do Centro de Especialidades Odontológicas CEO do Município de São Lourenço da Mata/PE, de acordo com as condições quantidades e exigências estabelecidas no Edital e seus anexos * https://bnccompras.com *</t>
  </si>
  <si>
    <t>LOCAL: https://bnccompras.com/
Nº PROC. ADM: 037/2026
 TIPO CONTRATO: AQUISIÇÃO
 INÍCIO REC. PROPOSTA: 08/04/2026 09:00:00
 FIM REC. PROPOSTA: 23/04/2026 09:00:00
 INÍCIO DISPUTA: 23/04/2026 10:00:00
 CIDADE: SÃO LOURENÇO DA MATA
 FASE: PUBLICADO
 EXCLUSIVO ME: NÃO
 EXCLUSIVO REGIONAL: NÃO
 MODO DE DISPUTA: ABERTO
 TIPO DE LANCE: MENOR LANCE
 FONE PROMOTOR: 8192002810
 E-MAIL PROMOTOR: cpl@slm.pe.gov.br
 CONDUTOR: GLEYCE CAVALCANTI DOS SANTOS SILVA
 AUTORIDADE: OTAVIANO EDUARDO SOUZA DA SILVA
INFORMACÕES ADICIONAIS: Senhores licitantes, favor atentar para o Edital e seus anexos. VALOR ESTIMADO: R$721.862,82</t>
  </si>
  <si>
    <t>MINISTÉRIO DA DEFESA - Comando da Aeronáutica - Grupamento de Apoio de Recife</t>
  </si>
  <si>
    <t>* Registro de preços * * Licitação Eletrônica * Registro de preços para aquisição de materiais de consumo destinados às Seções de Sistemas Mecânicos e Mecânica Radar do Terceiro Centro Integrado de Defesa Aérea e Controle de Tráfego Aéreo CINDACTA III.</t>
  </si>
  <si>
    <t>Unidade compradora: 120632 - GRUPAMENTO DE APOIO DE RECIFE
Local: Recife/PE
Órgão: COMANDO DA AERONAUTICA
Id contratação PNCP: 00394429000100-1-000615/2026
Fonte: Compras.gov.br
 Para as respostas de esclarecimentos e impugnações deste edital acesse o link: https://cnetmobile.estaleiro.serpro.gov.br/comprasnet-web/public/landing?destino=quadro-informativo&amp;compra=12063205900072026 - Número compra: 90007 - Pregão - Eletrônico</t>
  </si>
  <si>
    <t>SM/18/2025</t>
  </si>
  <si>
    <t xml:space="preserve">CONTRATAÇÃO DE EMPRESA DE ENGENHARIA PARA A EXECUÇÃO DE OBRAS E SERVIÇOS NECESSÁRIOS À URBANIZAÇÃO INTEGRADA DAS AREAS DE VULNERABILIDADE SOCIOAMBIENTAL DO BLOCO 02 DO COMPLEXO DE COMUNIDADES BEIRA DO RIO, LOCALIZADO NAS MARGENS DO CANAL DO JORDÃO, ENTRE OS BAIRROS DE BOA VIAGEM E IMBIRIBEIRA, NA CIDADE DO RECIFE/PE. </t>
  </si>
  <si>
    <t>R$ 13.095.111,43 treze milhões, noventa e cinco mil, cento e onze reais e quarenta e três centavos Local e Data de abertura: Prefeitura do Recife, sito à Av. Cais do Apolo, 925 -- Bairro do Recife; 18.05.2026 às 11:00 horas. A sessão será realizada na sala de reunião do Gabinete de Gerenciamento do ProMorar, no térreo, do edifício sede da Prefeitura do Recife. O edital e seus anexos estarão à disposição aos interessados no endereço eletrônico: http//www.recife.pe.gov.br/portalcompras/ e no site https://promorar.recife.pe.gov.br/aquisicoes// Recife, 01/04/2026. Michelline Bezerra de Oliveira Beltrão -- Agente de Contratação do GC ProMorar 001.</t>
  </si>
  <si>
    <t>Prefeitura Municipal de Pio IX</t>
  </si>
  <si>
    <t>Pio IX</t>
  </si>
  <si>
    <t>Contratação de empresa de engenharia especializada para execução da construção de 02 passagens molhadas, nas localidades Carrancudo e Recreio, no município de Pio IX-PI.</t>
  </si>
  <si>
    <t>Edital disponível em https://bnc.org.br/ e https://www.tce.pi.gov.br/. Informações e esclarecimentos: licitacoespioix@hotmail.com. Data da abertura: 20/04/2026 às 08:30h.</t>
  </si>
  <si>
    <t>Secretaria do Trabalho e Emprego do Estado do Piauí</t>
  </si>
  <si>
    <t>CR/90026/2026</t>
  </si>
  <si>
    <t>* Licitação Eletrônica * Implantação de sistemas de abastecimento de água na zona rural do municipio de são raimundo nonato - pi.</t>
  </si>
  <si>
    <t>Unidade compradora: 933423 - SECRETARIA DO TRABALHO E EMPREGO/PI
Local: Teresina/PI
Órgão: SECRETARIA DO TRABALHO E EMPREGO
Id contratação PNCP: 61702266000170-1-000026/2026
Fonte: Compras.gov.br
 Para as respostas de esclarecimentos e impugnações deste edital acesse o link: https://cnetmobile.estaleiro.serpro.gov.br/comprasnet-web/public/landing?destino=quadro-informativo&amp;compra=93342303900262026 - Número compra: 90026 - Concorrência - Eletrônica</t>
  </si>
  <si>
    <t>CR/90024/2026</t>
  </si>
  <si>
    <t>* Licitação Eletrônica * Implantação de sistemas de abastecimento de água na zona rural do municipio de caracol - pi.</t>
  </si>
  <si>
    <t>Unidade compradora: 933423 - SECRETARIA DO TRABALHO E EMPREGO/PI
Local: Teresina/PI
Órgão: SECRETARIA DO TRABALHO E EMPREGO
Id contratação PNCP: 61702266000170-1-000024/2026
Fonte: Compras.gov.br
 Para as respostas de esclarecimentos e impugnações deste edital acesse o link: https://cnetmobile.estaleiro.serpro.gov.br/comprasnet-web/public/landing?destino=quadro-informativo&amp;compra=93342303900242026 - Número compra: 90024 - Concorrência - Eletrônica</t>
  </si>
  <si>
    <t>Prefeitura Municipal de Cocal dos Alves</t>
  </si>
  <si>
    <t>Cocal dos Alves</t>
  </si>
  <si>
    <t>* Licitação Eletrônica * REGISTRO DE PREÇO PARA AQUISIÇÃO DE MATERIAIS DE CONSTRUÇÃO HIDRÁULICO PARA ATENDER A PREFEITURA MUNICIPAL DE COCAL DOS ALVES E DEMAIS ÓRGÃOS DE SUA ESTRUTURA ADMINISTRATIVA.</t>
  </si>
  <si>
    <t>Modalidade: PREGÃO ELETRÔNICO
Edital nº: 004
Unidade Gestora: PM</t>
  </si>
  <si>
    <t>Prefeitura Municipal de Santo Inácio</t>
  </si>
  <si>
    <t>Santo Inácio</t>
  </si>
  <si>
    <t>* Licitação Eletrônica * REGISTRO DE PREÇOS VISANDO FUTURA E EVENTUAL PARA CONTRATAÇÃO DE EMPRESA ESPECIALIZADA PARA PRESTAÇÃO DE SERVIÇOS DE SERRALHERIA COM FORNECIMENTO DE MATERIAL PARA CONFECÇÃO DE PORTÕES, GRADES, GRELHAS, CALHAS E RUFOS, BEM COMO REPARO E MANUTENÇÃO PARA ATENDER AOS DEPARTAMENTOS DO MUNICÍPIO DE SANTO INÁCIO/PR, INERENTES AO BOM FUNCIONAMENTO E MANUTENÇÃO DOS PRÉDIOS E INSTALAÇÕES PÚBLICAS.</t>
  </si>
  <si>
    <t>Unidade compradora: 15 - DIVISAO DE ENSINO
Local: Santo Inácio/PR
Órgão: MUNICIPIO DE SANTO INACIO
Id contratação PNCP: 76970375000146-1-000029/2026
Fonte: Equiplano Sistemas LTDA / Equiplano Sistemas 
Inexistente - Número compra: 13 - Pregão - Eletrônico</t>
  </si>
  <si>
    <t>Prefeitura Municipal de Piên</t>
  </si>
  <si>
    <t>Piên</t>
  </si>
  <si>
    <t xml:space="preserve">* Registro de preços * * Licitação Eletrônica * Registro de Preços para eventual contratação de empresa especializada em fornecimento de  divisórias, persianas, serviços de montagem e desmontagem de divisórias, serviços de reparos e lavação  de persianas, em atendimento as Secretarias Municipais. </t>
  </si>
  <si>
    <t>Unidade compradora: 201 - SECRETARIA DE ADMINISTRACAO
Local: Piên/PR
Órgão: MUNICIPIO DE PIEN
Id contratação PNCP: 76002666000140-1-000100/2026
Fonte: Equiplano Sistemas LTDA / Equiplano Sistemas 
 - Número compra: 25 - Pregão - Eletrônico</t>
  </si>
  <si>
    <t>Prefeitura Municipal de Prado Ferreira</t>
  </si>
  <si>
    <t>Prado Ferreira</t>
  </si>
  <si>
    <t>* Licitação Eletrônica * PRESTAÇÃO DE SERVIÇOS DE MANUTENÇÃO CORRETIVA E REPARO, INCLUSA A REPOSIÇÃO DE PEÇAS, EM EQUIPAMENTOS PERMANENTES DA UNIDADE DE SAÚDE DE PRADO FERREIRA * https://pncp.gov.br *</t>
  </si>
  <si>
    <t>Unidade compradora: 980874 - MUNICIPIO DE PRADO FERREIRA - PREFEITURA MUNICIPAL DE PRADO FERREIRA - PR
Local: Prado Ferreira/PR
Órgão: MUNICIPIO DE PRADO FERREIRA
Id contratação PNCP: 01613136000130-1-000008/2026
Fonte: Compras.gov.br
 - Dispensa
 - Licitação sujeita a confirmação pois não foi informado que trata-se de prorrogação.</t>
  </si>
  <si>
    <t>Prefeitura Municipal de Lunardelli</t>
  </si>
  <si>
    <t>Lunardelli</t>
  </si>
  <si>
    <t>* Licitação Eletrônica * [LICITANET] - CONTRATAÇÃO DE EMPRESA PARA EXECUÇÃO DE SERVIÇOS DE PAVIMENTAÇÃO DE ESTRADA VICINAL EM CBUQ, 8.040,00 M2, INCLUINDO SERVIÇOS DE TERRAPLANAGEM, BASE E SUB-BASE, REVESTIMENTO, SINALIZAÇÃO DE TRÂNSITO, DRENAGEM, ENSAIOS TECNOLÓGICOS E PLACA DE OBRA NA LOCALIDADE DO BAIRRO DO GUARETÁ, ESTRADA DO 22 NO MUNICÍPIO DE LUNARDELLI/PR, ATRAVÉS DO CONVÊNIO N. 236/2026 SECRETARIA DE ESTADO DAS CIDADES - SECID COM O PARANACIDADE</t>
  </si>
  <si>
    <t>Unidade compradora: 1738 - MUNICÍPIO DE LUNARDELLI/PR
Local: Lunardelli/PR
Órgão: MUNICIPIO DE LUNARDELLI
Id contratação PNCP: 78600491000107-1-000025/2026
Fonte: Licitanet Licitações Eletrônicas LTDA
 - Número compra: 05 - Concorrência - Eletrônica</t>
  </si>
  <si>
    <t>Prefeitura Municipal de Foz do Jordão</t>
  </si>
  <si>
    <t>Foz do Jordão</t>
  </si>
  <si>
    <t>* Licitação Eletrônica * CONTRATAÇÃO DE EMPRESA ESPECIALIZADA PARA FORNECIMENTO DE PEÇAS E PRESTAÇÃO DE SERVIÇOS DE MANUTENÇÃO CORRETIVA DE ELETRODOMÉSTICOS, ELETROELETRÔNICOS E OUTROS UTENSÍLIOS ELÉTRICOS PARA ATENDIMENTO DAS NECESSIDADES DE TODAS AS SECRETARIAS * https://bllcompras.com *</t>
  </si>
  <si>
    <t>LOCAL: https://bllcompras.com/
Nº PROC. ADM: 367/2026
 TIPO CONTRATO: REGISTRO DE PREÇO
 INÍCIO REC. PROPOSTA: 08/04/2026 08:00:00
 FIM REC. PROPOSTA: 23/04/2026 08:29:00
 INÍCIO DISPUTA: 23/04/2026 09:00:00
 CIDADE: FOZ DO JORDÃO
 FASE: PUBLICADO
 EXCLUSIVO ME: SIM
 EXCLUSIVO REGIONAL: NÃO
 MODO DE DISPUTA: ABERTO E FECHADO
 TIPO DE LANCE: MENOR LANCE
 FONE PROMOTOR: 4236398100
 E-MAIL PROMOTOR: projetos@fozdojordao.pr.gov.br
 CONDUTOR: ANDRESSA DA SILVA DE SOUZA
 AUTORIDADE: FRANCISCO CLEI DA SILVA
 INFORMACÕES ADICIONAIS: 
 VALOR ESTIMADO: R$395.086,69</t>
  </si>
  <si>
    <t>Prefeitura Municipal de Guaíra</t>
  </si>
  <si>
    <t>Guaíra</t>
  </si>
  <si>
    <t>* Licitação Eletrônica * Sistema de Registro de Preços SRP, para futuro e eventual fornecimento de peças e execução de serviços de mão-de-obra, a serem empregados na manutenção dos painéis e tacógrafos, dos veículos pertencentes a frota deste Município. * https://bllcompras.com *</t>
  </si>
  <si>
    <t>LOCAL: https://bllcompras.com/
Nº PROC. ADM: 099/2026
 TIPO CONTRATO: REGISTRO DE PREÇO
 INÍCIO REC. PROPOSTA: 08/04/2026 08:00:00
 FIM REC. PROPOSTA: 24/04/2026 08:00:00
 INÍCIO DISPUTA: 24/04/2026 09:00:00
 CIDADE: GUAÍRA
 FASE: PUBLICADO
 EXCLUSIVO ME: NÃO
 EXCLUSIVO REGIONAL: NÃO
 MODO DE DISPUTA: ABERTO E FECHADO
 TIPO DE LANCE: MAIOR DESCONTO
 FONE PROMOTOR: 4436429900
 E-MAIL PROMOTOR: compras@guaira.pr.gov.br
 CONDUTOR: GRAZIELA BARBOSA DE AZEVEDO
 AUTORIDADE: GILEADE GABRIEL OSTI
 INFORMACÕES ADICIONAIS: 
 VALOR ESTIMADO: R$95.025,50</t>
  </si>
  <si>
    <t>Prefeitura Municipal de Colorado</t>
  </si>
  <si>
    <t>Colorado</t>
  </si>
  <si>
    <t>* Licitação Eletrônica * AQUISIÇÃO DE MATERIAIS PERMANTENS PARA A ESTRUTURAÇÃO DOS CMEIS DO MUNICIPIO DE COLORADO, ATRAVÉS DA DELIBERAÇÃO 013/2025-CEDCA * https://bnccompras.com *</t>
  </si>
  <si>
    <t>LOCAL: https://bnccompras.com/
Nº PROC. ADM: 47/2026
 TIPO CONTRATO: REGISTRO DE PREÇO
 INÍCIO REC. PROPOSTA: 10/04/2026 23:59:00
 FIM REC. PROPOSTA: 29/04/2026 13:00:00
 INÍCIO DISPUTA: 29/04/2026 13:30:00
 CIDADE: COLORADO
 FASE: PUBLICADO
 EXCLUSIVO ME: SIM
 EXCLUSIVO REGIONAL: SIM
 MODO DE DISPUTA: ABERTO
 TIPO DE LANCE: MENOR LANCE
 FONE PROMOTOR: 4433211200
 E-MAIL PROMOTOR: licitacao@colorado.pr.gov.br
 CONDUTOR: JOSIMARY BARCELOS
 AUTORIDADE: ROSIMEIRE CHIQUIM
 VALOR ESTIMADO: R$49.240,19</t>
  </si>
  <si>
    <t>PE/90063/2026</t>
  </si>
  <si>
    <t>* Licitação Eletrônica * Aquisição de materiais para montar sistema de irrigação, para serem utilizados pela Secretaria de Agricultura, Pecuária e Abastecimento da Prefeitura Municipal de Ponta Grossa/PR, para melhor atender ao Programa Horta Comunitária</t>
  </si>
  <si>
    <t>Unidade compradora: 987777 - PREFEITURA MUNICIPAL DE PONTA GROSSA - PR
Local: Ponta Grossa/PR
Órgão: MUNICIPIO DE PONTA GROSSA
Id contratação PNCP: 76175884000187-1-000172/2026
Fonte: Compras.gov.br
 Para as respostas de esclarecimentos e impugnações deste edital acesse o link: https://cnetmobile.estaleiro.serpro.gov.br/comprasnet-web/public/landing?destino=quadro-informativo&amp;compra=98777705900632026 - Número compra: 90063 - Pregão - Eletrônico</t>
  </si>
  <si>
    <t>* Licitação Eletrônica * A CONTRATAÇÃO DE EMPRESA ESPECIALIZADA PARA AQUISIÇÃO, INSTALAÇÃO E SOLDAGEM DE GEOMEMBRANA LISA EM PEAD POLIETILENO DE ALTA DENSIDADE COM ESPESSURA DE 1,0 MM, COM FORNECIMENTO DE EQUIPAMENTOS, INSUMOS, MATERIAIS E MÃO DE OBRA ESPECIALIZADA PARA INSTALAÇÃO NO ATERRO MUNICIPAL DE FRANCISCO ALVES, DE ACORDO COM A NECESSIDADE DE SECRETARIA MUNICIPAL DE AGRICULTURA E MEIO AMBIENTE,  CONFORME MEMORIAL DESCRITIVO CONSTANTE NO ANEXO I DO REFERIDO EDITAL. * https://bllcompras.com *</t>
  </si>
  <si>
    <t>LOCAL: https://bllcompras.com/
Nº PROC. ADM: 032/2026
 TIPO CONTRATO: AQUISIÇÃO
 INÍCIO REC. PROPOSTA: 08/04/2026 08:00:00
 FIM REC. PROPOSTA: 24/04/2026 08:00:00
 INÍCIO DISPUTA: 24/04/2026 09:00:00
 CIDADE: FRANCISCO ALVES
 FASE: PUBLICADO
 EXCLUSIVO ME: NÃO
 EXCLUSIVO REGIONAL: NÃO
 MODO DE DISPUTA: ABERTO
 TIPO DE LANCE: MENOR LANCE
 FONE PROMOTOR: 4436438000
 E-MAIL PROMOTOR: pmfalicitacao@gmail.com
 CONDUTOR: DANIEL DOS SANTOS T. CHAMORRO
 AUTORIDADE: ALIRIO JOSE MISTURA
 INFORMACÕES ADICIONAIS: Favor, atentar-se a documentação exigida em Edital. Infelizmente o sistema nem sempre contempla especificamente cada uma delas, devendo na constatação de ausência de campo específico para upload, ser lançado em "Outros Documentos".
 VALOR ESTIMADO: R$77.280,00</t>
  </si>
  <si>
    <t>SURG-Companhia de Serviços de Urbanização de Guarapuava</t>
  </si>
  <si>
    <t>Guarapuava</t>
  </si>
  <si>
    <t>* Registro de preços * * Licitação Eletrônica * Registro de preços para aquisição de tampões em ferro fundido destinados à execução e manutenção de serviços de drenagem urbana</t>
  </si>
  <si>
    <t>Unidade compradora: 929391 - COMPANHIA DE SERV.URBANIZAÇÃO DE GUARAPUAVA
Local: Guarapuava/PR
Órgão: COMPANHIA DE SERV.URBANIZAÇÃO DE GUARAPUAVA
Id contratação PNCP: 75646273000107-1-000003/2026
Fonte: Compras.gov.br
 Para as respostas de esclarecimentos e impugnações deste edital acesse o link: https://cnetmobile.estaleiro.serpro.gov.br/comprasnet-web/public/landing?destino=quadro-informativo&amp;compra=92939105900032026 - Número compra: 90003 - Pregão - Eletrônico</t>
  </si>
  <si>
    <t>Prefeitura Municipal de Mariluz</t>
  </si>
  <si>
    <t>Mariluz</t>
  </si>
  <si>
    <t>* Licitação Eletrônica * Contratação de empresa especializada para fornecimento, instalação e adequação de equipamentos instalados, compreendendo climatização, gerador de energia, sistema de internet e rede de dados, sistema de chamada de enfermagem e gases medicinais, conforme condições, quantidades e exigências estabelecidas no Termo de Referência e demais elementos instrutores do edital, garantindo a integração, a segurança e a funcionalidade dos sistemas.</t>
  </si>
  <si>
    <t>Unidade compradora: 987689 - PREFEITURA MUNICIPAL DE MARILUZ - PR
Local: Mariluz/PR
Órgão: MUNICIPIO DE MARILUZ
Id contratação PNCP: 76404136000129-1-000018/2026
Fonte: Compras.gov.br
 Para as respostas de esclarecimentos e impugnações deste edital acesse o link: https://cnetmobile.estaleiro.serpro.gov.br/comprasnet-web/public/landing?destino=quadro-informativo&amp;compra=98768905900122026 - Número compra: 90012 - Pregão - Eletrônico</t>
  </si>
  <si>
    <t>* Registro de preços * * Licitação Eletrônica * Aquisição de mobiliário e equipamentos ergonômicos</t>
  </si>
  <si>
    <t>Unidade compradora: 987493 - PREFEITURA MUNICIPAL DE CASCAVEL - PR
Local: Cascavel/PR
Órgão: MUNICIPIO DE CASCAVEL
Id contratação PNCP: 76208867000107-1-000109/2026
Fonte: Compras.gov.br
Em caso de discordância existente entre as especificações deste objeto descritas no sistema da sessão pública e as especificações constantes deste Edital, prevalecerão as contidas no EDITAL Para as respostas de esclarecimentos e impugnações deste edital acesse o link: https://cnetmobile.estaleiro.serpro.gov.br/comprasnet-web/public/landing?destino=quadro-informativo&amp;compra=98749305900212026 - Número compra: 90021 - Pregão - Eletrônico</t>
  </si>
  <si>
    <t>Prefeitura Municipal de Salto do Lontra</t>
  </si>
  <si>
    <t>Salto do Lontra</t>
  </si>
  <si>
    <t>* Licitação Eletrônica * Registro de Preços para futuro e eventual fornecimento de materiais, equipamentos e insumos odontológicos para utilização junto aos consultórios das Unidades Básicas de Saúde, para atender às demandas da Secretaria Municipal de Saúde * https://bllcompras.com *</t>
  </si>
  <si>
    <t>LOCAL: https://bllcompras.com/
Nº PROC. ADM: 63/2026
 TIPO CONTRATO: REGISTRO DE PREÇO
 INÍCIO REC. PROPOSTA: 07/04/2026 15:00:00
 FIM REC. PROPOSTA: 27/04/2026 07:59:00
 INÍCIO DISPUTA: 27/04/2026 08:01:00
 CIDADE: SALTO DO LONTRA
 FASE: RECEPÇÃO DE PROPOSTAS
 EXCLUSIVO ME: NÃO
 EXCLUSIVO REGIONAL: NÃO
 MODO DE DISPUTA: ABERTO E FECHADO
 TIPO DE LANCE: MENOR LANCE
 FONE PROMOTOR: 4635381177
 E-MAIL PROMOTOR: licitacaosaltodolontra@gmail.com
 CONDUTOR: FABIANO ROMANI
 AUTORIDADE: FERNANDO ALBERTO CADORE
 INFORMACÕES ADICIONAIS: 
 VALOR ESTIMADO: R$668.534,35</t>
  </si>
  <si>
    <t>* Licitação Eletrônica * Fornecimento de material expediente jogos recreativos tecidos e aviamentos. * https://bllcompras.com *</t>
  </si>
  <si>
    <t>LOCAL: https://bllcompras.com/
Nº PROC. ADM: 038/2026
 TIPO CONTRATO: REGISTRO DE PREÇO
 INÍCIO REC. PROPOSTA: 09/04/2026 08:00:00
 FIM REC. PROPOSTA: 24/04/2026 08:00:00
 INÍCIO DISPUTA: 24/04/2026 09:00:00
 CIDADE: NOVA LONDRINA
 FASE: PUBLICADO
 EXCLUSIVO ME: SIM
 EXCLUSIVO REGIONAL: NÃO
 MODO DE DISPUTA: ABERTO
 TIPO DE LANCE: MENOR LANCE
 FONE PROMOTOR: 4434328500
 E-MAIL PROMOTOR: janaina@novalondrina.pr.gov.br
 CONDUTOR: JANAINA GOUVEIA
 AUTORIDADE: LUIZ GUSTAVO MAIOR BONO
 INFORMACÕES ADICIONAIS: Atender todas as exigências do edital, inclusive aos documentos de habilitação.
 VALOR ESTIMADO: R$31.462,83</t>
  </si>
  <si>
    <t>Prefeitura Municipal de Cafezal do Sul</t>
  </si>
  <si>
    <t>Cafezal do Sul</t>
  </si>
  <si>
    <t xml:space="preserve">Contratação de empresa especializada para prestação de serviços de assentamento de tubulações em PVC e concreto, executados por pedreiro, visando à manutenção, implantação e substituição de redes de drenagem pluvial no Município de Cafezal do Sul-PR. Eventuais interessados podem apresentar proposta de preço no prazo de 03 três dias úteis, oportunidade em que a Administração escolherá a mais vantajosa. </t>
  </si>
  <si>
    <t>Propostas deverão ser encaminhadas até às 17:00
horas do dia 10/04/2026.
O edital está disponível no seguinte link:
https://cafezaldosul.eloweb.net/portaltransparencia/1/licitaco
es
Os interessados em apresentar proposta, devem envia-las no
e-mail: licitacao@cafezaldosul.pr.gov.br e no ASSUNTO
DISPOR O NÚMERO DA DISPENSA.</t>
  </si>
  <si>
    <t>* Licitação Eletrônica * Construção de Farmácia Especial contendo: área de recepção e triagem, sala de espera, guichês de atendimento, 3 consultórios farmacêuticos, banheiros PCD, salas de armazenamento de medicamentos, coordenação, sala de reuniões, almoxarifado e arquivo, copa equipada, área para armários, vagas de estacionamento, acessos de veículos e pedestres e paisagismo; com execução de: serviços preliminares e administração de obra; movimento de terra, drenagem e águas</t>
  </si>
  <si>
    <t>Unidade compradora: 987481 - PREFEITURA MUNICIPAL DE CAMPO LARGO - PR
Local: Campo Largo/PR
Órgão: MUNICIPIO DE CAMPO LARGO
Id contratação PNCP: 76105618000188-1-000185/2026
Fonte: Compras.gov.br
 Para as respostas de esclarecimentos e impugnações deste edital acesse o link: https://cnetmobile.estaleiro.serpro.gov.br/comprasnet-web/public/landing?destino=quadro-informativo&amp;compra=98748103900062026 - Número compra: 90006 - Concorrência - Eletrônica</t>
  </si>
  <si>
    <t>* Licitação Eletrônica * Aquisição de gás de cozinha, recargas, vasilhames e outros materiais para suprir as demandas das diversas Secretarias do município de Assis Chateaubriand - PR * https://bllcompras.com *</t>
  </si>
  <si>
    <t>LOCAL: https://bllcompras.com/
Nº PROC. ADM: 1784/2026
 TIPO CONTRATO: REGISTRO DE PREÇO
 INÍCIO REC. PROPOSTA: 08/04/2026 13:30:00
 FIM REC. PROPOSTA: 24/04/2026 08:59:00
 INÍCIO DISPUTA: 24/04/2026 09:01:00
 CIDADE: ASSIS CHATEAUBRIAND
 FASE: PUBLICADO
 EXCLUSIVO ME: NÃO
 EXCLUSIVO REGIONAL: NÃO
 MODO DE DISPUTA: ABERTO
 TIPO DE LANCE: MENOR LANCE
 FONE PROMOTOR: 4435288404
 E-MAIL PROMOTOR: gabinete@assischateaubriand.pr.gov.br
 CONDUTOR: MARIA ÂNGELA DOS SANTOS
 AUTORIDADE: MARCEL HENRIQUE MICHELETTO
 INFORMACÕES ADICIONAIS: 
 VALOR ESTIMADO: R$512.283,07</t>
  </si>
  <si>
    <t>Prefeitura Municipal de Campo Mourão</t>
  </si>
  <si>
    <t>Campo Mourão</t>
  </si>
  <si>
    <t>PE/35/2026</t>
  </si>
  <si>
    <t>* Licitação Eletrônica * REGISTRO DE PREÇOS PARA AQUISIÇÃO DE MATERIAIS-MÉDICO-HOSPITALARES PARA O ATENDIMENTO DE DEMANDAS DAS UNIDADES DE SAÚDE VINCULADAS À SECRETARIA MUNICIPAL DE SAÚDE DE CAMPO MOURÃO</t>
  </si>
  <si>
    <t>Órgão: Município de Campo Mourão - Prefeitura Municipal de Campo Mourão - PR
				Processo: 117 / 2026 - 2850
				Edital: 35/2026
				Modalidade: Pregão
				Início de envio das propostas: 08-04-2026 ás 10:15
				Término de envio das propostas: 04/05/2026 ás 08:59		
				Início dos lances: 04/05/2026 ás 09:00</t>
  </si>
  <si>
    <t>Prefeitura Municipal de Pitanga</t>
  </si>
  <si>
    <t>Pitanga</t>
  </si>
  <si>
    <t>* Licitação Eletrônica * Registro de preços, pelo período de 12 doze meses, podendo ser prorrogado por igual período com renovação de saldo, visando ao fornecimento de concreto usinado, com resistência característica à compressão de 18 MPa e 25 MPa, com bombeamento incluso, considerando que o Pregão Eletrônico nº 10/2026 restou fracassado, em atendimento às Secretarias Municipais de Educação, Cultura e Esporte; Desenvolvimento Social e Cidadania; Obras, Infraestrutura e Urbanismo; Desenvolvimento Econômico Sustentáv * https://bnccompras.com *</t>
  </si>
  <si>
    <t>LOCAL: https://bnccompras.com/
Nº PROC. ADM: 112/2026
 TIPO CONTRATO: REGISTRO DE PREÇO
 INÍCIO REC. PROPOSTA: 08/04/2026 10:30:00
 FIM REC. PROPOSTA: 23/04/2026 13:00:00
 INÍCIO DISPUTA: 23/04/2026 14:01:00
 CIDADE: PITANGA
 FASE: RECEPÇÃO DE PROPOSTAS
 EXCLUSIVO ME: NÃO
 EXCLUSIVO REGIONAL: NÃO
 MODO DE DISPUTA: ABERTO
 TIPO DE LANCE: MENOR LANCE
 FONE PROMOTOR: 4236461122
 E-MAIL PROMOTOR: pitangalicita@gmail.com
 CONDUTOR: JEAN MARCEL GRANDE HUBER
 AUTORIDADE: DIRCEU MORAES
 VALOR ESTIMADO: R$164.020,07</t>
  </si>
  <si>
    <t>Prefeitura Municipal de Nova Esperança</t>
  </si>
  <si>
    <t>Nova Esperança</t>
  </si>
  <si>
    <t>PE/90033/2026</t>
  </si>
  <si>
    <t>* Registro de preços * * Licitação Eletrônica * Registro de preço para a contratação de pessoa jurídica para o fornecimento de MASSA ASFALTICA C.B.U.Q Concreto Asfáltico Betuminoso Usinado a Quente</t>
  </si>
  <si>
    <t>Unidade compradora: 987721 - MPR-PREFEITURA MUNICIPAL DE NOVA ESPERANÇA
Local: Nova Esperança/PR
Órgão: MUNICIPIO DE NOVA ESPERANCA
Id contratação PNCP: 75730994000109-1-000112/2026
Fonte: Compras.gov.br
Em caso de divergência entre as especificações do objeto descritas no sistema Compras Governamentais e aquelas  constantes neste Edital, prevalecerão as especificações estabelecidas neste Edital. Para as respostas de esclarecimentos e impugnações deste edital acesse o link: https://cnetmobile.estaleiro.serpro.gov.br/comprasnet-web/public/landing?destino=quadro-informativo&amp;compra=98772105900332026 - Número compra: 90033 - Pregão - Eletrônico</t>
  </si>
  <si>
    <t>PE/90032/2026</t>
  </si>
  <si>
    <t>* Registro de preços * * Licitação Eletrônica * Registro de preço para contratação de pessoa jurídica para o fornecimento de Concreto Asfáltico Usinado a Quente CAUQ</t>
  </si>
  <si>
    <t>Unidade compradora: 987721 - MPR-PREFEITURA MUNICIPAL DE NOVA ESPERANÇA
Local: Nova Esperança/PR
Órgão: MUNICIPIO DE NOVA ESPERANCA
Id contratação PNCP: 75730994000109-1-000110/2026
Fonte: Compras.gov.br
Em caso de divergência entre as especificações do objeto descritas no sistema Compras Governamentais e aquelas   constantes neste Edital, prevalecerão as especificações estabelecidas neste Edital.  Para as respostas de esclarecimentos e impugnações deste edital acesse o link: https://cnetmobile.estaleiro.serpro.gov.br/comprasnet-web/public/landing?destino=quadro-informativo&amp;compra=98772105900322026 - Número compra: 90032 - Pregão - Eletrônico</t>
  </si>
  <si>
    <t>Prefeitura Municipal de Engenheiro Beltrão</t>
  </si>
  <si>
    <t>Engenheiro Beltrão</t>
  </si>
  <si>
    <t>* Registro de preços * * Licitação Eletrônica * Registro de preços, pelo prazo de 12 meses, para futura e eventual aquisição de concreto usinado, para utilização nos serviços da Secretaria Municipal de Obras, Viação e Serviços Públicos</t>
  </si>
  <si>
    <t>Unidade compradora: 987547 - PREFEITURA MUNICIPAL ENGENHEIRO BELTRAO - PR
Local: Engenheiro Beltrão/PR
Órgão: MUNICIPIO DE ENGENHEIRO BELTRAO
Id contratação PNCP: 76950039000131-1-000094/2026
Fonte: Compras.gov.br
 Para as respostas de esclarecimentos e impugnações deste edital acesse o link: https://cnetmobile.estaleiro.serpro.gov.br/comprasnet-web/public/landing?destino=quadro-informativo&amp;compra=98754705900272026 - Número compra: 90027 - Pregão - Eletrônico</t>
  </si>
  <si>
    <t>PE/23/2026</t>
  </si>
  <si>
    <t>* Licitação Eletrônica * Registro de Preços, pelo período de 12 doze meses, para eventual aquisição de peças e materiais para manutenção de parquinhos infantis, academias da terceira idade e balanços adaptados, localizados nos espaços públicos na cidade de Toledo/PR, de responsabilidade da Secretaria Municipal de Infraestrutura Rural e Urbana e de Serviços Públicos.</t>
  </si>
  <si>
    <t>Unidade compradora: 702 - GAB DA SECRETARIA DE INFRAESTRUTURA RURAL E URBANA E DE SERVICOS
Local: Toledo/PR
Órgão: MUNICIPIO DE TOLEDO
Id contratação PNCP: 76205806000188-1-000051/2026
Fonte: Equiplano Sistemas LTDA / Equiplano Sistemas 
Inexistente - Número compra: 23 - Pregão - Eletrônico</t>
  </si>
  <si>
    <t>Prefeitura Municipal de Imbaú</t>
  </si>
  <si>
    <t>Imbaú</t>
  </si>
  <si>
    <t xml:space="preserve">* Licitação eletrônica * AQUISIÇÃO DE PEDRA BRITADA Nº 01, Nº 02 E Nº 03, PÓ DE PEDRA E PEDRA DE CASCALHO. </t>
  </si>
  <si>
    <t>Outras
Informações, bem como copias do edital completo, poderão ser obtidos
junto a plataforma www.canaldecomprasbrasil.com.br e ao Site
www.imbau.pr.gov.br, ícone Licitações e/ou a pasta Técnica, poderá ser
obtidos junta a Prefeitura Municipal, durante o horário de expediente no
endereço da Rua Francisco Siqueira Kortz, 471, São Cristóvão, Imbau /
Pr - Fone 42 3127-9403/3127-9404.</t>
  </si>
  <si>
    <t>* Registro de preços * * Licitação Eletrônica * Registro de preços visando à contratação de empresa para prestação de serviços de manutenção de equipamentos com fornecimento de peças e óleo,</t>
  </si>
  <si>
    <t>Unidade compradora: 929391 - COMPANHIA DE SERV.URBANIZAÇÃO DE GUARAPUAVA
Local: Guarapuava/PR
Órgão: COMPANHIA DE SERV.URBANIZAÇÃO DE GUARAPUAVA
Id contratação PNCP: 75646273000107-1-000002/2026
Fonte: Compras.gov.br
 Para as respostas de esclarecimentos e impugnações deste edital acesse o link: https://cnetmobile.estaleiro.serpro.gov.br/comprasnet-web/public/landing?destino=quadro-informativo&amp;compra=92939105900022026 - Número compra: 90002 - Pregão - Eletrônico</t>
  </si>
  <si>
    <t>Prefeitura Municipal de Sarandi</t>
  </si>
  <si>
    <t>Sarandi</t>
  </si>
  <si>
    <t>* Registro de preços * * Licitação Eletrônica * Registro de Preços para locação de tendas tipo piramidal, piso antiderrapante, grades de proteção e climatizadores portáteis, com transporte, montagem, manutenção e desmontagem, conforme demanda das Secretarias do Município de Sarandi/PR.</t>
  </si>
  <si>
    <t>Unidade compradora: 988461 - MPR-PREFEITURA MUNICIPAL DE SARANDI
Local: Sarandi/PR
Órgão: MUNICIPIO DE SARANDI
Id contratação PNCP: 78200482000110-1-000069/2026
Fonte: Compras.gov.br
 Para as respostas de esclarecimentos e impugnações deste edital acesse o link: https://cnetmobile.estaleiro.serpro.gov.br/comprasnet-web/public/landing?destino=quadro-informativo&amp;compra=98846105900142026 - Número compra: 90014 - Pregão - Eletrônico</t>
  </si>
  <si>
    <t>Prefeitura Municipal de Telêmaco Borba</t>
  </si>
  <si>
    <t>Telêmaco Borba</t>
  </si>
  <si>
    <t xml:space="preserve">* Licitação Eletrônica * Registro de preço para aquisição de artefatos de concreto. </t>
  </si>
  <si>
    <t>Unidade compradora: 987915 - PREFEITURA MUNUNICIPAL DE TELEMARCO BORBA-PR
Local: Telêmaco Borba/PR
Órgão: MUNICIPIO DE TELEMACO BORBA
Id contratação PNCP: 76170240000104-1-000074/2026
Fonte: Compras.gov.br
Prezados fornecedores, o código utilizado pelo catálogo de materiais/serviços do Siasgnet é gerado pelo sistema, portanto cumpre-se o exigido em edital, quanto as especificações de cada lote ou item. Para as respostas de esclarecimentos e impugnações deste edital acesse o link: https://cnetmobile.estaleiro.serpro.gov.br/comprasnet-web/public/landing?destino=quadro-informativo&amp;compra=98791505900152026 - Número compra: 90015 - Pregão - Eletrônico</t>
  </si>
  <si>
    <t>SM/94/2026</t>
  </si>
  <si>
    <t xml:space="preserve">* Licitação Eletrônica * EXECUCAO DE OBRA DE AMPLIACAO DO SISTEMA DE ESGOTAMENTO SANITARIO   SES NO MUNICIPIO DE MAMBORE, EVIDENCIANDO-SE  AMPLIACAO DA ESTACAO DE TRATAMENTO DE ESGOTO ETE,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</si>
  <si>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22/06/2026 </t>
  </si>
  <si>
    <t>Prefeitura Municipal de São João do Ivaí</t>
  </si>
  <si>
    <t>São João do Ivaí</t>
  </si>
  <si>
    <t>* Licitação Eletrônica * AQUISIÇÃO DE PORTÃO PARA INSTALAÇÃO NO CENTRO DE EVENTOS DO MUNÍCIPIO DE SÃO JOÃO DO IVAÍ-PR * https://bllcompras.com *</t>
  </si>
  <si>
    <t>LOCAL: https://bllcompras.com/
Nº PROC. ADM: 56/2026
 TIPO CONTRATO: AQUISIÇÃO
 INÍCIO REC. PROPOSTA: 09/04/2026 08:00:00
 FIM REC. PROPOSTA: 14/04/2026 08:00:00
 INÍCIO DISPUTA: 14/04/2026 08:30:00
 CIDADE: SÃO JOÃO DO IVAÍ
 FASE: PUBLICADO
 EXCLUSIVO ME: SIM
 EXCLUSIVO REGIONAL: NÃO
 MODO DE DISPUTA: ABERTO
 TIPO DE LANCE: MENOR LANCE
 FONE PROMOTOR: 4334778405
 E-MAIL PROMOTOR: licitacao@saojoaodoivai.pr.gov.br
 CONDUTOR: TARCISIO CAMILO EMIDIO DA SILVEIRA
 AUTORIDADE: FABIO HIDEK MIURA
 INFORMACÕES ADICIONAIS: 
 VALOR ESTIMADO: R$4.100,00</t>
  </si>
  <si>
    <t>Prefeitura Municipal de Rancho Alegre</t>
  </si>
  <si>
    <t>Rancho Alegre</t>
  </si>
  <si>
    <t>* Licitação Eletrônica * CONTRATAÇÃO DE EMPRESA ESPECIALIZADA PARA PRESTAÇÃO DE SERVIÇOS DE INSTALAÇÃO E AQUISIÇÃO DE MOTOBOMBAS, PARA ATENDER A DEMANDA DA SECRETARIA MUNICIPAL DE AGRICULTURA E DESENVOLVIMENTO ECONÔMICO. * https://bnccompras.com *</t>
  </si>
  <si>
    <t>LOCAL: https://bnccompras.com/
Nº PROC. ADM: 00000000000000001811
 TIPO CONTRATO: AQUISIÇÃO
 INÍCIO REC. PROPOSTA: 08/04/2026 16:00:00
 FIM REC. PROPOSTA: 15/04/2026 08:59:00
 INÍCIO DISPUTA: 15/04/2026 09:00:00
 CIDADE: RANCHO ALEGRE
 FASE: PUBLICADO
 EXCLUSIVO ME: SIM
 EXCLUSIVO REGIONAL: NÃO
 MODO DE DISPUTA: ABERTO
 TIPO DE LANCE: MENOR LANCE
 FONE PROMOTOR: 4335401311
 E-MAIL PROMOTOR: edmarprefeito@ranchoalegre.pr.gov.br
 CONDUTOR: LETICIA SANTANA MARQUES
 AUTORIDADE: FLÁVIO HENRIQUE PEREIRA
INFORMACÕES ADICIONAIS: SOMENTE SERÁ NECESSÁRIA A COMPROVAÇÃO DA EXEQUIBILIDADE SE, SOLICITADO PELO AGENTE DE CONTRATAÇÃO. VALOR ESTIMADO: R$34.691,38</t>
  </si>
  <si>
    <t>Prefeitura Municipal de Antonio Olinto</t>
  </si>
  <si>
    <t>Antônio Olinto</t>
  </si>
  <si>
    <t>* Licitação Eletrônica * CONTRATAÇÃO DE EMPRESA ESPECIALIZADA PARA REALIZAÇÃO DE SERVIÇO DE RETIRADA DE MOTOBOMBA E CANOS EXISTENTES E INSTALAÇÃO DE MOTOBOMBA DE 7,5 CV EM POÇO ARTESIANO DE 4 POLEGADAS COM PROFUNDIDADE ESTIMADA DE 90 METROS.  * https://bllcompras.com *</t>
  </si>
  <si>
    <t>LOCAL: https://bllcompras.com/
Nº PROC. ADM: 052/2026
 TIPO CONTRATO: AQUISIÇÃO
 INÍCIO REC. PROPOSTA: 09/04/2026 08:00:00
 FIM REC. PROPOSTA: 27/04/2026 08:00:00
 INÍCIO DISPUTA: 27/04/2026 08:30:00
 CIDADE: ANTÔNIO OLINTO
 FASE: PUBLICADO
 EXCLUSIVO ME: SIM
 EXCLUSIVO REGIONAL: NÃO
 MODO DE DISPUTA: ABERTO
 TIPO DE LANCE: MENOR LANCE
 FONE PROMOTOR: 4235331222
 E-MAIL PROMOTOR: licitacoes@antonioolinto.pr.gov.br
 CONDUTOR: LETÍCIA ZAIONCZ KOTRYK DE SOUZA
 AUTORIDADE: FABIO STANISZEWSKI MACHIAVELLI
 INFORMACÕES ADICIONAIS: 
 VALOR ESTIMADO: R$26.220,00</t>
  </si>
  <si>
    <t>PE/1160/2026</t>
  </si>
  <si>
    <t xml:space="preserve">* Licitação Eletrônica * AQUIS DE QUADROS DE COMANDO A1310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</si>
  <si>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24/04/2026 às 08:00 hs </t>
  </si>
  <si>
    <t>Prefeitura Municipal de Ipiranga</t>
  </si>
  <si>
    <t>Ipiranga</t>
  </si>
  <si>
    <t>* Licitação Eletrônica * Registro de preços para contratação de pessoa jurídica para fornecimento de mudas de flores, plantas, grama e materiais para revitalização e jardinagem, em atendimento à Secretaria Municipal de Desenvolvimento Urbano e Secretaria Municipal de Assistência Social.</t>
  </si>
  <si>
    <t>Data abertura: 2026-04-23
Situação: Aguardando Abertura</t>
  </si>
  <si>
    <t>Sistema Meteorológico do Paraná – SIMEPAR</t>
  </si>
  <si>
    <t>PE/42026/2026</t>
  </si>
  <si>
    <t>* Licitação Eletrônica * Contratação de empresa especializada para o fornecimento de 2 dois Sensor de Fluxo de Coluna dÁgua, destinado à medição de velocidade, direção e profundidade de corpos dágua, com tecnologia acústica Doppler, conforme especificações técnicas previstas no ANEXO I do edital.</t>
  </si>
  <si>
    <t>Unidade compradora: 000000001 - SISTEMA METEOROLOGICO DO PARANA - SIMEPAR
Local: Curitiba/PR
Órgão: SISTEMA DE TECNOLOGIA E MONIT AMBIENTAL DO PARANA
Id contratação PNCP: 19899556000190-1-000004/2026
Fonte: Licitações-E BB
 - Número compra: 0042026 - Pregão - Eletrônico</t>
  </si>
  <si>
    <t>PE/1161/2026</t>
  </si>
  <si>
    <t xml:space="preserve">* Licitação Eletrônica * AQUIS CONV. FREQ./MOTOR ELETRICO A1450 </t>
  </si>
  <si>
    <t>PE/1159/2026</t>
  </si>
  <si>
    <t xml:space="preserve">* Licitação Eletrônica * AQUIS TRANSF./QC/MOT.ELET./MOTORR. A1614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</si>
  <si>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23/04/2026 às 08:00 hs </t>
  </si>
  <si>
    <t>Prefeitura Municipal de Amaporã</t>
  </si>
  <si>
    <t>Amaporã</t>
  </si>
  <si>
    <t>* Licitação Eletrônica * A presente licitação tem por objeto a seleção de propostas, visando Registro de Preço, do tipo menor preço por item, para futuras e parceladas Aquisições de Oxigênio Medicinal com fornecimento de cilindros em regime de comodato, Regulador de Pressão e fluxômetro para oxigênio, para atender a demanda do Hospital Municipal de Amaporã, em atendimento a secretaria Municipal de Saúde. - ** www.comprasbr.com.br **</t>
  </si>
  <si>
    <t>Instituto de Desenvolvimento Rural do Paraná – IAPAR-EMATER</t>
  </si>
  <si>
    <t>Londrina</t>
  </si>
  <si>
    <t xml:space="preserve">* Licitação eletrônica * Descarte de aproximadamente 9.444,3 m3 nove mil, quatrocentos e quarenta e quatro vírgula três metros cúbicos de madeira de Pinus, na forma de árvore em pé. </t>
  </si>
  <si>
    <t>Local: IDR-Paraná - Estação de Pesquisa de Florestal, situada na BR 277,
km 236, a 9 km de Irati-PR, fone 42 3422-2574.
Data: 14/04/2026
Horário: 09:00 horas
Maiores informações poderão ser obtidas através do telefone 42 3422-
2574 - Estação de Pesquisa de Florestal Falar com Sr. Roger Milleo e
no site: www.transparência.pr.gov.br.</t>
  </si>
  <si>
    <t>SM/7004586363</t>
  </si>
  <si>
    <t>* Licitação Eletrônica * Aquisição de Válvula globo</t>
  </si>
  <si>
    <t>** Esta publicação está sendo informada para os estados SP e RJ onde será realizado o objeto da licitação. Informamos que a publicação oficial é do estado de RJ. **
Regiões: SP 
Inicio: 2026/04/24 - 17:00:00 Término dos lances: 2026/04/24 17:00:00</t>
  </si>
  <si>
    <t>SM/7004587363</t>
  </si>
  <si>
    <t>** Esta publicação está sendo informada para os estados SP e RJ onde será realizado o objeto da licitação. Informamos que a publicação oficial é do estado de RJ. **
Regiões: SP 
Inicio: 2026/04/16 - 17:00:00 Término dos lances: 2026/04/16 17:00:00</t>
  </si>
  <si>
    <t>SESI - Serviço Social da Indústria - SESI Barra do Piraí</t>
  </si>
  <si>
    <t>AQUISICAO DE MATERIAL DE CONSTRUCAO CIVIL, FERRAMENTAS E PINTURA, EM ATENDIMENTO AS UNIDADES DO SESI E DO SENAI [COMPARTILHADO-SENAI] https://portaldecompras.firjan.com.br/Portal/Mural.aspx</t>
  </si>
  <si>
    <t>Acesse site https://portaldecompras.firjan.com.br/Portal/Mural.aspx e consulte os detalhes. 
Em andamento
 Edital: SC 00044/2026
 Inicio dos lances: 07/04/2026 13:00:00 Término dos lances: 16/04/2026 09:30:00</t>
  </si>
  <si>
    <t>Serviço Autônomo de Água e Esgoto de Barra Mansa</t>
  </si>
  <si>
    <t>Barra Mansa</t>
  </si>
  <si>
    <t>* Licitação Eletrônica * RESERVATÓRIOS METÁLICOS * https://jornaldolicitante.com.br *</t>
  </si>
  <si>
    <t>Segmento: Armazenagem
 - Licitação sujeita a confirmação pois não foi informado que trata-se de prorrogação.</t>
  </si>
  <si>
    <t>Prefeitura Municipal de Carmo</t>
  </si>
  <si>
    <t>Carmo</t>
  </si>
  <si>
    <t>* Registro de preços * * Licitação Eletrônica * [LICITANET] - A presente Licitação tem por objeto o Registro de Preços para futura e eventual Contratação de Empresa para fornecimento de INSUMOS DE INFORMÁTICA, para atender as necessidades da Secretaria Municipal de Saúde do Município de Carmo-RJ, conforme a solicitação da Secretaria Municipal de Saúde/FMS do Município de Carmo-RJ, de acordo com as condições e especificações contidas no Anexo I Proposta e Preços e Anexo II Termo de Referência, partes integrantes deste Edital.</t>
  </si>
  <si>
    <t>Unidade compradora: 931 - MUNICÍPIO DE CARMO/RJ
Local: Carmo/RJ
Órgão: MUNICIPIO DE CARMO
Id contratação PNCP: 29128741000134-1-000018/2026
Fonte: Licitanet Licitações Eletrônicas LTDA
 - Número compra: 16 - Pregão - Eletrônico</t>
  </si>
  <si>
    <t xml:space="preserve">Instituto da Educacao do Municipio de Resende - Educar </t>
  </si>
  <si>
    <t>PE/101/2026</t>
  </si>
  <si>
    <t>* Licitação Eletrônica * RSD-020110/000671/2025- AQUISIÇÃO DE KITS DE ROBÓTICA para atender às necessidades da Secretaria Municipal de EDUCAÇÃO - EDUCAR. * https://bnccompras.com *</t>
  </si>
  <si>
    <t>LOCAL: https://bnccompras.com/
Nº PROC. ADM: RSD-020110/000671/2025
 TIPO CONTRATO: AQUISIÇÃO
 INÍCIO REC. PROPOSTA: 09/04/2026 08:00:00
 FIM REC. PROPOSTA: 28/04/2026 13:00:00
 INÍCIO DISPUTA: 28/04/2026 14:00:00
 CIDADE: RESENDE
 FASE: PUBLICADO
 EXCLUSIVO ME: SIM
 EXCLUSIVO REGIONAL: NÃO
 MODO DE DISPUTA: ABERTO
 TIPO DE LANCE: MENOR LANCE
 FONE PROMOTOR: 2433556000
 E-MAIL PROMOTOR: compras.educar@yhaoo.com.br
 CONDUTOR: REGINA GLÓRIA DO NASCIMENTO
 AUTORIDADE: ALICE BATISTA DE SOUZA BRANDAO
INFORMACÕES ADICIONAIS: Conforme consta no edital, informamos que a impugnação e o pedido de esclarecimentos deverão ser realizados por forma eletrônica, exclusivamente por meio do seguinte endereço eletrônico: esclare.impug.resende@gmail.com VALOR ESTIMADO: R$58.369,76</t>
  </si>
  <si>
    <t>Prefeitura Municipal de Itaguaí</t>
  </si>
  <si>
    <t>* Licitação Eletrônica * CONTRATAÇÃO DE EMPRESA PARA A EXECUÇÃO DE SERVIÇOS DE LIMPEZA E  DESASSOREAMENTO DE CÓRREGOS, VALAS, CANAIS E AFINS, E ESTABILIZAÇÃO DE  TALUDES, NO MUNICÍPIO DE ITAGUAÍ-RJ. para atendimento as necessidades da Secretaria  Municipal de Obras e Urbanismo.</t>
  </si>
  <si>
    <t>Unidade compradora: 546 - Prefeitura Municipal de Itaguaí - RJ
Local: Itaguaí/RJ
Órgão: MUNICIPIO DE ITAGUAI
Id contratação PNCP: 29138302000102-1-000059/2026
Fonte: AZ INFORMATICA LTDA
Condições e demais especificações no Edital e Termo de Referência. - Número compra: 027 - Pregão - Eletrônico</t>
  </si>
  <si>
    <t>MINISTÉRIO DA DEFESA - Comando da Marinha - Grupamento de Navios Hidroceanográficos</t>
  </si>
  <si>
    <t>PE/90006/2025</t>
  </si>
  <si>
    <t>* Registro de preços * * Licitação Eletrônica * Registro de preços para eventual prestação de serviços de manutenção e fornecimento de sobressalentes de dois motores diesel geradores VOLVO PENTA D13 B-E MG. Os referidos serviços e sobressalentes serão aplicados nos diesel geradores do sistema de geração de energia do Navio Hidroceanográfico Faroleiro Almirante Graça Aranha</t>
  </si>
  <si>
    <t>Unidade compradora: 751200 - GRUPAMENTO DE NAVIOS HIDROCEANOGRAFICOS
Local: Niterói/RJ
Órgão: COMANDO DA MARINHA
Id contratação PNCP: 00394502000144-1-014697/2025
Fonte: Compras.gov.br
 Para as respostas de esclarecimentos e impugnações deste edital acesse o link: https://cnetmobile.estaleiro.serpro.gov.br/comprasnet-web/public/landing?destino=quadro-informativo&amp;compra=75120005900062025 - Número compra: 90006 - Pregão - Eletrônico</t>
  </si>
  <si>
    <t>MINISTÉRIO DA DEFESA - Comando do Exército - Departamento de Educação e Cultura do Exército - Diretoria de Especialização e Extensão - Escola de Instrução Especializada</t>
  </si>
  <si>
    <t>* Registro de preços * * Licitação Eletrônica * Eventual aquisição de equipamentos de proteção individual e materiais específicos para o emprego da tropa de DQBRN.</t>
  </si>
  <si>
    <t>Unidade compradora: 160317 - ESCOLA DE INSTRUCAO ESPECIALIZADA/RJ
Local: Rio de Janeiro/RJ
Órgão: COMANDO DO EXERCITO
Id contratação PNCP: 00394452000103-1-007187/2026
Fonte: Compras.gov.br
 Para as respostas de esclarecimentos e impugnações deste edital acesse o link: https://cnetmobile.estaleiro.serpro.gov.br/comprasnet-web/public/landing?destino=quadro-informativo&amp;compra=16031705900022026 - Número compra: 90002 - Pregão - Eletrônico</t>
  </si>
  <si>
    <t>MINISTÉRIO DA SAÚDE - Fundação Oswaldo Cruz - Instituto de Tecnologia em Imunobiológicos Bio-Manguinhos</t>
  </si>
  <si>
    <t>PE/90050/2026</t>
  </si>
  <si>
    <t>* Licitação Eletrônica * Aquisição de Materiais das marcas BAUSCH +STROBEL, nos termos da tabela abaixo, conforme condições e exigências estabelecidas no Edital e Anexos</t>
  </si>
  <si>
    <t>Unidade compradora: 254445 - INSTITUTO DE TECNOLOGIA EM IMUNOBIOLOGICOS
Local: Rio de Janeiro/RJ
Órgão: FUNDACAO OSWALDO CRUZ
Id contratação PNCP: 33781055000135-1-000416/2026
Fonte: Compras.gov.br
 Para as respostas de esclarecimentos e impugnações deste edital acesse o link: https://cnetmobile.estaleiro.serpro.gov.br/comprasnet-web/public/landing?destino=quadro-informativo&amp;compra=25444505900502026 - Número compra: 90050 - Pregão - Eletrônico</t>
  </si>
  <si>
    <t>Fundo Municipal de Saúde de Governador Dix-Sept Rosado</t>
  </si>
  <si>
    <t>Governador Dix-Sept Rosado</t>
  </si>
  <si>
    <t>* Licitação Eletrônica * CONTRATAÇÃO DE PESSOA JURÍDICA VISANDO À AQUISIÇÃO DE MATERIAL MÉDICO HOSPITALAR EM ATENDIMENTO AS NECESSIDADES DA SECRETARIA MUNICIPAL DE SAÚDE DO MUNICÍPIO DE GOVERNADOR DIX-SEPT ROSADO/RN.</t>
  </si>
  <si>
    <t>Órgão: FUNDO MUNICIPAL DE SAÚDE - Prefeitura Municipal de Gov. Dix-Sept Rosado - RN
				Processo: 034/2026
				Edital: 004/2026
				Modalidade: Pregão
				Início de envio das propostas: 14-04-2026 ás 09:29
				Término de envio das propostas: 27/04/2026 ás 09:29		
				Início dos lances: 27/04/2026 ás 09:30</t>
  </si>
  <si>
    <t>Prefeitura Municipal de Currais Novos</t>
  </si>
  <si>
    <t>Currais Novos</t>
  </si>
  <si>
    <t>* Registro de preços * * Licitação Eletrônica * Aquisição de materiais de construção, hidráulicos, pinturas e ferramentas para atender às demandas da Prefeitura Municipal de Currais Novos</t>
  </si>
  <si>
    <t>Unidade compradora: 981661 - PREFEITURA MUNICIPAL DE CURRAIS NOVOS - RN
Local: Currais Novos/RN
Órgão: MUNICIPIO DE CURRAIS NOVOS
Id contratação PNCP: 08109126000100-1-000148/2026
Fonte: Compras.gov.br
De acordo com a Clausula 1.3 do Edital: "Em qualquer etapa do presente certame e durante a execução do fornecimento, havendo divergência entre a descrição de itens constante do Catálogo de Material CATMAT na "relação de itens" gerada automaticamente pelo Compras.gov.br ou na Nota de Empenho e a do Termo de Referência, prevalecerá sempre à descrição do Termo de Referência." Para as respostas de esclarecimentos e impugnações deste edital acesse o link: https://cnetmobile.estaleiro.serpro.gov.br/comprasnet-web/public/landing?destino=quadro-informativo&amp;compra=98166105900092026 - Número compra: 90009 - Pregão - Eletrônico</t>
  </si>
  <si>
    <t>* Registro de preços * * Licitação Eletrônica * AQUISIÇÃO DE MATERIAL DE CONSTRUÇÃO, HIDRÁULICOS, PINTURAS E FERRAMENTAS PARA ATENDER AS DEMANDAS DA PREFEITURA MUNICIPAL DE CURRAIS NOVOS.</t>
  </si>
  <si>
    <t xml:space="preserve">Unidade compradora: 08109126000100 - Prefeitura
Local: Currais Novos/RN
Órgão: MUNICIPIO DE CURRAIS NOVOS
Id contratação PNCP: 08109126000100-1-000149/2026
Fonte: TOP DOWN CONSULTORIA LTDA
 - Número compra: 90006 - Pregão - Eletrônico
 </t>
  </si>
  <si>
    <t>Prefeitura Municipal de São Miguel</t>
  </si>
  <si>
    <t>São Miguel</t>
  </si>
  <si>
    <t>* Licitação Eletrônica * Aquisição de manilhas para manutenção e melhorias em vias e sistema de drenagem do Município * https://jornaldolicitante.com.br *</t>
  </si>
  <si>
    <t>Prefeitura Municipal de Parelhas</t>
  </si>
  <si>
    <t>Parelhas</t>
  </si>
  <si>
    <t>* Registro de preços * * Licitação Eletrônica * AQUISIÇÃO DE MATERIAL HIDRÁULICO</t>
  </si>
  <si>
    <t>Unidade compradora: 08087561000181 - Prefeitura
Local: Parelhas/RN
Órgão: MUNICIPIO DE PARELHAS
Id contratação PNCP: 08087561000181-1-000090/2026
Fonte: TOP DOWN CONSULTORIA LTDA
 - Número compra: 7 - Pregão - Eletrônico</t>
  </si>
  <si>
    <t>Prefeitura Municipal de Tenente Laurentino Cruz</t>
  </si>
  <si>
    <t>Tenente Laurentino Cruz</t>
  </si>
  <si>
    <t>* Licitação Eletrônica * Contratação de empresa de engenharia especializada para a execução das obras de pavimentação e drenagem superficial de trechos de diversas ruas no município de Tenente Laurentino Cruz/RN, cito o Contrato de Repasse OGU nº 984104/2025 - Operação...</t>
  </si>
  <si>
    <t>Órgão: Prefeitura Municipal de Tenente Laurentino Cruz - Prefeitura Municipal de Tenente Laurentino Cruz - RN
				Processo: 2009000041
				Edital: 4/2026
				Modalidade: Concorrência
				Início de envio das propostas: 13-04-2026 ás 08:00
				Término de envio das propostas: 30/04/2026 ás 09:00		
				Início dos lances: 30/04/2026 ás 09:01</t>
  </si>
  <si>
    <t>Prefeitura Municipal de Ji-Paraná</t>
  </si>
  <si>
    <t>* Registro de preços * * Licitação Eletrônica * Registro de Preços visando a contratação de empresa especializada para o fornecimento de CIMENTO ASFÁLTICO DE PETRÓLEO A GRANEL CAP 50/70 e CIMENTO PORTLAND COMPOSTO CP II-32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</si>
  <si>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04092672000125-1-000163/2026
Fonte: Compras.gov.br
 Para as respostas de esclarecimentos e impugnações deste edital acesse o link: https://cnetmobile.estaleiro.serpro.gov.br/comprasnet-web/public/landing?destino=quadro-informativo&amp;compra=98000505900332026 - Número compra: 90033 - Pregão - Eletrônico</t>
  </si>
  <si>
    <t>PE/90034/2026</t>
  </si>
  <si>
    <t>* Registro de preços * * Licitação Eletrônica * Registro de Preços visando a contratação de empresa especializada para o fornecimento de BLOCO CERAMICO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</si>
  <si>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04092672000125-1-000164/2026
Fonte: Compras.gov.br
 Para as respostas de esclarecimentos e impugnações deste edital acesse o link: https://cnetmobile.estaleiro.serpro.gov.br/comprasnet-web/public/landing?destino=quadro-informativo&amp;compra=98000505900342026 - Número compra: 90034 - Pregão - Eletrônico</t>
  </si>
  <si>
    <t>Superintendência Estadual de Licitações - SUPEL</t>
  </si>
  <si>
    <t>CR/90251/2025</t>
  </si>
  <si>
    <t>* Licitação Eletrônica * Contratação de empresa especializada em engenharia para construção de galeria de concreto do tipo Bueiro Duplo de Concreto Celular, no curso d'água sem denominação, com dimensões 3,0m x 3,0m, contendo drenagem superficial e passeio, na rodovia RO-470, na estância turística de Ouro Preto do Oeste/RO, km 0,36, no trecho entre à BR-364 e o município de Vale do Paraíso.</t>
  </si>
  <si>
    <t>Unidade compradora: 925373 - SUPERINTEND.ESTAD.DE COMPRAS E LICITAÇÕES-RO
Local: Porto Velho/RO
Órgão: SUP. EST. DE LICITACAO
Id contratação PNCP: 04696490000163-1-000431/2025
Fonte: Compras.gov.br
Item 33.14. No caso de eventual divergência entre o Edital de Licitação e seus documentos complementares, prevalecerão as disposições do primeiro. Para as respostas de esclarecimentos e impugnações deste edital acesse o link: https://cnetmobile.estaleiro.serpro.gov.br/comprasnet-web/public/landing?destino=quadro-informativo&amp;compra=92537303902512025 - Número compra: 90251 - Concorrência - Eletrônica</t>
  </si>
  <si>
    <t>PE/90035/2026</t>
  </si>
  <si>
    <t>* Registro de preços * * Licitação Eletrônica * Registro de Preços visando a contratação de empresa especializada para o fornecimento de Emulsão Afáltica e Asfalto Diluido de Petróleo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</si>
  <si>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04092672000125-1-000165/2026
Fonte: Compras.gov.br
 Para as respostas de esclarecimentos e impugnações deste edital acesse o link: https://cnetmobile.estaleiro.serpro.gov.br/comprasnet-web/public/landing?destino=quadro-informativo&amp;compra=98000505900352026 - Número compra: 90035 - Pregão - Eletrônico</t>
  </si>
  <si>
    <t>* Licitação Eletrônica * Sistema de Registro de preços para futuras e eventuais aquisições de insumos, mudas frutíferas e materiais destinados ao incentivo à produção rural, visando atender as demandas da Secretaria Municipal de Meio Rural e Fomento Econômico, destinados ao apoio ao desenvolvimento da agricultura e ao fortalecimento da produção agropecuária no Município de Lavras do Sul/RS.</t>
  </si>
  <si>
    <t>Pregão Lei 14.133/21 Eletrônico</t>
  </si>
  <si>
    <t>Prefeitura Municipal de São Marcos</t>
  </si>
  <si>
    <t>São Marcos</t>
  </si>
  <si>
    <t>* Licitação Eletrônica * REGISTRO DE PREÇOS VISANDO A AQUISIÇÃO DE MATERIAIS DE INFORMÁTICA</t>
  </si>
  <si>
    <t>Edital : PE/5/2026
Modalidade : Pregão Eletrônico 14.133/21
Nº Licitação : 349427</t>
  </si>
  <si>
    <t>Prefeitura Municipal de Sentinela do Sul</t>
  </si>
  <si>
    <t>Sentinela do Sul</t>
  </si>
  <si>
    <t>* Licitação Eletrônica * REGISTRO DE PREÇOS PARA AQUISIÇÃO FUTURA E PARCELADA DE MATERIAL ELÉTRICO</t>
  </si>
  <si>
    <t>Órgão: Prefeitura Municipal de Sentinela do Sul - Prefeitura Municipal de Sentinela do Sul - RS
				Processo: 334
				Edital: 11/2026
				Modalidade: Pregão para Registro de Preço
				Início de envio das propostas: 07-04-2026 ás 15:45
				Término de envio das propostas: 17/04/2026 ás 15:40		
				Início dos lances: 17/04/2026 ás 15:41</t>
  </si>
  <si>
    <t>Prefeitura Municipal de Sertão Santana</t>
  </si>
  <si>
    <t>Sertão Santana</t>
  </si>
  <si>
    <t>* Licitação Eletrônica * AQUISIÇÃO DE MATERIAL DE LIMPEZA, HIGIENE E COPA/COZINHA PARA USO NAS SECRETARIAS MUNICIPAIS CONFORME ETP, TR E RELAÇÃO DE ITENS EM ANEXO.</t>
  </si>
  <si>
    <t>Órgão: Município de Sertão Santana - Prefeitura Municipal de Sertão Santana - RS
				Processo: 12/2026
				Edital: 4/2026
				Modalidade: Pregão para Registro de Preço
				Início de envio das propostas: 08-04-2026 ás 09:00
				Término de envio das propostas: 22/04/2026 ás 08:30		
				Início dos lances: 22/04/2026 ás 09:00</t>
  </si>
  <si>
    <t>PE/41/2026</t>
  </si>
  <si>
    <t>* Registro de preços * * Licitação Eletrônica * REGISTRO DE PREÇOS PARA AQUISIÇÃO DE MATERIAL ELÉTRICO - SMOSU - SOL. 160057 Portal de Compras Públicas</t>
  </si>
  <si>
    <t>Unidade compradora: 1 - Prefeitura Municipal de Esteio
Local: Esteio/RS
Órgão: MUNICIPIO DE ESTEIO
Id contratação PNCP: 88150495000186-1-000101/2026
Fonte: MUNICIPIO DE ESTEIO
 - Número compra: 41 - Pregão - Eletrônico</t>
  </si>
  <si>
    <t>Prefeitura Municipal de Almirante Tamandaré do Sul</t>
  </si>
  <si>
    <t>Almirante Tamandaré do Sul</t>
  </si>
  <si>
    <t>* Licitação Eletrônica * AQUISIÇÃO DE 01 UM KIT DE MOTOR NOVO, DE PRIMEIRO USO, MARCA CUMMINS, MODELO ISBE 5.9L, COM POTÊNCIA DE 275 CV, PADRÃO DE EMISSÕES P5-1.1, EM MEDIDA STANDARD STD, CONFORME ESPECIFICAÇÕES ORIGINAL DE FÁBRICA, DESTINADO À SUBSTITUIÇÃO INTEGRAL DO CONJUNTO MOTRIZ DO CAMINHÃO FORD CARGO C2628, INTEGRANTE DA FROTA DE VEÍCULOS PESADOS DA SECRETARIA MUNICIPAL DE OBRAS, SERVIÇOS URBANOS E TRÂNSITO DO MUNICÍPIO DE ALMIRANTE TAMANDARÉ SUL/RS.</t>
  </si>
  <si>
    <t>Unidade compradora: 6383 - Prefeitura Municipal de Almirante Tamandaré do Sul
Local: Almirante Tamandaré do Sul/RS
Órgão: MUNICIPIO DE ALMIRANTE TAMANDARE DO SUL
Id contratação PNCP: 04215782000137-1-000048/2026
Fonte: CITTÀ INFORMÁTICA LTDA
 - Número compra: 9 - Pregão - Eletrônico</t>
  </si>
  <si>
    <t>Prefeitura Municipal de Doutor Ricardo</t>
  </si>
  <si>
    <t>Doutor Ricardo</t>
  </si>
  <si>
    <t>* Licitação Eletrônica * CONTRATAÇÃO DE EMPRESA ESPECIALIZADA PARA A EXECUÇÃO DE OBRAS E SERVIÇOS DE ENGENHARIA, COM FORNECIMENTO DE MATERIAIS E MÃO DE OBRA, DESTINADOS À ETAPA 02 DA OBRA DE INFRAESTRUTURA DE ACESSO À ORLA DA LAGOA ALBINO STIEVEN, COMPREENDENDO A CONSTRUÇÃO DE PRAÇA ESPORTIVA COMPOSTA POR ESTACIONAMENTO, PISTA DE CAMINHADA E QUADRA DE VÔLEI DE AREIA, TOTALIZANDO UMA ÁREA DE INTERVENÇÃO DE 5.500,60 M², CONFORME ESPECIFICAÇÕES TÉCNICAS CONSTANTES NO PROJETO BÁSICO, PLANILHA ORÇAMENTÁRIA, MEMORIAL DESCRITIVO E DEMAIS DOCUMENTOS TÉCNICOS QUE INTEGRAM O PROCESSO ADMINISTRATIVO, ESTANDO A EXECUÇÃO DO OBJETO VINCULADA AO CONVÊNIO FPE Nº 5580/2024.</t>
  </si>
  <si>
    <t>Concorrência Lei 14.133/21 Eletrônica</t>
  </si>
  <si>
    <t>Prefeitura Municipal de Parobé</t>
  </si>
  <si>
    <t>Parobé</t>
  </si>
  <si>
    <t>* Licitação Eletrônica * O objeto da presente licitação é a empreitada por preço unitário para execução de obras complementares em 20 vinte unidades habitacionais, consistentes na implantação de sistemas individuais de tratamento de esgoto e demais infraestruturas...</t>
  </si>
  <si>
    <t>Órgão: Prefeitura Municipal de Parobé - Prefeitura Municipal de Parobé - RS
				Processo: 2060/2026
				Edital: 2/2026
				Modalidade: Concorrência
				Início de envio das propostas: 07-04-2026 ás 17:00
				Término de envio das propostas: 23/04/2026 ás 07:59		
				Início dos lances: 23/04/2026 ás 08:00</t>
  </si>
  <si>
    <t>Prefeitura Municipal de Nova Santa Rita</t>
  </si>
  <si>
    <t>Nova Santa Rita</t>
  </si>
  <si>
    <t>* Licitação Eletrônica * contratação de empresa especializada para fornecimento de EQUIPAMENTOS PARA ESTRUTURAÇÃO DA OFICINA DA SECRETARIA MUNICIPAL DE AGRICULTURA</t>
  </si>
  <si>
    <t>Edital : PE/17/2026
Modalidade : Pregão Eletrônico 14.133/21
Nº Licitação : 349442</t>
  </si>
  <si>
    <t>Prefeitura Municipal de Maratá</t>
  </si>
  <si>
    <t>Maratá</t>
  </si>
  <si>
    <t>* Licitação Eletrônica * Contratação de empresa especializada para a prestação de serviços de perfuração e construção de um poço tubular composto por
motobomba d'água submersa e acessórios, bem como a outorga e/ou tamponamento, destinado ao abastecimento de água para consumo...</t>
  </si>
  <si>
    <t>Órgão: Prefeitura Municipal de Maratá - Prefeitura Municipal de Maratá - RS
				Processo: 497
				Edital: 002/2026
				Modalidade: Pregão
				Início de envio das propostas: 08-04-2026 ás 08:00
				Término de envio das propostas: 24/04/2026 ás 08:59		
				Início dos lances: 24/04/2026 ás 09:00</t>
  </si>
  <si>
    <t>DL/263/2026</t>
  </si>
  <si>
    <t>Edital : DL/263/2026
Modalidade : Dispensa eletrônica com disputa
Nº Licitação : 349471</t>
  </si>
  <si>
    <t>Prefeitura Municipal de Barão do Triunfo</t>
  </si>
  <si>
    <t>Barão do Triunfo</t>
  </si>
  <si>
    <t>* Licitação Eletrônica * REGISTRO DE PREÇOS PARA AQUISIÇÃO DE PINO BOLA, PORCA CASTELADA PARA PINO BOLA, CINTA CATRACA E PREGOS</t>
  </si>
  <si>
    <t>https://e-gov.betha.com.br/transparencia/01037-108/main.faces</t>
  </si>
  <si>
    <t>MINISTÉRIO DA DEFESA - Comando do Exército - Comando Militar do Sul - 3ªDivisão de Exército - 1ªBrigada de Cavalaria Mecanizada - 19ºGrupo de Artilharia de Campanha</t>
  </si>
  <si>
    <t>Santiago</t>
  </si>
  <si>
    <t>* Registro de preços * * Licitação Eletrônica * Contratação de serviço de limpeza de reservatório de água e fossa séptica, em prol do 19 GAC e Unidades do GCALC da 1ª Bda C Mec.</t>
  </si>
  <si>
    <t>Unidade compradora: 160420 - 19 GRUPO DE ARTILHARIA DE CAMPANHA/RS
Local: Santiago/RS
Órgão: COMANDO DO EXERCITO
Id contratação PNCP: 00394452000103-1-007184/2026
Fonte: Compras.gov.br
 Para as respostas de esclarecimentos e impugnações deste edital acesse o link: https://cnetmobile.estaleiro.serpro.gov.br/comprasnet-web/public/landing?destino=quadro-informativo&amp;compra=16042005900022026 - Número compra: 90002 - Pregão - Eletrônico</t>
  </si>
  <si>
    <t>* Licitação Eletrônica * Registro de Preços para futuras Aquisições parceladas de Tubos e Calhas de Concreto</t>
  </si>
  <si>
    <t>Edital : PE/28/2026
Modalidade : Pregão Eletrônico 14.133/21
Nº Licitação : 349457</t>
  </si>
  <si>
    <t>DEMAE-Departamento Municipal de Água e Esgotos de Porto Alegre</t>
  </si>
  <si>
    <t>* Licitação Eletrônica * Rolamentos, retentores e adesivo para rolamentos</t>
  </si>
  <si>
    <t>Órgão: Gerência de Licitações e Contratos - Departamento Municipal de Água e Esgoto de Porto Alegre - Dmae - RS
				Processo: 26100000026849
				Edital: 22/2026
				Modalidade: Pregão
				Início de envio das propostas: 07-04-2026 ás 17:00
				Término de envio das propostas: 17/04/2026 ás 08:29		
				Início dos lances: 17/04/2026 ás 08:30</t>
  </si>
  <si>
    <t>Prefeitura Municipal de Nonoai</t>
  </si>
  <si>
    <t>Nonoai</t>
  </si>
  <si>
    <t>* Licitação Eletrônica * Contratação de empresa especializada para a aquisição de 09 nove unidades de reservatórios de água em fibra com capacidade de 10.000 litros, com tampa, atendendo às necessidades da Secretaria Municipal de Agricultura, de acordo com o Convênio FPE nº...</t>
  </si>
  <si>
    <t>Órgão: Prefeitura Municipal de Nonoai - Prefeitura Municipal de Nonoai - RS
				Processo: 018/2026
				Edital: 004/2026
				Modalidade: Pregão
				Início de envio das propostas: 13-04-2026 ás 08:59
				Término de envio das propostas: 24/04/2026 ás 08:59		
				Início dos lances: 24/04/2026 ás 09:00</t>
  </si>
  <si>
    <t>DL/259/2026</t>
  </si>
  <si>
    <t>AQUISIÇÃO DE BENS DAS FAMÍLIAS:
0350-EQUIPAMENTOS/MATERIAIS/ACESSORIOS P/USO COMERCIAL/INDUSTRIAL;</t>
  </si>
  <si>
    <t>Edital : DL/259/2026
Modalidade : Dispensa eletrônica com disputa
Nº Licitação : 349417</t>
  </si>
  <si>
    <t>Secretaria de Logística e Transportes - SELT</t>
  </si>
  <si>
    <t>DL/251/2026</t>
  </si>
  <si>
    <t>Edital : DL/251/2026
Modalidade : Dispensa eletrônica com disputa
Nº Licitação : 349378</t>
  </si>
  <si>
    <t>Prefeitura Municipal de Travesseiro</t>
  </si>
  <si>
    <t>Travesseiro</t>
  </si>
  <si>
    <t>* Licitação eletrônica * Aquisição de materiais de construção [SRP], menor preço por item.</t>
  </si>
  <si>
    <t>Edital: www.travesseiro.rs.gov.br. Inf.: 51 3759-1122, licita@travesseiro.rs.gov.br.</t>
  </si>
  <si>
    <t>Prefeitura Municipal de Osório</t>
  </si>
  <si>
    <t>CR/8/2026</t>
  </si>
  <si>
    <t xml:space="preserve"> Constitui objeto da presente licitação a prestação de serviços de engenharia para EXECUÇÃO DE OBRAS DE PAVIMENTAÇÃO NA ESTRADA MARIA ISABEL DA CONCEIÇÃO ESTRADA DA GOIABEIRA, no trecho compreendido entre o termino da pavimentação asfáltica existente e o Restaurante Parrilla da Montanha, em Osório/RS, contemplando os serviços de terraplenagem, drenagem, pavimentação asfáltica e sinalização viária, a serem executados em regime de empreitada por preço UNITÁRIO, conforme condições, quantidades e especificações técnicas detalhadas no Memorial Descritivo e demais peças técnicas.</t>
  </si>
  <si>
    <t>Unidade compradora: 06030 - UNIDADE DE MANUTENÇÃO
Local: Osório/RS
Órgão: MUNICIPIO DE OSORIO
Id contratação PNCP: 88814181000130-1-000194/2026
Fonte: IPM Sistemas
 - Número compra: CCE 8 - Concorrência - Eletrônica</t>
  </si>
  <si>
    <t>Prefeitura Municipal de Pinheirinho do Vale</t>
  </si>
  <si>
    <t>Pinheirinho do Vale</t>
  </si>
  <si>
    <t>* Licitação Eletrônica * Constitui objeto do presente processo licitatório a contratação de empresa especializada para o fornecimento e a instalação, de reservatórios/cisternas para armazenamento de água, conforme o Processo nº 25/1300-0004128-3 - FPE nº 2735/2025, firmado entre este Município e a Secretaria da Agricultura, Pecuária, Produção Sustentável e Irrigação, de acordo com as especificações técnicas constantes no Edital e seus anexos. * https://bllcompras.com *</t>
  </si>
  <si>
    <t>LOCAL: https://bllcompras.com/
Nº PROC. ADM: 040/2026
 TIPO CONTRATO: AQUISIÇÃO
 INÍCIO REC. PROPOSTA: 07/04/2026 17:00:00
 FIM REC. PROPOSTA: 29/04/2026 08:59:00
 INÍCIO DISPUTA: 29/04/2026 09:00:00
 CIDADE: PINHEIRINHO DO VALE
 FASE: PUBLICADO
 EXCLUSIVO ME: NÃO
 EXCLUSIVO REGIONAL: NÃO
 MODO DE DISPUTA: ABERTO
 TIPO DE LANCE: MENOR LANCE
 FONE PROMOTOR: 5537921102
 E-MAIL PROMOTOR: pinheirinhodovaleadm@gmail.com
 CONDUTOR: RONALDO ANTONIO ZIMMER
 AUTORIDADE: ELTON TATTO
 INFORMACÕES ADICIONAIS: É vedada a subcontratação total do objeto, ficando autorizada a subcontratação parcial, exclusivamente em relação aos serviços de escavação, permanecendo, contudo, sob a exclusiva responsabilidade da licitante, a responsabilidade pelos serviços executados
 VALOR ESTIMADO: R$77.711,32</t>
  </si>
  <si>
    <t>Prefeitura Municipal de Gravataí</t>
  </si>
  <si>
    <t>Gravataí</t>
  </si>
  <si>
    <t>PE/51/2026</t>
  </si>
  <si>
    <t>* Licitação Eletrônica * Aquisição de materiais hospitalares - SRP</t>
  </si>
  <si>
    <t>Órgão: Departamento de Licitações e Contratos - Prefeitura Municipal de Gravataí - RS
				Processo: 51/2026
				Edital: 51/2026
				Modalidade: Pregão para Registro de Preço
				Início de envio das propostas: 07-04-2026 ás 14:15
				Término de envio das propostas: 23/04/2026 ás 08:59		
				Início dos lances: 23/04/2026 ás 09:00</t>
  </si>
  <si>
    <t>Prefeitura Municipal de Alvorada</t>
  </si>
  <si>
    <t>Alvorada</t>
  </si>
  <si>
    <t>Contratação de empresa especializada e devidamente habilitada para o fornecimento de saibro natural, sem aplicação. * www.portaldecompraspublicas.com.br *</t>
  </si>
  <si>
    <t>Órgão: Departamento Geral de Compras, Licitações e Contratos - Prefeitura Municipal de Alvorada - RS
				Processo: 13913/2026
				Edital: 18/2026
				Modalidade: Dispensa
				Início de envio das propostas: 08-04-2026 ás 10:00
				Término de envio das propostas: 14/04/2026 ás 08:59		
				Início dos lances: 14/04/2026 ás 09:00</t>
  </si>
  <si>
    <t>Prefeitura Municipal de Mata</t>
  </si>
  <si>
    <t>Mata</t>
  </si>
  <si>
    <t>* Licitação Eletrônica * CONTRATAÇÃO DE EMPRESA ESPECIALIZADA PARA A EXECUÇÃO DA PAVIMENTAÇÃO DA RUA DO SERTÃO  MATA/RS  ABRANGENDO TERRAPLENAGEM, DRENAGEM PLUVIAL, REGULARIZAÇÃO E COMPACTAÇÃO DO SUBLEITO, EXECUÇÃO DE SUB-BASE E BASE GRANULAR.</t>
  </si>
  <si>
    <t>Órgão: PREFEITURA MUNICIPAL DE MATA - Prefeitura Municipal de Mata - RS
				Processo: 40/2026
				Edital: 2/2026
				Modalidade: Concorrência
				Início de envio das propostas: 08-04-2026 ás 09:00
				Término de envio das propostas: 15/05/2026 ás 08:59		
				Início dos lances: 15/05/2026 ás 09:00</t>
  </si>
  <si>
    <t>Consórcio Intermunicipal de Desenvolvimento Sustentável da Serra Gaúcha</t>
  </si>
  <si>
    <t>Garibaldi</t>
  </si>
  <si>
    <t>* Licitação Eletrônica * Aquisição de MATERIAL DE USO AMBULATORIAL E HOSPITALAR, para atender às necessidades demandadas pelas secretarias de saúde dos municípios consorciados ao CP - CISGA.</t>
  </si>
  <si>
    <t>Edital : PE/5/2026
Modalidade : Pregão Eletrônico 14.133/21
Nº Licitação : 349312</t>
  </si>
  <si>
    <t>Prefeitura Municipal de Rodeio Bonito</t>
  </si>
  <si>
    <t>Rodeio Bonito</t>
  </si>
  <si>
    <t>EXERCÍCIO: 2026 ASSUNTO: PREGÃO PRESENCIAL N 12/2026PROCESSO ADMINISTRATIVO DE LICITAÇÃO: N 33/2026OBJETO: REGISTRO DE PREÇO PARA FORNECIMENTO EVENTUAL E FUTURO, DE FORMA PARCELADA, DE TUBOS DE CONCRETO PARA MANUTENÇÃO E CONSTRUÇÃO DE SISTEMAS DE DRENAGENS, URBANOS E RURAIS, NO MUNICÍPIO DE RODEIO BONITO/RS, conforme condições e exigências estabelecidas no Termo de Referência e Estudo Técnico Preliminar.</t>
  </si>
  <si>
    <t>Unidade compradora: 1 - PREFEITURA MUN RODEIO BONITO
Local: Rodeio Bonito/RS
Órgão: MUNICIPIO DE RODEIO BONITO
Id contratação PNCP: 87613204000186-1-000034/2026
Fonte: digifred sistemas de informação ltda
 - Número compra: 12 - Pregão - Presencial</t>
  </si>
  <si>
    <t>Prefeitura Municipal de Farroupilha</t>
  </si>
  <si>
    <t>Farroupilha</t>
  </si>
  <si>
    <t>PE/38/2026</t>
  </si>
  <si>
    <t>* Registro de preços * * Licitação Eletrônica * O objeto da presente licitação é a escolha da proposta mais vantajosa, pelo sistema de registro de preços, de contratação de empresa para manutenção dos passeios e vias públicas,  para eventual e futura aquisição.</t>
  </si>
  <si>
    <t>Unidade compradora: 05001 - Secretaria de Obras e Trânsito
Local: Farroupilha/RS
Órgão: MUNICIPIO DE FARROUPILHA
Id contratação PNCP: 89848949000150-1-000427/2026
Fonte: IPM Sistemas
 - Número compra: PCE 38 - Pregão - Eletrônico</t>
  </si>
  <si>
    <t>Prefeitura Municipal de Sede Nova</t>
  </si>
  <si>
    <t>Sede Nova</t>
  </si>
  <si>
    <t>* Licitação Eletrônica * AQUISIÇÃO DE MATERIAIS UTILIZADOS NA MANUTENÇAO DA ILUMINAÇÃO PÚBLICA DO MUNICIPIO DE SEDE NOVA. * https://bllcompras.com *</t>
  </si>
  <si>
    <t>LOCAL: https://bllcompras.com/
Nº PROC. ADM: 070/2026
 TIPO CONTRATO: REGISTRO DE PREÇO
 INÍCIO REC. PROPOSTA: 07/04/2026 15:00:00
 FIM REC. PROPOSTA: 16/04/2026 09:00:00
 INÍCIO DISPUTA: 16/04/2026 09:05:00
 CIDADE: SEDE NOVA
 FASE: RECEPÇÃO DE PROPOSTAS
 EXCLUSIVO ME: NÃO
 EXCLUSIVO REGIONAL: NÃO
 MODO DE DISPUTA: ABERTO
 TIPO DE LANCE: MENOR LANCE
 FONE PROMOTOR: 5535261045
 E-MAIL PROMOTOR: adm@sedenova.rs.gov.br
 CONDUTOR: NEIMAR PEDRO W. DILL
 AUTORIDADE: PEDRO AMAURI WERNER
 INFORMACÕES ADICIONAIS: AQUISIÇÃO DE MATERIAIS UTILIZADOS NA MANUTENÇAO DA ILUMINAÇÃO PÚBLICA DO MUNICIPIO DE SEDE NOVA.
 VALOR ESTIMADO: R$164.760,00</t>
  </si>
  <si>
    <t>Prefeitura Municipal de Nova Petrópolis</t>
  </si>
  <si>
    <t>Nova Petrópolis</t>
  </si>
  <si>
    <t>PE/33/2026</t>
  </si>
  <si>
    <t>* Licitação Eletrônica * Aquisição de materiais e equipamentos elétricos destinados à instalação, manutenção e ampliação da iluminação pública e da infraestrutura elétrica do Município.</t>
  </si>
  <si>
    <t>Órgão: Prefeitura Municipal de Nova Petrópolis - Prefeitura Municipal de Nova Petrópolis - RS
				Processo: 128
				Edital: 33/2026
				Modalidade: Pregão
				Início de envio das propostas: 08-04-2026 ás 11:00
				Término de envio das propostas: 23/04/2026 ás 08:59		
				Início dos lances: 23/04/2026 ás 09:00</t>
  </si>
  <si>
    <t>Prefeitura Municipal de Nova Hartz</t>
  </si>
  <si>
    <t>Nova Hartz</t>
  </si>
  <si>
    <t>Contratação de empresa especializada para execução de obra de infraestrutura, instalações de dispositivos de drenagem, serviços de terraplanagem e pavimentação com blocos de concreto intertravados no Beco Alfredo Haag, localidade Arroio da Bica, bairro Vila Nova, Nova Hartz-RS, de acordo com o memorial descritivo, planilha orçamentária, cronograma, planilha de composição de BDI e projetos que constituem anexos deste edital.</t>
  </si>
  <si>
    <t>Maiores informações junto ao Departamento Licitações, Contratos, Convênios e Prestação de Contas do Município através do telefone 513565-1111 no horário das 13 às 18 horas de segunda a quinta feira e na sexta feira das 08 às 13 horas. Edital disponível no site: www.novahartz.rs.gov.br. Publicado no Diário Oficial dos Municípios do Estado do Rio Grande do Sul em 02/04/2026.</t>
  </si>
  <si>
    <t>Departamento Autônomo de Estradas de Rodagem - 3º BRBM</t>
  </si>
  <si>
    <t>Bento Gonçalves</t>
  </si>
  <si>
    <t>DL/9001/2026</t>
  </si>
  <si>
    <t>CONTRATAÇÃO DE EMPRESA ESPECIALIZADA PARA REALIZAR FORNECIMENTO DE SERVIÇO E MATERIAL PARA A CONFECÇÃO E INSTALAÇÃO DE GRADES PARA AS PORTAS E JANELAS DA 3ªCIA PRV DE OSÓRIO PERTENCENTE AO 3º BATALHÃO RODOVIÁRIO DA BRIGADA MILITAR COM FORNECIMENTO DE MATERIAL.</t>
  </si>
  <si>
    <t>Edital : DL/9001/2026
Modalidade : Dispensa eletrônica com disputa
Nº Licitação : 349501</t>
  </si>
  <si>
    <t>Brigada Militar</t>
  </si>
  <si>
    <t>Contratação de empresa especializada para prestar serviço de desentupimento e  desobstrução de um bueiro sanitário, através de equipamento de sucção e hidrojateamento com bomba de alta pressão, e a limpeza de quatro bueiros pluviais obstruídos com terra e vegetação para a Comissão de Avaliação e Mérito da Brigada Militar.</t>
  </si>
  <si>
    <t xml:space="preserve">Edital : DL/9001/2026
Modalidade : Dispensa eletrônica com disputa
Nº Licitação : 349503
 </t>
  </si>
  <si>
    <t>DL/265/2026</t>
  </si>
  <si>
    <t>AQUISIÇÃO DE BENS DAS FAMÍLIAS:
0515-EQUIPAMENTOS/MATERIAIS DE SEGURANCA E PROTECAO;</t>
  </si>
  <si>
    <t>Edital : DL/265/2026
Modalidade : Dispensa eletrônica com disputa
Nº Licitação : 349475</t>
  </si>
  <si>
    <t>Prefeitura Municipal de Cotiporã</t>
  </si>
  <si>
    <t>Cotiporã</t>
  </si>
  <si>
    <t>Contratação de empresa especializada para o fornecimento e instalação de piso em borracha SBR Styrene Butadiene Rubber, antiderrapante, altamente drenante, absorvedor de impactos, moldado no sistema monolítico, espatulado sem emendas, aplicado a frio, com dupla camada e espessura mínima de 40 mm, com cores diversas e formas geométricas planas a serem instalados em áreas recreativas da Escola Municipal de Educação Infantil Amor e Carinho e na Escola de Ensino Fundamental Caminhos do Saber.</t>
  </si>
  <si>
    <t>Maiores informações pelo telefone 54 3446 2800 / 3446 2830 ou pelo endereço eletrônico: licitacao@cotipora.rs.gov.br. O Edital, na íntegra, encontra-se a disposição dos interessados no site da Prefeitura: www.cotipora.rs.gov.br</t>
  </si>
  <si>
    <t>Prefeitura Municipal de São Valentim do Sul</t>
  </si>
  <si>
    <t>São Valentim do Sul</t>
  </si>
  <si>
    <t>* Registro de preços * * Licitação Eletrônica * VALOR REF. DESPESA COM CONTRATAÇÃO EVENTUAL E FUTURA, ATRAVÉS DE REGISTRO DE PREÇOS DE EMPRESA ESPECIALIZADA EM SERVIÇOS DE PERFURAÇÃO E DETONAÇÃO DE ROCHAS, COM USO DE EXPLOSIVOS, INCLUINDO TRANSPORTE, PERFURAÇÃO, CARREGAMENTO DE EXPLOSIVOS, E DETONAÇÃO, COM VANGODRIL, BROCA DE 2,5 A 3 POLEGADAS, NA PEDREIRA MUNICIPAL E EM ESTRADAS VICINAIS DO MUNICÍPIO.</t>
  </si>
  <si>
    <t>Unidade compradora: 933415 - MRS-PREFEITURA MUNIC. DE SÃO VALENTIM DO SUL
Local: São Valentim do Sul/RS
Órgão: MUNICIPIO DE SAO VALENTIM DO SUL
Id contratação PNCP: 92902055000105-1-000041/2026
Fonte: CITTÀ INFORMÁTICA LTDA
 - Número compra: 5 - Pregão - Eletrônico</t>
  </si>
  <si>
    <t>Prefeitura Municipal de Chuvisca</t>
  </si>
  <si>
    <t>Chuvisca</t>
  </si>
  <si>
    <t>SM/847/2026</t>
  </si>
  <si>
    <t>AQUISIÇÃO DE MATERIAIS PARA REALIZAR REPAROS NO PARQUE DO CENTRO DE EVENTOS</t>
  </si>
  <si>
    <t>Eventuais interessados poderão apresentar orçamento no prazo de 3 três dias úteis, a contar do próximo dia útil desta publicação. Prazo de envio do Orçamento: Até as 16:00hs da data de 10/04/2026. Entrega dos serviços: 5 cinco dias após a ordem de serviços, o orçamento deve ser enviado para o e-mail: compras@chuvisca.rs.gov.br</t>
  </si>
  <si>
    <t>EMASA-Empresa Municipal de Água e Saneamento S/A</t>
  </si>
  <si>
    <t>* Licitação Eletrônica * CONTRATAÇÃO DE EMPRESA ESPECIALIZADA PARA A EXECUÇÃO DE SERVIÇOS DE ENGENHARIA PARA LOCALIZAÇÃO E ELIMINAÇÃO DE EXTRAVASORES NO SISTEMA DE ESGOTAMENTO SANITÁRIO, INCLUINDO A CORREÇÃO NAS REDES PÚBLICAS DE ESGOTOS E EXECUÇÃO DE PAVIMENTAÇÃO ASFÁLTICA COM CONCRETO ASFÁLTICO USINADO A QUENTE CAUQ, DO MUNICÍPIO DE BALNEÁRIO CAMBORIÚ/SC</t>
  </si>
  <si>
    <t>Unidade compradora: 15 - EMASA - Empresa Municipal de Água e Saneamento de Balneário Camboriú
Local: Balneário Camboriú/SC
Órgão: EMPRESA MUNICIPAL DE AGUA E SANEAMENTO DE BALNEARIO CAMBORIU
Id contratação PNCP: 07854402000100-1-000022/2026
Fonte: Pública Tecnologia Ltda.
 - Número compra: PE 08/2026 - Pregão - Eletrônico</t>
  </si>
  <si>
    <t>Prefeitura Municipal de São Lourenço do Oeste</t>
  </si>
  <si>
    <t>São Lourenço do Oeste</t>
  </si>
  <si>
    <t>* Licitação Eletrônica * AQUISIÇÃO DE FERRAMENTAS, MATERIAIS DE CONSTRUÇÃO E INSUMOS DIVERSOS PARA USO DAS SECRETARIAS MUNICIPAIS E AUTARQUIAS</t>
  </si>
  <si>
    <t>Órgão: Município de São Lourenço do Oeste - Prefeitura Municipal de São Lourenço do Oeste - SC
				Processo: 49/2026
				Edital: 26/2026
				Modalidade: Pregão para Registro de Preço
				Início de envio das propostas: 08-04-2026 ás 07:44
				Término de envio das propostas: 22/04/2026 ás 07:44		
				Início dos lances: 22/04/2026 ás 07:45</t>
  </si>
  <si>
    <t>Prefeitura Municipal de Vitor Meireles</t>
  </si>
  <si>
    <t>Vítor Meireles</t>
  </si>
  <si>
    <t>* Registro de preços * * Licitação Eletrônica * REGISTRO DE PREÇOS PARA EVENTUAL AQUISIÇÃO DE EMULSÕES ASFÁLTICAS, VISANDO ATENDER ÀS DEMANDAS DA SECRETARIA DE OBRAS DO MUNICÍPIO DE VITOR MEIRELES/SC, CONFORME CONDIÇÕES QUANTIDADES E EXIGÊNCIAS ESTABELECIDAS NESTE DOCUMENTO</t>
  </si>
  <si>
    <t>Unidade compradora: 1 - MUNICIPIO DE VITOR MEIRELES
Local: Vitor Meireles/SC
Órgão: MUNICIPIO DE VITOR MEIRELES
Id contratação PNCP: 79372520000185-1-000096/2026
Fonte: Licita + Brasil
 - Número compra: 08 - Pregão - Eletrônico</t>
  </si>
  <si>
    <t>Prefeitura Municipal de Peritiba</t>
  </si>
  <si>
    <t>Peritiba</t>
  </si>
  <si>
    <t>* Licitação Eletrônica * A presente licitação tem por objeto o REGISTRO DE PREÇOS para possível aquisição de refil de filtro de água para suprir a necessidade das secretarias municipais.</t>
  </si>
  <si>
    <t>Órgão: Prefeitura Municipal de Peritiba - Prefeitura Municipal de Peritiba - SC
				Processo: PL94/2026
				Edital: PE14/2026
				Modalidade: Pregão para Registro de Preço
				Início de envio das propostas: 09-04-2026 ás 08:00
				Término de envio das propostas: 23/04/2026 ás 08:00		
				Início dos lances: 23/04/2026 ás 08:01</t>
  </si>
  <si>
    <t>PE/37/2026</t>
  </si>
  <si>
    <t>* Registro de preços * * Licitação Eletrônica * A CONTRATAÇÃO DE EMPRESA PARA O FORNECIMENTO DE PEDRAS DE ARDÓSIA E BRITAS DE ARDÓSIA, EM DIMENSÕES E ESPECIFICAÇÕES CONFORME ESTABELECIDO NO TERMO DE REFERÊNCIA, DESTINADAS À MANUTENÇÃO, RECUPERAÇÃO E CONSERVAÇÃO DE PONTES, BUEIROS E GALERIAS PLUVIAIS, LOCALIZADAS NAS ZONAS URBANA E RURAL DO MUNICÍPIO DE BRAÇO DO TROMBUDO/SC</t>
  </si>
  <si>
    <t>Unidade compradora: 3 - Prefeitura Municipal de Braço do Trombudo - SC
Local: Braço do Trombudo/SC
Órgão: MUNICIPIO DE BRACO DO TROMBUDO
Id contratação PNCP: 95952230000167-1-000041/2026
Fonte: AZ INFORMATICA LTDA
 - Número compra: 37 - Pregão - Eletrônico</t>
  </si>
  <si>
    <t>PE/90045/2026</t>
  </si>
  <si>
    <t>* Registro de preços * * Licitação Eletrônica * Aquisição de materiais hidráulicos</t>
  </si>
  <si>
    <t>Unidade compradora: 926377 - COMPANHIA AGUAS DE JOINVILE - SC
Local: Joinville/SC
Órgão: COMPANHIA AGUAS DE JOINVILLE
Id contratação PNCP: 07226794000155-1-000043/2026
Fonte: Compras.gov.br
 Para as respostas de esclarecimentos e impugnações deste edital acesse o link: https://cnetmobile.estaleiro.serpro.gov.br/comprasnet-web/public/landing?destino=quadro-informativo&amp;compra=92637705900452026 - Número compra: 90045 - Pregão - Eletrônico</t>
  </si>
  <si>
    <t>SIMAE - Serviço Intermunicipal de Água e Esgoto de Capinzal e Ouro</t>
  </si>
  <si>
    <t>* Licitação Eletrônica * Aquisição de tubos, conexões e materiais diversos em PEAD, PVC, DEFOFO, destinados a implantação e/ou substituição de redes e para manutenção do estoque do almoxarifado.</t>
  </si>
  <si>
    <t>Órgão: Serviço Intermunicipal de Água e Esgosto - SIMAE/CAO - Serviço Intermunicipal de Água e Esgosto - SIMAE/CAO - SC
				Processo: 29/2026
				Edital: 1/2026
				Modalidade: Pregão
				Início de envio das propostas: 08-04-2026 ás 00:00
				Término de envio das propostas: 20/04/2026 ás 07:55		
				Início dos lances: 20/04/2026 ás 08:00</t>
  </si>
  <si>
    <t>Prefeitura Municipal de Mafra</t>
  </si>
  <si>
    <t>Mafra</t>
  </si>
  <si>
    <t>* Licitação Eletrônica * Aquisição com instalação de Bomba Centrífuga de alta vazão, própria para desaguamento pesado draga.</t>
  </si>
  <si>
    <t>Unidade compradora: 1 - Prefeitura Municipal de Mafra
Local: Mafra/SC
Órgão: MUNICIPIO DE MAFRA
Id contratação PNCP: 83102509000172-1-000021/2026
Fonte: Pública Tecnologia Ltda.
 - Número compra: 007/2026 - Pregão - Eletrônico</t>
  </si>
  <si>
    <t>Prefeitura Municipal de Rio das Antas</t>
  </si>
  <si>
    <t>Rio das Antas</t>
  </si>
  <si>
    <t>* Licitação Eletrônica * REGISTRO DE PREÇOS para futura e eventual aquisição e instalação de itens de uso
em Plano de Prevenção e Proteção Contra Incêndios - PPCI para os prédios municipais, em
atendimento das Secretarias Municipais, departamentos e demais órgãos vinculados, conforme condições e exigências estabelecidas no Edital, Termo de referência e demais anexos. * https://bllcompras.com *</t>
  </si>
  <si>
    <t>LOCAL: https://bllcompras.com/
Nº PROC. ADM: 0064/2026PM
 TIPO CONTRATO: REGISTRO DE PREÇO
 INÍCIO REC. PROPOSTA: 07/04/2026 17:00:00
 FIM REC. PROPOSTA: 22/04/2026 08:00:00
 INÍCIO DISPUTA: 22/04/2026 09:01:00
 CIDADE: RIO DAS ANTAS
 FASE: RECEPÇÃO DE PROPOSTAS
 EXCLUSIVO ME: NÃO
 EXCLUSIVO REGIONAL: NÃO
 MODO DE DISPUTA: ABERTO
 TIPO DE LANCE: MENOR LANCE
 FONE PROMOTOR: 4935640125
 E-MAIL PROMOTOR: licita@riodasantas.sc.gov.br
 CONDUTOR: ADEMIR ANTONIO FERRARIN
 AUTORIDADE: GILVANE APARECIDA DE MORAES
 INFORMACÕES ADICIONAIS: https://riodasantas.sc.gov.br/licitacao/pregao-eletronico-0017-2026-pmra/
 VALOR ESTIMADO: R$343.228,20</t>
  </si>
  <si>
    <t>Prefeitura Municipal de Angelina</t>
  </si>
  <si>
    <t>Angelina</t>
  </si>
  <si>
    <t>Contratação de empresa especializada em execução de obras e serviços de engenharia, visando à pavimentação, em lajotas sextavadas, na Estrada Geral Betânia, no município de Angelina/SC Emenda Impositiva Estadual n° 2025EP000071, contemplando drenagem pluvial e sinalização viária, incluindo o fornecimento de materiais e mão de obra.</t>
  </si>
  <si>
    <t>Entidade: PREFEITURA MUNICIPAL DE ANGELINA
Modalidade: Concorrência eletrônica
Forma de julgamento: MENOR PREÇO  - GLOBAL
Email contato: administracao@angelina.sc.gov.br
Situação: AGUARDANDO ABERTURA</t>
  </si>
  <si>
    <t>Prefeitura Municipal de Presidente Castello Branco</t>
  </si>
  <si>
    <t>Presidente Castello Branco</t>
  </si>
  <si>
    <t>* Licitação Eletrônica * A presente licitação tem por objeto a execução de serviços de abertura e fechamento de valas para implantação de rede de distribuição de água, incluindo escavação, reaterro, compactação e serviços correlatos, no município de Presidente Castello Branco/SC.</t>
  </si>
  <si>
    <t>Órgão: Prefeitura Municipal de Presidente Castello Branco - Prefeitura Municipal de Presidente Castello Branco - SC
				Processo: 33/2026
				Edital: 33/2026
				Modalidade: Pregão
				Início de envio das propostas: 06-04-2026 ás 17:00
				Término de envio das propostas: 23/04/2026 ás 07:00		
				Início dos lances: 23/04/2026 ás 08:00</t>
  </si>
  <si>
    <t>Prefeitura Municipal de Meleiro</t>
  </si>
  <si>
    <t>Meleiro</t>
  </si>
  <si>
    <t>CR/32/2026</t>
  </si>
  <si>
    <t>Contratação de empresa especializada para a execução da obra de engenharia destinada à construção da Rua Coberta de Meleiro, com área de 2.373,72 m², localizada na Rua Nico-lau Machado de Souza, Centro, em área contígua ao Paço Municipal e à Praça de Meleiro, compreendendo a execução integrada dos serviços e etapas necessários à implantação in-tegral do empreendimento, inclusive cobertura, drenagem pluvial, pavimentação, passeios com adequações de acessibilidade, instalações elétricas, revitalização do parque infantil e serviços complementares, com fornecimento de materiais, mão de obra, equipamentos e demais insumos, em conformidade com os projetos, memoriais, planilha orçamentária, cro-nograma físico-financeiro e demais anexos técnicos, em atendimento à Portaria Conjunta SGG/SEF n 75/2025 e ao processo SGPe n SCC 16341/2025.</t>
  </si>
  <si>
    <t>Unidade compradora: 1 - PREFEITURA MUNICIPAL DE MELEIRO - SC
Local: Meleiro/SC
Órgão: MUNICIPIO DE MELEIRO
Id contratação PNCP: 82837741000196-1-000025/2026
Fonte: Betha Sistemas
 - Número compra: CC 32 - Concorrência - Presencial</t>
  </si>
  <si>
    <t>Prefeitura Municipal de São Bento do Sul</t>
  </si>
  <si>
    <t>São Bento do Sul</t>
  </si>
  <si>
    <t>PE/54/2026</t>
  </si>
  <si>
    <t>* Registro de preços * * Licitação Eletrônica * REGISTRO DE PREÇOS PARA A AQUISIÇÃO PARCELADA DE MADEIRAS DE EUCALIPTO E PINUS PARA CONSTRUÇÃO E REFORMA DE PONTES E PARA USO NAS TUBULAÇÕES DE ÁGUAS PLUVIAIS EM VIAS PÚBLICAS DO MUNICÍPIO, PELO PRAZO DE 12 DOZE MESES PARA A SECRETARIA MUNICIPAL DE OBRAS E SERVIÇOS URBANOS, CONFORME TERMO DE REFERENCIA ANEXO.</t>
  </si>
  <si>
    <t>Unidade compradora: 08012 - Infraestrutura Urbana e Rural - SEMOB
Local: São Bento do Sul/SC
Órgão: MUNICIPIO DE SAO BENTO DO SUL
Id contratação PNCP: 86051398000100-1-000063/2026
Fonte: IPM Sistemas
 - Número compra: PCE 54 - Pregão - Eletrônico</t>
  </si>
  <si>
    <t>Prefeitura Municipal de Balneário Gaivota</t>
  </si>
  <si>
    <t>Balneário Gaivota</t>
  </si>
  <si>
    <t>* Licitação Eletrônica * O PRESENTE PROCEDIMENTO LICITATÓRIO TEM COMO OBJETIVO REGISTRAR PREÇOS COM A FINALIDADE DE SELECIONAR A PROPOSTA MAIS VANTAJOSA PARA FUTURAS E EVENTUALIS AQUISIÇÕES DE INSTALAÇÃO DE PEÇAS EM GRANITO, DIVISÓRIAS EM MÁRMORE, MICTÓRIOS E CUBAS EM AÇO...</t>
  </si>
  <si>
    <t>Órgão: MUNICIPIO DE BALNEARIO GAIVOTA - Prefeitura Municipal de Balneário Gaivota - SC
				Processo: 36/2026
				Edital: 3/2026
				Modalidade: Pregão para Registro de Preço
				Início de envio das propostas: 07-04-2026 ás 17:00
				Término de envio das propostas: 30/04/2026 ás 08:59		
				Início dos lances: 30/04/2026 ás 09:00</t>
  </si>
  <si>
    <t>Prefeitura Municipal de Ibirama</t>
  </si>
  <si>
    <t>Ibirama</t>
  </si>
  <si>
    <t>PE/59/2026</t>
  </si>
  <si>
    <t>* Licitação Eletrônica * A presente licitação tem por objeto a aquisição e instalação de 01 uma porta manual em chapa de aço galvanizado, incluindo o fornecimento de todos os materiais, acessórios, transporte e mão de obra necessários, a ser instalada na lanchonete do...</t>
  </si>
  <si>
    <t>Órgão: DIVISAO DE COMPRAS E LICITACOES - Prefeitura Municipal de Ibirama - SC
				Processo: 59 / 2026
				Edital: 59/2026
				Modalidade: Pregão
				Início de envio das propostas: 08-04-2026 ás 17:00
				Término de envio das propostas: 22/04/2026 ás 08:59		
				Início dos lances: 22/04/2026 ás 09:00</t>
  </si>
  <si>
    <t>Prefeitura Municipal de São João do Itaperiú</t>
  </si>
  <si>
    <t>São João do Itaperiú</t>
  </si>
  <si>
    <t>* Licitação Eletrônica * Registro de preços para futura e eventual aquisição de mangueiras, conexões e demais itens correlatos, destinados à manutenção preventiva e corretiva de máquinas pesadas da Secretaria de Obras do Município de São João do Itaperiú/SC. * https://bllcompras.com *</t>
  </si>
  <si>
    <t>LOCAL: https://bllcompras.com/
Nº PROC. ADM: 78/2026
 TIPO CONTRATO: REGISTRO DE PREÇO
 INÍCIO REC. PROPOSTA: 08/04/2026 12:00:00
 FIM REC. PROPOSTA: 23/04/2026 12:30:00
 INÍCIO DISPUTA: 23/04/2026 13:00:00
 CIDADE: SÃO JOÃO DO ITAPERIÚ
 FASE: PUBLICADO
 EXCLUSIVO ME: NÃO
 EXCLUSIVO REGIONAL: NÃO
 MODO DE DISPUTA: ABERTO
 TIPO DE LANCE: MENOR LANCE
 FONE PROMOTOR: 4734580010
 E-MAIL PROMOTOR: gerencia.compras@pmsji.sc.gov.br
 CONDUTOR: TATIANE REGINA DE ARRIOLA
 AUTORIDADE: ROVANI DELMONEGO
 INFORMACÕES ADICIONAIS: licitacao@pmsji.sc.gov.br 
 VALOR ESTIMADO: R$206.576,25</t>
  </si>
  <si>
    <t>Prefeitura Municipal de Major Gercino</t>
  </si>
  <si>
    <t>Major Gercino</t>
  </si>
  <si>
    <t>* Licitação Eletrônica * REGISTRO DE PREÇOS PARA EVENTUAL E FUTURA AQUISIÇÃO DE CABOS DE AÇO, CLIPS PARA CABOS E ARAME GALVANIZADO, DESTINADOS À REFORMA, MANUTENÇÃO E RECUPERAÇÃO DAS PONTES PÊNSIL DO MUNICÍPIO DE MAJOR GERCINO, CONFORME ESPECIFICAÇÕES E QUANTITATIVOS DESCRITOS NO TERMO DE REFERÊNCIA * https://bnccompras.com *</t>
  </si>
  <si>
    <t>LOCAL: https://bnccompras.com/
Nº PROC. ADM: 35/PMMG/2026
 TIPO CONTRATO: REGISTRO DE PREÇO
 INÍCIO REC. PROPOSTA: 08/04/2026 08:00:00
 FIM REC. PROPOSTA: 22/04/2026 08:15:00
 INÍCIO DISPUTA: 22/04/2026 08:30:00
 CIDADE: MAJOR GERCINO
 FASE: PUBLICADO
 EXCLUSIVO ME: SIM
 EXCLUSIVO REGIONAL: NÃO
 MODO DE DISPUTA: ABERTO
 TIPO DE LANCE: MENOR LANCE
 FONE PROMOTOR: 4832731258
 E-MAIL PROMOTOR: prefeito@majorgercino.sc.gov.br
 CONDUTOR: SANDRO MORETTE ELIAS
 AUTORIDADE: RODRIGO DOS SANTOS
 VALOR ESTIMADO: R$451.418,00</t>
  </si>
  <si>
    <t>Prefeitura Municipal de Correia Pinto</t>
  </si>
  <si>
    <t>Correia Pinto</t>
  </si>
  <si>
    <t>CR/18/2026</t>
  </si>
  <si>
    <t>Contratação de empresa especializada para execução dos serviços de drenagem e pavimentação com revestimento em Concreto Betuminoso Usinado Quente CBUQ, com fornecimento de materiais e mão de obra, nas seguintes vias públicas: Rua São Francisco 1º Trecho - Bairro Nossa Senhora Aparecida e Rua Rio de Janeiro 1º trecho - Bairro São João, ambas localizadas no perímetro urbano do município de Correia Pinto SC, conforme condições, quantidades e exigências estabelecidas neste edital e seus anexos.</t>
  </si>
  <si>
    <t>Entidade: PREFEITURA MUNICIPAL DE CORREIA PINTO
Modalidade: Concorrência eletrônica
Forma de julgamento: MENOR PRECO GLOBAL
Email contato: gabinete@correiapinto.sc.gov.br
Situação: AGUARDANDO ABERTURA</t>
  </si>
  <si>
    <t>Prefeitura Municipal de Itajaí</t>
  </si>
  <si>
    <t>Itajaí</t>
  </si>
  <si>
    <t>PE/48/2026</t>
  </si>
  <si>
    <t>* Licitação Eletrônica * PRESTAÇÃO DE SERVIÇOS COMUNS DE ENGENHARIA, CONSISTENTE NO FORNECIMENTO E INSTALAÇÃO DE GRADIL E PORTÕES METÁLICOS PARA FECHAMENTO PERIMETRAL DAS UNIDADES DO VIVEIRO MUNICIPAL DO INIS, PARQUE NATURAL MUNICIPAL DO CANTO DO MORCEGO, PARQUE NATURAL MUNICIPAL DO ATALAIA E PARQUE NATURAL MUNICIPAL DO CORDEIROS</t>
  </si>
  <si>
    <t>Unidade compradora: 1 - PREFEITURA MUNICIPAL DE ITAJAÍ - SC
Local: Itajaí/SC
Órgão: MUNICIPIO DE ITAJAI
Id contratação PNCP: 83102277000152-1-000282/2026
Fonte: Pública Tecnologia Ltda.
 - Número compra: PE 048/2026 - Pregão - Eletrônico</t>
  </si>
  <si>
    <t>Servico Autonomo Municipal de Agua e Esgoto de Porto Belo</t>
  </si>
  <si>
    <t xml:space="preserve"> Contratação de empresa habilitada para a prestação de serviços técnicos de operação e manutenção do Sistema de Abastecimento de Água SAA de Porto Belo/SC, conforme as especificações contidas no Termo de Referência Anexo I.</t>
  </si>
  <si>
    <t xml:space="preserve">Unidade compradora: 26001 - Servico Autonomo Municipal de Agua e Esgoto - Samae
Local: Porto Belo/SC
Órgão: SERVICO AUTONOMO MUNICIPAL DE AGUA E ESGOTO - SAMAE
Id contratação PNCP: 64372423000115-1-000002/2026
Fonte: IPM Sistemas
 - Número compra: CCE 1 - Concorrência - Eletrônica
 </t>
  </si>
  <si>
    <t>Prefeitura Municipal de Chapadão do Lageado</t>
  </si>
  <si>
    <t>Chapadão do Lageado</t>
  </si>
  <si>
    <t>* Licitação Eletrônica * A presente Licitação tem por objeto a Aquisição de materiais e contratação de mão-de-obra para execução de Pavimentação asfáltica da Avenida 29 de novembro - Trecho 05 - Estaca 28+2,50m a Estaca 55+9,00m = 546,50m - no Município de Chapadão do Lageado/SC, vinculada ao Processo SCC nº 4860/2026, de conformidade com os projetos, memoriais descritivos, quadros de quantidades orçamentos e cronogramas físico-financeiros e demais documentos pertinentes ao projeto em anexo. OBS: OS PROJETOS, MEMORIAIS DESCRITIVOS, PLANILHA ORÇAMENTÁRIA, CRONOGRAMA FÍSICO FINANCEIRO E DEMAIS DOCUMENTOS TÉCNICOS ESTÃO DISPONÍVEIS NO LINK: https://drive.google.com/drive/folders/1xpTk4hjxTq34DW5aqDQ-P4H5g0u1PWSd - ** www.comprasbr.com.br **</t>
  </si>
  <si>
    <t>SAMAE-Serviço Autônomo Municipal de Água e Esgoto de São Bento do Sul</t>
  </si>
  <si>
    <t>* Licitação Eletrônica * REGISTRO DE PREÇOS para EVENTUAL AQUISIÇÃO DE MATERIAIS DE AUTOMAÇÃO, conforme condições, quantidades e exigências estabelecidas no Edital.</t>
  </si>
  <si>
    <t>Órgão: Serviço Autônomo Municipal De Água e Esgoto de São Bento do Sul - SAMAE - Serviço Autônomo Municipal De Água e Esgoto de São Bento do Sul - SAMAE - SC
				Processo: 21 / 2026 - 8253
				Edital: 21/2026
				Modalidade: Pregão para Registro de Preço
				Início de envio das propostas: 08-04-2026 ás 09:30
				Término de envio das propostas: 23/04/2026 ás 08:30		
				Início dos lances: 23/04/2026 ás 09:00</t>
  </si>
  <si>
    <t>Prefeitura Municipal de Tijucas</t>
  </si>
  <si>
    <t>Tijucas</t>
  </si>
  <si>
    <t>* Registro de preços * * Licitação Eletrônica * Contratação de empresa especializada na execução de serviços de manutenção preventiva e corretiva, limpeza e troca de filtros de bebedouros, incluindo todos os deslocamentos necessários para atendimento nas unidades correspondentes, visando suprir as demandas da Prefeitura Municipal de Tijucas, suas secretarias, fundos, fundações, autarquias e demais entes conveniados</t>
  </si>
  <si>
    <t>Unidade compradora: 06001 - Secretaria Municipal de Administração
Local: Tijucas/SC
Órgão: MUNICIPIO DE TIJUCAS
Id contratação PNCP: 82577636000165-1-000041/2026
Fonte: IPM Sistemas
 - Número compra: PCE 26 - Pregão - Eletrônico</t>
  </si>
  <si>
    <t>Prefeitura Municipal de Ibicaré</t>
  </si>
  <si>
    <t>Ibicaré</t>
  </si>
  <si>
    <t>* Licitação Eletrônica * Contratação de empresa especializada para fornecimento de materiais e execução de serviços de engenharia elétrica, visando a implantação de sistema de iluminação pública e ampliação de rede elétrica no trevo de acesso à Linha Triângulo, no município...</t>
  </si>
  <si>
    <t>Órgão: Prefeitura Municipal de Ibicaré - Prefeitura Municipal de Ibicaré - SC
				Processo: 90/2026
				Edital: 7/2026
				Modalidade: Concorrência
				Início de envio das propostas: 07-04-2026 ás 13:35
				Término de envio das propostas: 18/05/2026 ás 07:20		
				Início dos lances: 18/05/2026 ás 07:30</t>
  </si>
  <si>
    <t>Prefeitura Municipal de Treviso</t>
  </si>
  <si>
    <t>* Licitação Eletrônica * Aquisição de tanque pipa metálico com capacidade mínima de 10.000 litros, com sistema de abastecimento de água e irrigação e instalação completa sobre chassi em caminhão da frota municipal. * https://bnccompras.com *</t>
  </si>
  <si>
    <t>LOCAL: https://bnccompras.com/
Nº PROC. ADM: 36/2026
 TIPO CONTRATO: AQUISIÇÃO
 INÍCIO REC. PROPOSTA: 08/04/2026 09:00:00
 FIM REC. PROPOSTA: 22/04/2026 08:15:00
 INÍCIO DISPUTA: 22/04/2026 09:00:00
 CIDADE: TREVISO
 FASE: PUBLICADO
 EXCLUSIVO ME: NÃO
 EXCLUSIVO REGIONAL: NÃO
 MODO DE DISPUTA: ABERTO
 TIPO DE LANCE: MENOR LANCE
 FONE PROMOTOR: 4834699000
 E-MAIL PROMOTOR: licitacoestreviso@outlook.com
 CONDUTOR: HELTON DA SILVA
 AUTORIDADE: LUCIANO RUBENS MIOTELLI
 VALOR ESTIMADO: R$101.000,00</t>
  </si>
  <si>
    <t>Prefeitura Municipal de Braço do Norte</t>
  </si>
  <si>
    <t>Braço do Norte</t>
  </si>
  <si>
    <t>* Licitação Eletrônica * AQUISIÇÃO DE MATERIAIS E INSUMOS PARA PAISAGISMO E JARDINAGEM NO MUNICÍPIO DE BRAÇO DO NORTE/SC.</t>
  </si>
  <si>
    <t>Órgão: Prefeitura Municipal de Braço do Norte - Prefeitura Municipal de Braço do Norte - SC
				Processo: 35/2026
				Edital: 35/2026
				Modalidade: Pregão para Registro de Preço
				Início de envio das propostas: 08-04-2026 ás 08:00
				Término de envio das propostas: 05/05/2026 ás 13:59		
				Início dos lances: 05/05/2026 ás 14:00</t>
  </si>
  <si>
    <t>Prefeitura Municipal de São Miguel da Boa Vista</t>
  </si>
  <si>
    <t>São Miguel da Boa Vista</t>
  </si>
  <si>
    <t>CR/65/2026</t>
  </si>
  <si>
    <t>Contratação de empresa para execução de terraplenagem, drenagem pluvial, calçamento e sinalização na comunidade de Linha Trairas acesso ao cemitério, com área de 1.394,70m².</t>
  </si>
  <si>
    <t>Maiores informações e cópia do edital poderão ser obtidas com o setor de Licitações e setor de compras, de segunda a sexta-feira, das 07:30 às 11:30 e das 13:00 às 17:00. Site: www.saomigueldaboavista.sc.gov.br</t>
  </si>
  <si>
    <t>Prefeitura Municipal de Maravilha</t>
  </si>
  <si>
    <t>Maravilha</t>
  </si>
  <si>
    <t>Credenciamento de empresas do ramo da construção civil para apresentação de proposta visando implementar o Programa Minha Casa Minha Vida GRUPO 3 do Governo Federal, consubstanciado na execução de projetos e obras de construção de unidades habitacionais residenciais.</t>
  </si>
  <si>
    <t>O edital pode ser obtido no departamento de compras e licitações no horário de expediente, das 7:30 às 11:30 e das 13h às 17 horas.</t>
  </si>
  <si>
    <t>Entidade: PREFEITURA MUNICIPAL DE PRESIDENTE CASTELLO BRANCO
Modalidade: Pregão eletrônico
Forma de julgamento: MENOR PRECO                              - ITEM
Email contato: compras@castellobranco.sc.gov.br
Situação: EM ANDAMENTO</t>
  </si>
  <si>
    <t>* Licitação Eletrônica * REGISTRO DE PREÇOS PARA FUTURA E EVENTUAL AQUISIÇÃO DE CONCRETO USINADO COM RESISTÊNCIA DE 20MPA PARA ATENDER AS NECESSIDADES DO MUNICÍPIO DE OTACÍLIO COSTA, DE ACORDO COM AS QUANTIDADES E EXIGÊNCIAS ESTABELECIDAS NESTE INSTRUMENTO, CONFORME TABELA EM ANEXO A ESTE TERMO DE REFERÊNCIA;</t>
  </si>
  <si>
    <t>Local: Portal: Bolsa de Licitações do Brasil - BLL www.bll.org.br
Setor Responsável: SECRETARIA DE PLANEJAMENTO</t>
  </si>
  <si>
    <t>* Registro de preços * * Licitação Eletrônica * Registro de preços para aquisição de areias para reposição de pavimentos, manutenções das unidades operacionais, execução de bases e sub-bases de vias, assentamento de tubulações, recomposição de valas, concretagem de estruturas e demais serviços de conservação e reparo das redes de água e esgoto, conforme condições, quantidades e exigências estabelecidas neste instrumento.</t>
  </si>
  <si>
    <t>Unidade compradora: 23002 - Abastecimento de Água
Local: São Bento do Sul/SC
Órgão: SERVICO AUTONOMO MUNICIPAL DE AGUA E ESGOTO
Id contratação PNCP: 86050978000183-1-000041/2026
Fonte: IPM Sistemas
 - Número compra: PCE 22 - Pregão - Eletrônico</t>
  </si>
  <si>
    <t>Prefeitura Municipal de Laurentino</t>
  </si>
  <si>
    <t>Laurentino</t>
  </si>
  <si>
    <t>CR/27/2026</t>
  </si>
  <si>
    <t>* Licitação Eletrônica * Contratação de empresa especializada para Reforma de espaço existente com a construção de banheiros na Praça Olavo André Masson, de acordo com o que se encontra definido na especificação e condições estabelecidas neste Edital e seus anexos. - ** www.comprasbr.com.br **</t>
  </si>
  <si>
    <t>* Licitação Eletrônica * O PRESENTE PROCEDIMENTO LICITATÓRIO TEM COMO OBJETIVO REGISTRAR PREÇOS COM A FINALIDADE DE SELECIONAR A PROPOSTA MAIS VANTAJOSA PARA FUTURAS E EVENTUALIS AQUISIÇÕES DE MADEIRAS COM OU SEM TRATAMENTO, DESTINADOS A ATENDER AS DEMANDAS DA SECRETARIA...</t>
  </si>
  <si>
    <t>Órgão: MUNICIPIO DE BALNEARIO GAIVOTA - Prefeitura Municipal de Balneário Gaivota - SC
				Processo: 38/2026
				Edital: 5/2026
				Modalidade: Pregão para Registro de Preço
				Início de envio das propostas: 08-04-2026 ás 17:00
				Término de envio das propostas: 20/04/2026 ás 08:59		
				Início dos lances: 20/04/2026 ás 09:00</t>
  </si>
  <si>
    <t>Prefeitura Municipal de Gaspar</t>
  </si>
  <si>
    <t>Gaspar</t>
  </si>
  <si>
    <t>* Licitação Eletrônica * REGISTRO DE PREÇOS PARA AQUISIÇÕES DE MATERIAIS HIDRÁULICOS. - ** www.comprasbr.com.br **</t>
  </si>
  <si>
    <t>Fundo Municipal de Saúde de Monte Alegre de Sergipe</t>
  </si>
  <si>
    <t>Monte Alegre de Sergipe</t>
  </si>
  <si>
    <t>* Licitação Eletrônica * REGISTRO DE PREÇOS PARA FUTURA E EVENTUAL AQUISIÇÃO, DE MATERIAIS DE ARMARINHO E TECIDOS, VISANDO ATENDER ÀS DEMANDAS DO ORGÃO GERENCIADOR E DEMAIS ORGÃO PARTICIPANTES. * https://bnccompras.com *</t>
  </si>
  <si>
    <t xml:space="preserve">LOCAL: https://bnccompras.com/
Nº PROC. ADM: 02/2026
 TIPO CONTRATO: AQUISIÇÃO
 INÍCIO REC. PROPOSTA: 08/04/2026 09:00:00
 FIM REC. PROPOSTA: 22/04/2026 08:30:00
 INÍCIO DISPUTA: 22/04/2026 09:00:00
 CIDADE: MONTE ALEGRE DE SERGIPE
 FASE: PUBLICADO
 EXCLUSIVO ME: NÃO
 EXCLUSIVO REGIONAL: NÃO
 MODO DE DISPUTA: ABERTO
 TIPO DE LANCE: MENOR LANCE
 FONE PROMOTOR: 7933181744
 E-MAIL PROMOTOR: fariasheverton@gmail.com
 CONDUTOR: JOAO ANTONIO DE MENDONCA NETO
 AUTORIDADE: MARIA CRISTINA DE OLIVEIRA
 VALOR ESTIMADO: R$144.692,29
 </t>
  </si>
  <si>
    <t>Prefeitura Municipal de Cedro de São João</t>
  </si>
  <si>
    <t>Cedro de São João</t>
  </si>
  <si>
    <t>* Licitação Eletrônica * contratação de empresa especializada para a execução de obras de engenharia visando à Reconstrução da Salgadeira 01, no Município de Cedro de São João/SE, conforme Plano de Ação nº 09032023-034502. * https://bnccompras.com *</t>
  </si>
  <si>
    <t>LOCAL: https://bnccompras.com/
Nº PROC. ADM: 0000073
 TIPO CONTRATO: AQUISIÇÃO
 INÍCIO REC. PROPOSTA: 08/04/2026 14:00:00
 FIM REC. PROPOSTA: 22/04/2026 18:00:00
 INÍCIO DISPUTA: 23/04/2026 09:00:00
 CIDADE: CEDRO DE SÃO JOÃO
 FASE: RECEPÇÃO DE PROPOSTAS
 EXCLUSIVO ME: NÃO
 EXCLUSIVO REGIONAL: NÃO
 MODO DE DISPUTA: ABERTO
 TIPO DE LANCE: MENOR LANCE
 FONE PROMOTOR: 7933471230
 E-MAIL PROMOTOR: prefeitoneudoalves@gmail.com
 CONDUTOR: IRLEY MICKAELLE ALVES MARTINS
 AUTORIDADE: NEUDO ALVES
 VALOR ESTIMADO: R$1.366.813,84</t>
  </si>
  <si>
    <t>Prefeitura Municipal de Birigui</t>
  </si>
  <si>
    <t>Birigui</t>
  </si>
  <si>
    <t>* Licitação Eletrônica * CONTRATAÇÃO DE EMPRESA ESPECIALIZADA PARA PRESTAÇÃO DE SERVIÇOS NA FORMA DE SOFTWARE COMO SERVIÇO SAAS, COM FORNECIMENTO, IMPLANTAÇÃO, CONFIGURAÇÃO E MANUTENÇÃO DE SOLUÇÃO TECNOLÓGICA INTEGRADA DE MONITORAMENTO DE TEMPERATURA E UMIDADE EM CÂMARAS FRIAS E REFRIGERADORES DA REDE DE FRIO DA SECRETARIA DE SAÚDE, INCLUINDO FORNECIMENTO DE SENSORES DE TEMPERATURA E DISPOSITIVOS NECESSÁRIOS À INTEGRAÇÃO, SUPORTE TÉCNICO E TREINAMENTO DE USUÁRIOS - SECRETARIA MUNICIPAL DE SAÚDE, CONFORME ESPECIFICAÇÕE * https://bllcompras.com *</t>
  </si>
  <si>
    <t>LOCAL: https://bllcompras.com/
Nº PROC. ADM: 54/2026
 TIPO CONTRATO: AQUISIÇÃO
 INÍCIO REC. PROPOSTA: 07/04/2026 12:00:00
 FIM REC. PROPOSTA: 24/04/2026 08:00:00
 INÍCIO DISPUTA: 24/04/2026 08:01:00
 CIDADE: BIRIGUI
 FASE: RECEPÇÃO DE PROPOSTAS
 EXCLUSIVO ME: NÃO
 EXCLUSIVO REGIONAL: NÃO
 MODO DE DISPUTA: ABERTO E FECHADO
 TIPO DE LANCE: MENOR LANCE
 FONE PROMOTOR: 1836436024
 E-MAIL PROMOTOR: prefeitura@birigui.sp.gov.br
 CONDUTOR: ÊNIO NICOLAU LINARES GARCIA
 AUTORIDADE: SAMANTA PAULA ALBANI BORINI
 INFORMACÕES ADICIONAIS: 
 VALOR ESTIMADO: R$58.608,00</t>
  </si>
  <si>
    <t>* Registro de preços * * Licitação Eletrônica * Registro de Preços para eventual aquisição de ferramentas.</t>
  </si>
  <si>
    <t>Unidade compradora: 956 - DAE Santa Bárbara d'Oeste
Local: Santa Bárbara d'Oeste/SP
Órgão: DEPARTAMENTO DE AGUA E ESGOTO DE SANTA BARBARA D OESTE
Id contratação PNCP: 54010863000179-1-000103/2026
Fonte: SMARAPD INFORMATICA LTDA
 - Número compra: 13 - Pregão - Eletrônico</t>
  </si>
  <si>
    <t>Prefeitura Municipal de Registro</t>
  </si>
  <si>
    <t>Registro</t>
  </si>
  <si>
    <t>PE/34/2026</t>
  </si>
  <si>
    <t>* Licitação Eletrônica * PREGÃO ELETRÔNICO Nº 028/2026 - REGISTRO DE PREÇOS PELO PERÍODO DE 12 DOZE MESES, PARA AQUISIÇÕES FUTURAS DE EQUIPAMENTOS DE PROTEÇÃO INDIVIDUAL EPI'S E ACESSÓRIOS DE PROTEÇÃO, DESTINADOS ÀS DIRETORIAS DA PREFEITURA MUNICIPAL DE REGISTRO/SP * https://bnccompras.com *</t>
  </si>
  <si>
    <t>LOCAL: https://bnccompras.com/
Nº PROC. ADM: 8091/2025
 TIPO CONTRATO: REGISTRO DE PREÇO
 INÍCIO REC. PROPOSTA: 06/04/2026 09:00:00
 FIM REC. PROPOSTA: 17/04/2026 08:59:00
 INÍCIO DISPUTA: 17/04/2026 09:15:00
 CIDADE: REGISTRO
 FASE: PUBLICADO
 EXCLUSIVO ME: NÃO
 EXCLUSIVO REGIONAL: NÃO
 MODO DE DISPUTA: ABERTO
 TIPO DE LANCE: MENOR LANCE
 FONE PROMOTOR: 1338281000
 E-MAIL PROMOTOR: compras@registro.sp.gov.br
 CONDUTOR: MARJORIE YURI TAMASHIRO
 AUTORIDADE: SAMUEL MOREIRA DA SILVA JUNIOR
 VALOR ESTIMADO: R$0,00</t>
  </si>
  <si>
    <t>DAE-Departamento de Água e Esgoto S/A</t>
  </si>
  <si>
    <t xml:space="preserve">* Licitação eletrônica * Aquisição de tubos e conexões em PEAD. </t>
  </si>
  <si>
    <t>TIPO: Menor
Preço por Item. ABERTURA: às 09:30 do dia 17/04/2026. LOCAL PARA
RETIRADA DO EDITAL: No site http://compraabertadae.jundiai.sp.gov.
br acessar o link Editais gratuitamente.
Jundiaí, 27 de março de 2026
ELOI DE CASTRO NETO
Diretor Administrativo</t>
  </si>
  <si>
    <t xml:space="preserve">Prefeitura Municipal da Estância Balneária de Praia Grande </t>
  </si>
  <si>
    <t>Praia Grande</t>
  </si>
  <si>
    <t>PE/90041/2026</t>
  </si>
  <si>
    <t xml:space="preserve">* Licitação Eletrônica * Registro de preços para aquisição de acessórios de limpeza </t>
  </si>
  <si>
    <t>Unidade compradora: 986921 - PREFEITURA MUNICIPAL DE PRAIA GRANDE - SP
Local: Praia Grande/SP
Órgão: MUNICIPIO DE PRAIA GRANDE
Id contratação PNCP: 46177531000155-1-000090/2026
Fonte: Compras.gov.br
 Para as respostas de esclarecimentos e impugnações deste edital acesse o link: https://cnetmobile.estaleiro.serpro.gov.br/comprasnet-web/public/landing?destino=quadro-informativo&amp;compra=98692105900412026 - Número compra: 90041 - Pregão - Eletrônico</t>
  </si>
  <si>
    <t>Prefeitura Municipal de Carapicuíba</t>
  </si>
  <si>
    <t>Carapicuíba</t>
  </si>
  <si>
    <t>Contratação de empresa especializada em engenharia para construção de empreendimentos habitacionais sem elevador neste município.</t>
  </si>
  <si>
    <t>Unidade compradora: 1 - MUNICIPIO DE CARAPICUIBA
Local: Carapicuíba/SP
Órgão: MUNICIPIO DE CARAPICUIBA
Id contratação PNCP: 44892693000140-1-000039/2026
Fonte: Sisvetor Informática Ltda
 - A construção de empreendimentos habitacionais de interesse social no Município de Carapicuíba configura se como necessidade premente e estratégica, destinada a atender á crescente demanda por moradia digna e segura, em consonância com as diretrizes de desenvolvimento urbano e habitacional sustentável. - Número compra: 07 - Concorrência - Eletrônica</t>
  </si>
  <si>
    <t>SAAE-Serviço Autônomo de Água e Esgoto de Jacareí</t>
  </si>
  <si>
    <t>* Registro de preços * * Licitação Eletrônica * PE 010/026 - RP PARA CONTRATAÇÃO DE EMPRESA ESPECIALIZADA PARA REALIZAÇÃO DE SERVIÇOS DE VÍDEO INSPEÇÃO E LEVANTAMENTO GEOFÍSICO POR GEORADAS</t>
  </si>
  <si>
    <t>Unidade compradora: 1 - GERAL
Local: Jacareí/SP
Órgão: SAAE SERVICO AUTONOMO DE AGUA E ESGOTO DE JACAREI
Id contratação PNCP: 48962625000160-1-000108/2026
Fonte: EMBRAS - EMPRESA BRASILEIRA DE TECNOLOGIA LTDA
 - Número compra: 10 - Pregão - Eletrônico</t>
  </si>
  <si>
    <t>Prefeitura Municipal da Estância Turística de Ibitinga</t>
  </si>
  <si>
    <t>Ibitinga</t>
  </si>
  <si>
    <t>* Registro de preços * * Licitação Eletrônica * REGISTRO DE PREÇOS PARA AQUISIÇÃO FUTURA E PARCELADA DE MATERIAIS DE CONSTRUÇÃO</t>
  </si>
  <si>
    <t>Unidade compradora: 1 - MUNICÍPIO DE IBITINGA
Local: Ibitinga/SP
Órgão: MUNICIPIO DA ESTANCIA TURISTICA DE IBITINGA
Id contratação PNCP: 45321460000150-1-000075/2026
Fonte: Fiorilli Software
 - Número compra: 33 - Pregão - Eletrônico</t>
  </si>
  <si>
    <t>Prefeitura Municipal de Divinolândia</t>
  </si>
  <si>
    <t>Divinolândia</t>
  </si>
  <si>
    <t>* Licitação Eletrônica * Registro de Preço para Futura e Eventual Aquisição de Materiais de Construção, Ferramentas e Tintas para uso de diversos departamentos da Prefeitura de Divinolândia - SP</t>
  </si>
  <si>
    <t>Modalidade - Pregão Eletrônico - 9/2026
Data de Cadastro/Horário: 07/04/2026 15:12:00
Data de Acolhimento/Horário: 07/04/2026 15:12:00
Data de Abertura/Horário: 07/04/2026 15:12:00
Data da Disputa/Horário: 09/04/2026 08:00:00
Status: Ativo</t>
  </si>
  <si>
    <t>Serviço Autônomo de Água e Esgoto de Aparecida</t>
  </si>
  <si>
    <t>* Licitação Eletrônica * AQUISIÇÃO DE MATERIAIS DESTINADOS À SUBSTITUIÇÃO DA REDE DE ABASTECIMENTO DE ÁGUA POTÁVEL DA RUA BENEDITO MACEDO * https://bllcompras.com *</t>
  </si>
  <si>
    <t>LOCAL: https://bllcompras.com/
Nº PROC. ADM: 620/2026
 TIPO CONTRATO: AQUISIÇÃO PARCELADA
 INÍCIO REC. PROPOSTA: 09/04/2026 08:30:00
 FIM REC. PROPOSTA: 23/04/2026 08:30:00
 INÍCIO DISPUTA: 23/04/2026 09:00:00
 CIDADE: APARECIDA
 FASE: PUBLICADO
 EXCLUSIVO ME: NÃO
 EXCLUSIVO REGIONAL: NÃO
 MODO DE DISPUTA: ABERTO
 TIPO DE LANCE: MENOR LANCE
 FONE PROMOTOR: 1231051530
 E-MAIL PROMOTOR: carlos.duque@saaeaparecida.sp.gov.br
 CONDUTOR: FLAVIO AUGUSTO DE OLIVEIRA
 AUTORIDADE: JEFFERCY DE SOUZA NUNES CHAD
 INFORMACÕES ADICIONAIS: 
 VALOR ESTIMADO: R$39.589,86</t>
  </si>
  <si>
    <t>Prefeitura Municipal de Guariba</t>
  </si>
  <si>
    <t>Guariba</t>
  </si>
  <si>
    <t>* Licitação Eletrônica * AQUISIÇÃO DE FERRAMENTAS E EQUIPAMENTOS DESTINADOS AS ATIVIDADES DE MANUTENÇÃO URBANA E PREDIAL. * https://bllcompras.com *</t>
  </si>
  <si>
    <t>LOCAL: https://bllcompras.com/
Nº PROC. ADM: 66/2026
 TIPO CONTRATO: REGISTRO DE PREÇO
 INÍCIO REC. PROPOSTA: 08/04/2026 07:30:00
 FIM REC. PROPOSTA: 23/04/2026 07:30:00
 INÍCIO DISPUTA: 23/04/2026 08:30:00
 CIDADE: GUARIBA
 FASE: PUBLICADO
 EXCLUSIVO ME: NÃO
 EXCLUSIVO REGIONAL: NÃO
 MODO DE DISPUTA: ABERTO
 TIPO DE LANCE: MENOR LANCE
 FONE PROMOTOR: 1632519422
 E-MAIL PROMOTOR: licitacao@guariba.sp.gov.br
 CONDUTOR: CALIMÉLIA ROSANA MOREIRA
 AUTORIDADE: FRANCISCO DIAS MANÇANO JUNIOR
 INFORMACÕES ADICIONAIS: 
 VALOR ESTIMADO: R$0,00</t>
  </si>
  <si>
    <t>Prefeitura Municipal de Cananéia</t>
  </si>
  <si>
    <t>Cananéia</t>
  </si>
  <si>
    <t>* Licitação Eletrônica * AQUISIÇÃO DE MÁQUINA AIRLESS PARA DEMARCAÇÃO VIÁRIA - PREGÃO N°007/2026 - EDITAL N°015/2026 - PROCESSO N°038/2026 * https://bllcompras.com *</t>
  </si>
  <si>
    <t>LOCAL: https://bllcompras.com/
Nº PROC. ADM: 038/2026
 TIPO CONTRATO: AQUISIÇÃO
 INÍCIO REC. PROPOSTA: 07/04/2026 16:00:00
 FIM REC. PROPOSTA: 24/04/2026 09:00:00
 INÍCIO DISPUTA: 24/04/2026 14:00:00
 CIDADE: CANANÉIA
 FASE: RECEPÇÃO DE PROPOSTAS
 EXCLUSIVO ME: SIM
 EXCLUSIVO REGIONAL: NÃO
 MODO DE DISPUTA: ABERTO
 TIPO DE LANCE: MENOR LANCE
 FONE PROMOTOR: 1338515100
 E-MAIL PROMOTOR: gabinete@cananeia.sp.gov.br
 CONDUTOR: ORDILAFO MAGNOSSÃO JUNIOR
 AUTORIDADE: ANDRÉ NOGUEIRA SANCHES
 INFORMACÕES ADICIONAIS:  PREGÃO N°007/2026 - EDITAL N°015/2026 - PROCESSO N°038/2026
 VALOR ESTIMADO: R$34.748,60</t>
  </si>
  <si>
    <t>* Licitação Eletrônica * Aquisição de hidrômetros velocimétricos tipo unijato e multijato, com transmissão magnética, nas classes metrológicas B H, A V e C H, bem como lacres cadeado tipo âncora, lacres tipo manivela com cordoalha de aço de 30 cm, arame galvanizado para lacração de hidrômetros, tampões cegos de polietileno para corte de água e rebites de repuxo, destinados ao Serviço de Água e Esgoto de Pirassununga. * https://bllcompras.com *</t>
  </si>
  <si>
    <t>LOCAL: https://bllcompras.com/
Nº PROC. ADM: 534/2026
 TIPO CONTRATO: AQUISIÇÃO
 INÍCIO REC. PROPOSTA: 08/04/2026 09:00:00
 FIM REC. PROPOSTA: 22/04/2026 08:30:00
 INÍCIO DISPUTA: 22/04/2026 09:00:00
 CIDADE: PIRASSUNUNGA
 FASE: PUBLICADO
 EXCLUSIVO ME: NÃO
 EXCLUSIVO REGIONAL: NÃO
 MODO DE DISPUTA: ABERTO
 TIPO DE LANCE: MENOR LANCE
 FONE PROMOTOR: 1935654511
 E-MAIL PROMOTOR: compras@saep.sp.gov.br
 CONDUTOR: ALECSANDRA ROSSANI SCHOLLING
 AUTORIDADE: PEDRO WESTPHAL NUNES
 INFORMACÕES ADICIONAIS: 
 VALOR ESTIMADO: R$332.709,01</t>
  </si>
  <si>
    <t>Prefeitura Municipal de Piedade</t>
  </si>
  <si>
    <t>Piedade</t>
  </si>
  <si>
    <t>* Licitação Eletrônica * CONTRATAÇÃO DE EMPRESA ESPECIALIZADA PARA A EXECUÇÃO DAS OBRAS DE PAVIMENTAÇÃO ASFÁLTICA, GUIAS E SARJETAS, DRENAGEM E SINALIZAÇÃO DAS VIAS PÚBLICAS, ESTRADA MUNICIPAL PDD 479, NO BAIRRO CAMPININHA NO MUNICÍPIO DE PIEDADE/SP, NOS TERMOS DA TRANSFERÊNCIA E * https://bllcompras.com *</t>
  </si>
  <si>
    <t>LOCAL: https://bllcompras.com/
Nº PROC. ADM: 7361/2025
 TIPO CONTRATO: AQUISIÇÃO
 INÍCIO REC. PROPOSTA: 07/04/2026 17:00:00
 FIM REC. PROPOSTA: 27/04/2026 09:20:00
 INÍCIO DISPUTA: 27/04/2026 09:30:00
 CIDADE: PIEDADE
 FASE: RECEPÇÃO DE PROPOSTAS
 EXCLUSIVO ME: NÃO
 EXCLUSIVO REGIONAL: NÃO
 MODO DE DISPUTA: ABERTO E FECHADO
 TIPO DE LANCE: MENOR LANCE
 FONE PROMOTOR: 1532448400
 E-MAIL PROMOTOR: gabinete@piedade.sp.gov.br
 CONDUTOR: TAINÁ CANDIDA PEREIRA DOMINGUES
 AUTORIDADE: RENALDO CORREA DA SILVA
 INFORMACÕES ADICIONAIS: Suporte de Fornecedores 41 3097-4600. Telefone da Prefeitura 15 3244-8400. Ramais 121 e 151. 
 VALOR ESTIMADO: R$1.179.314,88</t>
  </si>
  <si>
    <t>Prefeitura Municipal de Bauru</t>
  </si>
  <si>
    <t>CR/97007/2026</t>
  </si>
  <si>
    <t xml:space="preserve"> CONSTRUÇÃO de RESERVATÓRIO APOIADO CIRCULAR PARA ÁGUA POTÁVEL COM VOLUME ÚTIL DE 1000M³ NA ÁREA DO POÇO VAL DO PALMAS P01 EM BAURU, FABRICADO EM AÇO VITRIFICADO PARAFUSADO OU FABRICADO ATRAVÉS DO SISTEMA DE DOBRA DUPLA EM CHAPA GALVANIZADA E REVESTIMENTO INTERNO EM AÇO INOXIDÁVEL, COM TETO AUTO PORTANTE; BEM COMO TODA A OBRA DE URBANIZAÇÃO DO LOCAL DE IMPLANTAÇÃO COM FORNECIMENTO DE MATERIAIS, MÃO DE OBRA E EQUIPAMENTOS DE ACORDO COM O TERMO DE REFERÊNCIA E DEMAIS ANEXOS DES</t>
  </si>
  <si>
    <t>Unidade compradora: 986219 - PREFEITURA MUNICIPAL DE BAURU/SP
Local: Bauru/SP
Órgão: MUNICIPIO DE BAURU
Id contratação PNCP: 46137410000180-1-000147/2026
Fonte: Compras.gov.br
 Para as respostas de esclarecimentos e impugnações deste edital acesse o link: https://cnetmobile.estaleiro.serpro.gov.br/comprasnet-web/public/landing?destino=quadro-informativo&amp;compra=98621903970072026 - Número compra: 97007 - Concorrência - Eletrônica</t>
  </si>
  <si>
    <t>Prefeitura Municipal de Maracaí</t>
  </si>
  <si>
    <t>Maracaí</t>
  </si>
  <si>
    <t>* Licitação eletrônica * REGISTRO DE PREÇOS PARA AQUISIÇÃO DE EQUIPAMENTOS, ELETRODOMÉSTICOS, MOBILIÁRIOS E MATERIAIS DIVERSOS</t>
  </si>
  <si>
    <t>Site para a retirada do edital: www.maracai.sp.gov.br/licitacao e realização do pregão http://138.122.40.102:8079/comprasedital/. - Esclarecimentos: licitacao@maracai.sp.gov.br. -  Modo de disputa: aberto/fechado. - Critério de Julgamento: menor preço por item.</t>
  </si>
  <si>
    <t>Prefeitura Municipal de Bastos</t>
  </si>
  <si>
    <t>Bastos</t>
  </si>
  <si>
    <t>* Licitação Eletrônica * AQUISIÇÃO DE TINTAS E MATERIAIS DE PINTURA. * https://bllcompras.com *</t>
  </si>
  <si>
    <t>LOCAL: https://bllcompras.com/
Nº PROC. ADM: 73/2026
 TIPO CONTRATO: REGISTRO DE PREÇO
 INÍCIO REC. PROPOSTA: 10/04/2026 08:00:00
 FIM REC. PROPOSTA: 23/04/2026 08:00:00
 INÍCIO DISPUTA: 23/04/2026 10:00:00
 CIDADE: BASTOS
 FASE: PUBLICADO
 EXCLUSIVO ME: SIM
 EXCLUSIVO REGIONAL: NÃO
 MODO DE DISPUTA: ABERTO E FECHADO
 TIPO DE LANCE: MENOR LANCE
 FONE PROMOTOR: 1434789800
 E-MAIL PROMOTOR: gabinetedoprefeito@bastos.gv.br
 CONDUTOR: NATHALIA GRAZIELA YAMACUTI
 AUTORIDADE: KLEBER LOPES DE SOUSA
 INFORMACÕES ADICIONAIS: Para os lotes 14, 15, 16, 17, 18, 19, 20, 21, 22, 23, 24, 25, 37, 38, 39, 40, 41, 42, 43 e 44 exigem apresentação de amostras devendo ser apresentado no prazo máximo de 03 três dias após ser declarado arrematante do item.
 VALOR ESTIMADO: R$475.908,10</t>
  </si>
  <si>
    <t>SAAEB - Serviço Autônomo de Água e Esgotos de Bebedouro</t>
  </si>
  <si>
    <t>Bebedouro</t>
  </si>
  <si>
    <t>* Licitação Eletrônica * Registro de preços para aquisição futura e parcelada de materiais de construção, destinados à execução de obras de manutenção, reparos, ampliações e intervenções operacionais nos sistemas de abastecimento de água, esgotamento sanitário e demais estruturas operacionais administradas pelo Serviço Autônomo de Água e Esgoto de Bebedouro - SAAEB. * https://bllcompras.com *</t>
  </si>
  <si>
    <t xml:space="preserve">LOCAL: https://bllcompras.com/
Nº PROC. ADM: 06/2026
 TIPO CONTRATO: AQUISIÇÃO
 INÍCIO REC. PROPOSTA: 09/04/2026 09:00:00
 FIM REC. PROPOSTA: 22/04/2026 08:59:00
 INÍCIO DISPUTA: 22/04/2026 09:00:00
 CIDADE: BEBEDOURO
 FASE: PUBLICADO
 EXCLUSIVO ME: SIM
 EXCLUSIVO REGIONAL: NÃO
 MODO DE DISPUTA: ABERTO
 TIPO DE LANCE: MENOR LANCE
 FONE PROMOTOR: 1733445400
 E-MAIL PROMOTOR: licitacao@saaebambiental.sp.gov.br
 CONDUTOR: DAIANE FERNANDES DE SOUZA  RODRIGUES
 AUTORIDADE: ANTÔNIO FRANCISCO ARMELIN GOMES
 INFORMACÕES ADICIONAIS: SUPORTE AO FORNECEDOR 41 3097-4600. 
 VALOR ESTIMADO: R$236.421,75
 </t>
  </si>
  <si>
    <t>Penitenciária Florida Paulista</t>
  </si>
  <si>
    <t>Flórida Paulista</t>
  </si>
  <si>
    <t>* Licitação Eletrônica * Aquisição de materiais para manutenção e reforma</t>
  </si>
  <si>
    <t>Unidade compradora: 380229 - ESP-PENIT."AEVP CRISTIANO DE OLIVEIRA" F.PAUL
Local: Flórida Paulista/SP
Órgão: SAO PAULO SECRETARIA DA ADMINISTRACAO PENITENCIARIA
Id contratação PNCP: 96291141000180-1-001751/2026
Fonte: Compras.gov.br
 Para as respostas de esclarecimentos e impugnações deste edital acesse o link: https://cnetmobile.estaleiro.serpro.gov.br/comprasnet-web/public/landing?destino=quadro-informativo&amp;compra=38022905900042026 - Número compra: 90004 - Pregão - Eletrônico</t>
  </si>
  <si>
    <t>SAAE-Serviço Autônomo de Água e Esgoto do Municipio de Ibitinga</t>
  </si>
  <si>
    <t>* Licitação Eletrônica * REGISTRO DE PREÇOS PARA AQUISIÇÃO PARCELADA FUTURA DE MATERIAIS DE LIMPEZA, HIGIENE E DESCARTÁVEIS</t>
  </si>
  <si>
    <t>Prefeitura Municipal de Euclides da Cunha Paulista</t>
  </si>
  <si>
    <t>Euclides da Cunha Paulista</t>
  </si>
  <si>
    <t>PR/6/2026</t>
  </si>
  <si>
    <t>CONTRATAÇÃO DE EMPRESA PARA FORNECIMENTO DE AREIA LAVADA, COM TRANSPORTE E DESCARGA, DESTINADA À MANUTENÇÃO E RECUPERAÇÃO DA ORLA DO BALNEÁRIO MUNICIPAL DE EUCLIDES DA CUNHA PAULISTA</t>
  </si>
  <si>
    <t>Modalidade - Pregão Presencial - 6/2026
Data de Cadastro/Horário: 07/04/2026 08:01:00
Data de Acolhimento/Horário: 07/04/2026 08:01:00
Data de Abertura/Horário: 07/04/2026 08:00:00
Data da Disputa/Horário: 07/04/2026 08:00:00
Status: Ativo</t>
  </si>
  <si>
    <t>Prefeitura Municipal de Jaboticabal</t>
  </si>
  <si>
    <t>Jaboticabal</t>
  </si>
  <si>
    <t>* Licitação Eletrônica * Registro de Preços visando a futura e eventual aquisição de equipamentos, ferramentas e peças de reposição para os trabalhos das equipes e jardinagem, roçamento da Secretaria Municipal de Obras e Serviços Públicos * https://bllcompras.com *</t>
  </si>
  <si>
    <t>LOCAL: https://bllcompras.com/
Nº PROC. ADM: 3.481-9/2026
 TIPO CONTRATO: REGISTRO DE PREÇO
 INÍCIO REC. PROPOSTA: 08/04/2026 11:00:00
 FIM REC. PROPOSTA: 24/04/2026 08:30:00
 INÍCIO DISPUTA: 24/04/2026 09:00:00
 CIDADE: JABOTICABAL
 FASE: RECEPÇÃO DE PROPOSTAS
 EXCLUSIVO ME: NÃO
 EXCLUSIVO REGIONAL: NÃO
 MODO DE DISPUTA: ABERTO
 TIPO DE LANCE: MENOR LANCE
 FONE PROMOTOR: 1632093322
 E-MAIL PROMOTOR: compras@jaboticabal.sp.gov.br
 CONDUTOR: RODRIGO DE OLIVEIRA FENERICH
 AUTORIDADE: EMERSON RODRIGO CAMARGO
 INFORMACÕES ADICIONAIS: SUPORTE AO FORNECEDOR: 41 3097-4600
 VALOR ESTIMADO: R$93.311,09</t>
  </si>
  <si>
    <t xml:space="preserve">* Licitação eletrônica * registro de preços para eventual aquisição de materiais básicos de construção e revestimentos cerâmicos para manutenção de bens imóveis, vias públicas e parcerias, de forma parcelada, por um período de 12 doze meses. </t>
  </si>
  <si>
    <t>RECEBIMENTO DE PROPOSTAS INICIAIS ATÉ: 24/04/26 ÀS 09H00. INÍCIO DA SESSÃO PÚBLICA: 24/04/26 ÀS 09H01.
Para aquisição do edital, os interessados deverão acessar os sites http://www.atibaia.sp.gov.br e http://www.portaldecompraspublicas. com.br ou ainda, na sede da Prefeitura da Estancia de Atibaia, em dias uteis das 10 h as 16 h, apos recolhimento do valor correspondente ao custo das copias que serão fornecidas. PUBLICADO NA SECRETARIA DE ADMINISTRAÇÃO - DEPARTAMENTO DE LICITAÇÕES, 07 de abril de 2.026. Patricia Maria Machado Santos - Secretária de Administração</t>
  </si>
  <si>
    <t>Prefeitura Municipal de Flora Rica</t>
  </si>
  <si>
    <t>Flora Rica</t>
  </si>
  <si>
    <t>contratação de empresa especializada com fornecimento de mão-de-obra, materiais de primeira linha e equipamentos necessários para execução de obra de infraestrutura urbana - Galerias de Águas Pluviais em pontos de alagamentos das Ruas: Rua Maria de Jesus Pereira Sena / Rua Benigno Pereira / Rua Mirian Nardi Vieira, Bacia de Contribuição 04, no município de Flora Rica, tendo em vista o Contrato de Financiamento com Recursos Não Reembolsáveis Nº 308/2025 FEHIDRO - FUNDO ESTADUAL DE RECURSOS HÍDRICOS, de acordo com Estudo Técnico Preliminar, Termo de Referência, Memorial Descritivo, Memorial de Cálculos, Memorial Fotográfico, Planilha Orçamentária, Cronograma físico-financeiro, Quadro de Composição BDI e Projetos</t>
  </si>
  <si>
    <t>Modalidade - Concorrência Pública - 3/2026
Data de Cadastro/Horário: 07/04/2026 11:30:00
Data de Acolhimento/Horário: 07/04/2026 11:30:00
Data de Abertura/Horário: 16/04/2026 08:00:00
Data da Disputa/Horário: 08/04/2026 08:00:00
Status: Ativo</t>
  </si>
  <si>
    <t>Prefeitura Municipal de Guarantã</t>
  </si>
  <si>
    <t>Guarantã</t>
  </si>
  <si>
    <t>* Licitação eletrônica * Registro de Preços para a Aquisição de Materiais de Construção, conforme especificações constantes do Termo de Referência, que integra este Edital como Anexo I.Tipo: Menor Preço.</t>
  </si>
  <si>
    <t>A realização da sessão
será no dia 30/04/2026, às 08h30 no endereço eletrônico:
http://compras.guaranta.sp.gov.br:8787/comprasedital/
Prazo limite para solicitação da chave de acesso:
29/04/2026, às 12:55 horas.
A Retirada do edital acima mencionado, em seu
completo teor, e demais informações, poderá ser solicitada
na Prefeitura do Município de Guarantã/SP, no
Departamento de Licitação e Contratos ou pelo site:
http://www.guaranta.sp.gov.br/ e
http://compras.guaranta.sp.gov.br:8787/comprasedital/
Maiores informações, poderão ser obtidas pelo fone
14 3586-3300 - Ramal 8, em dias úteis, no horário de
expediente: 07:00 às 13:00 horas, de segunda-feira a
sexta-feira, na Avenida Altino Cardoso, n° 156 - centro -
Guarantã/SP, E-mail: licitacao@guaranta.sp.gov.br
Guarantã, 06 de abril de 2026.
Marcos Roberto Frugeri - Prefeito Municipal</t>
  </si>
  <si>
    <t>Penitenciaria João Augustinho Panucci de Maraba Paulista</t>
  </si>
  <si>
    <t>Marabá Paulista</t>
  </si>
  <si>
    <t>* Licitação Eletrônica * Aquisição de materiais de consumo para reposição de estoque do almoxarifado desta Unidade.</t>
  </si>
  <si>
    <t>Unidade compradora: 380228 - ESP-PENIT. JOAO A. PANUCCI DE MARABA PTA
Local: Marabá Paulista/SP
Órgão: SAO PAULO SECRETARIA DA ADMINISTRACAO PENITENCIARIA
Id contratação PNCP: 96291141000180-1-001759/2026
Fonte: Compras.gov.br
 Para as respostas de esclarecimentos e impugnações deste edital acesse o link: https://cnetmobile.estaleiro.serpro.gov.br/comprasnet-web/public/landing?destino=quadro-informativo&amp;compra=38022805900032026 - Número compra: 90003 - Pregão - Eletrônico</t>
  </si>
  <si>
    <t>CONTRATAÇÃO EMERGENCIAL DE EMPRESA ESPECIALIZADA NO RAMO DE ENGENHARIA OU ARQUITETURA PARA EXECUÇÃO DE OBRA DE CONSTRUÇÃO DE CONTENÇÃO E DRENAGEM DA VIA DE ACESSO, LOCALIZADA NA ALAMEDA VASCO PIGOZZI, NO MUNICÍPIO DE OSVALDO CRUZ/SP, COM FORNECIMENTO... * www.portaldecompraspublicas.com.br *</t>
  </si>
  <si>
    <t>Órgão: Prefeitura Municipal de Osvaldo Cruz - Prefeitura Municipal de Osvaldo Cruz - SP
				Processo: 482026
				Edital: 15/2026
				Modalidade: Dispensa
				Início de envio das propostas: 09-04-2026 ás 09:00
				Término de envio das propostas: 14/04/2026 ás 08:59		
				Início dos lances: 14/04/2026 ás 09:00</t>
  </si>
  <si>
    <t>PE/84/2026</t>
  </si>
  <si>
    <t>* Licitação Eletrônica * AQUISIÇÃO DE EQUIPAMENTOS, MATERIAIS PERMANENTES E OUTROS QUE SERÃO UTILIZADOS PELA EQUIPE DO SERVIÇO DE ATENDIMENTO DOMICILIAR  SAD  AOS PACIENTES USUÁRIOS SUS CADASTRADOS NO SERVIÇO DOMICILIAR DO MUNICÍPIO, AMBULATÓRIO DE SAÚDE AUDITIVA,...</t>
  </si>
  <si>
    <t>Órgão: Prefeitura Municipal de Franca - Prefeitura Municipal de Franca - SP
				Processo: 19264/2025
				Edital: 84/2026
				Modalidade: Pregão
				Início de envio das propostas: 09-04-2026 ás 08:00
				Término de envio das propostas: 05/05/2026 ás 09:30		
				Início dos lances: 05/05/2026 ás 09:31</t>
  </si>
  <si>
    <t>PE/83/2026</t>
  </si>
  <si>
    <t>* Licitação Eletrônica * Fornecimento de conexões de ferro fundido dúctil, sendo que os itens que compõem os lotes 3 a 6 já foram objeto de pré-qualificação. * http://www.licitacoes-e.com.br *</t>
  </si>
  <si>
    <t>Edital : 83/2026 
Modalidade : Pregão 
Nº Licitação : 1090271 
Início acolhimento de propostas : 22/04/2026-08:00 
Limite acolhimento de propostas : 24/04/2026-08:00 
Abertura das propostas : 24/04/2026-08:00 
Data e a hora da disputa : 24/04/2026-09:00 
Pregoeiro : FERNANDO BORGES DOS REIS BARBOSA</t>
  </si>
  <si>
    <t>PE/78/2026</t>
  </si>
  <si>
    <t>* Licitação Eletrônica * REGISTRO DE PREÇOS PARA AQUISIÇÃO DE TUBOS DE POLIETILENO DE ALTA DENSIDADE PEAD.</t>
  </si>
  <si>
    <t>Órgão: Prefeitura Municipal de Franca - Prefeitura Municipal de Franca - SP
				Processo: 07600/2026
				Edital: 78/2026
				Modalidade: Pregão para Registro de Preço
				Início de envio das propostas: 09-04-2026 ás 08:00
				Término de envio das propostas: 06/05/2026 ás 14:30		
				Início dos lances: 06/05/2026 ás 14:31</t>
  </si>
  <si>
    <t>Serviço Autônomo de Água e Esgoto de Cordeirópolis</t>
  </si>
  <si>
    <t>Cordeirópolis</t>
  </si>
  <si>
    <t xml:space="preserve">* Registro de preços * * Licitação Eletrônica * AQUISICAO DE MATERIAIS ELETRICOS </t>
  </si>
  <si>
    <t xml:space="preserve">Unidade compradora: 1 - Serviço Autônomo de Água e Esgoto de Cordeirópolis
Local: Cordeirópolis/SP
Órgão: SERVICO AUTONOMO DE AGUA E ESGOTO
Id contratação PNCP: 45754108000108-1-000066/2026
Fonte: CONAM Consultoria em Administração Municipal
 - Número compra: 00003 - Pregão - Eletrônico
 </t>
  </si>
  <si>
    <t>* Registro de preços * * Licitação Eletrônica * REGISTRO DE PREÇOS PARA AQUISIÇÃO FUTURA PARCELADA DE MATERIAIS ELÉTRICOS</t>
  </si>
  <si>
    <t>Unidade compradora: 1 - MUNICÍPIO DE IBITINGA
Local: Ibitinga/SP
Órgão: MUNICIPIO DA ESTANCIA TURISTICA DE IBITINGA
Id contratação PNCP: 45321460000150-1-000076/2026
Fonte: Fiorilli Software
 - Número compra: 34 - Pregão - Eletrônico</t>
  </si>
  <si>
    <t>SENAI-Serviço Nacional de Aprendizagem Industrial - SP</t>
  </si>
  <si>
    <t>PE/133/2026</t>
  </si>
  <si>
    <t xml:space="preserve"> AQUISIÇÃO DE COMPONENTES DE AUTOMAÇÃO INDUSTRIAL RELÉS, INTERFACE 2 CANAIS, BOTÕES 2 E 4 CANAIS, INTERRUPTORES, ENTRE OUTROS PARA USO NOS CURSOS DAS UNIDADES DO SENAI-SP</t>
  </si>
  <si>
    <t>Órgão: SERVICO NACIONAL DE APRENDIZAGEM INDUSTRIAL
Id: 1090933
Edital: 133/2026
Modalidade: Pregão
Tipo: Menor preço
Pregoeiro: CLAUDIA FERREIRA
Participação do fornecedor: Ampla
Data de publicação: 08/04/2026
Início do acolhimento de propostas: 08/04/2026 10:30
Limite do acolhimento de propostas: 22/04/2026 09:30
Data e hora da disputa: 22/04/2026 09:30</t>
  </si>
  <si>
    <t>Prefeitura Municipal de Mirassol</t>
  </si>
  <si>
    <t>Mirassol</t>
  </si>
  <si>
    <t>* Licitação Eletrônica * Aquisição de materiais diversos para instalação de sinalização viária para a Secretaria Municipal de Trânsito e Segurança Pública. * https://bllcompras.com *</t>
  </si>
  <si>
    <t>LOCAL: https://bllcompras.com/
Nº PROC. ADM: 88/2026
 TIPO CONTRATO: AQUISIÇÃO
 INÍCIO REC. PROPOSTA: 08/04/2026 18:00:00
 FIM REC. PROPOSTA: 27/04/2026 09:00:00
 INÍCIO DISPUTA: 27/04/2026 09:05:00
 CIDADE: MIRASSOL
 FASE: PUBLICADO
 EXCLUSIVO ME: NÃO
 EXCLUSIVO REGIONAL: NÃO
 MODO DE DISPUTA: ABERTO
 TIPO DE LANCE: MENOR LANCE
 FONE PROMOTOR: 1732438120
 E-MAIL PROMOTOR: licitacao@mirassol.sp.gov.br
 CONDUTOR: JOSE RENATO DOS SANTOS FILHO
 AUTORIDADE: MILTON FÁBIO BUSQUIM ZANINI
 INFORMACÕES ADICIONAIS: Diretamente nos sites www.bll.org.br, www.mirassol.sp.gov.br e https://www.gov.br/pncp/pt-br, e na Praça Dr. Anísio José Moreira nº 2290, Centro, Mirassol, Estado de São Paulo, Fone: 17 3243-8160, de 2ª à 6ª feira, das 09:00 às 16:00 horas.
 VALOR ESTIMADO: R$136.426,00</t>
  </si>
  <si>
    <t>* Licitação Eletrônica * CONTRATAÇÃO DE EMPRESA PARA FORNECIMENTO DE MATERIAIS DE LIGA DE COBRE LATÃO E BRONZE * https://bnccompras.com *</t>
  </si>
  <si>
    <t>LOCAL: https://bnccompras.com/
Nº PROC. ADM: 2026/003778
 TIPO CONTRATO: AQUISIÇÃO
 INÍCIO REC. PROPOSTA: 09/04/2026 08:30:00
 FIM REC. PROPOSTA: 23/04/2026 08:30:00
 INÍCIO DISPUTA: 23/04/2026 09:00:00
 CIDADE: PIRACICABA
 FASE: PUBLICADO
 EXCLUSIVO ME: NÃO
 EXCLUSIVO REGIONAL: NÃO
 MODO DE DISPUTA: ABERTO
 TIPO DE LANCE: MENOR LANCE
 FONE PROMOTOR: 1934039614
 E-MAIL PROMOTOR: licitacao@semaepiracicaba.sp.gov.br
 CONDUTOR: ALANA FERNANDES
 AUTORIDADE: ALANA FERNANDES
 VALOR ESTIMADO: R$702.899,20
 - Licitação sujeita a confirmação pois não foi informado que trata-se de prorrogação.</t>
  </si>
  <si>
    <t>* Licitação Eletrônica * CONTRATAÇÃO DE EMPRESA PARA O FORNECIMENTO DE CONJUNTO MOTOBOMBA DO TIPO SUBMERSÍVEL * https://bnccompras.com *</t>
  </si>
  <si>
    <t>LOCAL: https://bnccompras.com/
Nº PROC. ADM: 2026/002360
 TIPO CONTRATO: AQUISIÇÃO
 INÍCIO REC. PROPOSTA: 09/04/2026 08:30:00
 FIM REC. PROPOSTA: 23/04/2026 08:30:00
 INÍCIO DISPUTA: 23/04/2026 09:00:00
 CIDADE: PIRACICABA
 FASE: PUBLICADO
 EXCLUSIVO ME: NÃO
 EXCLUSIVO REGIONAL: NÃO
 MODO DE DISPUTA: ABERTO
 TIPO DE LANCE: MENOR LANCE
 FONE PROMOTOR: 1934039614
 E-MAIL PROMOTOR: licitacao@semaepiracicaba.sp.gov.br
 CONDUTOR: ALANA FERNANDES
 AUTORIDADE: ALANA FERNANDES
 VALOR ESTIMADO: R$994.576,67
 - Licitação sujeita a confirmação pois não foi informado que trata-se de prorrogação.</t>
  </si>
  <si>
    <t>Licitação - CONTRATAÇÃO DE EMPRESA ESPECIALIZADA PARA EXECUÇÃO DE INFRAESTRUTURA COM SERVIÇOS DE PAVIMENTAÇÃO ASFÁLTICA PARA INTERLIGAÇÃO DOS BAIRROS VILA RICA E ARARETAMA, INTERLIGANDO A AVENIDA ABEL CORRÊA GUIMARÃES À UPA DO ARARETAMA, NO MUNICÍPIO DE PINDAMONHANGABA, COM FORNECIMENTO DE MATERIAL E MÃO-DE-OBRA.</t>
  </si>
  <si>
    <t>Concorrência - Eletrônica - Pindamonhangaba - SMSP = Valor: R$ 2.998.798,27</t>
  </si>
  <si>
    <t>Prefeitura Municipal de São Sebastião</t>
  </si>
  <si>
    <t>São Sebastião</t>
  </si>
  <si>
    <t>* Licitação Eletrônica * REGISTRO DE PREÇOS PARA AQUISIÇÃO, INSTALAÇÃO E MANUTENÇÃO DE GRAMA SINTÉTICA EM DIFERENTES ESPECIFICAÇÕES E DIMENSÕES, DESTINADA À APLICAÇÃO EM ÁREAS PÚBLICAS DE RECREAÇÃO, ESPORTE E LAZER DO MUNICÍPIO DE SÃO SEBASTIÃO/SP. * https://bllcompras.com *</t>
  </si>
  <si>
    <t>LOCAL: https://bllcompras.com/
Nº PROC. ADM: 5679/2026
 TIPO CONTRATO: REGISTRO DE PREÇO
 INÍCIO REC. PROPOSTA: 08/04/2026 08:00:00
 FIM REC. PROPOSTA: 22/04/2026 08:00:00
 INÍCIO DISPUTA: 22/04/2026 09:00:00
 CIDADE: SÃO SEBASTIÃO
 FASE: PUBLICADO
 EXCLUSIVO ME: NÃO
 EXCLUSIVO REGIONAL: NÃO
 MODO DE DISPUTA: ABERTO
 TIPO DE LANCE: MENOR LANCE
 FONE PROMOTOR: 1238912025
 E-MAIL PROMOTOR: secad.licitacao@gmail.com
 CONDUTOR: DARCIMARA BASÍLIO PAYÁ LIMA
 AUTORIDADE: GELSON ANICETO DE SOUZA
 INFORMACÕES ADICIONAIS: Suporte - 41 3097-4600 -  contato@bll.org.br
 VALOR ESTIMADO: R$2.527.130,00</t>
  </si>
  <si>
    <t>Prefeitura Municipal de São José da Bela Vista</t>
  </si>
  <si>
    <t>São José da Bela Vista</t>
  </si>
  <si>
    <t>* Licitação Eletrônica * CONTRATAÇÃO DE EMPRESA DE ENGENHARIA PARA EXECUÇÃO DE MELHORIA DO SISTEMA PÚBLICO DE ABASTECIMENTO DE ÁGUA NO MUNICÍPIO DE SÃO JOSÉ DA BELA VISTA-SP CAPITAÇÃO, TRATAMENTO, ARMAZENAMENTO E DISTRIBUIÇÃO DE ÁGUA.</t>
  </si>
  <si>
    <t>Unidade compradora: 020800 - SECRETARIA DE OBRAS E SERVIÇOS PUBLICOS
Local: São José da Bela Vista/SP
Órgão: MUNICIPIO DE SAO JOSE DA BELA VISTA
Id contratação PNCP: 59851600000106-1-000019/2026
Fonte: EDDYDATA SERVICOS DE INFORMATICA LTDA
CONTRATAÇÃO DE EMPRESA DE ENGENHARIA PARA EXECUÇÃO DE MELHORIA DO SISTEMA PÚBLICO DE ABASTECIMENTO DE ÁGUA NO MUNICÍPIO DE SÃO JOSÉ DA BELA VISTA-SP CAPITAÇÃO, TRATAMENTO, ARMAZENAMENTO E DISTRIBUIÇÃO DE ÁGUA - Número compra: 00001 - Concorrência - Eletrônica</t>
  </si>
  <si>
    <t>Prefeitura Municipal de São José dos Campos</t>
  </si>
  <si>
    <t>São José dos Campos</t>
  </si>
  <si>
    <t>* Licitação Eletrônica * AQUISICAO DE PLACA DE POLICARBONATO ALVEOLAR</t>
  </si>
  <si>
    <t>Unidade compradora: 020 - SECRETARIA DE GESTAO ADMINISTRATIVA E FINANCAS
Local: São José dos Campos/SP
Órgão: MUNICIPIO DE SAO JOSE DOS CAMPOS
Id contratação PNCP: 46643466000106-1-000239/2026
Fonte: Município de São José dos Campos
 - Número compra: PREGAO ELETRONICO: 53/2026/SGAF - Pregão - Eletrônico</t>
  </si>
  <si>
    <t>Instituto de Previdência de Santo André</t>
  </si>
  <si>
    <t>Santo André</t>
  </si>
  <si>
    <t>* Licitação Eletrônica * Aquisição de materiais de manutenção 2026, para atender demanda do Instituto de Previdência de Santo André * https://jornaldolicitante.com.br *</t>
  </si>
  <si>
    <t>Segmento: ENGENHARIA - MATERIAIS
 - Licitação sujeita a confirmação pois não foi informado que trata-se de prorrogação.</t>
  </si>
  <si>
    <t>* Licitação Eletrônica * AQUISIÇÃO DE DATALOGGERS PARA MEDIÇÃO DE VAZÃO POR PULSO, DESTINADOS AO ESTOQUE DE INSTRUMENTOS DE MONITORAMENTO DO SAAE * https://jornaldolicitante.com.br *</t>
  </si>
  <si>
    <t>Segmento: Equipamentos/ferramentas
 - Licitação sujeita a confirmação pois não foi informado que trata-se de prorrogação.</t>
  </si>
  <si>
    <t>Prefeitura Municipal de Mogi Mirim</t>
  </si>
  <si>
    <t>Mogi Mirim</t>
  </si>
  <si>
    <t>* Registro de preços * * Licitação Eletrônica * Registro de preços para futuras e eventuais aquisições de insumos para o efetivo da Guarda Civil Municipal e Bombeiro Civil Municipal do município de Mogi Mirim/SP.</t>
  </si>
  <si>
    <t>Unidade compradora: 986717 - PREFEITURA MUNICIPAL DE MOJI-MIRIM - SP
Local: Mogi Mirim/SP
Órgão: MUNICIPIO DE MOGI-MIRIM
Id contratação PNCP: 45332095000189-1-000036/2026
Fonte: Compras.gov.br
 Para as respostas de esclarecimentos e impugnações deste edital acesse o link: https://cnetmobile.estaleiro.serpro.gov.br/comprasnet-web/public/landing?destino=quadro-informativo&amp;compra=98671705900212026 - Número compra: 90021 - Pregão - Eletrônico</t>
  </si>
  <si>
    <t>Instituto de Previdência do Município de Taubaté</t>
  </si>
  <si>
    <t>* Licitação Eletrônica * Aquisição de velas, boias e torneiras para filtro de barro - ** www.comprasbr.com.br **</t>
  </si>
  <si>
    <t>Prefeitura Municipal de Fátima</t>
  </si>
  <si>
    <t>Fátima</t>
  </si>
  <si>
    <t>* Licitação Eletrônica * REGISTRO DE PREÇOS PARA CONTRATAÇÃO EMPRESA CONTRATAÇÃO EMPRESA PARA FORNECIMENTO DE CONCRETO USINADO FCK 10 MPA PARA APLICAÇÃO NO MUNICÍPIO DE FÁTIMA - TO</t>
  </si>
  <si>
    <t>PREFEITURA MUNICIPAL DE FÁTIMA - Fátima - TO
Id: 1050
PREGÃO ELETRÔNICO</t>
  </si>
  <si>
    <t>Prefeitura Municipal de Governador Valadares</t>
  </si>
  <si>
    <t>Governador Valadares</t>
  </si>
  <si>
    <t>PE/90101/2025</t>
  </si>
  <si>
    <t>* Registro de preços * * Licitação Eletrônica * Registro de preço para aquisição de equipamentos médico-hospitalares para atender a demanda da Secretaria Municipal de Saúde SMS.</t>
  </si>
  <si>
    <t xml:space="preserve">O MUNICÍPIO DE GOVERNADOR VALADARES/MG, torna
público O AVISO DE REPUBLICAÇÃO DA LICITAÇÃO PREGÃO
ELETRÔNICO Nº 90101/2025, "Menor Preço Por Item - Pregão" referente o Registro de preço para aquisição de equipamentos médico-hospitalares para atender a demanda da Secretaria Municipal de Saúde.
Considerando que o EDITAL FOI RETIFICADO. Nova sessão está
agendada. O edital encontra-se à disposição dos interessados, para
exame e aquisição, através dos sites www.gov.br/compras e https://
www.valadares.mg.gov.br/licitacoes. O RECEBIMENTO DAS PROPOSTAS DAR-SE-Á: até às 09:00 do dia 22 de abril de 2026. O INÍCIO DA SESSÃO DE DISPUTA DE PREÇOS COM ANÁLISE DAS
PROPOSTAS: a partir das 09:00hs do dia 22 de abril de 2026, com os
representantes das licitantes devidamente credenciados e quantos interessarem. Governador Valadares, 07 de abril de 2026. </t>
  </si>
  <si>
    <t>PROCESSO LICITATÓRIO Nº 018/2026
CONCORRÊNCIA ELETRÔNICA Nº 002/2026
TIPO DE JULGAMENTO: MENOR PREÇO
RETIFICADO
REGIDO PELA LEI N° 14.133/2021, LEI COMPLEMENTAR nº 123/06 E DECRETO
MUNICIPAL Nº 2931/2024.
OBJETO: A presente Licitação tem por objeto a contratação de empresa especializada em
serviços de construção civil destinada à execução de obra para edificação da estrutura física
do transbordo de resíduos sólidos urbanos RSU, provenientes da coleta domiciliar e
comercial. Em atendimento a Secretaria Municipal de Meio Ambiente, Desenvolvimento
Econômico, Industrial e Agropecuário. Recurso: c/c: 20.287-8.
Em atendimento a Secretaria Municipal de Meio Ambiente, Desenvolvimento Econômico,
Industrial e Agropecuário.
DA SESSÃO PÚBLICA VIRTUAL DA CONCORRÊNCIA - HORÁRIO DE
BRASÍLIA
INTERESSADO: PREFEITURA MUNICIPAL DE CRUZÍLIA-MG
DATA DE ABERTURA DE PROPOSTAS: 26/03/2026 às 17h
RECEBIMENTO DE PROPOSTAS: Até as 08h09min de 23/04/2026
ABERTURA DAS PROPOSTAS: 08h10min de 23/04/2026
REFERÊNCIA DE TEMPO: HORÁRIO DE BRASÍLIA.
LOCAL DA SESSÃO PÚBLICA: PLATAFORMA DE LICITAÇÕES LICITAR DIGITAL
- www.licitardigital.com.br
ATO Nº 051/2025 de 12 de março de 2025: Agente de Contratação/Pregoeiro
VALOR ESTIMADO GLOBAL DE CONTRATAÇÃO: R$ 581.903,43 quinhentos e
oitenta e um mil novecentos e três reais e quarenta e três centavos.
TIPO: MENOR PREÇO
MODO DE DISPUTA: ABERTO-FECHADO
ESCLARECIMENTOS:
Diretamente pela plataforma de licitações - www.licitardigital.com.br &gt; Edital CE
002/2026 &gt; esclarecimentos.
Telefones: 35 2274-0100 Ramal 05
Horário de funcionamento: 08h00 min. às 11h00 min e de 12h30 min às 17h00min</t>
  </si>
  <si>
    <t>Prefeitura Municipal de Dores de Guanhães</t>
  </si>
  <si>
    <t>Dores de Guanhães</t>
  </si>
  <si>
    <t>* Licitação eletrônica * * Registro de preços *  REGISTRO DE PREÇO PARA AQUISIÇÃO DE MATERAIS ESPORTIVOS PARA ATENDER A SECRETARIA DE DESENVOLVIMENTO ECONÔMICO, CULTURA, ESPORTE, LAZER E TURISMO DO MUNICÍPIO DE DORES DE GUANHÃES/MG.</t>
  </si>
  <si>
    <t>AVISO DE RETIFICAÇÃO PREGÃO
ELETRÔNICO Nº 005/2026
 A P.M. de Dores de Guanhães-Mg Torna Público O Processo Licitatório Nº 013/2026. Tipo Menor Preço Registro de Preços para futura e
eventual aquisição de materiais esportivos, visando atender às demandas da Secretaria Municipal de Desenvolvimento Econômico, Cultura,
Esporte, Lazer e Turismo e demais secretarias do Município de Dores de Guanhães/MG. 
Entrega das propostas a partir do dia 08 de abril de2026 as 09h00. no site https://licitanet.com.br. 
Encerramento de envio de Proposta e Habilitação e Início da Sessão Eletrônica dia 27 de abril de 2026 às 09hs00min. 
O edital e anexos encontram-se disponível no site do município https://doresdeguanhaes.mg.gov.br ou portal https://licitanet.com.br</t>
  </si>
  <si>
    <t>* Licitação Eletrônica * REGISTRO DE PREÇO PARA FUTURA E EVENTUAL AQUISIÇÃO DE MATERIAIS E EQUIPAMENTOS DE PINTURA, ATENDENDO ÀS DIVERSAS SECRETARIAS MUNICIPAIS, FUNPESPA E SAMAE. * https://bnccompras.com *</t>
  </si>
  <si>
    <t xml:space="preserve">ESTADO DO PARANÁ PREFEITURA MUNICIPAL DE ANDIRÁ SECRETARIA MUNICIPAL DE ADMINISTRAÇÃO AVISO DE LICITAÇÃO - PREGÃO ELETRÔNICO Nº 011 - 2026 - RETIFICAÇÃO OBJETO: REGISTRO DE PREÇO PARA FUTURA E EVENTUAL AQUISIÇÃO DE MATERIAIS E EQUIPAMENTOS DE PINTURA, ATENDENDO ÀS DIVERSAS SECRETARIAS MUNICIPAIS, FUNPESPA E SAMAE. DISPONIBILIDADE DO EDITAL: A partir do dia 08/04/2026. RECEBIMENTO DAS PROPOSTAS: Até às 08h59min do dia 27/04/2026. INÍCIO DA SESSÃO DE DISPUTA DE PREÇOS: às 09h00min do dia 27/04/2026. LOCAL: BNC Bolsa Nacional de Compras - www.bnc.org.br. EDITAL: sítio da PMA: https://andira.pr.gov.br/licitacoes ou Portal da Transparência: https://servicos.andira.pr.gov.br:9095/portaltransparencia/1/licitacoes. INFORMAÇÕES ADICIONAIS: 0800 115 1500 Ramal 229 ou licitacao@andira.pr.gov.br.   Andirá, 07 de abril de 2026.   STÉPHANIE DOS SANTOS PAPINI SOUZA Pregoeira Municipal   Publicado por: Stephanie Dos Santos Papini Souza Código Identificador:8C336041 Matéria publicada no Diário Oficial dos Municípios do Paraná no dia 08/04/2026. Edição 3505 </t>
  </si>
  <si>
    <t>SM/7004583147</t>
  </si>
  <si>
    <t>* Licitação Eletrônica *  Condutivímetro de Etanol</t>
  </si>
  <si>
    <t>AVISO DE RETIFICAÇÃO
LICITACÃO No. 7004583147
ERRATA DO AVISO DE LICITACAO, publicado no Diário Oficial da União Edição
62, de 01/04/2026, Seção 3, página 175, relativo à Licitação, na Forma Eletrônica N.
7004583147, cujo objeto é, fornecimento de bens, conforme definido no Edital de Licitação
e seus Adendos. A abertura das propostas será realizada no dia 14/04/2026 às 17
horas.
Obs.: A consulta ao edital e o processamento da licitação serão realizados no
portal www.petronect.com.br.</t>
  </si>
  <si>
    <t>Prefeitura Municipal de Paracatu</t>
  </si>
  <si>
    <t>Paracatu</t>
  </si>
  <si>
    <t xml:space="preserve"> CONTRATAÇÃO DE EMPRESA ESPECIALIZADA EXECUÇÃO DE REDE DE DRENAGEM SUPERFICIAL E PROFUNDA, PAVIMENTAÇÃO ASFÁLTICA, SINALIZAÇÃO, MEIOS FIOS E CALÇADAS DA REGIÃO MATINHO DIVISA DOS  BAIRROS BELA VISTA E SANTA LUCIA EM PARACATU - MG</t>
  </si>
  <si>
    <t>1º AVISO DE ADIAMENTO E ALTERAÇÃO, CONCORRÊNCIA ELETRÔNICA Nº 02/2026 - PROCESSO DE COMPRAS Nº 19/2026 - O Diretor do Departamento de Licitações da Prefeitura Municipal de Paracatu torna público que, por conveniência administrativa, a abertura do certame supramencionado -- anteriormente designada para o dia 22 de abril de 2026 -- fica ADIADA para o dia 27 de abril de 2026, às 09:00 horas. Informa, outrossim, que o edital sofreu alterações. O instrumento convocatório atualizado encontra-se disponível nos endereços eletrônicos: www.paracatu.mg.gov.br, www.novobbmnet.com.br e no Portal Nacional de Contratações Públicas www.gov.br/pncp. Mais informações podem ser obtidas pelo telefone 38 3677-9010 ou diretamente na sede da Prefeitura. Paracatu MG, 07 de abril de 2026.</t>
  </si>
  <si>
    <t>MINISTÉRIO DA DEFESA - Comando do Exército - Comando Militar da Amazônia - 17ªBrigada de Infantaria de Selva - Comando de Fronteira do Acre/4ºBIS</t>
  </si>
  <si>
    <t>* Registro de preços * * Licitação Eletrônica * Contratação de serviços de limpeza e higienização de reservatório de água potável, limpeza de fossa, serviços de desinsetização, desratização, descupinização, limpeza de forro, desmorcegação e controle de pássaros. ATENTAR PARA A DESCRIÇÃO CORRETA DOS ITENS, ONFORME TR.</t>
  </si>
  <si>
    <t>Unidade compradora: 160002 - 4. BATALHAO DE INFANTARIA DE SELVA/MES/AC
Local: Rio Branco/AC
Órgão: COMANDO DO EXERCITO
Id contratação PNCP: 00394452000103-1-004834/2026
Fonte: Compras.gov.br
 Para as respostas de esclarecimentos e impugnações deste edital acesse o link: https://cnetmobile.estaleiro.serpro.gov.br/comprasnet-web/public/landing?destino=quadro-informativo&amp;compra=16000205900012026 - Número compra: 90001 - Pregão - Eletrônico
 - Licitação sujeita a confirmação pois não foi informado que trata-se de prorrogação.</t>
  </si>
  <si>
    <t>Prefeitura Municipal de Cruzeiro do Sul</t>
  </si>
  <si>
    <t>Cruzeiro do Sul</t>
  </si>
  <si>
    <t>* Registro de preços * * Licitação Eletrônica * Aquisição de Agregados Minerais Areia, Seixo e Solo de argila arenosa, para atender as demandas da Secretaria Municipal Obras, Desenvolvimento Urbano e Habitação - SEMODUH.</t>
  </si>
  <si>
    <t>Unidade compradora: 980107 - PREFEIRURA MUNICIPAL DE CRUZEIRO DO SUL - AC
Local: Cruzeiro do Sul/AC
Órgão: MUNICIPIO DE CRUZEIRO DO SUL
Id contratação PNCP: 04012548000102-1-000008/2026
Fonte: Compras.gov.br
 Para as respostas de esclarecimentos e impugnações deste edital acesse o link: https://cnetmobile.estaleiro.serpro.gov.br/comprasnet-web/public/landing?destino=quadro-informativo&amp;compra=98010705900042026 - Número compra: 90004 - Pregão - Eletrônico
 - Licitação sujeita a confirmação pois não foi informado que trata-se de prorrogação.</t>
  </si>
  <si>
    <t>SM/7004583075</t>
  </si>
  <si>
    <t>* Licitação Eletrônica * Aquisição de Mandril, Suspensor e Centralizador, conforme as especificações deste documento e de seus adendos.</t>
  </si>
  <si>
    <t>** Esta publicação está sendo informada para os estados AM, BA e RJ onde será realizado o objeto da licitação. Informamos que a publicação oficial é do estado de RJ. **
Regiões: AM BA 
Inicio: 2026/04/15 - 12:00:00 Término dos lances: 2026/04/15 12:00:00
 - Licitação sujeita a confirmação pois não foi informado que trata-se de prorrogação.</t>
  </si>
  <si>
    <t>Prefeitura Municipal de Sátiro Dias</t>
  </si>
  <si>
    <t>Sátiro Dias</t>
  </si>
  <si>
    <t>* Licitação Eletrônica * aquisição mediante demanda, de MATERIAIS DE CONSTRUÇÃO diversificados para atender as necessidades das diversas Secretarias que compõem essa Administração Municipal de Sátiro Dias/BA. * https://bnccompras.com *</t>
  </si>
  <si>
    <t>LOCAL: https://bnccompras.com/
Nº PROC. ADM: 049-2026
 TIPO CONTRATO: REGISTRO DE PREÇO
 INÍCIO REC. PROPOSTA: 08/04/2026 00:00:00
 FIM REC. PROPOSTA: 22/04/2026 08:00:00
 INÍCIO DISPUTA: 22/04/2026 09:00:00
 CIDADE: SÁTIRO DIAS
 FASE: RECEPÇÃO DE PROPOSTAS
 EXCLUSIVO ME: NÃO
 EXCLUSIVO REGIONAL: NÃO
 MODO DE DISPUTA: ABERTO
 TIPO DE LANCE: MENOR LANCE
 FONE PROMOTOR: 7591262224
 E-MAIL PROMOTOR: licita@satirodias.ba.gov.br
 CONDUTOR: SHEILHA CRISTINA DOS SANTOS BISPO
 AUTORIDADE: PEDRO RAIMUNDO SANTANA DA CRUZ
 VALOR ESTIMADO: R$1.397.316,77
 - Licitação sujeita a confirmação pois não foi informado que trata-se de prorrogação.</t>
  </si>
  <si>
    <t>Prefeitura Municipal de Macarani</t>
  </si>
  <si>
    <t>Macarani</t>
  </si>
  <si>
    <t>CR/40101/2026</t>
  </si>
  <si>
    <t xml:space="preserve"> Contratação de empresa especializada em serviços de engenharia e construção civil, para execução "PROVISÃO DE UNIDADES HABITACIONAIS NO MUNICÍPIO DE MACARANI/BA - MCMV/FNHIS SUB 50", conforme projetos, memorial descritivo, planilha orçamentária, cronograma físico-financeiro, e demais documentos complementares. * https://bnccompras.com *</t>
  </si>
  <si>
    <t>LOCAL: https://bnccompras.com/
Nº PROC. ADM: 033001/2026
 TIPO CONTRATO: AQUISIÇÃO
 INÍCIO REC. PROPOSTA: 09/04/2026 08:00:00
 FIM REC. PROPOSTA: 24/04/2026 08:00:00
 INÍCIO DISPUTA: 24/04/2026 08:30:00
 CIDADE: MACARANI
 FASE: PUBLICADO
 EXCLUSIVO ME: NÃO
 EXCLUSIVO REGIONAL: NÃO
 MODO DE DISPUTA: ABERTO E FECHADO
 TIPO DE LANCE: MENOR LANCE
 FONE PROMOTOR: 7788810286
 E-MAIL PROMOTOR: pmacarani.licitacao@gmail.com
 CONDUTOR: MAICON ALMEIDA COSTA
 AUTORIDADE: SELMA RODRIGUES SOUTO
 VALOR ESTIMADO: R$2.730.000,00
 - Licitação sujeita a confirmação pois não foi informado que trata-se de prorrogação.</t>
  </si>
  <si>
    <t>DL/355/2026</t>
  </si>
  <si>
    <t>AQUISIÇÃO DE CUBETAS E BOMBA P/ UN-BJJ
PRE 036631 SC 024290</t>
  </si>
  <si>
    <t>GOVERNO DO ESTADO DO CEARÁ - SEPLAG - Secretaria do Planejamento e Gestão
**  https://s2gpr.sefaz.ce.gov.br/licita-web/paginas/licita/PublicacaoList.seam  ** 
Número da publicação: 2026/13166
Nº Edital - Contratante - Entrega: 20260355 - COMPANHIA DE AGUA E ESGOTO DO CEARA -
Sistemática - Forma de Aquisição: DISPENSA (LEI 13.303/2016, ART. 29) -
Gestor Contratante: JADE DOS SANTOS CARMONA COSTA LIMA
 - Licitação sujeita a confirmação pois não foi informado que trata-se de prorrogação.</t>
  </si>
  <si>
    <t>SM/7004566922</t>
  </si>
  <si>
    <t>* Licitação Eletrônica * Serviços de calibração e ajustes em instrumentos e ferramentas de controle de processo, inspeção, manutenção, controle de torque e de inspeção dimensional, conforme as especificações deste documento e de seus adendos</t>
  </si>
  <si>
    <t>** Esta publicação está sendo informada para os estados ES e RJ onde será realizado o objeto da licitação. Informamos que a publicação oficial é do estado de RJ. **
Regiões: ES 
Inicio: 2026/04/15 - 12:00:00 Término dos lances: 2026/04/15 12:00:00
 - Licitação sujeita a confirmação pois não foi informado que trata-se de prorrogação.</t>
  </si>
  <si>
    <t>Prefeitura Municipal de Muqui</t>
  </si>
  <si>
    <t>Muqui</t>
  </si>
  <si>
    <t>* Licitação Eletrônica * Aquisicao de materiais de construcao e afins.</t>
  </si>
  <si>
    <t>Órgão: Prefeitura Municipal de Muqui - Prefeitura Municipal de Muqui - ES
				Processo: 2026-NXKXF/2026
				Edital: 000005/2026
				Modalidade: Pregão
				Início de envio das propostas: 10-04-2026 ás 08:30
				Término de envio das propostas: 23/04/2026 ás 08:30		
				Início dos lances: 23/04/2026 ás 08:31
 - Licitação sujeita a confirmação pois não foi informado que trata-se de prorrogação.</t>
  </si>
  <si>
    <t>Prefeitura Municipal de Hidrolândia</t>
  </si>
  <si>
    <t>Hidrolândia</t>
  </si>
  <si>
    <t>* Licitação Eletrônica * Registro de Preços, com a finalidade de contratação de empresa especializada em fornecimento de materiais e peças de reposição para aquecimento de piscina, com a instalação, para atender as secretarias e Fundos do Município de Hidrolândia-Go. * https://bnccompras.com *</t>
  </si>
  <si>
    <t>LOCAL: https://bnccompras.com/
Nº PROC. ADM: 1167/2026
 TIPO CONTRATO: REGISTRO DE PREÇO
 INÍCIO REC. PROPOSTA: 09/04/2026 09:00:00
 FIM REC. PROPOSTA: 28/04/2026 08:30:00
 INÍCIO DISPUTA: 28/04/2026 09:00:00
 CIDADE: HIDROLÂNDIA
 FASE: PUBLICADO
 EXCLUSIVO ME: NÃO
 EXCLUSIVO REGIONAL: NÃO
 MODO DE DISPUTA: ABERTO
 TIPO DE LANCE: MENOR LANCE
 FONE PROMOTOR: 6235538555
 E-MAIL PROMOTOR: licitacoesecontratos.hdd@gmail.com
 CONDUTOR: MARIA LUIZA FERNANDES DE SOUZA
 AUTORIDADE: BRUNO CHAVES SILVA
 VALOR ESTIMADO: R$301.302,00
 - Licitação sujeita a confirmação pois não foi informado que trata-se de prorrogação.</t>
  </si>
  <si>
    <t>Prefeitura Municipal de Arame</t>
  </si>
  <si>
    <t>Arame</t>
  </si>
  <si>
    <t>* Registro de preços * * Licitação Eletrônica * [LICITANET] - Registro de Preços para futura e eventual Contratação de empresa especializada para a Prestação de Serviços de Infraestrutura no município de Arame-MA, conforme especificações do Projeto Básico, ANEXO I deste Edital.</t>
  </si>
  <si>
    <t>Unidade compradora: 1186 - MUNICÍPIO DE ARAME/MA
Local: Arame/MA
Órgão: MUNICIPIO DE ARAME
Id contratação PNCP: 12542767000121-1-000004/2026
Fonte: Licitanet Licitações Eletrônicas LTDA
 - Número compra: 004 - Pregão - Eletrônico
 - Licitação sujeita a confirmação pois não foi informado que trata-se de prorrogação.</t>
  </si>
  <si>
    <t>Prefeitura Municipal de Nazareno</t>
  </si>
  <si>
    <t>Nazareno</t>
  </si>
  <si>
    <t>* Registro de preços * * Licitação Eletrônica * Registo de preços para futura e eventual contratação de empresa especializada em prestação de serviços de desinfecção, dedetização, controle de pragas, tratamento de caixas d'água e troca de filtros.</t>
  </si>
  <si>
    <t>Unidade compradora: 02001 - PREFEITURA MUNICIPAL DE NAZARENO
Local: Nazareno/MG
Órgão: MUNICIPIO DE NAZARENO
Id contratação PNCP: 18557561000151-1-000029/2026
Fonte: SH3 Informática Ltda.
 - Número compra: 00003126 - Pregão - Eletrônico
 - Licitação sujeita a confirmação pois não foi informado que trata-se de prorrogação.</t>
  </si>
  <si>
    <t>Prefeitura Municipal de Astolfo Dutra</t>
  </si>
  <si>
    <t>Astolfo Dutra</t>
  </si>
  <si>
    <t>AQUISIÇÃO DE EQUIPAMENTOS E FERRAMENTAS DESTINADOS AO ATENDIMENTO DAS NECESSIDADES DA SECRETARIA MUNICIPAL DE OBRAS DO MUNICÍPIO DE ASTOLFO DUTRA/MG, VISANDO APOIAR A EXECUÇÃO DAS ATIVIDADES DE MANUTENÇÃO, REPAROS E DEMAIS SERVIÇOS OPERACIONAIS QUE SERÃO REALIZADOS NO DISTRITO DE SANT'ANA DO CAMPESTRE. * https://ammlicita.org.br *</t>
  </si>
  <si>
    <t>Id: 95059
Unidade licitante: Prefeitura Municipal de Astolfo Dutra - Unidade Única
Plataforma: ammlicita
 - Licitação sujeita a confirmação pois não foi informado que trata-se de prorrogação.</t>
  </si>
  <si>
    <t>* Licitação Eletrônica * Futura e Eventual aquisição de materiais elétricos para atender as demandas das Secretarias da Prefeitura de Guaxupé-MG. * https://ammlicita.org.br *</t>
  </si>
  <si>
    <t xml:space="preserve">ESTADO DE MINAS GERAIS PREFEITURA DE GUAXUPÉ PREFEITURA MUNICIPAL DE GUAXUPÉ REABERTURA DE SESSÃO - PREGÃO Nº 010/2026 PREFEITURA MUNICIPAL DE GUAXUPÉ/MG - AVISO DE NOVA DATA DE ABERTURA DO PREGÃO ELETRÔNICO Nº 010/2026. O Município de Guaxupé comunica aos interessados no referido certame que o Processo de Licitação, modalidade Pregão nº 010/2026, forma de realização eletrônica, para AMPLA PARTICIPAÇÃO, Processo nº 055/2026, com julgamento pelo critério de Menor Preço por Item, que tem por objeto a Futura e Eventual aquisição de materiais elétricos para atender as demandas das Secretarias da Prefeitura de Guaxupé-MG, cuja Sessão de Abertura ocorreria no dia 25 de março de 2026 às 09:00 e foi SUSPENSO para adequações, tem NOVA DATA DE ABERTURA designada para o dia 22 de abril de 2026 às 09:00 horas, quando iniciará a fase de lances, conforme especificações e normas contidas no Edital e seus Anexos, disponíveis no site www.ammlicita.org.br e no site www.guaxupe.mg.gov.br, onde o Edital poderá ser baixado a partir do dia 08 de abril de 2026. Maiores informações relativas a presente licitação: Secretaria Municipal de Administração do Município de Guaxupé, situada na Avenida Conde Ribeiro do Valle, 113 - pavimento superior, Centro - Guaxupé/MG, fone: 35 3559-1021. Guaxupé, 07 de abril de 2026.   BENEDITO RESENDE NETO. Secretário Municipal de Administração. Publicado por: Pedro Augusto Dos Santos Pereira Código Identificador:C1EC4D31 Matéria publicada no Diário Oficial dos Municípios Mineiros no dia 08/04/2026. Edição 4249 </t>
  </si>
  <si>
    <t>* Registro de preços * * Licitação Eletrônica * [LICITANET] - REGISTRO DE PREÇOS PARA EVENTUAL E FUTURA AQUISIÇÃO DE TUBOS E CONEXÕES PVC OCRE, PARA MANUTENÇÃO NAS REDES DE ESGOTO, NESTE MUNICÍPIO.</t>
  </si>
  <si>
    <t>Unidade compradora: 597 - SERVIÇO AUTÔNOMO DE ÁGUA E ESGOTO DE FORMIGA/MG
Local: Formiga/MG
Órgão: SERVICO AUTONOMO DE AGUA E ESGOTO
Id contratação PNCP: 16782211000163-1-000008/2026
Fonte: Licitanet Licitações Eletrônicas LTDA
 - Número compra: 006 - Pregão - Eletrônico
 - Licitação sujeita a confirmação pois não foi informado que trata-se de prorrogação.</t>
  </si>
  <si>
    <t>Prefeitura Municipal de Serra Nova Dourada</t>
  </si>
  <si>
    <t>Serra Nova Dourada</t>
  </si>
  <si>
    <t>* Licitação Eletrônica * Registro de preço para futura e eventual contratação de empresa especializada no fornecimento de insumos e materiais hospitalares, destinados a atender as demandas da Unidade Básica de Saúde do Município de Serra Nova Dourada/MT. * https://bllcompras.com *</t>
  </si>
  <si>
    <t>LOCAL: https://bllcompras.com/
Nº PROC. ADM: 07/2026
 TIPO CONTRATO: REGISTRO DE PREÇO
 INÍCIO REC. PROPOSTA: 09/04/2026 08:00:00
 FIM REC. PROPOSTA: 23/04/2026 08:00:00
 INÍCIO DISPUTA: 23/04/2026 08:30:00
 CIDADE: SERRA NOVA DOURADA
 FASE: PUBLICADO
 EXCLUSIVO ME: NÃO
 EXCLUSIVO REGIONAL: NÃO
 MODO DE DISPUTA: ABERTO
 TIPO DE LANCE: MENOR LANCE
 FONE PROMOTOR: 6634731010
 E-MAIL PROMOTOR: licitaserranova@gmail.com
 CONDUTOR: LEILIANE PERES BECKER
 AUTORIDADE: ELSON FARIAS DE SOUSA
 INFORMACÕES ADICIONAIS: 
 VALOR ESTIMADO: R$2.680.671,39
 - Licitação sujeita a confirmação pois não foi informado que trata-se de prorrogação.</t>
  </si>
  <si>
    <t>Prefeitura Municipal de Alto Boa Vista</t>
  </si>
  <si>
    <t>Alto Boa Vista</t>
  </si>
  <si>
    <t>* Licitação Eletrônica * REGISTRO DE PREÇOS PARA FUTURA E EVENTUAL AQUISIÇÃO DE MATERIAL PERMANENTE PARA ATENDER TODAS AS SECRETARIAS DO MUNICÍPIO DE ALTO BOA VISTA/MT PELO PERÍODO DE 01 ANO - ** www.comprasbr.com.br **</t>
  </si>
  <si>
    <t>Fundo Municipal de Saúde de Afrânio</t>
  </si>
  <si>
    <t>Afrânio</t>
  </si>
  <si>
    <t>* Licitação Eletrônica * contratação de empresa especializada para aquisição de MATERIAIS, INSUMOS E INSTRUMENTAIS, MÉDICOS, ODONTOLÓGICOS E LABORATORIAISque a Secretarias Municipal de Saúde tem em atender as demandas das Unidades Básicas de Saúde, Hospital Municipal Maria...</t>
  </si>
  <si>
    <t>Órgão: fundo municipal de saúde - Prefeitura Municipal de Afrânio - PE
				Processo: Processo Licitatório 027/2026
				Edital: Pregão 012/2026
				Modalidade: Pregão
				Início de envio das propostas: 09-04-2026 ás 11:30
				Término de envio das propostas: 22/04/2026 ás 11:30		
				Início dos lances: 22/04/2026 ás 11:31
 - Licitação sujeita a confirmação pois não foi informado que trata-se de prorrogação.</t>
  </si>
  <si>
    <t>Prefeitura Municipal de Guaratuba</t>
  </si>
  <si>
    <t>Guaratuba</t>
  </si>
  <si>
    <t>* Registro de preços * * Licitação Eletrônica * Registro de Preços para aquisição o de insumos hospitalares de modo a permitir o tratamento de pacientes atendidos em toda a Rede Municipal de Saúde.</t>
  </si>
  <si>
    <t>Unidade compradora: 987587 - PREFEITURA MUNICIPAL DE GUARATUBA - PR
Local: Guaratuba/PR
Órgão: MUNICIPIO DE GUARATUBA
Id contratação PNCP: 76017474000108-1-000051/2026
Fonte: Compras.gov.br
Caso haja diverge ncia entre as especificaço es contidas neste TR e as que constam no CATMAT – Co digo do Material do Sistema Portal de Compras do Governo Federal, prevalecera o aquelas indicadas no Termo de Refere ncia. Para as respostas de esclarecimentos e impugnações deste edital acesse o link: https://cnetmobile.estaleiro.serpro.gov.br/comprasnet-web/public/landing?destino=quadro-informativo&amp;compra=98758705900132026 - Número compra: 90013 - Pregão - Eletrônico
 - Licitação sujeita a confirmação pois não foi informado que trata-se de prorrogação.</t>
  </si>
  <si>
    <t>SM/7004582280</t>
  </si>
  <si>
    <t>* Licitação Eletrônica *  Serviços de Tratamento e Descarte de Água Oleosa</t>
  </si>
  <si>
    <t>Regiões: RJ 
Inicio: 2026/04/29 - 17:00:00 Término dos lances: 2026/04/29 17:00:00
 - Licitação sujeita a confirmação pois não foi informado que trata-se de prorrogação.</t>
  </si>
  <si>
    <t>SM/7004583196</t>
  </si>
  <si>
    <t>* Licitação Eletrônica *  Serviços de manutenção geral de tanques, esferas, tubovias e demais equipamentos inerentes à manutenção completa da área de transferência e estocagem e fornecimento de partes e peças</t>
  </si>
  <si>
    <t>** Esta publicação está sendo informada para os estados RS e RJ onde será realizado o objeto da licitação. Informamos que a publicação oficial é do estado de RJ. **
Regiões: RS 
Inicio: 2026/05/07 - 12:00:00 Término dos lances: 2026/05/07 12:00:00
 - Licitação sujeita a confirmação pois não foi informado que trata-se de prorrogação.</t>
  </si>
  <si>
    <t>CR/90005/2026</t>
  </si>
  <si>
    <t xml:space="preserve"> Bairro Maravilha Oeste - OBRAS DE INFRAESTRUTURA E URBANIZAÇÃO NA RUA ARIRÓ E OUTRAS, NA COMUNIDADE BATANZINHO, NO BAIRRO DE REALENGO, NA ÁREA DA I/SUBI/CGO/3ª GO - XXXIII R.A. - AP 5.1</t>
  </si>
  <si>
    <t>Unidade compradora: 986001 - PREFEITURA MUNICIPAL DO RIO DE JANEIRO - RJ
Local: Rio de Janeiro/RJ
Órgão: MUNICIPIO DE RIO DE JANEIRO
Id contratação PNCP: 42498733000148-1-000176/2026
Fonte: Compras.gov.br
Quaisquer divergências entre o código do comprasgov e o Edital, PREVALECE o EDITAL. Para as respostas de esclarecimentos e impugnações deste edital acesse o link: https://cnetmobile.estaleiro.serpro.gov.br/comprasnet-web/public/landing?destino=quadro-informativo&amp;compra=98600103900052026 - Número compra: 90005 - Concorrência - Eletrônica
 - Licitação sujeita a confirmação pois não foi informado que trata-se de prorrogação.</t>
  </si>
  <si>
    <t>Companhia de Saneamento de Maricá</t>
  </si>
  <si>
    <t>Maricá</t>
  </si>
  <si>
    <t xml:space="preserve">* Licitação Eletrônica * Aquisição e Implantação de 2 Estações de Tratamento de Esgoto   ETE compacta terciária, com operação assistida baseada em   performance e cumprimento de parâmetros de lançamento de   efluente tratado de parte do 1 e 4 Distrito do Município  </t>
  </si>
  <si>
    <t>Unidade compradora: 927591 - COMPANHIA DE SANEAMENTO DE MARICA S.A - RJ
Local: Maricá/RJ
Órgão: COMPANHIA DE SANEAMENTO DE MARICA S.A. - SANEMAR
Id contratação PNCP: 32799282000125-1-000002/2026
Fonte: Compras.gov.br
 Para as respostas de esclarecimentos e impugnações deste edital acesse o link: https://cnetmobile.estaleiro.serpro.gov.br/comprasnet-web/public/landing?destino=quadro-informativo&amp;compra=92759105900022026 - Número compra: 90002 - Pregão - Eletrônico
 - Licitação sujeita a confirmação pois não foi informado que trata-se de prorrogação.</t>
  </si>
  <si>
    <t>SM/7004585356</t>
  </si>
  <si>
    <t>* Licitação Eletrônica *  Aquisição de Filtro Painel em Microfibra de Vidro</t>
  </si>
  <si>
    <t>** Esta publicação está sendo informada para os estados SP e RJ onde será realizado o objeto da licitação. Informamos que a publicação oficial é do estado de RJ. **
Regiões: RJ SP 
Inicio: 2026/04/15 - 17:00:00 Término dos lances: 2026/04/15 17:00:00
 - Licitação sujeita a confirmação pois não foi informado que trata-se de prorrogação.</t>
  </si>
  <si>
    <t>Prefeitura Municipal de Canguaretama</t>
  </si>
  <si>
    <t>Canguaretama</t>
  </si>
  <si>
    <t xml:space="preserve"> contratação de empresa especializada para os serviços de pavimentação convencional com drenagem superficial em diversas ruas da Barra do Cunhaú, neste Município de Canguaretama-RN Município de Canguaretama-RN, conforme projetos executivos, orçamentários e condições, quantidades e exigências estabelecidas neste instrumento e seus anexos. * https://bnccompras.com *</t>
  </si>
  <si>
    <t>LOCAL: https://bnccompras.com/
Nº PROC. ADM: 30030002
 TIPO CONTRATO: AQUISIÇÃO PARCELADA
 INÍCIO REC. PROPOSTA: 07/04/2026 17:00:00
 FIM REC. PROPOSTA: 22/04/2026 13:55:00
 INÍCIO DISPUTA: 22/04/2026 14:00:00
 CIDADE: CANGUARETAMA
 FASE: RECEPÇÃO DE PROPOSTAS
 EXCLUSIVO ME: NÃO
 EXCLUSIVO REGIONAL: NÃO
 MODO DE DISPUTA: ABERTO
 TIPO DE LANCE: MENOR LANCE
 FONE PROMOTOR: 8494199087
 E-MAIL PROMOTOR: cpl@canguaretama.rn.gov.br
 CONDUTOR: WESCLEI SILVA MARTINS
 AUTORIDADE: LEANDRO VARELA DOS SANTOS
 VALOR ESTIMADO: R$693.957,01
 - Licitação sujeita a confirmação pois não foi informado que trata-se de prorrogação.</t>
  </si>
  <si>
    <t xml:space="preserve"> contratação de empresa especializada para os serviços de pavimentação convencional com drenagem superficial nas ruas Papa João Paulo Segundo, Vaticano e Padre André de Sorveral - na zona urbana do Município de Canguaretama-RN, conforme projetos executivos, orçamentários e condições, quantidades e exigências estabelecidas neste instrumento e seus anexos. * https://bnccompras.com *</t>
  </si>
  <si>
    <t>LOCAL: https://bnccompras.com/
Nº PROC. ADM: 30030001
 TIPO CONTRATO: AQUISIÇÃO PARCELADA
 INÍCIO REC. PROPOSTA: 07/04/2026 17:00:00
 FIM REC. PROPOSTA: 22/04/2026 10:55:00
 INÍCIO DISPUTA: 22/04/2026 11:00:00
 CIDADE: CANGUARETAMA
 FASE: RECEPÇÃO DE PROPOSTAS
 EXCLUSIVO ME: NÃO
 EXCLUSIVO REGIONAL: NÃO
 MODO DE DISPUTA: ABERTO
 TIPO DE LANCE: MENOR LANCE
 FONE PROMOTOR: 8494199087
 E-MAIL PROMOTOR: cpl@canguaretama.rn.gov.br
 CONDUTOR: WESCLEI SILVA MARTINS
 AUTORIDADE: LEANDRO VARELA DOS SANTOS
 VALOR ESTIMADO: R$266.069,43
 - Licitação sujeita a confirmação pois não foi informado que trata-se de prorrogação.</t>
  </si>
  <si>
    <t>* Licitação Eletrônica * AQUISIÇÃO GRADATIVA DE INSUMOS HOSPITALARES, PARA AS UNIDADES BÁSICAS DE SAÚDE E SETOR DE URGENCIA E EMERGENCIA DO MUNICIPIO.</t>
  </si>
  <si>
    <t>Órgão: Prefeitura Municipal de Tenente Laurentino Cruz - Prefeitura Municipal de Tenente Laurentino Cruz - RN
				Processo: 3001000106
				Edital: 3/2026
				Modalidade: Pregão para Registro de Preço
				Início de envio das propostas: 09-04-2026 ás 08:00
				Término de envio das propostas: 23/04/2026 ás 08:30		
				Início dos lances: 23/04/2026 ás 09:00
 - Licitação sujeita a confirmação pois não foi informado que trata-se de prorrogação.</t>
  </si>
  <si>
    <t>PE/90349/2025</t>
  </si>
  <si>
    <t>* Licitação Eletrônica * Aquisição de máquinas, ferramentas e utensílios destinados à manutenção das instalações dos quartéis e demais estruturas da Polícia Militar do Estado de Rondônia - PMRO.</t>
  </si>
  <si>
    <t>Unidade compradora: 925373 - SUPERINTEND.ESTAD.DE COMPRAS E LICITAÇÕES-RO
Local: Porto Velho/RO
Órgão: SUP. EST. DE LICITACAO
Id contratação PNCP: 04696490000163-1-000429/2025
Fonte: Compras.gov.br
Em caso de divergência existente entre as especificações do objeto descritas no sistema eletrônico - Portal de Compras do Governo Federal, e as especificações constantes no ANEXO I deste Edital - Termo de Referência, prevalecerão as últimas. Para as respostas de esclarecimentos e impugnações deste edital acesse o link: https://cnetmobile.estaleiro.serpro.gov.br/comprasnet-web/public/landing?destino=quadro-informativo&amp;compra=92537305903492025 - Número compra: 90349 - Pregão - Eletrônico
 - Licitação sujeita a confirmação pois não foi informado que trata-se de prorrogação.</t>
  </si>
  <si>
    <t>Conselho Regional de Farmácia do Estado de Rondônia</t>
  </si>
  <si>
    <t>* Licitação Eletrônica * REGISTRO DE PREÇOS PARA O FORNECIMENTO DE MATERIAIS DE EXPEDIENTE E DIVERSOS COM ENTREGAS PARCELADAS, SOB DEMANDA A CRITÉRIO DA ADMINISTRAÇÃO, PARA ATENDER AS NECESSIDADES DO CONSELHO REGIONAL DE FARMÁCIA DO ESTADO DE RONDÔNIA. * https://pncp.gov.br *</t>
  </si>
  <si>
    <t>Unidade compradora: 926583 - CONSELHO REGIONAL DE FARMACIA DO ESTADO DE RONDONIA - CONSELHO REGIONAL DE FARMÁCIA DO ESTADO DE RO
Local: Porto Velho/RO
Órgão: CONSELHO REGIONAL DE FARMACIA DO ESTADO DE RONDONIA
Id contratação PNCP: 22829881000190-1-000005/2026
Fonte: Compras.gov.br
Conforme anexos - Dispensa
 - Licitação sujeita a confirmação pois não foi informado que trata-se de prorrogação.</t>
  </si>
  <si>
    <t>MINISTÉRIO DA DEFESA - Comando do Exército - Comando Militar do Sul - 3ª Divisão de Exército - 1ª Brigada de Cavalaria Mecanizada - 2º Regimento de Cavalaria Mecanizado</t>
  </si>
  <si>
    <t>* Registro de preços * * Licitação Eletrônica * Contratação de serviços gerais em favor da OM.</t>
  </si>
  <si>
    <t>Local: São Borja/RS
Órgão: COMANDO DO EXERCITO
Unidade compradora: 160428 - 2 REGIMENTO DE CAVALARIA MECANIZADO/RS
Modalidade da contratação: Pregão - Eletrônico
Amparo legal: Lei 14.133/2021, Art. 28, I
Tipo: Edital
Modo de disputa: Aberto
Registro de preço: Sim
Fonte orçamentária: Não informada
Data de divulgação no PNCP: 01/04/2026
Situação: Divulgada no PNCP
Data de início de recebimento de propostas: 08/04/2026 08:00 horário de Brasília
Data fim de recebimento de propostas: 24/04/2026 08:00 horário de Brasília
Id contratação PNCP: 00394452000103-1-006881/2026
Fonte: Compras.gov.br
Objeto:
Contratação de serviços gerais em favor da OM. 
https://pncp.gov.br/app/editais/00394452000103/2026/6881</t>
  </si>
  <si>
    <t>Prefeitura Municipal de Três Passos</t>
  </si>
  <si>
    <t>Três Passos</t>
  </si>
  <si>
    <t>* Licitação Eletrônica * REGISTRO DE PREÇOS PARA EVENTUAL E FUTURA AQUISIÇÃO DE MATERIAIS PARA A ILUMINAÇÃO PÚBLICA DO MUNICÍPIO DE TRÊS PASSOS/RS, CONFORME ESPECIFICAÇÕES CONSTANTES DO TERMO DE REFERÊNCIA DO ANEXO I DESTE EDITAL.</t>
  </si>
  <si>
    <t>Órgão: Prefeitura Municipal de Três Passos - Prefeitura Municipal de Três Passos - RS
				Processo: 50/2026
				Edital: 30/2026
				Modalidade: Pregão para Registro de Preço
				Início de envio das propostas: 09-04-2026 ás 08:00
				Término de envio das propostas: 27/04/2026 ás 08:10		
				Início dos lances: 27/04/2026 ás 08:12
 - Licitação sujeita a confirmação pois não foi informado que trata-se de prorrogação.</t>
  </si>
  <si>
    <t>Prefeitura Municipal de Tapejara</t>
  </si>
  <si>
    <t>Tapejara</t>
  </si>
  <si>
    <t>* Licitação Eletrônica * AQUISIÇÃO DE MÓVEIS PARA ATENDER AS NECESSIDADES DE DIVERSAS SECRETARIAS E DA CÂMARA MUNICIPAL DE VEREADORES.</t>
  </si>
  <si>
    <t>Órgão: PREFEITURA MUNICIPAL DE TAPEJARA - Prefeitura Municipal de Tapejara - RS
				Processo: 021
				Edital: 06/2026
				Modalidade: Pregão para Registro de Preço
				Início de envio das propostas: 08-04-2026 ás 08:00
				Término de envio das propostas: 04/05/2026 ás 08:29		
				Início dos lances: 04/05/2026 ás 08:30
 - Licitação sujeita a confirmação pois não foi informado que trata-se de prorrogação.</t>
  </si>
  <si>
    <t>Prefeitura Municipal de Nova Bassano</t>
  </si>
  <si>
    <t>Nova Bassano</t>
  </si>
  <si>
    <t>* Licitação Eletrônica * REGISTRO DE PREÇOS PARA AQUISIÇÃO DE MATERIAL ELÉTRICO PARA MANUTENÇÃO PREVENTIVA E CORRETIVA DA ILUMINAÇÃO PÚBLICA E MANUTENÇÃO DOS PRÉDIOS PÚBLICOS DO MUNICÍPIO.</t>
  </si>
  <si>
    <t>Órgão: Município de Nova Bassano - Município de Nova Bassano - RS
				Processo: 03/2026
				Edital: Pregão Eletrônico 02/2026
				Modalidade: Pregão para Registro de Preço
				Início de envio das propostas: 08-04-2026 ás 11:00
				Término de envio das propostas: 29/04/2026 ás 08:29		
				Início dos lances: 29/04/2026 ás 08:30
 - Licitação sujeita a confirmação pois não foi informado que trata-se de prorrogação.</t>
  </si>
  <si>
    <t>Prefeitura Municipal de Lindolfo Collor</t>
  </si>
  <si>
    <t>Lindolfo Collor</t>
  </si>
  <si>
    <t>Objeto: OBRAS E INSTALAÇÕES - Contratação de empresa especializada para construção de 20 unidades habitacionais no Loteamento Popular município de Lindolfo Collor.</t>
  </si>
  <si>
    <t>Modalidade: Concorrência Lei 14.133 Eletrô
Situação: Cadastramento
Publicado em: 2026-03-17 00:00:00
 - Licitação sujeita a confirmação pois não foi informado que trata-se de prorrogação.</t>
  </si>
  <si>
    <t>Prefeitura Municipal de Estância Velha</t>
  </si>
  <si>
    <t>Estância Velha</t>
  </si>
  <si>
    <t>* Licitação Eletrônica * ABERTURA DE EDITAL DOS MATERIAIS MÉDICO-HOSPITALARES DESCARTÁVEIS/2026 PARA AQUISIÇÃO PELA SECRETARIA DE SAÚDE. ANEXOS: LISTA DOS ITENS X QUANTIDADE; PRECIFICAÇÃO DOS ITENS; ESTUDO TÉCNICO PRELIMINAR E TERMO DE REFERÊNCIA</t>
  </si>
  <si>
    <t>Órgão: Prefeitura Municipal de Estância Velha - Prefeitura Municipal de Estância Velha - RS
				Processo: 82 / 2026 - 2468
				Edital: 13/2026
				Modalidade: Pregão para Registro de Preço
				Início de envio das propostas: 24-03-2026 ás 17:01
				Término de envio das propostas: 23/04/2026 ás 13:29		
				Início dos lances: 23/04/2026 ás 13:30
 - Licitação sujeita a confirmação pois não foi informado que trata-se de prorrogação.</t>
  </si>
  <si>
    <t>Prefeitura Municipal de Itaiópolis</t>
  </si>
  <si>
    <t>Itaiópolis</t>
  </si>
  <si>
    <t>CR/94/2025</t>
  </si>
  <si>
    <t xml:space="preserve"> Contratação de empresa especializada para execução de obras de pavimentação em vias urbanas, compreendendo os serviços de revestimento em blocos de concreto sextavados lajotas, topografia, tubulação de drenagem pluvial, sinalização viária horizontal, sinalização viária vertical, execução de bocas de lobo, terraplanagem, compactação de aterro, instalação de meio-fio, base e sub-base. As intervenções ocorrerão nos seguintes trechos: Rua Vereador Hélio Antônio Wagner, entre as estacas 0+550 e 0+790; Rua João Semmer, entre as estacas 0+128 e 0+360; e Rua Universindo Pinotti, no Bairro Vila Nova, totalizando uma área de pavimentação de 5.103,74 m². A execução dos serviços deverá incluir o fornecimento completo de mão de obra, maquinário, equipamentos e materiais, conforme especificações técnicas constantes no memorial descritivo, planilhas orçamentárias e cronograma físico financeiro.</t>
  </si>
  <si>
    <t>Unidade compradora: 4003 - GABINETE DA SECRETARIA DE VIAÇÃO E OBRAS PÚBLICAS
Local: Itaiópolis/SC
Órgão: MUNICIPIO DE ITAIOPOLIS
Id contratação PNCP: 83102517000119-1-000147/2025
Fonte: IPM Sistemas
 - Número compra: CCE 94 - Concorrência - Eletrônica
 - Licitação sujeita a confirmação pois não foi informado que trata-se de prorrogação.</t>
  </si>
  <si>
    <t>* Licitação Eletrônica * Registro de preços para eventual e futura aquisição de materiais hidráulicos: Acessórios e Sanitários para diversos órgãos e setores da Prefeitura Municipal de Lages/SC.</t>
  </si>
  <si>
    <t>Entidade: PREFEITURA DO MUNICÍPIO DE LAGES
Modalidade: Pregão eletrônico
Forma de julgamento: MENOR PREÇO - POR ITEM
Email contato: ouvidoria@lages.sc.gov.br
Situação: EM ANDAMENTO
 - Licitação sujeita a confirmação pois não foi informado que trata-se de prorrogação.</t>
  </si>
  <si>
    <t>Prefeitura Municipal de Barra dos Coqueiros</t>
  </si>
  <si>
    <t>Barra dos Coqueiros</t>
  </si>
  <si>
    <t>* Registro de preços * * Licitação Eletrônica * REGISTRO DE PREÇOS PARA FUTURA E EVENTUAL AQUISIÇÃO DE MATERIAIS DE CONSTRUÇÃO, A SEREM ADQUIRIDOS PELA PREFEITURA MUNICIPAL DE BARRA DOS COQUEIROS/SE, ATRAVÉS DA SECRETARIA MUNICIPAL DE SERVIÇOS URBANOS.</t>
  </si>
  <si>
    <t>Unidade compradora: 1 - MUNICIPIO DE BARRA DOS COQUEIROS
Local: Barra dos Coqueiros/SE
Órgão: MUNICIPIO DE BARRA DOS COQUEIROS
Id contratação PNCP: 13128863000190-1-000040/2026
Fonte: 3Tecnos Tecnologia LTDA
 - Número compra: 4 - Pregão - Eletrônico
 - Licitação sujeita a confirmação pois não foi informado que trata-se de prorrogação.</t>
  </si>
  <si>
    <t>Prefeitura Municipal de Jacupiranga</t>
  </si>
  <si>
    <t>Jacupiranga</t>
  </si>
  <si>
    <t>* Registro de preços * * Licitação Eletrônica * Aquisição de madeiras para atender as necessidades da Secretária Municipal de Serviços da Prefeitura Municipal de Jacupiranga</t>
  </si>
  <si>
    <t>Unidade compradora: 1 - PREFEITURA MUNICIPAL DE JACUPIRANGA - SP
Local: Jacupiranga/SP
Órgão: MUNICIPIO DE JACUPIRANGA
Id contratação PNCP: 46582185000190-1-000018/2026
Fonte: CECAM - Consultoria Econômica, Contábil e Administrativa Municipal
 - Número compra: 12 - Pregão - Eletrônico
 - Licitação sujeita a confirmação pois não foi informado que trata-se de prorrogação.</t>
  </si>
  <si>
    <t>SM/7004546511</t>
  </si>
  <si>
    <t>* Licitação Eletrônica * Aquisição de Conjunto Soprador para o Projeto RPBC Revamp UFCC - Máquinas para a Refinaria Presidente Bernardes RPBC, conforme as especificações deste documento e de seus adendos.</t>
  </si>
  <si>
    <t>** Esta publicação está sendo informada para os estados SP e RJ onde será realizado o objeto da licitação. Informamos que a publicação oficial é do estado de RJ. **
Regiões: SP 
Inicio: 2026/04/20 - 12:00:00 Término dos lances: 2026/04/20 12:00:00
 - Licitação sujeita a confirmação pois não foi informado que trata-se de prorrogação.</t>
  </si>
  <si>
    <t>Centro de Suprimento e Manutenção de Motomecanização da Polícia Militar do Estado de São Paulo</t>
  </si>
  <si>
    <t>PE/90039/2026</t>
  </si>
  <si>
    <t>* Registro de preços * * Licitação Eletrônica * Sistema de Registro de Preços para aquisições futuras de PEÇAS E ACESSÓRIOS AUTOMOTIVOS DE PRODUÇÃO GENUÍNA OU ORIGINAL, BATERIAS, PNEUS E TINTAS.</t>
  </si>
  <si>
    <t>Unidade compradora: 180195 - ESP-CENTRO DE MOTOMECANIZACAO - CMM
Local: São Paulo/SP
Órgão: SAO PAULO SECRETARIA DA SEGURANCA PUBLICA
Id contratação PNCP: 46377800000127-1-001115/2026
Fonte: Compras.gov.br
 Para as respostas de esclarecimentos e impugnações deste edital acesse o link: https://cnetmobile.estaleiro.serpro.gov.br/comprasnet-web/public/landing?destino=quadro-informativo&amp;compra=18019505900392026 - Número compra: 90039 - Pregão - Eletrônico
 - Licitação sujeita a confirmação pois não foi informado que trata-se de prorrogação.</t>
  </si>
  <si>
    <t>Prefeitura Municipal de Suzano</t>
  </si>
  <si>
    <t>Suzano</t>
  </si>
  <si>
    <t>* Registro de preços * * Licitação Eletrônica * Aquisição de equipamentos para Devesa Civil</t>
  </si>
  <si>
    <t>Unidade compradora: 987151 - PREFEITURA MUNICIPAL DE SUZANO - SP
Local: Suzano/SP
Órgão: MUNICIPIO DE SUZANO
Id contratação PNCP: 46523056000121-1-000043/2026
Fonte: Compras.gov.br
 Para as respostas de esclarecimentos e impugnações deste edital acesse o link: https://cnetmobile.estaleiro.serpro.gov.br/comprasnet-web/public/landing?destino=quadro-informativo&amp;compra=98715105900202026 - Número compra: 90020 - Pregão - Eletrônico
 - Licitação sujeita a confirmação pois não foi informado que trata-se de prorrogação.</t>
  </si>
  <si>
    <t>* Licitação Eletrônica * Registro de preços para futuras aquisições de Equipamentos de Proteção Individual - EPIs, conforme especificações e condições estabelecidas neste termo, a serem utilizados, pelos colaboradores do SAAEB, nas atividades desenvolvidas, todos com Certificado de Aprovação - CA, expedido pelo órgão competente em matéria de segurança e saúde no trabalho do Ministério do Trabalho e Emprego * https://bllcompras.com *</t>
  </si>
  <si>
    <t>LOCAL: https://bllcompras.com/
Nº PROC. ADM: 6232/2026
 TIPO CONTRATO: REGISTRO DE PREÇO
 INÍCIO REC. PROPOSTA: 27/03/2026 08:00:00
 FIM REC. PROPOSTA: 27/04/2026 08:00:00
 INÍCIO DISPUTA: 27/04/2026 08:30:00
 CIDADE: BARRETOS
 FASE: RECEPÇÃO DE PROPOSTAS
 EXCLUSIVO ME: SIM
 EXCLUSIVO REGIONAL: NÃO
 MODO DE DISPUTA: ABERTO
 TIPO DE LANCE: MENOR LANCE
 FONE PROMOTOR: 1733215300
 E-MAIL PROMOTOR: saaeb@terra.com.br
 CONDUTOR: IRACEMA VIEIRA BORGES
 AUTORIDADE: NILSON ALVES DE ANDRADE
 INFORMACÕES ADICIONAIS: 
 VALOR ESTIMADO: R$219.817,25
 - Licitação sujeita a confirmação pois não foi informado que trata-se de prorrogação.</t>
  </si>
  <si>
    <t>* Licitação Eletrônica * REGISTRO DE PREÇOS PARA AQUISIÇÃO DE MÓVEIS, ELETRODOMÉSTICOS, EQUIPAMENTOS MÉDICO HOSPITALARES. * https://bnccompras.com *</t>
  </si>
  <si>
    <t>aviso de ALTERAÇÃO PREGÃO ELETRÔNICO Nº 11/2026 O Município de Coronel Vivida, Estado do Paraná, torna pública a reabertura de prazo para a realização do Pregão Eletrônico nº 11/2026, TIPO MENOR PREÇO POR ITEM - AMPLA CONCORRÊNCIA. Objeto: REGISTRO DE PREÇOS PARA AQUISIÇÃO DE MÓVEIS, ELETRODOMÉSTICOS, EQUIPAMENTOS MÉDICO HOSPITALARES. Das alterações: o descritivo do item 29 e valor total máximo estimado do Anexo I - termo de referência e do Anexo IV - Modelo de Proposta, desta forma, fica alterado o prazo para cadastro das propostas para até as 08h do dia 27/04/2026. Abertura das propostas após as 08h do dia 27/04/2026. Início da disputa de preços às 09h do dia 27/04/2026. VALOR MÁXIMO TOTAL ESTIMADO PASSA A SER DE R$ 3.046.621,06. Prazo de vigência: 12 meses. Os procedimentos para acesso ao Pregão Eletrônico estão disponíveis no site www.bnc.org.br. O edital alterado está disponível nos sites www.coronelvivida.pr.gov.br ou www.bnc.org.br. Informações: 0800 046 0102. Coronel Vivida - PR, 7 de abril de 2026. Juliano Ribeiro Diretor do Departamento de Compras e Patrimônio</t>
  </si>
  <si>
    <t>PE/90143/2025</t>
  </si>
  <si>
    <t>* Licitação Eletrônica * Registro de preços para fornecimento e instalação de motobombas</t>
  </si>
  <si>
    <t>aviso de alteração
Pregão Eletrônico nº 143/2025
Processo Administrativo n. º 1.288/2024
Objeto: "REGISTRO DE PREÇOS PARA FORNECIMENTO E INSTALAÇÃO DE MOTOBOMBAS"
UASG de atuação: 986921 - Prefeitura Municipal de Praia Grande - SP
Comunicado de Alterações no Edital e Nova Data para a Sessão Pública
Considerando que esta Prefeitura efetuou alterações no Edital de Pregão Eletrônico em epígrafe, comunicamos que a data da Sessão Pública do Pregão Eletrônico inicialmente designada para o dia 22/09/2025 às 09h30min Horário Oficial de Brasília - DF, foi transferida para o dia 30 de abril de 2026 às 09h30min Horário Oficial de Brasília - DF.
Informamos ainda que o Edital alterado e com nova data poderá ser retirado GRATUITAMENTE por quem já o adquiriu presencialmente e também estará disponível para consulta e/ou download de todos os interessados de forma gratuita nos sites www.praiagrande.sp.gov.br, www.pncp.gov.br e www.compras.gov.br.
Este comunicado estará disponível no site www.praiagrande.sp.gov.br para ciência, consulta e/ou download de todos os interessados.</t>
  </si>
  <si>
    <t>Prefeitura Municipal de Pains</t>
  </si>
  <si>
    <t>Pains</t>
  </si>
  <si>
    <t>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 * https://ammlicita.org.br *</t>
  </si>
  <si>
    <t>Id: 93581
Unidade licitante: PREFEITURA MUNICIPAL DE PAINS - Unidade Única
Plataforma: ammlicita
 - Licitação sujeita a confirmação pois não foi informado que trata-se de prorrogação.</t>
  </si>
  <si>
    <t>Prefeitura Municipal de Bragança Paulista</t>
  </si>
  <si>
    <t>Bragança Paulista</t>
  </si>
  <si>
    <t>* Licitação Eletrônica * REGISTRO DE PRECOS PARA AQUISIÇÃO DE PARQUES E BRINQUEDOS PLAYGROUND, PARA ATENDER AS DIVERSAS SECRETARIAS MUNICIPAIS DE BRAGANÇA PAULISTA * https://jornaldolicitante.com.br *</t>
  </si>
  <si>
    <t>AVISO DE SUSPENSÃO
PROCESSO Nº: 43863/2025
PREGÃO ELETRÔNICO Nº: 027/2026
OBJETO: Registro de preços para aquisição de PARQUES E
BRINQUEDOS PLAYGROUND, para atender as diversas
Secretarias Municipais da Prefeitura Municipal de Bragança
Paulista
A Secretaria Municipal de Serviços torna público, que o
processo licitatório supracitado se encontra SUSPENSO "SINE DIE".
A decisão decorre da necessidade de reavaliação técnica e de
ajustes operacionais, visando assegurar a plena conformidade do
certame com o interesse público.
Publique-se para ciência dos interessados</t>
  </si>
  <si>
    <t>Prefeitura Municipal de Itapira - SP</t>
  </si>
  <si>
    <t>Itapira</t>
  </si>
  <si>
    <t>ADIADA SINE DIE</t>
  </si>
  <si>
    <t>Contratação de empresa especializada, com fornecimento de materiais, equipamentos e mão de obra, para execução de obras e serviços de captação, estação elevatória e adutora de água bruta do Rio do Peixe no Município de Itapira/SP.</t>
  </si>
  <si>
    <t xml:space="preserve"> Publicado em: 07/04/2026 |Edição: 65 |Seção: 3|Página: 298 Órgão: Prefeituras/Estado de São Paulo/Prefeitura Municipal de Itapira extrato de TERMO DE ADIAMENTO DE ABERTURA DOS ENVELOPES CONCORRÊNCIA PÚBLICA Nº 1/2026 OBJETO: CONTRATAÇÃO DE EMPRESA ESPECIALIZADA, COM FORNECIMENTO DE MATERIAIS, EQUIPAMENTOS E MÃO DE OBRA, PARA EXECUÇÃO DE OBRAS E SERVIÇOS DE CAPTAÇÃO, ESTAÇÃO ELEVATÓRIA E ADUTORA DE ÁGUA BRUTA DO RIO DO PEIXE NO MUNICÍPIO DE ITAPIRA. A Prefeitura Municipal de Itapira torna público, para conhecimento dos interessados, que fica ADIADA "sine die" a sessão pública de abertura dos Envelopes Propostas e Documentos apresentados nos termos do Edital nº 017/2026, Concorrência Pública nº 001/2026. Itapira, 2 de Abril de 2026. Antônio Carlos Andrigo Ferreira. Secretário Municipal de Obras </t>
  </si>
  <si>
    <t>Prefeitura Municipal de Sento Sé</t>
  </si>
  <si>
    <t>Sento Sé</t>
  </si>
  <si>
    <t>* Licitação Eletrônica * Contratação de empresa de engenharia para construção de unidades habitacionais no Município de Sento Sé/BA, programa MCMV - FNHIS Sub 50, conforme Termo de Compromisso Transferegov nº 974458/2024/MCIDADES/CAIXA. * https://bllcompras.com *</t>
  </si>
  <si>
    <t xml:space="preserve">Publicado em: 08/04/2026 |Edição: 66 |Seção: 3|Página: 297 Órgão: Prefeituras/Estado da Bahia/Prefeitura Municipal de Sento Sé AVISO DE SUSPENSÃO CONCORRÊNCIA ELETRÔNICA Nº 1/2026 O Agente de Contratação do município de Sento Sé/BA, no uso de suas atribuições legais, tendo em vista o que consta do Processo Administrativo: 025/2026, CONCORRÊNCIA ELETRÔNICA Nº. 001/2026, COMUNICA; Nestes Termos, COMUNICAMOS que a CONCORRÊNCIA ELETRÔNICA Nº. 001/2026, que tem como objeto: a contratação de empresa de engenharia para construção de unidades habitacionais no Município de Sento Sé/BA, programa MCMV - FNHIS Sub 50, conforme Termo de Compromisso Transferegov nº 974458/2024/MCIDADES/CAIXA - de acordo com as condições estabelecidas no Anexo I, e nas condições previstas neste Edital. Que foi publicado no Diário Oficial do Município DOM no site http://doem.org.br/ba/sentose, na Sexta-feira, 20 de Março de 2026 - Pag.2 - Ano XIV - Nº 602, com abertura marcada para o dia 08/04/2026, às 10:00 horas FICA SUSPENSA. A suspensão se faz necessária para adequação e retificação de cunho material do edital e seus anexos, tendo em vista que as alterações a serem promovidas comprometem a formulação das propostas, tornando inviável o prosseguimento do certame nos termos originalmente publicados. Com fundamento no art. 55, § 1º da Lei nº 14.133/2021, o edital retificado será republicado na mesma forma de sua divulgação inicial, com recontagem integral dos prazos, cuja nova data de abertura será oportunamente comunicada pelos mesmos meios de publicação. Maiores informações poderão ser obtidas junto à Comissão de Contratação em horário de expediente das 07h00min às 13h00min. Sento - Sé/BA, 7 de abril de 2026. Manoel Pedro dos Santos Filho Agente de Contratação </t>
  </si>
  <si>
    <t>MINISTÉRIO DA DEFESA - Comando do Exército - Departamento de Educação e Cultura do Exército - Diretoria de Ensino Preparatório e Assistêncial - Colégio Militar de Fortaleza</t>
  </si>
  <si>
    <t>* Registro de preços * * Licitação Eletrônica * Eventual aquisição de material para as salas de aula e seções do Colégio Militar de Fortaleza.</t>
  </si>
  <si>
    <t>AVISO DE SUSPENSÃO
PREGÃO Nº 90004/2026
Comunicamos a suspensão da licitação supracitada, publicada no D.O.U em
25/03/2026 . Objeto: Pregão Eletrônico - Eventual aquisição de material para as salas
de aula e seções do Colégio Militar de Fortaleza.
GUILHERME NAVES PINHEIRO
Ordenador de Despesas</t>
  </si>
  <si>
    <t>Prefeitura Municipal de Bela Vista de Goiás</t>
  </si>
  <si>
    <t>Bela Vista de Goiás</t>
  </si>
  <si>
    <t>* Licitação Eletrônica * Contratação futura, eventual e parcelada de empresa especializada para o fornecimento de materiais destinados à execução de reparos, manutenções preventivas e corretivas, pequenas reformas e demais intervenções de manutenção predial, visando atender às necessidades da Secretaria Municipal de Obras e Manutenções do Município de Bela Vista de Goiás - GO. * https://bnccompras.com *</t>
  </si>
  <si>
    <t xml:space="preserve"> Bela Vista de Goiás - Licitações AVISO DE SUSPENSÃO PREGÃO ELETRÔNICO - Nº. 012/2026 O Município de Bela Vista de Goiás, através da Secretaria Municipal de Obras, Manutenções e reparos, avisa a todos interessados que SUSPENDERÁ a licitação, na modalidade Pregão Eletrônico 012/2026, com abertura em 09/04/2026 as 08:30 horas, objetivando Aquisição de materiais de construção para manutenções e reparos prediais, visando atender às demandas dos órgãos desta Municipalidade, para adequação dos objetos descritos no Edital. Após as correções será republicado uma nova data. Maiores informações pelo telefone Licitação: 62 3551-7003. Bela Vista de Goiás aos 07 dias do mês de abril de 2026. Elioilson Mendes Ferreira - Agente de Contratação </t>
  </si>
  <si>
    <t>CIDEMA - Consórcio Intermunicipal para o Desenvolvimento Integrado das Bacias dos Rios Miranda e Apa</t>
  </si>
  <si>
    <t>PE/1/2025</t>
  </si>
  <si>
    <t>* Licitação Eletrônica * Contratação de empresa especializada para a prestação de serviços de operação e manutenção do aterro sanitário localizado no Município de Jardim/MS, abrangendo o fornecimento de máquinas, equipamentos e mão de obra especializada, bem como o transporte/transbordo e a destinação final ambientalmente adequada dos resíduos sólidos domiciliares classe II, provenientes das Unidades de Triagem e Resíduos UTRs dos municípios consorciados ao CIDEMA. * https://bllcompras.com *</t>
  </si>
  <si>
    <t>AVISO DE SUSPENSÃO DE LICITAÇÃO
PREGÃO ELETRÔNICO Nº 001/2025
PROCESSO ADMINISTRATIVO Nº 010/2025
O Consórcio Intermunicipal para o Desenvolvimento Integrado das Bacias dos Rios Miranda e Apa - CIDEMA,
através de seu Presidente, torna público, para conhecimento dos interessados, que fica SUSPENSO, por tempo
indeterminado, o Pregão Eletrônico nº 001/2025, que tem como objeto a contratação de empresa especializada
para a prestação de serviços de operação e manutenção do aterro sanitário localizado no Município de Jardim/MS,
incluindo fornecimento de máquinas, equipamentos, mão de obra especializada, transporte/transbordo e destinação
final ambientalmente adequada de resíduos sólidos domiciliares classe II, conforme condições estabelecidas no edital.
A sessão pública estava anteriormente designada para o dia 08 de abril de 2026, às 09h, através da plataforma BLL
Compras.
JUSTIFICATIVA
A presente suspensão decorre da necessidade de revisão e adequação de elementos técnicos e/ou
administrativos constantes no edital, visando assegurar o pleno atendimento ao interesse público, a observância
dos princípios da legalidade, isonomia, competitividade e julgamento objetivo, a ampliação da competitividade e a
obtenção da proposta mais vantajosa para a Administração.
Nos termos da Lei Federal nº 14.133/2021, a Administração Pública possui o dever de zelar pela regularidade do
procedimento licitatório, podendo promover a suspensão do certame sempre que identificada a necessidade de ajustes
que possam impactar a formulação das propostas.
A medida encontra amparo, especialmente no art. 5º, que estabelece os princípios que regem as licitações públicas,
dentre eles legalidade, planejamento, transparência e competitividade e no art. 71 da Lei Federal nº 14.133/2021,
que permite à Administração exercer o controle dos atos do processo licitatório, podendo adotar medidas necessárias
para sua regularização.
Ademais, a presente decisão fundamenta-se no poder de autotutela da Administração Pública, consagrado na Lei nº
9.784/1999 Lei de Processo Administrativo Federal, em especial:
Art. 50, que dispõe que "Os atos administrativos deverão ser motivados, com indicação dos fatos e dos fundamentos
jurídicos, quando:
VIII - importem anulação, revogação, suspensão ou convalidação de ato administrativo.
§ 1o A motivação deve ser explícita, clara e congruente, podendo consistir em declaração de concordância com
fundamentos de anteriores pareceres, informações, decisões ou propostas, que, neste caso, serão parte integrante do
ato.
Dessa forma, a suspensão do certame constitui medida necessária e preventiva, visando evitar eventuais prejuízos à
Administração e aos licitantes, bem como garantir a lisura e a segurança jurídica do procedimento.
DISPOSIÇÕES FINAIS
Informa-se que a nova data de abertura da sessão pública será oportunamente divulgada através do diário
oficial do Consórcio, Diário Oficial dos Municípios do Estado de Mato Grosso do Sul - ASSOMASUL, do Portal Nacional
de Contratações Públicas PNCP e da Plataforma BLL Compras https://bll.org.br/.
Eventuais dúvidas poderão ser esclarecidas junto ao setor responsável pelo certame.
Campo Grande - MS, 07 de abril de 2026</t>
  </si>
  <si>
    <t>* Licitação Eletrônica * A presente licitação tem por objeto o registro de preços para futura e eventual aquisição de materiais de pintura, tintas, solventes e correlatos, destinados a atender às necessidades das Secretarias Municipais, Fundos e demais órgãos da Administração...</t>
  </si>
  <si>
    <t>A suspensão decorre da necessidade de adequações administrativas. A nova data e os procedimentos para continuidade do certame serão divulgados oportunamente.</t>
  </si>
  <si>
    <t>Prefeitura Municipal de Rodelas</t>
  </si>
  <si>
    <t>Rodelas</t>
  </si>
  <si>
    <t xml:space="preserve">* Licitação eletrônica * AQUISIÇÃO DE EQUIPAMENTOS E MATERIAIS PERMANENTES PARA UNIDADES BÁSICAS DE SAÚDE PERTENCENTES A SECRETARIA DE SAÚDE DO MUNICÍPIO DE RODELAS-BAHIA. </t>
  </si>
  <si>
    <t>TERMO DE REVOGAÇÃO
PROCESSO ADMINISTRATIVO Nº 002/2026
PREGÃO ELETRÔNICO Nº 001/2026
OBJETO: AQUISIÇÃO DE EQUIPAMENTOS E MATERIAIS PERMANENTES PARA UNIDADES
BÁSICAS DE SAÚDE PERTENCENTES A SECRETARIA DE SAÚDE DO MUNICÍPIO DE
RODELAS-BAHIA.
O Prefeito do Município de Rodelas/BA, Emanuel Rodrigues Ferreira, em respeito aos princípios
gerais de direito público, às prescrições da Lei nº 14.133, de 01 de abril de 2021, e:
CONSIDERANDO o princípio da autotutela administrativa, que confere à Administração Pública o
poder de revisar seus próprios atos;
CONSIDERANDO o interesse público devidamente justificado;
CONSIDERANDO que o processo licitatório em questão demandou prazo superior ao inicialmente
previsto para sua conclusão;
CONSIDERANDO que, em razão desse lapso temporal, houve reavaliação das necessidades da
Administração, sendo constatado que o objeto licitado não mais atende de forma adequada à solução da
demanda que motivou a abertura do certame;
CONSIDERANDO que a manutenção do procedimento, nas condições inicialmente estabelecidas, não
se mostra mais conveniente e oportuna para a Administração;
CONSIDERANDO o disposto no art. 71 da Lei nº 14.133/2021, que autoriza a revogação da licitação
por razões de interesse público devidamente comprovadas;
Nos termos do art. 53, caput, da Lei nº 14.133/2021, a Administração Pública pode, por razões
de interesse público, revogar o procedimento licitatório, de forma motivada.
Assim, A revogação do presente procedimento licitatório fundamenta-se em razões de interesse
público, devidamente comprovadas no curso do processo.
Verificou-se que o lapso temporal decorrido entre a instauração do certame e sua conclusão
comprometeu a atualidade da demanda inicialmente apresentada, tornando o objeto licitado inadequado
para atender, de forma eficiente, às necessidades atuais da Administração Pública.
Após reavaliação técnica e administrativa, constatou-se que as especificações originalmente
definidas não mais refletem a melhor solução para o atendimento das demandas das Unidades Básicas
de Saúde do Município, seja em razão de mudanças nas prioridades institucionais, seja pela necessidade
de adequações técnicas e operacionais.
Dessa forma, a continuidade do certame, nos moldes inicialmente estabelecidos, poderia resultar
em contratação ineficiente, contrariando os princípios da economicidade, eficiência e interesse público.
Assim, a revogação do procedimento mostra-se medida necessária e adequada, permitindo à
Administração promover a reestruturação do objeto e posterior republicação do edital, de modo a
garantir uma contratação mais alinhada às reais necessidades do Município.
A decisão encontra amparo no art. 71 da Lei nº 14.133/2021, que autoriza a revogação da
licitação por razões de interesse público superveniente, devidamente justificadas.
Diante do exposto, DECIDO pela REVOGAÇÃO do Pregão Eletrônico nº 001/2026, com
fundamento no interesse público.
Determino que, após a devida reavaliação e readequação do edital e seus anexos, seja promovida a
republicação do certame, com a reabertura dos prazos legais, em conformidade com a legislação
aplicável.
Determino, ainda, a devida publicação do presente ato, garantindo-se a ampla publicidade, bem
como a comunicação aos interessados, abrindo-se o prazo de 03 três dias úteis para eventual recurso
dos licitantes, nos termos do art. 165, inc, I, letra 'd', da Lei n. 14.133 de 1º de abril de 2021.
Encaminhe-se para as providências cabíveis.
.
Rodelas - BA, 07 de abril de 2026.
Emanuel Rodrigues Ferreira
Prefeito Municipal</t>
  </si>
  <si>
    <t>Secretaria de Estado de Governo</t>
  </si>
  <si>
    <t>CR/37/2026</t>
  </si>
  <si>
    <t>Contratação de empresa para execução de obras e serviços de engenharia sob o regime de contratação integrada, para a implantação do Sistema de Abastecimento de Água SAA no município de Imperatriz/MA, compreendendo a elaboração e o desenvolvimento integral dos projetos básico e executivo de engenharia, a execução das obras, o fornecimento de todos os materiais, mão de obra e equipamentos, a construção de todas as estruturas, comissionamento, testes de performance, conforme</t>
  </si>
  <si>
    <t>AVISO DE REVOGAÇÃO
CONCORRÊNCIA PÚBLICA Nº 37/2026 - CSL/SEGOV
PROCESSO ADMINISTRATIVO SEI Nº 2025.110124.05529 - SEGOV
O SECRETÁRIO DE ESTADO DE GOVERNO, Sr. MÁRCIO RIBEIRO MACHADO, no uso
de suas atribuições que lhe são conferidas e, ainda, em cumprimento as disposições previstas
no art. 71 da Lei Federal nº 14.133/2021, decide REVOGAR a CONCORRÊNCIA PÚBLICA Nº
037/2026, que tem como objeto a Contratação de empresa para execução de obras e serviços
de engenharia sob o regime de contratação integrada, para a implantação do Sistema de
Abastecimento de Água SAA no município de Imperatriz/MA, compreendendo a elaboração e
o desenvolvimento integral dos projetos básico e executivo de engenharia, a execução das
obras, o fornecimento de todos os materiais, mão de obra e equipamentos, a construção de
todas as estruturas captação, ETA, reservatórios, adutoras etc., comissionamento, testes de
performance, obtenção das licenças ambientais de instalação LI e operação LO e demais
autorizações necessárias, incluindo fornecimento de materiais, mão de obra, equipamentos e
serviços correlatos, com recursos do Termo de Compromisso nº
969246/2024/MCIDADES/CAIXA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969246/2024/MCIDADES/CAIXA,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037/2026, nos termos do art. 71
da Lei Federal nº 14.133/2021.</t>
  </si>
  <si>
    <t>Prefeitura Municipal de Guarani</t>
  </si>
  <si>
    <t>Guarani</t>
  </si>
  <si>
    <t>* Licitação Eletrônica * Contratação de empresa especializada para o fornecimento de selante preventivo antifuro tecnologia "zero furo", destinado à aplicação nos pneus dos veículos que compõem a frota da Prefeitura Municipal de Guarani, visando aumentar a durabilidade dos pneus, reduzir ocorrências de furos e melhorar a eficiência operacional da frota. * https://pncp.gov.br *</t>
  </si>
  <si>
    <t xml:space="preserve"> Publicado em: 07/04/2026 |Edição: 65 |Seção: 3|Página: 255 Órgão: Prefeituras/Estado de Minas Gerais/Prefeitura Municipal de Guarani AVISO DE REVOGAÇÃO DISPENSA DE LICITAÇÃO Nº 10/2026 Processo Administrativo nº 047/2026. O Município de Guarani-MG, no uso de suas atribuições legais e em observância ao princípio da autotutela administrativa, comunica a Revogação do presente certame. A medida fundamenta-se na necessidade de revisão e ajustes técnicos no Termo de Referência, visando ao aperfeiçoamento do objeto e à garantia do interesse público. A revogação imediata objetiva evitar prejuízos aos licitantes e assegurar a lisura de uma disputa justa e bem fundamentada. Informamos que o objeto será republicado oportunamente após a adequação da fase interna, com o intuito de ampliar a competitividade e a eficiência da contratação. Esclarecimentos adicionais podem ser obtidos pelo e-mail licitacao@guarani.mg.gov.br ou pelo telefone 32 3112-1687. Guarani-MG, 6 de abril de 2026 Emerson Patrick Vieira Prefeito </t>
  </si>
  <si>
    <t>Prefeitura Municipal de Corumbá</t>
  </si>
  <si>
    <t>Corumbá</t>
  </si>
  <si>
    <t>PE/28/2025</t>
  </si>
  <si>
    <t>* Licitação Eletrônica * Registro de Preços para eventual contratação de serviço de manutenção preventiva e manutenção corretiva de equipamentos médico-hospitalares e laboratoriais, com fornecimento de peças, para atender as necessidades da Secretaria Municipal de Saúde. * https://bllcompras.com *</t>
  </si>
  <si>
    <t>&lt;#MS#56454#2#57550&gt;
Aviso de Revogação
O Município de Corumbá-MS, através da Secretaria Municipal de Saúde, em
conformidade com a Lei nº 14.133/2021, torna público para conhecimento de todos
os interessados que fica REVOGADO o Pregão Eletrônico Nº 28/2025 - Processo
Nº 31.062/204 da Secretaria Municipal de Saúde, referente a Registro de Preço
para eventual contratação de serviço de manutenção preventiva e corretiva de
equipamentos médicos hospitalares e laboratoriais, com fornecimento de peças
para atender as necessidades da Secretaria Municipal de Saúde. Fica concedido
o prazo de 03 três dias úteis aos interessados para que assim entenderem
apresentarem recurso, em conformidade com §3 do art. 71 c/c alínea "d", inciso I do
art. 165 da lei 14.133/21.
Corumbá-MS, 07 de abril de 2026.</t>
  </si>
  <si>
    <t>Prefeitura Municipal de Itaberá</t>
  </si>
  <si>
    <t>Itaberá</t>
  </si>
  <si>
    <t>SM/64/2025</t>
  </si>
  <si>
    <t xml:space="preserve">Contratação de empresa para o fornecimento, transporte, montagem, fixação e testes de um Reservatório Metálico Tipo Taça COLUNA CHEIA, com capacidade nominal de 10.000 dez mil litros, incluindo todos os acessórios, estruturas, ferragens e serviços necessários à perfeita instalação.  </t>
  </si>
  <si>
    <t xml:space="preserve">AVISO DE INTENÇÃO DE CONTRATAÇÃO DIRETA 64/2025
A Prefeitura Municipal de Itaberá, torna público aos interessados que contratação direta, que objetiva a Contratação de empresa para o fornecimento, transporte,montagem, fixação e testes de um Reservatório Metálico Tipo Taça COLUNA CHEIA, com capacidade nominal de 10.000 dez mil litros, incluindo todos os acessórios, estruturas, ferragens e serviços necessários à perfeita instalação foi REVOGADO por decisão da Diretoria requisitante, o processo na integra encontra-se disponível
através do
https://www.itabera.sp.gov.br/portal/editais/0/4/2644/.
</t>
  </si>
  <si>
    <t>PE/75/2025</t>
  </si>
  <si>
    <t>* Licitação Eletrônica * Registro de preços para eventual e futura aquisição de equipamentos, suprimentos e periféricos de informática, para atendimento das demandas das Secretarias Municipais, conforme especificações, condições, obrigações e requisitos técnicos do edital e de seus anexos. * https://licitar.digital *</t>
  </si>
  <si>
    <t>Certame anulado conforme publicação em 08/04/2026. O procedimento foi interrompido ainda durante a sessão pública, não havendo adjudicação ou homologação.</t>
  </si>
  <si>
    <t>Prefeitura Municipal de Itapejara D'Oeste</t>
  </si>
  <si>
    <t>Itapejara d'Oeste</t>
  </si>
  <si>
    <t>CR/90007/2026</t>
  </si>
  <si>
    <t>* Licitação Eletrônica * Pavimentação de Estrada Rural em CBUQ, 14.640,00 m2, incluindo serviços preliminares, terraplenagem, base e sub-base, revestimento, serviços de urbanização, sinalização de trânsito, drenagem, ensaios tecnológicos e placa de obra.</t>
  </si>
  <si>
    <t xml:space="preserve"> ESTADO DO PARANÁ PREFEITURA MUNICIPAL DE ITAPEJARA D'OESTE DEPARTAMENTO MUNICIPAL DE ADMINISTRAÇÃO AVISO DE ANULAÇÃO DO EDITAL DE CONCORRÊNCIA ELETRÔNICA Nº 90007/2026 MUNICÍPIO DE ITAPEJARA D'OESTE - PR ANULAÇÃO DE EDITAL DE CONCORRÊNCIA ELETRÔNICA Nº 90007/2026 O Município de Itapejara D'Oeste, Estado do Paraná, torna público, a anulação do Edital de Concorrência Eletrônica Nº 90007/2026, que tem como objeto a Pavimentação de Estrada Rural em CBUQ, 14.640,00 m2, incluindo serviços preliminares, terraplenagem, base e sub-base, revestimento, serviços de urbanização, sinalização de trânsito, drenagem, ensaios tecnológicos e placa de obra. A anulação se deve a necessidade de adequação dos documentos de habilitação solicitados em conformidade com a Legislação Vigente. Itapejara D'Oeste-PR, 07 sete de Abril de 2026.   DAIANI HOFFMAN Agente de Contratação - Decreto N° 046/2024 Publicado por: Cleverson Aluisio Juliani Código Identificador:230774ED Matéria publicada no Diário Oficial dos Municípios do Paraná no dia 08/04/2026. Edição 3505 </t>
  </si>
  <si>
    <t>Câmara Municipal de Passos</t>
  </si>
  <si>
    <t>* Licitação Eletrônica * CONTRATAÇÃO DE EMPRESA ESPECIALIZADA PARA FORNECIMENTO DE EQUIPAMENTOS DE INFORMÁTICA; SUPRIMENTOS DE IMPRESSÃO; INFRAESTRUTURA DE REDE; FERRAMENTAS TÉCNICAS E LICENCIAMENTO DE SOFTWARES * https://ammlicita.org.br *</t>
  </si>
  <si>
    <t>Id: 93140
Unidade licitante: Câmara Municipal de Passos - Unidade Única
Plataforma: ammlicita
 - Licitação sujeita a confirmação pois não foi informado que trata-se de prorrogação.</t>
  </si>
  <si>
    <t>Prefeitura Municipal de Imaruí</t>
  </si>
  <si>
    <t>Imaruí</t>
  </si>
  <si>
    <t>* Licitação Eletrônica * Registro de preços para aquisição de madeira destinada à construção e manutenção de pontes e pontilhões para a Secretaria de Infraestrutura do Município de Imaruí/SC.</t>
  </si>
  <si>
    <t>Órgão: Prefeitura Municipal de Imaruí - Prefeitura Municipal de Imaruí - SC
				Processo: 3/2026
				Edital: 3/2026
				Modalidade: Pregão para Registro de Preço
				Início de envio das propostas: 08-04-2026 ás 08:00
				Término de envio das propostas: 24/04/2026 ás 08:00		
				Início dos lances: 24/04/2026 ás 08:01</t>
  </si>
  <si>
    <t>* Licitação Eletrônica * Contratação de Empresa especializada para a execução de Serviços Comuns de Engenharia, consistentes na implantação de Galeria Pluvial na Rua Anacleto da Silva Ortiz, do Município, conforme condições, quantidades e exigências estabelecidas neste Edital e seus anexos. * https://bnccompras.com *</t>
  </si>
  <si>
    <t>LOCAL: https://bnccompras.com/
Nº PROC. ADM: 025/2026
 TIPO CONTRATO: AQUISIÇÃO
 INÍCIO REC. PROPOSTA: 07/04/2026 08:30:00
 FIM REC. PROPOSTA: 28/04/2026 08:30:00
 INÍCIO DISPUTA: 28/04/2026 09:00:00
 CIDADE: SÃO JOSÉ DO CERRITO
 FASE: PUBLICADO
 EXCLUSIVO ME: NÃO
 EXCLUSIVO REGIONAL: NÃO
 MODO DE DISPUTA: ABERTO
 TIPO DE LANCE: MENOR LANCE
 FONE PROMOTOR: 4932421111
 E-MAIL PROMOTOR: compras@cerrito.sc.gov.br
 CONDUTOR: KAUAN DELBI KISTER
 AUTORIDADE: TAINARA BARBOSA RAITZ
INFORMACÕES ADICIONAIS: Recursos do Convênio Simplificado Estadual. VALOR ESTIMADO: R$307.879,19</t>
  </si>
  <si>
    <t>DL/114/2026</t>
  </si>
  <si>
    <t>Produto/Serviço Quant. Unidade
Produto/Serviço: Solução para bomba de vácuo
Descrição: Solução para bomba de vácuo para Liofilizador fabricante SP Scientific Virtis, modelo #25L Genesis, N Série 311438 , galão de 2L 25 Unidade</t>
  </si>
  <si>
    <t>Compra Direta
A FAEPI recebe as entregas de segunda a sexta-feira nos horários de 08 às 17 hs.
Material de Consumo</t>
  </si>
  <si>
    <t>Prefeitura Municipal de Adustina</t>
  </si>
  <si>
    <t>Adustina</t>
  </si>
  <si>
    <t>Contratação de serviços para confecção, fornecimento e instalação de placas metalon/acrílico/aço e letreiros em PVC, atendendo as demandas de diversas Secretarias do Município de Adustina/BA</t>
  </si>
  <si>
    <t>DATA LIMITE PARA ENVIO DA PROPOSTA DE PREÇO E DOCUMENTOS DE
HABILITAÇÃO: 07/04/2026 a 10/04/2026
O período de apresentação de propostas pelos interessados atende ao critério dos
03 três dias úteis mínimos definidos pela norma de regência.
Outras informações sobre a presente Dispensa de Licitação serão prestadas pela
Comissão Permanente de Licitação - CPL, nos horários das 8h30 às 12h00 e das
14h00 às 17h00 na Prefeitura Municipal de Adustina, Avenida José Joaquim de
Santana, s/n, centro de Adustina/BA.
Adustina/BA, 07 de abril de 2026.</t>
  </si>
  <si>
    <t>SM/605/2026</t>
  </si>
  <si>
    <t>Compra e instalação de redes de proteção em estruturas porta-paletes * https://compras.fieb.org.br *</t>
  </si>
  <si>
    <t>Acesse o Central de Compras BA Fieb https://compras.fieb.org.br/portal/Mural.aspx e consulte os detalhes. 
Recebimento de lances
 Edital: 31001146.2026.CD.0605.PARK
 Inicio dos lances: 07/04/2026 17:50:00 Término dos lances: 08/04/2026 15:00:00</t>
  </si>
  <si>
    <t>SM/475/2026</t>
  </si>
  <si>
    <t>Contratação de serviço de ensaio de exposição em câmara de intemperismo acelerado por UV em peças poliméricas produzidas por manufatura aditiva, incluindo logística de coleta e entrega das peças. * https://compras.fieb.org.br *</t>
  </si>
  <si>
    <t>Acesse o Central de Compras BA Fieb https://compras.fieb.org.br/portal/Mural.aspx e consulte os detalhes. 
Recebimento de lances
 Edital: 30999432.2026.EMBRAPII.CD.0475.PARK
 Inicio dos lances: 17/03/2026 16:30:00 Término dos lances: 08/04/2026 15:00:00
 - Licitação sujeita a confirmação pois não foi informado que trata-se de prorrogação.</t>
  </si>
  <si>
    <t>SM/551/2026</t>
  </si>
  <si>
    <t>Fornecimento de elementos de fixação e enclausuramento. * https://compras.fieb.org.br *</t>
  </si>
  <si>
    <t>Acesse o Central de Compras BA Fieb https://compras.fieb.org.br/portal/Mural.aspx e consulte os detalhes. 
Recebimento de lances
 Edital: 31000561.2026.CD.0551.SENAICI
 Inicio dos lances: 27/03/2026 17:00:00 Término dos lances: 08/04/2026 15:00:00
 - Licitação sujeita a confirmação pois não foi informado que trata-se de prorrogação.</t>
  </si>
  <si>
    <t>SM/14677/2026</t>
  </si>
  <si>
    <t>Acesse o Central de Compras BA Fieb https://compras.fieb.org.br/portal/Mural.aspx e consulte os detalhes. 
Em andamento
 Edital: SDE 2026014677
 Inicio dos lances: 13/03/2026 08:00:00 Término dos lances: 08/04/2026 12:00:00
 - Licitação sujeita a confirmação pois não foi informado que trata-se de prorrogação.</t>
  </si>
  <si>
    <t>SM/26/1.00368</t>
  </si>
  <si>
    <t>PLANO DE CORTE MDF CARVALHO HANNOVER https://egov.paradigmabs.com.br/sescba/Default.aspx</t>
  </si>
  <si>
    <t>Acesse site https://egov.paradigmabs.com.br/sescba/Default.aspx e consulte os detalhes. 
Em andamento
 Edital: 26/1.00368
 Inicio dos lances: 01/04/2026 16:35:00 Término dos lances: 10/04/2026 08:18:00
 - Licitação sujeita a confirmação pois não foi informado que trata-se de prorrogação.</t>
  </si>
  <si>
    <t>SM/13596/2026</t>
  </si>
  <si>
    <t>Aquisição, sem disputa, de bombas de água para o Laboratório de Motores do SENAI CIMATEC. * https://compras.fieb.org.br *</t>
  </si>
  <si>
    <t>Acesse o Central de Compras BA Fieb https://compras.fieb.org.br/portal/Mural.aspx e consulte os detalhes. 
Em andamento
 Edital: SDE 2026013596
 Inicio dos lances: 22/01/2026 19:00:00 Término dos lances: 08/04/2026 16:00:00
 - Licitação sujeita a confirmação pois não foi informado que trata-se de prorrogação.</t>
  </si>
  <si>
    <t>SM/423/2026</t>
  </si>
  <si>
    <t>Contratação de serviço técnico especializado para retrofit em máquina injetora * https://compras.fieb.org.br *</t>
  </si>
  <si>
    <t>Acesse o Central de Compras BA Fieb https://compras.fieb.org.br/portal/Mural.aspx e consulte os detalhes. 
Recebimento de lances
 Edital: 30998608.2026.CIMATEC.CD.0423.PARK
 Inicio dos lances: 06/03/2026 18:00:00 Término dos lances: 08/04/2026 16:00:00
 - Licitação sujeita a confirmação pois não foi informado que trata-se de prorrogação.</t>
  </si>
  <si>
    <t>CP/25/2026</t>
  </si>
  <si>
    <t>Contratação de empresa especializada para o fornecimento de materiais de construção, destinados ao atendimento das demandas operacionais das diversas Secretarias do Município de Pojuca/BA, limitada aos lotes remanescentes fracassados lotes 01, 04 e 07 do Processo Administrativo nº 205-2025, mediante realização de novo procedimento licitatório, com vistas à garantia da continuidade dos serviços públicos essenciais</t>
  </si>
  <si>
    <t xml:space="preserve">** Confirmar prazo na Unidade Licitante **
Interessados deverão enviar orçamentos para o e-mail: compras.segad@gmail.com no prazo de
até 05 cinco dias úteis. </t>
  </si>
  <si>
    <t>SM/15309/2026</t>
  </si>
  <si>
    <t>Processo EMERGENCIAL de seleção sem disputa, com entrega por demanda, para prestação do serviço de calibração e/ou verificação legal e técnica dos equipamentos de medição, conforme especificações detalhadas no termo de referência em anexo. * https://compras.fieb.org.br *</t>
  </si>
  <si>
    <t>Acesse o Central de Compras BA Fieb https://compras.fieb.org.br/portal/Mural.aspx e consulte os detalhes. 
Em andamento
 Edital: SDE 2026015309
 Inicio dos lances: 07/04/2026 14:55:00 Término dos lances: 08/04/2026 16:00:00</t>
  </si>
  <si>
    <t>Prefeitura Municipal de Jacaraci</t>
  </si>
  <si>
    <t>Jacaraci</t>
  </si>
  <si>
    <t>Contratação de empresa especializada para o fornecimento e instalação de fonte flutuante luminosa ornamental, a ser implantada na Lagoa de Irundiara, no Município de Jacaraci - BA.</t>
  </si>
  <si>
    <t>Os interessados deverão enviar Proposta de Preços e Documentos de Habilitação para o Setor de
Licitação, localizado na Prefeitura Municipal de Jacaraci, situada à Avenida Mozart David, 01 -
Centenário - CEP: 46.310-000, Jacaraci - Bahia no horário de funicionamento ou pelo e-mail:
licitacoes@jacaraci.ba.gov.br, no prazo de 03 três dias úteis, a contar da data da publicação desse
aviso.</t>
  </si>
  <si>
    <t>Consórcio Público Interfederativo de Saúde da Região do Baixo Sul</t>
  </si>
  <si>
    <t>contratação de empresa especializada para o fornecimento e substituição das gaxetas de alta frequência RF, tipo fingerstock da porta da sala de Ressonância Magnética, contemplando o fornecimento de todos os materiais necessários, a execução dos serviços por mão de obra qualificada, bem como a realização dos ajustes e testes técnicos indispensáveis ao correto funcionamento do sistema. As gaxetas de RF deverão ser fabricados em material condutivo adequado, preferencialmente cobre ou liga equivalente, compatíveis com a porta e o sistema de blindagem da sala de Ressonância Magnética. Devem garantir contato elétrico contínuo entre a porta e a estrutura fixa, assegurando a continuidade da blindagem eletromagnética, além de apresentar dimensões, elasticidade e resistência mecânica adequada ao uso hospitalar.</t>
  </si>
  <si>
    <t>As empresas interessadas deverão enviar a cotação através do e-mail: licitacaocisbaixosul@gmail.com, ou entregar
presencialmente na Sede Consórcio, sito à Rua Maestro Barrinha, s/nº, Graça, Valença-BA, CEP: 45.400-000, até às
23:59 horas do dia 10/04/2026, respeitando o prazo estabelecido.</t>
  </si>
  <si>
    <t>Prefeitura Municipal de Xique-Xique</t>
  </si>
  <si>
    <t>Xique-Xique</t>
  </si>
  <si>
    <t>Contratação de empresa para execução dos serviços de limpeza de fossa completa com caminhão especializado e descarte correto dos resíduos, visando atender as necessidades das Secretarias Municipais deste Município de Xique-Xique/Ba e suas unidades.</t>
  </si>
  <si>
    <t>Unidade compradora: 0602 - SECRETARIA MUNICIPAL DE ADMINISTRAÇÃO, PLANEJAMENTO E FINANÇAS - SMA
Local: Xique-Xique/BA
Órgão: MUNICIPIO DE XIQUE-XIQUE
Id contratação PNCP: 13880257000127-1-000024/2026
Fonte: Ascontech Solutions
 - Número compra: 29 - Manifestação de Interesse</t>
  </si>
  <si>
    <t>DL/1010/2026</t>
  </si>
  <si>
    <t>CIMENTO COMUM 50KG - SAP</t>
  </si>
  <si>
    <t>DL/985/2026</t>
  </si>
  <si>
    <t>PAQUÍMETRO ANALÓGICO UNIVERSAL - SAEP</t>
  </si>
  <si>
    <t>DL/1000/2026</t>
  </si>
  <si>
    <t>COMPONENTES AUTOMAÇÃO - SAEP</t>
  </si>
  <si>
    <t>SM/7004582318</t>
  </si>
  <si>
    <t>* Licitação Eletrônica * Aquisição de Cabo de Aço Especial</t>
  </si>
  <si>
    <t>** Esta publicação está sendo informada para os estados CE e RJ onde será realizado o objeto da licitação. Informamos que a publicação oficial é do estado de RJ. **
Regiões: CE RJ 
Inicio: 2026/04/08 - 17:00:00 Término dos lances: 2026/04/08 17:00:00
 - Licitação sujeita a confirmação pois não foi informado que trata-se de prorrogação.</t>
  </si>
  <si>
    <t>DL/992/2026</t>
  </si>
  <si>
    <t>CABO TELESCÓPICO PARA PISCINA</t>
  </si>
  <si>
    <t>DL/1004/2026</t>
  </si>
  <si>
    <t>CONEXÃO PNEUMÁTICA</t>
  </si>
  <si>
    <t>DL/1013/2026</t>
  </si>
  <si>
    <t>TUBO DE COBRE</t>
  </si>
  <si>
    <t>DL/999/2026</t>
  </si>
  <si>
    <t>MULTÍMETRO DIGITAL</t>
  </si>
  <si>
    <t>Companhia Administradora da Zona de Processamento de Exportacao do Ceara</t>
  </si>
  <si>
    <t>AQUISIÇÃO DE CABIDEIROS DE CHÃO EM MADEIRA E CORTINAS DO TIPO ROLO EM TELA SOLAR.</t>
  </si>
  <si>
    <t>GOVERNO DO ESTADO DO CEARÁ - SEPLAG - Secretaria do Planejamento e Gestão
**  https://s2gpr.sefaz.ce.gov.br/licita-web/paginas/licita/PublicacaoList.seam  ** 
Número da publicação: 2026/09633
Nº Edital - Contratante - Entrega: 20260003 - COMPANHIA ADMINISTRADORA DA ZONA DE PROCESSAMENTO DE EXPORTACAO DO CEARA -
Sistemática - Forma de Aquisição: DISPENSA LEI 13.303/2016, ART. 29 -
Gestor Contratante: Cristiane Nepomuceno Santiago</t>
  </si>
  <si>
    <t>DL/1008/2026</t>
  </si>
  <si>
    <t>COMPRESSOR DE AR</t>
  </si>
  <si>
    <t>Prefeitura Municipal de Crato</t>
  </si>
  <si>
    <t xml:space="preserve">Contratação de empresa especializada para o fornecimento e instalação de redes de proteção em polietileno para o Mercado Wilson Roriz, visando a segurança e proteção dos atrativos turísticos da Secretaria de Turismo do Crato, conforme condições, quantidades e exigências estabelecidas no processo Dispensa nº 27/2026 - SETUR. </t>
  </si>
  <si>
    <t>3. RECEBIMENTO DE PROPOSTAS ADICIONAIS:
3.1. Interessados em ofertar proposta devem enviar sua documentação, conforme termo de referência anexo a este, e ao que dispõe este
aviso, até o dia 10 de abril de 2026 contar 3 dias uteis do aviso, para o e-mail turismo@crato.ce.gov.br, até às 23h59m ou enviar fisicamente
no endereço PALÁCIO ALEXANDRE ARRAES, Nº SN - LARGO JÚLIO SARAIVA - CEP: 63.100-347
1º ANDAR, até o horário 08hrs as 17:00hrs.</t>
  </si>
  <si>
    <t>DL/1006/2026</t>
  </si>
  <si>
    <t>EQUIPAMENTO - AUDIÔMETRO</t>
  </si>
  <si>
    <t>DL/1007/2026</t>
  </si>
  <si>
    <t>EQUIPAMENTO - IMITANCIÔMETRO</t>
  </si>
  <si>
    <t>DL/97086/2026</t>
  </si>
  <si>
    <t>CONTRATAÇÃO EMERGENCIAL DE SERVIÇO DE CONFECÇÃO E INSTALAÇÃO DE VIDROS,TELAS MOSQUITEIRAS E INSULFILM NAS JANELAS DO HOSPITAL DOUTOR DÓRIO SILVA, CONFORME TERMO DE REFERENCIA. * www.portaldecompraspublicas.com.br *</t>
  </si>
  <si>
    <t>Órgão: Fundação Inova Capixaba - Fundação Inova Capixaba - ES
				Processo: 2026-3HG00
				Edital: 97086/2026
				Modalidade: Dispensa
				Início de envio das propostas: 07-04-2026 ás 16:00
				Término de envio das propostas: 10/04/2026 ás 16:00		
				Início dos lances: 10/04/2026 ás 16:01</t>
  </si>
  <si>
    <t>Ministério Publico do Estado de Goiás - Procuradoria Geral de Justiça</t>
  </si>
  <si>
    <t>DL/119633/2026</t>
  </si>
  <si>
    <t>* Licitação Eletrônica * Contratação de serviços de calibração de decibelímetro e calibrador dosímetro. * https://pncp.gov.br *</t>
  </si>
  <si>
    <t>Unidade compradora: 40 - ESTADO DE GOIAS - MINISTÉRIO PÚBLICO DO ESTADO DE GOIÁS
Local: Goiânia/GO
Órgão: ESTADO DE GOIAS
Id contratação PNCP: 01409580000138-1-000516/2026
Fonte: SISLOG - Sistema de Logística de Goiás
 - Dispensa</t>
  </si>
  <si>
    <t>Fundo Municipal de Saúde de Jesúpolis</t>
  </si>
  <si>
    <t>Jesúpolis</t>
  </si>
  <si>
    <t>CONTRATAÇÃO DE EMPRESA PARA FORNECIMENTO DE EQUIPAMENTO DE ANALISE DE SANGUE</t>
  </si>
  <si>
    <t>JESUPOLIS - FMS - Jesupolis - GO
Id: 4112
DISPENSA DE LICITAÇÃO</t>
  </si>
  <si>
    <t>CE/720260393</t>
  </si>
  <si>
    <t>* Licitação eletrônica * AQUISICAO DE BRITA PARA MANUTENCOES GERAIS NO SISTEMA DE MORDA NOVA DE MINAS/GRCV.</t>
  </si>
  <si>
    <t>CE/20260048</t>
  </si>
  <si>
    <t>* Licitação eletrônica * 10,4 M3/H A 2MCA2.4 M3/H A 12 MCA1 CV TRIFASSICA IP M8 TRITURADOR ROTOR DE 97MM</t>
  </si>
  <si>
    <t>DL/613/2026</t>
  </si>
  <si>
    <t>Produto/Serviço Quant. Unidade
Produto/Serviço: Manutenção, calibração e validação de Analisador de densidade
Descrição: Manutenção, calibração e validação de Analisador de Densidade Modelo: ACP Autodensity 100 Número de série: 017012290555 1 Unidade</t>
  </si>
  <si>
    <t>Cotação compra direta
A Fundação Christiano Ottoni recebe as entregas de segunda à sexta-feira nos horários de 8:00 às 12:00 e de 13:00 às 17:00 hs.
Serviço de Manutenção</t>
  </si>
  <si>
    <t>DL/606/2026</t>
  </si>
  <si>
    <t>Produto/Serviço Quant. Unidade
Produto/Serviço: pHmetro e ISE de duplo canal
Descrição: Características Medidor de bancada de duplo canal para medidas de pH, ORP, temperatura e atividade iônica de laboratório, escolhendo dois parâmetros simultaneamente. Acompanha: 1 pc DMF X1 Eletrodo combinado de pH. 1 pc DMF P1X Termocompensador tipo Pt 100 com corpo de inox; 1 pc F 40 Suporte com braço articulado; 1 fco 250 mL DM S1B Solução tampão de pH 4,01; 1 fco 250 mL DM S1A Solução tampão de pH 6,86; 1 Manual de instruções. MARCA DIGIMED 1 Unidade
Produto/Serviço: Condutivímetro de laboratório Touch Screen
Descrição: 1 pc Célula de condutividade K 1 cm com termocompensador acoplado DMC 010M DPA ; 1 pc Suporte com braço articulado F 40 ; 1 fco 250 mL Solução padrão de condutividade 1.412 uS/cm DM S6A ; 1 Fonte de alimentação DM SN NLAB FALI Software de coleta de dados MARCA DIGIMED 1 Unidade</t>
  </si>
  <si>
    <t>CE/720260388</t>
  </si>
  <si>
    <t>* Licitação eletrônica * MATERIAL: CHAVE DE MANOBRAFABRICADA EM: TUBO GALVANIZADO CLASSE MEDIADIAMETRO NOMINAL: 3/4"DIAMETRO EXTERNO: 26,9 MMESPESSURA DA PAREDE:2,65 MMNORMA DO TUBO: ABNT NBR 5580DADOS COMPLEMENTARES: CHAVE EM FORMA DE "TE", PARA ACIONAMENTO MANUAL DEEQAUIPAMENTOS HIDRAULICOS REGISTROS, INSTALADOS ABAIXO DO NIVEL DOPISO, COM ENCAIXE AO CABECOTE .COMPRIMENTO: 1500 MMHASTE: 500 MM, MONTADA ATRAVES DE SOLDA;A CHAVE DEVERA POSSUIR BOCA PARA ENCAIXE AO CABECOTE DOSEQUIPAMENTOS, MEDINDO:PARTE INTERNA FUNDO 28MM;PARTE INTERNA EXTREMIDADE 35;;ALTURA DE 50MM CONFECCIONADO EM CHAPA DE ACO # 3/16".VIDE DESENHO CONTIDO NO ANEXO.</t>
  </si>
  <si>
    <t>SM/820261547</t>
  </si>
  <si>
    <t xml:space="preserve"> * Licitação Eletrônica * - * Orçamentação Eletrônica * JOGO BROCAS ACO RAP. 25PCS 1,0 A 13,0MM PT</t>
  </si>
  <si>
    <t>SM/820261546</t>
  </si>
  <si>
    <t xml:space="preserve"> * Licitação Eletrônica * - * Orçamentação Eletrônica * ALICATE DECAPADOR LONGIT CABOS DIAM.25mm</t>
  </si>
  <si>
    <t>SM/820261542</t>
  </si>
  <si>
    <t xml:space="preserve"> * Licitação Eletrônica * - * Orçamentação Eletrônica * RETIFICA RETA A BATERIA - 18 VCC</t>
  </si>
  <si>
    <t>Prefeitura Municipal de Vermelho Novo</t>
  </si>
  <si>
    <t>Vermelho Novo</t>
  </si>
  <si>
    <t>O objeto da presente dispensa é a escolha da proposta mais vantajosa para a de empresa especializada para prestação de serviços técnicos profissionais na área de engenharia ambiental e engenharia sanitária, visando atender às demandas do Município de Vermelho Novo, por meio da elaboração de projetos ambientais e sanitários, assessoramento técnico, acompanhamento das demandas ambientais e fiscalização da destinação de resíduos sólidos urbanos , conforme condições, quantidades e exigências estabelecidas neste edital e seus anexos.</t>
  </si>
  <si>
    <t>Em andamento - Dispensa</t>
  </si>
  <si>
    <t>CE/720260387</t>
  </si>
  <si>
    <t>* Licitação eletrônica * AQUISICAO DE MASSA PLASTICA 800G E RESINA POLIESTER E CATALIZADOR, PARA O SISTEMA DE MONTES CLAROS.</t>
  </si>
  <si>
    <t>SM/820261540</t>
  </si>
  <si>
    <t xml:space="preserve"> * Licitação Eletrônica * - * Orçamentação Eletrônica * REBITADOR MANUAL DE ALAVANCA COM COLETOR</t>
  </si>
  <si>
    <t>SM/620260023</t>
  </si>
  <si>
    <t>execucao, com fornecimento parcial de materiais e equipamentos, das obras e servicos complementares para implantacao das Unidades de Tratamento de Residuos - UTR's das Estacoes de Tratamento de Agua - ETA's de Cataguases / MG, Itajuba / MG, Lavras / MG e Varginha / MG</t>
  </si>
  <si>
    <t>SM/620260003</t>
  </si>
  <si>
    <t>execucao, com fornecimento parcial de materiais e total de equipamentos, das obras e servicos para implantacao das Unidade de Tratamento de Residuos - UTRs nas cidades de Cristalia, Montalvania e Salinas / MG</t>
  </si>
  <si>
    <t>SM/820261571</t>
  </si>
  <si>
    <t xml:space="preserve"> * Licitação Eletrônica * - * Orçamentação Eletrônica * AQUISICAO DE DISJUNTOR, BORNES E PROTETORES SOBRET.</t>
  </si>
  <si>
    <t>SM/820261565</t>
  </si>
  <si>
    <t xml:space="preserve"> * Licitação Eletrônica * - * Orçamentação Eletrônica * AQUISICAO DE DISJUNTOR, BORNE E PROTETOR</t>
  </si>
  <si>
    <t>SM/820261569</t>
  </si>
  <si>
    <t xml:space="preserve"> * Licitação Eletrônica * - * Orçamentação Eletrônica * AQUISICAO DE BORNE E FUSIVEL</t>
  </si>
  <si>
    <t>SM/820261561</t>
  </si>
  <si>
    <t xml:space="preserve"> * Licitação Eletrônica * - * Orçamentação Eletrônica * AQUISICAO DE BORNE VIDRO E FUSIVEL VIDRO</t>
  </si>
  <si>
    <t>DL/556/2026</t>
  </si>
  <si>
    <t>Produto/Serviço Quant. Unidade
Produto/Serviço: Fio eletrostático
Descrição: Produzido com fios de alumínio e polímero resistente, ele garante excelente condução elétrica e robustez mecânica, mesmo sob condições climáticas adversas. Condutividade Superior com Fios de Alumínio Os filamentos de alumínio oferecem alto desempenho na condução de corrente elétrica, assegurando que a energia percorra eficientemente toda a extensão da cerca. Alta Resistência ao Tempo e à Tração O fio conta com um revestimento de polímero de alta durabilidade, que protege contra desgaste por sol, chuva, vento e tração constante, ideal para uso prolongado ao ar livre. Instalação Simples e Prática O fio é leve e flexível, facilitando o transporte, o desenrolamento e a fixação em isoladores e mourões, mesmo em terrenos irregulares. Compatibilidade com Diversos Eletrificadores Pode ser utilizado com os principais modelos de eletrificadores do mercado, tornando se uma escolha versátil para diferentes aplicações de segurança. 6000 Metro
Produto/Serviço: Estacas hastes de fibra de vidro com 2 clips por haste
Descrição: Estacas de Fibra de Vidro 10 mm Estacas fabricadas em fibra de vidro, com diâmetro nominal de 10 mm, alta resistência mecânica e flexibilidade controlada. Deve ser material dielétrico, não condutor, adequado para uso em cercas elétricas e módulos móveis de contenção. Deve ser resistentes à corrosão, intempéries e radiação UV. Deve ser compatíveis com fios eletrostáticos ou arames condutores. Especificação: Indicação: cercas elétricas móveis. Composição: fibra de vidro, garantindo alta durabilidade e leveza; Comprimento total: 1,20m Espessura: 10mm Cor: amarela. Não acompanha clips. Alta isolação e elevada resistência; Possui proteção contra radiação UV. Fácil visualização; Não enferruja e não apodrece; Possui ponta afiada para fixar no solo: fácil e prática de instalar, conforme a necessidade de cada propriedade; Eficaz para cercas de diversos tamanhos. 300 Unidade
Produto/Serviço: Carreteis para fio
Descrição: Carretel com capacidade para 1.000 m, destinado ao armazenamento, desenrolamento e recolhimento de fio ou fita eletroplástica utilizados na construção de cercas elétricas. A estrutura deve ser resistente, com manivela para operação manual e com sistema que evita torções, nós ou enrolamentos irregulares durante o uso. Especificação: Recomendado para recolher o fio e usar para instalar a cerca elétrica, evitando com que o fio se enrole. Suporta fio de fibra de vidro, fio eletroplástico e fita eletroplástica não acompanham . Pode ser montado junto à cerca, usando o como catraca Produzido com material muito resistente PEAD e metal galvanizado Possui proteção contra radiação UV Isolação de até: 40.000V Capacidade: Fio eletroplástico: aproximadamente 1000m Fio de fibra de vidro: aproximadamente 500m Fita eletroplástica 12/20mm: aproximadamente 400m Fita eletroplástica 38mm: aproximadamente 200m Engrenagem robusta para enrolamento e desenrolamento rápido do fio Relação de transmissão 3:1. O tambor gira 3 vezes mais rápido do que o punho: 1 volta no punho 3 voltas do carretel Mecanismo de bloqueio para manter a linha da cerca Possui alça para transporte Dimensões totais: 35cm x 31,5cm x 26cm Cor: Preto 3 Unidade</t>
  </si>
  <si>
    <t>SM/820261555</t>
  </si>
  <si>
    <t xml:space="preserve"> * Licitação Eletrônica * - * Orçamentação Eletrônica * VISCOSIFICANTE PO BASE GOMA XANTANA 25KG</t>
  </si>
  <si>
    <t>CE/720260390</t>
  </si>
  <si>
    <t>* Licitação eletrônica * PARAFUSADEIRA E FURADEIRA. ENTREGA EM 07 DIAS CORRIDOS A CONTAR DE 10.04.2026</t>
  </si>
  <si>
    <t>SM/820261539</t>
  </si>
  <si>
    <t xml:space="preserve"> * Licitação Eletrônica * - * Orçamentação Eletrônica * MATERIAL: FECHADURA PARA PORTA INTERNA, TRINCOAPLICACAO: PORTASDADOS COMPLEMENTARES: TRINCO FACILMENTE REVERSIVEL, COM DUASCHAVES COMUNS, TRINCO LINGUETA E CUBO EM LATAO, TESTA ECONTRA TESTA EM LATAO CROMADO, MACANETA DE ALAVANCA.DE ALAVANCA.</t>
  </si>
  <si>
    <t>SM/820261543</t>
  </si>
  <si>
    <t xml:space="preserve"> * Licitação Eletrônica * - * Orçamentação Eletrônica * JOGO DE LIMAS ROTATIVAS DE METAL DURO</t>
  </si>
  <si>
    <t>SM/820261544</t>
  </si>
  <si>
    <t xml:space="preserve"> * Licitação Eletrônica * - * Orçamentação Eletrônica * KIT ANEIS O-RING PARA VEDACAO HIDRAULICA</t>
  </si>
  <si>
    <t>SM/820261545</t>
  </si>
  <si>
    <t xml:space="preserve"> * Licitação Eletrônica * - * Orçamentação Eletrônica * PLACA P/MARCO TOPOGRAFICO EM ALUMINIO</t>
  </si>
  <si>
    <t>DL/611/2026</t>
  </si>
  <si>
    <t>Produto/Serviço Quant. Unidade
Produto/Serviço: Manutenção de mesa vibratória 50 x 50 mm
Descrição: Compra e instalação de motor para mesa vibratória de 50 x 50 cm para confecção de corpos de prova de argamassa e concreto. 1 Unidade</t>
  </si>
  <si>
    <t>SM/820261556</t>
  </si>
  <si>
    <t xml:space="preserve"> * Licitação Eletrônica * - * Orçamentação Eletrônica * AQUISICAO DE MATERIAIS DIVERSOS</t>
  </si>
  <si>
    <t>Prefeitura Municipal de Capitão Andrade</t>
  </si>
  <si>
    <t>Capitão Andrade</t>
  </si>
  <si>
    <t>Contratação de empresa especializada em fornecimento e instalação de cerca tipo gradil nylofor no município de Capitão Andrade/MG.</t>
  </si>
  <si>
    <t>Recebimento das propostas inicia-se às 08:00 horas do dia 08/04/2026 e encerra-se no dia 13/04/2026 às 14:00 horas. Propostas podem ser enviadas por e-mail propostas@capitaoandrade.mg.gov.br ou presencialmente na sede da Prefeitura. Edital disponível em https://www.transparencia.capitaoandrade.mg.gov.br/licitacoes/. Informações: licitacao@capitaoandrade.mg.gov.br ou 33 3231-9124.</t>
  </si>
  <si>
    <t>CE/720260400</t>
  </si>
  <si>
    <t>* Licitação eletrônica * ROLAMENTOS CONFORME DESCRICAO.</t>
  </si>
  <si>
    <t>Prefeitura Municipal de Turvolândia</t>
  </si>
  <si>
    <t>Turvolândia</t>
  </si>
  <si>
    <t>CONTRATAÇÃO DE EMPRESA ESPECIALIZADA PARA PRESTAÇÃO DE SERVIÇOS DE ASSESSORIA E CONSULTORIA AMBIENTAL, DESTINADOS AO ATENDIMENTO DAS DEMANDAS DO MUNICÍPIO DE TURVOLÂNDIA/MG, POR MEIO DA SECRETARIA MUNICIPAL DE ADMINISTRAÇÃO, COMPREENDENDO O PLANEJAMENTO, A ELABORAÇÃO DE PROJETOS TÉCNICOS, O ACOMPANHAMENTO DE PROCESSOS E O SUPORTE TÉCNICO NECESSÁRIO À VIABILIZAÇÃO DE CAPTAÇÃO DE RECURSOS JUNTO À CPR- FURNASELETROBRAS</t>
  </si>
  <si>
    <t>As propostas serão recebidas pelo e-mail compras@turvolandia.mg.gov.br ou entregues
mediante protocolo ao Setor de Compras até o dia 09 de abril de 2026, às 16:00 horas. A
abertura dos envelopes e propostas enviadas por e-mail serão analisadas no próximo dia
útil. Termo de referência, outros documentos e este aviso podem ser visualizados no
site oficial na área de licitações. Dúvidas e esclarecimento podem ser obtidos através do
e-mail acima. A empresa detentora da proposta mais vantajosa para a Prefeitura Municipal
de Turvolândia-MG será contatada para envio da documentação que comprove reunir as
condições necessárias para contratar com a Administração, em até 02 dois dias úteis após
a convocação.
Turvolândia, 06 de abril de 2026.</t>
  </si>
  <si>
    <t>SM/820261554</t>
  </si>
  <si>
    <t xml:space="preserve"> * Licitação Eletrônica * - * Orçamentação Eletrônica * FLUIDO DE PERFURACAO TIPO FOAM DRILLING</t>
  </si>
  <si>
    <t>Prefeitura Municipal de Chiador</t>
  </si>
  <si>
    <t>Chiador</t>
  </si>
  <si>
    <t>Aquisição de equipamentos destinados ao tratamento, controle de qualidade e monitoramento da água da Estação de Tratamento de Água ETA do município de Chiador/MG, compreendendo o fornecimento de equipamentos laboratoriais e operacionais, tais como bombas dosadoras, destiladores, fluorímetros, medidores de cloro, phmetros, turbidímetros e kits de vidrarias.</t>
  </si>
  <si>
    <t>Edital completo disponível na sede da Prefeitura, Rua Padre Carlos Dondero, nº 16 - Centro, Chiador/MG, de segunda a sexta-feira, das 09:00 às 16:00, ou pelo site www.chiador.mg.gov.br, ou e-mail: licitacao@chiador.mg.gov.br. Informações: 32 8407-3499. Recebimento das propostas e documentação até 13/04/2026 às 08:00. Início da sessão pública às 08:01 do dia 13/04/2026.</t>
  </si>
  <si>
    <t>Secretaria Estadual de Educação - Superintendência Regional de Ensino de Caxambu</t>
  </si>
  <si>
    <t>Caxambu</t>
  </si>
  <si>
    <t>CE/4/2026</t>
  </si>
  <si>
    <t>* Licitação Eletrônica * Materiais de Manutenção : Torneiras, Assento para Vaso Sanitário, Ventilador, Aparelho Telefônico, Soquete, Lâmpadas, Fita Isolante e Fita para Rotulador.</t>
  </si>
  <si>
    <t>1261007 - SEE/CAXAMBU
Modo de julgamento: Por lote</t>
  </si>
  <si>
    <t>Prefeitura Municipal de Mantena</t>
  </si>
  <si>
    <t>Mantena</t>
  </si>
  <si>
    <t>Contratação de empresa especializada de engenharia para execução de ações de resposta em defesa civil, consistente na construção de bueiros tubulares de concreto com recursos do MDR - Portaria 1.508/2025.</t>
  </si>
  <si>
    <t>Sessão será realizada na plataforma https://licitar.digital/. Proc. 59051.040026/2025-02.</t>
  </si>
  <si>
    <t>Prefeitura Municipal de Selvíria</t>
  </si>
  <si>
    <t>Selvíria</t>
  </si>
  <si>
    <t>Contratação de empresa especializada para execução de sistema de drenagem pluvial com implantação de tubulação em concreto e estrutura complementar, no Assentamento Canoas, zona rural do município de Selvíria/MS</t>
  </si>
  <si>
    <t>** Confirmar prazo na Unidade Licitante, pois não foi informado pela Fonte Oficial **
em conformidade com as especificações e condições constantes neste termo de referência e legislação vigente, poderá ser obtido através do e-mail: dispensa.
selviria@gmail.com. Eventuais interessados podem apresentar proposta de preço no prazo de 03 três dias úteis, oportunidade em que a Administração escolherá a mais vantajosa. Propostas deverão ser encaminhadas ao Agente de Contratação até 13/04/2026 as 16h00min horário MS. Os interessados em apresentar proposta, entrar em contato com a licitação. Valor estimado do objeto é de R$ 53.580,74 cinquenta e três mil, quinhentos e oitenta reais e
setenta e quatro centavos. Selvíria - MS, 07 de abril de 2026.</t>
  </si>
  <si>
    <t>AQUISIÇÃO DE MATERIAL DE MANUTENCAO BENS MOVEIS E IMOVEIS PARA ATENDER AO SESI ESCOLA CUIABA. https://compras.sfiemt.ind.br/portal/Mural.aspx</t>
  </si>
  <si>
    <t>Prefeitura Municipal de Diamante</t>
  </si>
  <si>
    <t>Diamante</t>
  </si>
  <si>
    <t>DL/10043/2026</t>
  </si>
  <si>
    <t>Contratação de empresa para execução de esgotamento sanitário em diversas ruas do município de Diamante - PB, conforme projeto básico e demais planilhas em anexo ao termo de referência.</t>
  </si>
  <si>
    <t>Propostas recebidas do dia 08 até o dia 14 de abril de 2026. Termo de referência disponível na Comissão de Licitação, Rua Possidônio José da Costa, 58 - Centro - Diamante - PB, ou em www.diamante.pb.gov.br. Propostas podem ser enviadas para cpl@diamante.pb.gov.br. Informações: 08:00 às 13:00 em dias úteis.</t>
  </si>
  <si>
    <t>CE/278/2026</t>
  </si>
  <si>
    <t>Unidade para teste de disjuntores https://compras.itaipu.gov.br/Default.aspx</t>
  </si>
  <si>
    <t>Acesse site https://compras.itaipu.gov.br/Default.aspx e consulte os detalhes. 
Em proposta
 Edital: EF 0278-26
 Inicio dos lances: 23/03/2026 11:25:00 Término dos lances: 14/04/2026 10:00:00</t>
  </si>
  <si>
    <t>SM/69/2026</t>
  </si>
  <si>
    <t>* Licitação Eletrônica * LOTE ÚNICO: Contratação de Serviço de Apoio e Assessoramento Técnico à Fiscalização de Obras na Área de abrangência da Gerência de Projetos e Obras do Sudoeste - GPOSO, conforme detalhado nos anexos do edital, sendo UNIDADE 01: Sistema de abastecimento de Água e UNIDADE 02: Sistema de Esgotamento Sanitário. * http://www.licitacoes-e.com.br *</t>
  </si>
  <si>
    <t>Edital : 6926 
Modalidade : LRE 
Nº Licitação : 1088353 
Início acolhimento de propostas : 09/03/2026-08:00 
Limite acolhimento de propostas : 10/04/2026-11:00 
Abertura das propostas : 10/04/2026-11:00 
Data e a hora da disputa : Português 
Pregoeiro : VIVIANE MARIA LUDER
 - Licitação sujeita a confirmação pois não foi informado que trata-se de prorrogação.</t>
  </si>
  <si>
    <t>Prefeitura Municipal de Iguatu</t>
  </si>
  <si>
    <t xml:space="preserve">Aquisição de janelas em vidro blindex destinadas às casas em construção no loteamento Água Doce, no Município de Iguatu-PR. </t>
  </si>
  <si>
    <t>Os interessados deverão encaminhar Proposta de Preços concomitantemente com os documentos de
habilitação, impreterivelmente até às 17h00min do dia 10/04/2025, unicamente através do e-mail
dispensalic@iguatu.pr.gov.br, ou mediante protocolo em envelope lacrado na Prefeitura Municipal
com endereço no rodapé, sob pena de não participação.
PROPOSTA PREÇOS: A proposta de preços deverá conter o objeto detalhado, a marca ofertada,
os prazos de entrega/prestação dos serviços e prazos de garantia, e incluirá todas as despesas
inerentes ao objeto, sem ônus ao Município.
DOCUMENTOS DE HABILITAÇÃO: Ato constitutivo da Pessoa Jurídica, Cartão CNPJ,
Documento com foto do responsável pela empresa, Certidão Negativa de débitos Federal, Certidão
Negativa de débitos Estadual, Certidão Negativa de débitos Municipal, Certidão Negativa de
débitos para com o FGTS, Certidão Negativa de débitos Trabalhista. As certidões acima devem ser
relacionadas ao domicilio sede da participante. Assim, pelo cumprimento das determinações legais,
determino a imediata publicação deste aviso, mantendo-o público na portal transparência, diário
oficial físico/eletrônico. Autue-se, Publique-se.</t>
  </si>
  <si>
    <t>Câmara Municipal de São Jorge D'Oeste</t>
  </si>
  <si>
    <t>São Jorge D'Oeste</t>
  </si>
  <si>
    <t>Contratação de empresa especializada para o fornecimento de materiais e execução de serviços de engenharia/manutenção, compreendendo infraestrutura externa, vidraçaria e coberturas metálicas, de acordo com as especificações constantes do ANEXO I - TERMO DE REFERÊNCIA.</t>
  </si>
  <si>
    <t>** Confirmar prazo na Unidade Licitante, pois não foi informado pela Fonte Oficial ** 
Edital disponível no site https://www.camarasjo.pr.gov.br/home licitações. Informações: leandrojacobs@camarasjo.pr.gov.br. Publicado em 08/04/2026.</t>
  </si>
  <si>
    <t>Comando do Exercito - Hospital Geral do Rio de Janeiro</t>
  </si>
  <si>
    <t>* Licitação Eletrônica * Contratação por necessidade consiste na aquisição e instalação de 15 telas mosquiteiro sob medida, completas com kit cantoneira e travas removíveis, destinadas ao  Próprio Nacional Residencial  PNR da Direção do HGeRJ, conforme condições e exigências estabelecidas neste instrumento e estabelecidas no termo de referência. * https://pncp.gov.br *</t>
  </si>
  <si>
    <t>Unidade compradora: 160323 - COMANDO DO EXERCITO - HOSPITAL GERAL DO RIO DE JANEIRO
Local: Rio de Janeiro/RJ
Órgão: COMANDO DO EXERCITO
Id contratação PNCP: 00394452000103-1-007169/2026
Fonte: Compras.gov.br
 - Dispensa</t>
  </si>
  <si>
    <t>DL/199/2026</t>
  </si>
  <si>
    <t>* Licitação Eletrônica * Aquisição de esguichos para sistemas de lava-olhos, em atendimento a Bio-Manguinhos * https://pncp.gov.br *</t>
  </si>
  <si>
    <t>Unidade compradora: 254445 - FUNDACAO OSWALDO CRUZ - INSTITUTO DE TECNOLOGIA EM IMUNOBIOLOGICOS
Local: Rio de Janeiro/RJ
Órgão: FUNDACAO OSWALDO CRUZ
Id contratação PNCP: 33781055000135-1-000411/2026
Fonte: Compras.gov.br
A especificação técnica complementar do item encontra-se disponibilizada no Anexo - Dispensa</t>
  </si>
  <si>
    <t>* Licitação Eletrônica * Mosquetão de engate rápido 6 x 60mm; aço galvanizado; trava de segurança automática; abertura do gatilho 7mm. 50 un. * https://pncp.gov.br *</t>
  </si>
  <si>
    <t>Unidade compradora: 179083 - CASA DA MOEDA DO BRASIL - CASA DA MOEDA DO BRASIL/MF
Local: Rio de Janeiro/RJ
Órgão: CASA DA MOEDA DO BRASIL
Id contratação PNCP: 34164319000174-1-000055/2026
Fonte: Compras.gov.br
Proposta CIF, incluindo impostos, taxas, despesas e frete; Pagamento em 30 dias após aceite da Nota Fiscal, por transferência bancária; Em caso de discordância existente entre as especificações deste objeto escritas no COMPRASNET - CATMAT e as especificações constantes do Termo de Referência anexo, prevalecerá o especificado no Termo. Caso permaneçam dúvidas, por favor, contatar laura.perru@casadamoeda.gov.br - Dispensa</t>
  </si>
  <si>
    <t>MINISTÉRIO DA DEFESA - Comando da Marinha - Comando de Operações Navais - Comando do 1º Distrito Naval</t>
  </si>
  <si>
    <t>* Licitação Eletrônica * Aquisição de fusíveis fotovoltaicos para o Posto Oceanográfico da Ilha de Trindade POIT * https://pncp.gov.br *</t>
  </si>
  <si>
    <t>Unidade compradora: 781000 - COMANDO DA MARINHA - COMANDO DO 1.DISTRITO NAVAL
Local: Rio de Janeiro/RJ
Órgão: COMANDO DA MARINHA
Id contratação PNCP: 00394502000144-1-002520/2026
Fonte: Compras.gov.br
 - Dispensa</t>
  </si>
  <si>
    <t>** Esta publicação está sendo informada para os estados SC e RJ onde será realizado o objeto da licitação. Informamos que a publicação oficial é do estado de RJ. **
Regiões: SC 
Inicio: 2026/04/10 - 17:00:00 Término dos lances: 2026/04/10 17:00:00
 - Licitação sujeita a confirmação pois não foi informado que trata-se de prorrogação.</t>
  </si>
  <si>
    <t>SESC - Serviço Social do Comércio - Departamento Regional - Campos</t>
  </si>
  <si>
    <t>Campos dos Goytacazes</t>
  </si>
  <si>
    <t>Cotação esticador de raias de piscina para atender a Unidade Sesc Campos. Modelo anexo https://egov.paradigmabs.com.br/SESCRJ/portal/Mural.aspx?nNmTela=E</t>
  </si>
  <si>
    <t>SESC - Serviço Social do Comércio</t>
  </si>
  <si>
    <t>Aquisição de material de manutenção para Unidade SESC Teresópolis conforme escopos anexos. Entrega imediata. https://egov.paradigmabs.com.br/SESCRJ/portal/Mural.aspx?nNmTela=E</t>
  </si>
  <si>
    <t>SESC - Serviço Social do Comércio - Departamento Regional - QUITANDINHA</t>
  </si>
  <si>
    <t>Petrópolis</t>
  </si>
  <si>
    <t>AQUISIÇÃO DE MATERIAIS DE MANUTENÇÃO 03_2026: HIDRÁULICA https://egov.paradigmabs.com.br/SESCRJ/portal/Mural.aspx?nNmTela=E</t>
  </si>
  <si>
    <t>AQUISIÇÃO DE MATERIAIS DE MANUTENÇÃO 03_2026: MARCENARIA E DIVERSOS. https://egov.paradigmabs.com.br/SESCRJ/portal/Mural.aspx?nNmTela=E</t>
  </si>
  <si>
    <t>SESC - Serviço Social do Comércio - SESC NOGUEIRA</t>
  </si>
  <si>
    <t>Material de manutenção - diverso https://egov.paradigmabs.com.br/SESCRJ/portal/Mural.aspx?nNmTela=E</t>
  </si>
  <si>
    <t>DL/154/2026</t>
  </si>
  <si>
    <t>* Licitação Eletrônica * Base para relé fotoelétrico, tomada de embutir 2 X 10A e caixa metálica para componentes elétricos - ** www.comprasbr.com.br **</t>
  </si>
  <si>
    <t>* Licitação Eletrônica * VASO SANITÁRIO, TRINCHAS E ROLOS - ** www.comprasbr.com.br **</t>
  </si>
  <si>
    <t>Câmara Municipal de Serra do Mel</t>
  </si>
  <si>
    <t>Serra do Mel</t>
  </si>
  <si>
    <t xml:space="preserve">Contratação de empresa especializada para confecção e instalação de painéis em MDF tipo madeirado, incluindo fornecimento de materiais, equipamentos e mão de obra, conforme descrição do Termo de Referência. </t>
  </si>
  <si>
    <t>Desta forma, todos os interessados
deverão solicitar o Termo de Referência para análise e
envio da proposta conforme prazos e condições
estabelecidos no Termo de Referência. Para mais
informações, serão esclarecidas presencialmente ou
através do E-mail:
camaramunicipaldeserradomel@gmail.com. Portanto, a
Câmara disponibilizará o Termo até o dia 10 de abril de
2026, às 10h00, e as interessadas deverão enviar a
proposta até às 11h00 do mesmo dia, conforme
estabelecido na Lei 14.133/2021 - nova lei de Licitações e
contratos.</t>
  </si>
  <si>
    <t>Prefeitura Municipal de Timbauba dos Batistas</t>
  </si>
  <si>
    <t>Timbaúba dos Batistas</t>
  </si>
  <si>
    <t>DL/331.001/2026</t>
  </si>
  <si>
    <t>Aquisição gradativa de motobombas e insumos correlatos para atender as demandas da Secretaria de Agricultura, Abastecimento e Meio Ambiente do município de Timbaúba dos Batistas/RN.</t>
  </si>
  <si>
    <t>O prazo para recebimento de propostas e documentação de habilitação será de 3 dias úteis, a contar desta publicação até 10/04/2026. O documento sobre as condições para a contratação, modelo para cotação e o envio da documentação de habilitação poderão ser solicitado e enviados através do e-mail pregaotimbauba@gmail.com ou na sala de licitações localizada na sede da Prefeitura Municipal de Timbaúba dos Batistas/RN, no horário das 9h às 14h.</t>
  </si>
  <si>
    <t>Prefeitura Municipal de Portão</t>
  </si>
  <si>
    <t>Portão</t>
  </si>
  <si>
    <t>DL/176/2026</t>
  </si>
  <si>
    <t>O Município de Portão/RS torna público, por meio do Setor de Compras e Licitações, que realizará Processo de Dispensa, com critério de julgamento a previsão contida no art. 75 VIII, da Lei n 14.133, de 1 de abril de 2021, e demais legislação aplicável, a fim de adquirir material necessário para baias em canis. RESPONSÁVEL PELO PEDIDO: Rafael Borges.</t>
  </si>
  <si>
    <t>• Situação: Aberto • Número da licitação: 176/2026 • Número do processo licitatório: 2231/2026 • Modalidade: Dispensa • Publicado em: 07/04/2026 às 13:43 • Realização em: 08/04/2026 às 09:00 • Objeto: O Município de Portão/RS torna público, por meio do Setor de Compras e Licitações, que realizará Processo de Dispensa, com critério de julgamento a previsão contida no art. 75 VIII, da Lei n 14.133, de 1 de abril de 2021, e demais legislação aplicável, a fim de adquirir material necessário para baias em canis. RESPONSÁVEL PELO PEDIDO: Rafael Borges. • Dotação orçamentária: R$ 3296/339030240000000</t>
  </si>
  <si>
    <t>PROCERGS-Cia. de Processamento de Dados do Estado do Rio Grande do Sul</t>
  </si>
  <si>
    <t>DL/117/2026</t>
  </si>
  <si>
    <t>Filtros planos</t>
  </si>
  <si>
    <t>Edital : DL/117/2026
Modalidade : Dispensa eletrônica sem disputa
Nº Licitação : 349460</t>
  </si>
  <si>
    <t>Câmara Municipal de Capão da Canoa</t>
  </si>
  <si>
    <t>Aquisição de materiais para serviço de manutenção para a Câmara Municipal de Vereadores de Capão da Canoa, em conformidade com as especificações e demais condições constantes no termo de referência.</t>
  </si>
  <si>
    <t>Recebimento das propostas das 00h00 de 08/04/2026 até 12h59 de 13/04/2026. Abertura das propostas: 14h00 de 13/04/2026. Propostas pelo email compras@cmcc.rs.gov.br ou protocolo da Câmara. Informações: www.capaodacanoa.rs.leg.br</t>
  </si>
  <si>
    <t>DL/63/2026</t>
  </si>
  <si>
    <t>Aquisição de materiais destinados a substituição da cobertura do arquivo 01 da Secretaria da Fazenda, nos termos da tabela abaixo.</t>
  </si>
  <si>
    <t xml:space="preserve">O MUNICÍPIO DE BAGÉ/RS, torna público aos interessados que nos termos do art.
75, |, 83º da Lei 14.133/2021, receberá de pessoas jurídicas do ramo, por e-mail ou
protocolo presencial em sua sede, entre os dias 07/04/2026 a 09/04/2026, cotação de
preços, para dispensa de licitação, pelo menor preço ofertado, para a Aquisição de
materiais destinados a substituição da cobertura do arquivo 01 da Secretaria da Fazenda,
nos termos da tabela abaixo. A documentação inerente a habilitação jurídica, regularidade
fiscal e trabalhista, deverão ser apresentados após a aceitação da cotação de preços e no
ato da contratação O termo de referência encontra-se disponível no site
https://www.bage.rs.gcv.br. O e-mail de contato para fins de recebimento das cotações é o
licitacoes@bage.rs.goyv.br
</t>
  </si>
  <si>
    <t>SENAI - Serviço Nacional de Aprendizagem Industrial - Departamento Regional de Santa Catarina – SENAI/DR/SC</t>
  </si>
  <si>
    <t>DL/1.04/2026</t>
  </si>
  <si>
    <t>Aquisição de Ferramentos para o Instituto SENAI de Inovação em Sistemas Embarcados CNPJ 03.774.688/0054-67 - ANEXAR PROPOSTA COMERCIAL EM PAPEL TIMBRADO PRÓPRIO https://portaldecompras.fiesc.com.br/Default.aspx</t>
  </si>
  <si>
    <t>CONTRATAÇÃO DE EMPRESA ESPECIALIZADA PARA O FORNECIMENTO E INSTALAÇÃO DE DIVISORIAS E CORRELATOS PARA PREFEITURA MUNICIPAL DE BRAÇO DO TROMBUDO/SC.</t>
  </si>
  <si>
    <t>Local: dispensaspublicadas@bracodotrombudo.sc.gov.br
Setor Responsável: Setor de licitações e contratos</t>
  </si>
  <si>
    <t>Prefeitura Municipal de Alfredo Wagner</t>
  </si>
  <si>
    <t>Alfredo Wagner</t>
  </si>
  <si>
    <t>Contratação de empresa para fornecimento de Tela Alambrado para a Escola Reunida Balcino Matias Wagner.</t>
  </si>
  <si>
    <t>Planilha de preços disponível em https://alfredowagner.sc.gov.br/licitacao/aviso-de-cotacao-de-planilha-para-compra-direta-no-07-2026-edu/. Propostas e documentação devem ser enviadas para educacao.aw@gmail.com. Data limite para apresentação das propostas: 09/04/2026 até 18h00min horário de Brasília - DF.</t>
  </si>
  <si>
    <t>Prefeitura Municipal de Lençóis Paulista</t>
  </si>
  <si>
    <t>Lençóis Paulista</t>
  </si>
  <si>
    <t>DL/3605/2026</t>
  </si>
  <si>
    <t>* Licitação Eletrônica * AQUISICAO DE TELAS PARA ALAMBRADO  * https://pncp.gov.br *</t>
  </si>
  <si>
    <t>Unidade compradora: 1 - MUNICIPIO DE LENCOIS PAULISTA - Prefeitura Municipal de Lençóis Paulista
Local: Lençóis Paulista/SP
Órgão: MUNICIPIO DE LENCOIS PAULISTA
Id contratação PNCP: 46200846000176-1-003486/2026
Fonte: CONAM Consultoria em Administração Municipal
 - Dispensa</t>
  </si>
  <si>
    <t>CP/3190/2026</t>
  </si>
  <si>
    <t xml:space="preserve"> CONTRATAÇÃO DE EMPRESA PARA PRESTAÇÃO DE SERVIÇO DE MANUTENÇÃO; LIMPEZA E TROCA DE FILTROS EM 01UM BEBEDOURO INDUSTRIAL - PATRIMONIO 91871 E 01UM BEBEDOURO INDUSTRIAL- PATRIMONIO 93273 NA E.M.E.I. PROF. MÁRIO ANTONIO BIZARI, CONFORME TERMOS E CONDIÇÕES CONSTANTES NO TERMO DE REFERÊNCIA.</t>
  </si>
  <si>
    <t xml:space="preserve">COTAÇÃO Nº 03190/26 - PARA DISPENSA DE LICITAÇÃO: CONTRATAÇÃO DE EMPRESA PARA
PRESTAÇÃO DE SERVIÇO DE MANUTENÇÃO; LIMPEZA E TROCA DE FILTROS EM 01UM BEBEDOURO
INDUSTRIAL - PATRIMONIO 91871 E 01UM BEBEDOURO INDUSTRIAL- PATRIMONIO 93273 NA
E.M.E.I. PROF. MÁRIO ANTONIO BIZARI, CONFORME TERMOS E CONDIÇÕES CONSTANTES NO
TERMO DE REFERÊNCIA.
 Os interessados que atendem ao objeto deverão enviar orçamentos contendo os valores de acordo
com as especificações dos serviços/produtos, com identificação dos dados da empresa CNPJ. Razão
Social, Endereço, Telefone, Email, Nome Completo e CPF do responsável pela cotação, etc.,
devidamente assinada pelo responsável, através do email:
educacao.assistencia@catanduva.sp.gov.br até às 17h00min do dia 10/04/2026 e/ou até a coleta
mínima de cotações necessárias.
Maiores informações pelo telefone 17 3531-9500 - no horário comercial, exceto aos sábados,
domingos, feriados e pontos facultativos.
Catanduva, 07 de abril de 2026 </t>
  </si>
  <si>
    <t>SAEC - Superintendência de Água e Esgoto de Catanduva</t>
  </si>
  <si>
    <t>CP/67/2026</t>
  </si>
  <si>
    <t>REGISTRO DE PREÇOS DE PEDRA BRITADA DIVERSAS GRANULOMETRIAS PARA USO DAS EQUIPES DE MANUTENÇÃO DA SAEC, CONFORME TERMO DE REFERÊNCIA.</t>
  </si>
  <si>
    <t>COTAÇÃO N° 67/2026 - PARA ADITAMENTO: REGISTRO DE PREÇOS DE PEDRA BRITADA DIVERSAS
GRANULOMETRIAS PARA USO DAS EQUIPES DE MANUTENÇÃO DA SAEC, CONFORME TERMO DE
REFERÊNCIA.
Os interessados que atendam ao objeto deverão enviar orçamento contendo os valores de acordo com as
especificações dos serviços/produtos, com identificação dos dados da empresa CNPJ, Razão Social, Endereço,
telefone, etc., devidamente assinada pelo responsável, através do e-mail: compras@saec.sp.gov.br, até às
17h00min do dia 10/04/2026 e/ou até a coleta do número mínimo de cotações necessárias.
Maiores informações pelo telefone 17 3531-0615, no horário comercial, exceto aos sábados, domingos, feriados
e pontos facultativos.
Termo de referência disponível em: http://ged.vtec.net.br:8021/vtec/autologinSaec.jsp
Catanduva, 07 de abril de 2026
Setor de Compras</t>
  </si>
  <si>
    <t>CP/61/2026</t>
  </si>
  <si>
    <t>Objeto: AQUISIÇÃO DE EQUIPAMENTOS DIVERSOS</t>
  </si>
  <si>
    <t>Prefeitura Municipal de Americana</t>
  </si>
  <si>
    <t>locação de caminhão equipado com sistema de alta sucção/vácuo para prestação de serviços de limpeza e desobstrução de bocas de lobo e galerias pluviais no município de Americana SP.</t>
  </si>
  <si>
    <t>As propostas deverão ser encaminhadas ao e-mail: fernanda.sosu@
americana.sp.gov.br
O Termo de Referência estará à disposição dos interessados no Site da
Prefeitura - Licitações - Aviso de Dispensa de Licitação www.americana.
sp.gov.br, a partir de 07/04/2026.</t>
  </si>
  <si>
    <t>Interessados enviar proposta para: compras@saema.com.br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</si>
  <si>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Prefeitura Municipal de São Pedro</t>
  </si>
  <si>
    <t>São Pedro</t>
  </si>
  <si>
    <t>DL/228/2026</t>
  </si>
  <si>
    <t>PRESTAÇÃO DE SERVIÇOS DE MANUTENÇÃO EM A.T.A. E APARELHO TELEFONE KS DA SÁUDE.</t>
  </si>
  <si>
    <t xml:space="preserve">AVISO DE DISPENSA DE LICITACAO / COLETA DE PREÇOS
Nº 228/2026 -- PROCESSO Nº 268/2026
A Prefeitura Municipal de São Pedro, torna público para conhecimento dos
interessados, que por meio do Departamento de Compras e Licitações, pretende realizar
Dispensa por Limite, com critério de julgamento menor preço, na hipótese do art. 75, inciso II,
nos termos da Lei 14.133, de 1º de abril de 2021, do Decreto Municipal 7.411 de 19 de janeiro
de 2022 e demais legislações aplicáveis, podendo eventuais interessados apresentarem
propostas de preços no prazo de 03 três dias úteis, a contar da publicação deste,
oportunidade em que a administração pública escolherá a proposta mais vantajosa.
Objeto: PRESTAÇÃO DE SERVIÇOS DE MANUTENÇÃO EM A.T.A. E APARELHO TELEFONE KS DA
SÁUDE.
Data limite para o recebimento de propostas: 10 de Abril de 2026 até as 17:00 horas.
O Edital e Termo de Referência da Dispensa estão disponíveis no site da Prefeitura, no link:
https://www.saopedro.sp.gov.br/portal/editais/4 .
As propostas deverdo ser encaminhadas para o e-mail: propostaQsaopedro.sp.gov.br,
juntamente com toda a documentação exigida no item 5 do edital da presente dispensa.
</t>
  </si>
  <si>
    <t>DL/225/2026</t>
  </si>
  <si>
    <t>PRESTAÇÃO DE SERVIÇOS DE MANUTENÇÃO EM A.T.A. DA EDUCAÇÃO.</t>
  </si>
  <si>
    <t xml:space="preserve">AVISO DE DISPENSA DE LICITACAO / COLETA DE PREÇOS
Nº 225/2026 -- PROCESSO Nº 265/2026
A Prefeitura Municipal de São Pedro, torna público para conhecimento dos
interessados, que por meio do Departamento de Compras e Licitações, pretende realizar
Dispensa por Limite, com critério de julgamento menor preço, na hipótese do art. 75, inciso Il,
nos termos da Lei 14.133, de 1º de abril de 2021, do Decreto Municipal 7.411 de 19 de janeiro
de 2022 e demais legislações aplicáveis, podendo eventuais interessados apresentarem
propostas de preços no prazo de 03 três dias úteis, a contar da publicação deste,
oportunidade em que a administração pública escolherá a proposta mais vantajosa.
Objeto: PRESTAÇÃO DE SERVIÇOS DE MANUTENÇÃO EM A.T.A. DA EDUCAÇÃO.
Data limite para o recebimento de propostas: 10 de Abril de 2026 até as 17:00 horas.
O Edital e Termo de Referência da Dispensa estão disponíveis no site da Prefeitura, no link:
https://www.saopedro.sp.gov.br/portal/editais/4 .
As propostas deverão ser encaminhadas para o e-mail: proposta@saopedro.sp.gov.br,
juntamente com toda a documentação exigida no item 5 do edital da presente dispensa.
</t>
  </si>
  <si>
    <t>DL/222/2026</t>
  </si>
  <si>
    <t>PRESTAÇÃO DE SERVIÇOS DE MANUTENÇÃO DE A.T.A.</t>
  </si>
  <si>
    <t xml:space="preserve">AVISO DE DISPENSA DE LICITACAO / COLETA DE PRECOS
Nº 222/2026 -- PROCESSO Nº 262/2026
A Prefeitura Municipal de São Pedro, torna público para conhecimento dos
interessados, que por meio do Departamento de Compras e Licitações, pretende realizar
Dispensa por Limite, com critério de julgamento menor preço, na hipótese do art. 75, inciso Il,
nos termos da Lei 14.133, de 1º de abril de 2021, do Decreto Municipal 7.411 de 19 de janeiro
de 2022 e demais legislações aplicáveis, podendo eventuais interessados apresentar proposta
de preço no prazo de 03 três dias úteis, a contar da publicação deste, oportunidade em que a
administração pública escolherá a proposta mais vantajosa.
Objeto: PRESTAÇÃO DE SERVIÇOS DE MANUTENÇÃO DE A.T.A.
Data limite para o recebimento de propostas: 10 de Abril de 2026 até as 17:00 horas.
O Edital e Termo de Referência da Dispensa estão disponíveis no site da Prefeitura, no link:
https://www.saopedro.sp.gov.br/portal/editais/4 .
As propostas deverdo ser encaminhadas para o e-mail: proposta@saopedro.sp.gov.br,
juntamente com toda a documentação exigida no item 5 do edital da presente dispensa.
</t>
  </si>
  <si>
    <t>Secretaria Estadual da Saúde</t>
  </si>
  <si>
    <t>CONTRATAÇÃO DE SERVIÇOS EMPRESA ESPECIALIZADA EM MANUTENÇÃO PREVENTIVA, CORRETIVA E CALIBRAÇÃO EM ELETROCARDIÓGRAFO.</t>
  </si>
  <si>
    <t>** Confirmar prazo na Unidade Licitante, pois não foi informado pela Fonte Oficial **
prazo máximo de 05 cinco dias úteis  
Para solicitar o Termo de Referência contendo os itens, deverá ser enviado para o e-mail: cotacoes.
sesau@gmail.com ou pelo número: 82 98867-6249 ou 82 3315-1142, ou através
do site www.saude.al.gov.br/superintendencia-administrativa-supad.</t>
  </si>
  <si>
    <t>Prefeitura Municipal de Lagoa da Canoa</t>
  </si>
  <si>
    <t>Lagoa da Canoa</t>
  </si>
  <si>
    <t>Contratação de empresa especializada no serviço de esgotamento de fossa, destinado à Secretaria Municipal de Saúde de Lagoa da Canoa.</t>
  </si>
  <si>
    <t>A solicitação do Termo de Referência deverá ser realizada através do e-mail: setordecompraslagoadacanoa@gmail.com. Prazo para recebimento dos formulários preenchidos até 13 de Abril de 2025.</t>
  </si>
  <si>
    <t>Prefeitura Municipal de Rio Preto da Eva</t>
  </si>
  <si>
    <t>Rio Preto da Eva</t>
  </si>
  <si>
    <t>* Licitação Eletrônica * IMPLANTAÇÃO DO SISTEMA DE TRATAMENTO DE ESGOTO - ETE - RIO PRETO DA EVA/AM</t>
  </si>
  <si>
    <t>Órgão: Prefeitura Municipal de Rio Preto da Eva - Prefeitura Municipal de Rio Preto da Eva - AM
				Processo: 198A/2026
				Edital: 009/2026
				Modalidade: Concorrência
				Início de envio das propostas: 08-04-2026 ás 08:00
				Término de envio das propostas: 21/05/2026 ás 08:00		
				Início dos lances: 21/05/2026 ás 09:30</t>
  </si>
  <si>
    <t>Prefeitura municipal de Barra do Mendes</t>
  </si>
  <si>
    <t>Barra do Mendes</t>
  </si>
  <si>
    <t>Construção de 20 unidades habitacionais, oriundas do programa MCMV-FNHIS SUB 50, no município.</t>
  </si>
  <si>
    <t>Edital disponível em https://portal.io.org.br/ba/barradomendes/ e PNCP. Informações: licitacoes@barradomendes.ba.gov.br. Sessão em https://www.bll.org.br/.</t>
  </si>
  <si>
    <t>Prefeitura Municipal de Sobradinho</t>
  </si>
  <si>
    <t>Sobradinho</t>
  </si>
  <si>
    <t>CONTRATAÇÃO DE EMPRESA PARA ELABORAÇÃO DE PROJETOS BÁSICO E EXECUTIVO E CONSTRUÇÃO DE 50 UNIDADES HABITACIONAIS ATRAVÉS DO PROGRAMA MINHA CASA, MINHA VIDA MCMV, NA MODALIDADE FNHIS SUB 50 NO MUNICÍPIO DE SOBRADINHO/BA</t>
  </si>
  <si>
    <t xml:space="preserve">DATA DA SESSÃO: 16/07/2026 às 10:00h, no
ENDEREÇO ELETRÔNICO: www.bll.org.br. Publicação para conhecimento dos interessados, nos termos
do Diploma regulador. Informações através do e-mail: sobradinho.licitacao@gmail.com
Sobradinho-BA, 07 de abril de 2026. </t>
  </si>
  <si>
    <t>Prefeitura Municipal de Cruz das Almas</t>
  </si>
  <si>
    <t>Cruz das Almas</t>
  </si>
  <si>
    <t>* Registro de preços * * Licitação Eletrônica * Registro de preços para futura e eventual aquisição, sob demanda, de materiais para pintura para a secretaria de infraestrutura e obras publicas do município de Cruz das Almas-BA.</t>
  </si>
  <si>
    <t>Unidade compradora: 983495 - PREFEITURA MUNICIPAL DE CRUZ DAS ALMAS - BA
Local: Cruz das Almas/BA
Órgão: MUNICIPIO DE CRUZ DAS ALMAS
Id contratação PNCP: 14006977000120-1-000044/2026
Fonte: Compras.gov.br
 Para as respostas de esclarecimentos e impugnações deste edital acesse o link: https://cnetmobile.estaleiro.serpro.gov.br/comprasnet-web/public/landing?destino=quadro-informativo&amp;compra=98349505900152026 - Número compra: 90015 - Pregão - Eletrônico</t>
  </si>
  <si>
    <t>* Licitação Eletrônica * Contratação de empresa de engenharia para execução dos serviços de implantação de sistema de abastecimento de água na Zona Rural Fazenda Brejões, Santo Antônio do Corujão, Lameiro Branco, Riachão e Chapada, no Município de Pojuca  Bahia, atendendo a todas as especificações e atividades descritas no Projeto Básico em anexo.</t>
  </si>
  <si>
    <t>Unidade compradora: 000000001 - MUNICIPIO DE POJUCA
Local: Pojuca/BA
Órgão: MUNICIPIO DE POJUCA
Id contratação PNCP: 13806237000106-1-000056/2026
Fonte: Licitações-E BB
 - Número compra: CP005-2026 - Concorrência - Eletrônica</t>
  </si>
  <si>
    <t xml:space="preserve">* Licitação eletrônica * Aquisição tubos pvc defofo 1-1,25 mpa pb jei 100 a 500mm, no sistema de registro de preços. </t>
  </si>
  <si>
    <t>GOVERNO DO ESTADO DA BAHIA
SECRETARIA DE INFRAESTRUTURA HÍDRICA E SANEAMENTO
EMPRESA BAIANA DE ÁGUAS E SANEAMENTO S/A
AVISO DE LICITAÇÃO
PREGÃO ELETRÔNICO SRP Nº 51/2026
A Embasa torna pública a Licitação Pelo Rito Similar ao Pregão Eletrônico no
Sistema de Registro de Preço n.º 051/2026. Objeto: Aquisição tubos pvc defofo 1-1,25 mpa
pb jei 100 a 500mm, no sistema de registro de preços. Disputa: 17/04/2026 às 09h
Horário de Brasília-DF. Edital: https://licitacoes-e2.bb.com.br/aop-inter-estatico/ Licitação
n.º 1090735. Recurso: Próprios / Financiados. Informações:
glclc.esclarecimentos@embasa.ba.gov.br. A licitação será processada de acordo com as
disposições da Lei nº 13.303/2016, Lei Complementar nº 123/2006 e Regulamento Interno
de Licitações e Contratos da EMBASA.
Salvador, 1º de abril de 2026
CLÁUDIO GUALBERTO DOS SANTOS SILVA
Agente de Licitação</t>
  </si>
  <si>
    <t>SEDUR-Secretaria Estadual de Desenvolvimento Urbano</t>
  </si>
  <si>
    <t>CR/260040012026/2026</t>
  </si>
  <si>
    <t>* Licitação Eletrônica * Obras comuns</t>
  </si>
  <si>
    <t>Unidade compradora: 26010 - SUPERINTENDENCIA DE HABITACAO
Local: Salvador/BA
Órgão: SECRETARIA DE DESENVOLVIMENTO URBANO
Id contratação PNCP: 05457349000170-1-000002/2026
Fonte: BAHIA SECRETARIA DA ADMINISTRACAO
 - Número compra: 26004CE0012026 - Concorrência - Eletrônica</t>
  </si>
  <si>
    <t>* Licitação Eletrônica * Contratação de empresa para prestação de serviço para limpeza de fossa séptica, com transporte de resíduos e descarte a fim de atender as necessidades dos prédios e repartições públicas do município de Itatim-BA. * https://bllcompras.com *</t>
  </si>
  <si>
    <t>LOCAL: https://bllcompras.com/
Nº PROC. ADM: 034-2026
 TIPO CONTRATO: AQUISIÇÃO
 INÍCIO REC. PROPOSTA: 07/04/2026 16:30:00
 FIM REC. PROPOSTA: 22/04/2026 23:59:00
 INÍCIO DISPUTA: 23/04/2026 14:30:00
 CIDADE: ITATIM
 FASE: RECEPÇÃO DE PROPOSTAS
 EXCLUSIVO ME: NÃO
 EXCLUSIVO REGIONAL: NÃO
 MODO DE DISPUTA: ABERTO E FECHADO
 TIPO DE LANCE: MENOR LANCE
 FONE PROMOTOR: 7534522166
 E-MAIL PROMOTOR: daianeanjos@hotmail.com
 CONDUTOR: ADRIEL DE SOUZA SANTOS
 AUTORIDADE: DAIANE SILVA DOS ANJOS
 INFORMACÕES ADICIONAIS: Seguir termo de referência!
 VALOR ESTIMADO: R$0,00</t>
  </si>
  <si>
    <t>Instituto de Previdência dos Servidores Públicos - Ipsiprev</t>
  </si>
  <si>
    <t>Ipecaetá</t>
  </si>
  <si>
    <t xml:space="preserve">Contratação de empresa especializada no fornecimento de vidros lisos temperados, visando a troca e manutenção, conforme especificações e quantitativos indicados, para a Sede do Instituto de Previdência dos Servidores de Ipecaetá - Bahia. </t>
  </si>
  <si>
    <t>LINK DO EDITAL: https://www.pmipecaeta.transparenciaofi
cialba.com/diariooficial/</t>
  </si>
  <si>
    <t>Prefeitura Municipal de Irará</t>
  </si>
  <si>
    <t>Irará</t>
  </si>
  <si>
    <t>Contratação de empresa especializada de engenharia para execução de revitalização da Fonte da Nação localizada no município de Irará/BA - Convênio nº 001/2026 celebrado entre a Companhia de Desenvolvimento Urbano do Estado da Bahia - Conder e o Município de Irará, Bahia.</t>
  </si>
  <si>
    <t>Licitação BB: 1090995. Endereço: www.licitacoes-e.com.br. Maiores informações através do e-mail: licitacaoirara@gmail.com. Início da sessão para disputa: 23/04/2026 às 10:00.</t>
  </si>
  <si>
    <t>Prefeitura Municipal de Várzea da Roça</t>
  </si>
  <si>
    <t>Várzea da Roça</t>
  </si>
  <si>
    <t>SM/8/2026</t>
  </si>
  <si>
    <t>Credenciamento para aquisição de itens de metalurgia e/ou prestação de serviços de metalurgia, tornearia e solda, visando atender as necessidades das diversas secretarias do município de Várzea da Roça-BA.</t>
  </si>
  <si>
    <t xml:space="preserve">O Edital e seus anexos estarão disponíveis aos interessados no Portal Nacional de Compras Públicas - PNCP, no site: www.varzeadaroca.ba.gov.br e no e-mail: licitacao@varzeadaroca.ba.gov.br. Maiores informações na sede da Prefeitura, setor de Licitações.
** Confirmar prazo na Unidade Licitante, pois não foi informado pela Fonte Oficial ** </t>
  </si>
  <si>
    <t>Prefeitura Municipal de Viçosa do Ceará</t>
  </si>
  <si>
    <t>Viçosa do Ceará</t>
  </si>
  <si>
    <t xml:space="preserve">Construção de dispositivos e drenagem viária bueiros retangulares capeados com implantação de meio fio e descidas d'água em diversos trechos do Município de Viçosa do Ceará-CE, </t>
  </si>
  <si>
    <t>Estado do Ceará - Prefeitura Municipal de Viçosa do Ceará - Aviso de Licitação. O Agente de Contratação comunica que estará abrindo Licitação na
modalidade Concorrência Eletrônica CE 04/2026-SEINFRA, cujo objeto construção de dispositivos e drenagem viária bueiros retangulares capeados com
implantação de meio fio e descidas d'água em diversos trechos do Município de Viçosa do Ceará-CE, o sistema receberá o cadastramento das propostas até
23 de abril de 2026, às 08:00h, abertura e classificação das propostas às 08:15h, disputa de lances a partir das 08:30h horários de Brasília. 
O Edital estará à
disposição dos interessados nos dias úteis após esta publicação no site: www.novobbmnet.com.br, https://municipios-licitacoes.tce.ce.gov.br/ e https://www.
vicosa.ce.gov.br/ e de 08:00h às 12:00h, 13:30h às 17:00h na Rua José Joaquim de Carvalho, 473 - Centro - Viçosa do Ceará/CE, em 06 de abril de 2026.</t>
  </si>
  <si>
    <t>CP/245/2026</t>
  </si>
  <si>
    <t>Fornecimento de bens e serviços para a execução dos eventos Temi Totihi Yanomami, nos dias 27/04 a 01/05 e 04 a 08/05, em Santa Maria do Rio Negro/AM e São Gabriel da Cachoeira/AM</t>
  </si>
  <si>
    <t>** Esta publicação está sendo informada para os estados AM e DF onde será realizado o objeto da licitação. Informamos que a publicação oficial é do estado de DF. **
DATA E HORA DO LIMITE DE
ACOLHIMENTO DAS PROPOSTAS
Às 23h59, do dia 09/04/2026
CONTATOS E INFORMAÇÕES:
E-mail: aquisicoes.cass@agenciasus.org.br
Sítio: agenciasus.org.br/licitacoes
Endereço: SEPN CRN 514, Bloco D - Asa Norte, Brasília - DF,
CEP 70760-544
Telefone: 61 3686-4144 Ramal 1002/ 61 99657-7626 de 2ª a 6ª
feira, das 8h30 às 12h e das 14h30 às 18h</t>
  </si>
  <si>
    <t>SM/7004586522</t>
  </si>
  <si>
    <t>* Licitação Eletrônica * Aquisição de Válvula Controle</t>
  </si>
  <si>
    <t>** Esta publicação está sendo informada para os estados ES, MG, PE, SP e RJ onde será realizado o objeto da licitação. Informamos que a publicação oficial é do estado de RJ. **
Regiões: ES MG PE RJ SP 
Inicio: 2026/04/24 - 17:00:00 Término dos lances: 2026/04/24 17:00:00</t>
  </si>
  <si>
    <t>SESC-Servico Social do Comércio - Departamento Regional do Espírito Santo</t>
  </si>
  <si>
    <t>* Licitação Eletrônica * Aquisição de materiais de pintura, visando atender às demandas de manutenção do Centro de Atividades de Aracruz CAA, Centro de Esporte e Lazer de Cariacica CELC, Centro de Atividades de Cachoeiro de Itapemirim CACI, Centro de Atividades de Linhares CAL e do Centro de Turismo Social e Lazer de Praia Formosa CTSLPF, do Sesc/ES. * http://www.licitacoes-e.com.br *</t>
  </si>
  <si>
    <t>Edital : 031/2026 
Modalidade : Pregão 
Nº Licitação : 1090864 
Início acolhimento de propostas : 07/04/2026-17:00 
Limite acolhimento de propostas : 15/04/2026-14:00 
Abertura das propostas : 15/04/2026-14:00 
Data e a hora da disputa : 15/04/2026-15:00 
Pregoeiro : LINDOMAR DOS REIS ALMEIDA</t>
  </si>
  <si>
    <t>Prefeitura Municipal de Ponto Belo</t>
  </si>
  <si>
    <t>Ponto Belo</t>
  </si>
  <si>
    <t>CR/2/2025</t>
  </si>
  <si>
    <t>Contratação de empresa especializada de engenharia para a execução da obra da rede de drenagem pluvial profunda para o Polo Industrial na sede do Município de Ponto Belo - ES, conforme as especificações técnicas, estudos, levantamentos, memoriais e demais documentos que integram o processo licitatório</t>
  </si>
  <si>
    <t>Maiores informações entrar em contato com a Prefeitura Municipal de Ponto
Belo/ES pelo e-mail: licitacao@pontobelo.es.gov.br.</t>
  </si>
  <si>
    <t>* Registro de preços * * Licitação Eletrônica * AQUISIÇÃO DE TAMPÕES E GRELHAS PARA UTILIZAÇÃO EM REDES DE DRENAGENS DO MUNICÍPIO.</t>
  </si>
  <si>
    <t>Unidade compradora: 36388445000138 - PREFEITURA MUNICIPAL DE SANTA MARIA DE JETIBÁ
Local: Santa Maria de Jetibá/ES
Órgão: MUNICIPIO DE SANTA MARIA DE JETIBA
Id contratação PNCP: 36388445000138-1-000069/2026
Fonte: E &amp; L PRODUCOES DE SOFTWARE LTDA
x - Número compra: 000032 - Pregão - Eletrônico</t>
  </si>
  <si>
    <t>Prefeitura Municipal de Santa Terezinha de Goias</t>
  </si>
  <si>
    <t>Santa Terezinha de Goiás</t>
  </si>
  <si>
    <t>* Licitação eletrônica * Contratação de empresa especializada no fornecimento de material betuminoso massa asfáltica e emulsão destinado à recuperação da pavimentação de ruas e avenidas do perímetro urbano do Município de Santa Terezinha de Goiás/GO.</t>
  </si>
  <si>
    <t>Edital e informações na Rua Dona Julia, s/n, Centro e nos sítios: www.santaterezinhadegoias.go.gov.br e www.slicx.com.br. Data de publicação: 07/04/2026.</t>
  </si>
  <si>
    <t>SANESC - Agência De Saneamento De Senador Canedo</t>
  </si>
  <si>
    <t>Senador Canedo</t>
  </si>
  <si>
    <t>* Licitação Eletrônica * Contratação de empresa especializada em engenharia para a execução de Obras de Abastecimento de Água dos bairros Aurora das Mansões e Solar das Auroras, localizados no município de Senador Canedo.</t>
  </si>
  <si>
    <t>Órgão: AGENCIA DE SANEAMENTO DE SENADOR CANEDO - Prefeitura Municipal de Senador Canedo - GO
				Processo: 010355/26
				Edital: 7/2026
				Modalidade: Concorrência
				Início de envio das propostas: 08-04-2026 ás 17:00
				Término de envio das propostas: 30/04/2026 ás 08:30		
				Início dos lances: 30/04/2026 ás 09:00</t>
  </si>
  <si>
    <t>* Licitação eletrônica * Contratação de empresa especializada para o fornecimento e instalação de revestimento sintético decorativo destinado à utilização em áreas recreativas do Município de Santa Terezinha de Goiás, conforme especificado no anexo I.</t>
  </si>
  <si>
    <t>Edital e informações na Rua Dona Julia, s/n, Centro e nos sítios: www.santaterezinhadegoias.go.gov.br e www.slicx.com.br. Data da publicação: 07/04/2026.</t>
  </si>
  <si>
    <t>Prefeitura Municipal de Paulino Neves</t>
  </si>
  <si>
    <t>Paulino Neves</t>
  </si>
  <si>
    <t>* Licitação Eletrônica * CONTRATAÇÃO DE EMPRESA DE ENGENHARIA ESPECIALIZADA PARA IMPLANTAÇÃO DE SISTEMA DE ABASTECIMEN- TO DE ÁGUA URBANO, NO MUNICIPIO DE PAULINO NEVES/MA, CONFORME CONVENTO Nº 969016/2024</t>
  </si>
  <si>
    <t>com o valor estimado R$ 3.655.274,11 Três Milhões Seiscentos e Cinquenta e Cinco
Mil Duzentos e Setenta e Quatro Reais e Onze Centavos c em conformidade com as especificações c as
quantidades constantes no Edital e Progeto básico Anexo | ser realizada em: 24/04/2026, às 09:30hs, através
do Portal de Compras: bhitpsi/wyuiciacaopaulinonçres som . O Edital c seus anexos estão à disposição
dos interessados no site: httpsi//wwwlicitacaopaulinonçvescom . httpsi//transparencia paulinoneves mas
goxbr'açcessolnformacao/licitaçao tee e na Sala da Comissão Permanente de Licitação, situada na Rua Boa
Esperança, bem como, poderão ser solicitados através do e-mail: Heitaçaocplpnde gmaiicom . Paulino Neves!
MA,30 de março de 2026. Myrila Gomes. Agente de Contratação. Paulino Neves/MA</t>
  </si>
  <si>
    <t>Prefeitura Municipal de Joselândia</t>
  </si>
  <si>
    <t>Joselândia</t>
  </si>
  <si>
    <t xml:space="preserve">* Licitação Eletrônica *  Contratação de empresa para a prestação de serviços de Implantação de Melhorias Sanitárias Domiciliares em áreas urbanas do Município de Joselândia/MA, em conformidade com o edital, o qual será processado e julgado em conformidade com a Lei nº 14.133/2021, de 01 de abril de 2021, Decreto Municipal e demais legislações aplicáveis e as condições do Edital </t>
  </si>
  <si>
    <t>CONCORRENCIA ELETRÔNICA Nº 11/2026.
A Prefeitura Municipal de Joselândia - MA, através de seu Agente de Contratação, torna público para conhecimento dos interessados que está realizando licitação na modalidade CONCORRÊNCIA, na forma ELETRÔNICA, do tipo Menor Preço GLOBAL, objetivando a Contratação de empresa para a prestação de serviços de Implantação de Melhorias Sanitárias Domiciliares em áreas urbanas do Município de Joselândia/MA, em conformidade com o edital, o qual será processado e julgado em conformidade com a Lei nº 14.133/2021, de 01 de abril de 2021, Decreto Municipal e demais legislações aplicáveis e as condições do Edital à realizar-se às 10:00 horas do dia 23 de abril de 2026.</t>
  </si>
  <si>
    <t>Prefeitura Municipal de Fortuna</t>
  </si>
  <si>
    <t>Fortuna</t>
  </si>
  <si>
    <t>Contratação de empresa para a prestação de serviços de produção de Unidades Habitacionais no município de Fortuna/MA.</t>
  </si>
  <si>
    <t>O Edital está disponibilizado no Portal de Transparência do Município: http://www.fortuna.ma.gov.br/portal/index.php/transparencia, no Portal Nacional de Contratações Públicas: https://www.gov.br/pncp/pt-br, na sala da Comissão Permanente de Licitação-CPL, e pode ser solicitado pelo e-mail: cplfortuna@hotmail.com. Esclarecimentos adicionais pelo telefone +55 99 8805-1916.</t>
  </si>
  <si>
    <t>SAAE - Serviço Autônomo de água e Esgoto do Município de Arari</t>
  </si>
  <si>
    <t>Arari</t>
  </si>
  <si>
    <t>* Licitação eletrônica * Registro de Preços para eventual Contratação de empresa para fornecimento materiais de construção para atender as necessidades das secretarias municipais de Arari -- MA</t>
  </si>
  <si>
    <t xml:space="preserve"> O Edital poderá ser consultado pelo sítio da Prefeitura de Arari/MA: licitaararima.com.br. e informações pelo e-mail: licitacaoarari@gmail.com.
 </t>
  </si>
  <si>
    <t>CAEMA-Companhia de Saneamento Ambiental do Maranhão</t>
  </si>
  <si>
    <t>SM/13/2026</t>
  </si>
  <si>
    <t>* Licitação Eletrônica * Registro de Preços, pelo prazo de 12 doze meses, para a aquisição de instrumentação destinada à manutenção preditiva, compreendendo alinhador a laser, analisador de vibração e câmera termográfica, conforme quantitativos e especificações constantes no Termo de Referência, Anexo I do Edital. * http://www.licitacoes-e.com.br *</t>
  </si>
  <si>
    <t>Edital : LE0132026 
Modalidade : LRE 
Nº Licitação : 1090617 
Início acolhimento de propostas : 08/04/2026-08:00 
Limite acolhimento de propostas : 23/04/2026-09:15 
Abertura das propostas : 23/04/2026-09:15 
Data e a hora da disputa : 23/04/2026-09:30 
Pregoeiro : ANDRE LUIS DE SA FERREIRA</t>
  </si>
  <si>
    <t>SM/12/2026</t>
  </si>
  <si>
    <t>* Licitação Eletrônica * Contratação, em 9 nove Lotes, de empresa para prestação de serviços contínuos de manutenção corretiva, sob demanda, em conjunto motobomba submersa de água, conforme especificações, quantitativos e condições do Termo de Referência, Anexo I do Edital. * http://www.licitacoes-e.com.br *</t>
  </si>
  <si>
    <t>Edital : LE0122026 
Modalidade : LRE 
Nº Licitação : 1090566 
Início acolhimento de propostas : 08/04/2026-08:00 
Limite acolhimento de propostas : 04/05/2026-09:15 
Abertura das propostas : 04/05/2026-09:15 
Data e a hora da disputa : 04/05/2026-09:30 
Pregoeiro : ANDRE LUIS DE SA FERREIRA</t>
  </si>
  <si>
    <t>Prefeitura Municipal de Brejo</t>
  </si>
  <si>
    <t>Brejo</t>
  </si>
  <si>
    <t>Contratação de empresa especializada para execução dos serviços de implantação de infraestrutura no mirante do santuário de nossa senhora da conceição no município de Brejo - MA, referente ao Convênio nº989781/2025.</t>
  </si>
  <si>
    <t>O edital e seus anexos encontram-se disponíveis no site: www.licitabrejoma.com.br e no Portal Nacional de Contratações Públicas - PNCP. Esclarecimentos adicionais poderão ser obtidos no mesmo endereço eletrônico.</t>
  </si>
  <si>
    <t>Prefeitura Municipal de Pedro do Rosario</t>
  </si>
  <si>
    <t>Pedro do Rosário</t>
  </si>
  <si>
    <t xml:space="preserve">* Licitação Eletrônica * Contratação de empresa especializada em serviços de Implantação DE 59 Melhorias Sanitárias, Domiciliares A Serem Implantadas Nas Areas Perifericas do Município de Pedro do Rosário/MA. </t>
  </si>
  <si>
    <t>[CONCORRÊNCIA ELETRÔNICA] - Edital e seus anexos estão à disposição dos interessados na Comissão de Licitação, no Prédio da Prefeitura Municipal de Pedro do Rosário, de 2ª a 6ª feira, no horário das 8:00 às 12:00h. O Edital poderá ser consultado gratuitamente no portal da transparência, ou no site do Licitanet, os esclarecimentos poderão ser realizados através do email: Cplpedrodorosario@hotmail.com.</t>
  </si>
  <si>
    <t xml:space="preserve">* Licitação Eletrônica * Contratação de empresa especializada em serviços de Implantação DE 60 Melhorias Sanitárias, Domiciliares A Serem Implantadas Nas Areas Urbanas do Município de Pedro do Rosário/MA. </t>
  </si>
  <si>
    <t>[CONCORRÊNCIA ELETRÔNICA] - local https://licitanet.com.br/. Tipo De Licitação: Menor Preço. Obtenção E Consulta De Edital: O Edital e seus anexos estão à disposição dos interessados na Comissão de Licitação, no Prédio da Prefeitura Municipal de Pedro do Rosário, de 2ª a 6ª feira, no horário das 8:00 às 12:00h. O Edital poderá ser consultado gratuitamente no portal da transparência, ou no site do Licitanet, os esclarecimentos poderão ser realizados através do email: Cplpedrodorosario@hotmail.com.</t>
  </si>
  <si>
    <t>Prefeitura Municipal de Belo Vale</t>
  </si>
  <si>
    <t>Belo Vale</t>
  </si>
  <si>
    <t>Aquisição e instalação de jazigos duplos, subterrâneos em concreto pré moldado, conforme especificações técnicas, quantidades e condições estabelecidas no respectivo documento técnico, destinados ao cemitério parque Catombeira Jair Francisco Mariano, localizado no município de Belo Vale - MG</t>
  </si>
  <si>
    <t>DATA DE ABERTURA: 15/04/2026. Horário: 8h.
Cópia do edital na Avenida Tocantins, n°57, Centro, Belo Vale MG ou
pelo e-mail: licitacao@belovale.mg.gov.br pelo site: www.belovale.
mg.gov.br e pela plataforma eletrônica https://belovale.licitapp.com.
br//.</t>
  </si>
  <si>
    <t>CR/47/2026</t>
  </si>
  <si>
    <t>* Licitação Eletrônica * CONTRATAÇÃO DE EMPRESA ESPECIALIZADA EXECUÇÃO DE REDE DE DRENAGEM SUPERFICIAL E PROFUNDA, PAVIMENTAÇÃO ASFÁLTICA, SINALIZAÇÃO, MEIOS FIOS E CALÇADAS DA REGIÃO MATINHO DIVISA DOS  BAIRROS BELA VISTA E SANTA LUCIA EM PARACATU - MG</t>
  </si>
  <si>
    <t>Unidade compradora: 021001 - Secretaria Municipal de Infraestrutura
Local: Paracatu/MG
Órgão: MUNICIPIO DE PARACATU
Id contratação PNCP: 18278051000145-1-000077/2026
Fonte: J BRASIL SISTEMAS LTDA
 - Número compra: 47 - Concorrência - Eletrônica</t>
  </si>
  <si>
    <t>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t>
  </si>
  <si>
    <t>** Favor DESCONSIDERAR o presente aviso, pois a oportunidade já está informada através do Número ConLicitação 18705872**
PREFEITURA MUNICIPAL DE PAINS - MG 
- AVISO DE SUSPENSÃO DE LICITAÇÃO DO PROCESSO LICITATÓRIO Nº 021/2026 
- CONCORRÊNCIA ELETRÔNICA Nº 001/2026. 
A Prefeitura Municipal de Pains torna público a todos os interessados a 
suspensão da realização do Processo Licitatório citado, cujo objeto é o 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 Tel: 37 3455.0052. 
Pains/MG, 02 de Abril de  2026.</t>
  </si>
  <si>
    <t>* Licitação eletrônica * Registro de preços para futura e eventual contratação de empresa especializada em prestação de serviços de desinfecção, dedetização, controle de pragas, tratamento de caixas d'água e troca de filtros</t>
  </si>
  <si>
    <t xml:space="preserve">** Favor DESCONSIDERAR o presente aviso, pois a oportunidade já está informada através do Número ConLicitação 18674424 **
Onde se lê: PR/14/2026
Leia-se: PE/14/2026
</t>
  </si>
  <si>
    <t>Caixa Escolar Benjamim Guimarães</t>
  </si>
  <si>
    <t>Bom Sucesso</t>
  </si>
  <si>
    <t xml:space="preserve">· 30 trinta unidades de Água sanitária, 36 trinta e seis unidades de Cera, 125 cento e vinte e cinco pacotes de Copo descartável, 40 quarenta unidades de Desinfetante, acondicionado em frasco plástico de 2 litros, · 48 quarenta e oito unidades de Detergente - frasco 500ml, 60 sessenta unidades de Detergente Desengordurante - Líquido, para cozinha, de 500 ml, 50 cinquenta unidades de Esponja Multiuso - Dupla face, verde amarelo.  </t>
  </si>
  <si>
    <t xml:space="preserve">INFORMAÇÕES DE CONDIÇÃO DE CONTRATAÇÃO DISPONÍVEL EM:
No sistema SGD https://caixaescolar.educacao.mg.gov.br/, na EE BENJAMIM GUIMARÃES, situada
no endereço: PRAÇA MARIA AMBROSINA MOURÃO GUIMARÃES, 212, CENTRO, BOM SUCESSO/MG, ou no link: 
https://drive.google.com/drive/folders/1wYXI54y00SjMWQaEBg38uMUVMR_5VfS-
PRAZO PARA APRESENTAÇÃO DAS PROPOSTAS E DOCUMENTOS:
SISTEMA: ATÉ DIA 14/04/2026, ÀS 23:59 HORAS
LOCAL: Sistema SGD https://caixaescolar.educacao.mg.gov.br/
PRESENCIALMENTE, EM ENVELOPE LACRADO, ATÉ 14/04/2026 ÀS 10h.
LOCAL: PRAÇA MARIA AMBROSINA MOURÃO GUIMARÃES, Nº. 212 - CENTRO - BOM SUCESSO - MG
OBSERVAÇÃO: A Caixa Escolar Benjamim Guimarães não se responsabiliza pelo atraso da entrega
de documentos pelos correios.
</t>
  </si>
  <si>
    <t>Caixa Escolar Marieta Soares Teixeira</t>
  </si>
  <si>
    <t>Cataguases</t>
  </si>
  <si>
    <t>SM/11/2026</t>
  </si>
  <si>
    <t xml:space="preserve">Fornecimento e instalação de porta de madeira de 2,05 de altura por 80cm de largura.  </t>
  </si>
  <si>
    <t>ATENÇÃO: FORNECEDORES, FAVOR ACESSAREM O SGD Sistema de Gestão Descentralizada PARA ACOMPANHAREM AS DEMANDAS.
Quaisquer dúvidas, entrar em contato com a Caixa Escolar pelo telefone:       32 3421-3039 ou pelo e-mail escola.97373.financeiro@educacao.mg.gov.br 
Observação: Os fornecedores que não estiverem conseguindo inserir a sua proposta no sistema SGD, poderão encaminhar suas propostas diretamente na escola até o dia 14/04/2026, até ás 08:00 horas.</t>
  </si>
  <si>
    <t>Prefeitura Municipal de Água Comprida</t>
  </si>
  <si>
    <t>Água Comprida</t>
  </si>
  <si>
    <t>* Licitação Eletrônica * [LICITANET] - Contratação de empresa de engenharia para construção de 20 vinte unidades habitacionais projeto Minha Casa Minha Vida</t>
  </si>
  <si>
    <t>Unidade compradora: 11 - MUNICÍPIO DE ÁGUA COMPRIDA/MG
Local: Água Comprida/MG
Órgão: MUNICIPIO DE AGUA COMPRIDA
Id contratação PNCP: 18428953000110-1-000020/2026
Fonte: Licitanet Licitações Eletrônicas LTDA
 - Número compra: 001 - Concorrência - Eletrônica</t>
  </si>
  <si>
    <t>SM/6.2026.0023</t>
  </si>
  <si>
    <t xml:space="preserve">execução, com fornecimento parcial de materiais e equipamentos, das obras e serviços complementares para implantação das Unidades de Tratamento de Resíduos - UTR's das Estações de Tratamento de Água - ETA's de Cataguases / MG, \Itajubá / MG, Lavras / MG e Varginha / MG. </t>
  </si>
  <si>
    <t>Dia: 05/05/2026 às 14:30 horas - Local: Site da COPASA Mais informações e o caderno de licitação poderão ser obtidos, gratuitamente, através de download no endereço: www copasa com.br link: licitações e contratos/licitações, pesquisar pelo número da licitação, a partir do dia 08/04/2026.</t>
  </si>
  <si>
    <t>SM/6.2026.0003</t>
  </si>
  <si>
    <t xml:space="preserve">execução, com fornecimento parcial de materiais e total de equipamentos, das obras e serviços para implantação das Unidade de Tratamento de Resíduos - UTRs nas cidades de Cristália, Montalvânia e Salina s /MG. </t>
  </si>
  <si>
    <t>Dia: 05/05/2026 às 08:30 horas - Local: Site da COPASA. 
Mais informações e o caderno de licitação poderão ser obtidos, gratuitamente, através de download no endereço: www.copasa.com.br link: licitações e contratos/licitações, pesquisar pelo número da licitação, a partir do dia 08/04/2026.</t>
  </si>
  <si>
    <t>Prefeitura Municipal de Caratinga</t>
  </si>
  <si>
    <t>Caratinga</t>
  </si>
  <si>
    <t>* Licitação Eletrônica * CONTRATAÇÃO DE EMPRESA PARA FORNECIMENTO DE CAL, PARA PINTURA NAS VIAS PÚBLICAS * https://bllcompras.com *</t>
  </si>
  <si>
    <t>LOCAL: https://bllcompras.com/
Nº PROC. ADM: 83/2026
 TIPO CONTRATO: REGISTRO DE PREÇO
 INÍCIO REC. PROPOSTA: 07/04/2026 18:00:00
 FIM REC. PROPOSTA: 29/04/2026 08:59:00
 INÍCIO DISPUTA: 29/04/2026 09:00:00
 CIDADE: CARATINGA
 FASE: RECEPÇÃO DE PROPOSTAS
 EXCLUSIVO ME: SIM
 EXCLUSIVO REGIONAL: NÃO
 MODO DE DISPUTA: ABERTO
 TIPO DE LANCE: MENOR LANCE
 FONE PROMOTOR: 3333298002
 E-MAIL PROMOTOR: gabinete@caratinga.mg.gov.br
 CONDUTOR: MOISÉS MIRANDA CORREA DE LIMA
 AUTORIDADE: NATANAEL DOS REIS MARQUES
 INFORMACÕES ADICIONAIS: 
 VALOR ESTIMADO: R$55.300,00</t>
  </si>
  <si>
    <t>ECT-Empresa Brasileira de Correios e Telégrafos - Diretoria Regional em Minas Gerais</t>
  </si>
  <si>
    <t>PE/76/2026</t>
  </si>
  <si>
    <t>* Licitação eletrônica * Prestação de serviços para manutenção preventiva e corretiva em portões de enrolar, deslizante e basculante e portas instaladas em unidades dos CORREIOS/MG, com fornecimento de peças e componentes sob demanda</t>
  </si>
  <si>
    <t>ID 1090808. Recebimento das Propostas e obtenção do Edital: http://www.correios.com.br ou http:// www.licitacoese.com.br até 05/05/2026 às 09h 
e início da disputa às 10h. Informações pelo e-mail: mggelic@correios.com.br e telefone: 31 3431-0631, no horário de 8h às 18h.</t>
  </si>
  <si>
    <t>* Licitação Eletrônica * PREGÃO ELETRÔNICO Nº 26000072/2026 - SE/MG - Prestação de serviços para manutenção preventiva e corretiva em portões de enrolar, deslizante e basculante e portas instaladas em unidades dos CORREIOS/MG, com fornecimento de peças e componentes sob demanda. IMPORTANTE: ao registrar as propostas, atentar para o item 6.9 e seus subitens, sob pena de desclassificação. Os documentos de habilitação deverão ser inseridos dentro do lote antes do horário previsto para a abertura das propostas. A Licitação será realizada pela CPL/MG. O valor estimado da contratação é sigiloso e será divulgado após o encerramento da fase de lances. REGISTRAR VALOR TOTAL DO LOTE - SUGERIMOS MINUCIOSA LEITURA DO EDITAL E SEUS ANEXOS. * http://www.licitacoes-e.com.br *</t>
  </si>
  <si>
    <t>Edital : PGE 072/26 
Modalidade : Pregão 
Nº Licitação : 1090808 
Início acolhimento de propostas : 09/04/2026-09:00 
Limite acolhimento de propostas : 05/05/2026-09:00 
Abertura das propostas : 05/05/2026-09:00 
Data e a hora da disputa : 05/05/2026-10:00 
Pregoeiro : ALESSANDRA MACEDO CHAUVET PEIXOTO ELLER</t>
  </si>
  <si>
    <t>SM/5.2026.3043</t>
  </si>
  <si>
    <t xml:space="preserve">* Licitação Eletrônica * Contratação por ata de registro de preços ARP, dos serviços de análises laboratoriais e amostragem, para caracterização das matrizes sólidas lodo de ETE, biossólido, fertilizante orgânico, lodo de ETA, solo e líquida água para reuso. </t>
  </si>
  <si>
    <t>Dia da Licitação: 28 de abril de 2026, às 09:00 horas 
Edital e demais informações disponíveis a partir do dia 09/04/2026, no site: www.copasa.com.br link: Licitações e Contratos/Licitação.</t>
  </si>
  <si>
    <t>Prefeitura Municipal de Conceição do Pará</t>
  </si>
  <si>
    <t>Conceição do Pará</t>
  </si>
  <si>
    <t xml:space="preserve">aquisição de escória britada destinada à manutenção, recuperação e melhoria das estradas vicinais do Municipio. </t>
  </si>
  <si>
    <t xml:space="preserve"> 
informações pelo telefone 3798831-6865. 
www.conceicaodopara.mg.gov.br</t>
  </si>
  <si>
    <t>Prefeitura Municipal de Chapada Gaúcha</t>
  </si>
  <si>
    <t>Chapada Gaúcha</t>
  </si>
  <si>
    <t xml:space="preserve">* Licitação Eletrônica * CONTRATAÇÃO DE EMPRESA ESPECIALIZADA NO RAMO DA CONSTRUÇÃO CIVIL PARA A EXECUÇÃO DE OBRA, VISANDO A CONSTRUÇÃO DE UNIDADES HABITACIONAIS, NO MUNICÍPIO DE CHAPADA GAÚCHA - TERMO DE COMPROMISSO Nº 993074/2025/MCIDADES/CAIXA - OPERAÇÃO Nº 1103719-52 - PROGRAMA: MORADIA DIGNA. </t>
  </si>
  <si>
    <t>[CONCORRÊNCIA ELETRÔNICA] - PLATAFORMA: https://ammlicita.org.br.</t>
  </si>
  <si>
    <t>* Licitação eletrônica * Aquisição de ferramentas e materiais de construção para atendimento a diversos setores da Prefeitura Municipal de Quartel Geral/MG.</t>
  </si>
  <si>
    <t>Site para realização do Pregão Eletrônico/RP: https://ammlicita.org.br/. Informações 37 99957-5102. Publicado no Diário Oficial dos Municípios Mineiros em 08/04/2026.</t>
  </si>
  <si>
    <t>CEMIG Distribuição - S.A.</t>
  </si>
  <si>
    <t>PE/21675</t>
  </si>
  <si>
    <t>* Licitação eletrônica * Manilha Sapatilha, Gancho Olhal e Balancim.</t>
  </si>
  <si>
    <t>Edital e demais informações: https://app2-compras. cemig.com.br/pesquisa</t>
  </si>
  <si>
    <t>Prefeitura Municipal de Carmo do Cajuru</t>
  </si>
  <si>
    <t>Carmo do Cajuru</t>
  </si>
  <si>
    <t>* Licitação Eletrônica * Registro de preços para futuras aquisições de emulsão asfáltica RR1C, para atender a Secretaria Municipal de Obras Públicas e Serviços Urbanos. * https://licitar.digital *</t>
  </si>
  <si>
    <t>Id: 96722
Unidade licitante: Prefeitura Municipal de Carmo do Cajuru - Unidade Única
Plataforma: licitardigital</t>
  </si>
  <si>
    <t>Consórcio Intermunicipal de Saúde da Microrregião do Vale do Piranga</t>
  </si>
  <si>
    <t>Ponte Nova</t>
  </si>
  <si>
    <t>* Licitação Eletrônica * Aquisição de painel ripado, palco e letreiro, itens frustrados no PROCESSO LICITATÓRIO Nº. 36/2025 -PREGÃO ELETRÔNICO Nº. 28/2025. * https://licitar.digital *</t>
  </si>
  <si>
    <t>Id: 96597
Unidade licitante: CONSORCIO INTERMUNICIPAL DE SAUDE DA MICROREGIAO DO VALE DO PIRANGA - CISAMAPI - Unidade Única
Plataforma: licitardigital</t>
  </si>
  <si>
    <t>Prefeitura Municipal de Sete Quedas</t>
  </si>
  <si>
    <t>Sete Quedas</t>
  </si>
  <si>
    <t>Registro de preços para futura e eventual aquisição de materiais de construção e materiais elétricos, destinados ao atendimento das necessidades das Secretarias e repartições do Município de Sete Quedas/ MS, conforme condições, quantidades e especificações constantes neste Termo de Referência e no modelo de proposta de preços.</t>
  </si>
  <si>
    <t>EXCLUSIVO PARA ME/EPP
Local, Data e Horário do Credenciamento, da Entrega dos Envelopes e da Realização da Sessão: O
credenciamento e o recebimento dos envelopes contendo a proposta de preços e os documentos de habilitação ocorrerão
no dia 23/04/2026, às 07h15min, na Sala de Reuniões de Licitação e Contratação, localizada na Rua Monteiro
Lobato, nº 629, Sete Quedas/MS.
Retirada do Edital: O Edital e seus Anexos poderão ser obtidos no Departamento de Licitações ou por meio
do site oficial da Prefeitura Municipal, no endereço eletrônico www.setequedas.ms.gov.br, na aba Licitações -
Editais e Anexos / Retirada de Editais, bem como pelo link
http://transparencia.setequedas.ms.gov.br:8079/comprasedital/comprasedital.dll.Informações
adicionais poderão ser obtidas pelos telefones 67 3479-1220 WhatsApp, 67 3479-1476, ou pelo e-mail
gelpmsq@hotmail.com.
Sete Quedas - MS, 07 de abril de 2026</t>
  </si>
  <si>
    <t>Secretaria de Estado de Infraestrutura e Logística</t>
  </si>
  <si>
    <t>CR/42/2026</t>
  </si>
  <si>
    <t>Contratação de empresa de engenharia para execução da obra de pavimentação asfáltica e drenagem de vias urbanas do Distrito de Nossa Senhora da Guia, com área total de 37.583,48m², no município de Cuiabá/MT.LOTE: ÚNICO.</t>
  </si>
  <si>
    <t>O Edital será disponibilizado no dia 06/04/2026, a partir das 14h00 horário
local, pelo endereço eletrônico www.sinfra.mt.gov.br, acessando o
menu "serviços" e o submenu "licitações e editais". Entrega e envio dos
documentos de habilitação e das propostas no SIAG: de 06/04/2026 a
05/05/2026, período integral, e no dia 06/05/2026 até as 08h30min horário
de Cuiabá/MT. ABERTURA DA LICITAÇÃO: 06/05/2026 às 09h00min
horário de Cuiabá/MT, através do site http://seplag.mt.gov.br/ - link: https://
aquisicoes.seplag.mt.gov.br. EDITAL DISPONIBILIZADO: disponível para
consulta no site da Secretaria de Estado de Infraestrutura e Logística -
SINFRA: www.sinfra.mt.gov.br e Portal de aquisições MT: www.seplag.
mt.gov.br - Link: https://aquisicoes.seplag.mt.gov.br .Informações gerais:
telefone nº. 65 3613-0529 e-mail: cpl@sinfra.mt.gov.br</t>
  </si>
  <si>
    <t>* Licitação Eletrônica * CONTRATAÇÃO DE EMPRESA DE ENGENHARIA PARA EXECUÇÃO DA OBRA DE  PAVIMENTAÇÃO, DRENAGEM, PASSEIO E SINALIZAÇÃO NO PARQUE SAGRADA FAMÍLIA NO MUNICÍPIO DE RONDONÓPOLIS - MT, DIVIDIDAS EM 2 DOIS LOTES, PARTE  SUPERIOR E INFERIOR * https://bllcompras.com *</t>
  </si>
  <si>
    <t>LOCAL: https://bllcompras.com/
Nº PROC. ADM: 20203/2026
 TIPO CONTRATO: AQUISIÇÃO
 INÍCIO REC. PROPOSTA: 01/04/2026 18:00:00
 FIM REC. PROPOSTA: 23/04/2026 09:30:00
 INÍCIO DISPUTA: 23/04/2026 10:00:00
 CIDADE: RONDONÓPOLIS
 FASE: RECEPÇÃO DE PROPOSTAS
 EXCLUSIVO ME: NÃO
 EXCLUSIVO REGIONAL: NÃO
 MODO DE DISPUTA: ABERTO
 TIPO DE LANCE: MENOR LANCE
 FONE PROMOTOR: 6634115739
 E-MAIL PROMOTOR: gabinete@rondonopolis.mt.gov.br
 CONDUTOR: AUGUSTA CECÍLIA MATTOS GIRANDI
 AUTORIDADE: LUCIANO RODRIGUES
 INFORMACÕES ADICIONAIS: 
 VALOR ESTIMADO: R$64.320.816,40</t>
  </si>
  <si>
    <t>Prefeitura Municipal de Conceição do Araguaia</t>
  </si>
  <si>
    <t>Conceição do Araguaia</t>
  </si>
  <si>
    <t xml:space="preserve"> CONTRATAÇÃO DE EMPRESA ESPECIALIZADA PARA PRESTAÇÃO DE SERVIÇOS DE IMPLANTAÇÃO, AMPLIAÇÃO DAS MELHORIAS EM SISTEMAS DE ABASTECIMENTO DE ÁGUA NO MUNICÍPIO DE CONCEIÇÃO DO ARAGUAIA - PARÁ, CONFORME CONTRATO DE REPASSE OGU MCIDADES Nº 955012/2023...</t>
  </si>
  <si>
    <t>Órgão: SECRETARIA MUNICIPAL DE INFRAESTRUTURA E DESENVOLVIMENTO URBANO - Prefeitura Municipal de Conceição do Araguaia - PA
				Processo: 570/2025
				Edital: 002 SEMIDU/2026
				Modalidade: Concorrência
				Início de envio das propostas: 10-04-2026 ás 08:40
				Término de envio das propostas: 27/04/2026 ás 08:40		
				Início dos lances: 27/04/2026 ás 08:45</t>
  </si>
  <si>
    <t>Prefeitura Municipal de Irituia</t>
  </si>
  <si>
    <t>Irituia</t>
  </si>
  <si>
    <t xml:space="preserve">* Licitação Eletrônica * CONTRATAÇÃO DE SERVIÇOS DE MANUTENÇÃO E LIMPEZA DE DRENAGEM URBANA, OBJETIVANDO ATENDER AS NECESSIDADES DA PREFEITURA, MUNICIPAL DE IRITUIA. </t>
  </si>
  <si>
    <t>O edital estará disponível nos sites: e-mail: cpc.pmi25@gmail.com, portal da transparência desta municipalidade, e também poderá ser obtido no prédio da prefeitura, sala da Comissão Permanente de Contratação CPC dias úteis, no horário de 08:00hs às 13:00hs a partir da data da publicação.</t>
  </si>
  <si>
    <t>Prefeitura Municipal de Pau D'Arco</t>
  </si>
  <si>
    <t>Pau D'Arco</t>
  </si>
  <si>
    <t>* Licitação eletrônica * Contratação de empresa especializada no fornecimento de manilhas de concreto armado, em diferentes diâmetros e conforme especificações técnicas, destinados à implantação, recuperação e manutenção de bueiras nas estradas vicinais e zona urbana do município de Pau D´Arco/PA.</t>
  </si>
  <si>
    <t>Edital disponível nos sites do TCM-PA, Portal da Transparência da Prefeitura de Pau D'Arco/PA https://paudarco.pa.gov.br/, PNCP https://pncp.gov.br/app/editais e será realizado através do portal https://www.portaldecompraspublicas.com.br/. Publicado no Diário Oficial dos Municípios do Estado do Pará em 08/04/2026.</t>
  </si>
  <si>
    <t>Prefeitura Municipal de Imaculada</t>
  </si>
  <si>
    <t>Imaculada</t>
  </si>
  <si>
    <t>* Licitação eletrônica * Aquisição de material de construção em geral equipamentos e ferramentas com entrega parcelada destinado a manutenção urbana e conservação de prédios públicos do município de Imaculada.</t>
  </si>
  <si>
    <t xml:space="preserve">Sessão: 22/04/2026 às 09h. Início da fase de lances: às 09h01 horário de Brasília no site www.portaldecompraspublicas.com.br. Recursos: previstos no orçamento vigente. Informações: das 08h às 12h dos
dias úteis, na Rua Antônio Caetano, 92 Centro, e-mail licitacaopmi2021@gmail.com. Edital: site, www.
imaculada.pb.gov.br, www.tce.pb.gov.br, www.gov.br/PNCP. </t>
  </si>
  <si>
    <t>* Licitação eletrônica * PREGÃO ELETRÔNICO LRE Nº 023/2026, por meio da Plataforma Eletrônica do Banco do Brasil www.licitacoes-e.com.br, sob o nº ID:1090463, tendo como objeto: Contratação da prestação de serviços de empresa especializada com fornecimento de material para realização de Retrofitting da bancada de verificação de hidrômetros da marca Digico, instalada no Laboratório de Hidrômetros da Companhia de Água e Esgotos da Paraíba - CAGEPA.</t>
  </si>
  <si>
    <t xml:space="preserve">            Modalidade: Licitação da Lei Nº 13.303/2016
            Número: 09023/2026
            Protocolo no TCE: Doc. 42686/26
            Local do certame: www.licitacoes-e.com.br.NºID1090463Banco do Brasil
        </t>
  </si>
  <si>
    <t>CONTRATAÇÃO DE EMPRESA ESPECIALIZADA EM ENGENHARIA PARA A EXECUÇÃO DAS OBRAS E SERVIÇOS DE IMPLANTAÇÃO DA VIA PARQUE, DO PARQUE LINEAR E DE ESPAÇOS SOCIAIS, INTEGRANDO AÇÕES DE REQUALIFICAÇÃO URBANA NA COMUNIDADE DO BEM, INCLUINDO A ÁREA DE ARITANA, LOCALIZADAS NO BAIRRO DA IMBIRIBEIRA, NO MUNICÍPIO DO RECIFE/PE.</t>
  </si>
  <si>
    <t xml:space="preserve"> 
R$ 54.963.075,61 cinquenta e quatro milhões novecentos e sessenta e três mil e setenta e cinco reais e
sessenta e um centavos Local e Data de abertura: Prefeitura do Recife, sito à Av. Cais do Apolo, 925
-- Bairro do Recife; 14.05.2026, às 11:00 horas. A sessão será realizada na sala de reunião do Gabinete
de Gerenciamento do ProMorar, no térreo, do edifício sede da Prefeitura do Recife. O edital c seus
anexos estarão à disposição aos interessados no endereço eletrônico:
http//www.recife.pe.gov.br/portalcompras/ e no site
https://promorar.recife.pe.gov.br/aquisicoes//  </t>
  </si>
  <si>
    <t>SM/86/2026</t>
  </si>
  <si>
    <t xml:space="preserve">REGISTRO DE PREÇOS PARA AQUISIÇÃO DE KIT DE TRAVAMENTO EXTERNA EM FERRO FUNDIDO. </t>
  </si>
  <si>
    <t>LICITAÇÃO.COMPESA Nº 086/2026 CEL2
PROCESSO Nº 4243/2026 - REGISTRO DE PREÇOS PARA
AQUISIÇÃO DE KIT DE TRAVAMENTO EXTERNA EM FERRO
FUNDIDO. Abertura: 27/04/2026 às 09:00h. Disputa: 27/04/2026
às 10:00h. Edital disponível 15/04/2026. Patrícia Mendes
Cândido Cavalcanti - Agente de Licitação. Regrada pela Lei
13.303/2016. Informações: Av. Dr. Jayme da Fonte, s/n - 1º andar
- Sto Amaro - Recife - CEP 54.040-905, das 13h às 16h, Fone
081-3412.9051 ou atrav és do site www.compesa.com.br</t>
  </si>
  <si>
    <t>CONTRATAÇÃO DE EMPRESA ESPECIALIZADA EM ENGENHARIA PARA A EXECUÇÃO DAS OBRAS E SERVIÇOS DE IMPLANTAÇÃO DO CONJUNTO HABITACIONAL BULGÁRIA, LOCALIZADO NO BAIRRO DA IMBIRIBEIRA, NO MUNICÍPIO DO RECIFE/PE.</t>
  </si>
  <si>
    <t>PROCESSO LICITATÓRIO Nº 001/2026 -- GC PROMORAR 001 -- LICITAÇÃO PÚBLICA
NACIONAL Nº 001/2026 
 R$ 13.902.225, treze milhões, novecentos e dois mil, duzentos e vinte
e cinco reais Local e Data de abertura: Prefeitura do Recife, sito à Av. Cais do Apolo, 925 -- Bairro do
Recife; 13.05.2026 às 11:00 horas. A sessão será realizada na sala de reunião do Gabinete de
Gerenciamento do ProMorar, no térreo, do edifício sede da Prefeitura do Recife. O edital e seus anexos
estarão a disposição aos interessados no endereço eletrônico:
http//www.recife.pe.gov.br/portalcompras/ e no site
https://promorar.recife.pe.gov.br/aquisicoes// Recife, 01/04/2026. Michelline Bezerra de Oliveira
Beltrão -- Agente de Contratação do GC ProMorar 001.</t>
  </si>
  <si>
    <t>CONTRATAÇÃO DE EMPRESA DE ENGENHARIA PARA EXECUÇÃO DAS OBRAS E SERVIÇOS DO PARQUE ALAGÁVEL UMUARAMA, LOCALIZADO NO BAIRRO DO BARRO, RECIFE/PE.</t>
  </si>
  <si>
    <t xml:space="preserve"> 
 RS 3.748.201,05 três milhões, setecentos e
quarenta e oito mil, duzentos e um reais e cinco centavos Local e Data de abertura: Prefeitura do
Recife, sito à Av. Cais do Apolo, 925 -- Bairro do Recife; 20.05.2026 às 11:00 horas. A sessão sera
realizada na sala de reunião do Gabinete de Gerenciamento do ProMorar, no térreo, do edifício sede da
Prefeitura do Recife. O edital e seus anexos estarão à disposição aos interessados no endereço
eletrônico: http//www.recife.pe.gov.br/portalcompras/ e no site
https://promorar.recife.pe.gov.br/aquisicoes//  </t>
  </si>
  <si>
    <t>CONTRATAÇÃO DE EMPRESA ESPECIALIZADA EM ENGENHARIA PARA A EXECUÇÃO DAS OBRAS E SERVIÇOS DE IMPLANTAÇÃO DO CONJUNTO HABITACIONAL BULGÁRIA, LOCALIZADO NO BAIRRO DA IMBIRIBEIRA, NO MUNICÍPIO DO RECIFE/PE</t>
  </si>
  <si>
    <t xml:space="preserve">Unidade compradora: 68 - PROMORAR RECIFE
Local: Recife/PE
Órgão: MUNICIPIO DO RECIFE
Id contratação PNCP: 10565000000192-1-000321/2026
Fonte: Prefeitura da Cidade do Recife
 - Número compra: GC-PROMORAR-001-PL 0004 - Concorrência - Presencial
 </t>
  </si>
  <si>
    <t>Prefeitura Municipal de Baixa Grande do Ribeiro</t>
  </si>
  <si>
    <t>Baixa Grande do Ribeiro</t>
  </si>
  <si>
    <t>CONTRATAÇÃO DE EMPRESA ESPECIALIZADA DE ENGENHARIA PARA A EXECUÇÃO DE OBRA OE CONSTRUÇÃO DE 20 VINTE UNIDADES HABITACIONAIS NO MUNICÍPIO DE BAIXA GRANDE DO RIBEIRO PI.</t>
  </si>
  <si>
    <t>Tipo de Licitação: Menor Preço Global
Fonte de Recursos: PROPOSTA Nº 040532/2025 - PROGRAMA: MCMV FNHIS -
PROGRAMA MINHA CASA, MINHA VIDA. FUNDO NACIONAL DE HABITAÇÃO
DE INTERESSE SOCIAL
Data da Abertura: 24 de abril de 2026.
 Hora da Abertura: 10 h dez horas
Valor: R$ 2.480.719,60 dois milhões, quatrocentos e oitenta mil, setecentos e dezenove
reais e sessenta centavos
Endereço eletrônico: https://www.llcitacaobgrpl.eom.br/ e no site do TCE/PI
Informações: Sede da Prefeitura Municipal de Baixa Grande do Ribeiro, localizada na
Praça Chiquinho Ezequiel, 2222. centro; E-mail:cplbgrpi@gmail.com Fone: 89 98106-
5898</t>
  </si>
  <si>
    <t>* Licitação Eletrônica * Contratação de empresa para o fornecimento, de forma parcelada e sob demanda, de peças e materiais relacionados a poços tubulares, conforme as especificações do Anexo I - Termo de Referência.</t>
  </si>
  <si>
    <t>Unidade compradora: 2207207 - PREFEITURA MUNICIPAL DE PADRE MARCOS-PI
Local: Padre Marcos/PI
Órgão: MUNICIPIO DE PADRE MARCOS
Id contratação PNCP: 06553788000140-1-000032/2026
Fonte: LICITACONNECT - LICITACOES ELETRONICAS E ASSESSORIA LTDA / LICITACONNECT
 - Número compra: 30 - Pregão - Eletrônico</t>
  </si>
  <si>
    <t>Secretaria de Integraçao e Desenvolvimento Regional - Siderpi</t>
  </si>
  <si>
    <t>CR/22/2026</t>
  </si>
  <si>
    <t>Sistema de Abastecimento de água, incluso perfuração de poços tubulares, localidade  Cajaiba e Lagoa de Dentro , zona rural no Municipio de Teresina, PI</t>
  </si>
  <si>
    <t>LW-003443/26 ID 1138185
Regime Jurídico: DIVULGADA
Forma Realização: Lei nº 14.133/21
Modo de Disputa : Eletrônica
Critério julgamento: Aberto e Fechado
Adjudicação do objeto: Menor preço</t>
  </si>
  <si>
    <t>Prefeitura Municipal de Pérola</t>
  </si>
  <si>
    <t>Pérola</t>
  </si>
  <si>
    <t>* Licitação Eletrônica * Pavimentação asfáltica de estrada rural em CBUQ, com área de 26.880,00 m²,  contemplando serviços preliminares, terraplenagem, drenagem, base e sub-base,  revestimento, plantio de grama, sinalização viária, ensaios tecnológicos e placa de  comunicação visual. * https://bllcompras.com *</t>
  </si>
  <si>
    <t>LOCAL: https://bllcompras.com/
Nº PROC. ADM: 07/2026
 TIPO CONTRATO: AQUISIÇÃO
 INÍCIO REC. PROPOSTA: 08/04/2026 09:55:00
 FIM REC. PROPOSTA: 04/05/2026 09:00:00
 INÍCIO DISPUTA: 04/05/2026 09:01:00
 CIDADE: PÉROLA
 FASE: RECEPÇÃO DE PROPOSTAS
 EXCLUSIVO ME: NÃO
 EXCLUSIVO REGIONAL: NÃO
 MODO DE DISPUTA: ABERTO
 TIPO DE LANCE: MENOR LANCE
 FONE PROMOTOR: 4436368300
 E-MAIL PROMOTOR: adm@perola.pr.gov.br
 CONDUTOR: YASMIM FERNANDA RISSATO MARTINS
 AUTORIDADE: VALDETE CARLOS OLIVEIRA GONÇALVES DA CUNHA
 INFORMACÕES ADICIONAIS: 
 VALOR ESTIMADO: R$5.850.015,48</t>
  </si>
  <si>
    <t>Prefeitura Municipal de Congonhinhas</t>
  </si>
  <si>
    <t>Congonhinhas</t>
  </si>
  <si>
    <t xml:space="preserve"> Pavimentação asfáltica sobre pedras irregulares de vias urbanas, área 71.539,49m², contendo os serviços de: Serviços Preliminares; Revestimento, Sinalização de Trânsito e Ensaios Tecnológicos. </t>
  </si>
  <si>
    <t>DATA DA SESSÃO PÚBLICA:23/04/2026 às 09h00min horário de Brasília.
LOCAL: Prefeitura Municipal de Congonhinhas/PR, localizada na Av. Dr. Davi
Xavier da Silva, nº 266.
Disponibilidade do Edital e Anexos: Exemplares deste Edital e seus anexos
poderão ser obtidos pessoalmente na Divisão de Licitação da Prefeitura, situada a
Av. Dr. Davi Xavier da Silva, 266, Centro, Congonhinhas/PR, no horário normal de
expediente, ou nos site www.portalcr2.com.br/licitacoes/licitacoes-congonhinhas .
Informações: Demais informações através de telefone 43 3142-2259, no horário
normal de expediente e pelo e-mail: licitacao@congonhinhas.pr.gov.br .</t>
  </si>
  <si>
    <t>Prefeitura Municipal de Lupionópolis</t>
  </si>
  <si>
    <t>Lupionópolis</t>
  </si>
  <si>
    <t>* Licitação eletrônica * Registro de preço para contratação de empresa para aquisição de concreto usinado FKC 15 Slump 80+ -10 concreto convencional brita 1/2, conforme especificações constantes neste edital e em seu anexo I.</t>
  </si>
  <si>
    <t>O edital completo estará à disposição dos interessados na Plataforma Bolsa de Licitações BLL, disponível também na Prefeitura Municipal, com retirada no endereço Praça Padre Antonio Pozzato, nº 880, ou via internet através do site: http://lupionopolis.pr.gov.br/licitacao/. Informações: 43 3660-1100, das 08h às 12h e das 14h às 16h.</t>
  </si>
  <si>
    <t>Prefeitura Municipal de Morretes</t>
  </si>
  <si>
    <t>Morretes</t>
  </si>
  <si>
    <t>* Licitação Eletrônica * CONTRATAÇÃO DE EMPRESA ESPECIALIZADA PARA O FORNECIMENTO DE RECARGA DE OXIGÊNIO HOSPITALAR E LOCAÇÃO DE CILINDRO * https://bllcompras.com *</t>
  </si>
  <si>
    <t>LOCAL: https://bllcompras.com/
Nº PROC. ADM: 20/2026
 TIPO CONTRATO: REGISTRO DE PREÇO
 INÍCIO REC. PROPOSTA: 08/04/2026 08:00:00
 FIM REC. PROPOSTA: 24/04/2026 08:30:00
 INÍCIO DISPUTA: 24/04/2026 09:00:00
 CIDADE: MORRETES
 FASE: PUBLICADO
 EXCLUSIVO ME: NÃO
 EXCLUSIVO REGIONAL: NÃO
 MODO DE DISPUTA: ABERTO
 TIPO DE LANCE: MENOR LANCE
 FONE PROMOTOR: 4135009538
 E-MAIL PROMOTOR: licitacoes@morretes.pr.gov.br
 CONDUTOR: RENAN LUIZ FRAGOSO CARDOZO
 AUTORIDADE: SEBASTIÃO BRINDAROLLI JUNIOR
 INFORMACÕES ADICIONAIS: 
 VALOR ESTIMADO: R$175.484,50</t>
  </si>
  <si>
    <t>Prefeitura Municipal de Lidianópolis</t>
  </si>
  <si>
    <t>Lidianópolis</t>
  </si>
  <si>
    <t xml:space="preserve"> Contratação integrada de empresa do ramo da construção civil, devidamente especializada, para a elaboração dos projetos básico e executivo, bem como de todos os documentos técnicos necessários, seguida da execução das obras destinadas à construção de 10 dez unidades habitacionais, a serem implantadas no Distrito de Porto Ubá. A contratação, insere-se no âmbito do Programa Casa Fácil Paraná - Modalidade SUB25, em conformidade com as diretrizes e condições estabelecidas no Convênio nº 113/2025 - * https://bnccompras.com *</t>
  </si>
  <si>
    <t>LOCAL: https://bnccompras.com/
Nº PROC. ADM: 20/2026
 TIPO CONTRATO: AQUISIÇÃO
 INÍCIO REC. PROPOSTA: 08/04/2026 14:00:00
 FIM REC. PROPOSTA: 07/07/2026 08:00:00
 INÍCIO DISPUTA: 07/07/2026 09:00:00
 CIDADE: LIDIANÓPOLIS
 FASE: RECEPÇÃO DE PROPOSTAS
 EXCLUSIVO ME: NÃO
 EXCLUSIVO REGIONAL: NÃO
 MODO DE DISPUTA: FECHADO
 TIPO DE LANCE: MELHOR TÉCNICA
 FONE PROMOTOR: 4334731238
 E-MAIL PROMOTOR: adauto.mandu@hotmail.com
 CONDUTOR: LÍGIA PRISCILA AMORIM OLIVEIRA
 AUTORIDADE: APARECIDO BUZATO
INFORMACÕES ADICIONAIS: Ressaltamos que todas as propostas e documentações devem cumprir integralmente as exigências do edital, cabendo ao licitante a responsabilidade de atender a todas as condições, prazos e requisitos estabelecidos. VALOR ESTIMADO: R$1.300.000,00</t>
  </si>
  <si>
    <t>Prefeitura Municipal de Nova Aliança do Ivaí</t>
  </si>
  <si>
    <t>Nova Aliança do Ivaí</t>
  </si>
  <si>
    <t>* Licitação Eletrônica * Contratação de empresa especializada em construção civil, visando a execução de obra para construção de sanitários destinados ao atendimento dos alunos e funcionários da Jornada Ampliada da Escola/ Municipal Profª Irma Pereira da Rocha Boletta - ** www.comprasbr.com.br **</t>
  </si>
  <si>
    <t>* Licitação eletrônica * Aquisição Produtos de Navegação, incluindo acesso a Base de Dados de Publicações Técnicas e Softwares de Navegação para auxílio à navegação aérea da frota de aeronaves KC-30.</t>
  </si>
  <si>
    <t>Total de itens licitados: 4
Edital: 08/04/2026 em horário comercial.
Endereço: BRAZILIAN AERONAUTICAL COMMISSION - 1701, 22ND STREET NW
ABERTURA: 29/04/2026
O edital estará disponível em https://www.fab.mil.br/CABW</t>
  </si>
  <si>
    <t>* Licitação eletrônica * Aquisição Produtos de Navegação, incluindo acesso a Base de Dados de Publicações Técnicas e Softwares de Navegação para auxílio à navegação aérea da frota de aeronaves VC-1.</t>
  </si>
  <si>
    <t>PE/81/2026</t>
  </si>
  <si>
    <t>* Licitação eletrônica * Aquisição Produtos de Navegação, incluindo acesso a Base de Dados de Publicações Técnicas e Softwares de Navegação para auxílio à navegação aérea da frota de aeronaves C-99</t>
  </si>
  <si>
    <t>Total de itens licitados: 1
Edital: 08/04/2026 em horário comercial.
Endereço: BRAZILIAN AERONAUTICAL COMMISSION - 1701, 22ND STREET NW
ABERTURA: 29/04/2026
O edital estará disponível em https://www.fab.mil.br/CABW</t>
  </si>
  <si>
    <t>* Licitação eletrônica *  AQUISIÇÃO DE MATERIAIS DE CONSUMO PARA SUPORTE AO PROJETO</t>
  </si>
  <si>
    <t>Total de itens licitados: 6
Edital: 08/04/2026 em horário comercial.
Endereço: BRAZILIAN AERONAUTICAL COMMISSION - 1701, 22ND STREET NW
ABERTURA: 29/04/2026
O edital estará disponível em https://www.fab.mil.br/CABW</t>
  </si>
  <si>
    <t>PE/74/2026</t>
  </si>
  <si>
    <t>* Licitação eletrônica * Aquisição de Material para o Projeto A7 Aeronave C-95</t>
  </si>
  <si>
    <t>PE/79/2026</t>
  </si>
  <si>
    <t>* Licitação eletrônica * Aquisição Produtos de Navegação, incluindo acesso a Base de Dados de Publicações Técnicas e Softwares de Navegação para auxílio à navegação aérea da frota de aeronave C-105</t>
  </si>
  <si>
    <t>Total de itens licitados: 5
Edital: 08/04/2026 em horário comercial.
Endereço: BRAZILIAN AERONAUTICAL COMMISSION - 1701, 22ND STREET NW
ABERTURA: 29/04/2026
O edital estará disponível em https://www.fab.mil.br/CABW</t>
  </si>
  <si>
    <t>PE/75/2026</t>
  </si>
  <si>
    <t>* Licitação eletrônica * AQUISIÇÃO DE MATERIAL DE CONSUMO PARA SUPORTE À MANUTENÇÃO DAS AERONAVES C-98</t>
  </si>
  <si>
    <t>Total de itens licitados: 8
Edital: 08/04/2026 em horário comercial.
Endereço: BRAZILIAN AERONAUTICAL COMMISSION - 1701, 22ND STREET NW
ABERTURA: 29/04/2026
O edital estará disponível em https://www.fab.mil.br/CABW</t>
  </si>
  <si>
    <t>PE/77/2026</t>
  </si>
  <si>
    <t>* Licitação eletrônica * AQUISIÇÃO DE MATERIAIS DE CONSUMO PARA SUPORTE DO PROJETO ML_ ULH UNIDADE DE LIMPEZA DE HANGAR</t>
  </si>
  <si>
    <t>Total de itens licitados: 9
Edital: 08/04/2026 em horário comercial.
Endereço: BRAZILIAN AERONAUTICAL COMMISSION - 1701, 22ND STREET NW
ABERTURA: 29/04/2026
O edital estará disponível em https://www.fab.mil.br/CABW</t>
  </si>
  <si>
    <t>Prefeitura Municipal de Taboleiro Grande</t>
  </si>
  <si>
    <t>Taboleiro Grande</t>
  </si>
  <si>
    <t>* Licitação Eletrônica * Contratação de empresa em Engenharia Civil para execução dos serviços de Construção 20 Unidades Habitacionais, localizadas na Rua Vereador Gabriel Arcanjo de Souza, s/n, Bairro dos Parlamentares no Município de Taboleiro Grande/RN. em atendimento a...</t>
  </si>
  <si>
    <t>Órgão: Município de Taboleiro Grande - Prefeitura Municipal de Taboleiro Grande - RN
				Processo: 23030901/2026-PMTG
				Edital: 001/2026
				Modalidade: Concorrência
				Início de envio das propostas: 08-04-2026 ás 08:59
				Término de envio das propostas: 23/04/2026 ás 08:59		
				Início dos lances: 23/04/2026 ás 09:00</t>
  </si>
  <si>
    <t>Prefeitura Municipal de Martins</t>
  </si>
  <si>
    <t>Martins</t>
  </si>
  <si>
    <t>* Registro de preços * * Licitação Eletrônica * Registro de preços para futura e eventual contratação de empresa especializada na prestação de serviços de limpeza, esgotamento, sucção, transporte e destinação final de resíduos provenientes de fossas sépticas, a serem executados mediante demanda, com utilização de equipamentos adequados, incluindo caminhão limpa-fossa, visando atender às necessidades das Secretarias Municipais de Martins/RN</t>
  </si>
  <si>
    <t>Unidade compradora: 08153462000150 - PREFEITURA MUNICIPAL DE MARTINS
Local: Martins/RN
Órgão: MUNICIPIO DE MARTINS
Id contratação PNCP: 08153462000150-1-000049/2026
Fonte: 3Tecnos Tecnologia LTDA
 - Número compra: 011 - Pregão - Eletrônico</t>
  </si>
  <si>
    <t>CP/21659/2025</t>
  </si>
  <si>
    <t>COTAÇÃO DE MANÔMETROS - REQUISIÇÃO Nº 216592025</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</si>
  <si>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07/04/2026, Prazo final para envio: até às 17h do dia 10/07/2026 As propostas deverão ser enviadas A/C: Grupo de Compras - FUNPEC, para o e-mail: ???? ramonielle.linhares@funpec.br</t>
  </si>
  <si>
    <t>Prefeitura Municipal de Urupá</t>
  </si>
  <si>
    <t>Urupá</t>
  </si>
  <si>
    <t>Contratação de empresa para construção de 20 unidades habitacionais no município de Urupá/RO * https://licitanet.com.br *</t>
  </si>
  <si>
    <t>Processo: 1371/2025
Quantidade de lotes: 1</t>
  </si>
  <si>
    <t>Prefeitura Municipal de Amajari</t>
  </si>
  <si>
    <t>Amajari</t>
  </si>
  <si>
    <t>Eventual contratação de empresa de engenharia especializada para implantação de melhorias sanitárias domiciliares em áreas rurais do município de Amajari/RR.</t>
  </si>
  <si>
    <t>O Edital de inteiro teor estará à disposição dos interessados de segunda a sexta-feira no horário das 08:00hs às 13:00hs, na sede da Prefeitura Municipal e poderá ser solicitado através do e-mail edital@amajari.rr.gov.br - link: Webmail.amajari.rr.gov.br.</t>
  </si>
  <si>
    <t>Prefeitura Municipal de Tupanci do Sul</t>
  </si>
  <si>
    <t>Tupanci do Sul</t>
  </si>
  <si>
    <t>* Licitação Eletrônica * CONTRATAÇÃO ATRAVÉS DE EMPREITADA GLOBAL PARA OBRAS DE CAPEAMENTO ASFÁLTICO COM C.B.U.Q, DRENAGEM PLUVIAL, PASSEIOS COM ACESSIBILIDADE E SINALIZAÇÃO DE VIAS DO MUNICÍPIO, CONFORME PROJETO BÁSICO * https://bllcompras.com *</t>
  </si>
  <si>
    <t>LOCAL: https://bllcompras.com/
Nº PROC. ADM: 038/2026
 TIPO CONTRATO: AQUISIÇÃO
 INÍCIO REC. PROPOSTA: 09/04/2026 08:00:00
 FIM REC. PROPOSTA: 27/04/2026 13:00:00
 INÍCIO DISPUTA: 27/04/2026 13:30:00
 CIDADE: TUPANCI DO SUL
 FASE: PUBLICADO
 EXCLUSIVO ME: NÃO
 EXCLUSIVO REGIONAL: NÃO
 MODO DE DISPUTA: ABERTO
 TIPO DE LANCE: MENOR LANCE
 FONE PROMOTOR: 5436169242
 E-MAIL PROMOTOR: admtupancidosul@hotmail.com
 CONDUTOR: LARISSA DEFACI MUNARI
 AUTORIDADE: FERNANDO LUIS FAVRETTO
 INFORMACÕES ADICIONAIS: 
 VALOR ESTIMADO: R$2.044.003,80</t>
  </si>
  <si>
    <t>Prefeitura Municipal de Porto Xavier</t>
  </si>
  <si>
    <t>Porto Xavier</t>
  </si>
  <si>
    <t xml:space="preserve"> Registro de Preços para Possível Aquisição de Tubos de Concreto Simples e Armado. </t>
  </si>
  <si>
    <t xml:space="preserve">** Confirmar prazo na Unidade Licitante, pois não foi informado pela Fonte Oficial **
 O edital completo e demais informações poderão ser obtidas na Prefeitura Municipal, pelo Fone: 55-3354-0700, no horário de expediente, também no site da Prefeitura www.portoxavierrs.gov.br. </t>
  </si>
  <si>
    <t>Prefeitura Municipal de Garruchos</t>
  </si>
  <si>
    <t>Garruchos</t>
  </si>
  <si>
    <t>Contratação de empresa especializada para, via empreitada global, com fornecimento de material e mão de obra, realizar a execução de 20 Unidades Habitacionais no município de Garruchos, com recursos provenientes do Programa Minha Casa Minha Vida - FNHIS Sub 50</t>
  </si>
  <si>
    <t>DATA DA DISPUTA
21/05/2026 09:31:00</t>
  </si>
  <si>
    <t>Prefeitura Municipal de Guarani das Missões</t>
  </si>
  <si>
    <t>Guarani das Missões</t>
  </si>
  <si>
    <t>* Licitação eletrônica * Eventuais e futuras aquisições de materiais de construção para a manutenção das secretarias municipais.</t>
  </si>
  <si>
    <t>** Confirmar prazo na Unidade Licitante, pois não foi informado pela Fonte Oficial ** 
O edital encontra-se disponível no site www.guaranidasmissoes.rs.gov.br e junto ao Setor de Licitações da Prefeitura Municipal de Guarani das Missões/RS, à Rua Boa Vista, 265. Matéria publicada no Diário Oficial dos Municípios do Estado do Rio Grande do Sul no dia 08/04/2026.</t>
  </si>
  <si>
    <t>Prefeitura Municipal de Cambará do Sul</t>
  </si>
  <si>
    <t>Cambará do Sul</t>
  </si>
  <si>
    <t>PE/1010/2026</t>
  </si>
  <si>
    <t>* Licitação eletrônica * Registro de preços p/ a aquisição de ares-condicionados e bomba de infusão, p/ atendimento às diversas unidades de saúde.</t>
  </si>
  <si>
    <t>Data: 24/04/2026 às 9h, no bll.org. 
Editais: cambaradosul.rs.gov.br/licitação. 
Informações: 54 3251 1532 ou licitacao@cambaradosul.rs.gov.br.</t>
  </si>
  <si>
    <t>SM/24/2026</t>
  </si>
  <si>
    <t>FORNECIMENTO DE QUADROS DE COMANDO DE MOTORES PARA SISTEMAS DE TRATAMENTO DE LODO DA AGVI</t>
  </si>
  <si>
    <t>Órgão: COMPANHIA CATARINENSE DE AGUAS E SANEAMENTO CASAN
Id: 1090979
Edital: PL024/2026
Modalidade: LRE
Tipo: Menor preço
Pregoeiro: ADOLFO CUROTTO MARTINS
Participação do fornecedor: Ampla
Data de publicação: 07/04/2026
Início do acolhimento de propostas: 08/04/2026 08:00
Limite do acolhimento de propostas: 20/04/2026 09:00
Data e hora da disputa: 20/04/2026 10:00</t>
  </si>
  <si>
    <t>CR/33/2026</t>
  </si>
  <si>
    <t>* Licitação Eletrônica * Contratação de empresa especializada para a execução da obra de reforma, readequação e revitalização da Praça do Paço Municipal de Meleiro/SC, com área total de intervenção de 5.417 m², compreendendo, de forma integrada, serviços iniciais e de mobilização, demolições e retiradas, drenagem pluvial, execução de cisterna e sistema de reaproveitamento de água, construção de banheiro público, implantação de pergolados, reforma e recomposição de pisos, calçadas, passeios e rampas, instalações hidrossa * https://bllcompras.com *</t>
  </si>
  <si>
    <t>LOCAL: https://bllcompras.com/
Nº PROC. ADM: 033/2026
 TIPO CONTRATO: AQUISIÇÃO
 INÍCIO REC. PROPOSTA: 09/04/2026 07:30:00
 FIM REC. PROPOSTA: 24/04/2026 11:30:00
 INÍCIO DISPUTA: 24/04/2026 13:30:00
 CIDADE: MELEIRO
 FASE: PUBLICADO
 EXCLUSIVO ME: NÃO
 EXCLUSIVO REGIONAL: NÃO
 MODO DE DISPUTA: ABERTO
 TIPO DE LANCE: MENOR LANCE
 FONE PROMOTOR: 4835378400
 E-MAIL PROMOTOR: prefeitura@meleiro.sc.gov.br
 CONDUTOR: ANELIZE LONGARETTI TOLDO FRANCISCO
 AUTORIDADE: ANDERSON SCARDUELI
 INFORMACÕES ADICIONAIS: Outras informações no DFD, ETP, TR e Edital
 VALOR ESTIMADO: R$1.337.003,33</t>
  </si>
  <si>
    <t>Prefeitura Municipal de Rio do Sul</t>
  </si>
  <si>
    <t>Rio do Sul</t>
  </si>
  <si>
    <t>CR/133/2026</t>
  </si>
  <si>
    <t>* Licitação Eletrônica * CONTRATAÇÃO DE EMPRESA ESPECIALIZADA PARA EXECUÇÃO DE OBRAS DE PAVIMENTAÇÃO ASFÁLTICA, DRENAGEM PLUVIAL E SINALIZAÇÃO VIÁRIA NA RUA JOÃO EIFLER, BAIRRO ALBERTINA, RIO DO SUL/SC - ** www.comprasbr.com.br **</t>
  </si>
  <si>
    <t>Prefeitura Municipal de Palmitos</t>
  </si>
  <si>
    <t>Palmitos</t>
  </si>
  <si>
    <t>* Licitação Eletrônica * REGISTRO DE PREÇOS PARA FUTURA E EVENTUAL PRESTAÇÃO DE SERVIÇOS ESPECIALIZADOS DE ESGOTAMENTO, SUCÇÃO E LIMPEZA DE FOSSAS SÉPTICAS E CAIXAS DE GORDURA, INCLUINDO REMOÇÃO, TRANSPORTE E DESTINAÇÃO FINAL AMBIENTALMENTE ADEQUADA DOS RESÍDUOS COLETADOS, EM CONFORMIDADE COM A LEGISLAÇÃO AMBIENTAL VIGENTE, VISANDO ATENDER ÀS DEMANDAS DAS SECRETARIAS MUNICIPAIS E DEMAIS UNIDADES ADMINISTRATIVAS DO MUNICÍPIO * https://bllcompras.com *</t>
  </si>
  <si>
    <t>LOCAL: https://bllcompras.com/
Nº PROC. ADM: 48/2026
 TIPO CONTRATO: REGISTRO DE PREÇO
 INÍCIO REC. PROPOSTA: 03/04/2026 08:00:00
 FIM REC. PROPOSTA: 20/04/2026 08:30:00
 INÍCIO DISPUTA: 20/04/2026 08:31:00
 CIDADE: PALMITOS
 FASE: PUBLICADO
 EXCLUSIVO ME: NÃO
 EXCLUSIVO REGIONAL: NÃO
 MODO DE DISPUTA: ABERTO
 TIPO DE LANCE: MENOR LANCE
 FONE PROMOTOR: 4936479600
 E-MAIL PROMOTOR: licitacao@palmitos.sc.gov.br
 CONDUTOR: ANDRESSA TRIACCA
 AUTORIDADE: GIOVANA GIACOMOLLI
 INFORMACÕES ADICIONAIS: 
 VALOR ESTIMADO: R$91.500,00</t>
  </si>
  <si>
    <t>CR/60/2026</t>
  </si>
  <si>
    <t>* Licitação Eletrônica * O objeto da presente licitação é a contratação de empresa para fornecimento de material e mão de obra para execução de serviços para reurbanização Área Central projeto 01, recuperação parcial da Rua Marquês do Herval projeto 02, pavimentação da...</t>
  </si>
  <si>
    <t>Órgão: DIVISAO DE COMPRAS E LICITACOES - Prefeitura Municipal de Ibirama - SC
				Processo: 60/2026
				Edital: 60/2026
				Modalidade: Concorrência
				Início de envio das propostas: 07-04-2026 ás 17:00
				Término de envio das propostas: 23/04/2026 ás 08:59		
				Início dos lances: 23/04/2026 ás 09:00</t>
  </si>
  <si>
    <t>Prefeitura Municipal de Lauro Muller</t>
  </si>
  <si>
    <t>Lauro Müller</t>
  </si>
  <si>
    <t>CR/80/2026</t>
  </si>
  <si>
    <t>* Licitação Eletrônica * A presente licitação tem por objetivo a contratação de empresa do ramo pertinente para execução das obras de Pavimentação Asfáltica, Terraplanagem, Drenagem Pluvial, Serviços Complementares e Sinalização Viária da Rua Dionísio Adriano, no Bairro Mina Nova, com 608,55 m de extensão, neste município de Lauro Müller/SC, conforme projeto, especificações técnicas, normas da ABNT e demais condições estabelecidas neste Termo de Referência, Memorial Descritivo, Planilha Orçamentária e Cronograma anexos. * https://bnccompras.com *</t>
  </si>
  <si>
    <t>LOCAL: https://bnccompras.com/
Nº PROC. ADM: 80/PMLM/2026
 TIPO CONTRATO: AQUISIÇÃO
 INÍCIO REC. PROPOSTA: 08/04/2026 13:20:00
 FIM REC. PROPOSTA: 24/04/2026 08:30:00
 INÍCIO DISPUTA: 24/04/2026 09:00:00
 CIDADE: LAURO MULLER
 FASE: RECEPÇÃO DE PROPOSTAS
 EXCLUSIVO ME: NÃO
 EXCLUSIVO REGIONAL: NÃO
 MODO DE DISPUTA: ABERTO
 TIPO DE LANCE: MENOR LANCE
 FONE PROMOTOR: 4834643122
 E-MAIL PROMOTOR: prefeito@lauromuller.sc.gov.br
 CONDUTOR: GABRIELA SILVA DO AMARAL COAN
 AUTORIDADE: VALDIR FONTANELLA
 VALOR ESTIMADO: R$605.201,13</t>
  </si>
  <si>
    <t>Prefeitura Municipal de Pescaria Brava</t>
  </si>
  <si>
    <t>Pescaria Brava</t>
  </si>
  <si>
    <t>* Licitação Eletrônica * Pavimentação em lajota e concreto, drenagem fluvial e sinalização viária, das ruas: RUA PEDRO JOSÉ FLORENTINO E ACESSO PMPB 04, com àrea a pavimentar de 4.278,90m² e extensão de 749,977 Metros, localizadas no bairro Pontinha das Laranjeiras, Município de Pescaria Brava, Estado de Santa Catarina.
 - ** www.comprasbr.com.br **</t>
  </si>
  <si>
    <t>Prefeitura Municipal de Piratininga</t>
  </si>
  <si>
    <t>Piratininga</t>
  </si>
  <si>
    <t>* Licitação Eletrônica * CONTRATAÇÃO DE EMPRESA ESPECIALIZADA  PARA EXECUÇÃO DE OBRAS E SERVIÇOS DE ENGENHARIA VISANDO A EXECUÇÃO  DE GALERIAS DE ÁGUAS PLUVIAIS NA RUA 25 DE JANEIRO - ETAPA 01/03 PV 13 AO PV 18, MUNICÍPIO DE PIRATININGA/SP, * https://bllcompras.com *</t>
  </si>
  <si>
    <t>LOCAL: https://bllcompras.com/
Nº PROC. ADM: 289/2026
 TIPO CONTRATO: AQUISIÇÃO
 INÍCIO REC. PROPOSTA: 08/04/2026 08:30:00
 FIM REC. PROPOSTA: 19/05/2026 08:30:00
 INÍCIO DISPUTA: 19/05/2026 09:01:00
 CIDADE: PIRATININGA
 FASE: PUBLICADO
 EXCLUSIVO ME: NÃO
 EXCLUSIVO REGIONAL: NÃO
 MODO DE DISPUTA: ABERTO
 TIPO DE LANCE: MENOR LANCE
 FONE PROMOTOR: 1432659530
 E-MAIL PROMOTOR: licitacao@piratininga.sp.gov.br
 CONDUTOR: BRUNO VINICIUS DOS REIS DE AQUINO
 AUTORIDADE: CARLOS ALESSANDRO FRANCO BORRO DE MATOS
 INFORMACÕES ADICIONAIS: INÍCIO DO CADASTRO DAS PROPOSTAS: 08/04/2026, às 08:30 horas. 
TÉRMINO CADASTRO DAS PROPOSTAS: 19/05/2026, às 08:30 horas.  
ABERTURA DAS PROPOSTAS: 19/05/2026, às 08:31 horas. 
INÍCIO DA DISPUTA DE PREÇOS: 19/05/2026, às 09h01 horas. 
 VALOR ESTIMADO: R$1.140.546,54</t>
  </si>
  <si>
    <t>Prefeitura Municipal de Barra do Chapéu</t>
  </si>
  <si>
    <t>Barra do Chapéu</t>
  </si>
  <si>
    <t>Contratação de empresa especializada para executar DRENAGEM E PAVIMENTAÇÃO NA RUA CAMBUTA NO BAIRRO PONTE ALTA DO MUNICÍPIO DE BARRA DO CHAPÉU/SP, nos termos do Contrato de Repasse n° 943674/2023 - Operação 1087316-09, firmado com o Ministério das Cidades, especificações e condições descritas no edital e seus anexos</t>
  </si>
  <si>
    <t>17/04/2026 às 10h00</t>
  </si>
  <si>
    <t>Prefeitura Municipal de Apiaí</t>
  </si>
  <si>
    <t>Apiaí</t>
  </si>
  <si>
    <t xml:space="preserve"> CONTRATAÇÃO INTEGRADA PARA EXECUÇÃO DE SERVIÇOS DE ENGENHARIA PARA EXECUÇÃO DE MORADIAS COM O PROGRAMA MINHA CASA MINHA VIDA - FNHIS SUB 50</t>
  </si>
  <si>
    <t>Unidade compradora: 2 - Prefeitura Municipal de Apiaí
Local: Apiaí/SP
Órgão: MUNICIPIO DE APIAI
Id contratação PNCP: 46634242000138-1-000039/2026
Fonte: Grupo Assessor
 - Número compra: 9 - Concorrência - Eletrônica</t>
  </si>
  <si>
    <t>Prefeitura Municipal de Mauá</t>
  </si>
  <si>
    <t>Mauá</t>
  </si>
  <si>
    <t>Contratação de empresa para execução de obras de urbanização, contemplando canalização e drenagem, e elaboração de projetos executivos do córrego da rua Eugênio Negri - assentamento Chafick-Macuco, subsetor 01, conforme condições, quantidades e exigências estabelecidas neste Edital e seus anexos.</t>
  </si>
  <si>
    <t>DATA DA SESSÃO PÚBLICA
Dia 27/04/2026 às 11:00h horário de Brasília</t>
  </si>
  <si>
    <t>Prefeitura Municipal de Pereiras</t>
  </si>
  <si>
    <t>Pereiras</t>
  </si>
  <si>
    <t>* Licitação eletrônica * Fornecimento de materiais de massa asfáltica "CBUQ", para serem utilizados para a manutenção asfáltica nesta municipalidade.</t>
  </si>
  <si>
    <t>O edital completo estará à disposição no site da Prefeitura Municipal de Pereiras www.pereiras.sp.gov.br. Demais informações poderão ser obtidas no Setor de Licitações pelo telefone 14 3888-8100.</t>
  </si>
  <si>
    <t>São Paulo Obras</t>
  </si>
  <si>
    <t>Contratação de empresa ou consórcio de empresas especializadas em engenharia para execução das obras de complementação das galerias de drenagem do Córrego Água Preta e Sumaré na Subprefeitura da Lapa, no âmbito da Operação Urbana Água Branca.</t>
  </si>
  <si>
    <t>Divulgação/Disponibilidade: A partir de 08/04/2026 o Edital e seus anexos estarão disponíveis para consulta no link Doc. Sei nº 154254775. Data e local de entrega dos envelopes: das 10h00 às 10h30 do dia 06/05/2026, na sala de reunião do 3º andar, do Edifício sede da SPObras, à Rua XV de Novembro, 165, Centro - Histórico - São Paulo/SP - CEP 01013-001. Abertura dos envelopes: às 10h30 do dia 06/05/2026.</t>
  </si>
  <si>
    <t>Prefeitura Municipal de Junqueirópolis</t>
  </si>
  <si>
    <t>Junqueirópolis</t>
  </si>
  <si>
    <t>PE/46/2026</t>
  </si>
  <si>
    <t>* Licitação Eletrônica * AQUISIÇÃO DE MASSA ASFALTICA/ CONCRETO BETUMINOSO USINADO A QUENTE CBUQ PARA APLICAÇÃO A FRIO A SER USADO PELO SETOR DE PLANEJAMENTO, OBRAS, SERVIÇOS E MANUTENÇÕES DO MUNICIPIO DE JUNQUEIROPOLIS/SP</t>
  </si>
  <si>
    <t>Unidade compradora: 1 - MUNICIPIO DE JUNQUEIROPOLIS
Local: Junqueirópolis/SP
Órgão: MUNICIPIO DE JUNQUEIROPOLIS
Id contratação PNCP: 44881449000181-1-000060/2026
Fonte: CECAM - Consultoria Econômica, Contábil e Administrativa Municipal
 - Número compra: 46 - Pregão - Eletrônico</t>
  </si>
  <si>
    <t>Prefeitura Municipal de Nova Europa</t>
  </si>
  <si>
    <t>Nova Europa</t>
  </si>
  <si>
    <t xml:space="preserve"> CONTRATAÇÃO DE EMPRESA PARA FORNECIMENTO DE 400 LITROS DE COLA PRIME LIGANTE DESTINADO A MANUTENÇÃO DAS VIAS URBANAS DO MUNICIPIO DE NOVA EUROPA.</t>
  </si>
  <si>
    <t>** Confirmar prazo na Unidade Licitante ** Em cumprimento aos preceitos emanados do art. 75,
§3º, da Lei nº. 14.333/2021, abre-se prazo às empresas
interessadas neste objeto para a apresentação de
propostas à municipalidade.
O prazo de envio do orçamento ou protocolo,
será de 03 três dias úteis contados a partir da
publicação deste aviso no site oficial e diário oficial
do Município de Nova Europa/SP.
Dúvidas e esclarecimento podem ser obtidos através
do e-mail acima ou pelo telefone: 16 3387-9411.
A empresa detentora da proposta mais vantajosa para
o Município será contratada para envio da documentação
que comprove reunir as condições necessárias para
contratar com a Administração, em até 03 três dias úteis
após a convocação.
Nova Europa/SP, aos 04 de abril de 2026. O Município de Nova Europa, solicita aos interessados
o envio de orçamentos para o e-mail
licitacoes@novaeuropa.sp.gov.br/compras2@novaeuropa.s
p.gov.br</t>
  </si>
  <si>
    <t>Prefeitura Municipal de Lourdes</t>
  </si>
  <si>
    <t>Lourdes</t>
  </si>
  <si>
    <t>Contratação de empresa, por empreitada global, para construção de 20 unidades habitacionais - programa 5600020250030 - Novo Pac - FNHIS sub-50 - portaria nº 892/2025 ministério das cidades.</t>
  </si>
  <si>
    <t>Regime de execução: Contratação Integrada.</t>
  </si>
  <si>
    <t>Prefeitura Municipal de Pindorama</t>
  </si>
  <si>
    <t>Pindorama</t>
  </si>
  <si>
    <t>* Licitação eletrônica * Contratação de empresa especializada para construção de espaço esportivo - campo em grama sintética, meia quadra de basquete, parquinho infantil e pista de caminhada tipo B no bairro Jardim das Palmeiras em Pindorama/SP.</t>
  </si>
  <si>
    <t>Edital disponível no https://pindorama.govbr.cloud/pronimtb/index.asp?acao=1&amp;item=2&amp;flagRedFiltroLicitacao=2. Data e hora da sessão: 28/04/2026 às 09:00.</t>
  </si>
  <si>
    <t>* Licitação Eletrônica * AQUISIÇÃO DE TUBOS EM AÇO CARBONO. * http://www.licitacoes-e.com.br *</t>
  </si>
  <si>
    <t>Edital : 2026/80 
Modalidade : Pregão 
Nº Licitação : 1091015 
Início acolhimento de propostas : 17/04/2026-08:00 
Limite acolhimento de propostas : 22/04/2026-08:00 
Abertura das propostas : 22/04/2026-08:00 
Data e a hora da disputa : 22/04/2026-09:00 
Pregoeiro : ALEXANDRE AUGUSTO GUIDA GASPAR</t>
  </si>
  <si>
    <t>Prefeitura Municipal de Bofete</t>
  </si>
  <si>
    <t>Bofete</t>
  </si>
  <si>
    <t>REGISTRO DE PREÇO PARA AQUISIÇÃO DE INSUMOS DA CONSTRUÇÃO CIVIL DA TABELA SINAPI SISTEMA NACIONAL DE PESQUISA DE CUSTO E ÍNDICES DA CONSTRUÇÃO CIVIL EM REGIME DE MAIOR DESCONTO PERCENTUAL UNITÁRIO, PARA ATENDER A DEMANDA DO MUNICÍPIO DE BOFETE/SP</t>
  </si>
  <si>
    <t>CRITÉRIO DE JULGAMENTO: maior desconto;
EDITAL: www.bofete.sp.gov.br; licitacao@bofete.sp.gov.br; CREDENCIAMENTO:
24/04/2026 ATÉ ÀS 08h30; LOCAL: PAÇO MUNICIPAL RUA NOVE DE JULHO, 290,
CENTRO, BOFETE/SP.</t>
  </si>
  <si>
    <t>* Licitação eletrônica * Registro de preços de materiais de construção - pedrisco, pedra, tijolos, blocos de 08 e 09 furos, areia, pó de pedra, cimento, cal, argamassa e rejunte, para atender as demandas da Secretaria de Obras e Serviços do Município de Pindorama/SP.</t>
  </si>
  <si>
    <t>Edital disponível em https://pindorama.govbr.cloud/pronimtb/index.asp?acao=1&amp;item=2&amp;flagRedFiltroLicitacao=2. Data e hora da sessão: 29/04/2026 às 14:30.</t>
  </si>
  <si>
    <t>MINISTÉRIO DA DEFESA - Comando da Aeronáutica - Centro Logístico da Aeronáutica</t>
  </si>
  <si>
    <t>PR/71/2026</t>
  </si>
  <si>
    <t>AQUISIÇÃO DE MATERIAIS DE CONSUMO PARA SUPORTE AO PROJETO T-25</t>
  </si>
  <si>
    <t>Total de itens licitados: 10
Edital: 07/04/2026 em horário comercial.
Endereço: BRAZILIAN AERONAUTICAL COMMISSION - 1701, 22ND STREET NW
ABERTURA: 28/04/2026
O edital estará disponível em https://www.fab.mil.br/CABW</t>
  </si>
  <si>
    <t>Instituto Butantan - Fundação Butantan</t>
  </si>
  <si>
    <t>CP/13/2026</t>
  </si>
  <si>
    <t xml:space="preserve">Aquisição de soldadores de tubos e seladores de tubos com seus respectivos acessórios, bem como os serviços de qualificação de instalação de operação, de acordo com as Especificações de Requisito do Usuário. </t>
  </si>
  <si>
    <t>DATA DA ABERTURA DA SESSÃO: 22/04/2026
HORÁRIO DA ABERTURA DA SESSÃO: 16 horas</t>
  </si>
  <si>
    <t>Prefeitura Municipal de Amparo</t>
  </si>
  <si>
    <t>Amparo</t>
  </si>
  <si>
    <t>CR/10/2026</t>
  </si>
  <si>
    <t>Contratação de empresa especializada para execução de serviços de pavimentação asfáltica, drenagem superficial e entrega de projeto As-Built para a pavimentação das vias públicas das Ruas André Bambrila Vacari Trecho 2 e Armandinho Seabra, incluindo fornecimento de materiais, máquinas, veículos, equipamentos, mão de obra e tudo o mais que se fizer necessário para execução dos serviços conforme Edital, Anexos e Minuta de Contrato.</t>
  </si>
  <si>
    <t>O Edital estará disponível a partir do dia 09/04/2026, até o final da tarde, sem ônus através do site www.amparo.sp.gov.br ou mediante pagamento de taxa no Departamento de Suprimentos da Prefeitura Municipal de Amparo das 08:30 às 16:00 horas. Informações: Tel.: 19 3817-9300 - Ramais 9361, 9356 e 9344 ou e-mail: licitacoes@amparo.sp.gov.br.</t>
  </si>
  <si>
    <t>ARVAP- AGÊNCIA INTERMUNICIPAL DE REGULAÇÃO, CONTROLE E FISCALIZAÇÃO DE SERVIÇOS PÚBLICOS DO VALE DO PARANAPANEMA</t>
  </si>
  <si>
    <t>Recebimento de manifestações, sugestões e contribuições relativas à Análise de Impacto Regulatório - AIR nº 02/2026, referente à proposta de Resolução ARVAP sobre fiscalização, caracterização, apuração, autuação e aplicação de penalidades administrativas em casos de furto de água, ligação clandestina de água, ligação clandestina de esgoto, uso irregular dos serviços de esgotamento sanitário, fraude, adulteração ou travamento de hidrômetro, violação de lacres, religação irregular e demais irregularidades correlatas.</t>
  </si>
  <si>
    <t>[CONSULTA PÚBLICA] - O período para envio das manifestações será de 09/04/2026 a 11/05/2026. As contribuições deverão ser encaminhadas, prioritariamente, por meio do link https://abre.ai/consulta-arvap, ou, alternativamente, por carta para Via Chico Mendes, 65 - Quinta dos Flamboyants - Assis/SP - CEP: 19810-005, ou por e-mail para contato@arvap.sp.gov.br, com o assunto "Consulta Pública 02/2026.</t>
  </si>
  <si>
    <t>Prefeitura Municipal de Ipuã</t>
  </si>
  <si>
    <t>Ipuã</t>
  </si>
  <si>
    <t>aquisição de materiais e equipamentos bombas dosadoras essenciais para a sanitização de água tratada, na Estação de Tratamento de Água ETA e em Poços Artesianos do município, conforme as condições e exigências estabelecidas no "Modelo de Proposta", que deverá ser solicitado no seguinte e-mail &lt;compras@saaeipua.sp.gov.br&gt;.</t>
  </si>
  <si>
    <t>A proposta poderá ser protocolada, em suas vias originais, devidamente assinada, na Sede do SAAEI, com horário de funcionamento das 8h às 11:30h e das 13h às 17h, ou 
encaminhada a proposta digitalizada para o e-mail &lt;compras@saaeipua.sp.gov.br&gt;.
O critério de julgamento das propostas será o de:Menor Valor Unitário.
O prazo para envio da proposta terá início imediatamente após a publicação deste Aviso e finalização no dia 10/04/2026 às 17h00.
Ipuã/SP, 07 de abril de 2026.
Michael Juno Pereira
Químico
Maxwell Henrique da Silva
Superintendente do SAAEI</t>
  </si>
  <si>
    <t>Prefeitura Municipal de Itapuí</t>
  </si>
  <si>
    <t>Itapuí</t>
  </si>
  <si>
    <t>* Licitação Eletrônica * Operação e Manutenção de Dosadores Eletrônicos</t>
  </si>
  <si>
    <t>Unidade compradora: 1 - PREFEITURA MUNICIPAL DE ITAPUÍ - SP
Local: Itapuí/SP
Órgão: MUNICIPIO DE ITAPUI
Id contratação PNCP: 46189726000115-1-000013/2026
Fonte: Fiorilli Software
 - Número compra: 28 - Pregão - Eletrônico</t>
  </si>
  <si>
    <t>Prefeitura Municipal de Peixe</t>
  </si>
  <si>
    <t>Peixe</t>
  </si>
  <si>
    <t xml:space="preserve">Menor Preço Por Item, com objetivo de registro de preços para futura aquisição de materiais de construção civil, destinados a execução de serviços de drenagem de águas pluviais em diversas ruas e avenidas da área urbana de Peixe/TO. </t>
  </si>
  <si>
    <t>O Edital poderá ser obtido por meio do e-mail: pmpeixe2017@
gmail.com, pelo site www.peixe.to.gov.br, no Portal de Transparência do
Município de Peixe/TO, ou, ainda, junto ao Setor de Licitações e Contratos.
Outras informações poderão ser obtidas pelo telefone 63 3356-2102.</t>
  </si>
  <si>
    <t>Prefeitura Municipal de Santa Fé do Araguaia</t>
  </si>
  <si>
    <t>Santa Fé do Araguaia</t>
  </si>
  <si>
    <t>* Licitação Eletrônica * Contratação de empresa especializada para execução de obra de pavimentação asfaltica em CBUQ, drenagem pluvial, drenagem superficial e sinalização viária em vias urbanas de Santa Fé do Araguaia-TO. * https://bnccompras.com *</t>
  </si>
  <si>
    <t>LOCAL: https://bnccompras.com/
Nº PROC. ADM: 113/2026
 TIPO CONTRATO: AQUISIÇÃO
 INÍCIO REC. PROPOSTA: 10/04/2026 08:30:00
 FIM REC. PROPOSTA: 27/04/2026 07:30:00
 INÍCIO DISPUTA: 27/04/2026 08:30:00
 CIDADE: SANTA FÉ DO ARAGUAIA
 FASE: PUBLICADO
 EXCLUSIVO ME: NÃO
 EXCLUSIVO REGIONAL: NÃO
 MODO DE DISPUTA: ABERTO
 TIPO DE LANCE: MENOR LANCE
 FONE PROMOTOR: 6334701191
 E-MAIL PROMOTOR: compras.pfsantafe@gmail.com
 CONDUTOR: RONIPEPERSON RIBEIRO DE SOUZA
 AUTORIDADE: AMERICO FERREIAR REGO
 VALOR ESTIMADO: R$5.218.472,75</t>
  </si>
  <si>
    <t>Prefeitura Municipal de Augustinópolis</t>
  </si>
  <si>
    <t>Augustinópolis</t>
  </si>
  <si>
    <t>Contratação de empresa para a execução dos serviços de engenharia referentes a construção de pavimentação em bloquetes, com implantação de meio-fio, sarjeta e sinalização horizontal e vertical, a serem executados na Avenida Central e trecho da Rua José Batista da Silva, no bairro Alto Bonito, em Augustinópolis/TO.</t>
  </si>
  <si>
    <t>O Edital e seus anexos encontram-se à disposição dos interessados na sede da Prefeitura e para download em https://augustinopolis.to.gov.br/. Informações: licitacao@augustinopolis.to.gov.br, 63 3456-1739.</t>
  </si>
  <si>
    <t>Instituto de Mudanças Climáticas e Regulação de Serviços Ambientais do Acre – IMC</t>
  </si>
  <si>
    <t xml:space="preserve">Rio Branco </t>
  </si>
  <si>
    <t xml:space="preserve">* Chamada Pública * fortalecimento das ações de enfrentamento aos extremos climáticos, com foco na recuperação de áreas degradadas, no âmbito do Programa Global REDD for Early Movers - REM Acre Fase II, por meio da seleção de Organizações da Sociedade Civil OSCs para celebração de Termos de Colaboração, em conformidade com a Lei Federal nº 13.019/2014 de 31 de julho de 2014 e o Decreto Estadual nº 11.238, de 02 de maio de 2023. </t>
  </si>
  <si>
    <t>ETAPA RESPONSÁVEL DESCRIÇÃO PRAZO DATA
1 IMC
Publicação do Edital de Chamamento
Público no Diário
Oficial do Estado -
DOE.
- 09/03/2026
2 OSCs
Prazo para apresentação de propostas pelas OSCs.
60 sessenta
dias contados da
publicação.
09/03/2026
até
06/05/2026
3 Comissão de
Seleção
Emissão do Relatório com Resultado
Preliminar.
10 dez dias, prorrogáveis por mais
10 dez dias.
07/05/2026
até
16/05/2026
4 UCP REM/SEPLAN
Análise, considerações e validação
do resultado preliminar.
3 três dias
17/05/2026
até
19/05/2026
5 IMC e OSCs
Divulgação do Relatório com Resultado
Preliminar no DOE
e abertura de prazo
para interposição
de recursos.
5 cinco dias
contados da
divulgação do
resultado preliminar no DOE
20/05/2026
até
24/05/2026
6 Comissão de
Seleção e IMC
Decisão sobre os
recursos, ciência às
recorrentes e emissão do Relatório
Final.
3 três dias
contados do
recebimento dos
recursos
25/05/2026
até
27/05/2026
7 UCP REM/SEPLAN
Análise, considerações e validação do
resultado final.
3 três dias
28/05/2026
até
30/05/2026
8 Comissão de
Seleção e IMC
Publicação do Relatório Final do Chamamento Público,
com divulgação do
resultado de julgamento dos recursos
e publicação do Termo de Homologação no DOE.
3 três dias
31/05/2026
até
02/06/2026
O cronograma original consta da Tabela 1 do item 9.1, com prazo inicial de
apresentação das propostas de 09/03/2026 a 06/04/2026.
Justificativa:
A prorrogação do prazo para apresentação das propostas encontra fundamento direto na alteração da abrangência territorial do Edital, com a inclusão da
Regional do Alto Acre, o que configura modificação relevante das condições
originalmente estabelecidas, impactando o universo de potenciais proponentes e a formulação das propostas.
Nesse contexto, a ampliação do escopo territorial impõe a necessidade de
concessão de prazo adicional, de modo a assegurar que as Organizações da
Sociedade Civil com atuação na região recém-incluída disponham de tempo
hábil para mobilização, articulação institucional e elaboração adequada de
seus Planos de Trabalho, garantindo condições equânimes de participação.
A medida observa, portanto, os princípios da isonomia, da ampla competitividade, da publicidade e da seleção da proposta mais vantajosa para a Administração Pública, nos termos da Lei Federal nº 13.019/2014, bem como o
princípio da razoabilidade e da motivação dos atos administrativos, evitando
restrição indevida à participação de interessados em razão de alteração superveniente do edital.
Adicionalmente, a prorrogação contribui para elevar a qualidade técnica das
propostas a serem apresentadas, considerando a complexidade dos projetos
exigidos, especialmente no que se refere à definição de metas, indicadores e
estruturação financeira, bem como para mitigar riscos de baixa adesão ou de
submissão de propostas insuficientemente estruturadas.
Importa destacar, ainda, que a prorrogação ora promovida observa os limites
operacionais e temporais do Programa REM Acre Fase II, considerando que
os projetos a serem executados não podem ultrapassar o prazo final de execução do programa, previsto para encerramento em 31/12/2026, não sendo
possível a extensão desse prazo. Nesse sentido, a prorrogação foi definida de
forma limitada e proporcional, de modo a não comprometer o cronograma de
execução das ações, garantindo a viabilidade da implementação dos projetos
dentro do período elegível.
Dessa forma, a prorrogação do prazo mostra-se medida necessária, proporcional e juridicamente adequada, assegurando a efetividade do certame, a
ampliação da participação e o alinhamento das propostas aos objetivos do
Programa REM Acre Fase II.
CLÁUSULA QUARTA
DA RATIFICAÇÃO DAS DEMAIS DISPOSIÇÕES
Permanecem inalteradas e ratificadas todas as demais disposições constantes do Edital de Chamamento Público nº 01/2026, não modificadas por este
Termo de Retificação.
CLÁUSULA QUINTA
DA PUBLICIDADE
O presente Termo de Retificação deverá ser publicado no Diário Oficial do
Estado - DOE e divulgado nos mesmos meios utilizados para a publicidade do
Edital originário, para que produza todos os seus efeitos legais.
Rio Branco/AC, 06 de abril de 2026.</t>
  </si>
  <si>
    <t xml:space="preserve"> CONTRATAÇÃO DE EMPRESA ESPECIALIZADA PARA A CONSTRUÇÃO DE REDE DE DRENAGEM SUPERFICIAL E PROFUNDA, PAVIMENTAÇÃO ASFÁLTICA, ALARGAMENTO DE VIA, SINALIZAÇÃO, MEIOS FIOS E CALÇADAS DO POVOADO BURITIS DA CONQUISTA EM PARACATU - MG</t>
  </si>
  <si>
    <t>* Retificação do número do edital conforme Coleta Conlicitação. * 
Onde se lê: CR/53/2026
Leia-se: CR/6/2026
Unidade compradora: 021001 - Secretaria Municipal de Infraestrutura
Local: Paracatu/MG
Órgão: MUNICIPIO DE PARACATU
Id contratação PNCP: 18278051000145-1-000084/2026
Fonte: J BRASIL SISTEMAS LTDA
 - Número compra: PL-53 - Concorrência - Eletrônica</t>
  </si>
  <si>
    <t>Prefeitura Municipal de Barrocas</t>
  </si>
  <si>
    <t>Barrocas</t>
  </si>
  <si>
    <t xml:space="preserve">* Licitação eletrônica *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
  </si>
  <si>
    <t>PREGÃO ELETRÔNICO Nº 16/2026
PA. N° 152/2026 - PE Nº 16/2026 - EDITAL Nº 18/2026
O Município De Barrocas-Ba, por meio de sua pregoeira, torna público que decide adiar, com devolução de prazo, a sessão referente ao PREGÃO ELETRÔNICO Nº. 016/2026, com abertura da sessão prevista para 15/04/2026 às 09h:05min e acolhimento de proposta até às 09h:00min do dia 15/04/2026 no portal de compras publicas site https://www.portaldecompraspublicas.com.br/, Licitação ID. N° 467994, para adequação do termo de referência. OBJETO: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TIPO: menor preço. A data e horário para abertura da sessão será no dia 22/04/2026 às 09h:05min e acolhimento de proposta a partir das 12:00h do dia 07/04/2026 até às 09h:00min do dia 22/04/2026. Para mais informações no site https://pmbarrocas.transparenciaoficialba.com/diariooficial, e no Portal Nacional de Contratações Públicas PNCP, e-mail: licitacao@barrocas.ba.gov.br.</t>
  </si>
  <si>
    <t>Prefeitura Municipal de Xapuri</t>
  </si>
  <si>
    <t>Xapuri</t>
  </si>
  <si>
    <t>Contratação de empresa para execução de serviços de modernização de quadra de grama sintética localizada na rua Nações Unidas, s/n, Centro, Xapuri - AC, incluso a infraestrutura necessária, com fornecimento de mão-de-obra, materiais e equipamentos necessários, para atender convênio nº 202543940001-2025 firmado entre a Prefeitura de Xapuri e o Ministério do Esporte.</t>
  </si>
  <si>
    <t>ESTADO DO ACRE
PREFEITURA DE XAPURI-AC
COMISSÃO DE LICITAÇÃO E CONTRATAÇÃO
AVISO DE LICITAÇÃO
CONCORRÊNCIA PRESENCIAL Nº 003/2026
OBJETO: contratação de empresa para execução de serviços modernização de quadra de grama sintética localizada na rua nações unidas, s/n, centro- Xapuri
- ac, incluso a infraestrutura necessária, com fornecimento de mão-de-obra, materiais e equipamentos necessários, para atender convenio nº 202543940001-
2025 firmando entre a prefeitura de Xapuri e o com ministério do esporte.
Abertura: 14 de maio de 2026 às 9h horário local.
Edital: O edital estará à disposição dos interessados a partir do dia 18 de março, nos sites https://www.xapuri.ac.gov.br/licitacoes, http://sistemas.tce.ac.gov.
br/portaldaslicitacoes e através do e-mail cplxapuriac@gmail.com ou no Protocolo da Comissão de Licitações e Contratos, situada na Rua Floriano Peixoto nº
100 - Bairro: Centro, Xapuri - Acre - CEP: 69.930-000.
Local de abertura: Sala de Reuniões da Comissão de Licitações e Contratos, localizada na Rua Floriano Peixoto nº 100, Bairro Centro,
Xapuri - AC, 31 de março de 2026.</t>
  </si>
  <si>
    <t>CASAL-Companhia de Abastecimento de Água e Saneamento do Estado de Alagoas</t>
  </si>
  <si>
    <t>SM/34/2025</t>
  </si>
  <si>
    <t>* Licitação Eletrônica * CONTRATAÇÃO DE EMPRESA ESPECIALIZADA DE ENGENHARIA PARA EXECUTAR SERVIÇOS DE MANUTENÇÃO DE ÁREAS E MELHORIAS NA BARRAGEM CARANGUEJA, NO MUNICÍPIO DE QUEBRANGULO/AL, CONFORME PROJETO BÁSICO. * http://www.licitacoes-e.com.br *</t>
  </si>
  <si>
    <t>Edital : 34/25 2ª C 
Modalidade : LRE 
Nº Licitação : 1090100 
Início acolhimento de propostas : 07/04/2026-17:00 
Limite acolhimento de propostas : 30/04/2026-08:00 
Abertura das propostas : 30/04/2026-08:00 
Data e a hora da disputa : 30/04/2026-09:00 
Pregoeiro : SUELY DA COSTA BARBOSA PEDROSA
 - Licitação sujeita a confirmação pois não foi informado que trata-se de prorrogação.</t>
  </si>
  <si>
    <t>Prefeitura Municipal de Nova Olinda do Norte</t>
  </si>
  <si>
    <t>Nova Olinda do Norte</t>
  </si>
  <si>
    <t xml:space="preserve"> [LICITANET] - CONTRATAÇÃO DE EMPRESA ESPECIALIZADA NA CONSTRUÇÃO DE 40,00 UNIDADES DE CASA TÉRREA ACESSÍVEL, 2 QUARTOS, AUTIL=47,46M², LOCALIZADAS NA RUA MICHEL CARVALO, SEDE DO MUNICÍPIO DE NOVA OLINDA DO NORTE/AM</t>
  </si>
  <si>
    <t>Unidade compradora: 2674 - MUNICIPIO DE NOVA OLINDA DO NORTE/ AM 
Local: Nova Olinda do Norte/AM
Órgão: MUNICIPIO DE NOVA OLINDA DO NORTE
Id contratação PNCP: 04477600000104-1-000012/2026
Fonte: Licitanet Licitações Eletrônicas LTDA
 - Número compra: 004 - Concorrência - Eletrônica
 - Licitação sujeita a confirmação pois não foi informado que trata-se de prorrogação.</t>
  </si>
  <si>
    <t>Prefeitura Municipal de Mara Rosa</t>
  </si>
  <si>
    <t>Mara Rosa</t>
  </si>
  <si>
    <t>PR/20/2026</t>
  </si>
  <si>
    <t>Registro de preço para futura e eventual fornecimento de massa asfáltica para atender as demandas do município de Mara Rosa - GO.</t>
  </si>
  <si>
    <t xml:space="preserve">ESTADO DE GOIÁS MUNICIPIO DE MARA ROSA MUNICÍPIO DE MARA ROSA EDITAL DE PREGÃO PRESENCIAL Nº 020/2026 O MUNICÍPIO DE MARA ROSA, pessoa jurídica de direito público interno, inscrito no CNPJ MF sob nº 00.007.468/0001-08, telefone: 62 2020-9265, torna-se público para conhecimento dos interessados que irá realizar no dia 28de abril de 2026, às 09:00h,em sessão pública, na sede da Prefeitura Municipal de Mara Rosa, endereço: Praça José Maurício de Moura, n° 378, Centro, Mara Rosa - GO, na forma da Lei nº 14.133/21, na modalidade PREGÃO PRESENCIAL nº 020/2026, para REGISTRO DE PREÇO, tipo MENOR PREÇO POR ITEM, visando a futura e eventual fornecimento de massa asfáltica para atender as demandas do município de Mara Rosa - GO. Conforme especificações do Edital, Processo n° 2864/2026. Mara Rosa, aos 07 dias do mês de abril de 2026. Publique-se.   JOSIANE BATISTA DA SILVA Pregoeira Publicado por: Eliane Aparecida de Oliveira Sartório Código Identificador:5661DB82 Matéria publicada no Diário Oficial dos Municípios do Estado de Goiás no dia 08/04/2026. Edição 3802 </t>
  </si>
  <si>
    <t>Prefeitura Municipal de Brazabrantes</t>
  </si>
  <si>
    <t>Brazabrantes</t>
  </si>
  <si>
    <t>Registro de preço, visando futura e eventual contratação de empresa para fornecimento de materiais elétricos, para o exercício do ano de 2026, conforme especificações e normas contidas no Edital e seus Anexos.</t>
  </si>
  <si>
    <t xml:space="preserve">ESTADO DE GOIÁS MUNICÍPIO DE BRAZABRANTES SECRETARIA MUNICIPAL DE ADMINISTRAÇÃO PREGAO 07 2026 PREGÃO PRESENCIAL 07/2026 O Município de Brazabrantes torna público a prorrogação da realização de procedimento licitatório, em sessão presencial, na modalidade Pregão 07/2026, onde ocorrerá no dia 23 de abril de 2026 às 08h30m, cujo objeto é: o registro de preço, visando futura e eventual contratação de empresa para fornecimento de materiais elétricos, para o exercício do ano de 2026, conforme especificações e normas contidas no Edital e seus Anexos. Outras informações serão obtidas na Prefeitura ou pelo sitehttps://brazabrantes.go.gov.br/. Brazabrantes, 08 de abril de 2026.   OGNAIR CAMILO DE MORAES - Secretario de Obras e Urbanismo.   JÉSSICA RIBEIRO DA COSTA - Agente de Contratação. Publicado por: Jessica Ribeiro da Costa Código Identificador:842D983F Matéria publicada no Diário Oficial dos Municípios do Estado de Goiás no dia 08/04/2026. Edição 3802 </t>
  </si>
  <si>
    <t>Prefeitura Municipal de Miguel Alves</t>
  </si>
  <si>
    <t>Miguel Alves</t>
  </si>
  <si>
    <t>CONSTRUÇÃO DE UNIDADES HABITACIONAIS, NA ZONA URBANA DO MUNICÍPIO DE MIGUEL ALVES/PI</t>
  </si>
  <si>
    <t>Modalidade: CONCORRÊNCIA LEI 14.133/2021
Edital nº: 005/2026
Unidade Gestora: SEMAD
 - Licitação sujeita a confirmação pois não foi informado que trata-se de prorrogação.</t>
  </si>
  <si>
    <t>Prefeitura Municipal de Dirceu Arcoverde</t>
  </si>
  <si>
    <t>Dirceu Arcoverde</t>
  </si>
  <si>
    <t>* Licitação Eletrônica * CONTRATAÇÃO DE EMPRESAS ESPECIALIZADAS PARA EXECUÇÃO DAS OBRAS DE IMPLANTAÇÃO DO SISTEMA DE ABASTECIMENTO DE ÁGUA EM COMUNIDADES RURAIS DO MUNICÍPIO DE DIRCEU ARCOVERDE/PI - SISTEMA ADUTOR PEDREGULHO, MEDIANTE LICITAÇÃO ÚNICA COM PARCELAMENTO DO OBJETO EM 2 DOIS LOTES,  CORRESPONDENTES À 1ª E À 2ª ETAPAS DO 
EMPREENDIMENTO. 
 * https://bnccompras.com *</t>
  </si>
  <si>
    <t>LOCAL: https://bnccompras.com/
Nº PROC. ADM: 026/2026
 TIPO CONTRATO: AQUISIÇÃO
 INÍCIO REC. PROPOSTA: 08/04/2026 20:00:00
 FIM REC. PROPOSTA: 27/04/2026 08:00:00
 INÍCIO DISPUTA: 27/04/2026 09:00:00
 CIDADE: DIRCEU ARCOVERDE
 FASE: PUBLICADO
 EXCLUSIVO ME: NÃO
 EXCLUSIVO REGIONAL: NÃO
 MODO DE DISPUTA: ABERTO
 TIPO DE LANCE: MENOR LANCE
 FONE PROMOTOR: 8935871318
 E-MAIL PROMOTOR: pm.dirceupi@hotmail.com
 CONDUTOR: CACILDA DA SILVA SOARES SOUZA
 AUTORIDADE: REGINALDO DE OLIVEIRA GOMES
 VALOR ESTIMADO: R$23.945.099,94
 - Licitação sujeita a confirmação pois não foi informado que trata-se de prorrogação.</t>
  </si>
  <si>
    <t>Prefeitura Municipal de Jussara</t>
  </si>
  <si>
    <t>Jussara</t>
  </si>
  <si>
    <t xml:space="preserve"> PAVIMENTAÇÃO ASFÁLTICA DE ESTRADA RURAL EM CBUQ, COM ÁREA DE 66.080,00 M², INCLUINDO SERVIÇOS PRELIMINARES, TERRAPLENAGEM, BASE E SUB-BASE, REVESTIMENTO, GRAMA, SINALIZAÇÃO DE TRÂNSITO, DRENAGEM, ENSAIOS TECNOLÓGICOS E PLACA DE COMUNICAÇÃO VISUAL. 
TRECHOS:   - ESTRADA RURAL CRISTALINA
 * https://bnccompras.com *</t>
  </si>
  <si>
    <t>LOCAL: https://bnccompras.com/
Nº PROC. ADM: 018-2026
 TIPO CONTRATO: AQUISIÇÃO
 INÍCIO REC. PROPOSTA: 24/03/2026 08:30:00
 FIM REC. PROPOSTA: 27/04/2026 08:30:00
 INÍCIO DISPUTA: 27/04/2026 09:00:00
 CIDADE: JUSSARA
 FASE: RECEPÇÃO DE PROPOSTAS
 EXCLUSIVO ME: NÃO
 EXCLUSIVO REGIONAL: NÃO
 MODO DE DISPUTA: ABERTO
 TIPO DE LANCE: MENOR LANCE
 FONE PROMOTOR: 4436801212
 E-MAIL PROMOTOR: gabinete@jussara.pr.gov.br
 CONDUTOR: VITOR AFFONSO DA SILVA
 AUTORIDADE: MOACIR LUIZ PEREIRA VALENTINI
 VALOR ESTIMADO: R$14.079.281,08
 - Licitação sujeita a confirmação pois não foi informado que trata-se de prorrogação.</t>
  </si>
  <si>
    <t>PE/223/2026</t>
  </si>
  <si>
    <t>* Licitação Eletrônica * contratação de serviços de  limpeza e melhoramento fluvial nos Rios Itajaí-Açu e Lontras, localizados no Município de Lontras/SC para a Secretaria de Estado da Proteção e Defesa Civil.</t>
  </si>
  <si>
    <t>Unidade compradora: 78 - Diretoria de Gestão de Licitações e Contratos
Local: Florianópolis/SC
Órgão: SECRETARIA DE ESTADO DA ADMINISTRACAO
Id contratação PNCP: 82951351000142-1-000208/2026
Fonte: Secretaria de Estado da Administração de Santa Catarina
 - Número compra: 223 - Pregão - Eletrônico
 - Licitação sujeita a confirmação pois não foi informado que trata-se de prorrogação.</t>
  </si>
  <si>
    <t>* Licitação eletrônica * AQUISIÇÃO DE INSUMOS DE ENGENHARIA PARA IMPLANTAÇÃO DE PASSEIO PÚBLICO INTERNO DO LADO DO SILVÉRIO COM EXECUÇÃO DIRETA PELA MUNICIPALIDADE.</t>
  </si>
  <si>
    <t>MUNICÍPIO DE JAHU
REPUBLICAÇÃO
PROCESSO n.º 0300000150/2025-PG-3 - MODALIDADE:
PREGÃO ELETRÔNICO N.º 015/2026 - OBJETO: AQUISIÇÃO
DE INSUMOS DE ENGENHARIA PARA IMPLANTAÇÃO DE
PASSEIO PÚBLICO INTERNO DO LADO DO SILVÉRIO COM
EXECUÇÃO DIRETA PELA MUNICIPALIDADE.
INÍCIO DA SESSÃO DE DISPUTA DE PREÇOS: 17 de abril
de 2026 - HORÁRIO: 09:00 horas.
O Edital estará disponível a partir de 02 de abril de
2026, no Departamento de Licitações situada na Rua
Paissandu, 444, Centro no município de Jaú, através de
mídia eletrônica, mediante o fornecimento pelo interessado
de um Pen Drive; no sistema eletrônico de contratações
denominado SCPI - Portal de Compras - Pregão Eletrônico - F I O R I L L I ,
http://servicos.jau.sp.gov.br:8079/COMPRASEDITAL/ ou no
site www.jau.sp.gov.br/licitacoes - GRATUITO -
INFORMAÇÕES: fone 14 3602-1718 ou 14 3602-1804 das 08:00 às 17:00 horas.
Jahu, 31 de março de 2026.</t>
  </si>
  <si>
    <t>Prefeitura Municipal de Assaré</t>
  </si>
  <si>
    <t>Assaré</t>
  </si>
  <si>
    <t>CR/2026.03.13.1</t>
  </si>
  <si>
    <t>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t>
  </si>
  <si>
    <t>Estado do Ceará - Prefeitura Municipal de Assaré - Aviso de Revogação de Licitação - Concorrência Eletrônica Nº 2026.03.13.1. O Agente de
Contratação da Prefeitura Municipal de Assaré/CE, vem no uso de suas atribuições legais, torna público, para conhecimento dos interessados, que está
Revogado com fulcro na súmula vinculante 473 do STF, por razões de interesse público decorrente de fato superveniente a licitação na modalidade
Concorrência Eletrônica nº 2026.03.13.1, cujo objeto é a 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 Maiores Informações: No Setor de Licitações na Rua Dr. Paiva, nº 415, Vila Mota, no horário de 08:00 às 14:00 horas ou
ainda pelo Telefone: 88 3535-1613. Assaré/CE, 06 de abril de 2026. Francisco Dércio de Alencar - Agente de Contratação</t>
  </si>
  <si>
    <t>CR/40/2026</t>
  </si>
  <si>
    <t>Contratação de empresa especializada para a implantação integral, reabilitação e ampliação do Sistema de Abastecimento de Água SAA na área urbana do município de Miranda do Norte/MA. O objeto possui natureza de obra e serviço de engenharia de alta complexidade, sendo estruturado sob o regime de contratação integrada, nos termos do Art. 46, inciso V, da Lei n 14.133/2021. O escopo compreende a elaboração e o desenvolvimento dos projetos básico e executivo preferencialm</t>
  </si>
  <si>
    <t>TERMO DE REVOGAÇÃO
CONCORRÊNCIA PÚBLICA N° 040/2026 - CSL/SEGOV
PROCESSO ADMINISTRATIVO SEI Nº 2026.11124.00034 - SEGOV
O SECRETÁRIO DE ESTADO DE GOVERNO, Sr. MÁRCIO RIBEIRO MACHADO, no uso de suas
atribuições que lhe são conferidas e, ainda, em cumprimento as disposições previstas no art. 71 da
Lei Federal nº 14.133/2021, decide REVOGAR a CONCORRÊNCIA PÚBLICA Nº 040/2026, que
tem como objeto a Contratação de empresa especializada para a implantação integral, reabilitação e ampliação do Sistema de Abastecimento de Água SAA na área urbana do município de
Miranda do Norte/MA. O objeto possui natureza de obra e serviço de engenharia de alta complexidade, sendo estruturado sob o regime de contratação integrada, nos termos do Art. 46,
inciso V, da Lei nº 14.133/2021. O escopo compreende a elaboração e o desenvolvimento dos
projetos básico e executivo preferencialmente em metodologia BIM, a execução das obras
civis, o fornecimento e montagem de equipamentos eletromecânicos, a automação com telemetria, testes operacionais e a entrega do sistema em pleno funcionamento, com recursos do
Termo de Compromisso nº 968346/MCIDADES/CAIXA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968346/2024/MCIDADES/CAIXA,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040/2026, nos termos do art. 71 da Lei Federal nº 14.133/2021.</t>
  </si>
  <si>
    <t>CR/38/2026</t>
  </si>
  <si>
    <t xml:space="preserve">Contratação integrada de empresa especializada em engenharia para a elaboração dos projetos básico e executivo, bem como a execução das obras e serviços necessários à reabilitação e ampliação do Sistema de Abastecimento de Água SAA do Município de Coroatá/MA, conforme diretrizes, parâmetros técnicos e soluções indicadas no anteprojeto com recursos do Termo de Compromisso n 968361/MCIDADES/CAIXA firmado com a Secretaria de Estado de Governo.    </t>
  </si>
  <si>
    <t>TERMO DE REVOGAÇÃO
CONCORRÊNCIA PÚBLICA N° 038/2026 - CSL/SEGOV
PROCESSO ADMINISTRATIVO SEI Nº 2025.110124.06214 - SEGOV
O SECRETÁRIO DE ESTADO DE GOVERNO, Sr. MÁRCIO RIBEIRO MACHADO, no uso de suas
atribuições que lhe são conferidas e, ainda, em cumprimento as disposições previstas no art. 71 da
Lei Federal nº 14.133/2021, decide REVOGAR a CONCORRÊNCIA PÚBLICA Nº 038/2026, que
tem como objeto a Contratação integrada de empresa especializada em engenharia para a elaboração dos projetos básico e executivo, bem como a execução das obras e serviços necessários à reabilitação e ampliação do Sistema de Abastecimento de Água SAA do Município
de Coroatá/MA, conforme diretrizes, parâmetros técnicos e soluções indicadas no anteprojeto
com recursos do Termo de Compromisso nº 968361/MCIDADES/CAIXA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968361/2024/MCIDADES/CAIXA,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038/2026, nos termos do art. 71 da Lei Federal nº 14.133/2021.</t>
  </si>
  <si>
    <t>A contratação tem por finalidade a reabilitação e ampliação do Sistema de Abastecimento de Água SAA do Município de Barreirinhas/MA, porta de entrada do Parque Nacional dos Lençóis Maranhenses, visando garantir a segurança hídrica e a universalização do atendimento para 100% da população da sede municipal, com recursos do Termo de Compromisso nº 969245/MCIDADES/CAIXA firmado com a Secretaria de Estado de Governo.</t>
  </si>
  <si>
    <t>GOVERNO DO ESTADO DO MARANHÃO
SECRETARIA DE ESTADO DO GOVERNO
GABINETE DO SECRETÁRIO
TERMO DE REVOGAÇÃO
CONCORRÊNCIA PÚBLICA N° 042/2026 - CSL/SEGOV
PROCESSO ADMINISTRATIVO SEI Nº 2026.11124.00167 - SEGOV
O SECRETÁRIO DE ESTADO DE GOVERNO, Sr. MÁRCIO RIBEIRO MACHADO, no uso de suas
atribuições que lhe são conferidas e, ainda, em cumprimento as disposições previstas no art. 71 da
Lei Federal nº 14.133/2021, decide REVOGAR a CONCORRÊNCIA PÚBLICA Nº 042/2026, que
tem como objeto a Contratação pretendida justifica-se pela necessidade de ampliação e consolidação do Sistema de Esgotamento Sanitário do Município de Itapecuru Mirim/MA, diante
do expressivo déficit de cobertura do serviço, atualmente restrito a parcela reduzida da população urbana, bem como da inexistência de sistema público coletivo plenamente operacional.
O cenário diagnosticado evidencia impactos negativos à saúde pública, ao meio ambiente e
à qualidade de vida da população, especialmente em contextos de vulnerabilidade socioeconômico, com recursos do Termo de Compromisso nº 968720/MCIDADES/CAIXA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968720/2024/MCIDADES/CAIXA,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042/2026, nos termos do art. 71 da Lei Federal nº 14.133/2021.</t>
  </si>
  <si>
    <t>CR/44/2026</t>
  </si>
  <si>
    <t xml:space="preserve">A presente contratação tem por objeto a implantação, modernização e automação integral do Sistema de Abastecimento de Água SAA de São Luís/MA, compreendendo a ampliação da capacidade de produção, reservação e distribuição para garantir a segurança hídrica e a universalização do acesso à água potável, com recursos do Termo de Compromisso n 969247/2024/MCIDADES/CAIXA firmado com a Secretaria de Estado de Governo.    </t>
  </si>
  <si>
    <t>TERMO DE REVOGAÇÃO
CONCORRÊNCIA PÚBLICA N° 044/2026 - CSL/SEGOV
PROCESSO ADMINISTRATIVO SEI Nº 2026.11124.00164 - SEGOV
O SECRETÁRIO DE ESTADO DE GOVERNO, Sr. MÁRCIO RIBEIRO MACHADO, no uso de suas
atribuições que lhe são conferidas e, ainda, em cumprimento as disposições previstas no art. 71 da
Lei Federal nº 14.133/2021, decide REVOGAR a CONCORRÊNCIA PÚBLICA Nº 044/2026, que
tem como objeto a implantação, modernização e automação integral do Sistema de Abastecimento de Água SAA de São Luís/MA, compreendendo a ampliação da capacidade de produção, reservação e distribuição para garantir a segurança hídrica e a universalização do acesso
à água potável, com recursos do Termo de Compromisso nº 969247/2024/MCIDADES/CAIXA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969247/2024/MCIDADES/CAIXA,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044/2026, nos termos do art. 71 da Lei Federal nº 14.133/2021.</t>
  </si>
  <si>
    <t>CR/39/2026</t>
  </si>
  <si>
    <t>Contratação de empresa para execução de obras e serviços de engenharia sob o regime de contratação integrada, para a ampliação e modernização do Sistema de Abastecimento de Água SAA do município de Itapecuru Mirim/MA, compreendendo a implantação, substituição, adequação e otimização das unidades que integram o sistema, com vistas a assegurar o atendimento adequado da demanda atual e futura da população urbana, com recursos do Termo de Compromisso n 968359/MCIDADES/CAIX</t>
  </si>
  <si>
    <t xml:space="preserve">AVISO DE REVOGAÇÃO
CONCORRÊNCIA PÚBLICA Nº 39/2026 - CSL/SEGOV
PROCESSO ADMINISTRATIVO SEI Nº 2026.11124.00034 - SEGOV
O SECRETÁRIO DE ESTADO DE GOVERNO, Sr. MÁRCIO RIBEIRO MACHADO, no
uso de suas atribuições que lhe são conferidas e, ainda, em cumprimento as disposições
previstas no art. 71 da Lei Federal nº 14.133/2021, decide REVOGAR a CONCORRÊNCIA
PÚBLICA Nº 039/2026
 </t>
  </si>
  <si>
    <t>CR/45/2026</t>
  </si>
  <si>
    <t>A presente contratação tem por objeto a reabilitação funcional, retrofitting e ampliação do Sistema Produtor Sacavém, no município de São Luís/MA. A solução compreende o desenvolvimento dos projetos básico e executivo, a execução das obras civis, montagem eletromecânica, automação por telemetria, testes e pré-operação, visando garantir a plena funcionalidade do sistema hídrico para um horizonte de projeto de 20 anos, com recursos do Termo de Compromisso n 953280/2024/MCID</t>
  </si>
  <si>
    <t>AVISO DE REVOGAÇÃO
CONCORRÊNCIA PÚBLICA Nº 45/2026 - CSL/SEGOV
PROCESSO ADMINISTRATIVO SEI Nº 2026.11124.00163 - SEGOV
O SECRETÁRIO DE ESTADO DE GOVERNO, Sr. MÁRCIO RIBEIRO MACHADO, no
uso de suas atribuições que lhe são conferidas e, ainda, em cumprimento as disposições
previstas no art. 71 da Lei Federal nº 14.133/2021, decide REVOGAR a CONCORRÊNCIA
PÚBLICA Nº 045/2026, que tem como objeto a reabilitação funcional, retrofitting e
ampliação do Sistema Produtor Sacavém, no município de São Luís/MA. A solução
compreende o desenvolvimento dos projetos básico e executivo, a execução das obras
civis, montagem eletromecânica, automação por telemetria, testes e pré-operação, visando
garantir a plena funcionalidade do sistema hídrico para um horizonte de projeto de 20
anos, com recursos do Termo de Compromisso nº 953280/2024/MCIDADES/CAIXA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953280/2024/MCIDADES/CAIXA,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044/2026, nos termos do art.
71 da Lei Federal nº 14.133/2021.
São Luís - MA, 9 de março de 2026.</t>
  </si>
  <si>
    <t>Prefeitura Municipal de Sousa</t>
  </si>
  <si>
    <t>Sousa</t>
  </si>
  <si>
    <t>CONTRATAÇÃO DE PESSOA JURÍDICA PARA EXECUÇÃO DE PISO EM GRANILITE, MARMORITE OU GRANITINA EM AMBIENTES INTERNOS, COM ESPESSURA DE 8 MM, MUNICIPIO DE SOUSA - PB, A CARGO DA SECRETARIA DE INFRAESTRUTURA, conforme as descrições, quantidades, especifi cações e condições descritas no Termo de Referência do Edital.</t>
  </si>
  <si>
    <t>PUBLICAÇÃO DE REVOGAÇÃO
DISPENSA ELETRÔNICA Nº 06/2026
Objeto: CONTRATAÇÃO DE PESSOA JURÍDICA PARA EXECUÇÃO DE PISO EM GRANILITE,
MARMORITE OU GRANITINA EM AMBIENTES INTERNOS, COM ESPESSURA DE 8 MM,
MUNICIPIO DE SOUSA - PB, A CARGO DA SECRETARIA DE INFRAESTRUTURA, conforme as
descrições, quantidades, especifi cações e condições descritas no Termo de Referência do Edital.
REVOGO o referido processo de Dispensa Eletrônica nº 06/2026, por motivos de interesse público,
com fundamento no art. 71 da Lei nº 14.133/2021, que prevê que a Administração Pública pode revogar
a licitação por motivo de conveniência e oportunidade, é plenamente justificada a decisão ora adotada.
Sousa-PB, 07 de Abril de 2026</t>
  </si>
  <si>
    <t>Prefeitura Municipal de Alcantil</t>
  </si>
  <si>
    <t>Alcantil</t>
  </si>
  <si>
    <t>* Licitação Eletrônica * Aquisição parcelada de ferramentas, equipamentos, epi's e materiais diversos, para atender a demanda do Municipio de Alcantil - PB</t>
  </si>
  <si>
    <t xml:space="preserve">Publicado em: 08/04/2026 |Edição: 66 |Seção: 3|Página: 341 Órgão: Prefeituras/Estado da Paraíba/Prefeitura Municipal de Alcantil aviso de REVOGAÇÃO Pregão Eletrônico nº 14/2026 INTIMAÇÃO DO ATO DE REVOGAÇÃO DO CERTAME PROCESSO: Pregão Eletrônico nº 000014/2026. OBJETO: Aquisição parcelada de ferramentas, equipamentos, epi's e materiais diversos, para atender a demanda do Município de Alcantil - PB. ATO ADMINISTRATIVO: Revogação do procedimento de licitação. INTIMAÇÃO: Notifica-se que do ato de revogação em tela caberá recurso no prazo de três dias úteis, contado da data desta publicação, nos termos do Art. 165, da Lei Federal nº 14.133/21 e suas alterações posteriores. INFORMAÇÕES: Maiores informações e vistas ao processo poderão ser obtidas junto à Setor de Contratação, em sua sede, Av. São José, S/N - Centro - Alcantil - PB, no horário das 08:00 as 13:00 horas dos dias úteis. Telefone: 83 98825-0703. Alcantil - PB, 6 de Abril de 2026 GERMANA CAMILO DE SOUZA Pregoeira </t>
  </si>
  <si>
    <t>* Licitação Eletrônica * o Registro de preços para a prestação dos serviços de instalação, manutenção incluindo o fornecimento de peças, acessórios e afins, bem como recarga de gás para ar condicionado predial dessa esta municipalidade. * https://bllcompras.com *</t>
  </si>
  <si>
    <t>AVISO DE REVOGAÇÃO
Considerando o ofício nº 414/2026 da Secretaria de Educação, torna-se público a revogação do
referido pregão, considerando a necessidade de readequação do edital com a inclusão de nova
cláusula contratual.
Ademais, considerando as súmulas nº 346 e 473 - Supremo Tribunal Federal: "A administração
Pública pode anular seus atos [...], ou revogá-los, por motivo de conveniência ou oportunidade [...]".</t>
  </si>
  <si>
    <t>Prefeitura Municipal de Esperantina</t>
  </si>
  <si>
    <t>Esperantina</t>
  </si>
  <si>
    <t xml:space="preserve">Aquisição de filtros de água por gravidade em cerâmica tipo barro, destinados à distribuição gratuita para famílias em situação de vulnerabilidade social no Município de Esperantina/T. </t>
  </si>
  <si>
    <t>EXTRATO DE REVOGAÇÃO DE PROCESSO LICITATÓRIO
Modalidade: Dispensa nº 011/2026, revogada em 07/04/2026.
Objeto: Aquisição de filtros de água por gravidade em cerâmica
tipo barro, destinados à distribuição gratuita para famílias em
situação de vulnerabilidade social no Município de
Esperantina/TO. Fundamentação Legal: Art. 71, inciso II, da Lei
Federal nº 14.133/2021. Motivo: Razões de interesse público
decorrentes de fatos supervenientes, visando a readequação do
Termo de Referência com nova estimativa de quantidade e nova
pesquisa de valor de mercado. Maria Antonia Rodrigues dos
Santos Silva - Prefeita. Esperantina - TO, 07 de abril de 2026.</t>
  </si>
  <si>
    <t>filtro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</si>
</sst>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m/d/yyyy\ h:mm"/>
  </numFmts>
  <fonts count="5" x14ac:knownFonts="1">
    <font>
      <sz val="11"/>
      <color theme="1"/>
      <name val="Calibri"/>
      <family val="2"/>
      <scheme val="minor"/>
    </font>
    <font>
      <b/>
      <sz val="11"/>
      <color theme="1"/>
      <name val="Calibri"/>
      <family val="2"/>
      <scheme val="minor"/>
    </font>
    <font>
      <b/>
      <sz val="11"/>
      <color rgb="FF000000"/>
      <name val="Arial"/>
      <family val="2"/>
    </font>
    <font>
      <sz val="11"/>
      <name val="Calibri"/>
      <family val="2"/>
      <scheme val="minor"/>
    </font>
    <font>
      <sz val="11"/>
      <color theme="0"/>
      <name val="Calibri"/>
      <family val="2"/>
      <scheme val="minor"/>
    </font>
  </fonts>
  <fills count="3">
    <fill>
      <patternFill patternType="none"/>
    </fill>
    <fill>
      <patternFill patternType="gray125"/>
    </fill>
    <fill>
      <patternFill patternType="solid">
        <fgColor theme="6" tint="0.39997558519241921"/>
        <bgColor indexed="64"/>
      </patternFill>
    </fill>
  </fills>
  <borders count="4">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s>
  <cellStyleXfs count="1">
    <xf numFmtId="0" fontId="0" fillId="0" borderId="0"/>
  </cellStyleXfs>
  <cellXfs count="26">
    <xf numFmtId="0" fontId="0" fillId="0" borderId="0" xfId="0"/>
    <xf numFmtId="0" fontId="0" fillId="0" borderId="0" xfId="0" applyAlignment="1">
      <alignment vertical="center"/>
    </xf>
    <xf numFmtId="0" fontId="0" fillId="0" borderId="1" xfId="0" applyBorder="1" applyAlignment="1">
      <alignment vertical="center"/>
    </xf>
    <xf numFmtId="0" fontId="1" fillId="0" borderId="2" xfId="0" applyFont="1" applyBorder="1" applyAlignment="1">
      <alignment horizontal="center" vertical="center"/>
    </xf>
    <xf numFmtId="0" fontId="0" fillId="0" borderId="3" xfId="0" applyBorder="1" applyAlignment="1">
      <alignment vertical="center"/>
    </xf>
    <xf numFmtId="0" fontId="0" fillId="0" borderId="0" xfId="0" applyFill="1" applyAlignment="1">
      <alignment horizontal="center" vertical="center" wrapText="1"/>
    </xf>
    <xf numFmtId="0" fontId="0" fillId="0" borderId="0" xfId="0" applyNumberFormat="1" applyFill="1" applyAlignment="1">
      <alignment vertical="center" wrapText="1"/>
    </xf>
    <xf numFmtId="0" fontId="0" fillId="0" borderId="0" xfId="0" applyFill="1" applyAlignment="1">
      <alignment vertical="center" wrapText="1"/>
    </xf>
    <xf numFmtId="0" fontId="0" fillId="0" borderId="0" xfId="0" applyNumberFormat="1" applyFill="1" applyAlignment="1">
      <alignment horizontal="center" vertical="center" wrapText="1"/>
    </xf>
    <xf numFmtId="14" fontId="0" fillId="0" borderId="0" xfId="0" applyNumberFormat="1" applyFill="1" applyAlignment="1">
      <alignment vertical="center" wrapText="1"/>
    </xf>
    <xf numFmtId="0" fontId="3" fillId="0" borderId="0" xfId="0" applyNumberFormat="1" applyFont="1" applyFill="1" applyAlignment="1">
      <alignment vertical="center" wrapText="1"/>
    </xf>
    <xf numFmtId="164" fontId="0" fillId="0" borderId="0" xfId="0" applyNumberFormat="1" applyFill="1" applyAlignment="1">
      <alignment vertical="center" wrapText="1"/>
    </xf>
    <xf numFmtId="165" fontId="0" fillId="0" borderId="0" xfId="0" applyNumberFormat="1" applyFill="1" applyAlignment="1">
      <alignment vertical="center" wrapText="1"/>
    </xf>
    <xf numFmtId="0" fontId="3" fillId="0" borderId="0" xfId="0" applyFont="1" applyFill="1" applyAlignment="1">
      <alignment horizontal="center" vertical="center" wrapText="1"/>
    </xf>
    <xf numFmtId="0" fontId="3" fillId="0" borderId="0" xfId="0" applyFont="1" applyFill="1" applyAlignment="1">
      <alignment vertical="center" wrapText="1"/>
    </xf>
    <xf numFmtId="0" fontId="3" fillId="0" borderId="0" xfId="0" applyNumberFormat="1" applyFont="1" applyFill="1" applyAlignment="1">
      <alignment horizontal="center" vertical="center" wrapText="1"/>
    </xf>
    <xf numFmtId="164" fontId="3" fillId="0" borderId="0" xfId="0" applyNumberFormat="1" applyFont="1" applyFill="1" applyAlignment="1">
      <alignment vertical="center" wrapText="1"/>
    </xf>
    <xf numFmtId="165" fontId="3" fillId="0" borderId="0" xfId="0" applyNumberFormat="1" applyFont="1" applyFill="1" applyAlignment="1">
      <alignment vertical="center" wrapText="1"/>
    </xf>
    <xf numFmtId="0" fontId="4" fillId="0" borderId="0" xfId="0" applyFont="1" applyFill="1" applyAlignment="1">
      <alignment horizontal="center" vertical="center" wrapText="1"/>
    </xf>
    <xf numFmtId="0" fontId="4" fillId="0" borderId="0" xfId="0" applyFont="1" applyFill="1" applyAlignment="1">
      <alignment vertical="center" wrapText="1"/>
    </xf>
    <xf numFmtId="14" fontId="4" fillId="0" borderId="0" xfId="0" applyNumberFormat="1" applyFont="1" applyFill="1" applyAlignment="1">
      <alignment vertical="center" wrapText="1"/>
    </xf>
    <xf numFmtId="0" fontId="3" fillId="0" borderId="0" xfId="0" applyNumberFormat="1" applyFont="1" applyFill="1" applyAlignment="1">
      <alignment vertical="center"/>
    </xf>
    <xf numFmtId="1" fontId="4" fillId="0" borderId="0" xfId="0" applyNumberFormat="1" applyFont="1" applyFill="1" applyAlignment="1">
      <alignment horizontal="center" vertical="center" wrapText="1"/>
    </xf>
    <xf numFmtId="1" fontId="0" fillId="0" borderId="0" xfId="0" applyNumberFormat="1" applyFill="1" applyAlignment="1">
      <alignment horizontal="center" vertical="center" wrapText="1"/>
    </xf>
    <xf numFmtId="1" fontId="3" fillId="0" borderId="0" xfId="0" applyNumberFormat="1" applyFont="1" applyFill="1" applyAlignment="1">
      <alignment horizontal="center" vertical="center" wrapText="1"/>
    </xf>
    <xf numFmtId="1" fontId="0" fillId="2" borderId="0" xfId="0" applyNumberFormat="1" applyFill="1" applyAlignment="1">
      <alignment horizontal="center" vertical="center" wrapText="1"/>
    </xf>
  </cellXfs>
  <cellStyles count="1">
    <cellStyle name="Normal" xfId="0" builtinId="0"/>
  </cellStyles>
  <dxfs count="31">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center"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rgb="FF000000"/>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754DD607-5670-4AE9-8549-D340FE809353}" autoFormatId="16" applyNumberFormats="0" applyBorderFormats="0" applyFontFormats="0" applyPatternFormats="0" applyAlignmentFormats="0" applyWidthHeightFormats="0">
  <queryTableRefresh nextId="13" unboundColumnsRight="1">
    <queryTableFields count="11">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8" name="Objeto" tableColumnId="8"/>
      <queryTableField id="9" name="Observação" tableColumnId="9"/>
      <queryTableField id="10" name="Atualizada em" tableColumnId="10"/>
      <queryTableField id="11"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25" xr16:uid="{F01AF523-1495-4D9F-8305-028AFD2246A3}" autoFormatId="16" applyNumberFormats="0" applyBorderFormats="0" applyFontFormats="0" applyPatternFormats="0" applyAlignmentFormats="0" applyWidthHeightFormats="0">
  <queryTableRefresh nextId="14" unboundColumnsRight="1">
    <queryTableFields count="12">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13" dataBound="0" tableColumnId="12"/>
      <queryTableField id="8" name="Objeto" tableColumnId="8"/>
      <queryTableField id="9" name="Observação" tableColumnId="9"/>
      <queryTableField id="10" name="Atualizada em" tableColumnId="10"/>
      <queryTableField id="11" dataBound="0"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98E5D4-5C8D-4F1E-B636-D7605B197124}" name="Tabela2" displayName="Tabela2" ref="A1:A42" totalsRowShown="0" headerRowBorderDxfId="16" tableBorderDxfId="15" totalsRowBorderDxfId="14">
  <autoFilter ref="A1:A42" xr:uid="{1F98E5D4-5C8D-4F1E-B636-D7605B197124}"/>
  <tableColumns count="1">
    <tableColumn id="2" xr3:uid="{A228E419-BDDB-4254-84C7-5C8B7B7BA21B}" name="Palavras-Chave" dataDxfId="1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D48542-9662-4B37-82D5-8DFF450908DE}" name="Boletim" displayName="Boletim" ref="A1:K1595" tableType="queryTable" totalsRowShown="0" headerRowDxfId="12" dataDxfId="11">
  <autoFilter ref="A1:K1595" xr:uid="{9ED48542-9662-4B37-82D5-8DFF450908DE}">
    <filterColumn colId="10">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1">
    <tableColumn id="1" xr3:uid="{7E611854-0878-443A-9C41-E77FB73927D4}" uniqueName="1" name="Número ConLicitação" queryTableFieldId="1" dataDxfId="10"/>
    <tableColumn id="2" xr3:uid="{C669BDA6-AC7B-44D4-A428-0D017B2C82E9}" uniqueName="2" name="Órgão" queryTableFieldId="2" dataDxfId="9"/>
    <tableColumn id="3" xr3:uid="{E93EC713-B358-4B24-97EE-50E66C4AC7CB}" uniqueName="3" name="Cidade" queryTableFieldId="3" dataDxfId="8"/>
    <tableColumn id="4" xr3:uid="{729104B2-8204-4BCC-8CED-717829DC179C}" uniqueName="4" name="Estado" queryTableFieldId="4" dataDxfId="7"/>
    <tableColumn id="5" xr3:uid="{F5E6C381-9DEE-45C2-AE0B-F1C58AE772C6}" uniqueName="5" name="Edital" queryTableFieldId="5" dataDxfId="6"/>
    <tableColumn id="6" xr3:uid="{32C9451F-5807-45C5-85AA-C4D6A431D2DC}" uniqueName="6" name="Situação" queryTableFieldId="6" dataDxfId="5"/>
    <tableColumn id="7" xr3:uid="{D2F230A7-B8D8-4DC1-965F-8177B463F1F4}" uniqueName="7" name="Abertura" queryTableFieldId="7" dataDxfId="4"/>
    <tableColumn id="8" xr3:uid="{9F7C9FDB-A003-4AF7-9AB9-FD5A475CA8C2}" uniqueName="8" name="Objeto" queryTableFieldId="8" dataDxfId="3"/>
    <tableColumn id="9" xr3:uid="{D9AB14CA-3F04-4402-A846-12D24E53EE8B}" uniqueName="9" name="Observação" queryTableFieldId="9" dataDxfId="2"/>
    <tableColumn id="10" xr3:uid="{2736448B-204C-4BAE-B303-B721125D2318}" uniqueName="10" name="Atualizada em" queryTableFieldId="10" dataDxfId="1"/>
    <tableColumn id="11" xr3:uid="{4C6C9DD2-B1BF-4217-AD43-902708004D2B}" uniqueName="11" name="Palavra Chave" queryTableFieldId="11" dataDxfId="0">
      <calculatedColumnFormula array="1">LOOKUP(2^15,SEARCH(Tabela2[Palavras-Chave],Boletim[[#This Row],[Objeto]],1),Tabela2[Palavras-Chave])</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444DCB-A7E7-463A-9E99-0A12B39050B3}" name="Boletim4" displayName="Boletim4" ref="A1:L1595" tableType="queryTable" totalsRowShown="0" headerRowDxfId="30" dataDxfId="29">
  <autoFilter ref="A1:L1595" xr:uid="{9ED48542-9662-4B37-82D5-8DFF450908DE}">
    <filterColumn colId="11">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2">
    <tableColumn id="1" xr3:uid="{C01B4409-29FE-4C2E-B1C8-7C9B1C41E6A0}" uniqueName="1" name="Número ConLicitação" queryTableFieldId="1" dataDxfId="28"/>
    <tableColumn id="2" xr3:uid="{E92C791A-CC86-42FD-B122-3E280C652A04}" uniqueName="2" name="Órgão" queryTableFieldId="2" dataDxfId="27"/>
    <tableColumn id="3" xr3:uid="{7F5C5F39-03FD-47AF-B97A-35ACDDD0F8EE}" uniqueName="3" name="Cidade" queryTableFieldId="3" dataDxfId="26"/>
    <tableColumn id="4" xr3:uid="{4DA3A530-57C2-4310-A7FB-B7EC3F94BE91}" uniqueName="4" name="Estado" queryTableFieldId="4" dataDxfId="25"/>
    <tableColumn id="5" xr3:uid="{FD6EE998-0260-4B40-9AC2-3DD097CF5B42}" uniqueName="5" name="Edital" queryTableFieldId="5" dataDxfId="24"/>
    <tableColumn id="6" xr3:uid="{BAC5E7B4-CD7D-4841-8AAD-B29900032ACB}" uniqueName="6" name="Situação" queryTableFieldId="6" dataDxfId="23"/>
    <tableColumn id="7" xr3:uid="{FA19C128-CC02-4832-A478-FE31367E6C48}" uniqueName="7" name="Abertura" queryTableFieldId="7" dataDxfId="22"/>
    <tableColumn id="12" xr3:uid="{5A55362C-BD55-4AB0-AB0C-7C5B9A6DFBF9}" uniqueName="12" name="filtro" queryTableFieldId="13" dataDxfId="21"/>
    <tableColumn id="8" xr3:uid="{39F8B12E-CDDB-4613-994D-EFFE90C591DD}" uniqueName="8" name="Objeto" queryTableFieldId="8" dataDxfId="20"/>
    <tableColumn id="9" xr3:uid="{A4B5B756-B25B-4177-8C15-28BF6B372724}" uniqueName="9" name="Observação" queryTableFieldId="9" dataDxfId="19"/>
    <tableColumn id="10" xr3:uid="{23DBB5FD-7261-4C42-BBE8-BCB34954409E}" uniqueName="10" name="Atualizada em" queryTableFieldId="10" dataDxfId="18"/>
    <tableColumn id="11" xr3:uid="{3CBB4AA7-052D-4B5A-827E-E771992EE973}" uniqueName="11" name="Palavra Chave" queryTableFieldId="11" dataDxfId="17">
      <calculatedColumnFormula array="1">LOOKUP(2^15,SEARCH(Tabela2[Palavras-Chave],Boletim4[[#This Row],[Objeto]],1),Tabela2[Palavras-Chave])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42"/>
  <sheetViews>
    <sheetView topLeftCell="A31" workbookViewId="0">
      <selection activeCell="A42" sqref="A42"/>
    </sheetView>
  </sheetViews>
  <sheetFormatPr defaultColWidth="9.109375" defaultRowHeight="14.4" x14ac:dyDescent="0.3"/>
  <cols>
    <col min="1" max="1" width="19.88671875" style="1" customWidth="1"/>
    <col min="2" max="16384" width="9.109375" style="1"/>
  </cols>
  <sheetData>
    <row r="1" spans="1:1" x14ac:dyDescent="0.3">
      <c r="A1" s="3" t="s">
        <v>0</v>
      </c>
    </row>
    <row r="2" spans="1:1" x14ac:dyDescent="0.3">
      <c r="A2" s="2" t="s">
        <v>48</v>
      </c>
    </row>
    <row r="3" spans="1:1" x14ac:dyDescent="0.3">
      <c r="A3" s="2" t="s">
        <v>5</v>
      </c>
    </row>
    <row r="4" spans="1:1" x14ac:dyDescent="0.3">
      <c r="A4" s="2" t="s">
        <v>47</v>
      </c>
    </row>
    <row r="5" spans="1:1" x14ac:dyDescent="0.3">
      <c r="A5" s="2" t="s">
        <v>6</v>
      </c>
    </row>
    <row r="6" spans="1:1" x14ac:dyDescent="0.3">
      <c r="A6" s="2" t="s">
        <v>7</v>
      </c>
    </row>
    <row r="7" spans="1:1" x14ac:dyDescent="0.3">
      <c r="A7" s="2" t="s">
        <v>8</v>
      </c>
    </row>
    <row r="8" spans="1:1" x14ac:dyDescent="0.3">
      <c r="A8" s="2" t="s">
        <v>4</v>
      </c>
    </row>
    <row r="9" spans="1:1" x14ac:dyDescent="0.3">
      <c r="A9" s="2" t="s">
        <v>3</v>
      </c>
    </row>
    <row r="10" spans="1:1" x14ac:dyDescent="0.3">
      <c r="A10" s="2" t="s">
        <v>1</v>
      </c>
    </row>
    <row r="11" spans="1:1" x14ac:dyDescent="0.3">
      <c r="A11" s="2" t="s">
        <v>2</v>
      </c>
    </row>
    <row r="12" spans="1:1" x14ac:dyDescent="0.3">
      <c r="A12" s="2" t="s">
        <v>15</v>
      </c>
    </row>
    <row r="13" spans="1:1" x14ac:dyDescent="0.3">
      <c r="A13" s="2" t="s">
        <v>13</v>
      </c>
    </row>
    <row r="14" spans="1:1" x14ac:dyDescent="0.3">
      <c r="A14" s="2" t="s">
        <v>12</v>
      </c>
    </row>
    <row r="15" spans="1:1" x14ac:dyDescent="0.3">
      <c r="A15" s="2" t="s">
        <v>11</v>
      </c>
    </row>
    <row r="16" spans="1:1" x14ac:dyDescent="0.3">
      <c r="A16" s="2" t="s">
        <v>14</v>
      </c>
    </row>
    <row r="17" spans="1:1" x14ac:dyDescent="0.3">
      <c r="A17" s="2" t="s">
        <v>9</v>
      </c>
    </row>
    <row r="18" spans="1:1" x14ac:dyDescent="0.3">
      <c r="A18" s="2" t="s">
        <v>10</v>
      </c>
    </row>
    <row r="19" spans="1:1" x14ac:dyDescent="0.3">
      <c r="A19" s="2" t="s">
        <v>11</v>
      </c>
    </row>
    <row r="20" spans="1:1" x14ac:dyDescent="0.3">
      <c r="A20" s="2" t="s">
        <v>12</v>
      </c>
    </row>
    <row r="21" spans="1:1" x14ac:dyDescent="0.3">
      <c r="A21" s="2" t="s">
        <v>16</v>
      </c>
    </row>
    <row r="22" spans="1:1" x14ac:dyDescent="0.3">
      <c r="A22" s="2" t="s">
        <v>17</v>
      </c>
    </row>
    <row r="23" spans="1:1" x14ac:dyDescent="0.3">
      <c r="A23" s="2" t="s">
        <v>18</v>
      </c>
    </row>
    <row r="24" spans="1:1" x14ac:dyDescent="0.3">
      <c r="A24" s="2" t="s">
        <v>19</v>
      </c>
    </row>
    <row r="25" spans="1:1" x14ac:dyDescent="0.3">
      <c r="A25" s="2" t="s">
        <v>20</v>
      </c>
    </row>
    <row r="26" spans="1:1" x14ac:dyDescent="0.3">
      <c r="A26" s="2" t="s">
        <v>21</v>
      </c>
    </row>
    <row r="27" spans="1:1" x14ac:dyDescent="0.3">
      <c r="A27" s="2" t="s">
        <v>22</v>
      </c>
    </row>
    <row r="28" spans="1:1" x14ac:dyDescent="0.3">
      <c r="A28" s="2" t="s">
        <v>23</v>
      </c>
    </row>
    <row r="29" spans="1:1" x14ac:dyDescent="0.3">
      <c r="A29" s="2" t="s">
        <v>24</v>
      </c>
    </row>
    <row r="30" spans="1:1" x14ac:dyDescent="0.3">
      <c r="A30" s="2" t="s">
        <v>25</v>
      </c>
    </row>
    <row r="31" spans="1:1" x14ac:dyDescent="0.3">
      <c r="A31" s="2" t="s">
        <v>26</v>
      </c>
    </row>
    <row r="32" spans="1:1" x14ac:dyDescent="0.3">
      <c r="A32" s="2" t="s">
        <v>27</v>
      </c>
    </row>
    <row r="33" spans="1:1" x14ac:dyDescent="0.3">
      <c r="A33" s="2" t="s">
        <v>28</v>
      </c>
    </row>
    <row r="34" spans="1:1" x14ac:dyDescent="0.3">
      <c r="A34" s="2" t="s">
        <v>29</v>
      </c>
    </row>
    <row r="35" spans="1:1" x14ac:dyDescent="0.3">
      <c r="A35" s="2" t="s">
        <v>30</v>
      </c>
    </row>
    <row r="36" spans="1:1" x14ac:dyDescent="0.3">
      <c r="A36" s="2" t="s">
        <v>31</v>
      </c>
    </row>
    <row r="37" spans="1:1" x14ac:dyDescent="0.3">
      <c r="A37" s="2" t="s">
        <v>46</v>
      </c>
    </row>
    <row r="38" spans="1:1" x14ac:dyDescent="0.3">
      <c r="A38" s="2" t="s">
        <v>32</v>
      </c>
    </row>
    <row r="39" spans="1:1" x14ac:dyDescent="0.3">
      <c r="A39" s="2" t="s">
        <v>33</v>
      </c>
    </row>
    <row r="40" spans="1:1" x14ac:dyDescent="0.3">
      <c r="A40" s="4" t="s">
        <v>34</v>
      </c>
    </row>
    <row r="41" spans="1:1" x14ac:dyDescent="0.3">
      <c r="A41" s="2" t="s">
        <v>103</v>
      </c>
    </row>
    <row r="42" spans="1:1" x14ac:dyDescent="0.3">
      <c r="A42" s="2" t="s">
        <v>49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0034B-BAEC-420D-AC3B-6B3B632D2188}">
  <sheetPr codeName="Planilha1"/>
  <dimension ref="A1:K1595"/>
  <sheetViews>
    <sheetView zoomScale="85" zoomScaleNormal="85" workbookViewId="0">
      <selection activeCell="B193" sqref="B193"/>
    </sheetView>
  </sheetViews>
  <sheetFormatPr defaultColWidth="9.109375" defaultRowHeight="14.4" x14ac:dyDescent="0.3"/>
  <cols>
    <col min="1" max="1" width="26.109375" style="5" bestFit="1" customWidth="1"/>
    <col min="2" max="2" width="80.88671875" style="7" bestFit="1" customWidth="1"/>
    <col min="3" max="3" width="26.88671875" style="7" bestFit="1" customWidth="1"/>
    <col min="4" max="4" width="13.109375" style="5" bestFit="1" customWidth="1"/>
    <col min="5" max="5" width="23" style="7" bestFit="1" customWidth="1"/>
    <col min="6" max="6" width="17.44140625" style="7" bestFit="1" customWidth="1"/>
    <col min="7" max="7" width="14.21875" style="9" bestFit="1" customWidth="1"/>
    <col min="8" max="8" width="80.88671875" style="14" bestFit="1" customWidth="1"/>
    <col min="9" max="9" width="80.88671875" style="7" bestFit="1" customWidth="1"/>
    <col min="10" max="10" width="19.6640625" style="5" bestFit="1" customWidth="1"/>
    <col min="11" max="11" width="19.33203125" style="5" bestFit="1" customWidth="1"/>
    <col min="12" max="16384" width="9.109375" style="7"/>
  </cols>
  <sheetData>
    <row r="1" spans="1:11" s="19" customFormat="1" x14ac:dyDescent="0.3">
      <c r="A1" s="18" t="s">
        <v>35</v>
      </c>
      <c r="B1" s="18" t="s">
        <v>36</v>
      </c>
      <c r="C1" s="18" t="s">
        <v>37</v>
      </c>
      <c r="D1" s="18" t="s">
        <v>38</v>
      </c>
      <c r="E1" s="18" t="s">
        <v>39</v>
      </c>
      <c r="F1" s="18" t="s">
        <v>40</v>
      </c>
      <c r="G1" s="20" t="s">
        <v>41</v>
      </c>
      <c r="H1" s="18" t="s">
        <v>42</v>
      </c>
      <c r="I1" s="18" t="s">
        <v>44</v>
      </c>
      <c r="J1" s="18" t="s">
        <v>43</v>
      </c>
      <c r="K1" s="18" t="s">
        <v>45</v>
      </c>
    </row>
    <row r="2" spans="1:11" ht="216" hidden="1" x14ac:dyDescent="0.3">
      <c r="A2" s="5">
        <v>18777441</v>
      </c>
      <c r="B2" s="6" t="s">
        <v>305</v>
      </c>
      <c r="C2" s="6" t="s">
        <v>52</v>
      </c>
      <c r="D2" s="8" t="s">
        <v>50</v>
      </c>
      <c r="E2" s="6" t="s">
        <v>465</v>
      </c>
      <c r="F2" s="6" t="s">
        <v>51</v>
      </c>
      <c r="G2" s="11" t="s">
        <v>56</v>
      </c>
      <c r="H2" s="10" t="s">
        <v>466</v>
      </c>
      <c r="I2" s="6" t="s">
        <v>467</v>
      </c>
      <c r="J2" s="12">
        <v>46120.472094907411</v>
      </c>
      <c r="K2" s="6" t="e" cm="1">
        <f t="array" ref="K2">LOOKUP(2^15,SEARCH(Tabela2[Palavras-Chave],Boletim[[#This Row],[Objeto]],1),Tabela2[Palavras-Chave])</f>
        <v>#N/A</v>
      </c>
    </row>
    <row r="3" spans="1:11" ht="100.8" hidden="1" x14ac:dyDescent="0.3">
      <c r="A3" s="5">
        <v>18801286</v>
      </c>
      <c r="B3" s="6" t="s">
        <v>468</v>
      </c>
      <c r="C3" s="6" t="s">
        <v>52</v>
      </c>
      <c r="D3" s="8" t="s">
        <v>50</v>
      </c>
      <c r="E3" s="6" t="s">
        <v>347</v>
      </c>
      <c r="F3" s="6" t="s">
        <v>51</v>
      </c>
      <c r="G3" s="11">
        <v>46125.333333333336</v>
      </c>
      <c r="H3" s="10" t="s">
        <v>469</v>
      </c>
      <c r="I3" s="6" t="s">
        <v>470</v>
      </c>
      <c r="J3" s="12">
        <v>46120.523009259261</v>
      </c>
      <c r="K3" s="6" t="e" cm="1">
        <f t="array" ref="K3">LOOKUP(2^15,SEARCH(Tabela2[Palavras-Chave],Boletim[[#This Row],[Objeto]],1),Tabela2[Palavras-Chave])</f>
        <v>#N/A</v>
      </c>
    </row>
    <row r="4" spans="1:11" ht="72" hidden="1" x14ac:dyDescent="0.3">
      <c r="A4" s="5">
        <v>18770012</v>
      </c>
      <c r="B4" s="6" t="s">
        <v>74</v>
      </c>
      <c r="C4" s="6" t="s">
        <v>53</v>
      </c>
      <c r="D4" s="8" t="s">
        <v>54</v>
      </c>
      <c r="E4" s="6" t="s">
        <v>471</v>
      </c>
      <c r="F4" s="6" t="s">
        <v>51</v>
      </c>
      <c r="G4" s="11" t="s">
        <v>56</v>
      </c>
      <c r="H4" s="10" t="s">
        <v>472</v>
      </c>
      <c r="I4" s="6" t="s">
        <v>473</v>
      </c>
      <c r="J4" s="12">
        <v>46120.468136574076</v>
      </c>
      <c r="K4" s="6" t="e" cm="1">
        <f t="array" ref="K4">LOOKUP(2^15,SEARCH(Tabela2[Palavras-Chave],Boletim[[#This Row],[Objeto]],1),Tabela2[Palavras-Chave])</f>
        <v>#N/A</v>
      </c>
    </row>
    <row r="5" spans="1:11" ht="28.8" hidden="1" x14ac:dyDescent="0.3">
      <c r="A5" s="5">
        <v>18699682</v>
      </c>
      <c r="B5" s="6" t="s">
        <v>474</v>
      </c>
      <c r="C5" s="6" t="s">
        <v>475</v>
      </c>
      <c r="D5" s="8" t="s">
        <v>54</v>
      </c>
      <c r="E5" s="6" t="s">
        <v>55</v>
      </c>
      <c r="F5" s="6" t="s">
        <v>51</v>
      </c>
      <c r="G5" s="11" t="s">
        <v>56</v>
      </c>
      <c r="H5" s="10" t="s">
        <v>476</v>
      </c>
      <c r="I5" s="6" t="s">
        <v>138</v>
      </c>
      <c r="J5" s="12">
        <v>46120.502847222226</v>
      </c>
      <c r="K5" s="6" t="e" cm="1">
        <f t="array" ref="K5">LOOKUP(2^15,SEARCH(Tabela2[Palavras-Chave],Boletim[[#This Row],[Objeto]],1),Tabela2[Palavras-Chave])</f>
        <v>#N/A</v>
      </c>
    </row>
    <row r="6" spans="1:11" ht="172.8" hidden="1" x14ac:dyDescent="0.3">
      <c r="A6" s="5">
        <v>18802205</v>
      </c>
      <c r="B6" s="6" t="s">
        <v>226</v>
      </c>
      <c r="C6" s="6" t="s">
        <v>53</v>
      </c>
      <c r="D6" s="8" t="s">
        <v>54</v>
      </c>
      <c r="E6" s="6" t="s">
        <v>55</v>
      </c>
      <c r="F6" s="6" t="s">
        <v>51</v>
      </c>
      <c r="G6" s="11" t="s">
        <v>56</v>
      </c>
      <c r="H6" s="10" t="s">
        <v>477</v>
      </c>
      <c r="I6" s="6" t="s">
        <v>478</v>
      </c>
      <c r="J6" s="12">
        <v>46120.520532407405</v>
      </c>
      <c r="K6" s="6" t="e" cm="1">
        <f t="array" ref="K6">LOOKUP(2^15,SEARCH(Tabela2[Palavras-Chave],Boletim[[#This Row],[Objeto]],1),Tabela2[Palavras-Chave])</f>
        <v>#N/A</v>
      </c>
    </row>
    <row r="7" spans="1:11" ht="172.8" hidden="1" x14ac:dyDescent="0.3">
      <c r="A7" s="5">
        <v>18802216</v>
      </c>
      <c r="B7" s="6" t="s">
        <v>226</v>
      </c>
      <c r="C7" s="6" t="s">
        <v>53</v>
      </c>
      <c r="D7" s="8" t="s">
        <v>54</v>
      </c>
      <c r="E7" s="6" t="s">
        <v>55</v>
      </c>
      <c r="F7" s="6" t="s">
        <v>51</v>
      </c>
      <c r="G7" s="11" t="s">
        <v>56</v>
      </c>
      <c r="H7" s="10" t="s">
        <v>479</v>
      </c>
      <c r="I7" s="6" t="s">
        <v>480</v>
      </c>
      <c r="J7" s="12">
        <v>46120.532604166663</v>
      </c>
      <c r="K7" s="6" t="e" cm="1">
        <f t="array" ref="K7">LOOKUP(2^15,SEARCH(Tabela2[Palavras-Chave],Boletim[[#This Row],[Objeto]],1),Tabela2[Palavras-Chave])</f>
        <v>#N/A</v>
      </c>
    </row>
    <row r="8" spans="1:11" ht="409.6" hidden="1" x14ac:dyDescent="0.3">
      <c r="A8" s="5">
        <v>18802589</v>
      </c>
      <c r="B8" s="6" t="s">
        <v>481</v>
      </c>
      <c r="C8" s="6" t="s">
        <v>53</v>
      </c>
      <c r="D8" s="8" t="s">
        <v>54</v>
      </c>
      <c r="E8" s="6" t="s">
        <v>352</v>
      </c>
      <c r="F8" s="6" t="s">
        <v>51</v>
      </c>
      <c r="G8" s="11" t="s">
        <v>56</v>
      </c>
      <c r="H8" s="10" t="s">
        <v>482</v>
      </c>
      <c r="I8" s="6" t="s">
        <v>483</v>
      </c>
      <c r="J8" s="12">
        <v>46120.534618055557</v>
      </c>
      <c r="K8" s="6" t="e" cm="1">
        <f t="array" ref="K8">LOOKUP(2^15,SEARCH(Tabela2[Palavras-Chave],Boletim[[#This Row],[Objeto]],1),Tabela2[Palavras-Chave])</f>
        <v>#N/A</v>
      </c>
    </row>
    <row r="9" spans="1:11" ht="28.8" hidden="1" x14ac:dyDescent="0.3">
      <c r="A9" s="5">
        <v>18789570</v>
      </c>
      <c r="B9" s="6" t="s">
        <v>484</v>
      </c>
      <c r="C9" s="6" t="s">
        <v>243</v>
      </c>
      <c r="D9" s="8" t="s">
        <v>54</v>
      </c>
      <c r="E9" s="6" t="s">
        <v>55</v>
      </c>
      <c r="F9" s="6" t="s">
        <v>51</v>
      </c>
      <c r="G9" s="11" t="s">
        <v>56</v>
      </c>
      <c r="H9" s="10" t="s">
        <v>485</v>
      </c>
      <c r="I9" s="6" t="s">
        <v>138</v>
      </c>
      <c r="J9" s="12">
        <v>46120.578518518516</v>
      </c>
      <c r="K9" s="6" t="e" cm="1">
        <f t="array" ref="K9">LOOKUP(2^15,SEARCH(Tabela2[Palavras-Chave],Boletim[[#This Row],[Objeto]],1),Tabela2[Palavras-Chave])</f>
        <v>#N/A</v>
      </c>
    </row>
    <row r="10" spans="1:11" ht="43.2" hidden="1" x14ac:dyDescent="0.3">
      <c r="A10" s="5">
        <v>18769576</v>
      </c>
      <c r="B10" s="6" t="s">
        <v>474</v>
      </c>
      <c r="C10" s="6" t="s">
        <v>475</v>
      </c>
      <c r="D10" s="8" t="s">
        <v>54</v>
      </c>
      <c r="E10" s="6" t="s">
        <v>55</v>
      </c>
      <c r="F10" s="6" t="s">
        <v>51</v>
      </c>
      <c r="G10" s="11" t="s">
        <v>56</v>
      </c>
      <c r="H10" s="10" t="s">
        <v>486</v>
      </c>
      <c r="I10" s="6" t="s">
        <v>179</v>
      </c>
      <c r="J10" s="12">
        <v>46120.580509259256</v>
      </c>
      <c r="K10" s="6" t="e" cm="1">
        <f t="array" ref="K10">LOOKUP(2^15,SEARCH(Tabela2[Palavras-Chave],Boletim[[#This Row],[Objeto]],1),Tabela2[Palavras-Chave])</f>
        <v>#N/A</v>
      </c>
    </row>
    <row r="11" spans="1:11" ht="72" hidden="1" x14ac:dyDescent="0.3">
      <c r="A11" s="5">
        <v>18803765</v>
      </c>
      <c r="B11" s="6" t="s">
        <v>58</v>
      </c>
      <c r="C11" s="6" t="s">
        <v>53</v>
      </c>
      <c r="D11" s="8" t="s">
        <v>54</v>
      </c>
      <c r="E11" s="6" t="s">
        <v>487</v>
      </c>
      <c r="F11" s="6" t="s">
        <v>51</v>
      </c>
      <c r="G11" s="11" t="s">
        <v>56</v>
      </c>
      <c r="H11" s="10" t="s">
        <v>488</v>
      </c>
      <c r="I11" s="6" t="s">
        <v>489</v>
      </c>
      <c r="J11" s="12">
        <v>46120.588240740741</v>
      </c>
      <c r="K11" s="6" t="e" cm="1">
        <f t="array" ref="K11">LOOKUP(2^15,SEARCH(Tabela2[Palavras-Chave],Boletim[[#This Row],[Objeto]],1),Tabela2[Palavras-Chave])</f>
        <v>#N/A</v>
      </c>
    </row>
    <row r="12" spans="1:11" ht="72" hidden="1" x14ac:dyDescent="0.3">
      <c r="A12" s="5">
        <v>18803780</v>
      </c>
      <c r="B12" s="6" t="s">
        <v>431</v>
      </c>
      <c r="C12" s="6" t="s">
        <v>53</v>
      </c>
      <c r="D12" s="8" t="s">
        <v>54</v>
      </c>
      <c r="E12" s="6" t="s">
        <v>490</v>
      </c>
      <c r="F12" s="6" t="s">
        <v>51</v>
      </c>
      <c r="G12" s="11" t="s">
        <v>56</v>
      </c>
      <c r="H12" s="10" t="s">
        <v>491</v>
      </c>
      <c r="I12" s="6" t="s">
        <v>492</v>
      </c>
      <c r="J12" s="12">
        <v>46120.595381944448</v>
      </c>
      <c r="K12" s="6" t="e" cm="1">
        <f t="array" ref="K12">LOOKUP(2^15,SEARCH(Tabela2[Palavras-Chave],Boletim[[#This Row],[Objeto]],1),Tabela2[Palavras-Chave])</f>
        <v>#N/A</v>
      </c>
    </row>
    <row r="13" spans="1:11" ht="72" hidden="1" x14ac:dyDescent="0.3">
      <c r="A13" s="5">
        <v>18803774</v>
      </c>
      <c r="B13" s="6" t="s">
        <v>150</v>
      </c>
      <c r="C13" s="6" t="s">
        <v>57</v>
      </c>
      <c r="D13" s="8" t="s">
        <v>54</v>
      </c>
      <c r="E13" s="6" t="s">
        <v>493</v>
      </c>
      <c r="F13" s="6" t="s">
        <v>51</v>
      </c>
      <c r="G13" s="11" t="s">
        <v>56</v>
      </c>
      <c r="H13" s="10" t="s">
        <v>494</v>
      </c>
      <c r="I13" s="6" t="s">
        <v>495</v>
      </c>
      <c r="J13" s="12">
        <v>46120.599560185183</v>
      </c>
      <c r="K13" s="6" t="e" cm="1">
        <f t="array" ref="K13">LOOKUP(2^15,SEARCH(Tabela2[Palavras-Chave],Boletim[[#This Row],[Objeto]],1),Tabela2[Palavras-Chave])</f>
        <v>#N/A</v>
      </c>
    </row>
    <row r="14" spans="1:11" ht="86.4" hidden="1" x14ac:dyDescent="0.3">
      <c r="A14" s="5">
        <v>18656484</v>
      </c>
      <c r="B14" s="6" t="s">
        <v>150</v>
      </c>
      <c r="C14" s="6" t="s">
        <v>57</v>
      </c>
      <c r="D14" s="8" t="s">
        <v>54</v>
      </c>
      <c r="E14" s="6" t="s">
        <v>496</v>
      </c>
      <c r="F14" s="6" t="s">
        <v>51</v>
      </c>
      <c r="G14" s="11" t="s">
        <v>56</v>
      </c>
      <c r="H14" s="10" t="s">
        <v>497</v>
      </c>
      <c r="I14" s="6" t="s">
        <v>498</v>
      </c>
      <c r="J14" s="12">
        <v>46120.636157407411</v>
      </c>
      <c r="K14" s="6" t="e" cm="1">
        <f t="array" ref="K14">LOOKUP(2^15,SEARCH(Tabela2[Palavras-Chave],Boletim[[#This Row],[Objeto]],1),Tabela2[Palavras-Chave])</f>
        <v>#N/A</v>
      </c>
    </row>
    <row r="15" spans="1:11" ht="86.4" hidden="1" x14ac:dyDescent="0.3">
      <c r="A15" s="5">
        <v>18712650</v>
      </c>
      <c r="B15" s="6" t="s">
        <v>150</v>
      </c>
      <c r="C15" s="6" t="s">
        <v>57</v>
      </c>
      <c r="D15" s="8" t="s">
        <v>54</v>
      </c>
      <c r="E15" s="6" t="s">
        <v>499</v>
      </c>
      <c r="F15" s="6" t="s">
        <v>51</v>
      </c>
      <c r="G15" s="11" t="s">
        <v>56</v>
      </c>
      <c r="H15" s="10" t="s">
        <v>500</v>
      </c>
      <c r="I15" s="6" t="s">
        <v>501</v>
      </c>
      <c r="J15" s="12">
        <v>46120.637557870374</v>
      </c>
      <c r="K15" s="6" t="e" cm="1">
        <f t="array" ref="K15">LOOKUP(2^15,SEARCH(Tabela2[Palavras-Chave],Boletim[[#This Row],[Objeto]],1),Tabela2[Palavras-Chave])</f>
        <v>#N/A</v>
      </c>
    </row>
    <row r="16" spans="1:11" ht="86.4" hidden="1" x14ac:dyDescent="0.3">
      <c r="A16" s="5">
        <v>18761660</v>
      </c>
      <c r="B16" s="6" t="s">
        <v>150</v>
      </c>
      <c r="C16" s="6" t="s">
        <v>57</v>
      </c>
      <c r="D16" s="8" t="s">
        <v>54</v>
      </c>
      <c r="E16" s="6" t="s">
        <v>502</v>
      </c>
      <c r="F16" s="6" t="s">
        <v>51</v>
      </c>
      <c r="G16" s="11" t="s">
        <v>56</v>
      </c>
      <c r="H16" s="10" t="s">
        <v>312</v>
      </c>
      <c r="I16" s="6" t="s">
        <v>503</v>
      </c>
      <c r="J16" s="12">
        <v>46120.641724537039</v>
      </c>
      <c r="K16" s="6" t="e" cm="1">
        <f t="array" ref="K16">LOOKUP(2^15,SEARCH(Tabela2[Palavras-Chave],Boletim[[#This Row],[Objeto]],1),Tabela2[Palavras-Chave])</f>
        <v>#N/A</v>
      </c>
    </row>
    <row r="17" spans="1:11" ht="86.4" hidden="1" x14ac:dyDescent="0.3">
      <c r="A17" s="5">
        <v>18767304</v>
      </c>
      <c r="B17" s="6" t="s">
        <v>150</v>
      </c>
      <c r="C17" s="6" t="s">
        <v>57</v>
      </c>
      <c r="D17" s="8" t="s">
        <v>54</v>
      </c>
      <c r="E17" s="6" t="s">
        <v>504</v>
      </c>
      <c r="F17" s="6" t="s">
        <v>51</v>
      </c>
      <c r="G17" s="11" t="s">
        <v>56</v>
      </c>
      <c r="H17" s="10" t="s">
        <v>505</v>
      </c>
      <c r="I17" s="6" t="s">
        <v>506</v>
      </c>
      <c r="J17" s="12">
        <v>46120.643113425926</v>
      </c>
      <c r="K17" s="6" t="e" cm="1">
        <f t="array" ref="K17">LOOKUP(2^15,SEARCH(Tabela2[Palavras-Chave],Boletim[[#This Row],[Objeto]],1),Tabela2[Palavras-Chave])</f>
        <v>#N/A</v>
      </c>
    </row>
    <row r="18" spans="1:11" ht="86.4" hidden="1" x14ac:dyDescent="0.3">
      <c r="A18" s="5">
        <v>18776696</v>
      </c>
      <c r="B18" s="6" t="s">
        <v>150</v>
      </c>
      <c r="C18" s="6" t="s">
        <v>57</v>
      </c>
      <c r="D18" s="8" t="s">
        <v>54</v>
      </c>
      <c r="E18" s="6" t="s">
        <v>507</v>
      </c>
      <c r="F18" s="6" t="s">
        <v>51</v>
      </c>
      <c r="G18" s="11" t="s">
        <v>56</v>
      </c>
      <c r="H18" s="10" t="s">
        <v>508</v>
      </c>
      <c r="I18" s="6" t="s">
        <v>509</v>
      </c>
      <c r="J18" s="12">
        <v>46120.643125000002</v>
      </c>
      <c r="K18" s="6" t="e" cm="1">
        <f t="array" ref="K18">LOOKUP(2^15,SEARCH(Tabela2[Palavras-Chave],Boletim[[#This Row],[Objeto]],1),Tabela2[Palavras-Chave])</f>
        <v>#N/A</v>
      </c>
    </row>
    <row r="19" spans="1:11" ht="86.4" hidden="1" x14ac:dyDescent="0.3">
      <c r="A19" s="5">
        <v>18712649</v>
      </c>
      <c r="B19" s="6" t="s">
        <v>150</v>
      </c>
      <c r="C19" s="6" t="s">
        <v>57</v>
      </c>
      <c r="D19" s="8" t="s">
        <v>54</v>
      </c>
      <c r="E19" s="6" t="s">
        <v>510</v>
      </c>
      <c r="F19" s="6" t="s">
        <v>51</v>
      </c>
      <c r="G19" s="11" t="s">
        <v>56</v>
      </c>
      <c r="H19" s="10" t="s">
        <v>511</v>
      </c>
      <c r="I19" s="6" t="s">
        <v>512</v>
      </c>
      <c r="J19" s="12">
        <v>46120.647951388892</v>
      </c>
      <c r="K19" s="6" t="e" cm="1">
        <f t="array" ref="K19">LOOKUP(2^15,SEARCH(Tabela2[Palavras-Chave],Boletim[[#This Row],[Objeto]],1),Tabela2[Palavras-Chave])</f>
        <v>#N/A</v>
      </c>
    </row>
    <row r="20" spans="1:11" ht="86.4" hidden="1" x14ac:dyDescent="0.3">
      <c r="A20" s="5">
        <v>18767307</v>
      </c>
      <c r="B20" s="6" t="s">
        <v>150</v>
      </c>
      <c r="C20" s="6" t="s">
        <v>57</v>
      </c>
      <c r="D20" s="8" t="s">
        <v>54</v>
      </c>
      <c r="E20" s="6" t="s">
        <v>513</v>
      </c>
      <c r="F20" s="6" t="s">
        <v>51</v>
      </c>
      <c r="G20" s="11" t="s">
        <v>56</v>
      </c>
      <c r="H20" s="10" t="s">
        <v>514</v>
      </c>
      <c r="I20" s="6" t="s">
        <v>515</v>
      </c>
      <c r="J20" s="12">
        <v>46120.648634259262</v>
      </c>
      <c r="K20" s="6" t="e" cm="1">
        <f t="array" ref="K20">LOOKUP(2^15,SEARCH(Tabela2[Palavras-Chave],Boletim[[#This Row],[Objeto]],1),Tabela2[Palavras-Chave])</f>
        <v>#N/A</v>
      </c>
    </row>
    <row r="21" spans="1:11" ht="86.4" hidden="1" x14ac:dyDescent="0.3">
      <c r="A21" s="5">
        <v>18767303</v>
      </c>
      <c r="B21" s="6" t="s">
        <v>150</v>
      </c>
      <c r="C21" s="6" t="s">
        <v>57</v>
      </c>
      <c r="D21" s="8" t="s">
        <v>54</v>
      </c>
      <c r="E21" s="6" t="s">
        <v>516</v>
      </c>
      <c r="F21" s="6" t="s">
        <v>51</v>
      </c>
      <c r="G21" s="11" t="s">
        <v>56</v>
      </c>
      <c r="H21" s="10" t="s">
        <v>517</v>
      </c>
      <c r="I21" s="6" t="s">
        <v>518</v>
      </c>
      <c r="J21" s="12">
        <v>46120.650069444448</v>
      </c>
      <c r="K21" s="6" t="e" cm="1">
        <f t="array" ref="K21">LOOKUP(2^15,SEARCH(Tabela2[Palavras-Chave],Boletim[[#This Row],[Objeto]],1),Tabela2[Palavras-Chave])</f>
        <v>#N/A</v>
      </c>
    </row>
    <row r="22" spans="1:11" ht="86.4" hidden="1" x14ac:dyDescent="0.3">
      <c r="A22" s="5">
        <v>18782354</v>
      </c>
      <c r="B22" s="6" t="s">
        <v>58</v>
      </c>
      <c r="C22" s="6" t="s">
        <v>53</v>
      </c>
      <c r="D22" s="8" t="s">
        <v>54</v>
      </c>
      <c r="E22" s="6" t="s">
        <v>519</v>
      </c>
      <c r="F22" s="6" t="s">
        <v>51</v>
      </c>
      <c r="G22" s="11" t="s">
        <v>56</v>
      </c>
      <c r="H22" s="10" t="s">
        <v>520</v>
      </c>
      <c r="I22" s="6" t="s">
        <v>521</v>
      </c>
      <c r="J22" s="12">
        <v>46120.651423611111</v>
      </c>
      <c r="K22" s="6" t="e" cm="1">
        <f t="array" ref="K22">LOOKUP(2^15,SEARCH(Tabela2[Palavras-Chave],Boletim[[#This Row],[Objeto]],1),Tabela2[Palavras-Chave])</f>
        <v>#N/A</v>
      </c>
    </row>
    <row r="23" spans="1:11" ht="100.8" hidden="1" x14ac:dyDescent="0.3">
      <c r="A23" s="5">
        <v>18762141</v>
      </c>
      <c r="B23" s="6" t="s">
        <v>522</v>
      </c>
      <c r="C23" s="6" t="s">
        <v>523</v>
      </c>
      <c r="D23" s="8" t="s">
        <v>54</v>
      </c>
      <c r="E23" s="6" t="s">
        <v>126</v>
      </c>
      <c r="F23" s="6" t="s">
        <v>51</v>
      </c>
      <c r="G23" s="11" t="s">
        <v>56</v>
      </c>
      <c r="H23" s="10" t="s">
        <v>524</v>
      </c>
      <c r="I23" s="6" t="s">
        <v>525</v>
      </c>
      <c r="J23" s="12">
        <v>46120.654803240737</v>
      </c>
      <c r="K23" s="6" t="e" cm="1">
        <f t="array" ref="K23">LOOKUP(2^15,SEARCH(Tabela2[Palavras-Chave],Boletim[[#This Row],[Objeto]],1),Tabela2[Palavras-Chave])</f>
        <v>#N/A</v>
      </c>
    </row>
    <row r="24" spans="1:11" ht="86.4" hidden="1" x14ac:dyDescent="0.3">
      <c r="A24" s="5">
        <v>18779282</v>
      </c>
      <c r="B24" s="6" t="s">
        <v>150</v>
      </c>
      <c r="C24" s="6" t="s">
        <v>57</v>
      </c>
      <c r="D24" s="8" t="s">
        <v>54</v>
      </c>
      <c r="E24" s="6" t="s">
        <v>526</v>
      </c>
      <c r="F24" s="6" t="s">
        <v>51</v>
      </c>
      <c r="G24" s="11" t="s">
        <v>56</v>
      </c>
      <c r="H24" s="10" t="s">
        <v>527</v>
      </c>
      <c r="I24" s="6" t="s">
        <v>528</v>
      </c>
      <c r="J24" s="12">
        <v>46120.655081018522</v>
      </c>
      <c r="K24" s="6" t="e" cm="1">
        <f t="array" ref="K24">LOOKUP(2^15,SEARCH(Tabela2[Palavras-Chave],Boletim[[#This Row],[Objeto]],1),Tabela2[Palavras-Chave])</f>
        <v>#N/A</v>
      </c>
    </row>
    <row r="25" spans="1:11" ht="72" hidden="1" x14ac:dyDescent="0.3">
      <c r="A25" s="5">
        <v>18803763</v>
      </c>
      <c r="B25" s="6" t="s">
        <v>150</v>
      </c>
      <c r="C25" s="6" t="s">
        <v>57</v>
      </c>
      <c r="D25" s="8" t="s">
        <v>54</v>
      </c>
      <c r="E25" s="6" t="s">
        <v>529</v>
      </c>
      <c r="F25" s="6" t="s">
        <v>51</v>
      </c>
      <c r="G25" s="11" t="s">
        <v>56</v>
      </c>
      <c r="H25" s="10" t="s">
        <v>310</v>
      </c>
      <c r="I25" s="6" t="s">
        <v>530</v>
      </c>
      <c r="J25" s="12">
        <v>46120.659490740742</v>
      </c>
      <c r="K25" s="6" t="e" cm="1">
        <f t="array" ref="K25">LOOKUP(2^15,SEARCH(Tabela2[Palavras-Chave],Boletim[[#This Row],[Objeto]],1),Tabela2[Palavras-Chave])</f>
        <v>#N/A</v>
      </c>
    </row>
    <row r="26" spans="1:11" ht="72" hidden="1" x14ac:dyDescent="0.3">
      <c r="A26" s="5">
        <v>18803768</v>
      </c>
      <c r="B26" s="6" t="s">
        <v>153</v>
      </c>
      <c r="C26" s="6" t="s">
        <v>53</v>
      </c>
      <c r="D26" s="8" t="s">
        <v>54</v>
      </c>
      <c r="E26" s="6" t="s">
        <v>531</v>
      </c>
      <c r="F26" s="6" t="s">
        <v>51</v>
      </c>
      <c r="G26" s="11" t="s">
        <v>56</v>
      </c>
      <c r="H26" s="10" t="s">
        <v>532</v>
      </c>
      <c r="I26" s="6" t="s">
        <v>533</v>
      </c>
      <c r="J26" s="12">
        <v>46120.661516203705</v>
      </c>
      <c r="K26" s="6" t="e" cm="1">
        <f t="array" ref="K26">LOOKUP(2^15,SEARCH(Tabela2[Palavras-Chave],Boletim[[#This Row],[Objeto]],1),Tabela2[Palavras-Chave])</f>
        <v>#N/A</v>
      </c>
    </row>
    <row r="27" spans="1:11" ht="28.8" hidden="1" x14ac:dyDescent="0.3">
      <c r="A27" s="5">
        <v>18745100</v>
      </c>
      <c r="B27" s="6" t="s">
        <v>484</v>
      </c>
      <c r="C27" s="6" t="s">
        <v>243</v>
      </c>
      <c r="D27" s="8" t="s">
        <v>54</v>
      </c>
      <c r="E27" s="6" t="s">
        <v>55</v>
      </c>
      <c r="F27" s="6" t="s">
        <v>51</v>
      </c>
      <c r="G27" s="11" t="s">
        <v>56</v>
      </c>
      <c r="H27" s="10" t="s">
        <v>534</v>
      </c>
      <c r="I27" s="6" t="s">
        <v>138</v>
      </c>
      <c r="J27" s="12">
        <v>46120.672951388886</v>
      </c>
      <c r="K27" s="6" t="e" cm="1">
        <f t="array" ref="K27">LOOKUP(2^15,SEARCH(Tabela2[Palavras-Chave],Boletim[[#This Row],[Objeto]],1),Tabela2[Palavras-Chave])</f>
        <v>#N/A</v>
      </c>
    </row>
    <row r="28" spans="1:11" ht="86.4" hidden="1" x14ac:dyDescent="0.3">
      <c r="A28" s="5">
        <v>18786773</v>
      </c>
      <c r="B28" s="6" t="s">
        <v>150</v>
      </c>
      <c r="C28" s="6" t="s">
        <v>57</v>
      </c>
      <c r="D28" s="8" t="s">
        <v>54</v>
      </c>
      <c r="E28" s="6" t="s">
        <v>535</v>
      </c>
      <c r="F28" s="6" t="s">
        <v>51</v>
      </c>
      <c r="G28" s="11" t="s">
        <v>56</v>
      </c>
      <c r="H28" s="10" t="s">
        <v>536</v>
      </c>
      <c r="I28" s="6" t="s">
        <v>537</v>
      </c>
      <c r="J28" s="12">
        <v>46120.696134259262</v>
      </c>
      <c r="K28" s="6" t="e" cm="1">
        <f t="array" ref="K28">LOOKUP(2^15,SEARCH(Tabela2[Palavras-Chave],Boletim[[#This Row],[Objeto]],1),Tabela2[Palavras-Chave])</f>
        <v>#N/A</v>
      </c>
    </row>
    <row r="29" spans="1:11" ht="86.4" hidden="1" x14ac:dyDescent="0.3">
      <c r="A29" s="5">
        <v>18786774</v>
      </c>
      <c r="B29" s="6" t="s">
        <v>150</v>
      </c>
      <c r="C29" s="6" t="s">
        <v>57</v>
      </c>
      <c r="D29" s="8" t="s">
        <v>54</v>
      </c>
      <c r="E29" s="6" t="s">
        <v>538</v>
      </c>
      <c r="F29" s="6" t="s">
        <v>51</v>
      </c>
      <c r="G29" s="11" t="s">
        <v>56</v>
      </c>
      <c r="H29" s="10" t="s">
        <v>539</v>
      </c>
      <c r="I29" s="6" t="s">
        <v>540</v>
      </c>
      <c r="J29" s="12">
        <v>46120.726423611108</v>
      </c>
      <c r="K29" s="6" t="e" cm="1">
        <f t="array" ref="K29">LOOKUP(2^15,SEARCH(Tabela2[Palavras-Chave],Boletim[[#This Row],[Objeto]],1),Tabela2[Palavras-Chave])</f>
        <v>#N/A</v>
      </c>
    </row>
    <row r="30" spans="1:11" ht="72" hidden="1" x14ac:dyDescent="0.3">
      <c r="A30" s="5">
        <v>18804611</v>
      </c>
      <c r="B30" s="6" t="s">
        <v>297</v>
      </c>
      <c r="C30" s="6" t="s">
        <v>53</v>
      </c>
      <c r="D30" s="8" t="s">
        <v>54</v>
      </c>
      <c r="E30" s="6" t="s">
        <v>55</v>
      </c>
      <c r="F30" s="6" t="s">
        <v>51</v>
      </c>
      <c r="G30" s="11" t="s">
        <v>56</v>
      </c>
      <c r="H30" s="10" t="s">
        <v>541</v>
      </c>
      <c r="I30" s="6" t="s">
        <v>542</v>
      </c>
      <c r="J30" s="12">
        <v>46120.727164351854</v>
      </c>
      <c r="K30" s="6" t="e" cm="1">
        <f t="array" ref="K30">LOOKUP(2^15,SEARCH(Tabela2[Palavras-Chave],Boletim[[#This Row],[Objeto]],1),Tabela2[Palavras-Chave])</f>
        <v>#N/A</v>
      </c>
    </row>
    <row r="31" spans="1:11" ht="158.4" hidden="1" x14ac:dyDescent="0.3">
      <c r="A31" s="5">
        <v>18805450</v>
      </c>
      <c r="B31" s="6" t="s">
        <v>543</v>
      </c>
      <c r="C31" s="6" t="s">
        <v>53</v>
      </c>
      <c r="D31" s="8" t="s">
        <v>54</v>
      </c>
      <c r="E31" s="6" t="s">
        <v>55</v>
      </c>
      <c r="F31" s="6" t="s">
        <v>51</v>
      </c>
      <c r="G31" s="11" t="s">
        <v>56</v>
      </c>
      <c r="H31" s="10" t="s">
        <v>544</v>
      </c>
      <c r="I31" s="6" t="s">
        <v>545</v>
      </c>
      <c r="J31" s="12">
        <v>46120.729212962964</v>
      </c>
      <c r="K31" s="6" t="e" cm="1">
        <f t="array" ref="K31">LOOKUP(2^15,SEARCH(Tabela2[Palavras-Chave],Boletim[[#This Row],[Objeto]],1),Tabela2[Palavras-Chave])</f>
        <v>#N/A</v>
      </c>
    </row>
    <row r="32" spans="1:11" ht="158.4" hidden="1" x14ac:dyDescent="0.3">
      <c r="A32" s="5">
        <v>18804863</v>
      </c>
      <c r="B32" s="6" t="s">
        <v>226</v>
      </c>
      <c r="C32" s="6" t="s">
        <v>53</v>
      </c>
      <c r="D32" s="8" t="s">
        <v>54</v>
      </c>
      <c r="E32" s="6" t="s">
        <v>55</v>
      </c>
      <c r="F32" s="6" t="s">
        <v>51</v>
      </c>
      <c r="G32" s="11" t="s">
        <v>56</v>
      </c>
      <c r="H32" s="10" t="s">
        <v>546</v>
      </c>
      <c r="I32" s="6" t="s">
        <v>547</v>
      </c>
      <c r="J32" s="12">
        <v>46120.728680555556</v>
      </c>
      <c r="K32" s="6" t="e" cm="1">
        <f t="array" ref="K32">LOOKUP(2^15,SEARCH(Tabela2[Palavras-Chave],Boletim[[#This Row],[Objeto]],1),Tabela2[Palavras-Chave])</f>
        <v>#N/A</v>
      </c>
    </row>
    <row r="33" spans="1:11" ht="144" hidden="1" x14ac:dyDescent="0.3">
      <c r="A33" s="5">
        <v>18805447</v>
      </c>
      <c r="B33" s="6" t="s">
        <v>308</v>
      </c>
      <c r="C33" s="6" t="s">
        <v>53</v>
      </c>
      <c r="D33" s="8" t="s">
        <v>54</v>
      </c>
      <c r="E33" s="6" t="s">
        <v>55</v>
      </c>
      <c r="F33" s="6" t="s">
        <v>51</v>
      </c>
      <c r="G33" s="11" t="s">
        <v>56</v>
      </c>
      <c r="H33" s="10" t="s">
        <v>548</v>
      </c>
      <c r="I33" s="6" t="s">
        <v>549</v>
      </c>
      <c r="J33" s="12">
        <v>46120.729884259257</v>
      </c>
      <c r="K33" s="6" t="e" cm="1">
        <f t="array" ref="K33">LOOKUP(2^15,SEARCH(Tabela2[Palavras-Chave],Boletim[[#This Row],[Objeto]],1),Tabela2[Palavras-Chave])</f>
        <v>#N/A</v>
      </c>
    </row>
    <row r="34" spans="1:11" ht="172.8" hidden="1" x14ac:dyDescent="0.3">
      <c r="A34" s="5">
        <v>18804862</v>
      </c>
      <c r="B34" s="6" t="s">
        <v>226</v>
      </c>
      <c r="C34" s="6" t="s">
        <v>53</v>
      </c>
      <c r="D34" s="8" t="s">
        <v>54</v>
      </c>
      <c r="E34" s="6" t="s">
        <v>55</v>
      </c>
      <c r="F34" s="6" t="s">
        <v>51</v>
      </c>
      <c r="G34" s="11" t="s">
        <v>56</v>
      </c>
      <c r="H34" s="10" t="s">
        <v>550</v>
      </c>
      <c r="I34" s="6" t="s">
        <v>551</v>
      </c>
      <c r="J34" s="12">
        <v>46120.728761574072</v>
      </c>
      <c r="K34" s="6" t="e" cm="1">
        <f t="array" ref="K34">LOOKUP(2^15,SEARCH(Tabela2[Palavras-Chave],Boletim[[#This Row],[Objeto]],1),Tabela2[Palavras-Chave])</f>
        <v>#N/A</v>
      </c>
    </row>
    <row r="35" spans="1:11" ht="158.4" hidden="1" x14ac:dyDescent="0.3">
      <c r="A35" s="5">
        <v>18805444</v>
      </c>
      <c r="B35" s="6" t="s">
        <v>552</v>
      </c>
      <c r="C35" s="6" t="s">
        <v>53</v>
      </c>
      <c r="D35" s="8" t="s">
        <v>54</v>
      </c>
      <c r="E35" s="6" t="s">
        <v>55</v>
      </c>
      <c r="F35" s="6" t="s">
        <v>51</v>
      </c>
      <c r="G35" s="11" t="s">
        <v>56</v>
      </c>
      <c r="H35" s="10" t="s">
        <v>553</v>
      </c>
      <c r="I35" s="6" t="s">
        <v>554</v>
      </c>
      <c r="J35" s="12">
        <v>46120.729895833334</v>
      </c>
      <c r="K35" s="6" t="e" cm="1">
        <f t="array" ref="K35">LOOKUP(2^15,SEARCH(Tabela2[Palavras-Chave],Boletim[[#This Row],[Objeto]],1),Tabela2[Palavras-Chave])</f>
        <v>#N/A</v>
      </c>
    </row>
    <row r="36" spans="1:11" ht="158.4" hidden="1" x14ac:dyDescent="0.3">
      <c r="A36" s="5">
        <v>18805456</v>
      </c>
      <c r="B36" s="6" t="s">
        <v>555</v>
      </c>
      <c r="C36" s="6" t="s">
        <v>53</v>
      </c>
      <c r="D36" s="8" t="s">
        <v>54</v>
      </c>
      <c r="E36" s="6" t="s">
        <v>55</v>
      </c>
      <c r="F36" s="6" t="s">
        <v>51</v>
      </c>
      <c r="G36" s="11" t="s">
        <v>56</v>
      </c>
      <c r="H36" s="10" t="s">
        <v>556</v>
      </c>
      <c r="I36" s="6" t="s">
        <v>557</v>
      </c>
      <c r="J36" s="12">
        <v>46120.729895833334</v>
      </c>
      <c r="K36" s="6" t="e" cm="1">
        <f t="array" ref="K36">LOOKUP(2^15,SEARCH(Tabela2[Palavras-Chave],Boletim[[#This Row],[Objeto]],1),Tabela2[Palavras-Chave])</f>
        <v>#N/A</v>
      </c>
    </row>
    <row r="37" spans="1:11" ht="172.8" hidden="1" x14ac:dyDescent="0.3">
      <c r="A37" s="5">
        <v>18805451</v>
      </c>
      <c r="B37" s="6" t="s">
        <v>308</v>
      </c>
      <c r="C37" s="6" t="s">
        <v>315</v>
      </c>
      <c r="D37" s="8" t="s">
        <v>54</v>
      </c>
      <c r="E37" s="6" t="s">
        <v>55</v>
      </c>
      <c r="F37" s="6" t="s">
        <v>51</v>
      </c>
      <c r="G37" s="11" t="s">
        <v>56</v>
      </c>
      <c r="H37" s="10" t="s">
        <v>558</v>
      </c>
      <c r="I37" s="6" t="s">
        <v>559</v>
      </c>
      <c r="J37" s="12">
        <v>46120.731296296297</v>
      </c>
      <c r="K37" s="6" t="e" cm="1">
        <f t="array" ref="K37">LOOKUP(2^15,SEARCH(Tabela2[Palavras-Chave],Boletim[[#This Row],[Objeto]],1),Tabela2[Palavras-Chave])</f>
        <v>#N/A</v>
      </c>
    </row>
    <row r="38" spans="1:11" ht="158.4" hidden="1" x14ac:dyDescent="0.3">
      <c r="A38" s="5">
        <v>18805429</v>
      </c>
      <c r="B38" s="6" t="s">
        <v>226</v>
      </c>
      <c r="C38" s="6" t="s">
        <v>53</v>
      </c>
      <c r="D38" s="8" t="s">
        <v>54</v>
      </c>
      <c r="E38" s="6" t="s">
        <v>55</v>
      </c>
      <c r="F38" s="6" t="s">
        <v>51</v>
      </c>
      <c r="G38" s="11" t="s">
        <v>56</v>
      </c>
      <c r="H38" s="10" t="s">
        <v>560</v>
      </c>
      <c r="I38" s="6" t="s">
        <v>561</v>
      </c>
      <c r="J38" s="12">
        <v>46120.731296296297</v>
      </c>
      <c r="K38" s="6" t="e" cm="1">
        <f t="array" ref="K38">LOOKUP(2^15,SEARCH(Tabela2[Palavras-Chave],Boletim[[#This Row],[Objeto]],1),Tabela2[Palavras-Chave])</f>
        <v>#N/A</v>
      </c>
    </row>
    <row r="39" spans="1:11" ht="72" hidden="1" x14ac:dyDescent="0.3">
      <c r="A39" s="5">
        <v>18803771</v>
      </c>
      <c r="B39" s="6" t="s">
        <v>58</v>
      </c>
      <c r="C39" s="6" t="s">
        <v>53</v>
      </c>
      <c r="D39" s="8" t="s">
        <v>54</v>
      </c>
      <c r="E39" s="6" t="s">
        <v>562</v>
      </c>
      <c r="F39" s="6" t="s">
        <v>51</v>
      </c>
      <c r="G39" s="11" t="s">
        <v>56</v>
      </c>
      <c r="H39" s="10" t="s">
        <v>563</v>
      </c>
      <c r="I39" s="6" t="s">
        <v>564</v>
      </c>
      <c r="J39" s="12">
        <v>46120.731863425928</v>
      </c>
      <c r="K39" s="6" t="e" cm="1">
        <f t="array" ref="K39">LOOKUP(2^15,SEARCH(Tabela2[Palavras-Chave],Boletim[[#This Row],[Objeto]],1),Tabela2[Palavras-Chave])</f>
        <v>#N/A</v>
      </c>
    </row>
    <row r="40" spans="1:11" ht="144" hidden="1" x14ac:dyDescent="0.3">
      <c r="A40" s="5">
        <v>18805436</v>
      </c>
      <c r="B40" s="6" t="s">
        <v>565</v>
      </c>
      <c r="C40" s="6" t="s">
        <v>53</v>
      </c>
      <c r="D40" s="8" t="s">
        <v>54</v>
      </c>
      <c r="E40" s="6" t="s">
        <v>55</v>
      </c>
      <c r="F40" s="6" t="s">
        <v>51</v>
      </c>
      <c r="G40" s="11" t="s">
        <v>56</v>
      </c>
      <c r="H40" s="10" t="s">
        <v>566</v>
      </c>
      <c r="I40" s="6" t="s">
        <v>567</v>
      </c>
      <c r="J40" s="12">
        <v>46120.731990740744</v>
      </c>
      <c r="K40" s="6" t="e" cm="1">
        <f t="array" ref="K40">LOOKUP(2^15,SEARCH(Tabela2[Palavras-Chave],Boletim[[#This Row],[Objeto]],1),Tabela2[Palavras-Chave])</f>
        <v>#N/A</v>
      </c>
    </row>
    <row r="41" spans="1:11" ht="158.4" hidden="1" x14ac:dyDescent="0.3">
      <c r="A41" s="5">
        <v>18805421</v>
      </c>
      <c r="B41" s="6" t="s">
        <v>226</v>
      </c>
      <c r="C41" s="6" t="s">
        <v>53</v>
      </c>
      <c r="D41" s="8" t="s">
        <v>54</v>
      </c>
      <c r="E41" s="6" t="s">
        <v>55</v>
      </c>
      <c r="F41" s="6" t="s">
        <v>51</v>
      </c>
      <c r="G41" s="11" t="s">
        <v>56</v>
      </c>
      <c r="H41" s="10" t="s">
        <v>568</v>
      </c>
      <c r="I41" s="6" t="s">
        <v>569</v>
      </c>
      <c r="J41" s="12">
        <v>46120.731990740744</v>
      </c>
      <c r="K41" s="6" t="e" cm="1">
        <f t="array" ref="K41">LOOKUP(2^15,SEARCH(Tabela2[Palavras-Chave],Boletim[[#This Row],[Objeto]],1),Tabela2[Palavras-Chave])</f>
        <v>#N/A</v>
      </c>
    </row>
    <row r="42" spans="1:11" ht="158.4" hidden="1" x14ac:dyDescent="0.3">
      <c r="A42" s="5">
        <v>18805412</v>
      </c>
      <c r="B42" s="6" t="s">
        <v>226</v>
      </c>
      <c r="C42" s="6" t="s">
        <v>53</v>
      </c>
      <c r="D42" s="8" t="s">
        <v>54</v>
      </c>
      <c r="E42" s="6" t="s">
        <v>55</v>
      </c>
      <c r="F42" s="6" t="s">
        <v>51</v>
      </c>
      <c r="G42" s="11" t="s">
        <v>56</v>
      </c>
      <c r="H42" s="10" t="s">
        <v>570</v>
      </c>
      <c r="I42" s="6" t="s">
        <v>571</v>
      </c>
      <c r="J42" s="12">
        <v>46120.731990740744</v>
      </c>
      <c r="K42" s="6" t="e" cm="1">
        <f t="array" ref="K42">LOOKUP(2^15,SEARCH(Tabela2[Palavras-Chave],Boletim[[#This Row],[Objeto]],1),Tabela2[Palavras-Chave])</f>
        <v>#N/A</v>
      </c>
    </row>
    <row r="43" spans="1:11" ht="86.4" hidden="1" x14ac:dyDescent="0.3">
      <c r="A43" s="5">
        <v>18787066</v>
      </c>
      <c r="B43" s="6" t="s">
        <v>150</v>
      </c>
      <c r="C43" s="6" t="s">
        <v>57</v>
      </c>
      <c r="D43" s="8" t="s">
        <v>54</v>
      </c>
      <c r="E43" s="6" t="s">
        <v>572</v>
      </c>
      <c r="F43" s="6" t="s">
        <v>51</v>
      </c>
      <c r="G43" s="11" t="s">
        <v>56</v>
      </c>
      <c r="H43" s="10" t="s">
        <v>573</v>
      </c>
      <c r="I43" s="6" t="s">
        <v>574</v>
      </c>
      <c r="J43" s="12">
        <v>46120.734756944446</v>
      </c>
      <c r="K43" s="6" t="e" cm="1">
        <f t="array" ref="K43">LOOKUP(2^15,SEARCH(Tabela2[Palavras-Chave],Boletim[[#This Row],[Objeto]],1),Tabela2[Palavras-Chave])</f>
        <v>#N/A</v>
      </c>
    </row>
    <row r="44" spans="1:11" ht="158.4" hidden="1" x14ac:dyDescent="0.3">
      <c r="A44" s="5">
        <v>18805414</v>
      </c>
      <c r="B44" s="6" t="s">
        <v>226</v>
      </c>
      <c r="C44" s="6" t="s">
        <v>53</v>
      </c>
      <c r="D44" s="8" t="s">
        <v>54</v>
      </c>
      <c r="E44" s="6" t="s">
        <v>55</v>
      </c>
      <c r="F44" s="6" t="s">
        <v>51</v>
      </c>
      <c r="G44" s="11" t="s">
        <v>56</v>
      </c>
      <c r="H44" s="10" t="s">
        <v>575</v>
      </c>
      <c r="I44" s="6" t="s">
        <v>576</v>
      </c>
      <c r="J44" s="12">
        <v>46120.732685185183</v>
      </c>
      <c r="K44" s="6" t="e" cm="1">
        <f t="array" ref="K44">LOOKUP(2^15,SEARCH(Tabela2[Palavras-Chave],Boletim[[#This Row],[Objeto]],1),Tabela2[Palavras-Chave])</f>
        <v>#N/A</v>
      </c>
    </row>
    <row r="45" spans="1:11" ht="172.8" hidden="1" x14ac:dyDescent="0.3">
      <c r="A45" s="5">
        <v>18805442</v>
      </c>
      <c r="B45" s="6" t="s">
        <v>226</v>
      </c>
      <c r="C45" s="6" t="s">
        <v>53</v>
      </c>
      <c r="D45" s="8" t="s">
        <v>54</v>
      </c>
      <c r="E45" s="6" t="s">
        <v>55</v>
      </c>
      <c r="F45" s="6" t="s">
        <v>51</v>
      </c>
      <c r="G45" s="11" t="s">
        <v>56</v>
      </c>
      <c r="H45" s="10" t="s">
        <v>550</v>
      </c>
      <c r="I45" s="6" t="s">
        <v>577</v>
      </c>
      <c r="J45" s="12">
        <v>46120.73337962963</v>
      </c>
      <c r="K45" s="6" t="e" cm="1">
        <f t="array" ref="K45">LOOKUP(2^15,SEARCH(Tabela2[Palavras-Chave],Boletim[[#This Row],[Objeto]],1),Tabela2[Palavras-Chave])</f>
        <v>#N/A</v>
      </c>
    </row>
    <row r="46" spans="1:11" ht="158.4" x14ac:dyDescent="0.3">
      <c r="A46" s="5">
        <v>18805419</v>
      </c>
      <c r="B46" s="6" t="s">
        <v>226</v>
      </c>
      <c r="C46" s="6" t="s">
        <v>53</v>
      </c>
      <c r="D46" s="8" t="s">
        <v>54</v>
      </c>
      <c r="E46" s="6" t="s">
        <v>55</v>
      </c>
      <c r="F46" s="6" t="s">
        <v>51</v>
      </c>
      <c r="G46" s="11" t="s">
        <v>56</v>
      </c>
      <c r="H46" s="21" t="s">
        <v>578</v>
      </c>
      <c r="I46" s="6" t="s">
        <v>579</v>
      </c>
      <c r="J46" s="12">
        <v>46120.733414351853</v>
      </c>
      <c r="K46" s="6" t="str" cm="1">
        <f t="array" ref="K46">LOOKUP(2^15,SEARCH(Tabela2[Palavras-Chave],Boletim[[#This Row],[Objeto]],1),Tabela2[Palavras-Chave])</f>
        <v>UNIAO</v>
      </c>
    </row>
    <row r="47" spans="1:11" ht="158.4" hidden="1" x14ac:dyDescent="0.3">
      <c r="A47" s="5">
        <v>18805415</v>
      </c>
      <c r="B47" s="6" t="s">
        <v>226</v>
      </c>
      <c r="C47" s="6" t="s">
        <v>53</v>
      </c>
      <c r="D47" s="8" t="s">
        <v>54</v>
      </c>
      <c r="E47" s="6" t="s">
        <v>55</v>
      </c>
      <c r="F47" s="6" t="s">
        <v>51</v>
      </c>
      <c r="G47" s="11" t="s">
        <v>56</v>
      </c>
      <c r="H47" s="10" t="s">
        <v>580</v>
      </c>
      <c r="I47" s="6" t="s">
        <v>581</v>
      </c>
      <c r="J47" s="12">
        <v>46120.733414351853</v>
      </c>
      <c r="K47" s="6" t="e" cm="1">
        <f t="array" ref="K47">LOOKUP(2^15,SEARCH(Tabela2[Palavras-Chave],Boletim[[#This Row],[Objeto]],1),Tabela2[Palavras-Chave])</f>
        <v>#N/A</v>
      </c>
    </row>
    <row r="48" spans="1:11" ht="86.4" hidden="1" x14ac:dyDescent="0.3">
      <c r="A48" s="5">
        <v>18776643</v>
      </c>
      <c r="B48" s="6" t="s">
        <v>191</v>
      </c>
      <c r="C48" s="6" t="s">
        <v>313</v>
      </c>
      <c r="D48" s="8" t="s">
        <v>54</v>
      </c>
      <c r="E48" s="6" t="s">
        <v>389</v>
      </c>
      <c r="F48" s="6" t="s">
        <v>51</v>
      </c>
      <c r="G48" s="11" t="s">
        <v>56</v>
      </c>
      <c r="H48" s="10" t="s">
        <v>582</v>
      </c>
      <c r="I48" s="6" t="s">
        <v>583</v>
      </c>
      <c r="J48" s="12">
        <v>46120.74795138889</v>
      </c>
      <c r="K48" s="6" t="e" cm="1">
        <f t="array" ref="K48">LOOKUP(2^15,SEARCH(Tabela2[Palavras-Chave],Boletim[[#This Row],[Objeto]],1),Tabela2[Palavras-Chave])</f>
        <v>#N/A</v>
      </c>
    </row>
    <row r="49" spans="1:11" ht="172.8" hidden="1" x14ac:dyDescent="0.3">
      <c r="A49" s="5">
        <v>18805533</v>
      </c>
      <c r="B49" s="6" t="s">
        <v>314</v>
      </c>
      <c r="C49" s="6" t="s">
        <v>430</v>
      </c>
      <c r="D49" s="8" t="s">
        <v>54</v>
      </c>
      <c r="E49" s="6" t="s">
        <v>55</v>
      </c>
      <c r="F49" s="6" t="s">
        <v>51</v>
      </c>
      <c r="G49" s="11" t="s">
        <v>56</v>
      </c>
      <c r="H49" s="10" t="s">
        <v>584</v>
      </c>
      <c r="I49" s="6" t="s">
        <v>585</v>
      </c>
      <c r="J49" s="12">
        <v>46120.74795138889</v>
      </c>
      <c r="K49" s="6" t="e" cm="1">
        <f t="array" ref="K49">LOOKUP(2^15,SEARCH(Tabela2[Palavras-Chave],Boletim[[#This Row],[Objeto]],1),Tabela2[Palavras-Chave])</f>
        <v>#N/A</v>
      </c>
    </row>
    <row r="50" spans="1:11" hidden="1" x14ac:dyDescent="0.3">
      <c r="A50" s="13">
        <v>18803767</v>
      </c>
      <c r="B50" s="10" t="s">
        <v>58</v>
      </c>
      <c r="C50" s="10" t="s">
        <v>53</v>
      </c>
      <c r="D50" s="15" t="s">
        <v>54</v>
      </c>
      <c r="E50" s="10" t="s">
        <v>586</v>
      </c>
      <c r="F50" s="10" t="s">
        <v>51</v>
      </c>
      <c r="G50" s="16" t="s">
        <v>56</v>
      </c>
      <c r="H50" s="10" t="s">
        <v>587</v>
      </c>
      <c r="I50" s="10" t="s">
        <v>588</v>
      </c>
      <c r="J50" s="17">
        <v>46120.749537037038</v>
      </c>
      <c r="K50" s="6" t="e" cm="1">
        <f t="array" ref="K50">LOOKUP(2^15,SEARCH(Tabela2[Palavras-Chave],Boletim[[#This Row],[Objeto]],1),Tabela2[Palavras-Chave])</f>
        <v>#N/A</v>
      </c>
    </row>
    <row r="51" spans="1:11" hidden="1" x14ac:dyDescent="0.3">
      <c r="A51" s="5">
        <v>18805597</v>
      </c>
      <c r="B51" s="6" t="s">
        <v>589</v>
      </c>
      <c r="C51" s="6" t="s">
        <v>183</v>
      </c>
      <c r="D51" s="8" t="s">
        <v>54</v>
      </c>
      <c r="E51" s="6" t="s">
        <v>137</v>
      </c>
      <c r="F51" s="6" t="s">
        <v>51</v>
      </c>
      <c r="G51" s="11" t="s">
        <v>56</v>
      </c>
      <c r="H51" s="10" t="s">
        <v>590</v>
      </c>
      <c r="I51" s="6" t="s">
        <v>591</v>
      </c>
      <c r="J51" s="12">
        <v>46120.754618055558</v>
      </c>
      <c r="K51" s="6" t="e" cm="1">
        <f t="array" ref="K51">LOOKUP(2^15,SEARCH(Tabela2[Palavras-Chave],Boletim[[#This Row],[Objeto]],1),Tabela2[Palavras-Chave])</f>
        <v>#N/A</v>
      </c>
    </row>
    <row r="52" spans="1:11" hidden="1" x14ac:dyDescent="0.3">
      <c r="A52" s="5">
        <v>18803781</v>
      </c>
      <c r="B52" s="6" t="s">
        <v>153</v>
      </c>
      <c r="C52" s="6" t="s">
        <v>53</v>
      </c>
      <c r="D52" s="8" t="s">
        <v>54</v>
      </c>
      <c r="E52" s="6" t="s">
        <v>592</v>
      </c>
      <c r="F52" s="6" t="s">
        <v>51</v>
      </c>
      <c r="G52" s="11" t="s">
        <v>56</v>
      </c>
      <c r="H52" s="10" t="s">
        <v>593</v>
      </c>
      <c r="I52" s="6" t="s">
        <v>594</v>
      </c>
      <c r="J52" s="12">
        <v>46120.761793981481</v>
      </c>
      <c r="K52" s="6" t="e" cm="1">
        <f t="array" ref="K52">LOOKUP(2^15,SEARCH(Tabela2[Palavras-Chave],Boletim[[#This Row],[Objeto]],1),Tabela2[Palavras-Chave])</f>
        <v>#N/A</v>
      </c>
    </row>
    <row r="53" spans="1:11" hidden="1" x14ac:dyDescent="0.3">
      <c r="A53" s="5">
        <v>18779296</v>
      </c>
      <c r="B53" s="6" t="s">
        <v>150</v>
      </c>
      <c r="C53" s="6" t="s">
        <v>57</v>
      </c>
      <c r="D53" s="8" t="s">
        <v>54</v>
      </c>
      <c r="E53" s="6" t="s">
        <v>595</v>
      </c>
      <c r="F53" s="6" t="s">
        <v>51</v>
      </c>
      <c r="G53" s="11" t="s">
        <v>56</v>
      </c>
      <c r="H53" s="10" t="s">
        <v>596</v>
      </c>
      <c r="I53" s="6" t="s">
        <v>597</v>
      </c>
      <c r="J53" s="12">
        <v>46120.775949074072</v>
      </c>
      <c r="K53" s="6" t="e" cm="1">
        <f t="array" ref="K53">LOOKUP(2^15,SEARCH(Tabela2[Palavras-Chave],Boletim[[#This Row],[Objeto]],1),Tabela2[Palavras-Chave])</f>
        <v>#N/A</v>
      </c>
    </row>
    <row r="54" spans="1:11" hidden="1" x14ac:dyDescent="0.3">
      <c r="A54" s="5">
        <v>18805418</v>
      </c>
      <c r="B54" s="6" t="s">
        <v>318</v>
      </c>
      <c r="C54" s="6" t="s">
        <v>53</v>
      </c>
      <c r="D54" s="8" t="s">
        <v>54</v>
      </c>
      <c r="E54" s="6" t="s">
        <v>55</v>
      </c>
      <c r="F54" s="6" t="s">
        <v>51</v>
      </c>
      <c r="G54" s="11" t="s">
        <v>56</v>
      </c>
      <c r="H54" s="10" t="s">
        <v>598</v>
      </c>
      <c r="I54" s="6" t="s">
        <v>599</v>
      </c>
      <c r="J54" s="12">
        <v>46120.809548611112</v>
      </c>
      <c r="K54" s="6" t="e" cm="1">
        <f t="array" ref="K54">LOOKUP(2^15,SEARCH(Tabela2[Palavras-Chave],Boletim[[#This Row],[Objeto]],1),Tabela2[Palavras-Chave])</f>
        <v>#N/A</v>
      </c>
    </row>
    <row r="55" spans="1:11" hidden="1" x14ac:dyDescent="0.3">
      <c r="A55" s="5">
        <v>18799169</v>
      </c>
      <c r="B55" s="6" t="s">
        <v>191</v>
      </c>
      <c r="C55" s="6" t="s">
        <v>311</v>
      </c>
      <c r="D55" s="8" t="s">
        <v>54</v>
      </c>
      <c r="E55" s="6" t="s">
        <v>600</v>
      </c>
      <c r="F55" s="6" t="s">
        <v>51</v>
      </c>
      <c r="G55" s="11" t="s">
        <v>56</v>
      </c>
      <c r="H55" s="10" t="s">
        <v>601</v>
      </c>
      <c r="I55" s="6" t="s">
        <v>602</v>
      </c>
      <c r="J55" s="12">
        <v>46120.827118055553</v>
      </c>
      <c r="K55" s="6" t="e" cm="1">
        <f t="array" ref="K55">LOOKUP(2^15,SEARCH(Tabela2[Palavras-Chave],Boletim[[#This Row],[Objeto]],1),Tabela2[Palavras-Chave])</f>
        <v>#N/A</v>
      </c>
    </row>
    <row r="56" spans="1:11" hidden="1" x14ac:dyDescent="0.3">
      <c r="A56" s="5">
        <v>18764133</v>
      </c>
      <c r="B56" s="6" t="s">
        <v>58</v>
      </c>
      <c r="C56" s="6" t="s">
        <v>53</v>
      </c>
      <c r="D56" s="8" t="s">
        <v>54</v>
      </c>
      <c r="E56" s="6" t="s">
        <v>603</v>
      </c>
      <c r="F56" s="6" t="s">
        <v>51</v>
      </c>
      <c r="G56" s="11" t="s">
        <v>56</v>
      </c>
      <c r="H56" s="10" t="s">
        <v>604</v>
      </c>
      <c r="I56" s="6" t="s">
        <v>605</v>
      </c>
      <c r="J56" s="12">
        <v>46120.839918981481</v>
      </c>
      <c r="K56" s="6" t="e" cm="1">
        <f t="array" ref="K56">LOOKUP(2^15,SEARCH(Tabela2[Palavras-Chave],Boletim[[#This Row],[Objeto]],1),Tabela2[Palavras-Chave])</f>
        <v>#N/A</v>
      </c>
    </row>
    <row r="57" spans="1:11" hidden="1" x14ac:dyDescent="0.3">
      <c r="A57" s="5">
        <v>18805745</v>
      </c>
      <c r="B57" s="6" t="s">
        <v>153</v>
      </c>
      <c r="C57" s="6" t="s">
        <v>53</v>
      </c>
      <c r="D57" s="8" t="s">
        <v>54</v>
      </c>
      <c r="E57" s="6" t="s">
        <v>606</v>
      </c>
      <c r="F57" s="6" t="s">
        <v>51</v>
      </c>
      <c r="G57" s="11" t="s">
        <v>56</v>
      </c>
      <c r="H57" s="10" t="s">
        <v>607</v>
      </c>
      <c r="I57" s="6" t="s">
        <v>608</v>
      </c>
      <c r="J57" s="12">
        <v>46120.85560185185</v>
      </c>
      <c r="K57" s="6" t="e" cm="1">
        <f t="array" ref="K57">LOOKUP(2^15,SEARCH(Tabela2[Palavras-Chave],Boletim[[#This Row],[Objeto]],1),Tabela2[Palavras-Chave])</f>
        <v>#N/A</v>
      </c>
    </row>
    <row r="58" spans="1:11" hidden="1" x14ac:dyDescent="0.3">
      <c r="A58" s="13">
        <v>18805522</v>
      </c>
      <c r="B58" s="10" t="s">
        <v>150</v>
      </c>
      <c r="C58" s="10" t="s">
        <v>57</v>
      </c>
      <c r="D58" s="15" t="s">
        <v>54</v>
      </c>
      <c r="E58" s="10" t="s">
        <v>609</v>
      </c>
      <c r="F58" s="10" t="s">
        <v>51</v>
      </c>
      <c r="G58" s="16" t="s">
        <v>56</v>
      </c>
      <c r="H58" s="10" t="s">
        <v>610</v>
      </c>
      <c r="I58" s="10" t="s">
        <v>611</v>
      </c>
      <c r="J58" s="17">
        <v>46120.862314814818</v>
      </c>
      <c r="K58" s="6" t="e" cm="1">
        <f t="array" ref="K58">LOOKUP(2^15,SEARCH(Tabela2[Palavras-Chave],Boletim[[#This Row],[Objeto]],1),Tabela2[Palavras-Chave])</f>
        <v>#N/A</v>
      </c>
    </row>
    <row r="59" spans="1:11" hidden="1" x14ac:dyDescent="0.3">
      <c r="A59" s="5">
        <v>18805417</v>
      </c>
      <c r="B59" s="6" t="s">
        <v>226</v>
      </c>
      <c r="C59" s="6" t="s">
        <v>53</v>
      </c>
      <c r="D59" s="8" t="s">
        <v>54</v>
      </c>
      <c r="E59" s="6" t="s">
        <v>55</v>
      </c>
      <c r="F59" s="6" t="s">
        <v>51</v>
      </c>
      <c r="G59" s="11" t="s">
        <v>56</v>
      </c>
      <c r="H59" s="10" t="s">
        <v>612</v>
      </c>
      <c r="I59" s="6" t="s">
        <v>613</v>
      </c>
      <c r="J59" s="12">
        <v>46120.862395833334</v>
      </c>
      <c r="K59" s="6" t="e" cm="1">
        <f t="array" ref="K59">LOOKUP(2^15,SEARCH(Tabela2[Palavras-Chave],Boletim[[#This Row],[Objeto]],1),Tabela2[Palavras-Chave])</f>
        <v>#N/A</v>
      </c>
    </row>
    <row r="60" spans="1:11" hidden="1" x14ac:dyDescent="0.3">
      <c r="A60" s="5">
        <v>18805416</v>
      </c>
      <c r="B60" s="6" t="s">
        <v>316</v>
      </c>
      <c r="C60" s="6" t="s">
        <v>317</v>
      </c>
      <c r="D60" s="8" t="s">
        <v>54</v>
      </c>
      <c r="E60" s="6" t="s">
        <v>55</v>
      </c>
      <c r="F60" s="6" t="s">
        <v>51</v>
      </c>
      <c r="G60" s="11" t="s">
        <v>56</v>
      </c>
      <c r="H60" s="10" t="s">
        <v>614</v>
      </c>
      <c r="I60" s="6" t="s">
        <v>615</v>
      </c>
      <c r="J60" s="12">
        <v>46120.862476851849</v>
      </c>
      <c r="K60" s="6" t="e" cm="1">
        <f t="array" ref="K60">LOOKUP(2^15,SEARCH(Tabela2[Palavras-Chave],Boletim[[#This Row],[Objeto]],1),Tabela2[Palavras-Chave])</f>
        <v>#N/A</v>
      </c>
    </row>
    <row r="61" spans="1:11" hidden="1" x14ac:dyDescent="0.3">
      <c r="A61" s="5">
        <v>18805407</v>
      </c>
      <c r="B61" s="6" t="s">
        <v>226</v>
      </c>
      <c r="C61" s="6" t="s">
        <v>53</v>
      </c>
      <c r="D61" s="8" t="s">
        <v>54</v>
      </c>
      <c r="E61" s="6" t="s">
        <v>55</v>
      </c>
      <c r="F61" s="6" t="s">
        <v>51</v>
      </c>
      <c r="G61" s="11" t="s">
        <v>56</v>
      </c>
      <c r="H61" s="10" t="s">
        <v>616</v>
      </c>
      <c r="I61" s="6" t="s">
        <v>617</v>
      </c>
      <c r="J61" s="12">
        <v>46120.862615740742</v>
      </c>
      <c r="K61" s="6" t="e" cm="1">
        <f t="array" ref="K61">LOOKUP(2^15,SEARCH(Tabela2[Palavras-Chave],Boletim[[#This Row],[Objeto]],1),Tabela2[Palavras-Chave])</f>
        <v>#N/A</v>
      </c>
    </row>
    <row r="62" spans="1:11" hidden="1" x14ac:dyDescent="0.3">
      <c r="A62" s="5">
        <v>18803766</v>
      </c>
      <c r="B62" s="6" t="s">
        <v>150</v>
      </c>
      <c r="C62" s="6" t="s">
        <v>57</v>
      </c>
      <c r="D62" s="8" t="s">
        <v>54</v>
      </c>
      <c r="E62" s="6" t="s">
        <v>618</v>
      </c>
      <c r="F62" s="6" t="s">
        <v>51</v>
      </c>
      <c r="G62" s="11" t="s">
        <v>56</v>
      </c>
      <c r="H62" s="10" t="s">
        <v>619</v>
      </c>
      <c r="I62" s="6" t="s">
        <v>620</v>
      </c>
      <c r="J62" s="12">
        <v>46120.871099537035</v>
      </c>
      <c r="K62" s="6" t="e" cm="1">
        <f t="array" ref="K62">LOOKUP(2^15,SEARCH(Tabela2[Palavras-Chave],Boletim[[#This Row],[Objeto]],1),Tabela2[Palavras-Chave])</f>
        <v>#N/A</v>
      </c>
    </row>
    <row r="63" spans="1:11" hidden="1" x14ac:dyDescent="0.3">
      <c r="A63" s="5">
        <v>18804407</v>
      </c>
      <c r="B63" s="6" t="s">
        <v>621</v>
      </c>
      <c r="C63" s="6" t="s">
        <v>622</v>
      </c>
      <c r="D63" s="8" t="s">
        <v>54</v>
      </c>
      <c r="E63" s="6" t="s">
        <v>55</v>
      </c>
      <c r="F63" s="6" t="s">
        <v>51</v>
      </c>
      <c r="G63" s="11" t="s">
        <v>56</v>
      </c>
      <c r="H63" s="10" t="s">
        <v>623</v>
      </c>
      <c r="I63" s="6" t="s">
        <v>90</v>
      </c>
      <c r="J63" s="12">
        <v>46120.883460648147</v>
      </c>
      <c r="K63" s="6" t="e" cm="1">
        <f t="array" ref="K63">LOOKUP(2^15,SEARCH(Tabela2[Palavras-Chave],Boletim[[#This Row],[Objeto]],1),Tabela2[Palavras-Chave])</f>
        <v>#N/A</v>
      </c>
    </row>
    <row r="64" spans="1:11" hidden="1" x14ac:dyDescent="0.3">
      <c r="A64" s="5">
        <v>18806451</v>
      </c>
      <c r="B64" s="6" t="s">
        <v>624</v>
      </c>
      <c r="C64" s="6" t="s">
        <v>622</v>
      </c>
      <c r="D64" s="8" t="s">
        <v>54</v>
      </c>
      <c r="E64" s="6" t="s">
        <v>110</v>
      </c>
      <c r="F64" s="6" t="s">
        <v>51</v>
      </c>
      <c r="G64" s="11">
        <v>46125.333333333336</v>
      </c>
      <c r="H64" s="10" t="s">
        <v>625</v>
      </c>
      <c r="I64" s="6" t="s">
        <v>626</v>
      </c>
      <c r="J64" s="12">
        <v>46120.888020833336</v>
      </c>
      <c r="K64" s="6" t="e" cm="1">
        <f t="array" ref="K64">LOOKUP(2^15,SEARCH(Tabela2[Palavras-Chave],Boletim[[#This Row],[Objeto]],1),Tabela2[Palavras-Chave])</f>
        <v>#N/A</v>
      </c>
    </row>
    <row r="65" spans="1:11" hidden="1" x14ac:dyDescent="0.3">
      <c r="A65" s="5">
        <v>18800857</v>
      </c>
      <c r="B65" s="6" t="s">
        <v>627</v>
      </c>
      <c r="C65" s="6" t="s">
        <v>628</v>
      </c>
      <c r="D65" s="8" t="s">
        <v>60</v>
      </c>
      <c r="E65" s="6" t="s">
        <v>629</v>
      </c>
      <c r="F65" s="6" t="s">
        <v>51</v>
      </c>
      <c r="G65" s="11">
        <v>46122.645833333336</v>
      </c>
      <c r="H65" s="10" t="s">
        <v>630</v>
      </c>
      <c r="I65" s="6" t="s">
        <v>631</v>
      </c>
      <c r="J65" s="12">
        <v>46120.409097222226</v>
      </c>
      <c r="K65" s="6" t="e" cm="1">
        <f t="array" ref="K65">LOOKUP(2^15,SEARCH(Tabela2[Palavras-Chave],Boletim[[#This Row],[Objeto]],1),Tabela2[Palavras-Chave])</f>
        <v>#N/A</v>
      </c>
    </row>
    <row r="66" spans="1:11" hidden="1" x14ac:dyDescent="0.3">
      <c r="A66" s="5">
        <v>18800907</v>
      </c>
      <c r="B66" s="6" t="s">
        <v>632</v>
      </c>
      <c r="C66" s="6" t="s">
        <v>59</v>
      </c>
      <c r="D66" s="8" t="s">
        <v>60</v>
      </c>
      <c r="E66" s="6" t="s">
        <v>633</v>
      </c>
      <c r="F66" s="6" t="s">
        <v>51</v>
      </c>
      <c r="G66" s="11">
        <v>46122.666666666664</v>
      </c>
      <c r="H66" s="10" t="s">
        <v>634</v>
      </c>
      <c r="I66" s="6" t="s">
        <v>635</v>
      </c>
      <c r="J66" s="12">
        <v>46120.409097222226</v>
      </c>
      <c r="K66" s="6" t="e" cm="1">
        <f t="array" ref="K66">LOOKUP(2^15,SEARCH(Tabela2[Palavras-Chave],Boletim[[#This Row],[Objeto]],1),Tabela2[Palavras-Chave])</f>
        <v>#N/A</v>
      </c>
    </row>
    <row r="67" spans="1:11" hidden="1" x14ac:dyDescent="0.3">
      <c r="A67" s="5">
        <v>18800905</v>
      </c>
      <c r="B67" s="6" t="s">
        <v>636</v>
      </c>
      <c r="C67" s="6" t="s">
        <v>59</v>
      </c>
      <c r="D67" s="8" t="s">
        <v>60</v>
      </c>
      <c r="E67" s="6" t="s">
        <v>637</v>
      </c>
      <c r="F67" s="6" t="s">
        <v>51</v>
      </c>
      <c r="G67" s="11">
        <v>46122.604166666664</v>
      </c>
      <c r="H67" s="10" t="s">
        <v>638</v>
      </c>
      <c r="I67" s="6" t="s">
        <v>639</v>
      </c>
      <c r="J67" s="12">
        <v>46120.409097222226</v>
      </c>
      <c r="K67" s="6" t="e" cm="1">
        <f t="array" ref="K67">LOOKUP(2^15,SEARCH(Tabela2[Palavras-Chave],Boletim[[#This Row],[Objeto]],1),Tabela2[Palavras-Chave])</f>
        <v>#N/A</v>
      </c>
    </row>
    <row r="68" spans="1:11" hidden="1" x14ac:dyDescent="0.3">
      <c r="A68" s="5">
        <v>18800828</v>
      </c>
      <c r="B68" s="6" t="s">
        <v>640</v>
      </c>
      <c r="C68" s="6" t="s">
        <v>641</v>
      </c>
      <c r="D68" s="8" t="s">
        <v>60</v>
      </c>
      <c r="E68" s="6" t="s">
        <v>642</v>
      </c>
      <c r="F68" s="6" t="s">
        <v>51</v>
      </c>
      <c r="G68" s="11">
        <v>46122.625</v>
      </c>
      <c r="H68" s="10" t="s">
        <v>643</v>
      </c>
      <c r="I68" s="6" t="s">
        <v>644</v>
      </c>
      <c r="J68" s="12">
        <v>46120.409108796295</v>
      </c>
      <c r="K68" s="6" t="e" cm="1">
        <f t="array" ref="K68">LOOKUP(2^15,SEARCH(Tabela2[Palavras-Chave],Boletim[[#This Row],[Objeto]],1),Tabela2[Palavras-Chave])</f>
        <v>#N/A</v>
      </c>
    </row>
    <row r="69" spans="1:11" hidden="1" x14ac:dyDescent="0.3">
      <c r="A69" s="5">
        <v>18800866</v>
      </c>
      <c r="B69" s="6" t="s">
        <v>645</v>
      </c>
      <c r="C69" s="6" t="s">
        <v>59</v>
      </c>
      <c r="D69" s="8" t="s">
        <v>60</v>
      </c>
      <c r="E69" s="6" t="s">
        <v>646</v>
      </c>
      <c r="F69" s="6" t="s">
        <v>51</v>
      </c>
      <c r="G69" s="11">
        <v>46122.625</v>
      </c>
      <c r="H69" s="10" t="s">
        <v>647</v>
      </c>
      <c r="I69" s="6" t="s">
        <v>648</v>
      </c>
      <c r="J69" s="12">
        <v>46120.409131944441</v>
      </c>
      <c r="K69" s="6" t="e" cm="1">
        <f t="array" ref="K69">LOOKUP(2^15,SEARCH(Tabela2[Palavras-Chave],Boletim[[#This Row],[Objeto]],1),Tabela2[Palavras-Chave])</f>
        <v>#N/A</v>
      </c>
    </row>
    <row r="70" spans="1:11" hidden="1" x14ac:dyDescent="0.3">
      <c r="A70" s="5">
        <v>18801856</v>
      </c>
      <c r="B70" s="6" t="s">
        <v>194</v>
      </c>
      <c r="C70" s="6" t="s">
        <v>59</v>
      </c>
      <c r="D70" s="8" t="s">
        <v>60</v>
      </c>
      <c r="E70" s="6" t="s">
        <v>649</v>
      </c>
      <c r="F70" s="6" t="s">
        <v>51</v>
      </c>
      <c r="G70" s="11" t="s">
        <v>56</v>
      </c>
      <c r="H70" s="10" t="s">
        <v>650</v>
      </c>
      <c r="I70" s="6" t="s">
        <v>90</v>
      </c>
      <c r="J70" s="12">
        <v>46120.437731481485</v>
      </c>
      <c r="K70" s="6" t="e" cm="1">
        <f t="array" ref="K70">LOOKUP(2^15,SEARCH(Tabela2[Palavras-Chave],Boletim[[#This Row],[Objeto]],1),Tabela2[Palavras-Chave])</f>
        <v>#N/A</v>
      </c>
    </row>
    <row r="71" spans="1:11" hidden="1" x14ac:dyDescent="0.3">
      <c r="A71" s="5">
        <v>18801317</v>
      </c>
      <c r="B71" s="6" t="s">
        <v>651</v>
      </c>
      <c r="C71" s="6" t="s">
        <v>319</v>
      </c>
      <c r="D71" s="8" t="s">
        <v>60</v>
      </c>
      <c r="E71" s="6" t="s">
        <v>652</v>
      </c>
      <c r="F71" s="6" t="s">
        <v>51</v>
      </c>
      <c r="G71" s="11">
        <v>46125.333333333336</v>
      </c>
      <c r="H71" s="10" t="s">
        <v>653</v>
      </c>
      <c r="I71" s="6" t="s">
        <v>654</v>
      </c>
      <c r="J71" s="12">
        <v>46120.459224537037</v>
      </c>
      <c r="K71" s="6" t="e" cm="1">
        <f t="array" ref="K71">LOOKUP(2^15,SEARCH(Tabela2[Palavras-Chave],Boletim[[#This Row],[Objeto]],1),Tabela2[Palavras-Chave])</f>
        <v>#N/A</v>
      </c>
    </row>
    <row r="72" spans="1:11" hidden="1" x14ac:dyDescent="0.3">
      <c r="A72" s="5">
        <v>18802164</v>
      </c>
      <c r="B72" s="6" t="s">
        <v>321</v>
      </c>
      <c r="C72" s="6" t="s">
        <v>59</v>
      </c>
      <c r="D72" s="8" t="s">
        <v>60</v>
      </c>
      <c r="E72" s="6" t="s">
        <v>655</v>
      </c>
      <c r="F72" s="6" t="s">
        <v>51</v>
      </c>
      <c r="G72" s="11">
        <v>46126.333333333336</v>
      </c>
      <c r="H72" s="10" t="s">
        <v>656</v>
      </c>
      <c r="I72" s="6" t="s">
        <v>657</v>
      </c>
      <c r="J72" s="12">
        <v>46120.510428240741</v>
      </c>
      <c r="K72" s="6" t="e" cm="1">
        <f t="array" ref="K72">LOOKUP(2^15,SEARCH(Tabela2[Palavras-Chave],Boletim[[#This Row],[Objeto]],1),Tabela2[Palavras-Chave])</f>
        <v>#N/A</v>
      </c>
    </row>
    <row r="73" spans="1:11" hidden="1" x14ac:dyDescent="0.3">
      <c r="A73" s="13">
        <v>18802082</v>
      </c>
      <c r="B73" s="10" t="s">
        <v>658</v>
      </c>
      <c r="C73" s="10" t="s">
        <v>59</v>
      </c>
      <c r="D73" s="15" t="s">
        <v>60</v>
      </c>
      <c r="E73" s="10" t="s">
        <v>659</v>
      </c>
      <c r="F73" s="10" t="s">
        <v>51</v>
      </c>
      <c r="G73" s="16">
        <v>46126.333333333336</v>
      </c>
      <c r="H73" s="10" t="s">
        <v>660</v>
      </c>
      <c r="I73" s="10" t="s">
        <v>661</v>
      </c>
      <c r="J73" s="17">
        <v>46120.528645833336</v>
      </c>
      <c r="K73" s="6" t="e" cm="1">
        <f t="array" ref="K73">LOOKUP(2^15,SEARCH(Tabela2[Palavras-Chave],Boletim[[#This Row],[Objeto]],1),Tabela2[Palavras-Chave])</f>
        <v>#N/A</v>
      </c>
    </row>
    <row r="74" spans="1:11" hidden="1" x14ac:dyDescent="0.3">
      <c r="A74" s="5">
        <v>18801850</v>
      </c>
      <c r="B74" s="6" t="s">
        <v>194</v>
      </c>
      <c r="C74" s="6" t="s">
        <v>59</v>
      </c>
      <c r="D74" s="8" t="s">
        <v>60</v>
      </c>
      <c r="E74" s="6" t="s">
        <v>662</v>
      </c>
      <c r="F74" s="6" t="s">
        <v>51</v>
      </c>
      <c r="G74" s="11" t="s">
        <v>56</v>
      </c>
      <c r="H74" s="10" t="s">
        <v>663</v>
      </c>
      <c r="I74" s="6" t="s">
        <v>90</v>
      </c>
      <c r="J74" s="12">
        <v>46120.544814814813</v>
      </c>
      <c r="K74" s="6" t="e" cm="1">
        <f t="array" ref="K74">LOOKUP(2^15,SEARCH(Tabela2[Palavras-Chave],Boletim[[#This Row],[Objeto]],1),Tabela2[Palavras-Chave])</f>
        <v>#N/A</v>
      </c>
    </row>
    <row r="75" spans="1:11" hidden="1" x14ac:dyDescent="0.3">
      <c r="A75" s="5">
        <v>18801268</v>
      </c>
      <c r="B75" s="6" t="s">
        <v>664</v>
      </c>
      <c r="C75" s="6" t="s">
        <v>251</v>
      </c>
      <c r="D75" s="8" t="s">
        <v>60</v>
      </c>
      <c r="E75" s="6" t="s">
        <v>665</v>
      </c>
      <c r="F75" s="6" t="s">
        <v>51</v>
      </c>
      <c r="G75" s="11">
        <v>46122.75</v>
      </c>
      <c r="H75" s="10" t="s">
        <v>666</v>
      </c>
      <c r="I75" s="6" t="s">
        <v>667</v>
      </c>
      <c r="J75" s="12">
        <v>46120.555405092593</v>
      </c>
      <c r="K75" s="6" t="e" cm="1">
        <f t="array" ref="K75">LOOKUP(2^15,SEARCH(Tabela2[Palavras-Chave],Boletim[[#This Row],[Objeto]],1),Tabela2[Palavras-Chave])</f>
        <v>#N/A</v>
      </c>
    </row>
    <row r="76" spans="1:11" hidden="1" x14ac:dyDescent="0.3">
      <c r="A76" s="5">
        <v>18801855</v>
      </c>
      <c r="B76" s="6" t="s">
        <v>194</v>
      </c>
      <c r="C76" s="6" t="s">
        <v>59</v>
      </c>
      <c r="D76" s="8" t="s">
        <v>60</v>
      </c>
      <c r="E76" s="6" t="s">
        <v>668</v>
      </c>
      <c r="F76" s="6" t="s">
        <v>51</v>
      </c>
      <c r="G76" s="11" t="s">
        <v>56</v>
      </c>
      <c r="H76" s="10" t="s">
        <v>669</v>
      </c>
      <c r="I76" s="6" t="s">
        <v>90</v>
      </c>
      <c r="J76" s="12">
        <v>46120.556620370371</v>
      </c>
      <c r="K76" s="6" t="e" cm="1">
        <f t="array" ref="K76">LOOKUP(2^15,SEARCH(Tabela2[Palavras-Chave],Boletim[[#This Row],[Objeto]],1),Tabela2[Palavras-Chave])</f>
        <v>#N/A</v>
      </c>
    </row>
    <row r="77" spans="1:11" hidden="1" x14ac:dyDescent="0.3">
      <c r="A77" s="5">
        <v>18803282</v>
      </c>
      <c r="B77" s="6" t="s">
        <v>670</v>
      </c>
      <c r="C77" s="6" t="s">
        <v>319</v>
      </c>
      <c r="D77" s="8" t="s">
        <v>60</v>
      </c>
      <c r="E77" s="6" t="s">
        <v>671</v>
      </c>
      <c r="F77" s="6" t="s">
        <v>51</v>
      </c>
      <c r="G77" s="11">
        <v>46125.375</v>
      </c>
      <c r="H77" s="10" t="s">
        <v>672</v>
      </c>
      <c r="I77" s="6" t="s">
        <v>673</v>
      </c>
      <c r="J77" s="12">
        <v>46120.590520833335</v>
      </c>
      <c r="K77" s="6" t="e" cm="1">
        <f t="array" ref="K77">LOOKUP(2^15,SEARCH(Tabela2[Palavras-Chave],Boletim[[#This Row],[Objeto]],1),Tabela2[Palavras-Chave])</f>
        <v>#N/A</v>
      </c>
    </row>
    <row r="78" spans="1:11" hidden="1" x14ac:dyDescent="0.3">
      <c r="A78" s="5">
        <v>18779904</v>
      </c>
      <c r="B78" s="6" t="s">
        <v>217</v>
      </c>
      <c r="C78" s="6" t="s">
        <v>59</v>
      </c>
      <c r="D78" s="8" t="s">
        <v>60</v>
      </c>
      <c r="E78" s="6" t="s">
        <v>674</v>
      </c>
      <c r="F78" s="6" t="s">
        <v>51</v>
      </c>
      <c r="G78" s="11" t="s">
        <v>56</v>
      </c>
      <c r="H78" s="10" t="s">
        <v>675</v>
      </c>
      <c r="I78" s="6" t="s">
        <v>138</v>
      </c>
      <c r="J78" s="12">
        <v>46120.600752314815</v>
      </c>
      <c r="K78" s="6" t="e" cm="1">
        <f t="array" ref="K78">LOOKUP(2^15,SEARCH(Tabela2[Palavras-Chave],Boletim[[#This Row],[Objeto]],1),Tabela2[Palavras-Chave])</f>
        <v>#N/A</v>
      </c>
    </row>
    <row r="79" spans="1:11" hidden="1" x14ac:dyDescent="0.3">
      <c r="A79" s="5">
        <v>18801314</v>
      </c>
      <c r="B79" s="6" t="s">
        <v>676</v>
      </c>
      <c r="C79" s="6" t="s">
        <v>59</v>
      </c>
      <c r="D79" s="8" t="s">
        <v>60</v>
      </c>
      <c r="E79" s="6" t="s">
        <v>677</v>
      </c>
      <c r="F79" s="6" t="s">
        <v>51</v>
      </c>
      <c r="G79" s="11">
        <v>46122.708333333336</v>
      </c>
      <c r="H79" s="10" t="s">
        <v>678</v>
      </c>
      <c r="I79" s="6" t="s">
        <v>679</v>
      </c>
      <c r="J79" s="12">
        <v>46120.661111111112</v>
      </c>
      <c r="K79" s="6" t="e" cm="1">
        <f t="array" ref="K79">LOOKUP(2^15,SEARCH(Tabela2[Palavras-Chave],Boletim[[#This Row],[Objeto]],1),Tabela2[Palavras-Chave])</f>
        <v>#N/A</v>
      </c>
    </row>
    <row r="80" spans="1:11" hidden="1" x14ac:dyDescent="0.3">
      <c r="A80" s="5">
        <v>18803303</v>
      </c>
      <c r="B80" s="6" t="s">
        <v>680</v>
      </c>
      <c r="C80" s="6" t="s">
        <v>681</v>
      </c>
      <c r="D80" s="8" t="s">
        <v>60</v>
      </c>
      <c r="E80" s="6" t="s">
        <v>682</v>
      </c>
      <c r="F80" s="6" t="s">
        <v>51</v>
      </c>
      <c r="G80" s="11">
        <v>46125.5</v>
      </c>
      <c r="H80" s="10" t="s">
        <v>683</v>
      </c>
      <c r="I80" s="6" t="s">
        <v>684</v>
      </c>
      <c r="J80" s="12">
        <v>46120.672372685185</v>
      </c>
      <c r="K80" s="6" t="e" cm="1">
        <f t="array" ref="K80">LOOKUP(2^15,SEARCH(Tabela2[Palavras-Chave],Boletim[[#This Row],[Objeto]],1),Tabela2[Palavras-Chave])</f>
        <v>#N/A</v>
      </c>
    </row>
    <row r="81" spans="1:11" hidden="1" x14ac:dyDescent="0.3">
      <c r="A81" s="5">
        <v>18801277</v>
      </c>
      <c r="B81" s="6" t="s">
        <v>685</v>
      </c>
      <c r="C81" s="6" t="s">
        <v>356</v>
      </c>
      <c r="D81" s="8" t="s">
        <v>60</v>
      </c>
      <c r="E81" s="6" t="s">
        <v>686</v>
      </c>
      <c r="F81" s="6" t="s">
        <v>51</v>
      </c>
      <c r="G81" s="11">
        <v>46125.333333333336</v>
      </c>
      <c r="H81" s="10" t="s">
        <v>687</v>
      </c>
      <c r="I81" s="6" t="s">
        <v>688</v>
      </c>
      <c r="J81" s="12">
        <v>46120.671655092592</v>
      </c>
      <c r="K81" s="6" t="e" cm="1">
        <f t="array" ref="K81">LOOKUP(2^15,SEARCH(Tabela2[Palavras-Chave],Boletim[[#This Row],[Objeto]],1),Tabela2[Palavras-Chave])</f>
        <v>#N/A</v>
      </c>
    </row>
    <row r="82" spans="1:11" hidden="1" x14ac:dyDescent="0.3">
      <c r="A82" s="5">
        <v>18803290</v>
      </c>
      <c r="B82" s="6" t="s">
        <v>689</v>
      </c>
      <c r="C82" s="6" t="s">
        <v>59</v>
      </c>
      <c r="D82" s="8" t="s">
        <v>60</v>
      </c>
      <c r="E82" s="6" t="s">
        <v>690</v>
      </c>
      <c r="F82" s="6" t="s">
        <v>51</v>
      </c>
      <c r="G82" s="11">
        <v>46125.416666666664</v>
      </c>
      <c r="H82" s="10" t="s">
        <v>691</v>
      </c>
      <c r="I82" s="6" t="s">
        <v>692</v>
      </c>
      <c r="J82" s="12">
        <v>46120.672372685185</v>
      </c>
      <c r="K82" s="6" t="e" cm="1">
        <f t="array" ref="K82">LOOKUP(2^15,SEARCH(Tabela2[Palavras-Chave],Boletim[[#This Row],[Objeto]],1),Tabela2[Palavras-Chave])</f>
        <v>#N/A</v>
      </c>
    </row>
    <row r="83" spans="1:11" hidden="1" x14ac:dyDescent="0.3">
      <c r="A83" s="5">
        <v>18804589</v>
      </c>
      <c r="B83" s="6" t="s">
        <v>323</v>
      </c>
      <c r="C83" s="6" t="s">
        <v>252</v>
      </c>
      <c r="D83" s="8" t="s">
        <v>60</v>
      </c>
      <c r="E83" s="6" t="s">
        <v>693</v>
      </c>
      <c r="F83" s="6" t="s">
        <v>51</v>
      </c>
      <c r="G83" s="11">
        <v>46125.458333333336</v>
      </c>
      <c r="H83" s="10" t="s">
        <v>694</v>
      </c>
      <c r="I83" s="6" t="s">
        <v>695</v>
      </c>
      <c r="J83" s="12">
        <v>46120.675000000003</v>
      </c>
      <c r="K83" s="6" t="e" cm="1">
        <f t="array" ref="K83">LOOKUP(2^15,SEARCH(Tabela2[Palavras-Chave],Boletim[[#This Row],[Objeto]],1),Tabela2[Palavras-Chave])</f>
        <v>#N/A</v>
      </c>
    </row>
    <row r="84" spans="1:11" hidden="1" x14ac:dyDescent="0.3">
      <c r="A84" s="5">
        <v>18804416</v>
      </c>
      <c r="B84" s="6" t="s">
        <v>696</v>
      </c>
      <c r="C84" s="6" t="s">
        <v>697</v>
      </c>
      <c r="D84" s="8" t="s">
        <v>60</v>
      </c>
      <c r="E84" s="6" t="s">
        <v>698</v>
      </c>
      <c r="F84" s="6" t="s">
        <v>51</v>
      </c>
      <c r="G84" s="11">
        <v>46125.479166666664</v>
      </c>
      <c r="H84" s="10" t="s">
        <v>699</v>
      </c>
      <c r="I84" s="6" t="s">
        <v>700</v>
      </c>
      <c r="J84" s="12">
        <v>46120.679907407408</v>
      </c>
      <c r="K84" s="6" t="e" cm="1">
        <f t="array" ref="K84">LOOKUP(2^15,SEARCH(Tabela2[Palavras-Chave],Boletim[[#This Row],[Objeto]],1),Tabela2[Palavras-Chave])</f>
        <v>#N/A</v>
      </c>
    </row>
    <row r="85" spans="1:11" ht="57.6" x14ac:dyDescent="0.3">
      <c r="A85" s="5">
        <v>18802468</v>
      </c>
      <c r="B85" s="6" t="s">
        <v>701</v>
      </c>
      <c r="C85" s="6" t="s">
        <v>702</v>
      </c>
      <c r="D85" s="8" t="s">
        <v>60</v>
      </c>
      <c r="E85" s="6" t="s">
        <v>141</v>
      </c>
      <c r="F85" s="6" t="s">
        <v>51</v>
      </c>
      <c r="G85" s="11">
        <v>46122.645833333336</v>
      </c>
      <c r="H85" s="21" t="s">
        <v>703</v>
      </c>
      <c r="I85" s="6" t="s">
        <v>704</v>
      </c>
      <c r="J85" s="12">
        <v>46120.731099537035</v>
      </c>
      <c r="K85" s="6" t="str" cm="1">
        <f t="array" ref="K85">LOOKUP(2^15,SEARCH(Tabela2[Palavras-Chave],Boletim[[#This Row],[Objeto]],1),Tabela2[Palavras-Chave])</f>
        <v>EFICIÊNCIA</v>
      </c>
    </row>
    <row r="86" spans="1:11" hidden="1" x14ac:dyDescent="0.3">
      <c r="A86" s="13">
        <v>18803280</v>
      </c>
      <c r="B86" s="10" t="s">
        <v>645</v>
      </c>
      <c r="C86" s="10" t="s">
        <v>59</v>
      </c>
      <c r="D86" s="15" t="s">
        <v>60</v>
      </c>
      <c r="E86" s="10" t="s">
        <v>705</v>
      </c>
      <c r="F86" s="10" t="s">
        <v>51</v>
      </c>
      <c r="G86" s="16">
        <v>46126.458333333336</v>
      </c>
      <c r="H86" s="10" t="s">
        <v>706</v>
      </c>
      <c r="I86" s="10" t="s">
        <v>707</v>
      </c>
      <c r="J86" s="17">
        <v>46120.735613425924</v>
      </c>
      <c r="K86" s="6" t="e" cm="1">
        <f t="array" ref="K86">LOOKUP(2^15,SEARCH(Tabela2[Palavras-Chave],Boletim[[#This Row],[Objeto]],1),Tabela2[Palavras-Chave])</f>
        <v>#N/A</v>
      </c>
    </row>
    <row r="87" spans="1:11" hidden="1" x14ac:dyDescent="0.3">
      <c r="A87" s="5">
        <v>18803326</v>
      </c>
      <c r="B87" s="6" t="s">
        <v>708</v>
      </c>
      <c r="C87" s="6" t="s">
        <v>628</v>
      </c>
      <c r="D87" s="8" t="s">
        <v>60</v>
      </c>
      <c r="E87" s="6" t="s">
        <v>709</v>
      </c>
      <c r="F87" s="6" t="s">
        <v>51</v>
      </c>
      <c r="G87" s="11">
        <v>46125.375</v>
      </c>
      <c r="H87" s="10" t="s">
        <v>710</v>
      </c>
      <c r="I87" s="6" t="s">
        <v>711</v>
      </c>
      <c r="J87" s="12">
        <v>46120.738599537035</v>
      </c>
      <c r="K87" s="6" t="e" cm="1">
        <f t="array" ref="K87">LOOKUP(2^15,SEARCH(Tabela2[Palavras-Chave],Boletim[[#This Row],[Objeto]],1),Tabela2[Palavras-Chave])</f>
        <v>#N/A</v>
      </c>
    </row>
    <row r="88" spans="1:11" hidden="1" x14ac:dyDescent="0.3">
      <c r="A88" s="5">
        <v>18804559</v>
      </c>
      <c r="B88" s="6" t="s">
        <v>712</v>
      </c>
      <c r="C88" s="6" t="s">
        <v>713</v>
      </c>
      <c r="D88" s="8" t="s">
        <v>60</v>
      </c>
      <c r="E88" s="6" t="s">
        <v>714</v>
      </c>
      <c r="F88" s="6" t="s">
        <v>51</v>
      </c>
      <c r="G88" s="11">
        <v>46125.5</v>
      </c>
      <c r="H88" s="10" t="s">
        <v>715</v>
      </c>
      <c r="I88" s="6" t="s">
        <v>716</v>
      </c>
      <c r="J88" s="12">
        <v>46120.758923611109</v>
      </c>
      <c r="K88" s="6" t="e" cm="1">
        <f t="array" ref="K88">LOOKUP(2^15,SEARCH(Tabela2[Palavras-Chave],Boletim[[#This Row],[Objeto]],1),Tabela2[Palavras-Chave])</f>
        <v>#N/A</v>
      </c>
    </row>
    <row r="89" spans="1:11" hidden="1" x14ac:dyDescent="0.3">
      <c r="A89" s="5">
        <v>18804563</v>
      </c>
      <c r="B89" s="6" t="s">
        <v>717</v>
      </c>
      <c r="C89" s="6" t="s">
        <v>59</v>
      </c>
      <c r="D89" s="8" t="s">
        <v>60</v>
      </c>
      <c r="E89" s="6" t="s">
        <v>718</v>
      </c>
      <c r="F89" s="6" t="s">
        <v>51</v>
      </c>
      <c r="G89" s="11">
        <v>46126.5</v>
      </c>
      <c r="H89" s="10" t="s">
        <v>719</v>
      </c>
      <c r="I89" s="6" t="s">
        <v>720</v>
      </c>
      <c r="J89" s="12">
        <v>46120.759201388886</v>
      </c>
      <c r="K89" s="6" t="e" cm="1">
        <f t="array" ref="K89">LOOKUP(2^15,SEARCH(Tabela2[Palavras-Chave],Boletim[[#This Row],[Objeto]],1),Tabela2[Palavras-Chave])</f>
        <v>#N/A</v>
      </c>
    </row>
    <row r="90" spans="1:11" hidden="1" x14ac:dyDescent="0.3">
      <c r="A90" s="5">
        <v>18804506</v>
      </c>
      <c r="B90" s="6" t="s">
        <v>721</v>
      </c>
      <c r="C90" s="6" t="s">
        <v>697</v>
      </c>
      <c r="D90" s="8" t="s">
        <v>60</v>
      </c>
      <c r="E90" s="6" t="s">
        <v>722</v>
      </c>
      <c r="F90" s="6" t="s">
        <v>51</v>
      </c>
      <c r="G90" s="11">
        <v>46125.520833333336</v>
      </c>
      <c r="H90" s="10" t="s">
        <v>723</v>
      </c>
      <c r="I90" s="6" t="s">
        <v>724</v>
      </c>
      <c r="J90" s="12">
        <v>46120.766944444447</v>
      </c>
      <c r="K90" s="6" t="e" cm="1">
        <f t="array" ref="K90">LOOKUP(2^15,SEARCH(Tabela2[Palavras-Chave],Boletim[[#This Row],[Objeto]],1),Tabela2[Palavras-Chave])</f>
        <v>#N/A</v>
      </c>
    </row>
    <row r="91" spans="1:11" hidden="1" x14ac:dyDescent="0.3">
      <c r="A91" s="5">
        <v>18805799</v>
      </c>
      <c r="B91" s="6" t="s">
        <v>322</v>
      </c>
      <c r="C91" s="6" t="s">
        <v>59</v>
      </c>
      <c r="D91" s="8" t="s">
        <v>60</v>
      </c>
      <c r="E91" s="6" t="s">
        <v>725</v>
      </c>
      <c r="F91" s="6" t="s">
        <v>51</v>
      </c>
      <c r="G91" s="11">
        <v>46122.416666666664</v>
      </c>
      <c r="H91" s="10" t="s">
        <v>726</v>
      </c>
      <c r="I91" s="6" t="s">
        <v>727</v>
      </c>
      <c r="J91" s="12">
        <v>46120.770335648151</v>
      </c>
      <c r="K91" s="6" t="e" cm="1">
        <f t="array" ref="K91">LOOKUP(2^15,SEARCH(Tabela2[Palavras-Chave],Boletim[[#This Row],[Objeto]],1),Tabela2[Palavras-Chave])</f>
        <v>#N/A</v>
      </c>
    </row>
    <row r="92" spans="1:11" hidden="1" x14ac:dyDescent="0.3">
      <c r="A92" s="5">
        <v>18805786</v>
      </c>
      <c r="B92" s="6" t="s">
        <v>322</v>
      </c>
      <c r="C92" s="6" t="s">
        <v>59</v>
      </c>
      <c r="D92" s="8" t="s">
        <v>60</v>
      </c>
      <c r="E92" s="6" t="s">
        <v>728</v>
      </c>
      <c r="F92" s="6" t="s">
        <v>51</v>
      </c>
      <c r="G92" s="11">
        <v>46121.458333333336</v>
      </c>
      <c r="H92" s="10" t="s">
        <v>726</v>
      </c>
      <c r="I92" s="6" t="s">
        <v>727</v>
      </c>
      <c r="J92" s="12">
        <v>46120.77039351852</v>
      </c>
      <c r="K92" s="6" t="e" cm="1">
        <f t="array" ref="K92">LOOKUP(2^15,SEARCH(Tabela2[Palavras-Chave],Boletim[[#This Row],[Objeto]],1),Tabela2[Palavras-Chave])</f>
        <v>#N/A</v>
      </c>
    </row>
    <row r="93" spans="1:11" hidden="1" x14ac:dyDescent="0.3">
      <c r="A93" s="5">
        <v>18805914</v>
      </c>
      <c r="B93" s="6" t="s">
        <v>729</v>
      </c>
      <c r="C93" s="6" t="s">
        <v>59</v>
      </c>
      <c r="D93" s="8" t="s">
        <v>60</v>
      </c>
      <c r="E93" s="6" t="s">
        <v>730</v>
      </c>
      <c r="F93" s="6" t="s">
        <v>51</v>
      </c>
      <c r="G93" s="11">
        <v>46128.333333333336</v>
      </c>
      <c r="H93" s="10" t="s">
        <v>731</v>
      </c>
      <c r="I93" s="6" t="s">
        <v>732</v>
      </c>
      <c r="J93" s="12">
        <v>46120.785381944443</v>
      </c>
      <c r="K93" s="6" t="e" cm="1">
        <f t="array" ref="K93">LOOKUP(2^15,SEARCH(Tabela2[Palavras-Chave],Boletim[[#This Row],[Objeto]],1),Tabela2[Palavras-Chave])</f>
        <v>#N/A</v>
      </c>
    </row>
    <row r="94" spans="1:11" hidden="1" x14ac:dyDescent="0.3">
      <c r="A94" s="5">
        <v>18805898</v>
      </c>
      <c r="B94" s="6" t="s">
        <v>733</v>
      </c>
      <c r="C94" s="6" t="s">
        <v>59</v>
      </c>
      <c r="D94" s="8" t="s">
        <v>60</v>
      </c>
      <c r="E94" s="6" t="s">
        <v>734</v>
      </c>
      <c r="F94" s="6" t="s">
        <v>51</v>
      </c>
      <c r="G94" s="11">
        <v>46126.5</v>
      </c>
      <c r="H94" s="10" t="s">
        <v>735</v>
      </c>
      <c r="I94" s="6" t="s">
        <v>736</v>
      </c>
      <c r="J94" s="12">
        <v>46120.78601851852</v>
      </c>
      <c r="K94" s="6" t="e" cm="1">
        <f t="array" ref="K94">LOOKUP(2^15,SEARCH(Tabela2[Palavras-Chave],Boletim[[#This Row],[Objeto]],1),Tabela2[Palavras-Chave])</f>
        <v>#N/A</v>
      </c>
    </row>
    <row r="95" spans="1:11" hidden="1" x14ac:dyDescent="0.3">
      <c r="A95" s="5">
        <v>18805878</v>
      </c>
      <c r="B95" s="6" t="s">
        <v>737</v>
      </c>
      <c r="C95" s="6" t="s">
        <v>738</v>
      </c>
      <c r="D95" s="8" t="s">
        <v>60</v>
      </c>
      <c r="E95" s="6" t="s">
        <v>739</v>
      </c>
      <c r="F95" s="6" t="s">
        <v>51</v>
      </c>
      <c r="G95" s="11">
        <v>46126.583333333336</v>
      </c>
      <c r="H95" s="10" t="s">
        <v>740</v>
      </c>
      <c r="I95" s="6" t="s">
        <v>741</v>
      </c>
      <c r="J95" s="12">
        <v>46120.786527777775</v>
      </c>
      <c r="K95" s="6" t="e" cm="1">
        <f t="array" ref="K95">LOOKUP(2^15,SEARCH(Tabela2[Palavras-Chave],Boletim[[#This Row],[Objeto]],1),Tabela2[Palavras-Chave])</f>
        <v>#N/A</v>
      </c>
    </row>
    <row r="96" spans="1:11" hidden="1" x14ac:dyDescent="0.3">
      <c r="A96" s="5">
        <v>18801383</v>
      </c>
      <c r="B96" s="6" t="s">
        <v>645</v>
      </c>
      <c r="C96" s="6" t="s">
        <v>59</v>
      </c>
      <c r="D96" s="8" t="s">
        <v>60</v>
      </c>
      <c r="E96" s="6" t="s">
        <v>742</v>
      </c>
      <c r="F96" s="6" t="s">
        <v>51</v>
      </c>
      <c r="G96" s="11">
        <v>46126.375</v>
      </c>
      <c r="H96" s="10" t="s">
        <v>743</v>
      </c>
      <c r="I96" s="6" t="s">
        <v>744</v>
      </c>
      <c r="J96" s="12">
        <v>46120.817175925928</v>
      </c>
      <c r="K96" s="6" t="e" cm="1">
        <f t="array" ref="K96">LOOKUP(2^15,SEARCH(Tabela2[Palavras-Chave],Boletim[[#This Row],[Objeto]],1),Tabela2[Palavras-Chave])</f>
        <v>#N/A</v>
      </c>
    </row>
    <row r="97" spans="1:11" hidden="1" x14ac:dyDescent="0.3">
      <c r="A97" s="5">
        <v>18745593</v>
      </c>
      <c r="B97" s="6" t="s">
        <v>151</v>
      </c>
      <c r="C97" s="6" t="s">
        <v>59</v>
      </c>
      <c r="D97" s="8" t="s">
        <v>60</v>
      </c>
      <c r="E97" s="6" t="s">
        <v>745</v>
      </c>
      <c r="F97" s="6" t="s">
        <v>51</v>
      </c>
      <c r="G97" s="11">
        <v>46125.381944444445</v>
      </c>
      <c r="H97" s="10" t="s">
        <v>746</v>
      </c>
      <c r="I97" s="6" t="s">
        <v>747</v>
      </c>
      <c r="J97" s="12">
        <v>46120.872384259259</v>
      </c>
      <c r="K97" s="6" t="e" cm="1">
        <f t="array" ref="K97">LOOKUP(2^15,SEARCH(Tabela2[Palavras-Chave],Boletim[[#This Row],[Objeto]],1),Tabela2[Palavras-Chave])</f>
        <v>#N/A</v>
      </c>
    </row>
    <row r="98" spans="1:11" hidden="1" x14ac:dyDescent="0.3">
      <c r="A98" s="5">
        <v>18801885</v>
      </c>
      <c r="B98" s="6" t="s">
        <v>191</v>
      </c>
      <c r="C98" s="6" t="s">
        <v>88</v>
      </c>
      <c r="D98" s="8" t="s">
        <v>63</v>
      </c>
      <c r="E98" s="6" t="s">
        <v>748</v>
      </c>
      <c r="F98" s="6" t="s">
        <v>51</v>
      </c>
      <c r="G98" s="11" t="s">
        <v>56</v>
      </c>
      <c r="H98" s="10" t="s">
        <v>749</v>
      </c>
      <c r="I98" s="6" t="s">
        <v>90</v>
      </c>
      <c r="J98" s="12">
        <v>46120.573784722219</v>
      </c>
      <c r="K98" s="6" t="e" cm="1">
        <f t="array" ref="K98">LOOKUP(2^15,SEARCH(Tabela2[Palavras-Chave],Boletim[[#This Row],[Objeto]],1),Tabela2[Palavras-Chave])</f>
        <v>#N/A</v>
      </c>
    </row>
    <row r="99" spans="1:11" hidden="1" x14ac:dyDescent="0.3">
      <c r="A99" s="5">
        <v>18801898</v>
      </c>
      <c r="B99" s="6" t="s">
        <v>325</v>
      </c>
      <c r="C99" s="6" t="s">
        <v>213</v>
      </c>
      <c r="D99" s="8" t="s">
        <v>64</v>
      </c>
      <c r="E99" s="6" t="s">
        <v>750</v>
      </c>
      <c r="F99" s="6" t="s">
        <v>51</v>
      </c>
      <c r="G99" s="11" t="s">
        <v>56</v>
      </c>
      <c r="H99" s="10" t="s">
        <v>751</v>
      </c>
      <c r="I99" s="6" t="s">
        <v>752</v>
      </c>
      <c r="J99" s="12">
        <v>46120.521504629629</v>
      </c>
      <c r="K99" s="6" t="e" cm="1">
        <f t="array" ref="K99">LOOKUP(2^15,SEARCH(Tabela2[Palavras-Chave],Boletim[[#This Row],[Objeto]],1),Tabela2[Palavras-Chave])</f>
        <v>#N/A</v>
      </c>
    </row>
    <row r="100" spans="1:11" hidden="1" x14ac:dyDescent="0.3">
      <c r="A100" s="5">
        <v>18801901</v>
      </c>
      <c r="B100" s="6" t="s">
        <v>753</v>
      </c>
      <c r="C100" s="6" t="s">
        <v>213</v>
      </c>
      <c r="D100" s="8" t="s">
        <v>64</v>
      </c>
      <c r="E100" s="6" t="s">
        <v>754</v>
      </c>
      <c r="F100" s="6" t="s">
        <v>51</v>
      </c>
      <c r="G100" s="11" t="s">
        <v>56</v>
      </c>
      <c r="H100" s="10" t="s">
        <v>755</v>
      </c>
      <c r="I100" s="6" t="s">
        <v>752</v>
      </c>
      <c r="J100" s="12">
        <v>46120.521562499998</v>
      </c>
      <c r="K100" s="6" t="e" cm="1">
        <f t="array" ref="K100">LOOKUP(2^15,SEARCH(Tabela2[Palavras-Chave],Boletim[[#This Row],[Objeto]],1),Tabela2[Palavras-Chave])</f>
        <v>#N/A</v>
      </c>
    </row>
    <row r="101" spans="1:11" x14ac:dyDescent="0.3">
      <c r="A101" s="5">
        <v>18801900</v>
      </c>
      <c r="B101" s="6" t="s">
        <v>325</v>
      </c>
      <c r="C101" s="6" t="s">
        <v>213</v>
      </c>
      <c r="D101" s="8" t="s">
        <v>64</v>
      </c>
      <c r="E101" s="6" t="s">
        <v>756</v>
      </c>
      <c r="F101" s="6" t="s">
        <v>51</v>
      </c>
      <c r="G101" s="11" t="s">
        <v>56</v>
      </c>
      <c r="H101" s="21" t="s">
        <v>757</v>
      </c>
      <c r="I101" s="6" t="s">
        <v>758</v>
      </c>
      <c r="J101" s="12">
        <v>46120.583182870374</v>
      </c>
      <c r="K101" s="6" t="str" cm="1">
        <f t="array" ref="K101">LOOKUP(2^15,SEARCH(Tabela2[Palavras-Chave],Boletim[[#This Row],[Objeto]],1),Tabela2[Palavras-Chave])</f>
        <v>RESERVAT</v>
      </c>
    </row>
    <row r="102" spans="1:11" hidden="1" x14ac:dyDescent="0.3">
      <c r="A102" s="5">
        <v>18803718</v>
      </c>
      <c r="B102" s="6" t="s">
        <v>759</v>
      </c>
      <c r="C102" s="6" t="s">
        <v>760</v>
      </c>
      <c r="D102" s="8" t="s">
        <v>64</v>
      </c>
      <c r="E102" s="6" t="s">
        <v>761</v>
      </c>
      <c r="F102" s="6" t="s">
        <v>51</v>
      </c>
      <c r="G102" s="11">
        <v>46121.625</v>
      </c>
      <c r="H102" s="10" t="s">
        <v>762</v>
      </c>
      <c r="I102" s="6" t="s">
        <v>763</v>
      </c>
      <c r="J102" s="12">
        <v>46120.737905092596</v>
      </c>
      <c r="K102" s="6" t="e" cm="1">
        <f t="array" ref="K102">LOOKUP(2^15,SEARCH(Tabela2[Palavras-Chave],Boletim[[#This Row],[Objeto]],1),Tabela2[Palavras-Chave])</f>
        <v>#N/A</v>
      </c>
    </row>
    <row r="103" spans="1:11" hidden="1" x14ac:dyDescent="0.3">
      <c r="A103" s="5">
        <v>18804483</v>
      </c>
      <c r="B103" s="6" t="s">
        <v>764</v>
      </c>
      <c r="C103" s="6" t="s">
        <v>765</v>
      </c>
      <c r="D103" s="8" t="s">
        <v>64</v>
      </c>
      <c r="E103" s="6" t="s">
        <v>766</v>
      </c>
      <c r="F103" s="6" t="s">
        <v>51</v>
      </c>
      <c r="G103" s="11">
        <v>46125.486805555556</v>
      </c>
      <c r="H103" s="10" t="s">
        <v>767</v>
      </c>
      <c r="I103" s="6" t="s">
        <v>768</v>
      </c>
      <c r="J103" s="12">
        <v>46120.743287037039</v>
      </c>
      <c r="K103" s="6" t="e" cm="1">
        <f t="array" ref="K103">LOOKUP(2^15,SEARCH(Tabela2[Palavras-Chave],Boletim[[#This Row],[Objeto]],1),Tabela2[Palavras-Chave])</f>
        <v>#N/A</v>
      </c>
    </row>
    <row r="104" spans="1:11" hidden="1" x14ac:dyDescent="0.3">
      <c r="A104" s="5">
        <v>18805852</v>
      </c>
      <c r="B104" s="6" t="s">
        <v>214</v>
      </c>
      <c r="C104" s="6" t="s">
        <v>215</v>
      </c>
      <c r="D104" s="8" t="s">
        <v>64</v>
      </c>
      <c r="E104" s="6" t="s">
        <v>769</v>
      </c>
      <c r="F104" s="6" t="s">
        <v>51</v>
      </c>
      <c r="G104" s="11">
        <v>46125.575694444444</v>
      </c>
      <c r="H104" s="10" t="s">
        <v>770</v>
      </c>
      <c r="I104" s="6" t="s">
        <v>771</v>
      </c>
      <c r="J104" s="12">
        <v>46120.787291666667</v>
      </c>
      <c r="K104" s="6" t="e" cm="1">
        <f t="array" ref="K104">LOOKUP(2^15,SEARCH(Tabela2[Palavras-Chave],Boletim[[#This Row],[Objeto]],1),Tabela2[Palavras-Chave])</f>
        <v>#N/A</v>
      </c>
    </row>
    <row r="105" spans="1:11" hidden="1" x14ac:dyDescent="0.3">
      <c r="A105" s="5">
        <v>18805891</v>
      </c>
      <c r="B105" s="6" t="s">
        <v>772</v>
      </c>
      <c r="C105" s="6" t="s">
        <v>101</v>
      </c>
      <c r="D105" s="8" t="s">
        <v>64</v>
      </c>
      <c r="E105" s="6" t="s">
        <v>351</v>
      </c>
      <c r="F105" s="6" t="s">
        <v>51</v>
      </c>
      <c r="G105" s="11">
        <v>46126.333333333336</v>
      </c>
      <c r="H105" s="10" t="s">
        <v>773</v>
      </c>
      <c r="I105" s="6" t="s">
        <v>774</v>
      </c>
      <c r="J105" s="12">
        <v>46120.79005787037</v>
      </c>
      <c r="K105" s="6" t="e" cm="1">
        <f t="array" ref="K105">LOOKUP(2^15,SEARCH(Tabela2[Palavras-Chave],Boletim[[#This Row],[Objeto]],1),Tabela2[Palavras-Chave])</f>
        <v>#N/A</v>
      </c>
    </row>
    <row r="106" spans="1:11" hidden="1" x14ac:dyDescent="0.3">
      <c r="A106" s="5">
        <v>18805893</v>
      </c>
      <c r="B106" s="6" t="s">
        <v>775</v>
      </c>
      <c r="C106" s="6" t="s">
        <v>215</v>
      </c>
      <c r="D106" s="8" t="s">
        <v>64</v>
      </c>
      <c r="E106" s="6" t="s">
        <v>776</v>
      </c>
      <c r="F106" s="6" t="s">
        <v>51</v>
      </c>
      <c r="G106" s="11">
        <v>46125.574999999997</v>
      </c>
      <c r="H106" s="10" t="s">
        <v>777</v>
      </c>
      <c r="I106" s="6" t="s">
        <v>778</v>
      </c>
      <c r="J106" s="12">
        <v>46120.790162037039</v>
      </c>
      <c r="K106" s="6" t="e" cm="1">
        <f t="array" ref="K106">LOOKUP(2^15,SEARCH(Tabela2[Palavras-Chave],Boletim[[#This Row],[Objeto]],1),Tabela2[Palavras-Chave])</f>
        <v>#N/A</v>
      </c>
    </row>
    <row r="107" spans="1:11" hidden="1" x14ac:dyDescent="0.3">
      <c r="A107" s="5">
        <v>18805887</v>
      </c>
      <c r="B107" s="6" t="s">
        <v>214</v>
      </c>
      <c r="C107" s="6" t="s">
        <v>215</v>
      </c>
      <c r="D107" s="8" t="s">
        <v>64</v>
      </c>
      <c r="E107" s="6" t="s">
        <v>779</v>
      </c>
      <c r="F107" s="6" t="s">
        <v>51</v>
      </c>
      <c r="G107" s="11">
        <v>46125.578472222223</v>
      </c>
      <c r="H107" s="10" t="s">
        <v>780</v>
      </c>
      <c r="I107" s="6" t="s">
        <v>781</v>
      </c>
      <c r="J107" s="12">
        <v>46120.850381944445</v>
      </c>
      <c r="K107" s="6" t="e" cm="1">
        <f t="array" ref="K107">LOOKUP(2^15,SEARCH(Tabela2[Palavras-Chave],Boletim[[#This Row],[Objeto]],1),Tabela2[Palavras-Chave])</f>
        <v>#N/A</v>
      </c>
    </row>
    <row r="108" spans="1:11" hidden="1" x14ac:dyDescent="0.3">
      <c r="A108" s="5">
        <v>18804578</v>
      </c>
      <c r="B108" s="6" t="s">
        <v>203</v>
      </c>
      <c r="C108" s="6" t="s">
        <v>204</v>
      </c>
      <c r="D108" s="8" t="s">
        <v>64</v>
      </c>
      <c r="E108" s="6" t="s">
        <v>782</v>
      </c>
      <c r="F108" s="6" t="s">
        <v>51</v>
      </c>
      <c r="G108" s="11">
        <v>46125.999305555553</v>
      </c>
      <c r="H108" s="10" t="s">
        <v>783</v>
      </c>
      <c r="I108" s="6" t="s">
        <v>784</v>
      </c>
      <c r="J108" s="12">
        <v>46120.869930555556</v>
      </c>
      <c r="K108" s="6" t="e" cm="1">
        <f t="array" ref="K108">LOOKUP(2^15,SEARCH(Tabela2[Palavras-Chave],Boletim[[#This Row],[Objeto]],1),Tabela2[Palavras-Chave])</f>
        <v>#N/A</v>
      </c>
    </row>
    <row r="109" spans="1:11" hidden="1" x14ac:dyDescent="0.3">
      <c r="A109" s="5">
        <v>18580467</v>
      </c>
      <c r="B109" s="6" t="s">
        <v>177</v>
      </c>
      <c r="C109" s="6" t="s">
        <v>65</v>
      </c>
      <c r="D109" s="8" t="s">
        <v>66</v>
      </c>
      <c r="E109" s="6" t="s">
        <v>785</v>
      </c>
      <c r="F109" s="6" t="s">
        <v>51</v>
      </c>
      <c r="G109" s="11" t="s">
        <v>56</v>
      </c>
      <c r="H109" s="10" t="s">
        <v>786</v>
      </c>
      <c r="I109" s="6" t="s">
        <v>787</v>
      </c>
      <c r="J109" s="12">
        <v>46120.468113425923</v>
      </c>
      <c r="K109" s="6" t="e" cm="1">
        <f t="array" ref="K109">LOOKUP(2^15,SEARCH(Tabela2[Palavras-Chave],Boletim[[#This Row],[Objeto]],1),Tabela2[Palavras-Chave])</f>
        <v>#N/A</v>
      </c>
    </row>
    <row r="110" spans="1:11" hidden="1" x14ac:dyDescent="0.3">
      <c r="A110" s="5">
        <v>18802347</v>
      </c>
      <c r="B110" s="6" t="s">
        <v>436</v>
      </c>
      <c r="C110" s="6" t="s">
        <v>437</v>
      </c>
      <c r="D110" s="8" t="s">
        <v>66</v>
      </c>
      <c r="E110" s="6" t="s">
        <v>788</v>
      </c>
      <c r="F110" s="6" t="s">
        <v>51</v>
      </c>
      <c r="G110" s="11" t="s">
        <v>56</v>
      </c>
      <c r="H110" s="10" t="s">
        <v>789</v>
      </c>
      <c r="I110" s="6" t="s">
        <v>790</v>
      </c>
      <c r="J110" s="12">
        <v>46120.483923611115</v>
      </c>
      <c r="K110" s="6" t="e" cm="1">
        <f t="array" ref="K110">LOOKUP(2^15,SEARCH(Tabela2[Palavras-Chave],Boletim[[#This Row],[Objeto]],1),Tabela2[Palavras-Chave])</f>
        <v>#N/A</v>
      </c>
    </row>
    <row r="111" spans="1:11" hidden="1" x14ac:dyDescent="0.3">
      <c r="A111" s="5">
        <v>18802351</v>
      </c>
      <c r="B111" s="6" t="s">
        <v>436</v>
      </c>
      <c r="C111" s="6" t="s">
        <v>437</v>
      </c>
      <c r="D111" s="8" t="s">
        <v>66</v>
      </c>
      <c r="E111" s="6" t="s">
        <v>791</v>
      </c>
      <c r="F111" s="6" t="s">
        <v>51</v>
      </c>
      <c r="G111" s="11" t="s">
        <v>56</v>
      </c>
      <c r="H111" s="10" t="s">
        <v>792</v>
      </c>
      <c r="I111" s="6" t="s">
        <v>790</v>
      </c>
      <c r="J111" s="12">
        <v>46120.484456018516</v>
      </c>
      <c r="K111" s="6" t="e" cm="1">
        <f t="array" ref="K111">LOOKUP(2^15,SEARCH(Tabela2[Palavras-Chave],Boletim[[#This Row],[Objeto]],1),Tabela2[Palavras-Chave])</f>
        <v>#N/A</v>
      </c>
    </row>
    <row r="112" spans="1:11" hidden="1" x14ac:dyDescent="0.3">
      <c r="A112" s="5">
        <v>18802349</v>
      </c>
      <c r="B112" s="6" t="s">
        <v>436</v>
      </c>
      <c r="C112" s="6" t="s">
        <v>437</v>
      </c>
      <c r="D112" s="8" t="s">
        <v>66</v>
      </c>
      <c r="E112" s="6" t="s">
        <v>793</v>
      </c>
      <c r="F112" s="6" t="s">
        <v>51</v>
      </c>
      <c r="G112" s="11" t="s">
        <v>56</v>
      </c>
      <c r="H112" s="10" t="s">
        <v>794</v>
      </c>
      <c r="I112" s="6" t="s">
        <v>790</v>
      </c>
      <c r="J112" s="12">
        <v>46120.484606481485</v>
      </c>
      <c r="K112" s="6" t="e" cm="1">
        <f t="array" ref="K112">LOOKUP(2^15,SEARCH(Tabela2[Palavras-Chave],Boletim[[#This Row],[Objeto]],1),Tabela2[Palavras-Chave])</f>
        <v>#N/A</v>
      </c>
    </row>
    <row r="113" spans="1:11" hidden="1" x14ac:dyDescent="0.3">
      <c r="A113" s="5">
        <v>18801748</v>
      </c>
      <c r="B113" s="6" t="s">
        <v>191</v>
      </c>
      <c r="C113" s="6" t="s">
        <v>65</v>
      </c>
      <c r="D113" s="8" t="s">
        <v>66</v>
      </c>
      <c r="E113" s="6" t="s">
        <v>795</v>
      </c>
      <c r="F113" s="6" t="s">
        <v>51</v>
      </c>
      <c r="G113" s="11" t="s">
        <v>56</v>
      </c>
      <c r="H113" s="10" t="s">
        <v>796</v>
      </c>
      <c r="I113" s="6" t="s">
        <v>797</v>
      </c>
      <c r="J113" s="12">
        <v>46120.517916666664</v>
      </c>
      <c r="K113" s="6" t="e" cm="1">
        <f t="array" ref="K113">LOOKUP(2^15,SEARCH(Tabela2[Palavras-Chave],Boletim[[#This Row],[Objeto]],1),Tabela2[Palavras-Chave])</f>
        <v>#N/A</v>
      </c>
    </row>
    <row r="114" spans="1:11" hidden="1" x14ac:dyDescent="0.3">
      <c r="A114" s="5">
        <v>18803092</v>
      </c>
      <c r="B114" s="6" t="s">
        <v>798</v>
      </c>
      <c r="C114" s="6" t="s">
        <v>799</v>
      </c>
      <c r="D114" s="8" t="s">
        <v>66</v>
      </c>
      <c r="E114" s="6" t="s">
        <v>161</v>
      </c>
      <c r="F114" s="6" t="s">
        <v>51</v>
      </c>
      <c r="G114" s="11">
        <v>46129.75</v>
      </c>
      <c r="H114" s="10" t="s">
        <v>800</v>
      </c>
      <c r="I114" s="6" t="s">
        <v>801</v>
      </c>
      <c r="J114" s="12">
        <v>46120.526562500003</v>
      </c>
      <c r="K114" s="6" t="e" cm="1">
        <f t="array" ref="K114">LOOKUP(2^15,SEARCH(Tabela2[Palavras-Chave],Boletim[[#This Row],[Objeto]],1),Tabela2[Palavras-Chave])</f>
        <v>#N/A</v>
      </c>
    </row>
    <row r="115" spans="1:11" hidden="1" x14ac:dyDescent="0.3">
      <c r="A115" s="5">
        <v>18802055</v>
      </c>
      <c r="B115" s="6" t="s">
        <v>802</v>
      </c>
      <c r="C115" s="6" t="s">
        <v>803</v>
      </c>
      <c r="D115" s="8" t="s">
        <v>66</v>
      </c>
      <c r="E115" s="6" t="s">
        <v>263</v>
      </c>
      <c r="F115" s="6" t="s">
        <v>51</v>
      </c>
      <c r="G115" s="11">
        <v>46125.353472222225</v>
      </c>
      <c r="H115" s="10" t="s">
        <v>804</v>
      </c>
      <c r="I115" s="6" t="s">
        <v>805</v>
      </c>
      <c r="J115" s="12">
        <v>46120.533125000002</v>
      </c>
      <c r="K115" s="6" t="e" cm="1">
        <f t="array" ref="K115">LOOKUP(2^15,SEARCH(Tabela2[Palavras-Chave],Boletim[[#This Row],[Objeto]],1),Tabela2[Palavras-Chave])</f>
        <v>#N/A</v>
      </c>
    </row>
    <row r="116" spans="1:11" hidden="1" x14ac:dyDescent="0.3">
      <c r="A116" s="5">
        <v>18798148</v>
      </c>
      <c r="B116" s="6" t="s">
        <v>806</v>
      </c>
      <c r="C116" s="6" t="s">
        <v>360</v>
      </c>
      <c r="D116" s="8" t="s">
        <v>66</v>
      </c>
      <c r="E116" s="6" t="s">
        <v>807</v>
      </c>
      <c r="F116" s="6" t="s">
        <v>51</v>
      </c>
      <c r="G116" s="11" t="s">
        <v>56</v>
      </c>
      <c r="H116" s="10" t="s">
        <v>808</v>
      </c>
      <c r="I116" s="6" t="s">
        <v>809</v>
      </c>
      <c r="J116" s="12">
        <v>46120.586921296293</v>
      </c>
      <c r="K116" s="6" t="e" cm="1">
        <f t="array" ref="K116">LOOKUP(2^15,SEARCH(Tabela2[Palavras-Chave],Boletim[[#This Row],[Objeto]],1),Tabela2[Palavras-Chave])</f>
        <v>#N/A</v>
      </c>
    </row>
    <row r="117" spans="1:11" hidden="1" x14ac:dyDescent="0.3">
      <c r="A117" s="5">
        <v>18804310</v>
      </c>
      <c r="B117" s="6" t="s">
        <v>99</v>
      </c>
      <c r="C117" s="6" t="s">
        <v>65</v>
      </c>
      <c r="D117" s="8" t="s">
        <v>66</v>
      </c>
      <c r="E117" s="6" t="s">
        <v>810</v>
      </c>
      <c r="F117" s="6" t="s">
        <v>51</v>
      </c>
      <c r="G117" s="11" t="s">
        <v>56</v>
      </c>
      <c r="H117" s="10" t="s">
        <v>811</v>
      </c>
      <c r="I117" s="6" t="s">
        <v>132</v>
      </c>
      <c r="J117" s="12">
        <v>46120.648645833331</v>
      </c>
      <c r="K117" s="6" t="e" cm="1">
        <f t="array" ref="K117">LOOKUP(2^15,SEARCH(Tabela2[Palavras-Chave],Boletim[[#This Row],[Objeto]],1),Tabela2[Palavras-Chave])</f>
        <v>#N/A</v>
      </c>
    </row>
    <row r="118" spans="1:11" hidden="1" x14ac:dyDescent="0.3">
      <c r="A118" s="5">
        <v>18804370</v>
      </c>
      <c r="B118" s="6" t="s">
        <v>99</v>
      </c>
      <c r="C118" s="6" t="s">
        <v>65</v>
      </c>
      <c r="D118" s="8" t="s">
        <v>66</v>
      </c>
      <c r="E118" s="6" t="s">
        <v>812</v>
      </c>
      <c r="F118" s="6" t="s">
        <v>51</v>
      </c>
      <c r="G118" s="11" t="s">
        <v>56</v>
      </c>
      <c r="H118" s="10" t="s">
        <v>813</v>
      </c>
      <c r="I118" s="6" t="s">
        <v>132</v>
      </c>
      <c r="J118" s="12">
        <v>46120.65042824074</v>
      </c>
      <c r="K118" s="6" t="e" cm="1">
        <f t="array" ref="K118">LOOKUP(2^15,SEARCH(Tabela2[Palavras-Chave],Boletim[[#This Row],[Objeto]],1),Tabela2[Palavras-Chave])</f>
        <v>#N/A</v>
      </c>
    </row>
    <row r="119" spans="1:11" hidden="1" x14ac:dyDescent="0.3">
      <c r="A119" s="5">
        <v>18804366</v>
      </c>
      <c r="B119" s="6" t="s">
        <v>99</v>
      </c>
      <c r="C119" s="6" t="s">
        <v>65</v>
      </c>
      <c r="D119" s="8" t="s">
        <v>66</v>
      </c>
      <c r="E119" s="6" t="s">
        <v>814</v>
      </c>
      <c r="F119" s="6" t="s">
        <v>51</v>
      </c>
      <c r="G119" s="11" t="s">
        <v>56</v>
      </c>
      <c r="H119" s="10" t="s">
        <v>813</v>
      </c>
      <c r="I119" s="6" t="s">
        <v>132</v>
      </c>
      <c r="J119" s="12">
        <v>46120.650578703702</v>
      </c>
      <c r="K119" s="6" t="e" cm="1">
        <f t="array" ref="K119">LOOKUP(2^15,SEARCH(Tabela2[Palavras-Chave],Boletim[[#This Row],[Objeto]],1),Tabela2[Palavras-Chave])</f>
        <v>#N/A</v>
      </c>
    </row>
    <row r="120" spans="1:11" hidden="1" x14ac:dyDescent="0.3">
      <c r="A120" s="5">
        <v>18804357</v>
      </c>
      <c r="B120" s="6" t="s">
        <v>99</v>
      </c>
      <c r="C120" s="6" t="s">
        <v>65</v>
      </c>
      <c r="D120" s="8" t="s">
        <v>66</v>
      </c>
      <c r="E120" s="6" t="s">
        <v>815</v>
      </c>
      <c r="F120" s="6" t="s">
        <v>51</v>
      </c>
      <c r="G120" s="11" t="s">
        <v>56</v>
      </c>
      <c r="H120" s="10" t="s">
        <v>813</v>
      </c>
      <c r="I120" s="6" t="s">
        <v>132</v>
      </c>
      <c r="J120" s="12">
        <v>46120.650636574072</v>
      </c>
      <c r="K120" s="6" t="e" cm="1">
        <f t="array" ref="K120">LOOKUP(2^15,SEARCH(Tabela2[Palavras-Chave],Boletim[[#This Row],[Objeto]],1),Tabela2[Palavras-Chave])</f>
        <v>#N/A</v>
      </c>
    </row>
    <row r="121" spans="1:11" hidden="1" x14ac:dyDescent="0.3">
      <c r="A121" s="5">
        <v>18746682</v>
      </c>
      <c r="B121" s="6" t="s">
        <v>74</v>
      </c>
      <c r="C121" s="6" t="s">
        <v>65</v>
      </c>
      <c r="D121" s="8" t="s">
        <v>66</v>
      </c>
      <c r="E121" s="6" t="s">
        <v>816</v>
      </c>
      <c r="F121" s="6" t="s">
        <v>51</v>
      </c>
      <c r="G121" s="11" t="s">
        <v>56</v>
      </c>
      <c r="H121" s="10" t="s">
        <v>817</v>
      </c>
      <c r="I121" s="6" t="s">
        <v>818</v>
      </c>
      <c r="J121" s="12">
        <v>46120.654895833337</v>
      </c>
      <c r="K121" s="6" t="e" cm="1">
        <f t="array" ref="K121">LOOKUP(2^15,SEARCH(Tabela2[Palavras-Chave],Boletim[[#This Row],[Objeto]],1),Tabela2[Palavras-Chave])</f>
        <v>#N/A</v>
      </c>
    </row>
    <row r="122" spans="1:11" hidden="1" x14ac:dyDescent="0.3">
      <c r="A122" s="5">
        <v>18793477</v>
      </c>
      <c r="B122" s="6" t="s">
        <v>191</v>
      </c>
      <c r="C122" s="6" t="s">
        <v>65</v>
      </c>
      <c r="D122" s="8" t="s">
        <v>66</v>
      </c>
      <c r="E122" s="6" t="s">
        <v>819</v>
      </c>
      <c r="F122" s="6" t="s">
        <v>51</v>
      </c>
      <c r="G122" s="11" t="s">
        <v>56</v>
      </c>
      <c r="H122" s="10" t="s">
        <v>820</v>
      </c>
      <c r="I122" s="6" t="s">
        <v>821</v>
      </c>
      <c r="J122" s="12">
        <v>46120.655763888892</v>
      </c>
      <c r="K122" s="6" t="e" cm="1">
        <f t="array" ref="K122">LOOKUP(2^15,SEARCH(Tabela2[Palavras-Chave],Boletim[[#This Row],[Objeto]],1),Tabela2[Palavras-Chave])</f>
        <v>#N/A</v>
      </c>
    </row>
    <row r="123" spans="1:11" hidden="1" x14ac:dyDescent="0.3">
      <c r="A123" s="5">
        <v>18803283</v>
      </c>
      <c r="B123" s="6" t="s">
        <v>822</v>
      </c>
      <c r="C123" s="6" t="s">
        <v>823</v>
      </c>
      <c r="D123" s="8" t="s">
        <v>66</v>
      </c>
      <c r="E123" s="6" t="s">
        <v>824</v>
      </c>
      <c r="F123" s="6" t="s">
        <v>51</v>
      </c>
      <c r="G123" s="11">
        <v>46125.999305555553</v>
      </c>
      <c r="H123" s="10" t="s">
        <v>825</v>
      </c>
      <c r="I123" s="6" t="s">
        <v>826</v>
      </c>
      <c r="J123" s="12">
        <v>46120.66300925926</v>
      </c>
      <c r="K123" s="6" t="e" cm="1">
        <f t="array" ref="K123">LOOKUP(2^15,SEARCH(Tabela2[Palavras-Chave],Boletim[[#This Row],[Objeto]],1),Tabela2[Palavras-Chave])</f>
        <v>#N/A</v>
      </c>
    </row>
    <row r="124" spans="1:11" hidden="1" x14ac:dyDescent="0.3">
      <c r="A124" s="5">
        <v>18803652</v>
      </c>
      <c r="B124" s="6" t="s">
        <v>827</v>
      </c>
      <c r="C124" s="6" t="s">
        <v>65</v>
      </c>
      <c r="D124" s="8" t="s">
        <v>66</v>
      </c>
      <c r="E124" s="6" t="s">
        <v>828</v>
      </c>
      <c r="F124" s="6" t="s">
        <v>51</v>
      </c>
      <c r="G124" s="11">
        <v>46122.333333333336</v>
      </c>
      <c r="H124" s="10" t="s">
        <v>829</v>
      </c>
      <c r="I124" s="6" t="s">
        <v>830</v>
      </c>
      <c r="J124" s="12">
        <v>46120.66306712963</v>
      </c>
      <c r="K124" s="6" t="e" cm="1">
        <f t="array" ref="K124">LOOKUP(2^15,SEARCH(Tabela2[Palavras-Chave],Boletim[[#This Row],[Objeto]],1),Tabela2[Palavras-Chave])</f>
        <v>#N/A</v>
      </c>
    </row>
    <row r="125" spans="1:11" hidden="1" x14ac:dyDescent="0.3">
      <c r="A125" s="5">
        <v>18800769</v>
      </c>
      <c r="B125" s="6" t="s">
        <v>831</v>
      </c>
      <c r="C125" s="6" t="s">
        <v>832</v>
      </c>
      <c r="D125" s="8" t="s">
        <v>66</v>
      </c>
      <c r="E125" s="6" t="s">
        <v>129</v>
      </c>
      <c r="F125" s="6" t="s">
        <v>51</v>
      </c>
      <c r="G125" s="11" t="s">
        <v>56</v>
      </c>
      <c r="H125" s="10" t="s">
        <v>833</v>
      </c>
      <c r="I125" s="6" t="s">
        <v>834</v>
      </c>
      <c r="J125" s="12">
        <v>46120.673564814817</v>
      </c>
      <c r="K125" s="6" t="e" cm="1">
        <f t="array" ref="K125">LOOKUP(2^15,SEARCH(Tabela2[Palavras-Chave],Boletim[[#This Row],[Objeto]],1),Tabela2[Palavras-Chave])</f>
        <v>#N/A</v>
      </c>
    </row>
    <row r="126" spans="1:11" hidden="1" x14ac:dyDescent="0.3">
      <c r="A126" s="5">
        <v>18790597</v>
      </c>
      <c r="B126" s="6" t="s">
        <v>298</v>
      </c>
      <c r="C126" s="6" t="s">
        <v>299</v>
      </c>
      <c r="D126" s="8" t="s">
        <v>66</v>
      </c>
      <c r="E126" s="6" t="s">
        <v>835</v>
      </c>
      <c r="F126" s="6" t="s">
        <v>51</v>
      </c>
      <c r="G126" s="11" t="s">
        <v>56</v>
      </c>
      <c r="H126" s="10" t="s">
        <v>836</v>
      </c>
      <c r="I126" s="6" t="s">
        <v>837</v>
      </c>
      <c r="J126" s="12">
        <v>46120.677812499998</v>
      </c>
      <c r="K126" s="6" t="e" cm="1">
        <f t="array" ref="K126">LOOKUP(2^15,SEARCH(Tabela2[Palavras-Chave],Boletim[[#This Row],[Objeto]],1),Tabela2[Palavras-Chave])</f>
        <v>#N/A</v>
      </c>
    </row>
    <row r="127" spans="1:11" hidden="1" x14ac:dyDescent="0.3">
      <c r="A127" s="5">
        <v>18787795</v>
      </c>
      <c r="B127" s="6" t="s">
        <v>838</v>
      </c>
      <c r="C127" s="6" t="s">
        <v>254</v>
      </c>
      <c r="D127" s="8" t="s">
        <v>66</v>
      </c>
      <c r="E127" s="6" t="s">
        <v>839</v>
      </c>
      <c r="F127" s="6" t="s">
        <v>51</v>
      </c>
      <c r="G127" s="11" t="s">
        <v>56</v>
      </c>
      <c r="H127" s="10" t="s">
        <v>840</v>
      </c>
      <c r="I127" s="6" t="s">
        <v>841</v>
      </c>
      <c r="J127" s="12">
        <v>46120.696157407408</v>
      </c>
      <c r="K127" s="6" t="e" cm="1">
        <f t="array" ref="K127">LOOKUP(2^15,SEARCH(Tabela2[Palavras-Chave],Boletim[[#This Row],[Objeto]],1),Tabela2[Palavras-Chave])</f>
        <v>#N/A</v>
      </c>
    </row>
    <row r="128" spans="1:11" hidden="1" x14ac:dyDescent="0.3">
      <c r="A128" s="5">
        <v>18804808</v>
      </c>
      <c r="B128" s="6" t="s">
        <v>842</v>
      </c>
      <c r="C128" s="6" t="s">
        <v>233</v>
      </c>
      <c r="D128" s="8" t="s">
        <v>66</v>
      </c>
      <c r="E128" s="6" t="s">
        <v>843</v>
      </c>
      <c r="F128" s="6" t="s">
        <v>51</v>
      </c>
      <c r="G128" s="11" t="s">
        <v>56</v>
      </c>
      <c r="H128" s="10" t="s">
        <v>844</v>
      </c>
      <c r="I128" s="6" t="s">
        <v>845</v>
      </c>
      <c r="J128" s="12">
        <v>46120.714837962965</v>
      </c>
      <c r="K128" s="6" t="e" cm="1">
        <f t="array" ref="K128">LOOKUP(2^15,SEARCH(Tabela2[Palavras-Chave],Boletim[[#This Row],[Objeto]],1),Tabela2[Palavras-Chave])</f>
        <v>#N/A</v>
      </c>
    </row>
    <row r="129" spans="1:11" hidden="1" x14ac:dyDescent="0.3">
      <c r="A129" s="5">
        <v>18802294</v>
      </c>
      <c r="B129" s="6" t="s">
        <v>298</v>
      </c>
      <c r="C129" s="6" t="s">
        <v>299</v>
      </c>
      <c r="D129" s="8" t="s">
        <v>66</v>
      </c>
      <c r="E129" s="6" t="s">
        <v>846</v>
      </c>
      <c r="F129" s="6" t="s">
        <v>51</v>
      </c>
      <c r="G129" s="11" t="s">
        <v>56</v>
      </c>
      <c r="H129" s="10" t="s">
        <v>847</v>
      </c>
      <c r="I129" s="6" t="s">
        <v>848</v>
      </c>
      <c r="J129" s="12">
        <v>46120.717164351852</v>
      </c>
      <c r="K129" s="6" t="e" cm="1">
        <f t="array" ref="K129">LOOKUP(2^15,SEARCH(Tabela2[Palavras-Chave],Boletim[[#This Row],[Objeto]],1),Tabela2[Palavras-Chave])</f>
        <v>#N/A</v>
      </c>
    </row>
    <row r="130" spans="1:11" x14ac:dyDescent="0.3">
      <c r="A130" s="5">
        <v>18804363</v>
      </c>
      <c r="B130" s="6" t="s">
        <v>99</v>
      </c>
      <c r="C130" s="6" t="s">
        <v>65</v>
      </c>
      <c r="D130" s="8" t="s">
        <v>66</v>
      </c>
      <c r="E130" s="6" t="s">
        <v>849</v>
      </c>
      <c r="F130" s="6" t="s">
        <v>51</v>
      </c>
      <c r="G130" s="11" t="s">
        <v>56</v>
      </c>
      <c r="H130" s="21" t="s">
        <v>850</v>
      </c>
      <c r="I130" s="6" t="s">
        <v>132</v>
      </c>
      <c r="J130" s="12">
        <v>46120.734606481485</v>
      </c>
      <c r="K130" s="6" t="str" cm="1">
        <f t="array" ref="K130">LOOKUP(2^15,SEARCH(Tabela2[Palavras-Chave],Boletim[[#This Row],[Objeto]],1),Tabela2[Palavras-Chave])</f>
        <v>ABRACADEIRA</v>
      </c>
    </row>
    <row r="131" spans="1:11" hidden="1" x14ac:dyDescent="0.3">
      <c r="A131" s="13">
        <v>18804356</v>
      </c>
      <c r="B131" s="10" t="s">
        <v>99</v>
      </c>
      <c r="C131" s="10" t="s">
        <v>65</v>
      </c>
      <c r="D131" s="15" t="s">
        <v>66</v>
      </c>
      <c r="E131" s="10" t="s">
        <v>851</v>
      </c>
      <c r="F131" s="10" t="s">
        <v>51</v>
      </c>
      <c r="G131" s="16" t="s">
        <v>56</v>
      </c>
      <c r="H131" s="10" t="s">
        <v>852</v>
      </c>
      <c r="I131" s="10" t="s">
        <v>132</v>
      </c>
      <c r="J131" s="17">
        <v>46120.734664351854</v>
      </c>
      <c r="K131" s="6" t="e" cm="1">
        <f t="array" ref="K131">LOOKUP(2^15,SEARCH(Tabela2[Palavras-Chave],Boletim[[#This Row],[Objeto]],1),Tabela2[Palavras-Chave])</f>
        <v>#N/A</v>
      </c>
    </row>
    <row r="132" spans="1:11" hidden="1" x14ac:dyDescent="0.3">
      <c r="A132" s="5">
        <v>18803642</v>
      </c>
      <c r="B132" s="6" t="s">
        <v>853</v>
      </c>
      <c r="C132" s="6" t="s">
        <v>65</v>
      </c>
      <c r="D132" s="8" t="s">
        <v>66</v>
      </c>
      <c r="E132" s="6" t="s">
        <v>854</v>
      </c>
      <c r="F132" s="6" t="s">
        <v>51</v>
      </c>
      <c r="G132" s="11">
        <v>46125.375</v>
      </c>
      <c r="H132" s="10" t="s">
        <v>855</v>
      </c>
      <c r="I132" s="6" t="s">
        <v>856</v>
      </c>
      <c r="J132" s="12">
        <v>46120.736655092594</v>
      </c>
      <c r="K132" s="6" t="e" cm="1">
        <f t="array" ref="K132">LOOKUP(2^15,SEARCH(Tabela2[Palavras-Chave],Boletim[[#This Row],[Objeto]],1),Tabela2[Palavras-Chave])</f>
        <v>#N/A</v>
      </c>
    </row>
    <row r="133" spans="1:11" x14ac:dyDescent="0.3">
      <c r="A133" s="5">
        <v>18803519</v>
      </c>
      <c r="B133" s="6" t="s">
        <v>857</v>
      </c>
      <c r="C133" s="6" t="s">
        <v>858</v>
      </c>
      <c r="D133" s="8" t="s">
        <v>66</v>
      </c>
      <c r="E133" s="6" t="s">
        <v>220</v>
      </c>
      <c r="F133" s="6" t="s">
        <v>51</v>
      </c>
      <c r="G133" s="11" t="s">
        <v>56</v>
      </c>
      <c r="H133" s="21" t="s">
        <v>859</v>
      </c>
      <c r="I133" s="6" t="s">
        <v>860</v>
      </c>
      <c r="J133" s="12">
        <v>46120.767534722225</v>
      </c>
      <c r="K133" s="6" t="str" cm="1">
        <f t="array" ref="K133">LOOKUP(2^15,SEARCH(Tabela2[Palavras-Chave],Boletim[[#This Row],[Objeto]],1),Tabela2[Palavras-Chave])</f>
        <v>BOMBEAMENTO</v>
      </c>
    </row>
    <row r="134" spans="1:11" hidden="1" x14ac:dyDescent="0.3">
      <c r="A134" s="5">
        <v>18803509</v>
      </c>
      <c r="B134" s="6" t="s">
        <v>857</v>
      </c>
      <c r="C134" s="6" t="s">
        <v>858</v>
      </c>
      <c r="D134" s="8" t="s">
        <v>66</v>
      </c>
      <c r="E134" s="6" t="s">
        <v>824</v>
      </c>
      <c r="F134" s="6" t="s">
        <v>51</v>
      </c>
      <c r="G134" s="11" t="s">
        <v>56</v>
      </c>
      <c r="H134" s="10" t="s">
        <v>861</v>
      </c>
      <c r="I134" s="6" t="s">
        <v>860</v>
      </c>
      <c r="J134" s="12">
        <v>46120.768877314818</v>
      </c>
      <c r="K134" s="6" t="e" cm="1">
        <f t="array" ref="K134">LOOKUP(2^15,SEARCH(Tabela2[Palavras-Chave],Boletim[[#This Row],[Objeto]],1),Tabela2[Palavras-Chave])</f>
        <v>#N/A</v>
      </c>
    </row>
    <row r="135" spans="1:11" ht="57.6" x14ac:dyDescent="0.3">
      <c r="A135" s="5">
        <v>18802343</v>
      </c>
      <c r="B135" s="6" t="s">
        <v>436</v>
      </c>
      <c r="C135" s="6" t="s">
        <v>437</v>
      </c>
      <c r="D135" s="8" t="s">
        <v>66</v>
      </c>
      <c r="E135" s="6" t="s">
        <v>862</v>
      </c>
      <c r="F135" s="6" t="s">
        <v>51</v>
      </c>
      <c r="G135" s="11" t="s">
        <v>56</v>
      </c>
      <c r="H135" s="21" t="s">
        <v>863</v>
      </c>
      <c r="I135" s="6" t="s">
        <v>790</v>
      </c>
      <c r="J135" s="12">
        <v>46120.80982638889</v>
      </c>
      <c r="K135" s="6" t="str" cm="1">
        <f t="array" ref="K135">LOOKUP(2^15,SEARCH(Tabela2[Palavras-Chave],Boletim[[#This Row],[Objeto]],1),Tabela2[Palavras-Chave])</f>
        <v>INOX</v>
      </c>
    </row>
    <row r="136" spans="1:11" hidden="1" x14ac:dyDescent="0.3">
      <c r="A136" s="5">
        <v>18802346</v>
      </c>
      <c r="B136" s="6" t="s">
        <v>436</v>
      </c>
      <c r="C136" s="6" t="s">
        <v>437</v>
      </c>
      <c r="D136" s="8" t="s">
        <v>66</v>
      </c>
      <c r="E136" s="6" t="s">
        <v>864</v>
      </c>
      <c r="F136" s="6" t="s">
        <v>51</v>
      </c>
      <c r="G136" s="11" t="s">
        <v>56</v>
      </c>
      <c r="H136" s="10" t="s">
        <v>865</v>
      </c>
      <c r="I136" s="6" t="s">
        <v>790</v>
      </c>
      <c r="J136" s="12">
        <v>46120.810590277775</v>
      </c>
      <c r="K136" s="6" t="e" cm="1">
        <f t="array" ref="K136">LOOKUP(2^15,SEARCH(Tabela2[Palavras-Chave],Boletim[[#This Row],[Objeto]],1),Tabela2[Palavras-Chave])</f>
        <v>#N/A</v>
      </c>
    </row>
    <row r="137" spans="1:11" hidden="1" x14ac:dyDescent="0.3">
      <c r="A137" s="5">
        <v>18806385</v>
      </c>
      <c r="B137" s="6" t="s">
        <v>866</v>
      </c>
      <c r="C137" s="6" t="s">
        <v>299</v>
      </c>
      <c r="D137" s="8" t="s">
        <v>66</v>
      </c>
      <c r="E137" s="6" t="s">
        <v>105</v>
      </c>
      <c r="F137" s="6" t="s">
        <v>51</v>
      </c>
      <c r="G137" s="11">
        <v>46129.333333333336</v>
      </c>
      <c r="H137" s="10" t="s">
        <v>867</v>
      </c>
      <c r="I137" s="6" t="s">
        <v>868</v>
      </c>
      <c r="J137" s="12">
        <v>46120.860138888886</v>
      </c>
      <c r="K137" s="6" t="e" cm="1">
        <f t="array" ref="K137">LOOKUP(2^15,SEARCH(Tabela2[Palavras-Chave],Boletim[[#This Row],[Objeto]],1),Tabela2[Palavras-Chave])</f>
        <v>#N/A</v>
      </c>
    </row>
    <row r="138" spans="1:11" hidden="1" x14ac:dyDescent="0.3">
      <c r="A138" s="5">
        <v>18803682</v>
      </c>
      <c r="B138" s="6" t="s">
        <v>869</v>
      </c>
      <c r="C138" s="6" t="s">
        <v>870</v>
      </c>
      <c r="D138" s="8" t="s">
        <v>66</v>
      </c>
      <c r="E138" s="6" t="s">
        <v>871</v>
      </c>
      <c r="F138" s="6" t="s">
        <v>51</v>
      </c>
      <c r="G138" s="11">
        <v>46122.354166666664</v>
      </c>
      <c r="H138" s="10" t="s">
        <v>872</v>
      </c>
      <c r="I138" s="6" t="s">
        <v>873</v>
      </c>
      <c r="J138" s="12">
        <v>46120.872488425928</v>
      </c>
      <c r="K138" s="6" t="e" cm="1">
        <f t="array" ref="K138">LOOKUP(2^15,SEARCH(Tabela2[Palavras-Chave],Boletim[[#This Row],[Objeto]],1),Tabela2[Palavras-Chave])</f>
        <v>#N/A</v>
      </c>
    </row>
    <row r="139" spans="1:11" hidden="1" x14ac:dyDescent="0.3">
      <c r="A139" s="5">
        <v>18804636</v>
      </c>
      <c r="B139" s="6" t="s">
        <v>838</v>
      </c>
      <c r="C139" s="6" t="s">
        <v>254</v>
      </c>
      <c r="D139" s="8" t="s">
        <v>66</v>
      </c>
      <c r="E139" s="6" t="s">
        <v>874</v>
      </c>
      <c r="F139" s="6" t="s">
        <v>51</v>
      </c>
      <c r="G139" s="11" t="s">
        <v>56</v>
      </c>
      <c r="H139" s="10" t="s">
        <v>875</v>
      </c>
      <c r="I139" s="6" t="s">
        <v>876</v>
      </c>
      <c r="J139" s="12">
        <v>46120.876307870371</v>
      </c>
      <c r="K139" s="6" t="e" cm="1">
        <f t="array" ref="K139">LOOKUP(2^15,SEARCH(Tabela2[Palavras-Chave],Boletim[[#This Row],[Objeto]],1),Tabela2[Palavras-Chave])</f>
        <v>#N/A</v>
      </c>
    </row>
    <row r="140" spans="1:11" hidden="1" x14ac:dyDescent="0.3">
      <c r="A140" s="5">
        <v>18804633</v>
      </c>
      <c r="B140" s="6" t="s">
        <v>838</v>
      </c>
      <c r="C140" s="6" t="s">
        <v>254</v>
      </c>
      <c r="D140" s="8" t="s">
        <v>66</v>
      </c>
      <c r="E140" s="6" t="s">
        <v>877</v>
      </c>
      <c r="F140" s="6" t="s">
        <v>51</v>
      </c>
      <c r="G140" s="11" t="s">
        <v>56</v>
      </c>
      <c r="H140" s="10" t="s">
        <v>878</v>
      </c>
      <c r="I140" s="6" t="s">
        <v>876</v>
      </c>
      <c r="J140" s="12">
        <v>46120.87636574074</v>
      </c>
      <c r="K140" s="6" t="e" cm="1">
        <f t="array" ref="K140">LOOKUP(2^15,SEARCH(Tabela2[Palavras-Chave],Boletim[[#This Row],[Objeto]],1),Tabela2[Palavras-Chave])</f>
        <v>#N/A</v>
      </c>
    </row>
    <row r="141" spans="1:11" hidden="1" x14ac:dyDescent="0.3">
      <c r="A141" s="5">
        <v>18803661</v>
      </c>
      <c r="B141" s="6" t="s">
        <v>879</v>
      </c>
      <c r="C141" s="6" t="s">
        <v>123</v>
      </c>
      <c r="D141" s="8" t="s">
        <v>67</v>
      </c>
      <c r="E141" s="6" t="s">
        <v>145</v>
      </c>
      <c r="F141" s="6" t="s">
        <v>51</v>
      </c>
      <c r="G141" s="11">
        <v>46122.354166666664</v>
      </c>
      <c r="H141" s="10" t="s">
        <v>880</v>
      </c>
      <c r="I141" s="6" t="s">
        <v>881</v>
      </c>
      <c r="J141" s="12">
        <v>46120.640104166669</v>
      </c>
      <c r="K141" s="6" t="e" cm="1">
        <f t="array" ref="K141">LOOKUP(2^15,SEARCH(Tabela2[Palavras-Chave],Boletim[[#This Row],[Objeto]],1),Tabela2[Palavras-Chave])</f>
        <v>#N/A</v>
      </c>
    </row>
    <row r="142" spans="1:11" hidden="1" x14ac:dyDescent="0.3">
      <c r="A142" s="5">
        <v>18804592</v>
      </c>
      <c r="B142" s="6" t="s">
        <v>882</v>
      </c>
      <c r="C142" s="6" t="s">
        <v>883</v>
      </c>
      <c r="D142" s="8" t="s">
        <v>91</v>
      </c>
      <c r="E142" s="6" t="s">
        <v>761</v>
      </c>
      <c r="F142" s="6" t="s">
        <v>51</v>
      </c>
      <c r="G142" s="11">
        <v>46125.354166666664</v>
      </c>
      <c r="H142" s="10" t="s">
        <v>884</v>
      </c>
      <c r="I142" s="6" t="s">
        <v>885</v>
      </c>
      <c r="J142" s="12">
        <v>46120.731805555559</v>
      </c>
      <c r="K142" s="6" t="e" cm="1">
        <f t="array" ref="K142">LOOKUP(2^15,SEARCH(Tabela2[Palavras-Chave],Boletim[[#This Row],[Objeto]],1),Tabela2[Palavras-Chave])</f>
        <v>#N/A</v>
      </c>
    </row>
    <row r="143" spans="1:11" hidden="1" x14ac:dyDescent="0.3">
      <c r="A143" s="5">
        <v>18804771</v>
      </c>
      <c r="B143" s="6" t="s">
        <v>886</v>
      </c>
      <c r="C143" s="6" t="s">
        <v>887</v>
      </c>
      <c r="D143" s="8" t="s">
        <v>91</v>
      </c>
      <c r="E143" s="6" t="s">
        <v>147</v>
      </c>
      <c r="F143" s="6" t="s">
        <v>51</v>
      </c>
      <c r="G143" s="11">
        <v>46125.999305555553</v>
      </c>
      <c r="H143" s="10" t="s">
        <v>888</v>
      </c>
      <c r="I143" s="6" t="s">
        <v>889</v>
      </c>
      <c r="J143" s="12">
        <v>46120.744409722225</v>
      </c>
      <c r="K143" s="6" t="e" cm="1">
        <f t="array" ref="K143">LOOKUP(2^15,SEARCH(Tabela2[Palavras-Chave],Boletim[[#This Row],[Objeto]],1),Tabela2[Palavras-Chave])</f>
        <v>#N/A</v>
      </c>
    </row>
    <row r="144" spans="1:11" hidden="1" x14ac:dyDescent="0.3">
      <c r="A144" s="5">
        <v>18801352</v>
      </c>
      <c r="B144" s="6" t="s">
        <v>890</v>
      </c>
      <c r="C144" s="6" t="s">
        <v>130</v>
      </c>
      <c r="D144" s="8" t="s">
        <v>68</v>
      </c>
      <c r="E144" s="6" t="s">
        <v>891</v>
      </c>
      <c r="F144" s="6" t="s">
        <v>51</v>
      </c>
      <c r="G144" s="11">
        <v>46126.333333333336</v>
      </c>
      <c r="H144" s="10" t="s">
        <v>892</v>
      </c>
      <c r="I144" s="6" t="s">
        <v>893</v>
      </c>
      <c r="J144" s="12">
        <v>46120.576238425929</v>
      </c>
      <c r="K144" s="6" t="e" cm="1">
        <f t="array" ref="K144">LOOKUP(2^15,SEARCH(Tabela2[Palavras-Chave],Boletim[[#This Row],[Objeto]],1),Tabela2[Palavras-Chave])</f>
        <v>#N/A</v>
      </c>
    </row>
    <row r="145" spans="1:11" hidden="1" x14ac:dyDescent="0.3">
      <c r="A145" s="5">
        <v>18804996</v>
      </c>
      <c r="B145" s="6" t="s">
        <v>894</v>
      </c>
      <c r="C145" s="6" t="s">
        <v>130</v>
      </c>
      <c r="D145" s="8" t="s">
        <v>68</v>
      </c>
      <c r="E145" s="6" t="s">
        <v>147</v>
      </c>
      <c r="F145" s="6" t="s">
        <v>51</v>
      </c>
      <c r="G145" s="11" t="s">
        <v>56</v>
      </c>
      <c r="H145" s="10" t="s">
        <v>895</v>
      </c>
      <c r="I145" s="6" t="s">
        <v>896</v>
      </c>
      <c r="J145" s="12">
        <v>46120.75408564815</v>
      </c>
      <c r="K145" s="6" t="e" cm="1">
        <f t="array" ref="K145">LOOKUP(2^15,SEARCH(Tabela2[Palavras-Chave],Boletim[[#This Row],[Objeto]],1),Tabela2[Palavras-Chave])</f>
        <v>#N/A</v>
      </c>
    </row>
    <row r="146" spans="1:11" hidden="1" x14ac:dyDescent="0.3">
      <c r="A146" s="5">
        <v>18746430</v>
      </c>
      <c r="B146" s="6" t="s">
        <v>897</v>
      </c>
      <c r="C146" s="6" t="s">
        <v>898</v>
      </c>
      <c r="D146" s="8" t="s">
        <v>68</v>
      </c>
      <c r="E146" s="6" t="s">
        <v>899</v>
      </c>
      <c r="F146" s="6" t="s">
        <v>51</v>
      </c>
      <c r="G146" s="11">
        <v>46125.333333333336</v>
      </c>
      <c r="H146" s="10" t="s">
        <v>900</v>
      </c>
      <c r="I146" s="6" t="s">
        <v>901</v>
      </c>
      <c r="J146" s="12">
        <v>46120.859155092592</v>
      </c>
      <c r="K146" s="6" t="e" cm="1">
        <f t="array" ref="K146">LOOKUP(2^15,SEARCH(Tabela2[Palavras-Chave],Boletim[[#This Row],[Objeto]],1),Tabela2[Palavras-Chave])</f>
        <v>#N/A</v>
      </c>
    </row>
    <row r="147" spans="1:11" hidden="1" x14ac:dyDescent="0.3">
      <c r="A147" s="5">
        <v>18804496</v>
      </c>
      <c r="B147" s="6" t="s">
        <v>902</v>
      </c>
      <c r="C147" s="6" t="s">
        <v>130</v>
      </c>
      <c r="D147" s="8" t="s">
        <v>68</v>
      </c>
      <c r="E147" s="6" t="s">
        <v>147</v>
      </c>
      <c r="F147" s="6" t="s">
        <v>51</v>
      </c>
      <c r="G147" s="11">
        <v>46126.458333333336</v>
      </c>
      <c r="H147" s="10" t="s">
        <v>903</v>
      </c>
      <c r="I147" s="6" t="s">
        <v>904</v>
      </c>
      <c r="J147" s="12">
        <v>46120.880636574075</v>
      </c>
      <c r="K147" s="6" t="e" cm="1">
        <f t="array" ref="K147">LOOKUP(2^15,SEARCH(Tabela2[Palavras-Chave],Boletim[[#This Row],[Objeto]],1),Tabela2[Palavras-Chave])</f>
        <v>#N/A</v>
      </c>
    </row>
    <row r="148" spans="1:11" hidden="1" x14ac:dyDescent="0.3">
      <c r="A148" s="5">
        <v>18801735</v>
      </c>
      <c r="B148" s="6" t="s">
        <v>905</v>
      </c>
      <c r="C148" s="6" t="s">
        <v>69</v>
      </c>
      <c r="D148" s="8" t="s">
        <v>70</v>
      </c>
      <c r="E148" s="6" t="s">
        <v>55</v>
      </c>
      <c r="F148" s="6" t="s">
        <v>51</v>
      </c>
      <c r="G148" s="11" t="s">
        <v>56</v>
      </c>
      <c r="H148" s="10" t="s">
        <v>906</v>
      </c>
      <c r="I148" s="6" t="s">
        <v>907</v>
      </c>
      <c r="J148" s="12">
        <v>46120.517743055556</v>
      </c>
      <c r="K148" s="6" t="e" cm="1">
        <f t="array" ref="K148">LOOKUP(2^15,SEARCH(Tabela2[Palavras-Chave],Boletim[[#This Row],[Objeto]],1),Tabela2[Palavras-Chave])</f>
        <v>#N/A</v>
      </c>
    </row>
    <row r="149" spans="1:11" hidden="1" x14ac:dyDescent="0.3">
      <c r="A149" s="5">
        <v>18805650</v>
      </c>
      <c r="B149" s="6" t="s">
        <v>908</v>
      </c>
      <c r="C149" s="6" t="s">
        <v>909</v>
      </c>
      <c r="D149" s="8" t="s">
        <v>70</v>
      </c>
      <c r="E149" s="6" t="s">
        <v>118</v>
      </c>
      <c r="F149" s="6" t="s">
        <v>51</v>
      </c>
      <c r="G149" s="11" t="s">
        <v>56</v>
      </c>
      <c r="H149" s="10" t="s">
        <v>910</v>
      </c>
      <c r="I149" s="6" t="s">
        <v>911</v>
      </c>
      <c r="J149" s="12">
        <v>46120.751342592594</v>
      </c>
      <c r="K149" s="6" t="e" cm="1">
        <f t="array" ref="K149">LOOKUP(2^15,SEARCH(Tabela2[Palavras-Chave],Boletim[[#This Row],[Objeto]],1),Tabela2[Palavras-Chave])</f>
        <v>#N/A</v>
      </c>
    </row>
    <row r="150" spans="1:11" hidden="1" x14ac:dyDescent="0.3">
      <c r="A150" s="5">
        <v>18805907</v>
      </c>
      <c r="B150" s="6" t="s">
        <v>271</v>
      </c>
      <c r="C150" s="6" t="s">
        <v>69</v>
      </c>
      <c r="D150" s="8" t="s">
        <v>70</v>
      </c>
      <c r="E150" s="6" t="s">
        <v>216</v>
      </c>
      <c r="F150" s="6" t="s">
        <v>51</v>
      </c>
      <c r="G150" s="11">
        <v>46126.333333333336</v>
      </c>
      <c r="H150" s="10" t="s">
        <v>912</v>
      </c>
      <c r="I150" s="6" t="s">
        <v>913</v>
      </c>
      <c r="J150" s="12">
        <v>46120.790405092594</v>
      </c>
      <c r="K150" s="6" t="e" cm="1">
        <f t="array" ref="K150">LOOKUP(2^15,SEARCH(Tabela2[Palavras-Chave],Boletim[[#This Row],[Objeto]],1),Tabela2[Palavras-Chave])</f>
        <v>#N/A</v>
      </c>
    </row>
    <row r="151" spans="1:11" hidden="1" x14ac:dyDescent="0.3">
      <c r="A151" s="5">
        <v>18805598</v>
      </c>
      <c r="B151" s="6" t="s">
        <v>914</v>
      </c>
      <c r="C151" s="6" t="s">
        <v>69</v>
      </c>
      <c r="D151" s="8" t="s">
        <v>70</v>
      </c>
      <c r="E151" s="6" t="s">
        <v>161</v>
      </c>
      <c r="F151" s="6" t="s">
        <v>51</v>
      </c>
      <c r="G151" s="11">
        <v>46122.375</v>
      </c>
      <c r="H151" s="10" t="s">
        <v>915</v>
      </c>
      <c r="I151" s="6" t="s">
        <v>916</v>
      </c>
      <c r="J151" s="12">
        <v>46120.860995370371</v>
      </c>
      <c r="K151" s="6" t="e" cm="1">
        <f t="array" ref="K151">LOOKUP(2^15,SEARCH(Tabela2[Palavras-Chave],Boletim[[#This Row],[Objeto]],1),Tabela2[Palavras-Chave])</f>
        <v>#N/A</v>
      </c>
    </row>
    <row r="152" spans="1:11" hidden="1" x14ac:dyDescent="0.3">
      <c r="A152" s="13">
        <v>18803705</v>
      </c>
      <c r="B152" s="10" t="s">
        <v>917</v>
      </c>
      <c r="C152" s="10" t="s">
        <v>69</v>
      </c>
      <c r="D152" s="15" t="s">
        <v>70</v>
      </c>
      <c r="E152" s="10" t="s">
        <v>918</v>
      </c>
      <c r="F152" s="10" t="s">
        <v>51</v>
      </c>
      <c r="G152" s="16">
        <v>46121.697916666664</v>
      </c>
      <c r="H152" s="10" t="s">
        <v>919</v>
      </c>
      <c r="I152" s="10" t="s">
        <v>920</v>
      </c>
      <c r="J152" s="17">
        <v>46120.870497685188</v>
      </c>
      <c r="K152" s="6" t="e" cm="1">
        <f t="array" ref="K152">LOOKUP(2^15,SEARCH(Tabela2[Palavras-Chave],Boletim[[#This Row],[Objeto]],1),Tabela2[Palavras-Chave])</f>
        <v>#N/A</v>
      </c>
    </row>
    <row r="153" spans="1:11" hidden="1" x14ac:dyDescent="0.3">
      <c r="A153" s="5">
        <v>18804585</v>
      </c>
      <c r="B153" s="6" t="s">
        <v>921</v>
      </c>
      <c r="C153" s="6" t="s">
        <v>922</v>
      </c>
      <c r="D153" s="8" t="s">
        <v>72</v>
      </c>
      <c r="E153" s="6" t="s">
        <v>118</v>
      </c>
      <c r="F153" s="6" t="s">
        <v>51</v>
      </c>
      <c r="G153" s="11">
        <v>46129.333333333336</v>
      </c>
      <c r="H153" s="10" t="s">
        <v>923</v>
      </c>
      <c r="I153" s="6" t="s">
        <v>924</v>
      </c>
      <c r="J153" s="12">
        <v>46120.7496875</v>
      </c>
      <c r="K153" s="6" t="e" cm="1">
        <f t="array" ref="K153">LOOKUP(2^15,SEARCH(Tabela2[Palavras-Chave],Boletim[[#This Row],[Objeto]],1),Tabela2[Palavras-Chave])</f>
        <v>#N/A</v>
      </c>
    </row>
    <row r="154" spans="1:11" hidden="1" x14ac:dyDescent="0.3">
      <c r="A154" s="5">
        <v>18803650</v>
      </c>
      <c r="B154" s="6" t="s">
        <v>925</v>
      </c>
      <c r="C154" s="6" t="s">
        <v>926</v>
      </c>
      <c r="D154" s="8" t="s">
        <v>72</v>
      </c>
      <c r="E154" s="6" t="s">
        <v>927</v>
      </c>
      <c r="F154" s="6" t="s">
        <v>51</v>
      </c>
      <c r="G154" s="11">
        <v>46122.708333333336</v>
      </c>
      <c r="H154" s="10" t="s">
        <v>928</v>
      </c>
      <c r="I154" s="6" t="s">
        <v>929</v>
      </c>
      <c r="J154" s="12">
        <v>46120.764120370368</v>
      </c>
      <c r="K154" s="6" t="e" cm="1">
        <f t="array" ref="K154">LOOKUP(2^15,SEARCH(Tabela2[Palavras-Chave],Boletim[[#This Row],[Objeto]],1),Tabela2[Palavras-Chave])</f>
        <v>#N/A</v>
      </c>
    </row>
    <row r="155" spans="1:11" hidden="1" x14ac:dyDescent="0.3">
      <c r="A155" s="5">
        <v>18805947</v>
      </c>
      <c r="B155" s="6" t="s">
        <v>930</v>
      </c>
      <c r="C155" s="6" t="s">
        <v>73</v>
      </c>
      <c r="D155" s="8" t="s">
        <v>72</v>
      </c>
      <c r="E155" s="6" t="s">
        <v>330</v>
      </c>
      <c r="F155" s="6" t="s">
        <v>51</v>
      </c>
      <c r="G155" s="11">
        <v>46128.333333333336</v>
      </c>
      <c r="H155" s="10" t="s">
        <v>931</v>
      </c>
      <c r="I155" s="6" t="s">
        <v>932</v>
      </c>
      <c r="J155" s="12">
        <v>46120.791064814817</v>
      </c>
      <c r="K155" s="6" t="e" cm="1">
        <f t="array" ref="K155">LOOKUP(2^15,SEARCH(Tabela2[Palavras-Chave],Boletim[[#This Row],[Objeto]],1),Tabela2[Palavras-Chave])</f>
        <v>#N/A</v>
      </c>
    </row>
    <row r="156" spans="1:11" hidden="1" x14ac:dyDescent="0.3">
      <c r="A156" s="5">
        <v>18804498</v>
      </c>
      <c r="B156" s="6" t="s">
        <v>933</v>
      </c>
      <c r="C156" s="6" t="s">
        <v>73</v>
      </c>
      <c r="D156" s="8" t="s">
        <v>72</v>
      </c>
      <c r="E156" s="6" t="s">
        <v>197</v>
      </c>
      <c r="F156" s="6" t="s">
        <v>51</v>
      </c>
      <c r="G156" s="11">
        <v>46127.333333333336</v>
      </c>
      <c r="H156" s="10" t="s">
        <v>934</v>
      </c>
      <c r="I156" s="6" t="s">
        <v>935</v>
      </c>
      <c r="J156" s="12">
        <v>46120.879432870373</v>
      </c>
      <c r="K156" s="6" t="e" cm="1">
        <f t="array" ref="K156">LOOKUP(2^15,SEARCH(Tabela2[Palavras-Chave],Boletim[[#This Row],[Objeto]],1),Tabela2[Palavras-Chave])</f>
        <v>#N/A</v>
      </c>
    </row>
    <row r="157" spans="1:11" hidden="1" x14ac:dyDescent="0.3">
      <c r="A157" s="5">
        <v>18801344</v>
      </c>
      <c r="B157" s="6" t="s">
        <v>936</v>
      </c>
      <c r="C157" s="6" t="s">
        <v>75</v>
      </c>
      <c r="D157" s="8" t="s">
        <v>76</v>
      </c>
      <c r="E157" s="6" t="s">
        <v>118</v>
      </c>
      <c r="F157" s="6" t="s">
        <v>51</v>
      </c>
      <c r="G157" s="11">
        <v>46125.333333333336</v>
      </c>
      <c r="H157" s="10" t="s">
        <v>937</v>
      </c>
      <c r="I157" s="6" t="s">
        <v>938</v>
      </c>
      <c r="J157" s="12">
        <v>46120.452604166669</v>
      </c>
      <c r="K157" s="6" t="e" cm="1">
        <f t="array" ref="K157">LOOKUP(2^15,SEARCH(Tabela2[Palavras-Chave],Boletim[[#This Row],[Objeto]],1),Tabela2[Palavras-Chave])</f>
        <v>#N/A</v>
      </c>
    </row>
    <row r="158" spans="1:11" hidden="1" x14ac:dyDescent="0.3">
      <c r="A158" s="5">
        <v>18770011</v>
      </c>
      <c r="B158" s="6" t="s">
        <v>74</v>
      </c>
      <c r="C158" s="6" t="s">
        <v>75</v>
      </c>
      <c r="D158" s="8" t="s">
        <v>76</v>
      </c>
      <c r="E158" s="6" t="s">
        <v>471</v>
      </c>
      <c r="F158" s="6" t="s">
        <v>51</v>
      </c>
      <c r="G158" s="11" t="s">
        <v>56</v>
      </c>
      <c r="H158" s="10" t="s">
        <v>472</v>
      </c>
      <c r="I158" s="6" t="s">
        <v>473</v>
      </c>
      <c r="J158" s="12">
        <v>46120.465949074074</v>
      </c>
      <c r="K158" s="6" t="e" cm="1">
        <f t="array" ref="K158">LOOKUP(2^15,SEARCH(Tabela2[Palavras-Chave],Boletim[[#This Row],[Objeto]],1),Tabela2[Palavras-Chave])</f>
        <v>#N/A</v>
      </c>
    </row>
    <row r="159" spans="1:11" hidden="1" x14ac:dyDescent="0.3">
      <c r="A159" s="5">
        <v>18780322</v>
      </c>
      <c r="B159" s="6" t="s">
        <v>74</v>
      </c>
      <c r="C159" s="6" t="s">
        <v>75</v>
      </c>
      <c r="D159" s="8" t="s">
        <v>76</v>
      </c>
      <c r="E159" s="6" t="s">
        <v>939</v>
      </c>
      <c r="F159" s="6" t="s">
        <v>51</v>
      </c>
      <c r="G159" s="11" t="s">
        <v>56</v>
      </c>
      <c r="H159" s="10" t="s">
        <v>940</v>
      </c>
      <c r="I159" s="6" t="s">
        <v>941</v>
      </c>
      <c r="J159" s="12">
        <v>46120.466805555552</v>
      </c>
      <c r="K159" s="6" t="e" cm="1">
        <f t="array" ref="K159">LOOKUP(2^15,SEARCH(Tabela2[Palavras-Chave],Boletim[[#This Row],[Objeto]],1),Tabela2[Palavras-Chave])</f>
        <v>#N/A</v>
      </c>
    </row>
    <row r="160" spans="1:11" hidden="1" x14ac:dyDescent="0.3">
      <c r="A160" s="5">
        <v>18801798</v>
      </c>
      <c r="B160" s="6" t="s">
        <v>217</v>
      </c>
      <c r="C160" s="6" t="s">
        <v>75</v>
      </c>
      <c r="D160" s="8" t="s">
        <v>76</v>
      </c>
      <c r="E160" s="6" t="s">
        <v>942</v>
      </c>
      <c r="F160" s="6" t="s">
        <v>51</v>
      </c>
      <c r="G160" s="11" t="s">
        <v>56</v>
      </c>
      <c r="H160" s="10" t="s">
        <v>943</v>
      </c>
      <c r="I160" s="6" t="s">
        <v>944</v>
      </c>
      <c r="J160" s="12">
        <v>46120.494953703703</v>
      </c>
      <c r="K160" s="6" t="e" cm="1">
        <f t="array" ref="K160">LOOKUP(2^15,SEARCH(Tabela2[Palavras-Chave],Boletim[[#This Row],[Objeto]],1),Tabela2[Palavras-Chave])</f>
        <v>#N/A</v>
      </c>
    </row>
    <row r="161" spans="1:11" hidden="1" x14ac:dyDescent="0.3">
      <c r="A161" s="5">
        <v>18801800</v>
      </c>
      <c r="B161" s="6" t="s">
        <v>217</v>
      </c>
      <c r="C161" s="6" t="s">
        <v>75</v>
      </c>
      <c r="D161" s="8" t="s">
        <v>76</v>
      </c>
      <c r="E161" s="6" t="s">
        <v>945</v>
      </c>
      <c r="F161" s="6" t="s">
        <v>51</v>
      </c>
      <c r="G161" s="11" t="s">
        <v>56</v>
      </c>
      <c r="H161" s="10" t="s">
        <v>946</v>
      </c>
      <c r="I161" s="6" t="s">
        <v>947</v>
      </c>
      <c r="J161" s="12">
        <v>46120.521423611113</v>
      </c>
      <c r="K161" s="6" t="e" cm="1">
        <f t="array" ref="K161">LOOKUP(2^15,SEARCH(Tabela2[Palavras-Chave],Boletim[[#This Row],[Objeto]],1),Tabela2[Palavras-Chave])</f>
        <v>#N/A</v>
      </c>
    </row>
    <row r="162" spans="1:11" hidden="1" x14ac:dyDescent="0.3">
      <c r="A162" s="13">
        <v>18801799</v>
      </c>
      <c r="B162" s="10" t="s">
        <v>948</v>
      </c>
      <c r="C162" s="10" t="s">
        <v>390</v>
      </c>
      <c r="D162" s="15" t="s">
        <v>76</v>
      </c>
      <c r="E162" s="10" t="s">
        <v>949</v>
      </c>
      <c r="F162" s="10" t="s">
        <v>51</v>
      </c>
      <c r="G162" s="16" t="s">
        <v>56</v>
      </c>
      <c r="H162" s="10" t="s">
        <v>950</v>
      </c>
      <c r="I162" s="10" t="s">
        <v>951</v>
      </c>
      <c r="J162" s="17">
        <v>46120.523472222223</v>
      </c>
      <c r="K162" s="6" t="e" cm="1">
        <f t="array" ref="K162">LOOKUP(2^15,SEARCH(Tabela2[Palavras-Chave],Boletim[[#This Row],[Objeto]],1),Tabela2[Palavras-Chave])</f>
        <v>#N/A</v>
      </c>
    </row>
    <row r="163" spans="1:11" hidden="1" x14ac:dyDescent="0.3">
      <c r="A163" s="5">
        <v>18801790</v>
      </c>
      <c r="B163" s="6" t="s">
        <v>256</v>
      </c>
      <c r="C163" s="6" t="s">
        <v>75</v>
      </c>
      <c r="D163" s="8" t="s">
        <v>76</v>
      </c>
      <c r="E163" s="6" t="s">
        <v>55</v>
      </c>
      <c r="F163" s="6" t="s">
        <v>51</v>
      </c>
      <c r="G163" s="11" t="s">
        <v>56</v>
      </c>
      <c r="H163" s="10" t="s">
        <v>952</v>
      </c>
      <c r="I163" s="6" t="s">
        <v>953</v>
      </c>
      <c r="J163" s="12">
        <v>46120.546851851854</v>
      </c>
      <c r="K163" s="6" t="e" cm="1">
        <f t="array" ref="K163">LOOKUP(2^15,SEARCH(Tabela2[Palavras-Chave],Boletim[[#This Row],[Objeto]],1),Tabela2[Palavras-Chave])</f>
        <v>#N/A</v>
      </c>
    </row>
    <row r="164" spans="1:11" hidden="1" x14ac:dyDescent="0.3">
      <c r="A164" s="5">
        <v>18746681</v>
      </c>
      <c r="B164" s="6" t="s">
        <v>74</v>
      </c>
      <c r="C164" s="6" t="s">
        <v>75</v>
      </c>
      <c r="D164" s="8" t="s">
        <v>76</v>
      </c>
      <c r="E164" s="6" t="s">
        <v>816</v>
      </c>
      <c r="F164" s="6" t="s">
        <v>51</v>
      </c>
      <c r="G164" s="11" t="s">
        <v>56</v>
      </c>
      <c r="H164" s="10" t="s">
        <v>817</v>
      </c>
      <c r="I164" s="6" t="s">
        <v>818</v>
      </c>
      <c r="J164" s="12">
        <v>46120.652719907404</v>
      </c>
      <c r="K164" s="6" t="e" cm="1">
        <f t="array" ref="K164">LOOKUP(2^15,SEARCH(Tabela2[Palavras-Chave],Boletim[[#This Row],[Objeto]],1),Tabela2[Palavras-Chave])</f>
        <v>#N/A</v>
      </c>
    </row>
    <row r="165" spans="1:11" hidden="1" x14ac:dyDescent="0.3">
      <c r="A165" s="5">
        <v>18748508</v>
      </c>
      <c r="B165" s="6" t="s">
        <v>954</v>
      </c>
      <c r="C165" s="6" t="s">
        <v>955</v>
      </c>
      <c r="D165" s="8" t="s">
        <v>76</v>
      </c>
      <c r="E165" s="6" t="s">
        <v>165</v>
      </c>
      <c r="F165" s="6" t="s">
        <v>51</v>
      </c>
      <c r="G165" s="11" t="s">
        <v>56</v>
      </c>
      <c r="H165" s="10" t="s">
        <v>956</v>
      </c>
      <c r="I165" s="6" t="s">
        <v>957</v>
      </c>
      <c r="J165" s="12">
        <v>46120.654699074075</v>
      </c>
      <c r="K165" s="6" t="e" cm="1">
        <f t="array" ref="K165">LOOKUP(2^15,SEARCH(Tabela2[Palavras-Chave],Boletim[[#This Row],[Objeto]],1),Tabela2[Palavras-Chave])</f>
        <v>#N/A</v>
      </c>
    </row>
    <row r="166" spans="1:11" hidden="1" x14ac:dyDescent="0.3">
      <c r="A166" s="5">
        <v>18803157</v>
      </c>
      <c r="B166" s="6" t="s">
        <v>256</v>
      </c>
      <c r="C166" s="6" t="s">
        <v>75</v>
      </c>
      <c r="D166" s="8" t="s">
        <v>76</v>
      </c>
      <c r="E166" s="6" t="s">
        <v>958</v>
      </c>
      <c r="F166" s="6" t="s">
        <v>51</v>
      </c>
      <c r="G166" s="11" t="s">
        <v>56</v>
      </c>
      <c r="H166" s="10" t="s">
        <v>959</v>
      </c>
      <c r="I166" s="6" t="s">
        <v>960</v>
      </c>
      <c r="J166" s="12">
        <v>46120.663182870368</v>
      </c>
      <c r="K166" s="6" t="e" cm="1">
        <f t="array" ref="K166">LOOKUP(2^15,SEARCH(Tabela2[Palavras-Chave],Boletim[[#This Row],[Objeto]],1),Tabela2[Palavras-Chave])</f>
        <v>#N/A</v>
      </c>
    </row>
    <row r="167" spans="1:11" hidden="1" x14ac:dyDescent="0.3">
      <c r="A167" s="5">
        <v>18675094</v>
      </c>
      <c r="B167" s="6" t="s">
        <v>961</v>
      </c>
      <c r="C167" s="6" t="s">
        <v>962</v>
      </c>
      <c r="D167" s="8" t="s">
        <v>76</v>
      </c>
      <c r="E167" s="6" t="s">
        <v>55</v>
      </c>
      <c r="F167" s="6" t="s">
        <v>51</v>
      </c>
      <c r="G167" s="11" t="s">
        <v>56</v>
      </c>
      <c r="H167" s="10" t="s">
        <v>963</v>
      </c>
      <c r="I167" s="6" t="s">
        <v>138</v>
      </c>
      <c r="J167" s="12">
        <v>46120.67019675926</v>
      </c>
      <c r="K167" s="6" t="e" cm="1">
        <f t="array" ref="K167">LOOKUP(2^15,SEARCH(Tabela2[Palavras-Chave],Boletim[[#This Row],[Objeto]],1),Tabela2[Palavras-Chave])</f>
        <v>#N/A</v>
      </c>
    </row>
    <row r="168" spans="1:11" hidden="1" x14ac:dyDescent="0.3">
      <c r="A168" s="5">
        <v>18804543</v>
      </c>
      <c r="B168" s="6" t="s">
        <v>964</v>
      </c>
      <c r="C168" s="6" t="s">
        <v>75</v>
      </c>
      <c r="D168" s="8" t="s">
        <v>76</v>
      </c>
      <c r="E168" s="6" t="s">
        <v>330</v>
      </c>
      <c r="F168" s="6" t="s">
        <v>51</v>
      </c>
      <c r="G168" s="11">
        <v>46127.333333333336</v>
      </c>
      <c r="H168" s="10" t="s">
        <v>965</v>
      </c>
      <c r="I168" s="6" t="s">
        <v>966</v>
      </c>
      <c r="J168" s="12">
        <v>46120.673784722225</v>
      </c>
      <c r="K168" s="6" t="e" cm="1">
        <f t="array" ref="K168">LOOKUP(2^15,SEARCH(Tabela2[Palavras-Chave],Boletim[[#This Row],[Objeto]],1),Tabela2[Palavras-Chave])</f>
        <v>#N/A</v>
      </c>
    </row>
    <row r="169" spans="1:11" hidden="1" x14ac:dyDescent="0.3">
      <c r="A169" s="5">
        <v>18804597</v>
      </c>
      <c r="B169" s="6" t="s">
        <v>967</v>
      </c>
      <c r="C169" s="6" t="s">
        <v>75</v>
      </c>
      <c r="D169" s="8" t="s">
        <v>76</v>
      </c>
      <c r="E169" s="6" t="s">
        <v>260</v>
      </c>
      <c r="F169" s="6" t="s">
        <v>51</v>
      </c>
      <c r="G169" s="11">
        <v>46126.333333333336</v>
      </c>
      <c r="H169" s="10" t="s">
        <v>968</v>
      </c>
      <c r="I169" s="6" t="s">
        <v>969</v>
      </c>
      <c r="J169" s="12">
        <v>46120.727581018517</v>
      </c>
      <c r="K169" s="6" t="e" cm="1">
        <f t="array" ref="K169">LOOKUP(2^15,SEARCH(Tabela2[Palavras-Chave],Boletim[[#This Row],[Objeto]],1),Tabela2[Palavras-Chave])</f>
        <v>#N/A</v>
      </c>
    </row>
    <row r="170" spans="1:11" hidden="1" x14ac:dyDescent="0.3">
      <c r="A170" s="5">
        <v>18804582</v>
      </c>
      <c r="B170" s="6" t="s">
        <v>970</v>
      </c>
      <c r="C170" s="6" t="s">
        <v>75</v>
      </c>
      <c r="D170" s="8" t="s">
        <v>76</v>
      </c>
      <c r="E170" s="6" t="s">
        <v>329</v>
      </c>
      <c r="F170" s="6" t="s">
        <v>51</v>
      </c>
      <c r="G170" s="11">
        <v>46125.392361111109</v>
      </c>
      <c r="H170" s="10" t="s">
        <v>971</v>
      </c>
      <c r="I170" s="6" t="s">
        <v>972</v>
      </c>
      <c r="J170" s="12">
        <v>46120.732210648152</v>
      </c>
      <c r="K170" s="6" t="e" cm="1">
        <f t="array" ref="K170">LOOKUP(2^15,SEARCH(Tabela2[Palavras-Chave],Boletim[[#This Row],[Objeto]],1),Tabela2[Palavras-Chave])</f>
        <v>#N/A</v>
      </c>
    </row>
    <row r="171" spans="1:11" hidden="1" x14ac:dyDescent="0.3">
      <c r="A171" s="5">
        <v>18804717</v>
      </c>
      <c r="B171" s="6" t="s">
        <v>973</v>
      </c>
      <c r="C171" s="6" t="s">
        <v>75</v>
      </c>
      <c r="D171" s="8" t="s">
        <v>76</v>
      </c>
      <c r="E171" s="6" t="s">
        <v>974</v>
      </c>
      <c r="F171" s="6" t="s">
        <v>51</v>
      </c>
      <c r="G171" s="11" t="s">
        <v>56</v>
      </c>
      <c r="H171" s="10" t="s">
        <v>975</v>
      </c>
      <c r="I171" s="6" t="s">
        <v>190</v>
      </c>
      <c r="J171" s="12">
        <v>46120.732395833336</v>
      </c>
      <c r="K171" s="6" t="e" cm="1">
        <f t="array" ref="K171">LOOKUP(2^15,SEARCH(Tabela2[Palavras-Chave],Boletim[[#This Row],[Objeto]],1),Tabela2[Palavras-Chave])</f>
        <v>#N/A</v>
      </c>
    </row>
    <row r="172" spans="1:11" hidden="1" x14ac:dyDescent="0.3">
      <c r="A172" s="5">
        <v>18804527</v>
      </c>
      <c r="B172" s="6" t="s">
        <v>964</v>
      </c>
      <c r="C172" s="6" t="s">
        <v>75</v>
      </c>
      <c r="D172" s="8" t="s">
        <v>76</v>
      </c>
      <c r="E172" s="6" t="s">
        <v>197</v>
      </c>
      <c r="F172" s="6" t="s">
        <v>51</v>
      </c>
      <c r="G172" s="11">
        <v>46127.333333333336</v>
      </c>
      <c r="H172" s="10" t="s">
        <v>976</v>
      </c>
      <c r="I172" s="6" t="s">
        <v>977</v>
      </c>
      <c r="J172" s="12">
        <v>46120.757349537038</v>
      </c>
      <c r="K172" s="6" t="e" cm="1">
        <f t="array" ref="K172">LOOKUP(2^15,SEARCH(Tabela2[Palavras-Chave],Boletim[[#This Row],[Objeto]],1),Tabela2[Palavras-Chave])</f>
        <v>#N/A</v>
      </c>
    </row>
    <row r="173" spans="1:11" hidden="1" x14ac:dyDescent="0.3">
      <c r="A173" s="5">
        <v>18804602</v>
      </c>
      <c r="B173" s="6" t="s">
        <v>978</v>
      </c>
      <c r="C173" s="6" t="s">
        <v>979</v>
      </c>
      <c r="D173" s="8" t="s">
        <v>76</v>
      </c>
      <c r="E173" s="6" t="s">
        <v>129</v>
      </c>
      <c r="F173" s="6" t="s">
        <v>51</v>
      </c>
      <c r="G173" s="11">
        <v>46128.333333333336</v>
      </c>
      <c r="H173" s="10" t="s">
        <v>980</v>
      </c>
      <c r="I173" s="6" t="s">
        <v>981</v>
      </c>
      <c r="J173" s="12">
        <v>46120.762129629627</v>
      </c>
      <c r="K173" s="6" t="e" cm="1">
        <f t="array" ref="K173">LOOKUP(2^15,SEARCH(Tabela2[Palavras-Chave],Boletim[[#This Row],[Objeto]],1),Tabela2[Palavras-Chave])</f>
        <v>#N/A</v>
      </c>
    </row>
    <row r="174" spans="1:11" hidden="1" x14ac:dyDescent="0.3">
      <c r="A174" s="5">
        <v>18804521</v>
      </c>
      <c r="B174" s="6" t="s">
        <v>982</v>
      </c>
      <c r="C174" s="6" t="s">
        <v>983</v>
      </c>
      <c r="D174" s="8" t="s">
        <v>76</v>
      </c>
      <c r="E174" s="6" t="s">
        <v>335</v>
      </c>
      <c r="F174" s="6" t="s">
        <v>51</v>
      </c>
      <c r="G174" s="11">
        <v>46126.333333333336</v>
      </c>
      <c r="H174" s="10" t="s">
        <v>984</v>
      </c>
      <c r="I174" s="6" t="s">
        <v>985</v>
      </c>
      <c r="J174" s="12">
        <v>46120.788518518515</v>
      </c>
      <c r="K174" s="6" t="e" cm="1">
        <f t="array" ref="K174">LOOKUP(2^15,SEARCH(Tabela2[Palavras-Chave],Boletim[[#This Row],[Objeto]],1),Tabela2[Palavras-Chave])</f>
        <v>#N/A</v>
      </c>
    </row>
    <row r="175" spans="1:11" hidden="1" x14ac:dyDescent="0.3">
      <c r="A175" s="5">
        <v>18803657</v>
      </c>
      <c r="B175" s="6" t="s">
        <v>986</v>
      </c>
      <c r="C175" s="6" t="s">
        <v>75</v>
      </c>
      <c r="D175" s="8" t="s">
        <v>76</v>
      </c>
      <c r="E175" s="6" t="s">
        <v>110</v>
      </c>
      <c r="F175" s="6" t="s">
        <v>51</v>
      </c>
      <c r="G175" s="11">
        <v>46122.708333333336</v>
      </c>
      <c r="H175" s="10" t="s">
        <v>987</v>
      </c>
      <c r="I175" s="6" t="s">
        <v>988</v>
      </c>
      <c r="J175" s="12">
        <v>46120.86513888889</v>
      </c>
      <c r="K175" s="6" t="e" cm="1">
        <f t="array" ref="K175">LOOKUP(2^15,SEARCH(Tabela2[Palavras-Chave],Boletim[[#This Row],[Objeto]],1),Tabela2[Palavras-Chave])</f>
        <v>#N/A</v>
      </c>
    </row>
    <row r="176" spans="1:11" x14ac:dyDescent="0.3">
      <c r="A176" s="5">
        <v>18804719</v>
      </c>
      <c r="B176" s="6" t="s">
        <v>973</v>
      </c>
      <c r="C176" s="6" t="s">
        <v>75</v>
      </c>
      <c r="D176" s="8" t="s">
        <v>76</v>
      </c>
      <c r="E176" s="6" t="s">
        <v>989</v>
      </c>
      <c r="F176" s="6" t="s">
        <v>51</v>
      </c>
      <c r="G176" s="11" t="s">
        <v>56</v>
      </c>
      <c r="H176" s="21" t="s">
        <v>990</v>
      </c>
      <c r="I176" s="6" t="s">
        <v>190</v>
      </c>
      <c r="J176" s="12">
        <v>46120.868622685186</v>
      </c>
      <c r="K176" s="6" t="str" cm="1">
        <f t="array" ref="K176">LOOKUP(2^15,SEARCH(Tabela2[Palavras-Chave],Boletim[[#This Row],[Objeto]],1),Tabela2[Palavras-Chave])</f>
        <v>abraçadeira</v>
      </c>
    </row>
    <row r="177" spans="1:11" hidden="1" x14ac:dyDescent="0.3">
      <c r="A177" s="5">
        <v>18804718</v>
      </c>
      <c r="B177" s="6" t="s">
        <v>973</v>
      </c>
      <c r="C177" s="6" t="s">
        <v>75</v>
      </c>
      <c r="D177" s="8" t="s">
        <v>76</v>
      </c>
      <c r="E177" s="6" t="s">
        <v>991</v>
      </c>
      <c r="F177" s="6" t="s">
        <v>51</v>
      </c>
      <c r="G177" s="11" t="s">
        <v>56</v>
      </c>
      <c r="H177" s="10" t="s">
        <v>992</v>
      </c>
      <c r="I177" s="6" t="s">
        <v>190</v>
      </c>
      <c r="J177" s="12">
        <v>46120.868958333333</v>
      </c>
      <c r="K177" s="6" t="e" cm="1">
        <f t="array" ref="K177">LOOKUP(2^15,SEARCH(Tabela2[Palavras-Chave],Boletim[[#This Row],[Objeto]],1),Tabela2[Palavras-Chave])</f>
        <v>#N/A</v>
      </c>
    </row>
    <row r="178" spans="1:11" hidden="1" x14ac:dyDescent="0.3">
      <c r="A178" s="5">
        <v>18804705</v>
      </c>
      <c r="B178" s="6" t="s">
        <v>973</v>
      </c>
      <c r="C178" s="6" t="s">
        <v>75</v>
      </c>
      <c r="D178" s="8" t="s">
        <v>76</v>
      </c>
      <c r="E178" s="6" t="s">
        <v>332</v>
      </c>
      <c r="F178" s="6" t="s">
        <v>51</v>
      </c>
      <c r="G178" s="11" t="s">
        <v>56</v>
      </c>
      <c r="H178" s="10" t="s">
        <v>993</v>
      </c>
      <c r="I178" s="6" t="s">
        <v>190</v>
      </c>
      <c r="J178" s="12">
        <v>46120.869212962964</v>
      </c>
      <c r="K178" s="6" t="e" cm="1">
        <f t="array" ref="K178">LOOKUP(2^15,SEARCH(Tabela2[Palavras-Chave],Boletim[[#This Row],[Objeto]],1),Tabela2[Palavras-Chave])</f>
        <v>#N/A</v>
      </c>
    </row>
    <row r="179" spans="1:11" hidden="1" x14ac:dyDescent="0.3">
      <c r="A179" s="5">
        <v>18804478</v>
      </c>
      <c r="B179" s="6" t="s">
        <v>994</v>
      </c>
      <c r="C179" s="6" t="s">
        <v>75</v>
      </c>
      <c r="D179" s="8" t="s">
        <v>76</v>
      </c>
      <c r="E179" s="6" t="s">
        <v>264</v>
      </c>
      <c r="F179" s="6" t="s">
        <v>51</v>
      </c>
      <c r="G179" s="11">
        <v>46126.333333333336</v>
      </c>
      <c r="H179" s="10" t="s">
        <v>995</v>
      </c>
      <c r="I179" s="6" t="s">
        <v>996</v>
      </c>
      <c r="J179" s="12">
        <v>46120.882314814815</v>
      </c>
      <c r="K179" s="6" t="e" cm="1">
        <f t="array" ref="K179">LOOKUP(2^15,SEARCH(Tabela2[Palavras-Chave],Boletim[[#This Row],[Objeto]],1),Tabela2[Palavras-Chave])</f>
        <v>#N/A</v>
      </c>
    </row>
    <row r="180" spans="1:11" hidden="1" x14ac:dyDescent="0.3">
      <c r="A180" s="5">
        <v>18804157</v>
      </c>
      <c r="B180" s="6" t="s">
        <v>973</v>
      </c>
      <c r="C180" s="6" t="s">
        <v>75</v>
      </c>
      <c r="D180" s="8" t="s">
        <v>76</v>
      </c>
      <c r="E180" s="6" t="s">
        <v>255</v>
      </c>
      <c r="F180" s="6" t="s">
        <v>51</v>
      </c>
      <c r="G180" s="11" t="s">
        <v>56</v>
      </c>
      <c r="H180" s="10" t="s">
        <v>997</v>
      </c>
      <c r="I180" s="6" t="s">
        <v>190</v>
      </c>
      <c r="J180" s="12">
        <v>46120.882476851853</v>
      </c>
      <c r="K180" s="6" t="e" cm="1">
        <f t="array" ref="K180">LOOKUP(2^15,SEARCH(Tabela2[Palavras-Chave],Boletim[[#This Row],[Objeto]],1),Tabela2[Palavras-Chave])</f>
        <v>#N/A</v>
      </c>
    </row>
    <row r="181" spans="1:11" hidden="1" x14ac:dyDescent="0.3">
      <c r="A181" s="5">
        <v>18801818</v>
      </c>
      <c r="B181" s="6" t="s">
        <v>998</v>
      </c>
      <c r="C181" s="6" t="s">
        <v>999</v>
      </c>
      <c r="D181" s="8" t="s">
        <v>77</v>
      </c>
      <c r="E181" s="6" t="s">
        <v>129</v>
      </c>
      <c r="F181" s="6" t="s">
        <v>51</v>
      </c>
      <c r="G181" s="11">
        <v>46122.833333333336</v>
      </c>
      <c r="H181" s="10" t="s">
        <v>1000</v>
      </c>
      <c r="I181" s="6" t="s">
        <v>1001</v>
      </c>
      <c r="J181" s="12">
        <v>46120.412777777776</v>
      </c>
      <c r="K181" s="6" t="e" cm="1">
        <f t="array" ref="K181">LOOKUP(2^15,SEARCH(Tabela2[Palavras-Chave],Boletim[[#This Row],[Objeto]],1),Tabela2[Palavras-Chave])</f>
        <v>#N/A</v>
      </c>
    </row>
    <row r="182" spans="1:11" hidden="1" x14ac:dyDescent="0.3">
      <c r="A182" s="5">
        <v>18802170</v>
      </c>
      <c r="B182" s="6" t="s">
        <v>1002</v>
      </c>
      <c r="C182" s="6" t="s">
        <v>102</v>
      </c>
      <c r="D182" s="8" t="s">
        <v>77</v>
      </c>
      <c r="E182" s="6" t="s">
        <v>139</v>
      </c>
      <c r="F182" s="6" t="s">
        <v>51</v>
      </c>
      <c r="G182" s="11">
        <v>46125.333333333336</v>
      </c>
      <c r="H182" s="10" t="s">
        <v>1003</v>
      </c>
      <c r="I182" s="6" t="s">
        <v>1004</v>
      </c>
      <c r="J182" s="12">
        <v>46120.496134259258</v>
      </c>
      <c r="K182" s="6" t="e" cm="1">
        <f t="array" ref="K182">LOOKUP(2^15,SEARCH(Tabela2[Palavras-Chave],Boletim[[#This Row],[Objeto]],1),Tabela2[Palavras-Chave])</f>
        <v>#N/A</v>
      </c>
    </row>
    <row r="183" spans="1:11" hidden="1" x14ac:dyDescent="0.3">
      <c r="A183" s="5">
        <v>18805639</v>
      </c>
      <c r="B183" s="6" t="s">
        <v>275</v>
      </c>
      <c r="C183" s="6" t="s">
        <v>102</v>
      </c>
      <c r="D183" s="8" t="s">
        <v>77</v>
      </c>
      <c r="E183" s="6" t="s">
        <v>1005</v>
      </c>
      <c r="F183" s="6" t="s">
        <v>51</v>
      </c>
      <c r="G183" s="11" t="s">
        <v>56</v>
      </c>
      <c r="H183" s="10" t="s">
        <v>1006</v>
      </c>
      <c r="I183" s="6" t="s">
        <v>1007</v>
      </c>
      <c r="J183" s="12">
        <v>46120.749988425923</v>
      </c>
      <c r="K183" s="6" t="e" cm="1">
        <f t="array" ref="K183">LOOKUP(2^15,SEARCH(Tabela2[Palavras-Chave],Boletim[[#This Row],[Objeto]],1),Tabela2[Palavras-Chave])</f>
        <v>#N/A</v>
      </c>
    </row>
    <row r="184" spans="1:11" hidden="1" x14ac:dyDescent="0.3">
      <c r="A184" s="5">
        <v>18806201</v>
      </c>
      <c r="B184" s="6" t="s">
        <v>1008</v>
      </c>
      <c r="C184" s="6" t="s">
        <v>1009</v>
      </c>
      <c r="D184" s="8" t="s">
        <v>78</v>
      </c>
      <c r="E184" s="6" t="s">
        <v>110</v>
      </c>
      <c r="F184" s="6" t="s">
        <v>51</v>
      </c>
      <c r="G184" s="11">
        <v>46125.75</v>
      </c>
      <c r="H184" s="10" t="s">
        <v>1010</v>
      </c>
      <c r="I184" s="6" t="s">
        <v>1011</v>
      </c>
      <c r="J184" s="12">
        <v>46120.870856481481</v>
      </c>
      <c r="K184" s="6" t="e" cm="1">
        <f t="array" ref="K184">LOOKUP(2^15,SEARCH(Tabela2[Palavras-Chave],Boletim[[#This Row],[Objeto]],1),Tabela2[Palavras-Chave])</f>
        <v>#N/A</v>
      </c>
    </row>
    <row r="185" spans="1:11" hidden="1" x14ac:dyDescent="0.3">
      <c r="A185" s="13">
        <v>18802047</v>
      </c>
      <c r="B185" s="10" t="s">
        <v>1012</v>
      </c>
      <c r="C185" s="10" t="s">
        <v>1013</v>
      </c>
      <c r="D185" s="15" t="s">
        <v>80</v>
      </c>
      <c r="E185" s="10" t="s">
        <v>263</v>
      </c>
      <c r="F185" s="10" t="s">
        <v>51</v>
      </c>
      <c r="G185" s="16">
        <v>46125.416666666664</v>
      </c>
      <c r="H185" s="10" t="s">
        <v>1014</v>
      </c>
      <c r="I185" s="10" t="s">
        <v>1015</v>
      </c>
      <c r="J185" s="17">
        <v>46120.525578703702</v>
      </c>
      <c r="K185" s="6" t="e" cm="1">
        <f t="array" ref="K185">LOOKUP(2^15,SEARCH(Tabela2[Palavras-Chave],Boletim[[#This Row],[Objeto]],1),Tabela2[Palavras-Chave])</f>
        <v>#N/A</v>
      </c>
    </row>
    <row r="186" spans="1:11" hidden="1" x14ac:dyDescent="0.3">
      <c r="A186" s="5">
        <v>18801387</v>
      </c>
      <c r="B186" s="6" t="s">
        <v>1016</v>
      </c>
      <c r="C186" s="6" t="s">
        <v>464</v>
      </c>
      <c r="D186" s="8" t="s">
        <v>80</v>
      </c>
      <c r="E186" s="6" t="s">
        <v>197</v>
      </c>
      <c r="F186" s="6" t="s">
        <v>51</v>
      </c>
      <c r="G186" s="11">
        <v>46126.541666666664</v>
      </c>
      <c r="H186" s="10" t="s">
        <v>1017</v>
      </c>
      <c r="I186" s="6" t="s">
        <v>1018</v>
      </c>
      <c r="J186" s="12">
        <v>46120.527905092589</v>
      </c>
      <c r="K186" s="6" t="e" cm="1">
        <f t="array" ref="K186">LOOKUP(2^15,SEARCH(Tabela2[Palavras-Chave],Boletim[[#This Row],[Objeto]],1),Tabela2[Palavras-Chave])</f>
        <v>#N/A</v>
      </c>
    </row>
    <row r="187" spans="1:11" hidden="1" x14ac:dyDescent="0.3">
      <c r="A187" s="5">
        <v>18795684</v>
      </c>
      <c r="B187" s="6" t="s">
        <v>193</v>
      </c>
      <c r="C187" s="6" t="s">
        <v>79</v>
      </c>
      <c r="D187" s="8" t="s">
        <v>80</v>
      </c>
      <c r="E187" s="6" t="s">
        <v>1019</v>
      </c>
      <c r="F187" s="6" t="s">
        <v>51</v>
      </c>
      <c r="G187" s="11">
        <v>46122.590277777781</v>
      </c>
      <c r="H187" s="10" t="s">
        <v>1020</v>
      </c>
      <c r="I187" s="6" t="s">
        <v>1021</v>
      </c>
      <c r="J187" s="12">
        <v>46120.586967592593</v>
      </c>
      <c r="K187" s="6" t="e" cm="1">
        <f t="array" ref="K187">LOOKUP(2^15,SEARCH(Tabela2[Palavras-Chave],Boletim[[#This Row],[Objeto]],1),Tabela2[Palavras-Chave])</f>
        <v>#N/A</v>
      </c>
    </row>
    <row r="188" spans="1:11" hidden="1" x14ac:dyDescent="0.3">
      <c r="A188" s="5">
        <v>18768198</v>
      </c>
      <c r="B188" s="6" t="s">
        <v>278</v>
      </c>
      <c r="C188" s="6" t="s">
        <v>79</v>
      </c>
      <c r="D188" s="8" t="s">
        <v>80</v>
      </c>
      <c r="E188" s="6" t="s">
        <v>1022</v>
      </c>
      <c r="F188" s="6" t="s">
        <v>51</v>
      </c>
      <c r="G188" s="11">
        <v>46122.425000000003</v>
      </c>
      <c r="H188" s="10" t="s">
        <v>340</v>
      </c>
      <c r="I188" s="6" t="s">
        <v>1023</v>
      </c>
      <c r="J188" s="12">
        <v>46120.587592592594</v>
      </c>
      <c r="K188" s="6" t="e" cm="1">
        <f t="array" ref="K188">LOOKUP(2^15,SEARCH(Tabela2[Palavras-Chave],Boletim[[#This Row],[Objeto]],1),Tabela2[Palavras-Chave])</f>
        <v>#N/A</v>
      </c>
    </row>
    <row r="189" spans="1:11" hidden="1" x14ac:dyDescent="0.3">
      <c r="A189" s="5">
        <v>18803818</v>
      </c>
      <c r="B189" s="6" t="s">
        <v>1024</v>
      </c>
      <c r="C189" s="6" t="s">
        <v>1025</v>
      </c>
      <c r="D189" s="8" t="s">
        <v>80</v>
      </c>
      <c r="E189" s="6" t="s">
        <v>137</v>
      </c>
      <c r="F189" s="6" t="s">
        <v>51</v>
      </c>
      <c r="G189" s="11">
        <v>46122.708333333336</v>
      </c>
      <c r="H189" s="10" t="s">
        <v>1026</v>
      </c>
      <c r="I189" s="6" t="s">
        <v>1027</v>
      </c>
      <c r="J189" s="12">
        <v>46120.639594907407</v>
      </c>
      <c r="K189" s="6" t="e" cm="1">
        <f t="array" ref="K189">LOOKUP(2^15,SEARCH(Tabela2[Palavras-Chave],Boletim[[#This Row],[Objeto]],1),Tabela2[Palavras-Chave])</f>
        <v>#N/A</v>
      </c>
    </row>
    <row r="190" spans="1:11" hidden="1" x14ac:dyDescent="0.3">
      <c r="A190" s="5">
        <v>18801761</v>
      </c>
      <c r="B190" s="6" t="s">
        <v>300</v>
      </c>
      <c r="C190" s="6" t="s">
        <v>79</v>
      </c>
      <c r="D190" s="8" t="s">
        <v>80</v>
      </c>
      <c r="E190" s="6" t="s">
        <v>1028</v>
      </c>
      <c r="F190" s="6" t="s">
        <v>51</v>
      </c>
      <c r="G190" s="11" t="s">
        <v>56</v>
      </c>
      <c r="H190" s="10" t="s">
        <v>1029</v>
      </c>
      <c r="I190" s="6" t="s">
        <v>1030</v>
      </c>
      <c r="J190" s="12">
        <v>46120.700995370367</v>
      </c>
      <c r="K190" s="6" t="e" cm="1">
        <f t="array" ref="K190">LOOKUP(2^15,SEARCH(Tabela2[Palavras-Chave],Boletim[[#This Row],[Objeto]],1),Tabela2[Palavras-Chave])</f>
        <v>#N/A</v>
      </c>
    </row>
    <row r="191" spans="1:11" hidden="1" x14ac:dyDescent="0.3">
      <c r="A191" s="5">
        <v>18804570</v>
      </c>
      <c r="B191" s="6" t="s">
        <v>1031</v>
      </c>
      <c r="C191" s="6" t="s">
        <v>79</v>
      </c>
      <c r="D191" s="8" t="s">
        <v>80</v>
      </c>
      <c r="E191" s="6" t="s">
        <v>137</v>
      </c>
      <c r="F191" s="6" t="s">
        <v>51</v>
      </c>
      <c r="G191" s="11">
        <v>46125.333333333336</v>
      </c>
      <c r="H191" s="10" t="s">
        <v>1032</v>
      </c>
      <c r="I191" s="6" t="s">
        <v>1033</v>
      </c>
      <c r="J191" s="12">
        <v>46120.731180555558</v>
      </c>
      <c r="K191" s="6" t="e" cm="1">
        <f t="array" ref="K191">LOOKUP(2^15,SEARCH(Tabela2[Palavras-Chave],Boletim[[#This Row],[Objeto]],1),Tabela2[Palavras-Chave])</f>
        <v>#N/A</v>
      </c>
    </row>
    <row r="192" spans="1:11" hidden="1" x14ac:dyDescent="0.3">
      <c r="A192" s="5">
        <v>18804603</v>
      </c>
      <c r="B192" s="6" t="s">
        <v>1031</v>
      </c>
      <c r="C192" s="6" t="s">
        <v>79</v>
      </c>
      <c r="D192" s="8" t="s">
        <v>80</v>
      </c>
      <c r="E192" s="6" t="s">
        <v>342</v>
      </c>
      <c r="F192" s="6" t="s">
        <v>51</v>
      </c>
      <c r="G192" s="11">
        <v>46125.333333333336</v>
      </c>
      <c r="H192" s="10" t="s">
        <v>1034</v>
      </c>
      <c r="I192" s="6" t="s">
        <v>1035</v>
      </c>
      <c r="J192" s="12">
        <v>46120.731990740744</v>
      </c>
      <c r="K192" s="6" t="e" cm="1">
        <f t="array" ref="K192">LOOKUP(2^15,SEARCH(Tabela2[Palavras-Chave],Boletim[[#This Row],[Objeto]],1),Tabela2[Palavras-Chave])</f>
        <v>#N/A</v>
      </c>
    </row>
    <row r="193" spans="1:11" ht="57.6" x14ac:dyDescent="0.3">
      <c r="A193" s="5">
        <v>18801762</v>
      </c>
      <c r="B193" s="6" t="s">
        <v>300</v>
      </c>
      <c r="C193" s="6" t="s">
        <v>79</v>
      </c>
      <c r="D193" s="8" t="s">
        <v>80</v>
      </c>
      <c r="E193" s="6" t="s">
        <v>1036</v>
      </c>
      <c r="F193" s="6" t="s">
        <v>51</v>
      </c>
      <c r="G193" s="11" t="s">
        <v>56</v>
      </c>
      <c r="H193" s="21" t="s">
        <v>1037</v>
      </c>
      <c r="I193" s="6" t="s">
        <v>1038</v>
      </c>
      <c r="J193" s="12">
        <v>46120.749351851853</v>
      </c>
      <c r="K193" s="6" t="str" cm="1">
        <f t="array" ref="K193">LOOKUP(2^15,SEARCH(Tabela2[Palavras-Chave],Boletim[[#This Row],[Objeto]],1),Tabela2[Palavras-Chave])</f>
        <v>MEDIÇÃO</v>
      </c>
    </row>
    <row r="194" spans="1:11" hidden="1" x14ac:dyDescent="0.3">
      <c r="A194" s="5">
        <v>18805863</v>
      </c>
      <c r="B194" s="6" t="s">
        <v>1039</v>
      </c>
      <c r="C194" s="6" t="s">
        <v>1040</v>
      </c>
      <c r="D194" s="8" t="s">
        <v>80</v>
      </c>
      <c r="E194" s="6" t="s">
        <v>137</v>
      </c>
      <c r="F194" s="6" t="s">
        <v>51</v>
      </c>
      <c r="G194" s="11">
        <v>46127.375</v>
      </c>
      <c r="H194" s="10" t="s">
        <v>1041</v>
      </c>
      <c r="I194" s="6" t="s">
        <v>1042</v>
      </c>
      <c r="J194" s="12">
        <v>46120.852858796294</v>
      </c>
      <c r="K194" s="6" t="e" cm="1">
        <f t="array" ref="K194">LOOKUP(2^15,SEARCH(Tabela2[Palavras-Chave],Boletim[[#This Row],[Objeto]],1),Tabela2[Palavras-Chave])</f>
        <v>#N/A</v>
      </c>
    </row>
    <row r="195" spans="1:11" hidden="1" x14ac:dyDescent="0.3">
      <c r="A195" s="5">
        <v>18801311</v>
      </c>
      <c r="B195" s="6" t="s">
        <v>1043</v>
      </c>
      <c r="C195" s="6" t="s">
        <v>1044</v>
      </c>
      <c r="D195" s="8" t="s">
        <v>81</v>
      </c>
      <c r="E195" s="6" t="s">
        <v>1045</v>
      </c>
      <c r="F195" s="6" t="s">
        <v>51</v>
      </c>
      <c r="G195" s="11">
        <v>46122.625</v>
      </c>
      <c r="H195" s="10" t="s">
        <v>1046</v>
      </c>
      <c r="I195" s="6" t="s">
        <v>1047</v>
      </c>
      <c r="J195" s="12">
        <v>46120.576412037037</v>
      </c>
      <c r="K195" s="6" t="e" cm="1">
        <f t="array" ref="K195">LOOKUP(2^15,SEARCH(Tabela2[Palavras-Chave],Boletim[[#This Row],[Objeto]],1),Tabela2[Palavras-Chave])</f>
        <v>#N/A</v>
      </c>
    </row>
    <row r="196" spans="1:11" hidden="1" x14ac:dyDescent="0.3">
      <c r="A196" s="5">
        <v>18795093</v>
      </c>
      <c r="B196" s="6" t="s">
        <v>1048</v>
      </c>
      <c r="C196" s="6" t="s">
        <v>1049</v>
      </c>
      <c r="D196" s="8" t="s">
        <v>81</v>
      </c>
      <c r="E196" s="6" t="s">
        <v>161</v>
      </c>
      <c r="F196" s="6" t="s">
        <v>51</v>
      </c>
      <c r="G196" s="11">
        <v>46126.333333333336</v>
      </c>
      <c r="H196" s="10" t="s">
        <v>1050</v>
      </c>
      <c r="I196" s="6" t="s">
        <v>1051</v>
      </c>
      <c r="J196" s="12">
        <v>46120.58761574074</v>
      </c>
      <c r="K196" s="6" t="e" cm="1">
        <f t="array" ref="K196">LOOKUP(2^15,SEARCH(Tabela2[Palavras-Chave],Boletim[[#This Row],[Objeto]],1),Tabela2[Palavras-Chave])</f>
        <v>#N/A</v>
      </c>
    </row>
    <row r="197" spans="1:11" hidden="1" x14ac:dyDescent="0.3">
      <c r="A197" s="13">
        <v>18804244</v>
      </c>
      <c r="B197" s="10" t="s">
        <v>1052</v>
      </c>
      <c r="C197" s="10" t="s">
        <v>1053</v>
      </c>
      <c r="D197" s="15" t="s">
        <v>81</v>
      </c>
      <c r="E197" s="10" t="s">
        <v>145</v>
      </c>
      <c r="F197" s="10" t="s">
        <v>51</v>
      </c>
      <c r="G197" s="16" t="s">
        <v>56</v>
      </c>
      <c r="H197" s="10" t="s">
        <v>1054</v>
      </c>
      <c r="I197" s="10" t="s">
        <v>1055</v>
      </c>
      <c r="J197" s="17">
        <v>46120.621388888889</v>
      </c>
      <c r="K197" s="6" t="e" cm="1">
        <f t="array" ref="K197">LOOKUP(2^15,SEARCH(Tabela2[Palavras-Chave],Boletim[[#This Row],[Objeto]],1),Tabela2[Palavras-Chave])</f>
        <v>#N/A</v>
      </c>
    </row>
    <row r="198" spans="1:11" hidden="1" x14ac:dyDescent="0.3">
      <c r="A198" s="13">
        <v>18805874</v>
      </c>
      <c r="B198" s="10" t="s">
        <v>1056</v>
      </c>
      <c r="C198" s="10" t="s">
        <v>1057</v>
      </c>
      <c r="D198" s="15" t="s">
        <v>81</v>
      </c>
      <c r="E198" s="10" t="s">
        <v>1058</v>
      </c>
      <c r="F198" s="10" t="s">
        <v>51</v>
      </c>
      <c r="G198" s="16">
        <v>46125.59375</v>
      </c>
      <c r="H198" s="10" t="s">
        <v>1059</v>
      </c>
      <c r="I198" s="10" t="s">
        <v>1060</v>
      </c>
      <c r="J198" s="17">
        <v>46120.782708333332</v>
      </c>
      <c r="K198" s="6" t="e" cm="1">
        <f t="array" ref="K198">LOOKUP(2^15,SEARCH(Tabela2[Palavras-Chave],Boletim[[#This Row],[Objeto]],1),Tabela2[Palavras-Chave])</f>
        <v>#N/A</v>
      </c>
    </row>
    <row r="199" spans="1:11" ht="28.8" x14ac:dyDescent="0.3">
      <c r="A199" s="5">
        <v>18806216</v>
      </c>
      <c r="B199" s="6" t="s">
        <v>1061</v>
      </c>
      <c r="C199" s="6" t="s">
        <v>1062</v>
      </c>
      <c r="D199" s="8" t="s">
        <v>81</v>
      </c>
      <c r="E199" s="6" t="s">
        <v>342</v>
      </c>
      <c r="F199" s="6" t="s">
        <v>51</v>
      </c>
      <c r="G199" s="11" t="s">
        <v>56</v>
      </c>
      <c r="H199" s="21" t="s">
        <v>1063</v>
      </c>
      <c r="I199" s="6" t="s">
        <v>1064</v>
      </c>
      <c r="J199" s="12">
        <v>46120.835127314815</v>
      </c>
      <c r="K199" s="6" t="str" cm="1">
        <f t="array" ref="K199">LOOKUP(2^15,SEARCH(Tabela2[Palavras-Chave],Boletim[[#This Row],[Objeto]],1),Tabela2[Palavras-Chave])</f>
        <v>INOX</v>
      </c>
    </row>
    <row r="200" spans="1:11" hidden="1" x14ac:dyDescent="0.3">
      <c r="A200" s="5">
        <v>18804374</v>
      </c>
      <c r="B200" s="6" t="s">
        <v>282</v>
      </c>
      <c r="C200" s="6" t="s">
        <v>160</v>
      </c>
      <c r="D200" s="8" t="s">
        <v>93</v>
      </c>
      <c r="E200" s="6" t="s">
        <v>1065</v>
      </c>
      <c r="F200" s="6" t="s">
        <v>51</v>
      </c>
      <c r="G200" s="11" t="s">
        <v>56</v>
      </c>
      <c r="H200" s="10" t="s">
        <v>1066</v>
      </c>
      <c r="I200" s="6" t="s">
        <v>1067</v>
      </c>
      <c r="J200" s="12">
        <v>46120.695648148147</v>
      </c>
      <c r="K200" s="6" t="e" cm="1">
        <f t="array" ref="K200">LOOKUP(2^15,SEARCH(Tabela2[Palavras-Chave],Boletim[[#This Row],[Objeto]],1),Tabela2[Palavras-Chave])</f>
        <v>#N/A</v>
      </c>
    </row>
    <row r="201" spans="1:11" hidden="1" x14ac:dyDescent="0.3">
      <c r="A201" s="5">
        <v>18801409</v>
      </c>
      <c r="B201" s="6" t="s">
        <v>282</v>
      </c>
      <c r="C201" s="6" t="s">
        <v>160</v>
      </c>
      <c r="D201" s="8" t="s">
        <v>93</v>
      </c>
      <c r="E201" s="6" t="s">
        <v>1068</v>
      </c>
      <c r="F201" s="6" t="s">
        <v>51</v>
      </c>
      <c r="G201" s="11" t="s">
        <v>56</v>
      </c>
      <c r="H201" s="10" t="s">
        <v>1069</v>
      </c>
      <c r="I201" s="6" t="s">
        <v>1070</v>
      </c>
      <c r="J201" s="12">
        <v>46120.755682870367</v>
      </c>
      <c r="K201" s="6" t="e" cm="1">
        <f t="array" ref="K201">LOOKUP(2^15,SEARCH(Tabela2[Palavras-Chave],Boletim[[#This Row],[Objeto]],1),Tabela2[Palavras-Chave])</f>
        <v>#N/A</v>
      </c>
    </row>
    <row r="202" spans="1:11" hidden="1" x14ac:dyDescent="0.3">
      <c r="A202" s="5">
        <v>18804373</v>
      </c>
      <c r="B202" s="6" t="s">
        <v>282</v>
      </c>
      <c r="C202" s="6" t="s">
        <v>160</v>
      </c>
      <c r="D202" s="8" t="s">
        <v>93</v>
      </c>
      <c r="E202" s="6" t="s">
        <v>1071</v>
      </c>
      <c r="F202" s="6" t="s">
        <v>51</v>
      </c>
      <c r="G202" s="11" t="s">
        <v>56</v>
      </c>
      <c r="H202" s="10" t="s">
        <v>1072</v>
      </c>
      <c r="I202" s="6" t="s">
        <v>1073</v>
      </c>
      <c r="J202" s="12">
        <v>46120.879305555558</v>
      </c>
      <c r="K202" s="6" t="e" cm="1">
        <f t="array" ref="K202">LOOKUP(2^15,SEARCH(Tabela2[Palavras-Chave],Boletim[[#This Row],[Objeto]],1),Tabela2[Palavras-Chave])</f>
        <v>#N/A</v>
      </c>
    </row>
    <row r="203" spans="1:11" hidden="1" x14ac:dyDescent="0.3">
      <c r="A203" s="5">
        <v>18804375</v>
      </c>
      <c r="B203" s="6" t="s">
        <v>282</v>
      </c>
      <c r="C203" s="6" t="s">
        <v>160</v>
      </c>
      <c r="D203" s="8" t="s">
        <v>93</v>
      </c>
      <c r="E203" s="6" t="s">
        <v>1074</v>
      </c>
      <c r="F203" s="6" t="s">
        <v>51</v>
      </c>
      <c r="G203" s="11" t="s">
        <v>56</v>
      </c>
      <c r="H203" s="10" t="s">
        <v>1075</v>
      </c>
      <c r="I203" s="6" t="s">
        <v>1076</v>
      </c>
      <c r="J203" s="12">
        <v>46120.879560185182</v>
      </c>
      <c r="K203" s="6" t="e" cm="1">
        <f t="array" ref="K203">LOOKUP(2^15,SEARCH(Tabela2[Palavras-Chave],Boletim[[#This Row],[Objeto]],1),Tabela2[Palavras-Chave])</f>
        <v>#N/A</v>
      </c>
    </row>
    <row r="204" spans="1:11" ht="273.60000000000002" x14ac:dyDescent="0.3">
      <c r="A204" s="5">
        <v>18742063</v>
      </c>
      <c r="B204" s="6" t="s">
        <v>1077</v>
      </c>
      <c r="C204" s="6" t="s">
        <v>1078</v>
      </c>
      <c r="D204" s="8" t="s">
        <v>82</v>
      </c>
      <c r="E204" s="6" t="s">
        <v>1079</v>
      </c>
      <c r="F204" s="6" t="s">
        <v>51</v>
      </c>
      <c r="G204" s="11">
        <v>46125.375</v>
      </c>
      <c r="H204" s="21" t="s">
        <v>1080</v>
      </c>
      <c r="I204" s="6" t="s">
        <v>1081</v>
      </c>
      <c r="J204" s="12">
        <v>46120.419525462959</v>
      </c>
      <c r="K204" s="6" t="str" cm="1">
        <f t="array" ref="K204">LOOKUP(2^15,SEARCH(Tabela2[Palavras-Chave],Boletim[[#This Row],[Objeto]],1),Tabela2[Palavras-Chave])</f>
        <v>BOMBEAMENTO</v>
      </c>
    </row>
    <row r="205" spans="1:11" hidden="1" x14ac:dyDescent="0.3">
      <c r="A205" s="5">
        <v>18801325</v>
      </c>
      <c r="B205" s="6" t="s">
        <v>1082</v>
      </c>
      <c r="C205" s="6" t="s">
        <v>393</v>
      </c>
      <c r="D205" s="8" t="s">
        <v>82</v>
      </c>
      <c r="E205" s="6" t="s">
        <v>1083</v>
      </c>
      <c r="F205" s="6" t="s">
        <v>51</v>
      </c>
      <c r="G205" s="11">
        <v>46125.5</v>
      </c>
      <c r="H205" s="10" t="s">
        <v>1084</v>
      </c>
      <c r="I205" s="6" t="s">
        <v>1085</v>
      </c>
      <c r="J205" s="12">
        <v>46120.452060185184</v>
      </c>
      <c r="K205" s="6" t="e" cm="1">
        <f t="array" ref="K205">LOOKUP(2^15,SEARCH(Tabela2[Palavras-Chave],Boletim[[#This Row],[Objeto]],1),Tabela2[Palavras-Chave])</f>
        <v>#N/A</v>
      </c>
    </row>
    <row r="206" spans="1:11" hidden="1" x14ac:dyDescent="0.3">
      <c r="A206" s="5">
        <v>18802275</v>
      </c>
      <c r="B206" s="6" t="s">
        <v>74</v>
      </c>
      <c r="C206" s="6" t="s">
        <v>83</v>
      </c>
      <c r="D206" s="8" t="s">
        <v>82</v>
      </c>
      <c r="E206" s="6" t="s">
        <v>939</v>
      </c>
      <c r="F206" s="6" t="s">
        <v>51</v>
      </c>
      <c r="G206" s="11" t="s">
        <v>56</v>
      </c>
      <c r="H206" s="10" t="s">
        <v>940</v>
      </c>
      <c r="I206" s="6" t="s">
        <v>941</v>
      </c>
      <c r="J206" s="12">
        <v>46120.46947916667</v>
      </c>
      <c r="K206" s="6" t="e" cm="1">
        <f t="array" ref="K206">LOOKUP(2^15,SEARCH(Tabela2[Palavras-Chave],Boletim[[#This Row],[Objeto]],1),Tabela2[Palavras-Chave])</f>
        <v>#N/A</v>
      </c>
    </row>
    <row r="207" spans="1:11" hidden="1" x14ac:dyDescent="0.3">
      <c r="A207" s="5">
        <v>18801815</v>
      </c>
      <c r="B207" s="6" t="s">
        <v>1086</v>
      </c>
      <c r="C207" s="6" t="s">
        <v>348</v>
      </c>
      <c r="D207" s="8" t="s">
        <v>82</v>
      </c>
      <c r="E207" s="6" t="s">
        <v>1087</v>
      </c>
      <c r="F207" s="6" t="s">
        <v>51</v>
      </c>
      <c r="G207" s="11">
        <v>46125.374305555553</v>
      </c>
      <c r="H207" s="10" t="s">
        <v>1088</v>
      </c>
      <c r="I207" s="6" t="s">
        <v>1089</v>
      </c>
      <c r="J207" s="12">
        <v>46120.473275462966</v>
      </c>
      <c r="K207" s="6" t="e" cm="1">
        <f t="array" ref="K207">LOOKUP(2^15,SEARCH(Tabela2[Palavras-Chave],Boletim[[#This Row],[Objeto]],1),Tabela2[Palavras-Chave])</f>
        <v>#N/A</v>
      </c>
    </row>
    <row r="208" spans="1:11" hidden="1" x14ac:dyDescent="0.3">
      <c r="A208" s="5">
        <v>18802356</v>
      </c>
      <c r="B208" s="6" t="s">
        <v>181</v>
      </c>
      <c r="C208" s="6" t="s">
        <v>182</v>
      </c>
      <c r="D208" s="8" t="s">
        <v>82</v>
      </c>
      <c r="E208" s="6" t="s">
        <v>1090</v>
      </c>
      <c r="F208" s="6" t="s">
        <v>51</v>
      </c>
      <c r="G208" s="11" t="s">
        <v>56</v>
      </c>
      <c r="H208" s="10" t="s">
        <v>1091</v>
      </c>
      <c r="I208" s="6" t="s">
        <v>1092</v>
      </c>
      <c r="J208" s="12">
        <v>46120.477685185186</v>
      </c>
      <c r="K208" s="6" t="e" cm="1">
        <f t="array" ref="K208">LOOKUP(2^15,SEARCH(Tabela2[Palavras-Chave],Boletim[[#This Row],[Objeto]],1),Tabela2[Palavras-Chave])</f>
        <v>#N/A</v>
      </c>
    </row>
    <row r="209" spans="1:11" hidden="1" x14ac:dyDescent="0.3">
      <c r="A209" s="5">
        <v>18801395</v>
      </c>
      <c r="B209" s="6" t="s">
        <v>1093</v>
      </c>
      <c r="C209" s="6" t="s">
        <v>83</v>
      </c>
      <c r="D209" s="8" t="s">
        <v>82</v>
      </c>
      <c r="E209" s="6" t="s">
        <v>1094</v>
      </c>
      <c r="F209" s="6" t="s">
        <v>51</v>
      </c>
      <c r="G209" s="11">
        <v>46127.333333333336</v>
      </c>
      <c r="H209" s="10" t="s">
        <v>1095</v>
      </c>
      <c r="I209" s="6" t="s">
        <v>1096</v>
      </c>
      <c r="J209" s="12">
        <v>46120.516342592593</v>
      </c>
      <c r="K209" s="6" t="e" cm="1">
        <f t="array" ref="K209">LOOKUP(2^15,SEARCH(Tabela2[Palavras-Chave],Boletim[[#This Row],[Objeto]],1),Tabela2[Palavras-Chave])</f>
        <v>#N/A</v>
      </c>
    </row>
    <row r="210" spans="1:11" hidden="1" x14ac:dyDescent="0.3">
      <c r="A210" s="5">
        <v>18801329</v>
      </c>
      <c r="B210" s="6" t="s">
        <v>1097</v>
      </c>
      <c r="C210" s="6" t="s">
        <v>1098</v>
      </c>
      <c r="D210" s="8" t="s">
        <v>82</v>
      </c>
      <c r="E210" s="6" t="s">
        <v>734</v>
      </c>
      <c r="F210" s="6" t="s">
        <v>51</v>
      </c>
      <c r="G210" s="11">
        <v>46125.375</v>
      </c>
      <c r="H210" s="10" t="s">
        <v>1099</v>
      </c>
      <c r="I210" s="6" t="s">
        <v>1100</v>
      </c>
      <c r="J210" s="12">
        <v>46120.519872685189</v>
      </c>
      <c r="K210" s="6" t="e" cm="1">
        <f t="array" ref="K210">LOOKUP(2^15,SEARCH(Tabela2[Palavras-Chave],Boletim[[#This Row],[Objeto]],1),Tabela2[Palavras-Chave])</f>
        <v>#N/A</v>
      </c>
    </row>
    <row r="211" spans="1:11" hidden="1" x14ac:dyDescent="0.3">
      <c r="A211" s="5">
        <v>18801521</v>
      </c>
      <c r="B211" s="6" t="s">
        <v>1101</v>
      </c>
      <c r="C211" s="6" t="s">
        <v>1102</v>
      </c>
      <c r="D211" s="8" t="s">
        <v>82</v>
      </c>
      <c r="E211" s="6" t="s">
        <v>443</v>
      </c>
      <c r="F211" s="6" t="s">
        <v>51</v>
      </c>
      <c r="G211" s="11">
        <v>46122.708333333336</v>
      </c>
      <c r="H211" s="10" t="s">
        <v>1103</v>
      </c>
      <c r="I211" s="6" t="s">
        <v>1104</v>
      </c>
      <c r="J211" s="12">
        <v>46120.526400462964</v>
      </c>
      <c r="K211" s="6" t="e" cm="1">
        <f t="array" ref="K211">LOOKUP(2^15,SEARCH(Tabela2[Palavras-Chave],Boletim[[#This Row],[Objeto]],1),Tabela2[Palavras-Chave])</f>
        <v>#N/A</v>
      </c>
    </row>
    <row r="212" spans="1:11" hidden="1" x14ac:dyDescent="0.3">
      <c r="A212" s="5">
        <v>18802165</v>
      </c>
      <c r="B212" s="6" t="s">
        <v>1105</v>
      </c>
      <c r="C212" s="6" t="s">
        <v>83</v>
      </c>
      <c r="D212" s="8" t="s">
        <v>82</v>
      </c>
      <c r="E212" s="6" t="s">
        <v>105</v>
      </c>
      <c r="F212" s="6" t="s">
        <v>51</v>
      </c>
      <c r="G212" s="11">
        <v>46125.333333333336</v>
      </c>
      <c r="H212" s="10" t="s">
        <v>1106</v>
      </c>
      <c r="I212" s="6" t="s">
        <v>1107</v>
      </c>
      <c r="J212" s="12">
        <v>46120.530624999999</v>
      </c>
      <c r="K212" s="6" t="e" cm="1">
        <f t="array" ref="K212">LOOKUP(2^15,SEARCH(Tabela2[Palavras-Chave],Boletim[[#This Row],[Objeto]],1),Tabela2[Palavras-Chave])</f>
        <v>#N/A</v>
      </c>
    </row>
    <row r="213" spans="1:11" hidden="1" x14ac:dyDescent="0.3">
      <c r="A213" s="5">
        <v>18802166</v>
      </c>
      <c r="B213" s="6" t="s">
        <v>1105</v>
      </c>
      <c r="C213" s="6" t="s">
        <v>83</v>
      </c>
      <c r="D213" s="8" t="s">
        <v>82</v>
      </c>
      <c r="E213" s="6" t="s">
        <v>110</v>
      </c>
      <c r="F213" s="6" t="s">
        <v>51</v>
      </c>
      <c r="G213" s="11">
        <v>46125.333333333336</v>
      </c>
      <c r="H213" s="10" t="s">
        <v>1106</v>
      </c>
      <c r="I213" s="6" t="s">
        <v>1108</v>
      </c>
      <c r="J213" s="12">
        <v>46120.530729166669</v>
      </c>
      <c r="K213" s="6" t="e" cm="1">
        <f t="array" ref="K213">LOOKUP(2^15,SEARCH(Tabela2[Palavras-Chave],Boletim[[#This Row],[Objeto]],1),Tabela2[Palavras-Chave])</f>
        <v>#N/A</v>
      </c>
    </row>
    <row r="214" spans="1:11" hidden="1" x14ac:dyDescent="0.3">
      <c r="A214" s="5">
        <v>18801650</v>
      </c>
      <c r="B214" s="6" t="s">
        <v>1109</v>
      </c>
      <c r="C214" s="6" t="s">
        <v>1110</v>
      </c>
      <c r="D214" s="8" t="s">
        <v>82</v>
      </c>
      <c r="E214" s="6" t="s">
        <v>1111</v>
      </c>
      <c r="F214" s="6" t="s">
        <v>51</v>
      </c>
      <c r="G214" s="11" t="s">
        <v>56</v>
      </c>
      <c r="H214" s="10" t="s">
        <v>1112</v>
      </c>
      <c r="I214" s="6" t="s">
        <v>1113</v>
      </c>
      <c r="J214" s="12">
        <v>46120.576550925929</v>
      </c>
      <c r="K214" s="6" t="e" cm="1">
        <f t="array" ref="K214">LOOKUP(2^15,SEARCH(Tabela2[Palavras-Chave],Boletim[[#This Row],[Objeto]],1),Tabela2[Palavras-Chave])</f>
        <v>#N/A</v>
      </c>
    </row>
    <row r="215" spans="1:11" x14ac:dyDescent="0.3">
      <c r="A215" s="5">
        <v>18801515</v>
      </c>
      <c r="B215" s="6" t="s">
        <v>1101</v>
      </c>
      <c r="C215" s="6" t="s">
        <v>1102</v>
      </c>
      <c r="D215" s="8" t="s">
        <v>82</v>
      </c>
      <c r="E215" s="6" t="s">
        <v>1114</v>
      </c>
      <c r="F215" s="6" t="s">
        <v>51</v>
      </c>
      <c r="G215" s="11">
        <v>46122.725694444445</v>
      </c>
      <c r="H215" s="21" t="s">
        <v>1115</v>
      </c>
      <c r="I215" s="6" t="s">
        <v>1116</v>
      </c>
      <c r="J215" s="12">
        <v>46120.589837962965</v>
      </c>
      <c r="K215" s="6" t="str" cm="1">
        <f t="array" ref="K215">LOOKUP(2^15,SEARCH(Tabela2[Palavras-Chave],Boletim[[#This Row],[Objeto]],1),Tabela2[Palavras-Chave])</f>
        <v>RESERVAT</v>
      </c>
    </row>
    <row r="216" spans="1:11" hidden="1" x14ac:dyDescent="0.3">
      <c r="A216" s="5">
        <v>18786072</v>
      </c>
      <c r="B216" s="6" t="s">
        <v>229</v>
      </c>
      <c r="C216" s="6" t="s">
        <v>228</v>
      </c>
      <c r="D216" s="8" t="s">
        <v>82</v>
      </c>
      <c r="E216" s="6" t="s">
        <v>1117</v>
      </c>
      <c r="F216" s="6" t="s">
        <v>51</v>
      </c>
      <c r="G216" s="11">
        <v>46125.332638888889</v>
      </c>
      <c r="H216" s="10" t="s">
        <v>1118</v>
      </c>
      <c r="I216" s="6" t="s">
        <v>1119</v>
      </c>
      <c r="J216" s="12">
        <v>46120.654606481483</v>
      </c>
      <c r="K216" s="6" t="e" cm="1">
        <f t="array" ref="K216">LOOKUP(2^15,SEARCH(Tabela2[Palavras-Chave],Boletim[[#This Row],[Objeto]],1),Tabela2[Palavras-Chave])</f>
        <v>#N/A</v>
      </c>
    </row>
    <row r="217" spans="1:11" hidden="1" x14ac:dyDescent="0.3">
      <c r="A217" s="5">
        <v>18803310</v>
      </c>
      <c r="B217" s="6" t="s">
        <v>1120</v>
      </c>
      <c r="C217" s="6" t="s">
        <v>1121</v>
      </c>
      <c r="D217" s="8" t="s">
        <v>82</v>
      </c>
      <c r="E217" s="6" t="s">
        <v>304</v>
      </c>
      <c r="F217" s="6" t="s">
        <v>51</v>
      </c>
      <c r="G217" s="11">
        <v>46125.999305555553</v>
      </c>
      <c r="H217" s="10" t="s">
        <v>1122</v>
      </c>
      <c r="I217" s="6" t="s">
        <v>1123</v>
      </c>
      <c r="J217" s="12">
        <v>46120.659525462965</v>
      </c>
      <c r="K217" s="6" t="e" cm="1">
        <f t="array" ref="K217">LOOKUP(2^15,SEARCH(Tabela2[Palavras-Chave],Boletim[[#This Row],[Objeto]],1),Tabela2[Palavras-Chave])</f>
        <v>#N/A</v>
      </c>
    </row>
    <row r="218" spans="1:11" hidden="1" x14ac:dyDescent="0.3">
      <c r="A218" s="5">
        <v>18803291</v>
      </c>
      <c r="B218" s="6" t="s">
        <v>259</v>
      </c>
      <c r="C218" s="6" t="s">
        <v>83</v>
      </c>
      <c r="D218" s="8" t="s">
        <v>82</v>
      </c>
      <c r="E218" s="6" t="s">
        <v>1124</v>
      </c>
      <c r="F218" s="6" t="s">
        <v>51</v>
      </c>
      <c r="G218" s="11">
        <v>46126.333333333336</v>
      </c>
      <c r="H218" s="10" t="s">
        <v>1125</v>
      </c>
      <c r="I218" s="6" t="s">
        <v>1126</v>
      </c>
      <c r="J218" s="12">
        <v>46120.663969907408</v>
      </c>
      <c r="K218" s="6" t="e" cm="1">
        <f t="array" ref="K218">LOOKUP(2^15,SEARCH(Tabela2[Palavras-Chave],Boletim[[#This Row],[Objeto]],1),Tabela2[Palavras-Chave])</f>
        <v>#N/A</v>
      </c>
    </row>
    <row r="219" spans="1:11" hidden="1" x14ac:dyDescent="0.3">
      <c r="A219" s="5">
        <v>18805080</v>
      </c>
      <c r="B219" s="6" t="s">
        <v>1127</v>
      </c>
      <c r="C219" s="6" t="s">
        <v>1128</v>
      </c>
      <c r="D219" s="8" t="s">
        <v>82</v>
      </c>
      <c r="E219" s="6" t="s">
        <v>1129</v>
      </c>
      <c r="F219" s="6" t="s">
        <v>51</v>
      </c>
      <c r="G219" s="11" t="s">
        <v>56</v>
      </c>
      <c r="H219" s="10" t="s">
        <v>1130</v>
      </c>
      <c r="I219" s="6" t="s">
        <v>169</v>
      </c>
      <c r="J219" s="12">
        <v>46120.709791666668</v>
      </c>
      <c r="K219" s="6" t="e" cm="1">
        <f t="array" ref="K219">LOOKUP(2^15,SEARCH(Tabela2[Palavras-Chave],Boletim[[#This Row],[Objeto]],1),Tabela2[Palavras-Chave])</f>
        <v>#N/A</v>
      </c>
    </row>
    <row r="220" spans="1:11" hidden="1" x14ac:dyDescent="0.3">
      <c r="A220" s="5">
        <v>18805264</v>
      </c>
      <c r="B220" s="6" t="s">
        <v>1131</v>
      </c>
      <c r="C220" s="6" t="s">
        <v>285</v>
      </c>
      <c r="D220" s="8" t="s">
        <v>82</v>
      </c>
      <c r="E220" s="6" t="s">
        <v>116</v>
      </c>
      <c r="F220" s="6" t="s">
        <v>51</v>
      </c>
      <c r="G220" s="11" t="s">
        <v>56</v>
      </c>
      <c r="H220" s="10" t="s">
        <v>1132</v>
      </c>
      <c r="I220" s="6" t="s">
        <v>1133</v>
      </c>
      <c r="J220" s="12">
        <v>46120.713159722225</v>
      </c>
      <c r="K220" s="6" t="e" cm="1">
        <f t="array" ref="K220">LOOKUP(2^15,SEARCH(Tabela2[Palavras-Chave],Boletim[[#This Row],[Objeto]],1),Tabela2[Palavras-Chave])</f>
        <v>#N/A</v>
      </c>
    </row>
    <row r="221" spans="1:11" hidden="1" x14ac:dyDescent="0.3">
      <c r="A221" s="5">
        <v>18805260</v>
      </c>
      <c r="B221" s="6" t="s">
        <v>1131</v>
      </c>
      <c r="C221" s="6" t="s">
        <v>285</v>
      </c>
      <c r="D221" s="8" t="s">
        <v>82</v>
      </c>
      <c r="E221" s="6" t="s">
        <v>116</v>
      </c>
      <c r="F221" s="6" t="s">
        <v>51</v>
      </c>
      <c r="G221" s="11" t="s">
        <v>56</v>
      </c>
      <c r="H221" s="10" t="s">
        <v>1134</v>
      </c>
      <c r="I221" s="6" t="s">
        <v>1133</v>
      </c>
      <c r="J221" s="12">
        <v>46120.713252314818</v>
      </c>
      <c r="K221" s="6" t="e" cm="1">
        <f t="array" ref="K221">LOOKUP(2^15,SEARCH(Tabela2[Palavras-Chave],Boletim[[#This Row],[Objeto]],1),Tabela2[Palavras-Chave])</f>
        <v>#N/A</v>
      </c>
    </row>
    <row r="222" spans="1:11" hidden="1" x14ac:dyDescent="0.3">
      <c r="A222" s="5">
        <v>18805254</v>
      </c>
      <c r="B222" s="6" t="s">
        <v>1131</v>
      </c>
      <c r="C222" s="6" t="s">
        <v>285</v>
      </c>
      <c r="D222" s="8" t="s">
        <v>82</v>
      </c>
      <c r="E222" s="6" t="s">
        <v>116</v>
      </c>
      <c r="F222" s="6" t="s">
        <v>51</v>
      </c>
      <c r="G222" s="11" t="s">
        <v>56</v>
      </c>
      <c r="H222" s="10" t="s">
        <v>1135</v>
      </c>
      <c r="I222" s="6" t="s">
        <v>1136</v>
      </c>
      <c r="J222" s="12">
        <v>46120.713483796295</v>
      </c>
      <c r="K222" s="6" t="e" cm="1">
        <f t="array" ref="K222">LOOKUP(2^15,SEARCH(Tabela2[Palavras-Chave],Boletim[[#This Row],[Objeto]],1),Tabela2[Palavras-Chave])</f>
        <v>#N/A</v>
      </c>
    </row>
    <row r="223" spans="1:11" hidden="1" x14ac:dyDescent="0.3">
      <c r="A223" s="5">
        <v>18795872</v>
      </c>
      <c r="B223" s="6" t="s">
        <v>449</v>
      </c>
      <c r="C223" s="6" t="s">
        <v>258</v>
      </c>
      <c r="D223" s="8" t="s">
        <v>82</v>
      </c>
      <c r="E223" s="6" t="s">
        <v>974</v>
      </c>
      <c r="F223" s="6" t="s">
        <v>51</v>
      </c>
      <c r="G223" s="11">
        <v>46126.333333333336</v>
      </c>
      <c r="H223" s="10" t="s">
        <v>1137</v>
      </c>
      <c r="I223" s="6" t="s">
        <v>90</v>
      </c>
      <c r="J223" s="12">
        <v>46120.717395833337</v>
      </c>
      <c r="K223" s="6" t="e" cm="1">
        <f t="array" ref="K223">LOOKUP(2^15,SEARCH(Tabela2[Palavras-Chave],Boletim[[#This Row],[Objeto]],1),Tabela2[Palavras-Chave])</f>
        <v>#N/A</v>
      </c>
    </row>
    <row r="224" spans="1:11" hidden="1" x14ac:dyDescent="0.3">
      <c r="A224" s="5">
        <v>18804704</v>
      </c>
      <c r="B224" s="6" t="s">
        <v>1138</v>
      </c>
      <c r="C224" s="6" t="s">
        <v>1139</v>
      </c>
      <c r="D224" s="8" t="s">
        <v>82</v>
      </c>
      <c r="E224" s="6" t="s">
        <v>1140</v>
      </c>
      <c r="F224" s="6" t="s">
        <v>51</v>
      </c>
      <c r="G224" s="11" t="s">
        <v>56</v>
      </c>
      <c r="H224" s="10" t="s">
        <v>1141</v>
      </c>
      <c r="I224" s="6" t="s">
        <v>190</v>
      </c>
      <c r="J224" s="12">
        <v>46120.730381944442</v>
      </c>
      <c r="K224" s="6" t="e" cm="1">
        <f t="array" ref="K224">LOOKUP(2^15,SEARCH(Tabela2[Palavras-Chave],Boletim[[#This Row],[Objeto]],1),Tabela2[Palavras-Chave])</f>
        <v>#N/A</v>
      </c>
    </row>
    <row r="225" spans="1:11" hidden="1" x14ac:dyDescent="0.3">
      <c r="A225" s="5">
        <v>18804494</v>
      </c>
      <c r="B225" s="6" t="s">
        <v>1142</v>
      </c>
      <c r="C225" s="6" t="s">
        <v>83</v>
      </c>
      <c r="D225" s="8" t="s">
        <v>82</v>
      </c>
      <c r="E225" s="6" t="s">
        <v>244</v>
      </c>
      <c r="F225" s="6" t="s">
        <v>51</v>
      </c>
      <c r="G225" s="11">
        <v>46128.333333333336</v>
      </c>
      <c r="H225" s="10" t="s">
        <v>1143</v>
      </c>
      <c r="I225" s="6" t="s">
        <v>1144</v>
      </c>
      <c r="J225" s="12">
        <v>46120.731226851851</v>
      </c>
      <c r="K225" s="6" t="e" cm="1">
        <f t="array" ref="K225">LOOKUP(2^15,SEARCH(Tabela2[Palavras-Chave],Boletim[[#This Row],[Objeto]],1),Tabela2[Palavras-Chave])</f>
        <v>#N/A</v>
      </c>
    </row>
    <row r="226" spans="1:11" hidden="1" x14ac:dyDescent="0.3">
      <c r="A226" s="5">
        <v>18805268</v>
      </c>
      <c r="B226" s="6" t="s">
        <v>1131</v>
      </c>
      <c r="C226" s="6" t="s">
        <v>285</v>
      </c>
      <c r="D226" s="8" t="s">
        <v>82</v>
      </c>
      <c r="E226" s="6" t="s">
        <v>116</v>
      </c>
      <c r="F226" s="6" t="s">
        <v>51</v>
      </c>
      <c r="G226" s="11" t="s">
        <v>56</v>
      </c>
      <c r="H226" s="10" t="s">
        <v>1132</v>
      </c>
      <c r="I226" s="6" t="s">
        <v>1145</v>
      </c>
      <c r="J226" s="12">
        <v>46120.732546296298</v>
      </c>
      <c r="K226" s="6" t="e" cm="1">
        <f t="array" ref="K226">LOOKUP(2^15,SEARCH(Tabela2[Palavras-Chave],Boletim[[#This Row],[Objeto]],1),Tabela2[Palavras-Chave])</f>
        <v>#N/A</v>
      </c>
    </row>
    <row r="227" spans="1:11" hidden="1" x14ac:dyDescent="0.3">
      <c r="A227" s="5">
        <v>18804481</v>
      </c>
      <c r="B227" s="6" t="s">
        <v>1146</v>
      </c>
      <c r="C227" s="6" t="s">
        <v>1147</v>
      </c>
      <c r="D227" s="8" t="s">
        <v>82</v>
      </c>
      <c r="E227" s="6" t="s">
        <v>1148</v>
      </c>
      <c r="F227" s="6" t="s">
        <v>51</v>
      </c>
      <c r="G227" s="11">
        <v>46126.333333333336</v>
      </c>
      <c r="H227" s="10" t="s">
        <v>1149</v>
      </c>
      <c r="I227" s="6" t="s">
        <v>1150</v>
      </c>
      <c r="J227" s="12">
        <v>46120.73296296296</v>
      </c>
      <c r="K227" s="6" t="e" cm="1">
        <f t="array" ref="K227">LOOKUP(2^15,SEARCH(Tabela2[Palavras-Chave],Boletim[[#This Row],[Objeto]],1),Tabela2[Palavras-Chave])</f>
        <v>#N/A</v>
      </c>
    </row>
    <row r="228" spans="1:11" hidden="1" x14ac:dyDescent="0.3">
      <c r="A228" s="5">
        <v>18804487</v>
      </c>
      <c r="B228" s="6" t="s">
        <v>1151</v>
      </c>
      <c r="C228" s="6" t="s">
        <v>1152</v>
      </c>
      <c r="D228" s="8" t="s">
        <v>82</v>
      </c>
      <c r="E228" s="6" t="s">
        <v>349</v>
      </c>
      <c r="F228" s="6" t="s">
        <v>51</v>
      </c>
      <c r="G228" s="11">
        <v>46127.333333333336</v>
      </c>
      <c r="H228" s="10" t="s">
        <v>1153</v>
      </c>
      <c r="I228" s="6" t="s">
        <v>1154</v>
      </c>
      <c r="J228" s="12">
        <v>46120.73710648148</v>
      </c>
      <c r="K228" s="6" t="e" cm="1">
        <f t="array" ref="K228">LOOKUP(2^15,SEARCH(Tabela2[Palavras-Chave],Boletim[[#This Row],[Objeto]],1),Tabela2[Palavras-Chave])</f>
        <v>#N/A</v>
      </c>
    </row>
    <row r="229" spans="1:11" hidden="1" x14ac:dyDescent="0.3">
      <c r="A229" s="5">
        <v>18802089</v>
      </c>
      <c r="B229" s="6" t="s">
        <v>218</v>
      </c>
      <c r="C229" s="6" t="s">
        <v>154</v>
      </c>
      <c r="D229" s="8" t="s">
        <v>82</v>
      </c>
      <c r="E229" s="6" t="s">
        <v>1155</v>
      </c>
      <c r="F229" s="6" t="s">
        <v>51</v>
      </c>
      <c r="G229" s="11" t="s">
        <v>56</v>
      </c>
      <c r="H229" s="10" t="s">
        <v>1156</v>
      </c>
      <c r="I229" s="6" t="s">
        <v>219</v>
      </c>
      <c r="J229" s="12">
        <v>46120.742673611108</v>
      </c>
      <c r="K229" s="6" t="e" cm="1">
        <f t="array" ref="K229">LOOKUP(2^15,SEARCH(Tabela2[Palavras-Chave],Boletim[[#This Row],[Objeto]],1),Tabela2[Palavras-Chave])</f>
        <v>#N/A</v>
      </c>
    </row>
    <row r="230" spans="1:11" hidden="1" x14ac:dyDescent="0.3">
      <c r="A230" s="5">
        <v>18805599</v>
      </c>
      <c r="B230" s="6" t="s">
        <v>1157</v>
      </c>
      <c r="C230" s="6" t="s">
        <v>1110</v>
      </c>
      <c r="D230" s="8" t="s">
        <v>82</v>
      </c>
      <c r="E230" s="6" t="s">
        <v>196</v>
      </c>
      <c r="F230" s="6" t="s">
        <v>51</v>
      </c>
      <c r="G230" s="11" t="s">
        <v>56</v>
      </c>
      <c r="H230" s="10" t="s">
        <v>1158</v>
      </c>
      <c r="I230" s="6" t="s">
        <v>1159</v>
      </c>
      <c r="J230" s="12">
        <v>46120.745625000003</v>
      </c>
      <c r="K230" s="6" t="e" cm="1">
        <f t="array" ref="K230">LOOKUP(2^15,SEARCH(Tabela2[Palavras-Chave],Boletim[[#This Row],[Objeto]],1),Tabela2[Palavras-Chave])</f>
        <v>#N/A</v>
      </c>
    </row>
    <row r="231" spans="1:11" hidden="1" x14ac:dyDescent="0.3">
      <c r="A231" s="13">
        <v>18803439</v>
      </c>
      <c r="B231" s="10" t="s">
        <v>414</v>
      </c>
      <c r="C231" s="10" t="s">
        <v>415</v>
      </c>
      <c r="D231" s="15" t="s">
        <v>82</v>
      </c>
      <c r="E231" s="10" t="s">
        <v>1124</v>
      </c>
      <c r="F231" s="10" t="s">
        <v>51</v>
      </c>
      <c r="G231" s="16">
        <v>46134.333333333336</v>
      </c>
      <c r="H231" s="10" t="s">
        <v>1160</v>
      </c>
      <c r="I231" s="10" t="s">
        <v>1161</v>
      </c>
      <c r="J231" s="17">
        <v>46120.754918981482</v>
      </c>
      <c r="K231" s="6" t="e" cm="1">
        <f t="array" ref="K231">LOOKUP(2^15,SEARCH(Tabela2[Palavras-Chave],Boletim[[#This Row],[Objeto]],1),Tabela2[Palavras-Chave])</f>
        <v>#N/A</v>
      </c>
    </row>
    <row r="232" spans="1:11" x14ac:dyDescent="0.3">
      <c r="A232" s="5">
        <v>18803516</v>
      </c>
      <c r="B232" s="6" t="s">
        <v>1101</v>
      </c>
      <c r="C232" s="6" t="s">
        <v>1102</v>
      </c>
      <c r="D232" s="8" t="s">
        <v>82</v>
      </c>
      <c r="E232" s="6" t="s">
        <v>341</v>
      </c>
      <c r="F232" s="6" t="s">
        <v>51</v>
      </c>
      <c r="G232" s="11">
        <v>46125.708333333336</v>
      </c>
      <c r="H232" s="21" t="s">
        <v>1162</v>
      </c>
      <c r="I232" s="6" t="s">
        <v>1163</v>
      </c>
      <c r="J232" s="12">
        <v>46120.756145833337</v>
      </c>
      <c r="K232" s="6" t="str" cm="1">
        <f t="array" ref="K232">LOOKUP(2^15,SEARCH(Tabela2[Palavras-Chave],Boletim[[#This Row],[Objeto]],1),Tabela2[Palavras-Chave])</f>
        <v>ELEVATÓRIA</v>
      </c>
    </row>
    <row r="233" spans="1:11" hidden="1" x14ac:dyDescent="0.3">
      <c r="A233" s="5">
        <v>18803294</v>
      </c>
      <c r="B233" s="6" t="s">
        <v>1120</v>
      </c>
      <c r="C233" s="6" t="s">
        <v>1121</v>
      </c>
      <c r="D233" s="8" t="s">
        <v>82</v>
      </c>
      <c r="E233" s="6" t="s">
        <v>260</v>
      </c>
      <c r="F233" s="6" t="s">
        <v>51</v>
      </c>
      <c r="G233" s="11">
        <v>46125.999305555553</v>
      </c>
      <c r="H233" s="10" t="s">
        <v>1164</v>
      </c>
      <c r="I233" s="6" t="s">
        <v>1165</v>
      </c>
      <c r="J233" s="12">
        <v>46120.759363425925</v>
      </c>
      <c r="K233" s="6" t="e" cm="1">
        <f t="array" ref="K233">LOOKUP(2^15,SEARCH(Tabela2[Palavras-Chave],Boletim[[#This Row],[Objeto]],1),Tabela2[Palavras-Chave])</f>
        <v>#N/A</v>
      </c>
    </row>
    <row r="234" spans="1:11" hidden="1" x14ac:dyDescent="0.3">
      <c r="A234" s="13">
        <v>18803306</v>
      </c>
      <c r="B234" s="10" t="s">
        <v>343</v>
      </c>
      <c r="C234" s="10" t="s">
        <v>344</v>
      </c>
      <c r="D234" s="15" t="s">
        <v>82</v>
      </c>
      <c r="E234" s="10" t="s">
        <v>1166</v>
      </c>
      <c r="F234" s="10" t="s">
        <v>51</v>
      </c>
      <c r="G234" s="16">
        <v>46125.354166666664</v>
      </c>
      <c r="H234" s="10" t="s">
        <v>1167</v>
      </c>
      <c r="I234" s="10" t="s">
        <v>1168</v>
      </c>
      <c r="J234" s="17">
        <v>46120.761412037034</v>
      </c>
      <c r="K234" s="6" t="e" cm="1">
        <f t="array" ref="K234">LOOKUP(2^15,SEARCH(Tabela2[Palavras-Chave],Boletim[[#This Row],[Objeto]],1),Tabela2[Palavras-Chave])</f>
        <v>#N/A</v>
      </c>
    </row>
    <row r="235" spans="1:11" hidden="1" x14ac:dyDescent="0.3">
      <c r="A235" s="5">
        <v>18643219</v>
      </c>
      <c r="B235" s="6" t="s">
        <v>445</v>
      </c>
      <c r="C235" s="6" t="s">
        <v>446</v>
      </c>
      <c r="D235" s="8" t="s">
        <v>82</v>
      </c>
      <c r="E235" s="6" t="s">
        <v>108</v>
      </c>
      <c r="F235" s="6" t="s">
        <v>51</v>
      </c>
      <c r="G235" s="11" t="s">
        <v>56</v>
      </c>
      <c r="H235" s="10" t="s">
        <v>1169</v>
      </c>
      <c r="I235" s="6" t="s">
        <v>1170</v>
      </c>
      <c r="J235" s="12">
        <v>46120.773796296293</v>
      </c>
      <c r="K235" s="6" t="e" cm="1">
        <f t="array" ref="K235">LOOKUP(2^15,SEARCH(Tabela2[Palavras-Chave],Boletim[[#This Row],[Objeto]],1),Tabela2[Palavras-Chave])</f>
        <v>#N/A</v>
      </c>
    </row>
    <row r="236" spans="1:11" hidden="1" x14ac:dyDescent="0.3">
      <c r="A236" s="13">
        <v>18805853</v>
      </c>
      <c r="B236" s="10" t="s">
        <v>350</v>
      </c>
      <c r="C236" s="10" t="s">
        <v>83</v>
      </c>
      <c r="D236" s="15" t="s">
        <v>82</v>
      </c>
      <c r="E236" s="10" t="s">
        <v>1171</v>
      </c>
      <c r="F236" s="10" t="s">
        <v>51</v>
      </c>
      <c r="G236" s="16">
        <v>46126.333333333336</v>
      </c>
      <c r="H236" s="10" t="s">
        <v>1172</v>
      </c>
      <c r="I236" s="10" t="s">
        <v>1173</v>
      </c>
      <c r="J236" s="17">
        <v>46120.785636574074</v>
      </c>
      <c r="K236" s="6" t="e" cm="1">
        <f t="array" ref="K236">LOOKUP(2^15,SEARCH(Tabela2[Palavras-Chave],Boletim[[#This Row],[Objeto]],1),Tabela2[Palavras-Chave])</f>
        <v>#N/A</v>
      </c>
    </row>
    <row r="237" spans="1:11" hidden="1" x14ac:dyDescent="0.3">
      <c r="A237" s="5">
        <v>18805951</v>
      </c>
      <c r="B237" s="6" t="s">
        <v>1174</v>
      </c>
      <c r="C237" s="6" t="s">
        <v>83</v>
      </c>
      <c r="D237" s="8" t="s">
        <v>82</v>
      </c>
      <c r="E237" s="6" t="s">
        <v>1175</v>
      </c>
      <c r="F237" s="6" t="s">
        <v>51</v>
      </c>
      <c r="G237" s="11">
        <v>46129.333333333336</v>
      </c>
      <c r="H237" s="10" t="s">
        <v>1176</v>
      </c>
      <c r="I237" s="6" t="s">
        <v>1177</v>
      </c>
      <c r="J237" s="12">
        <v>46120.785925925928</v>
      </c>
      <c r="K237" s="6" t="e" cm="1">
        <f t="array" ref="K237">LOOKUP(2^15,SEARCH(Tabela2[Palavras-Chave],Boletim[[#This Row],[Objeto]],1),Tabela2[Palavras-Chave])</f>
        <v>#N/A</v>
      </c>
    </row>
    <row r="238" spans="1:11" hidden="1" x14ac:dyDescent="0.3">
      <c r="A238" s="13">
        <v>18805882</v>
      </c>
      <c r="B238" s="10" t="s">
        <v>1178</v>
      </c>
      <c r="C238" s="10" t="s">
        <v>1179</v>
      </c>
      <c r="D238" s="15" t="s">
        <v>82</v>
      </c>
      <c r="E238" s="10" t="s">
        <v>263</v>
      </c>
      <c r="F238" s="10" t="s">
        <v>51</v>
      </c>
      <c r="G238" s="16">
        <v>46127.333333333336</v>
      </c>
      <c r="H238" s="10" t="s">
        <v>1180</v>
      </c>
      <c r="I238" s="10" t="s">
        <v>1181</v>
      </c>
      <c r="J238" s="17">
        <v>46120.789976851855</v>
      </c>
      <c r="K238" s="6" t="e" cm="1">
        <f t="array" ref="K238">LOOKUP(2^15,SEARCH(Tabela2[Palavras-Chave],Boletim[[#This Row],[Objeto]],1),Tabela2[Palavras-Chave])</f>
        <v>#N/A</v>
      </c>
    </row>
    <row r="239" spans="1:11" hidden="1" x14ac:dyDescent="0.3">
      <c r="A239" s="5">
        <v>18805889</v>
      </c>
      <c r="B239" s="6" t="s">
        <v>1182</v>
      </c>
      <c r="C239" s="6" t="s">
        <v>1183</v>
      </c>
      <c r="D239" s="8" t="s">
        <v>82</v>
      </c>
      <c r="E239" s="6" t="s">
        <v>189</v>
      </c>
      <c r="F239" s="6" t="s">
        <v>51</v>
      </c>
      <c r="G239" s="11">
        <v>46126.334027777775</v>
      </c>
      <c r="H239" s="10" t="s">
        <v>1184</v>
      </c>
      <c r="I239" s="6" t="s">
        <v>1185</v>
      </c>
      <c r="J239" s="12">
        <v>46120.802662037036</v>
      </c>
      <c r="K239" s="6" t="e" cm="1">
        <f t="array" ref="K239">LOOKUP(2^15,SEARCH(Tabela2[Palavras-Chave],Boletim[[#This Row],[Objeto]],1),Tabela2[Palavras-Chave])</f>
        <v>#N/A</v>
      </c>
    </row>
    <row r="240" spans="1:11" hidden="1" x14ac:dyDescent="0.3">
      <c r="A240" s="5">
        <v>18805924</v>
      </c>
      <c r="B240" s="6" t="s">
        <v>181</v>
      </c>
      <c r="C240" s="6" t="s">
        <v>182</v>
      </c>
      <c r="D240" s="8" t="s">
        <v>82</v>
      </c>
      <c r="E240" s="6" t="s">
        <v>1186</v>
      </c>
      <c r="F240" s="6" t="s">
        <v>51</v>
      </c>
      <c r="G240" s="11">
        <v>46127.340277777781</v>
      </c>
      <c r="H240" s="10" t="s">
        <v>1187</v>
      </c>
      <c r="I240" s="6" t="s">
        <v>1188</v>
      </c>
      <c r="J240" s="12">
        <v>46120.816770833335</v>
      </c>
      <c r="K240" s="6" t="e" cm="1">
        <f t="array" ref="K240">LOOKUP(2^15,SEARCH(Tabela2[Palavras-Chave],Boletim[[#This Row],[Objeto]],1),Tabela2[Palavras-Chave])</f>
        <v>#N/A</v>
      </c>
    </row>
    <row r="241" spans="1:11" hidden="1" x14ac:dyDescent="0.3">
      <c r="A241" s="5">
        <v>18806294</v>
      </c>
      <c r="B241" s="6" t="s">
        <v>1189</v>
      </c>
      <c r="C241" s="6" t="s">
        <v>1190</v>
      </c>
      <c r="D241" s="8" t="s">
        <v>82</v>
      </c>
      <c r="E241" s="6" t="s">
        <v>246</v>
      </c>
      <c r="F241" s="6" t="s">
        <v>51</v>
      </c>
      <c r="G241" s="11">
        <v>46126.416666666664</v>
      </c>
      <c r="H241" s="10" t="s">
        <v>1191</v>
      </c>
      <c r="I241" s="6" t="s">
        <v>1192</v>
      </c>
      <c r="J241" s="12">
        <v>46120.839606481481</v>
      </c>
      <c r="K241" s="6" t="e" cm="1">
        <f t="array" ref="K241">LOOKUP(2^15,SEARCH(Tabela2[Palavras-Chave],Boletim[[#This Row],[Objeto]],1),Tabela2[Palavras-Chave])</f>
        <v>#N/A</v>
      </c>
    </row>
    <row r="242" spans="1:11" hidden="1" x14ac:dyDescent="0.3">
      <c r="A242" s="5">
        <v>18806301</v>
      </c>
      <c r="B242" s="6" t="s">
        <v>287</v>
      </c>
      <c r="C242" s="6" t="s">
        <v>288</v>
      </c>
      <c r="D242" s="8" t="s">
        <v>82</v>
      </c>
      <c r="E242" s="6" t="s">
        <v>108</v>
      </c>
      <c r="F242" s="6" t="s">
        <v>51</v>
      </c>
      <c r="G242" s="11">
        <v>46122.333333333336</v>
      </c>
      <c r="H242" s="10" t="s">
        <v>1193</v>
      </c>
      <c r="I242" s="6" t="s">
        <v>1194</v>
      </c>
      <c r="J242" s="12">
        <v>46120.841585648152</v>
      </c>
      <c r="K242" s="6" t="e" cm="1">
        <f t="array" ref="K242">LOOKUP(2^15,SEARCH(Tabela2[Palavras-Chave],Boletim[[#This Row],[Objeto]],1),Tabela2[Palavras-Chave])</f>
        <v>#N/A</v>
      </c>
    </row>
    <row r="243" spans="1:11" hidden="1" x14ac:dyDescent="0.3">
      <c r="A243" s="5">
        <v>18804098</v>
      </c>
      <c r="B243" s="6" t="s">
        <v>229</v>
      </c>
      <c r="C243" s="6" t="s">
        <v>228</v>
      </c>
      <c r="D243" s="8" t="s">
        <v>82</v>
      </c>
      <c r="E243" s="6" t="s">
        <v>1195</v>
      </c>
      <c r="F243" s="6" t="s">
        <v>51</v>
      </c>
      <c r="G243" s="11">
        <v>46125.332638888889</v>
      </c>
      <c r="H243" s="10" t="s">
        <v>1196</v>
      </c>
      <c r="I243" s="6" t="s">
        <v>1197</v>
      </c>
      <c r="J243" s="12">
        <v>46120.875671296293</v>
      </c>
      <c r="K243" s="6" t="e" cm="1">
        <f t="array" ref="K243">LOOKUP(2^15,SEARCH(Tabela2[Palavras-Chave],Boletim[[#This Row],[Objeto]],1),Tabela2[Palavras-Chave])</f>
        <v>#N/A</v>
      </c>
    </row>
    <row r="244" spans="1:11" hidden="1" x14ac:dyDescent="0.3">
      <c r="A244" s="5">
        <v>18804608</v>
      </c>
      <c r="B244" s="6" t="s">
        <v>343</v>
      </c>
      <c r="C244" s="6" t="s">
        <v>344</v>
      </c>
      <c r="D244" s="8" t="s">
        <v>82</v>
      </c>
      <c r="E244" s="6" t="s">
        <v>1198</v>
      </c>
      <c r="F244" s="6" t="s">
        <v>51</v>
      </c>
      <c r="G244" s="11">
        <v>46125.381944444445</v>
      </c>
      <c r="H244" s="10" t="s">
        <v>1199</v>
      </c>
      <c r="I244" s="6" t="s">
        <v>1200</v>
      </c>
      <c r="J244" s="12">
        <v>46120.876481481479</v>
      </c>
      <c r="K244" s="6" t="e" cm="1">
        <f t="array" ref="K244">LOOKUP(2^15,SEARCH(Tabela2[Palavras-Chave],Boletim[[#This Row],[Objeto]],1),Tabela2[Palavras-Chave])</f>
        <v>#N/A</v>
      </c>
    </row>
    <row r="245" spans="1:11" hidden="1" x14ac:dyDescent="0.3">
      <c r="A245" s="5">
        <v>18804569</v>
      </c>
      <c r="B245" s="6" t="s">
        <v>259</v>
      </c>
      <c r="C245" s="6" t="s">
        <v>83</v>
      </c>
      <c r="D245" s="8" t="s">
        <v>82</v>
      </c>
      <c r="E245" s="6" t="s">
        <v>1201</v>
      </c>
      <c r="F245" s="6" t="s">
        <v>51</v>
      </c>
      <c r="G245" s="11">
        <v>46128.333333333336</v>
      </c>
      <c r="H245" s="10" t="s">
        <v>1202</v>
      </c>
      <c r="I245" s="6" t="s">
        <v>1203</v>
      </c>
      <c r="J245" s="12">
        <v>46120.876898148148</v>
      </c>
      <c r="K245" s="6" t="e" cm="1">
        <f t="array" ref="K245">LOOKUP(2^15,SEARCH(Tabela2[Palavras-Chave],Boletim[[#This Row],[Objeto]],1),Tabela2[Palavras-Chave])</f>
        <v>#N/A</v>
      </c>
    </row>
    <row r="246" spans="1:11" hidden="1" x14ac:dyDescent="0.3">
      <c r="A246" s="5">
        <v>18804525</v>
      </c>
      <c r="B246" s="6" t="s">
        <v>1204</v>
      </c>
      <c r="C246" s="6" t="s">
        <v>83</v>
      </c>
      <c r="D246" s="8" t="s">
        <v>82</v>
      </c>
      <c r="E246" s="6" t="s">
        <v>1205</v>
      </c>
      <c r="F246" s="6" t="s">
        <v>51</v>
      </c>
      <c r="G246" s="11">
        <v>46126.333333333336</v>
      </c>
      <c r="H246" s="10" t="s">
        <v>1206</v>
      </c>
      <c r="I246" s="6" t="s">
        <v>1207</v>
      </c>
      <c r="J246" s="12">
        <v>46120.878854166665</v>
      </c>
      <c r="K246" s="6" t="e" cm="1">
        <f t="array" ref="K246">LOOKUP(2^15,SEARCH(Tabela2[Palavras-Chave],Boletim[[#This Row],[Objeto]],1),Tabela2[Palavras-Chave])</f>
        <v>#N/A</v>
      </c>
    </row>
    <row r="247" spans="1:11" ht="273.60000000000002" x14ac:dyDescent="0.3">
      <c r="A247" s="5">
        <v>18803147</v>
      </c>
      <c r="B247" s="6" t="s">
        <v>261</v>
      </c>
      <c r="C247" s="6" t="s">
        <v>262</v>
      </c>
      <c r="D247" s="8" t="s">
        <v>82</v>
      </c>
      <c r="E247" s="6" t="s">
        <v>180</v>
      </c>
      <c r="F247" s="6" t="s">
        <v>51</v>
      </c>
      <c r="G247" s="11" t="s">
        <v>56</v>
      </c>
      <c r="H247" s="21" t="s">
        <v>1208</v>
      </c>
      <c r="I247" s="6" t="s">
        <v>1209</v>
      </c>
      <c r="J247" s="12">
        <v>46120.887962962966</v>
      </c>
      <c r="K247" s="6" t="str" cm="1">
        <f t="array" ref="K247">LOOKUP(2^15,SEARCH(Tabela2[Palavras-Chave],Boletim[[#This Row],[Objeto]],1),Tabela2[Palavras-Chave])</f>
        <v>DIAGNÓSTICO</v>
      </c>
    </row>
    <row r="248" spans="1:11" ht="57.6" x14ac:dyDescent="0.3">
      <c r="A248" s="5">
        <v>18801206</v>
      </c>
      <c r="B248" s="6" t="s">
        <v>1210</v>
      </c>
      <c r="C248" s="6" t="s">
        <v>1211</v>
      </c>
      <c r="D248" s="8" t="s">
        <v>84</v>
      </c>
      <c r="E248" s="6" t="s">
        <v>125</v>
      </c>
      <c r="F248" s="6" t="s">
        <v>51</v>
      </c>
      <c r="G248" s="11">
        <v>46121.354166666664</v>
      </c>
      <c r="H248" s="21" t="s">
        <v>1212</v>
      </c>
      <c r="I248" s="6" t="s">
        <v>1213</v>
      </c>
      <c r="J248" s="12">
        <v>46120.736192129632</v>
      </c>
      <c r="K248" s="6" t="str" cm="1">
        <f t="array" ref="K248">LOOKUP(2^15,SEARCH(Tabela2[Palavras-Chave],Boletim[[#This Row],[Objeto]],1),Tabela2[Palavras-Chave])</f>
        <v>RESERVAT</v>
      </c>
    </row>
    <row r="249" spans="1:11" hidden="1" x14ac:dyDescent="0.3">
      <c r="A249" s="5">
        <v>18790976</v>
      </c>
      <c r="B249" s="6" t="s">
        <v>1214</v>
      </c>
      <c r="C249" s="6" t="s">
        <v>1215</v>
      </c>
      <c r="D249" s="8" t="s">
        <v>72</v>
      </c>
      <c r="E249" s="6" t="s">
        <v>126</v>
      </c>
      <c r="F249" s="6" t="s">
        <v>85</v>
      </c>
      <c r="G249" s="11">
        <v>46129.375</v>
      </c>
      <c r="H249" s="10" t="s">
        <v>1216</v>
      </c>
      <c r="I249" s="6" t="s">
        <v>1217</v>
      </c>
      <c r="J249" s="12">
        <v>46120.618379629632</v>
      </c>
      <c r="K249" s="6" t="e" cm="1">
        <f t="array" ref="K249">LOOKUP(2^15,SEARCH(Tabela2[Palavras-Chave],Boletim[[#This Row],[Objeto]],1),Tabela2[Palavras-Chave])</f>
        <v>#N/A</v>
      </c>
    </row>
    <row r="250" spans="1:11" hidden="1" x14ac:dyDescent="0.3">
      <c r="A250" s="5">
        <v>18800794</v>
      </c>
      <c r="B250" s="6" t="s">
        <v>1218</v>
      </c>
      <c r="C250" s="6" t="s">
        <v>1219</v>
      </c>
      <c r="D250" s="8" t="s">
        <v>86</v>
      </c>
      <c r="E250" s="6" t="s">
        <v>274</v>
      </c>
      <c r="F250" s="6" t="s">
        <v>85</v>
      </c>
      <c r="G250" s="11">
        <v>46136.416666666664</v>
      </c>
      <c r="H250" s="10" t="s">
        <v>1220</v>
      </c>
      <c r="I250" s="6" t="s">
        <v>1221</v>
      </c>
      <c r="J250" s="12">
        <v>46120.596574074072</v>
      </c>
      <c r="K250" s="6" t="e" cm="1">
        <f t="array" ref="K250">LOOKUP(2^15,SEARCH(Tabela2[Palavras-Chave],Boletim[[#This Row],[Objeto]],1),Tabela2[Palavras-Chave])</f>
        <v>#N/A</v>
      </c>
    </row>
    <row r="251" spans="1:11" hidden="1" x14ac:dyDescent="0.3">
      <c r="A251" s="5">
        <v>18803861</v>
      </c>
      <c r="B251" s="6" t="s">
        <v>1218</v>
      </c>
      <c r="C251" s="6" t="s">
        <v>1219</v>
      </c>
      <c r="D251" s="8" t="s">
        <v>86</v>
      </c>
      <c r="E251" s="6" t="s">
        <v>1222</v>
      </c>
      <c r="F251" s="6" t="s">
        <v>85</v>
      </c>
      <c r="G251" s="11" t="s">
        <v>56</v>
      </c>
      <c r="H251" s="10" t="s">
        <v>1223</v>
      </c>
      <c r="I251" s="6" t="s">
        <v>1224</v>
      </c>
      <c r="J251" s="12">
        <v>46120.605104166665</v>
      </c>
      <c r="K251" s="6" t="e" cm="1">
        <f t="array" ref="K251">LOOKUP(2^15,SEARCH(Tabela2[Palavras-Chave],Boletim[[#This Row],[Objeto]],1),Tabela2[Palavras-Chave])</f>
        <v>#N/A</v>
      </c>
    </row>
    <row r="252" spans="1:11" hidden="1" x14ac:dyDescent="0.3">
      <c r="A252" s="5">
        <v>18787659</v>
      </c>
      <c r="B252" s="6" t="s">
        <v>1225</v>
      </c>
      <c r="C252" s="6" t="s">
        <v>1226</v>
      </c>
      <c r="D252" s="8" t="s">
        <v>86</v>
      </c>
      <c r="E252" s="6" t="s">
        <v>135</v>
      </c>
      <c r="F252" s="6" t="s">
        <v>85</v>
      </c>
      <c r="G252" s="11">
        <v>46129.375</v>
      </c>
      <c r="H252" s="10" t="s">
        <v>1227</v>
      </c>
      <c r="I252" s="6" t="s">
        <v>1228</v>
      </c>
      <c r="J252" s="12">
        <v>46120.862858796296</v>
      </c>
      <c r="K252" s="6" t="e" cm="1">
        <f t="array" ref="K252">LOOKUP(2^15,SEARCH(Tabela2[Palavras-Chave],Boletim[[#This Row],[Objeto]],1),Tabela2[Palavras-Chave])</f>
        <v>#N/A</v>
      </c>
    </row>
    <row r="253" spans="1:11" hidden="1" x14ac:dyDescent="0.3">
      <c r="A253" s="5">
        <v>18802251</v>
      </c>
      <c r="B253" s="6" t="s">
        <v>74</v>
      </c>
      <c r="C253" s="6" t="s">
        <v>52</v>
      </c>
      <c r="D253" s="8" t="s">
        <v>50</v>
      </c>
      <c r="E253" s="6" t="s">
        <v>1229</v>
      </c>
      <c r="F253" s="6" t="s">
        <v>85</v>
      </c>
      <c r="G253" s="11" t="s">
        <v>56</v>
      </c>
      <c r="H253" s="10" t="s">
        <v>1230</v>
      </c>
      <c r="I253" s="6" t="s">
        <v>1231</v>
      </c>
      <c r="J253" s="12">
        <v>46120.503530092596</v>
      </c>
      <c r="K253" s="6" t="e" cm="1">
        <f t="array" ref="K253">LOOKUP(2^15,SEARCH(Tabela2[Palavras-Chave],Boletim[[#This Row],[Objeto]],1),Tabela2[Palavras-Chave])</f>
        <v>#N/A</v>
      </c>
    </row>
    <row r="254" spans="1:11" hidden="1" x14ac:dyDescent="0.3">
      <c r="A254" s="5">
        <v>18802237</v>
      </c>
      <c r="B254" s="6" t="s">
        <v>74</v>
      </c>
      <c r="C254" s="6" t="s">
        <v>52</v>
      </c>
      <c r="D254" s="8" t="s">
        <v>50</v>
      </c>
      <c r="E254" s="6" t="s">
        <v>1232</v>
      </c>
      <c r="F254" s="6" t="s">
        <v>85</v>
      </c>
      <c r="G254" s="11" t="s">
        <v>56</v>
      </c>
      <c r="H254" s="10" t="s">
        <v>1233</v>
      </c>
      <c r="I254" s="6" t="s">
        <v>1234</v>
      </c>
      <c r="J254" s="12">
        <v>46120.529895833337</v>
      </c>
      <c r="K254" s="6" t="e" cm="1">
        <f t="array" ref="K254">LOOKUP(2^15,SEARCH(Tabela2[Palavras-Chave],Boletim[[#This Row],[Objeto]],1),Tabela2[Palavras-Chave])</f>
        <v>#N/A</v>
      </c>
    </row>
    <row r="255" spans="1:11" hidden="1" x14ac:dyDescent="0.3">
      <c r="A255" s="5">
        <v>18806048</v>
      </c>
      <c r="B255" s="6" t="s">
        <v>1235</v>
      </c>
      <c r="C255" s="6" t="s">
        <v>52</v>
      </c>
      <c r="D255" s="8" t="s">
        <v>50</v>
      </c>
      <c r="E255" s="6" t="s">
        <v>1236</v>
      </c>
      <c r="F255" s="6" t="s">
        <v>85</v>
      </c>
      <c r="G255" s="11" t="s">
        <v>56</v>
      </c>
      <c r="H255" s="10" t="s">
        <v>1237</v>
      </c>
      <c r="I255" s="6" t="s">
        <v>1238</v>
      </c>
      <c r="J255" s="12">
        <v>46120.817407407405</v>
      </c>
      <c r="K255" s="6" t="e" cm="1">
        <f t="array" ref="K255">LOOKUP(2^15,SEARCH(Tabela2[Palavras-Chave],Boletim[[#This Row],[Objeto]],1),Tabela2[Palavras-Chave])</f>
        <v>#N/A</v>
      </c>
    </row>
    <row r="256" spans="1:11" hidden="1" x14ac:dyDescent="0.3">
      <c r="A256" s="5">
        <v>18798178</v>
      </c>
      <c r="B256" s="6" t="s">
        <v>1239</v>
      </c>
      <c r="C256" s="6" t="s">
        <v>53</v>
      </c>
      <c r="D256" s="8" t="s">
        <v>54</v>
      </c>
      <c r="E256" s="6" t="s">
        <v>115</v>
      </c>
      <c r="F256" s="6" t="s">
        <v>85</v>
      </c>
      <c r="G256" s="11">
        <v>46136.416666666664</v>
      </c>
      <c r="H256" s="10" t="s">
        <v>1240</v>
      </c>
      <c r="I256" s="6" t="s">
        <v>1241</v>
      </c>
      <c r="J256" s="12">
        <v>46120.389618055553</v>
      </c>
      <c r="K256" s="6" t="e" cm="1">
        <f t="array" ref="K256">LOOKUP(2^15,SEARCH(Tabela2[Palavras-Chave],Boletim[[#This Row],[Objeto]],1),Tabela2[Palavras-Chave])</f>
        <v>#N/A</v>
      </c>
    </row>
    <row r="257" spans="1:11" hidden="1" x14ac:dyDescent="0.3">
      <c r="A257" s="5">
        <v>18799579</v>
      </c>
      <c r="B257" s="6" t="s">
        <v>1242</v>
      </c>
      <c r="C257" s="6" t="s">
        <v>1243</v>
      </c>
      <c r="D257" s="8" t="s">
        <v>54</v>
      </c>
      <c r="E257" s="6" t="s">
        <v>223</v>
      </c>
      <c r="F257" s="6" t="s">
        <v>85</v>
      </c>
      <c r="G257" s="11">
        <v>46142.416666666664</v>
      </c>
      <c r="H257" s="10" t="s">
        <v>1244</v>
      </c>
      <c r="I257" s="6" t="s">
        <v>1245</v>
      </c>
      <c r="J257" s="12">
        <v>46120.389618055553</v>
      </c>
      <c r="K257" s="6" t="e" cm="1">
        <f t="array" ref="K257">LOOKUP(2^15,SEARCH(Tabela2[Palavras-Chave],Boletim[[#This Row],[Objeto]],1),Tabela2[Palavras-Chave])</f>
        <v>#N/A</v>
      </c>
    </row>
    <row r="258" spans="1:11" hidden="1" x14ac:dyDescent="0.3">
      <c r="A258" s="5">
        <v>18799858</v>
      </c>
      <c r="B258" s="6" t="s">
        <v>1242</v>
      </c>
      <c r="C258" s="6" t="s">
        <v>1243</v>
      </c>
      <c r="D258" s="8" t="s">
        <v>54</v>
      </c>
      <c r="E258" s="6" t="s">
        <v>381</v>
      </c>
      <c r="F258" s="6" t="s">
        <v>85</v>
      </c>
      <c r="G258" s="11">
        <v>46135.416666666664</v>
      </c>
      <c r="H258" s="10" t="s">
        <v>1246</v>
      </c>
      <c r="I258" s="6" t="s">
        <v>1247</v>
      </c>
      <c r="J258" s="12">
        <v>46120.38962962963</v>
      </c>
      <c r="K258" s="6" t="e" cm="1">
        <f t="array" ref="K258">LOOKUP(2^15,SEARCH(Tabela2[Palavras-Chave],Boletim[[#This Row],[Objeto]],1),Tabela2[Palavras-Chave])</f>
        <v>#N/A</v>
      </c>
    </row>
    <row r="259" spans="1:11" hidden="1" x14ac:dyDescent="0.3">
      <c r="A259" s="5">
        <v>18798425</v>
      </c>
      <c r="B259" s="6" t="s">
        <v>1248</v>
      </c>
      <c r="C259" s="6" t="s">
        <v>1249</v>
      </c>
      <c r="D259" s="8" t="s">
        <v>54</v>
      </c>
      <c r="E259" s="6" t="s">
        <v>120</v>
      </c>
      <c r="F259" s="6" t="s">
        <v>85</v>
      </c>
      <c r="G259" s="11" t="s">
        <v>56</v>
      </c>
      <c r="H259" s="10" t="s">
        <v>1250</v>
      </c>
      <c r="I259" s="6" t="s">
        <v>1251</v>
      </c>
      <c r="J259" s="12">
        <v>46120.38962962963</v>
      </c>
      <c r="K259" s="6" t="e" cm="1">
        <f t="array" ref="K259">LOOKUP(2^15,SEARCH(Tabela2[Palavras-Chave],Boletim[[#This Row],[Objeto]],1),Tabela2[Palavras-Chave])</f>
        <v>#N/A</v>
      </c>
    </row>
    <row r="260" spans="1:11" hidden="1" x14ac:dyDescent="0.3">
      <c r="A260" s="13">
        <v>18793681</v>
      </c>
      <c r="B260" s="10" t="s">
        <v>1252</v>
      </c>
      <c r="C260" s="10" t="s">
        <v>53</v>
      </c>
      <c r="D260" s="15" t="s">
        <v>54</v>
      </c>
      <c r="E260" s="10" t="s">
        <v>124</v>
      </c>
      <c r="F260" s="10" t="s">
        <v>85</v>
      </c>
      <c r="G260" s="16">
        <v>46128.4375</v>
      </c>
      <c r="H260" s="10" t="s">
        <v>1253</v>
      </c>
      <c r="I260" s="10" t="s">
        <v>1254</v>
      </c>
      <c r="J260" s="17">
        <v>46120.469456018516</v>
      </c>
      <c r="K260" s="6" t="e" cm="1">
        <f t="array" ref="K260">LOOKUP(2^15,SEARCH(Tabela2[Palavras-Chave],Boletim[[#This Row],[Objeto]],1),Tabela2[Palavras-Chave])</f>
        <v>#N/A</v>
      </c>
    </row>
    <row r="261" spans="1:11" ht="273.60000000000002" x14ac:dyDescent="0.3">
      <c r="A261" s="5">
        <v>18802450</v>
      </c>
      <c r="B261" s="6" t="s">
        <v>1255</v>
      </c>
      <c r="C261" s="6" t="s">
        <v>53</v>
      </c>
      <c r="D261" s="8" t="s">
        <v>54</v>
      </c>
      <c r="E261" s="6" t="s">
        <v>107</v>
      </c>
      <c r="F261" s="6" t="s">
        <v>85</v>
      </c>
      <c r="G261" s="11">
        <v>46139.416666666664</v>
      </c>
      <c r="H261" s="21" t="s">
        <v>1256</v>
      </c>
      <c r="I261" s="6" t="s">
        <v>1257</v>
      </c>
      <c r="J261" s="12">
        <v>46120.50037037037</v>
      </c>
      <c r="K261" s="6" t="str" cm="1">
        <f t="array" ref="K261">LOOKUP(2^15,SEARCH(Tabela2[Palavras-Chave],Boletim[[#This Row],[Objeto]],1),Tabela2[Palavras-Chave])</f>
        <v>TANQUE</v>
      </c>
    </row>
    <row r="262" spans="1:11" hidden="1" x14ac:dyDescent="0.3">
      <c r="A262" s="5">
        <v>18801432</v>
      </c>
      <c r="B262" s="6" t="s">
        <v>1258</v>
      </c>
      <c r="C262" s="6" t="s">
        <v>53</v>
      </c>
      <c r="D262" s="8" t="s">
        <v>54</v>
      </c>
      <c r="E262" s="6" t="s">
        <v>1259</v>
      </c>
      <c r="F262" s="6" t="s">
        <v>85</v>
      </c>
      <c r="G262" s="11" t="s">
        <v>56</v>
      </c>
      <c r="H262" s="10" t="s">
        <v>1260</v>
      </c>
      <c r="I262" s="6" t="s">
        <v>1261</v>
      </c>
      <c r="J262" s="12">
        <v>46120.522407407407</v>
      </c>
      <c r="K262" s="6" t="e" cm="1">
        <f t="array" ref="K262">LOOKUP(2^15,SEARCH(Tabela2[Palavras-Chave],Boletim[[#This Row],[Objeto]],1),Tabela2[Palavras-Chave])</f>
        <v>#N/A</v>
      </c>
    </row>
    <row r="263" spans="1:11" hidden="1" x14ac:dyDescent="0.3">
      <c r="A263" s="13">
        <v>18802546</v>
      </c>
      <c r="B263" s="10" t="s">
        <v>1262</v>
      </c>
      <c r="C263" s="10" t="s">
        <v>1263</v>
      </c>
      <c r="D263" s="15" t="s">
        <v>54</v>
      </c>
      <c r="E263" s="10" t="s">
        <v>176</v>
      </c>
      <c r="F263" s="10" t="s">
        <v>85</v>
      </c>
      <c r="G263" s="16" t="s">
        <v>56</v>
      </c>
      <c r="H263" s="10" t="s">
        <v>1264</v>
      </c>
      <c r="I263" s="10" t="s">
        <v>1265</v>
      </c>
      <c r="J263" s="17">
        <v>46120.52511574074</v>
      </c>
      <c r="K263" s="6" t="e" cm="1">
        <f t="array" ref="K263">LOOKUP(2^15,SEARCH(Tabela2[Palavras-Chave],Boletim[[#This Row],[Objeto]],1),Tabela2[Palavras-Chave])</f>
        <v>#N/A</v>
      </c>
    </row>
    <row r="264" spans="1:11" hidden="1" x14ac:dyDescent="0.3">
      <c r="A264" s="5">
        <v>18802550</v>
      </c>
      <c r="B264" s="6" t="s">
        <v>1266</v>
      </c>
      <c r="C264" s="6" t="s">
        <v>53</v>
      </c>
      <c r="D264" s="8" t="s">
        <v>54</v>
      </c>
      <c r="E264" s="6" t="s">
        <v>1267</v>
      </c>
      <c r="F264" s="6" t="s">
        <v>85</v>
      </c>
      <c r="G264" s="11" t="s">
        <v>56</v>
      </c>
      <c r="H264" s="10" t="s">
        <v>1268</v>
      </c>
      <c r="I264" s="6" t="s">
        <v>1269</v>
      </c>
      <c r="J264" s="12">
        <v>46120.525520833333</v>
      </c>
      <c r="K264" s="6" t="e" cm="1">
        <f t="array" ref="K264">LOOKUP(2^15,SEARCH(Tabela2[Palavras-Chave],Boletim[[#This Row],[Objeto]],1),Tabela2[Palavras-Chave])</f>
        <v>#N/A</v>
      </c>
    </row>
    <row r="265" spans="1:11" hidden="1" x14ac:dyDescent="0.3">
      <c r="A265" s="5">
        <v>18802563</v>
      </c>
      <c r="B265" s="6" t="s">
        <v>1270</v>
      </c>
      <c r="C265" s="6" t="s">
        <v>1271</v>
      </c>
      <c r="D265" s="8" t="s">
        <v>54</v>
      </c>
      <c r="E265" s="6" t="s">
        <v>176</v>
      </c>
      <c r="F265" s="6" t="s">
        <v>85</v>
      </c>
      <c r="G265" s="11" t="s">
        <v>56</v>
      </c>
      <c r="H265" s="10" t="s">
        <v>1272</v>
      </c>
      <c r="I265" s="6" t="s">
        <v>1273</v>
      </c>
      <c r="J265" s="12">
        <v>46120.525833333333</v>
      </c>
      <c r="K265" s="6" t="e" cm="1">
        <f t="array" ref="K265">LOOKUP(2^15,SEARCH(Tabela2[Palavras-Chave],Boletim[[#This Row],[Objeto]],1),Tabela2[Palavras-Chave])</f>
        <v>#N/A</v>
      </c>
    </row>
    <row r="266" spans="1:11" hidden="1" x14ac:dyDescent="0.3">
      <c r="A266" s="13">
        <v>18802511</v>
      </c>
      <c r="B266" s="10" t="s">
        <v>163</v>
      </c>
      <c r="C266" s="10" t="s">
        <v>53</v>
      </c>
      <c r="D266" s="15" t="s">
        <v>54</v>
      </c>
      <c r="E266" s="10" t="s">
        <v>388</v>
      </c>
      <c r="F266" s="10" t="s">
        <v>85</v>
      </c>
      <c r="G266" s="16" t="s">
        <v>56</v>
      </c>
      <c r="H266" s="10" t="s">
        <v>1274</v>
      </c>
      <c r="I266" s="10" t="s">
        <v>1275</v>
      </c>
      <c r="J266" s="17">
        <v>46120.666018518517</v>
      </c>
      <c r="K266" s="6" t="e" cm="1">
        <f t="array" ref="K266">LOOKUP(2^15,SEARCH(Tabela2[Palavras-Chave],Boletim[[#This Row],[Objeto]],1),Tabela2[Palavras-Chave])</f>
        <v>#N/A</v>
      </c>
    </row>
    <row r="267" spans="1:11" hidden="1" x14ac:dyDescent="0.3">
      <c r="A267" s="5">
        <v>18802509</v>
      </c>
      <c r="B267" s="6" t="s">
        <v>163</v>
      </c>
      <c r="C267" s="6" t="s">
        <v>53</v>
      </c>
      <c r="D267" s="8" t="s">
        <v>54</v>
      </c>
      <c r="E267" s="6" t="s">
        <v>1276</v>
      </c>
      <c r="F267" s="6" t="s">
        <v>85</v>
      </c>
      <c r="G267" s="11" t="s">
        <v>56</v>
      </c>
      <c r="H267" s="10" t="s">
        <v>1277</v>
      </c>
      <c r="I267" s="6" t="s">
        <v>1278</v>
      </c>
      <c r="J267" s="12">
        <v>46120.66673611111</v>
      </c>
      <c r="K267" s="6" t="e" cm="1">
        <f t="array" ref="K267">LOOKUP(2^15,SEARCH(Tabela2[Palavras-Chave],Boletim[[#This Row],[Objeto]],1),Tabela2[Palavras-Chave])</f>
        <v>#N/A</v>
      </c>
    </row>
    <row r="268" spans="1:11" hidden="1" x14ac:dyDescent="0.3">
      <c r="A268" s="5">
        <v>18802564</v>
      </c>
      <c r="B268" s="6" t="s">
        <v>1279</v>
      </c>
      <c r="C268" s="6" t="s">
        <v>1280</v>
      </c>
      <c r="D268" s="8" t="s">
        <v>54</v>
      </c>
      <c r="E268" s="6" t="s">
        <v>268</v>
      </c>
      <c r="F268" s="6" t="s">
        <v>85</v>
      </c>
      <c r="G268" s="11" t="s">
        <v>56</v>
      </c>
      <c r="H268" s="10" t="s">
        <v>1281</v>
      </c>
      <c r="I268" s="6" t="s">
        <v>1282</v>
      </c>
      <c r="J268" s="12">
        <v>46120.556180555555</v>
      </c>
      <c r="K268" s="6" t="e" cm="1">
        <f t="array" ref="K268">LOOKUP(2^15,SEARCH(Tabela2[Palavras-Chave],Boletim[[#This Row],[Objeto]],1),Tabela2[Palavras-Chave])</f>
        <v>#N/A</v>
      </c>
    </row>
    <row r="269" spans="1:11" hidden="1" x14ac:dyDescent="0.3">
      <c r="A269" s="5">
        <v>18802565</v>
      </c>
      <c r="B269" s="6" t="s">
        <v>1283</v>
      </c>
      <c r="C269" s="6" t="s">
        <v>53</v>
      </c>
      <c r="D269" s="8" t="s">
        <v>54</v>
      </c>
      <c r="E269" s="6" t="s">
        <v>1284</v>
      </c>
      <c r="F269" s="6" t="s">
        <v>85</v>
      </c>
      <c r="G269" s="11" t="s">
        <v>56</v>
      </c>
      <c r="H269" s="10" t="s">
        <v>1285</v>
      </c>
      <c r="I269" s="6" t="s">
        <v>1286</v>
      </c>
      <c r="J269" s="12">
        <v>46120.567754629628</v>
      </c>
      <c r="K269" s="6" t="e" cm="1">
        <f t="array" ref="K269">LOOKUP(2^15,SEARCH(Tabela2[Palavras-Chave],Boletim[[#This Row],[Objeto]],1),Tabela2[Palavras-Chave])</f>
        <v>#N/A</v>
      </c>
    </row>
    <row r="270" spans="1:11" hidden="1" x14ac:dyDescent="0.3">
      <c r="A270" s="5">
        <v>18801878</v>
      </c>
      <c r="B270" s="6" t="s">
        <v>1287</v>
      </c>
      <c r="C270" s="6" t="s">
        <v>1288</v>
      </c>
      <c r="D270" s="8" t="s">
        <v>54</v>
      </c>
      <c r="E270" s="6" t="s">
        <v>1289</v>
      </c>
      <c r="F270" s="6" t="s">
        <v>85</v>
      </c>
      <c r="G270" s="11">
        <v>46161</v>
      </c>
      <c r="H270" s="10" t="s">
        <v>1290</v>
      </c>
      <c r="I270" s="6" t="s">
        <v>1291</v>
      </c>
      <c r="J270" s="12">
        <v>46120.569363425922</v>
      </c>
      <c r="K270" s="6" t="e" cm="1">
        <f t="array" ref="K270">LOOKUP(2^15,SEARCH(Tabela2[Palavras-Chave],Boletim[[#This Row],[Objeto]],1),Tabela2[Palavras-Chave])</f>
        <v>#N/A</v>
      </c>
    </row>
    <row r="271" spans="1:11" hidden="1" x14ac:dyDescent="0.3">
      <c r="A271" s="5">
        <v>18801609</v>
      </c>
      <c r="B271" s="6" t="s">
        <v>1292</v>
      </c>
      <c r="C271" s="6" t="s">
        <v>1293</v>
      </c>
      <c r="D271" s="8" t="s">
        <v>54</v>
      </c>
      <c r="E271" s="6" t="s">
        <v>124</v>
      </c>
      <c r="F271" s="6" t="s">
        <v>85</v>
      </c>
      <c r="G271" s="11" t="s">
        <v>56</v>
      </c>
      <c r="H271" s="10" t="s">
        <v>1294</v>
      </c>
      <c r="I271" s="6" t="s">
        <v>1295</v>
      </c>
      <c r="J271" s="12">
        <v>46120.623229166667</v>
      </c>
      <c r="K271" s="6" t="e" cm="1">
        <f t="array" ref="K271">LOOKUP(2^15,SEARCH(Tabela2[Palavras-Chave],Boletim[[#This Row],[Objeto]],1),Tabela2[Palavras-Chave])</f>
        <v>#N/A</v>
      </c>
    </row>
    <row r="272" spans="1:11" hidden="1" x14ac:dyDescent="0.3">
      <c r="A272" s="13">
        <v>18803816</v>
      </c>
      <c r="B272" s="10" t="s">
        <v>1296</v>
      </c>
      <c r="C272" s="10" t="s">
        <v>1297</v>
      </c>
      <c r="D272" s="15" t="s">
        <v>54</v>
      </c>
      <c r="E272" s="10" t="s">
        <v>117</v>
      </c>
      <c r="F272" s="10" t="s">
        <v>85</v>
      </c>
      <c r="G272" s="16" t="s">
        <v>56</v>
      </c>
      <c r="H272" s="10" t="s">
        <v>1298</v>
      </c>
      <c r="I272" s="10" t="s">
        <v>1299</v>
      </c>
      <c r="J272" s="17">
        <v>46120.635567129626</v>
      </c>
      <c r="K272" s="6" t="e" cm="1">
        <f t="array" ref="K272">LOOKUP(2^15,SEARCH(Tabela2[Palavras-Chave],Boletim[[#This Row],[Objeto]],1),Tabela2[Palavras-Chave])</f>
        <v>#N/A</v>
      </c>
    </row>
    <row r="273" spans="1:11" hidden="1" x14ac:dyDescent="0.3">
      <c r="A273" s="5">
        <v>18803938</v>
      </c>
      <c r="B273" s="6" t="s">
        <v>1300</v>
      </c>
      <c r="C273" s="6" t="s">
        <v>1301</v>
      </c>
      <c r="D273" s="8" t="s">
        <v>54</v>
      </c>
      <c r="E273" s="6" t="s">
        <v>122</v>
      </c>
      <c r="F273" s="6" t="s">
        <v>85</v>
      </c>
      <c r="G273" s="11" t="s">
        <v>56</v>
      </c>
      <c r="H273" s="10" t="s">
        <v>1302</v>
      </c>
      <c r="I273" s="6" t="s">
        <v>1303</v>
      </c>
      <c r="J273" s="12">
        <v>46120.640625</v>
      </c>
      <c r="K273" s="6" t="e" cm="1">
        <f t="array" ref="K273">LOOKUP(2^15,SEARCH(Tabela2[Palavras-Chave],Boletim[[#This Row],[Objeto]],1),Tabela2[Palavras-Chave])</f>
        <v>#N/A</v>
      </c>
    </row>
    <row r="274" spans="1:11" hidden="1" x14ac:dyDescent="0.3">
      <c r="A274" s="5">
        <v>18803496</v>
      </c>
      <c r="B274" s="6" t="s">
        <v>1304</v>
      </c>
      <c r="C274" s="6" t="s">
        <v>1305</v>
      </c>
      <c r="D274" s="8" t="s">
        <v>54</v>
      </c>
      <c r="E274" s="6" t="s">
        <v>122</v>
      </c>
      <c r="F274" s="6" t="s">
        <v>85</v>
      </c>
      <c r="G274" s="11" t="s">
        <v>56</v>
      </c>
      <c r="H274" s="10" t="s">
        <v>1306</v>
      </c>
      <c r="I274" s="6" t="s">
        <v>1307</v>
      </c>
      <c r="J274" s="12">
        <v>46120.662222222221</v>
      </c>
      <c r="K274" s="6" t="e" cm="1">
        <f t="array" ref="K274">LOOKUP(2^15,SEARCH(Tabela2[Palavras-Chave],Boletim[[#This Row],[Objeto]],1),Tabela2[Palavras-Chave])</f>
        <v>#N/A</v>
      </c>
    </row>
    <row r="275" spans="1:11" hidden="1" x14ac:dyDescent="0.3">
      <c r="A275" s="13">
        <v>18802505</v>
      </c>
      <c r="B275" s="10" t="s">
        <v>163</v>
      </c>
      <c r="C275" s="10" t="s">
        <v>53</v>
      </c>
      <c r="D275" s="15" t="s">
        <v>54</v>
      </c>
      <c r="E275" s="10" t="s">
        <v>1308</v>
      </c>
      <c r="F275" s="10" t="s">
        <v>85</v>
      </c>
      <c r="G275" s="16" t="s">
        <v>56</v>
      </c>
      <c r="H275" s="10" t="s">
        <v>1309</v>
      </c>
      <c r="I275" s="10" t="s">
        <v>1310</v>
      </c>
      <c r="J275" s="17">
        <v>46120.666018518517</v>
      </c>
      <c r="K275" s="6" t="e" cm="1">
        <f t="array" ref="K275">LOOKUP(2^15,SEARCH(Tabela2[Palavras-Chave],Boletim[[#This Row],[Objeto]],1),Tabela2[Palavras-Chave])</f>
        <v>#N/A</v>
      </c>
    </row>
    <row r="276" spans="1:11" hidden="1" x14ac:dyDescent="0.3">
      <c r="A276" s="5">
        <v>18802512</v>
      </c>
      <c r="B276" s="6" t="s">
        <v>163</v>
      </c>
      <c r="C276" s="6" t="s">
        <v>53</v>
      </c>
      <c r="D276" s="8" t="s">
        <v>54</v>
      </c>
      <c r="E276" s="6" t="s">
        <v>1311</v>
      </c>
      <c r="F276" s="6" t="s">
        <v>85</v>
      </c>
      <c r="G276" s="11">
        <v>46146.583333333336</v>
      </c>
      <c r="H276" s="10" t="s">
        <v>1312</v>
      </c>
      <c r="I276" s="6" t="s">
        <v>1313</v>
      </c>
      <c r="J276" s="12">
        <v>46120.671956018516</v>
      </c>
      <c r="K276" s="6" t="e" cm="1">
        <f t="array" ref="K276">LOOKUP(2^15,SEARCH(Tabela2[Palavras-Chave],Boletim[[#This Row],[Objeto]],1),Tabela2[Palavras-Chave])</f>
        <v>#N/A</v>
      </c>
    </row>
    <row r="277" spans="1:11" hidden="1" x14ac:dyDescent="0.3">
      <c r="A277" s="5">
        <v>18804174</v>
      </c>
      <c r="B277" s="6" t="s">
        <v>1314</v>
      </c>
      <c r="C277" s="6" t="s">
        <v>1315</v>
      </c>
      <c r="D277" s="8" t="s">
        <v>54</v>
      </c>
      <c r="E277" s="6" t="s">
        <v>121</v>
      </c>
      <c r="F277" s="6" t="s">
        <v>85</v>
      </c>
      <c r="G277" s="11">
        <v>46132.354166666664</v>
      </c>
      <c r="H277" s="10" t="s">
        <v>1316</v>
      </c>
      <c r="I277" s="6" t="s">
        <v>1317</v>
      </c>
      <c r="J277" s="12">
        <v>46120.722280092596</v>
      </c>
      <c r="K277" s="6" t="e" cm="1">
        <f t="array" ref="K277">LOOKUP(2^15,SEARCH(Tabela2[Palavras-Chave],Boletim[[#This Row],[Objeto]],1),Tabela2[Palavras-Chave])</f>
        <v>#N/A</v>
      </c>
    </row>
    <row r="278" spans="1:11" x14ac:dyDescent="0.3">
      <c r="A278" s="5">
        <v>18804960</v>
      </c>
      <c r="B278" s="6" t="s">
        <v>293</v>
      </c>
      <c r="C278" s="6" t="s">
        <v>53</v>
      </c>
      <c r="D278" s="8" t="s">
        <v>54</v>
      </c>
      <c r="E278" s="6" t="s">
        <v>456</v>
      </c>
      <c r="F278" s="6" t="s">
        <v>85</v>
      </c>
      <c r="G278" s="11" t="s">
        <v>56</v>
      </c>
      <c r="H278" s="21" t="s">
        <v>1318</v>
      </c>
      <c r="I278" s="6" t="s">
        <v>169</v>
      </c>
      <c r="J278" s="12">
        <v>46120.72923611111</v>
      </c>
      <c r="K278" s="6" t="str" cm="1">
        <f t="array" ref="K278">LOOKUP(2^15,SEARCH(Tabela2[Palavras-Chave],Boletim[[#This Row],[Objeto]],1),Tabela2[Palavras-Chave])</f>
        <v>RESERVAT</v>
      </c>
    </row>
    <row r="279" spans="1:11" hidden="1" x14ac:dyDescent="0.3">
      <c r="A279" s="5">
        <v>18805203</v>
      </c>
      <c r="B279" s="6" t="s">
        <v>1319</v>
      </c>
      <c r="C279" s="6" t="s">
        <v>1320</v>
      </c>
      <c r="D279" s="8" t="s">
        <v>54</v>
      </c>
      <c r="E279" s="6" t="s">
        <v>128</v>
      </c>
      <c r="F279" s="6" t="s">
        <v>85</v>
      </c>
      <c r="G279" s="11" t="s">
        <v>56</v>
      </c>
      <c r="H279" s="10" t="s">
        <v>1321</v>
      </c>
      <c r="I279" s="6" t="s">
        <v>1322</v>
      </c>
      <c r="J279" s="12">
        <v>46120.730949074074</v>
      </c>
      <c r="K279" s="6" t="e" cm="1">
        <f t="array" ref="K279">LOOKUP(2^15,SEARCH(Tabela2[Palavras-Chave],Boletim[[#This Row],[Objeto]],1),Tabela2[Palavras-Chave])</f>
        <v>#N/A</v>
      </c>
    </row>
    <row r="280" spans="1:11" hidden="1" x14ac:dyDescent="0.3">
      <c r="A280" s="5">
        <v>18805516</v>
      </c>
      <c r="B280" s="6" t="s">
        <v>1323</v>
      </c>
      <c r="C280" s="6" t="s">
        <v>1324</v>
      </c>
      <c r="D280" s="8" t="s">
        <v>54</v>
      </c>
      <c r="E280" s="6" t="s">
        <v>114</v>
      </c>
      <c r="F280" s="6" t="s">
        <v>85</v>
      </c>
      <c r="G280" s="11">
        <v>46139.375</v>
      </c>
      <c r="H280" s="10" t="s">
        <v>1325</v>
      </c>
      <c r="I280" s="6" t="s">
        <v>1326</v>
      </c>
      <c r="J280" s="12">
        <v>46120.809884259259</v>
      </c>
      <c r="K280" s="6" t="e" cm="1">
        <f t="array" ref="K280">LOOKUP(2^15,SEARCH(Tabela2[Palavras-Chave],Boletim[[#This Row],[Objeto]],1),Tabela2[Palavras-Chave])</f>
        <v>#N/A</v>
      </c>
    </row>
    <row r="281" spans="1:11" hidden="1" x14ac:dyDescent="0.3">
      <c r="A281" s="5">
        <v>18798504</v>
      </c>
      <c r="B281" s="6" t="s">
        <v>1327</v>
      </c>
      <c r="C281" s="6" t="s">
        <v>1328</v>
      </c>
      <c r="D281" s="8" t="s">
        <v>54</v>
      </c>
      <c r="E281" s="6" t="s">
        <v>124</v>
      </c>
      <c r="F281" s="6" t="s">
        <v>85</v>
      </c>
      <c r="G281" s="11">
        <v>46129.416666666664</v>
      </c>
      <c r="H281" s="10" t="s">
        <v>1329</v>
      </c>
      <c r="I281" s="6" t="s">
        <v>1330</v>
      </c>
      <c r="J281" s="12">
        <v>46120.763206018521</v>
      </c>
      <c r="K281" s="6" t="e" cm="1">
        <f t="array" ref="K281">LOOKUP(2^15,SEARCH(Tabela2[Palavras-Chave],Boletim[[#This Row],[Objeto]],1),Tabela2[Palavras-Chave])</f>
        <v>#N/A</v>
      </c>
    </row>
    <row r="282" spans="1:11" hidden="1" x14ac:dyDescent="0.3">
      <c r="A282" s="5">
        <v>18803237</v>
      </c>
      <c r="B282" s="6" t="s">
        <v>1331</v>
      </c>
      <c r="C282" s="6" t="s">
        <v>1332</v>
      </c>
      <c r="D282" s="8" t="s">
        <v>54</v>
      </c>
      <c r="E282" s="6" t="s">
        <v>108</v>
      </c>
      <c r="F282" s="6" t="s">
        <v>85</v>
      </c>
      <c r="G282" s="11" t="s">
        <v>56</v>
      </c>
      <c r="H282" s="10" t="s">
        <v>1333</v>
      </c>
      <c r="I282" s="6" t="s">
        <v>1334</v>
      </c>
      <c r="J282" s="12">
        <v>46120.815347222226</v>
      </c>
      <c r="K282" s="6" t="e" cm="1">
        <f t="array" ref="K282">LOOKUP(2^15,SEARCH(Tabela2[Palavras-Chave],Boletim[[#This Row],[Objeto]],1),Tabela2[Palavras-Chave])</f>
        <v>#N/A</v>
      </c>
    </row>
    <row r="283" spans="1:11" hidden="1" x14ac:dyDescent="0.3">
      <c r="A283" s="5">
        <v>18806142</v>
      </c>
      <c r="B283" s="6" t="s">
        <v>354</v>
      </c>
      <c r="C283" s="6" t="s">
        <v>355</v>
      </c>
      <c r="D283" s="8" t="s">
        <v>54</v>
      </c>
      <c r="E283" s="6" t="s">
        <v>155</v>
      </c>
      <c r="F283" s="6" t="s">
        <v>85</v>
      </c>
      <c r="G283" s="11" t="s">
        <v>56</v>
      </c>
      <c r="H283" s="10" t="s">
        <v>1335</v>
      </c>
      <c r="I283" s="6" t="s">
        <v>1336</v>
      </c>
      <c r="J283" s="12">
        <v>46120.825729166667</v>
      </c>
      <c r="K283" s="6" t="e" cm="1">
        <f t="array" ref="K283">LOOKUP(2^15,SEARCH(Tabela2[Palavras-Chave],Boletim[[#This Row],[Objeto]],1),Tabela2[Palavras-Chave])</f>
        <v>#N/A</v>
      </c>
    </row>
    <row r="284" spans="1:11" hidden="1" x14ac:dyDescent="0.3">
      <c r="A284" s="5">
        <v>18793570</v>
      </c>
      <c r="B284" s="6" t="s">
        <v>1337</v>
      </c>
      <c r="C284" s="6" t="s">
        <v>1338</v>
      </c>
      <c r="D284" s="8" t="s">
        <v>60</v>
      </c>
      <c r="E284" s="6" t="s">
        <v>113</v>
      </c>
      <c r="F284" s="6" t="s">
        <v>85</v>
      </c>
      <c r="G284" s="11">
        <v>46134.375</v>
      </c>
      <c r="H284" s="10" t="s">
        <v>1339</v>
      </c>
      <c r="I284" s="6" t="s">
        <v>1340</v>
      </c>
      <c r="J284" s="12">
        <v>46120.45076388889</v>
      </c>
      <c r="K284" s="6" t="e" cm="1">
        <f t="array" ref="K284">LOOKUP(2^15,SEARCH(Tabela2[Palavras-Chave],Boletim[[#This Row],[Objeto]],1),Tabela2[Palavras-Chave])</f>
        <v>#N/A</v>
      </c>
    </row>
    <row r="285" spans="1:11" hidden="1" x14ac:dyDescent="0.3">
      <c r="A285" s="5">
        <v>18802425</v>
      </c>
      <c r="B285" s="6" t="s">
        <v>1341</v>
      </c>
      <c r="C285" s="6" t="s">
        <v>1342</v>
      </c>
      <c r="D285" s="8" t="s">
        <v>60</v>
      </c>
      <c r="E285" s="6" t="s">
        <v>1343</v>
      </c>
      <c r="F285" s="6" t="s">
        <v>85</v>
      </c>
      <c r="G285" s="11">
        <v>46135.375</v>
      </c>
      <c r="H285" s="10" t="s">
        <v>1344</v>
      </c>
      <c r="I285" s="6" t="s">
        <v>1345</v>
      </c>
      <c r="J285" s="12">
        <v>46120.505289351851</v>
      </c>
      <c r="K285" s="6" t="e" cm="1">
        <f t="array" ref="K285">LOOKUP(2^15,SEARCH(Tabela2[Palavras-Chave],Boletim[[#This Row],[Objeto]],1),Tabela2[Palavras-Chave])</f>
        <v>#N/A</v>
      </c>
    </row>
    <row r="286" spans="1:11" hidden="1" x14ac:dyDescent="0.3">
      <c r="A286" s="5">
        <v>18803538</v>
      </c>
      <c r="B286" s="6" t="s">
        <v>1346</v>
      </c>
      <c r="C286" s="6" t="s">
        <v>1347</v>
      </c>
      <c r="D286" s="8" t="s">
        <v>60</v>
      </c>
      <c r="E286" s="6" t="s">
        <v>1348</v>
      </c>
      <c r="F286" s="6" t="s">
        <v>85</v>
      </c>
      <c r="G286" s="11" t="s">
        <v>56</v>
      </c>
      <c r="H286" s="10" t="s">
        <v>1349</v>
      </c>
      <c r="I286" s="6" t="s">
        <v>1350</v>
      </c>
      <c r="J286" s="12">
        <v>46120.585439814815</v>
      </c>
      <c r="K286" s="6" t="e" cm="1">
        <f t="array" ref="K286">LOOKUP(2^15,SEARCH(Tabela2[Palavras-Chave],Boletim[[#This Row],[Objeto]],1),Tabela2[Palavras-Chave])</f>
        <v>#N/A</v>
      </c>
    </row>
    <row r="287" spans="1:11" hidden="1" x14ac:dyDescent="0.3">
      <c r="A287" s="5">
        <v>18803493</v>
      </c>
      <c r="B287" s="6" t="s">
        <v>151</v>
      </c>
      <c r="C287" s="6" t="s">
        <v>59</v>
      </c>
      <c r="D287" s="8" t="s">
        <v>60</v>
      </c>
      <c r="E287" s="6" t="s">
        <v>1351</v>
      </c>
      <c r="F287" s="6" t="s">
        <v>85</v>
      </c>
      <c r="G287" s="11" t="s">
        <v>56</v>
      </c>
      <c r="H287" s="10" t="s">
        <v>1352</v>
      </c>
      <c r="I287" s="6" t="s">
        <v>1353</v>
      </c>
      <c r="J287" s="12">
        <v>46120.662754629629</v>
      </c>
      <c r="K287" s="6" t="e" cm="1">
        <f t="array" ref="K287">LOOKUP(2^15,SEARCH(Tabela2[Palavras-Chave],Boletim[[#This Row],[Objeto]],1),Tabela2[Palavras-Chave])</f>
        <v>#N/A</v>
      </c>
    </row>
    <row r="288" spans="1:11" hidden="1" x14ac:dyDescent="0.3">
      <c r="A288" s="5">
        <v>18801775</v>
      </c>
      <c r="B288" s="6" t="s">
        <v>1354</v>
      </c>
      <c r="C288" s="6" t="s">
        <v>1355</v>
      </c>
      <c r="D288" s="8" t="s">
        <v>60</v>
      </c>
      <c r="E288" s="6" t="s">
        <v>1356</v>
      </c>
      <c r="F288" s="6" t="s">
        <v>85</v>
      </c>
      <c r="G288" s="11" t="s">
        <v>56</v>
      </c>
      <c r="H288" s="10" t="s">
        <v>1357</v>
      </c>
      <c r="I288" s="6" t="s">
        <v>1358</v>
      </c>
      <c r="J288" s="12">
        <v>46120.70212962963</v>
      </c>
      <c r="K288" s="6" t="e" cm="1">
        <f t="array" ref="K288">LOOKUP(2^15,SEARCH(Tabela2[Palavras-Chave],Boletim[[#This Row],[Objeto]],1),Tabela2[Palavras-Chave])</f>
        <v>#N/A</v>
      </c>
    </row>
    <row r="289" spans="1:11" hidden="1" x14ac:dyDescent="0.3">
      <c r="A289" s="5">
        <v>18805208</v>
      </c>
      <c r="B289" s="6" t="s">
        <v>1359</v>
      </c>
      <c r="C289" s="6" t="s">
        <v>59</v>
      </c>
      <c r="D289" s="8" t="s">
        <v>60</v>
      </c>
      <c r="E289" s="6" t="s">
        <v>1360</v>
      </c>
      <c r="F289" s="6" t="s">
        <v>85</v>
      </c>
      <c r="G289" s="11" t="s">
        <v>56</v>
      </c>
      <c r="H289" s="10" t="s">
        <v>1361</v>
      </c>
      <c r="I289" s="6" t="s">
        <v>1362</v>
      </c>
      <c r="J289" s="12">
        <v>46120.711863425924</v>
      </c>
      <c r="K289" s="6" t="e" cm="1">
        <f t="array" ref="K289">LOOKUP(2^15,SEARCH(Tabela2[Palavras-Chave],Boletim[[#This Row],[Objeto]],1),Tabela2[Palavras-Chave])</f>
        <v>#N/A</v>
      </c>
    </row>
    <row r="290" spans="1:11" hidden="1" x14ac:dyDescent="0.3">
      <c r="A290" s="5">
        <v>18806079</v>
      </c>
      <c r="B290" s="6" t="s">
        <v>1363</v>
      </c>
      <c r="C290" s="6" t="s">
        <v>320</v>
      </c>
      <c r="D290" s="8" t="s">
        <v>60</v>
      </c>
      <c r="E290" s="6" t="s">
        <v>1364</v>
      </c>
      <c r="F290" s="6" t="s">
        <v>85</v>
      </c>
      <c r="G290" s="11" t="s">
        <v>56</v>
      </c>
      <c r="H290" s="10" t="s">
        <v>1365</v>
      </c>
      <c r="I290" s="6" t="s">
        <v>1366</v>
      </c>
      <c r="J290" s="12">
        <v>46120.831122685187</v>
      </c>
      <c r="K290" s="6" t="e" cm="1">
        <f t="array" ref="K290">LOOKUP(2^15,SEARCH(Tabela2[Palavras-Chave],Boletim[[#This Row],[Objeto]],1),Tabela2[Palavras-Chave])</f>
        <v>#N/A</v>
      </c>
    </row>
    <row r="291" spans="1:11" hidden="1" x14ac:dyDescent="0.3">
      <c r="A291" s="5">
        <v>18806315</v>
      </c>
      <c r="B291" s="6" t="s">
        <v>1367</v>
      </c>
      <c r="C291" s="6" t="s">
        <v>1368</v>
      </c>
      <c r="D291" s="8" t="s">
        <v>60</v>
      </c>
      <c r="E291" s="6" t="s">
        <v>1369</v>
      </c>
      <c r="F291" s="6" t="s">
        <v>85</v>
      </c>
      <c r="G291" s="11">
        <v>46135.354166666664</v>
      </c>
      <c r="H291" s="10" t="s">
        <v>1370</v>
      </c>
      <c r="I291" s="6" t="s">
        <v>1192</v>
      </c>
      <c r="J291" s="12">
        <v>46120.8437962963</v>
      </c>
      <c r="K291" s="6" t="e" cm="1">
        <f t="array" ref="K291">LOOKUP(2^15,SEARCH(Tabela2[Palavras-Chave],Boletim[[#This Row],[Objeto]],1),Tabela2[Palavras-Chave])</f>
        <v>#N/A</v>
      </c>
    </row>
    <row r="292" spans="1:11" hidden="1" x14ac:dyDescent="0.3">
      <c r="A292" s="5">
        <v>18802609</v>
      </c>
      <c r="B292" s="6" t="s">
        <v>1371</v>
      </c>
      <c r="C292" s="6" t="s">
        <v>61</v>
      </c>
      <c r="D292" s="8" t="s">
        <v>62</v>
      </c>
      <c r="E292" s="6" t="s">
        <v>286</v>
      </c>
      <c r="F292" s="6" t="s">
        <v>85</v>
      </c>
      <c r="G292" s="11" t="s">
        <v>56</v>
      </c>
      <c r="H292" s="10" t="s">
        <v>1372</v>
      </c>
      <c r="I292" s="6" t="s">
        <v>1373</v>
      </c>
      <c r="J292" s="12">
        <v>46120.556712962964</v>
      </c>
      <c r="K292" s="6" t="e" cm="1">
        <f t="array" ref="K292">LOOKUP(2^15,SEARCH(Tabela2[Palavras-Chave],Boletim[[#This Row],[Objeto]],1),Tabela2[Palavras-Chave])</f>
        <v>#N/A</v>
      </c>
    </row>
    <row r="293" spans="1:11" hidden="1" x14ac:dyDescent="0.3">
      <c r="A293" s="5">
        <v>18802599</v>
      </c>
      <c r="B293" s="6" t="s">
        <v>1374</v>
      </c>
      <c r="C293" s="6" t="s">
        <v>61</v>
      </c>
      <c r="D293" s="8" t="s">
        <v>62</v>
      </c>
      <c r="E293" s="6" t="s">
        <v>1375</v>
      </c>
      <c r="F293" s="6" t="s">
        <v>85</v>
      </c>
      <c r="G293" s="11" t="s">
        <v>56</v>
      </c>
      <c r="H293" s="10" t="s">
        <v>1376</v>
      </c>
      <c r="I293" s="6" t="s">
        <v>1377</v>
      </c>
      <c r="J293" s="12">
        <v>46120.60837962963</v>
      </c>
      <c r="K293" s="6" t="e" cm="1">
        <f t="array" ref="K293">LOOKUP(2^15,SEARCH(Tabela2[Palavras-Chave],Boletim[[#This Row],[Objeto]],1),Tabela2[Palavras-Chave])</f>
        <v>#N/A</v>
      </c>
    </row>
    <row r="294" spans="1:11" hidden="1" x14ac:dyDescent="0.3">
      <c r="A294" s="5">
        <v>18802603</v>
      </c>
      <c r="B294" s="6" t="s">
        <v>1378</v>
      </c>
      <c r="C294" s="6" t="s">
        <v>61</v>
      </c>
      <c r="D294" s="8" t="s">
        <v>62</v>
      </c>
      <c r="E294" s="6" t="s">
        <v>1379</v>
      </c>
      <c r="F294" s="6" t="s">
        <v>85</v>
      </c>
      <c r="G294" s="11" t="s">
        <v>56</v>
      </c>
      <c r="H294" s="10" t="s">
        <v>1380</v>
      </c>
      <c r="I294" s="6" t="s">
        <v>1381</v>
      </c>
      <c r="J294" s="12">
        <v>46120.772303240738</v>
      </c>
      <c r="K294" s="6" t="e" cm="1">
        <f t="array" ref="K294">LOOKUP(2^15,SEARCH(Tabela2[Palavras-Chave],Boletim[[#This Row],[Objeto]],1),Tabela2[Palavras-Chave])</f>
        <v>#N/A</v>
      </c>
    </row>
    <row r="295" spans="1:11" hidden="1" x14ac:dyDescent="0.3">
      <c r="A295" s="5">
        <v>18804292</v>
      </c>
      <c r="B295" s="6" t="s">
        <v>1382</v>
      </c>
      <c r="C295" s="6" t="s">
        <v>61</v>
      </c>
      <c r="D295" s="8" t="s">
        <v>62</v>
      </c>
      <c r="E295" s="6" t="s">
        <v>387</v>
      </c>
      <c r="F295" s="6" t="s">
        <v>85</v>
      </c>
      <c r="G295" s="11">
        <v>46139.374305555553</v>
      </c>
      <c r="H295" s="10" t="s">
        <v>1383</v>
      </c>
      <c r="I295" s="6" t="s">
        <v>1384</v>
      </c>
      <c r="J295" s="12">
        <v>46120.878645833334</v>
      </c>
      <c r="K295" s="6" t="e" cm="1">
        <f t="array" ref="K295">LOOKUP(2^15,SEARCH(Tabela2[Palavras-Chave],Boletim[[#This Row],[Objeto]],1),Tabela2[Palavras-Chave])</f>
        <v>#N/A</v>
      </c>
    </row>
    <row r="296" spans="1:11" hidden="1" x14ac:dyDescent="0.3">
      <c r="A296" s="5">
        <v>18791290</v>
      </c>
      <c r="B296" s="6" t="s">
        <v>1385</v>
      </c>
      <c r="C296" s="6" t="s">
        <v>1386</v>
      </c>
      <c r="D296" s="8" t="s">
        <v>63</v>
      </c>
      <c r="E296" s="6" t="s">
        <v>124</v>
      </c>
      <c r="F296" s="6" t="s">
        <v>85</v>
      </c>
      <c r="G296" s="11">
        <v>46134.540972222225</v>
      </c>
      <c r="H296" s="10" t="s">
        <v>1387</v>
      </c>
      <c r="I296" s="6" t="s">
        <v>1388</v>
      </c>
      <c r="J296" s="12">
        <v>46120.389641203707</v>
      </c>
      <c r="K296" s="6" t="e" cm="1">
        <f t="array" ref="K296">LOOKUP(2^15,SEARCH(Tabela2[Palavras-Chave],Boletim[[#This Row],[Objeto]],1),Tabela2[Palavras-Chave])</f>
        <v>#N/A</v>
      </c>
    </row>
    <row r="297" spans="1:11" hidden="1" x14ac:dyDescent="0.3">
      <c r="A297" s="5">
        <v>18802038</v>
      </c>
      <c r="B297" s="6" t="s">
        <v>1389</v>
      </c>
      <c r="C297" s="6" t="s">
        <v>1390</v>
      </c>
      <c r="D297" s="8" t="s">
        <v>63</v>
      </c>
      <c r="E297" s="6" t="s">
        <v>1391</v>
      </c>
      <c r="F297" s="6" t="s">
        <v>85</v>
      </c>
      <c r="G297" s="11">
        <v>46126.333333333336</v>
      </c>
      <c r="H297" s="10" t="s">
        <v>1392</v>
      </c>
      <c r="I297" s="6" t="s">
        <v>1393</v>
      </c>
      <c r="J297" s="12">
        <v>46120.516840277778</v>
      </c>
      <c r="K297" s="6" t="e" cm="1">
        <f t="array" ref="K297">LOOKUP(2^15,SEARCH(Tabela2[Palavras-Chave],Boletim[[#This Row],[Objeto]],1),Tabela2[Palavras-Chave])</f>
        <v>#N/A</v>
      </c>
    </row>
    <row r="298" spans="1:11" hidden="1" x14ac:dyDescent="0.3">
      <c r="A298" s="5">
        <v>18802231</v>
      </c>
      <c r="B298" s="6" t="s">
        <v>74</v>
      </c>
      <c r="C298" s="6" t="s">
        <v>88</v>
      </c>
      <c r="D298" s="8" t="s">
        <v>63</v>
      </c>
      <c r="E298" s="6" t="s">
        <v>1394</v>
      </c>
      <c r="F298" s="6" t="s">
        <v>85</v>
      </c>
      <c r="G298" s="11" t="s">
        <v>56</v>
      </c>
      <c r="H298" s="10" t="s">
        <v>1395</v>
      </c>
      <c r="I298" s="6" t="s">
        <v>1396</v>
      </c>
      <c r="J298" s="12">
        <v>46120.529224537036</v>
      </c>
      <c r="K298" s="6" t="e" cm="1">
        <f t="array" ref="K298">LOOKUP(2^15,SEARCH(Tabela2[Palavras-Chave],Boletim[[#This Row],[Objeto]],1),Tabela2[Palavras-Chave])</f>
        <v>#N/A</v>
      </c>
    </row>
    <row r="299" spans="1:11" hidden="1" x14ac:dyDescent="0.3">
      <c r="A299" s="5">
        <v>18803896</v>
      </c>
      <c r="B299" s="6" t="s">
        <v>1397</v>
      </c>
      <c r="C299" s="6" t="s">
        <v>1398</v>
      </c>
      <c r="D299" s="8" t="s">
        <v>63</v>
      </c>
      <c r="E299" s="6" t="s">
        <v>125</v>
      </c>
      <c r="F299" s="6" t="s">
        <v>85</v>
      </c>
      <c r="G299" s="11" t="s">
        <v>56</v>
      </c>
      <c r="H299" s="10" t="s">
        <v>1399</v>
      </c>
      <c r="I299" s="6" t="s">
        <v>1400</v>
      </c>
      <c r="J299" s="12">
        <v>46120.672731481478</v>
      </c>
      <c r="K299" s="6" t="e" cm="1">
        <f t="array" ref="K299">LOOKUP(2^15,SEARCH(Tabela2[Palavras-Chave],Boletim[[#This Row],[Objeto]],1),Tabela2[Palavras-Chave])</f>
        <v>#N/A</v>
      </c>
    </row>
    <row r="300" spans="1:11" hidden="1" x14ac:dyDescent="0.3">
      <c r="A300" s="5">
        <v>18805212</v>
      </c>
      <c r="B300" s="6" t="s">
        <v>1401</v>
      </c>
      <c r="C300" s="6" t="s">
        <v>1398</v>
      </c>
      <c r="D300" s="8" t="s">
        <v>63</v>
      </c>
      <c r="E300" s="6" t="s">
        <v>1402</v>
      </c>
      <c r="F300" s="6" t="s">
        <v>85</v>
      </c>
      <c r="G300" s="11" t="s">
        <v>56</v>
      </c>
      <c r="H300" s="10" t="s">
        <v>1403</v>
      </c>
      <c r="I300" s="6" t="s">
        <v>1404</v>
      </c>
      <c r="J300" s="12">
        <v>46120.721574074072</v>
      </c>
      <c r="K300" s="6" t="e" cm="1">
        <f t="array" ref="K300">LOOKUP(2^15,SEARCH(Tabela2[Palavras-Chave],Boletim[[#This Row],[Objeto]],1),Tabela2[Palavras-Chave])</f>
        <v>#N/A</v>
      </c>
    </row>
    <row r="301" spans="1:11" hidden="1" x14ac:dyDescent="0.3">
      <c r="A301" s="5">
        <v>18805211</v>
      </c>
      <c r="B301" s="6" t="s">
        <v>357</v>
      </c>
      <c r="C301" s="6" t="s">
        <v>358</v>
      </c>
      <c r="D301" s="8" t="s">
        <v>63</v>
      </c>
      <c r="E301" s="6" t="s">
        <v>1402</v>
      </c>
      <c r="F301" s="6" t="s">
        <v>85</v>
      </c>
      <c r="G301" s="11" t="s">
        <v>56</v>
      </c>
      <c r="H301" s="10" t="s">
        <v>1405</v>
      </c>
      <c r="I301" s="6" t="s">
        <v>1406</v>
      </c>
      <c r="J301" s="12">
        <v>46120.711863425924</v>
      </c>
      <c r="K301" s="6" t="e" cm="1">
        <f t="array" ref="K301">LOOKUP(2^15,SEARCH(Tabela2[Palavras-Chave],Boletim[[#This Row],[Objeto]],1),Tabela2[Palavras-Chave])</f>
        <v>#N/A</v>
      </c>
    </row>
    <row r="302" spans="1:11" hidden="1" x14ac:dyDescent="0.3">
      <c r="A302" s="5">
        <v>18804743</v>
      </c>
      <c r="B302" s="6" t="s">
        <v>1407</v>
      </c>
      <c r="C302" s="6" t="s">
        <v>1408</v>
      </c>
      <c r="D302" s="8" t="s">
        <v>63</v>
      </c>
      <c r="E302" s="6" t="s">
        <v>128</v>
      </c>
      <c r="F302" s="6" t="s">
        <v>85</v>
      </c>
      <c r="G302" s="11">
        <v>46136.375</v>
      </c>
      <c r="H302" s="10" t="s">
        <v>1409</v>
      </c>
      <c r="I302" s="6" t="s">
        <v>1410</v>
      </c>
      <c r="J302" s="12">
        <v>46120.733969907407</v>
      </c>
      <c r="K302" s="6" t="e" cm="1">
        <f t="array" ref="K302">LOOKUP(2^15,SEARCH(Tabela2[Palavras-Chave],Boletim[[#This Row],[Objeto]],1),Tabela2[Palavras-Chave])</f>
        <v>#N/A</v>
      </c>
    </row>
    <row r="303" spans="1:11" hidden="1" x14ac:dyDescent="0.3">
      <c r="A303" s="5">
        <v>18805216</v>
      </c>
      <c r="B303" s="6" t="s">
        <v>1411</v>
      </c>
      <c r="C303" s="6" t="s">
        <v>1412</v>
      </c>
      <c r="D303" s="8" t="s">
        <v>63</v>
      </c>
      <c r="E303" s="6" t="s">
        <v>377</v>
      </c>
      <c r="F303" s="6" t="s">
        <v>85</v>
      </c>
      <c r="G303" s="11" t="s">
        <v>56</v>
      </c>
      <c r="H303" s="10" t="s">
        <v>1413</v>
      </c>
      <c r="I303" s="6" t="s">
        <v>1414</v>
      </c>
      <c r="J303" s="12">
        <v>46120.742303240739</v>
      </c>
      <c r="K303" s="6" t="e" cm="1">
        <f t="array" ref="K303">LOOKUP(2^15,SEARCH(Tabela2[Palavras-Chave],Boletim[[#This Row],[Objeto]],1),Tabela2[Palavras-Chave])</f>
        <v>#N/A</v>
      </c>
    </row>
    <row r="304" spans="1:11" hidden="1" x14ac:dyDescent="0.3">
      <c r="A304" s="5">
        <v>18803472</v>
      </c>
      <c r="B304" s="6" t="s">
        <v>1415</v>
      </c>
      <c r="C304" s="6" t="s">
        <v>1416</v>
      </c>
      <c r="D304" s="8" t="s">
        <v>63</v>
      </c>
      <c r="E304" s="6" t="s">
        <v>121</v>
      </c>
      <c r="F304" s="6" t="s">
        <v>85</v>
      </c>
      <c r="G304" s="11" t="s">
        <v>56</v>
      </c>
      <c r="H304" s="10" t="s">
        <v>1417</v>
      </c>
      <c r="I304" s="6" t="s">
        <v>1418</v>
      </c>
      <c r="J304" s="12">
        <v>46120.75440972222</v>
      </c>
      <c r="K304" s="6" t="e" cm="1">
        <f t="array" ref="K304">LOOKUP(2^15,SEARCH(Tabela2[Palavras-Chave],Boletim[[#This Row],[Objeto]],1),Tabela2[Palavras-Chave])</f>
        <v>#N/A</v>
      </c>
    </row>
    <row r="305" spans="1:11" hidden="1" x14ac:dyDescent="0.3">
      <c r="A305" s="5">
        <v>18798049</v>
      </c>
      <c r="B305" s="6" t="s">
        <v>452</v>
      </c>
      <c r="C305" s="6" t="s">
        <v>101</v>
      </c>
      <c r="D305" s="8" t="s">
        <v>64</v>
      </c>
      <c r="E305" s="6" t="s">
        <v>1419</v>
      </c>
      <c r="F305" s="6" t="s">
        <v>85</v>
      </c>
      <c r="G305" s="11">
        <v>46127.395833333336</v>
      </c>
      <c r="H305" s="10" t="s">
        <v>1420</v>
      </c>
      <c r="I305" s="6" t="s">
        <v>1421</v>
      </c>
      <c r="J305" s="12">
        <v>46120.215474537035</v>
      </c>
      <c r="K305" s="6" t="e" cm="1">
        <f t="array" ref="K305">LOOKUP(2^15,SEARCH(Tabela2[Palavras-Chave],Boletim[[#This Row],[Objeto]],1),Tabela2[Palavras-Chave])</f>
        <v>#N/A</v>
      </c>
    </row>
    <row r="306" spans="1:11" hidden="1" x14ac:dyDescent="0.3">
      <c r="A306" s="5">
        <v>18801441</v>
      </c>
      <c r="B306" s="6" t="s">
        <v>1422</v>
      </c>
      <c r="C306" s="6" t="s">
        <v>1423</v>
      </c>
      <c r="D306" s="8" t="s">
        <v>64</v>
      </c>
      <c r="E306" s="6" t="s">
        <v>106</v>
      </c>
      <c r="F306" s="6" t="s">
        <v>85</v>
      </c>
      <c r="G306" s="11" t="s">
        <v>56</v>
      </c>
      <c r="H306" s="10" t="s">
        <v>1424</v>
      </c>
      <c r="I306" s="6" t="s">
        <v>1425</v>
      </c>
      <c r="J306" s="12">
        <v>46120.457175925927</v>
      </c>
      <c r="K306" s="6" t="e" cm="1">
        <f t="array" ref="K306">LOOKUP(2^15,SEARCH(Tabela2[Palavras-Chave],Boletim[[#This Row],[Objeto]],1),Tabela2[Palavras-Chave])</f>
        <v>#N/A</v>
      </c>
    </row>
    <row r="307" spans="1:11" hidden="1" x14ac:dyDescent="0.3">
      <c r="A307" s="5">
        <v>18801686</v>
      </c>
      <c r="B307" s="6" t="s">
        <v>1426</v>
      </c>
      <c r="C307" s="6" t="s">
        <v>1427</v>
      </c>
      <c r="D307" s="8" t="s">
        <v>64</v>
      </c>
      <c r="E307" s="6" t="s">
        <v>134</v>
      </c>
      <c r="F307" s="6" t="s">
        <v>85</v>
      </c>
      <c r="G307" s="11" t="s">
        <v>56</v>
      </c>
      <c r="H307" s="10" t="s">
        <v>1428</v>
      </c>
      <c r="I307" s="6" t="s">
        <v>1429</v>
      </c>
      <c r="J307" s="12">
        <v>46120.501469907409</v>
      </c>
      <c r="K307" s="6" t="e" cm="1">
        <f t="array" ref="K307">LOOKUP(2^15,SEARCH(Tabela2[Palavras-Chave],Boletim[[#This Row],[Objeto]],1),Tabela2[Palavras-Chave])</f>
        <v>#N/A</v>
      </c>
    </row>
    <row r="308" spans="1:11" hidden="1" x14ac:dyDescent="0.3">
      <c r="A308" s="5">
        <v>18801691</v>
      </c>
      <c r="B308" s="6" t="s">
        <v>327</v>
      </c>
      <c r="C308" s="6" t="s">
        <v>326</v>
      </c>
      <c r="D308" s="8" t="s">
        <v>64</v>
      </c>
      <c r="E308" s="6" t="s">
        <v>165</v>
      </c>
      <c r="F308" s="6" t="s">
        <v>85</v>
      </c>
      <c r="G308" s="11" t="s">
        <v>56</v>
      </c>
      <c r="H308" s="10" t="s">
        <v>1430</v>
      </c>
      <c r="I308" s="6" t="s">
        <v>1431</v>
      </c>
      <c r="J308" s="12">
        <v>46120.52134259259</v>
      </c>
      <c r="K308" s="6" t="e" cm="1">
        <f t="array" ref="K308">LOOKUP(2^15,SEARCH(Tabela2[Palavras-Chave],Boletim[[#This Row],[Objeto]],1),Tabela2[Palavras-Chave])</f>
        <v>#N/A</v>
      </c>
    </row>
    <row r="309" spans="1:11" hidden="1" x14ac:dyDescent="0.3">
      <c r="A309" s="5">
        <v>18801587</v>
      </c>
      <c r="B309" s="6" t="s">
        <v>1432</v>
      </c>
      <c r="C309" s="6" t="s">
        <v>1433</v>
      </c>
      <c r="D309" s="8" t="s">
        <v>64</v>
      </c>
      <c r="E309" s="6" t="s">
        <v>124</v>
      </c>
      <c r="F309" s="6" t="s">
        <v>85</v>
      </c>
      <c r="G309" s="11" t="s">
        <v>56</v>
      </c>
      <c r="H309" s="10" t="s">
        <v>1434</v>
      </c>
      <c r="I309" s="6" t="s">
        <v>1435</v>
      </c>
      <c r="J309" s="12">
        <v>46120.531122685185</v>
      </c>
      <c r="K309" s="6" t="e" cm="1">
        <f t="array" ref="K309">LOOKUP(2^15,SEARCH(Tabela2[Palavras-Chave],Boletim[[#This Row],[Objeto]],1),Tabela2[Palavras-Chave])</f>
        <v>#N/A</v>
      </c>
    </row>
    <row r="310" spans="1:11" hidden="1" x14ac:dyDescent="0.3">
      <c r="A310" s="5">
        <v>18803163</v>
      </c>
      <c r="B310" s="6" t="s">
        <v>1436</v>
      </c>
      <c r="C310" s="6" t="s">
        <v>1437</v>
      </c>
      <c r="D310" s="8" t="s">
        <v>64</v>
      </c>
      <c r="E310" s="6" t="s">
        <v>113</v>
      </c>
      <c r="F310" s="6" t="s">
        <v>85</v>
      </c>
      <c r="G310" s="11" t="s">
        <v>56</v>
      </c>
      <c r="H310" s="10" t="s">
        <v>1438</v>
      </c>
      <c r="I310" s="6" t="s">
        <v>1439</v>
      </c>
      <c r="J310" s="12">
        <v>46120.532187500001</v>
      </c>
      <c r="K310" s="6" t="e" cm="1">
        <f t="array" ref="K310">LOOKUP(2^15,SEARCH(Tabela2[Palavras-Chave],Boletim[[#This Row],[Objeto]],1),Tabela2[Palavras-Chave])</f>
        <v>#N/A</v>
      </c>
    </row>
    <row r="311" spans="1:11" hidden="1" x14ac:dyDescent="0.3">
      <c r="A311" s="5">
        <v>18801215</v>
      </c>
      <c r="B311" s="6" t="s">
        <v>175</v>
      </c>
      <c r="C311" s="6" t="s">
        <v>101</v>
      </c>
      <c r="D311" s="8" t="s">
        <v>64</v>
      </c>
      <c r="E311" s="6" t="s">
        <v>106</v>
      </c>
      <c r="F311" s="6" t="s">
        <v>85</v>
      </c>
      <c r="G311" s="11">
        <v>46134.375</v>
      </c>
      <c r="H311" s="10" t="s">
        <v>1440</v>
      </c>
      <c r="I311" s="6" t="s">
        <v>1441</v>
      </c>
      <c r="J311" s="12">
        <v>46120.540601851855</v>
      </c>
      <c r="K311" s="6" t="e" cm="1">
        <f t="array" ref="K311">LOOKUP(2^15,SEARCH(Tabela2[Palavras-Chave],Boletim[[#This Row],[Objeto]],1),Tabela2[Palavras-Chave])</f>
        <v>#N/A</v>
      </c>
    </row>
    <row r="312" spans="1:11" hidden="1" x14ac:dyDescent="0.3">
      <c r="A312" s="5">
        <v>18802639</v>
      </c>
      <c r="B312" s="6" t="s">
        <v>1442</v>
      </c>
      <c r="C312" s="6" t="s">
        <v>213</v>
      </c>
      <c r="D312" s="8" t="s">
        <v>64</v>
      </c>
      <c r="E312" s="6" t="s">
        <v>184</v>
      </c>
      <c r="F312" s="6" t="s">
        <v>85</v>
      </c>
      <c r="G312" s="11" t="s">
        <v>56</v>
      </c>
      <c r="H312" s="10" t="s">
        <v>1443</v>
      </c>
      <c r="I312" s="6" t="s">
        <v>1444</v>
      </c>
      <c r="J312" s="12">
        <v>46120.60224537037</v>
      </c>
      <c r="K312" s="6" t="e" cm="1">
        <f t="array" ref="K312">LOOKUP(2^15,SEARCH(Tabela2[Palavras-Chave],Boletim[[#This Row],[Objeto]],1),Tabela2[Palavras-Chave])</f>
        <v>#N/A</v>
      </c>
    </row>
    <row r="313" spans="1:11" hidden="1" x14ac:dyDescent="0.3">
      <c r="A313" s="5">
        <v>18804238</v>
      </c>
      <c r="B313" s="6" t="s">
        <v>1445</v>
      </c>
      <c r="C313" s="6" t="s">
        <v>1446</v>
      </c>
      <c r="D313" s="8" t="s">
        <v>64</v>
      </c>
      <c r="E313" s="6" t="s">
        <v>126</v>
      </c>
      <c r="F313" s="6" t="s">
        <v>85</v>
      </c>
      <c r="G313" s="11" t="s">
        <v>56</v>
      </c>
      <c r="H313" s="10" t="s">
        <v>1447</v>
      </c>
      <c r="I313" s="6" t="s">
        <v>1448</v>
      </c>
      <c r="J313" s="12">
        <v>46120.621863425928</v>
      </c>
      <c r="K313" s="6" t="e" cm="1">
        <f t="array" ref="K313">LOOKUP(2^15,SEARCH(Tabela2[Palavras-Chave],Boletim[[#This Row],[Objeto]],1),Tabela2[Palavras-Chave])</f>
        <v>#N/A</v>
      </c>
    </row>
    <row r="314" spans="1:11" hidden="1" x14ac:dyDescent="0.3">
      <c r="A314" s="5">
        <v>18801442</v>
      </c>
      <c r="B314" s="6" t="s">
        <v>1445</v>
      </c>
      <c r="C314" s="6" t="s">
        <v>1446</v>
      </c>
      <c r="D314" s="8" t="s">
        <v>64</v>
      </c>
      <c r="E314" s="6" t="s">
        <v>1449</v>
      </c>
      <c r="F314" s="6" t="s">
        <v>85</v>
      </c>
      <c r="G314" s="11" t="s">
        <v>56</v>
      </c>
      <c r="H314" s="10" t="s">
        <v>1450</v>
      </c>
      <c r="I314" s="6" t="s">
        <v>1451</v>
      </c>
      <c r="J314" s="12">
        <v>46120.664479166669</v>
      </c>
      <c r="K314" s="6" t="e" cm="1">
        <f t="array" ref="K314">LOOKUP(2^15,SEARCH(Tabela2[Palavras-Chave],Boletim[[#This Row],[Objeto]],1),Tabela2[Palavras-Chave])</f>
        <v>#N/A</v>
      </c>
    </row>
    <row r="315" spans="1:11" hidden="1" x14ac:dyDescent="0.3">
      <c r="A315" s="5">
        <v>18803904</v>
      </c>
      <c r="B315" s="6" t="s">
        <v>1452</v>
      </c>
      <c r="C315" s="6" t="s">
        <v>1453</v>
      </c>
      <c r="D315" s="8" t="s">
        <v>64</v>
      </c>
      <c r="E315" s="6" t="s">
        <v>155</v>
      </c>
      <c r="F315" s="6" t="s">
        <v>85</v>
      </c>
      <c r="G315" s="11" t="s">
        <v>56</v>
      </c>
      <c r="H315" s="10" t="s">
        <v>1454</v>
      </c>
      <c r="I315" s="6" t="s">
        <v>1455</v>
      </c>
      <c r="J315" s="12">
        <v>46120.728888888887</v>
      </c>
      <c r="K315" s="6" t="e" cm="1">
        <f t="array" ref="K315">LOOKUP(2^15,SEARCH(Tabela2[Palavras-Chave],Boletim[[#This Row],[Objeto]],1),Tabela2[Palavras-Chave])</f>
        <v>#N/A</v>
      </c>
    </row>
    <row r="316" spans="1:11" hidden="1" x14ac:dyDescent="0.3">
      <c r="A316" s="5">
        <v>18804200</v>
      </c>
      <c r="B316" s="6" t="s">
        <v>1456</v>
      </c>
      <c r="C316" s="6" t="s">
        <v>1457</v>
      </c>
      <c r="D316" s="8" t="s">
        <v>64</v>
      </c>
      <c r="E316" s="6" t="s">
        <v>126</v>
      </c>
      <c r="F316" s="6" t="s">
        <v>85</v>
      </c>
      <c r="G316" s="11" t="s">
        <v>56</v>
      </c>
      <c r="H316" s="10" t="s">
        <v>1458</v>
      </c>
      <c r="I316" s="6" t="s">
        <v>1459</v>
      </c>
      <c r="J316" s="12">
        <v>46120.73474537037</v>
      </c>
      <c r="K316" s="6" t="e" cm="1">
        <f t="array" ref="K316">LOOKUP(2^15,SEARCH(Tabela2[Palavras-Chave],Boletim[[#This Row],[Objeto]],1),Tabela2[Palavras-Chave])</f>
        <v>#N/A</v>
      </c>
    </row>
    <row r="317" spans="1:11" hidden="1" x14ac:dyDescent="0.3">
      <c r="A317" s="5">
        <v>18805194</v>
      </c>
      <c r="B317" s="6" t="s">
        <v>1460</v>
      </c>
      <c r="C317" s="6" t="s">
        <v>1461</v>
      </c>
      <c r="D317" s="8" t="s">
        <v>64</v>
      </c>
      <c r="E317" s="6" t="s">
        <v>453</v>
      </c>
      <c r="F317" s="6" t="s">
        <v>85</v>
      </c>
      <c r="G317" s="11" t="s">
        <v>56</v>
      </c>
      <c r="H317" s="10" t="s">
        <v>1462</v>
      </c>
      <c r="I317" s="6" t="s">
        <v>1463</v>
      </c>
      <c r="J317" s="12">
        <v>46120.755856481483</v>
      </c>
      <c r="K317" s="6" t="e" cm="1">
        <f t="array" ref="K317">LOOKUP(2^15,SEARCH(Tabela2[Palavras-Chave],Boletim[[#This Row],[Objeto]],1),Tabela2[Palavras-Chave])</f>
        <v>#N/A</v>
      </c>
    </row>
    <row r="318" spans="1:11" hidden="1" x14ac:dyDescent="0.3">
      <c r="A318" s="5">
        <v>18798900</v>
      </c>
      <c r="B318" s="6" t="s">
        <v>1464</v>
      </c>
      <c r="C318" s="6" t="s">
        <v>1465</v>
      </c>
      <c r="D318" s="8" t="s">
        <v>64</v>
      </c>
      <c r="E318" s="6" t="s">
        <v>366</v>
      </c>
      <c r="F318" s="6" t="s">
        <v>85</v>
      </c>
      <c r="G318" s="11">
        <v>46129.375</v>
      </c>
      <c r="H318" s="10" t="s">
        <v>1466</v>
      </c>
      <c r="I318" s="6" t="s">
        <v>1467</v>
      </c>
      <c r="J318" s="12">
        <v>46120.871481481481</v>
      </c>
      <c r="K318" s="6" t="e" cm="1">
        <f t="array" ref="K318">LOOKUP(2^15,SEARCH(Tabela2[Palavras-Chave],Boletim[[#This Row],[Objeto]],1),Tabela2[Palavras-Chave])</f>
        <v>#N/A</v>
      </c>
    </row>
    <row r="319" spans="1:11" hidden="1" x14ac:dyDescent="0.3">
      <c r="A319" s="5">
        <v>18802600</v>
      </c>
      <c r="B319" s="6" t="s">
        <v>1468</v>
      </c>
      <c r="C319" s="6" t="s">
        <v>159</v>
      </c>
      <c r="D319" s="8" t="s">
        <v>89</v>
      </c>
      <c r="E319" s="6" t="s">
        <v>230</v>
      </c>
      <c r="F319" s="6" t="s">
        <v>85</v>
      </c>
      <c r="G319" s="11" t="s">
        <v>56</v>
      </c>
      <c r="H319" s="10" t="s">
        <v>1469</v>
      </c>
      <c r="I319" s="6" t="s">
        <v>1470</v>
      </c>
      <c r="J319" s="12">
        <v>46120.587233796294</v>
      </c>
      <c r="K319" s="6" t="e" cm="1">
        <f t="array" ref="K319">LOOKUP(2^15,SEARCH(Tabela2[Palavras-Chave],Boletim[[#This Row],[Objeto]],1),Tabela2[Palavras-Chave])</f>
        <v>#N/A</v>
      </c>
    </row>
    <row r="320" spans="1:11" hidden="1" x14ac:dyDescent="0.3">
      <c r="A320" s="5">
        <v>18802616</v>
      </c>
      <c r="B320" s="6" t="s">
        <v>266</v>
      </c>
      <c r="C320" s="6" t="s">
        <v>159</v>
      </c>
      <c r="D320" s="8" t="s">
        <v>89</v>
      </c>
      <c r="E320" s="6" t="s">
        <v>1471</v>
      </c>
      <c r="F320" s="6" t="s">
        <v>85</v>
      </c>
      <c r="G320" s="11" t="s">
        <v>56</v>
      </c>
      <c r="H320" s="10" t="s">
        <v>1472</v>
      </c>
      <c r="I320" s="6" t="s">
        <v>1473</v>
      </c>
      <c r="J320" s="12">
        <v>46120.726203703707</v>
      </c>
      <c r="K320" s="6" t="e" cm="1">
        <f t="array" ref="K320">LOOKUP(2^15,SEARCH(Tabela2[Palavras-Chave],Boletim[[#This Row],[Objeto]],1),Tabela2[Palavras-Chave])</f>
        <v>#N/A</v>
      </c>
    </row>
    <row r="321" spans="1:11" hidden="1" x14ac:dyDescent="0.3">
      <c r="A321" s="5">
        <v>18806039</v>
      </c>
      <c r="B321" s="6" t="s">
        <v>1474</v>
      </c>
      <c r="C321" s="6" t="s">
        <v>1475</v>
      </c>
      <c r="D321" s="8" t="s">
        <v>89</v>
      </c>
      <c r="E321" s="6" t="s">
        <v>134</v>
      </c>
      <c r="F321" s="6" t="s">
        <v>85</v>
      </c>
      <c r="G321" s="11" t="s">
        <v>56</v>
      </c>
      <c r="H321" s="10" t="s">
        <v>1476</v>
      </c>
      <c r="I321" s="6" t="s">
        <v>1477</v>
      </c>
      <c r="J321" s="12">
        <v>46120.807673611111</v>
      </c>
      <c r="K321" s="6" t="e" cm="1">
        <f t="array" ref="K321">LOOKUP(2^15,SEARCH(Tabela2[Palavras-Chave],Boletim[[#This Row],[Objeto]],1),Tabela2[Palavras-Chave])</f>
        <v>#N/A</v>
      </c>
    </row>
    <row r="322" spans="1:11" hidden="1" x14ac:dyDescent="0.3">
      <c r="A322" s="5">
        <v>18797753</v>
      </c>
      <c r="B322" s="6" t="s">
        <v>1478</v>
      </c>
      <c r="C322" s="6" t="s">
        <v>1479</v>
      </c>
      <c r="D322" s="8" t="s">
        <v>66</v>
      </c>
      <c r="E322" s="6" t="s">
        <v>117</v>
      </c>
      <c r="F322" s="6" t="s">
        <v>85</v>
      </c>
      <c r="G322" s="11">
        <v>46135.583333333336</v>
      </c>
      <c r="H322" s="10" t="s">
        <v>1480</v>
      </c>
      <c r="I322" s="6" t="s">
        <v>1481</v>
      </c>
      <c r="J322" s="12">
        <v>46120.389004629629</v>
      </c>
      <c r="K322" s="6" t="e" cm="1">
        <f t="array" ref="K322">LOOKUP(2^15,SEARCH(Tabela2[Palavras-Chave],Boletim[[#This Row],[Objeto]],1),Tabela2[Palavras-Chave])</f>
        <v>#N/A</v>
      </c>
    </row>
    <row r="323" spans="1:11" hidden="1" x14ac:dyDescent="0.3">
      <c r="A323" s="5">
        <v>18797479</v>
      </c>
      <c r="B323" s="6" t="s">
        <v>1478</v>
      </c>
      <c r="C323" s="6" t="s">
        <v>1479</v>
      </c>
      <c r="D323" s="8" t="s">
        <v>66</v>
      </c>
      <c r="E323" s="6" t="s">
        <v>120</v>
      </c>
      <c r="F323" s="6" t="s">
        <v>85</v>
      </c>
      <c r="G323" s="11">
        <v>46134.541666666664</v>
      </c>
      <c r="H323" s="10" t="s">
        <v>1482</v>
      </c>
      <c r="I323" s="6" t="s">
        <v>1483</v>
      </c>
      <c r="J323" s="12">
        <v>46120.389004629629</v>
      </c>
      <c r="K323" s="6" t="e" cm="1">
        <f t="array" ref="K323">LOOKUP(2^15,SEARCH(Tabela2[Palavras-Chave],Boletim[[#This Row],[Objeto]],1),Tabela2[Palavras-Chave])</f>
        <v>#N/A</v>
      </c>
    </row>
    <row r="324" spans="1:11" hidden="1" x14ac:dyDescent="0.3">
      <c r="A324" s="5">
        <v>18802012</v>
      </c>
      <c r="B324" s="6" t="s">
        <v>1484</v>
      </c>
      <c r="C324" s="6" t="s">
        <v>1485</v>
      </c>
      <c r="D324" s="8" t="s">
        <v>66</v>
      </c>
      <c r="E324" s="6" t="s">
        <v>122</v>
      </c>
      <c r="F324" s="6" t="s">
        <v>85</v>
      </c>
      <c r="G324" s="11">
        <v>46134.374305555553</v>
      </c>
      <c r="H324" s="10" t="s">
        <v>1486</v>
      </c>
      <c r="I324" s="6" t="s">
        <v>1487</v>
      </c>
      <c r="J324" s="12">
        <v>46120.445752314816</v>
      </c>
      <c r="K324" s="6" t="e" cm="1">
        <f t="array" ref="K324">LOOKUP(2^15,SEARCH(Tabela2[Palavras-Chave],Boletim[[#This Row],[Objeto]],1),Tabela2[Palavras-Chave])</f>
        <v>#N/A</v>
      </c>
    </row>
    <row r="325" spans="1:11" hidden="1" x14ac:dyDescent="0.3">
      <c r="A325" s="5">
        <v>18797404</v>
      </c>
      <c r="B325" s="6" t="s">
        <v>1488</v>
      </c>
      <c r="C325" s="6" t="s">
        <v>1489</v>
      </c>
      <c r="D325" s="8" t="s">
        <v>66</v>
      </c>
      <c r="E325" s="6" t="s">
        <v>110</v>
      </c>
      <c r="F325" s="6" t="s">
        <v>85</v>
      </c>
      <c r="G325" s="11">
        <v>46126.334027777775</v>
      </c>
      <c r="H325" s="10" t="s">
        <v>1490</v>
      </c>
      <c r="I325" s="6" t="s">
        <v>1491</v>
      </c>
      <c r="J325" s="12">
        <v>46120.450798611113</v>
      </c>
      <c r="K325" s="6" t="e" cm="1">
        <f t="array" ref="K325">LOOKUP(2^15,SEARCH(Tabela2[Palavras-Chave],Boletim[[#This Row],[Objeto]],1),Tabela2[Palavras-Chave])</f>
        <v>#N/A</v>
      </c>
    </row>
    <row r="326" spans="1:11" hidden="1" x14ac:dyDescent="0.3">
      <c r="A326" s="5">
        <v>18801477</v>
      </c>
      <c r="B326" s="6" t="s">
        <v>1492</v>
      </c>
      <c r="C326" s="6" t="s">
        <v>1493</v>
      </c>
      <c r="D326" s="8" t="s">
        <v>66</v>
      </c>
      <c r="E326" s="6" t="s">
        <v>1494</v>
      </c>
      <c r="F326" s="6" t="s">
        <v>85</v>
      </c>
      <c r="G326" s="11" t="s">
        <v>56</v>
      </c>
      <c r="H326" s="10" t="s">
        <v>1495</v>
      </c>
      <c r="I326" s="6" t="s">
        <v>1496</v>
      </c>
      <c r="J326" s="12">
        <v>46120.475405092591</v>
      </c>
      <c r="K326" s="6" t="e" cm="1">
        <f t="array" ref="K326">LOOKUP(2^15,SEARCH(Tabela2[Palavras-Chave],Boletim[[#This Row],[Objeto]],1),Tabela2[Palavras-Chave])</f>
        <v>#N/A</v>
      </c>
    </row>
    <row r="327" spans="1:11" hidden="1" x14ac:dyDescent="0.3">
      <c r="A327" s="5">
        <v>18801597</v>
      </c>
      <c r="B327" s="6" t="s">
        <v>1497</v>
      </c>
      <c r="C327" s="6" t="s">
        <v>1498</v>
      </c>
      <c r="D327" s="8" t="s">
        <v>66</v>
      </c>
      <c r="E327" s="6" t="s">
        <v>1499</v>
      </c>
      <c r="F327" s="6" t="s">
        <v>85</v>
      </c>
      <c r="G327" s="11" t="s">
        <v>56</v>
      </c>
      <c r="H327" s="10" t="s">
        <v>1500</v>
      </c>
      <c r="I327" s="6" t="s">
        <v>1501</v>
      </c>
      <c r="J327" s="12">
        <v>46120.49181712963</v>
      </c>
      <c r="K327" s="6" t="e" cm="1">
        <f t="array" ref="K327">LOOKUP(2^15,SEARCH(Tabela2[Palavras-Chave],Boletim[[#This Row],[Objeto]],1),Tabela2[Palavras-Chave])</f>
        <v>#N/A</v>
      </c>
    </row>
    <row r="328" spans="1:11" hidden="1" x14ac:dyDescent="0.3">
      <c r="A328" s="5">
        <v>18802805</v>
      </c>
      <c r="B328" s="6" t="s">
        <v>1502</v>
      </c>
      <c r="C328" s="6" t="s">
        <v>65</v>
      </c>
      <c r="D328" s="8" t="s">
        <v>66</v>
      </c>
      <c r="E328" s="6" t="s">
        <v>268</v>
      </c>
      <c r="F328" s="6" t="s">
        <v>85</v>
      </c>
      <c r="G328" s="11" t="s">
        <v>56</v>
      </c>
      <c r="H328" s="10" t="s">
        <v>1503</v>
      </c>
      <c r="I328" s="6" t="s">
        <v>1504</v>
      </c>
      <c r="J328" s="12">
        <v>46120.519675925927</v>
      </c>
      <c r="K328" s="6" t="e" cm="1">
        <f t="array" ref="K328">LOOKUP(2^15,SEARCH(Tabela2[Palavras-Chave],Boletim[[#This Row],[Objeto]],1),Tabela2[Palavras-Chave])</f>
        <v>#N/A</v>
      </c>
    </row>
    <row r="329" spans="1:11" hidden="1" x14ac:dyDescent="0.3">
      <c r="A329" s="5">
        <v>18801459</v>
      </c>
      <c r="B329" s="6" t="s">
        <v>1505</v>
      </c>
      <c r="C329" s="6" t="s">
        <v>1506</v>
      </c>
      <c r="D329" s="8" t="s">
        <v>66</v>
      </c>
      <c r="E329" s="6" t="s">
        <v>121</v>
      </c>
      <c r="F329" s="6" t="s">
        <v>85</v>
      </c>
      <c r="G329" s="11" t="s">
        <v>56</v>
      </c>
      <c r="H329" s="10" t="s">
        <v>1507</v>
      </c>
      <c r="I329" s="6" t="s">
        <v>1508</v>
      </c>
      <c r="J329" s="12">
        <v>46120.526458333334</v>
      </c>
      <c r="K329" s="6" t="e" cm="1">
        <f t="array" ref="K329">LOOKUP(2^15,SEARCH(Tabela2[Palavras-Chave],Boletim[[#This Row],[Objeto]],1),Tabela2[Palavras-Chave])</f>
        <v>#N/A</v>
      </c>
    </row>
    <row r="330" spans="1:11" hidden="1" x14ac:dyDescent="0.3">
      <c r="A330" s="5">
        <v>18802806</v>
      </c>
      <c r="B330" s="6" t="s">
        <v>364</v>
      </c>
      <c r="C330" s="6" t="s">
        <v>365</v>
      </c>
      <c r="D330" s="8" t="s">
        <v>66</v>
      </c>
      <c r="E330" s="6" t="s">
        <v>392</v>
      </c>
      <c r="F330" s="6" t="s">
        <v>85</v>
      </c>
      <c r="G330" s="11" t="s">
        <v>56</v>
      </c>
      <c r="H330" s="10" t="s">
        <v>1509</v>
      </c>
      <c r="I330" s="6" t="s">
        <v>1510</v>
      </c>
      <c r="J330" s="12">
        <v>46120.528136574074</v>
      </c>
      <c r="K330" s="6" t="e" cm="1">
        <f t="array" ref="K330">LOOKUP(2^15,SEARCH(Tabela2[Palavras-Chave],Boletim[[#This Row],[Objeto]],1),Tabela2[Palavras-Chave])</f>
        <v>#N/A</v>
      </c>
    </row>
    <row r="331" spans="1:11" hidden="1" x14ac:dyDescent="0.3">
      <c r="A331" s="13">
        <v>18802229</v>
      </c>
      <c r="B331" s="10" t="s">
        <v>1511</v>
      </c>
      <c r="C331" s="10" t="s">
        <v>1512</v>
      </c>
      <c r="D331" s="15" t="s">
        <v>66</v>
      </c>
      <c r="E331" s="10" t="s">
        <v>166</v>
      </c>
      <c r="F331" s="10" t="s">
        <v>85</v>
      </c>
      <c r="G331" s="16">
        <v>46134.333333333336</v>
      </c>
      <c r="H331" s="10" t="s">
        <v>1513</v>
      </c>
      <c r="I331" s="10" t="s">
        <v>1514</v>
      </c>
      <c r="J331" s="17">
        <v>46120.618159722224</v>
      </c>
      <c r="K331" s="6" t="e" cm="1">
        <f t="array" ref="K331">LOOKUP(2^15,SEARCH(Tabela2[Palavras-Chave],Boletim[[#This Row],[Objeto]],1),Tabela2[Palavras-Chave])</f>
        <v>#N/A</v>
      </c>
    </row>
    <row r="332" spans="1:11" hidden="1" x14ac:dyDescent="0.3">
      <c r="A332" s="5">
        <v>18801998</v>
      </c>
      <c r="B332" s="6" t="s">
        <v>1484</v>
      </c>
      <c r="C332" s="6" t="s">
        <v>1485</v>
      </c>
      <c r="D332" s="8" t="s">
        <v>66</v>
      </c>
      <c r="E332" s="6" t="s">
        <v>117</v>
      </c>
      <c r="F332" s="6" t="s">
        <v>85</v>
      </c>
      <c r="G332" s="11">
        <v>46135.374305555553</v>
      </c>
      <c r="H332" s="10" t="s">
        <v>1515</v>
      </c>
      <c r="I332" s="6" t="s">
        <v>1516</v>
      </c>
      <c r="J332" s="12">
        <v>46120.556759259256</v>
      </c>
      <c r="K332" s="6" t="e" cm="1">
        <f t="array" ref="K332">LOOKUP(2^15,SEARCH(Tabela2[Palavras-Chave],Boletim[[#This Row],[Objeto]],1),Tabela2[Palavras-Chave])</f>
        <v>#N/A</v>
      </c>
    </row>
    <row r="333" spans="1:11" hidden="1" x14ac:dyDescent="0.3">
      <c r="A333" s="5">
        <v>18802471</v>
      </c>
      <c r="B333" s="6" t="s">
        <v>1517</v>
      </c>
      <c r="C333" s="6" t="s">
        <v>1518</v>
      </c>
      <c r="D333" s="8" t="s">
        <v>66</v>
      </c>
      <c r="E333" s="6" t="s">
        <v>108</v>
      </c>
      <c r="F333" s="6" t="s">
        <v>85</v>
      </c>
      <c r="G333" s="11">
        <v>46140.375</v>
      </c>
      <c r="H333" s="10" t="s">
        <v>1519</v>
      </c>
      <c r="I333" s="6" t="s">
        <v>1520</v>
      </c>
      <c r="J333" s="12">
        <v>46120.618148148147</v>
      </c>
      <c r="K333" s="6" t="e" cm="1">
        <f t="array" ref="K333">LOOKUP(2^15,SEARCH(Tabela2[Palavras-Chave],Boletim[[#This Row],[Objeto]],1),Tabela2[Palavras-Chave])</f>
        <v>#N/A</v>
      </c>
    </row>
    <row r="334" spans="1:11" hidden="1" x14ac:dyDescent="0.3">
      <c r="A334" s="5">
        <v>18803486</v>
      </c>
      <c r="B334" s="6" t="s">
        <v>1521</v>
      </c>
      <c r="C334" s="6" t="s">
        <v>1522</v>
      </c>
      <c r="D334" s="8" t="s">
        <v>66</v>
      </c>
      <c r="E334" s="6" t="s">
        <v>1499</v>
      </c>
      <c r="F334" s="6" t="s">
        <v>85</v>
      </c>
      <c r="G334" s="11" t="s">
        <v>56</v>
      </c>
      <c r="H334" s="10" t="s">
        <v>1523</v>
      </c>
      <c r="I334" s="6" t="s">
        <v>1524</v>
      </c>
      <c r="J334" s="12">
        <v>46120.6174537037</v>
      </c>
      <c r="K334" s="6" t="e" cm="1">
        <f t="array" ref="K334">LOOKUP(2^15,SEARCH(Tabela2[Palavras-Chave],Boletim[[#This Row],[Objeto]],1),Tabela2[Palavras-Chave])</f>
        <v>#N/A</v>
      </c>
    </row>
    <row r="335" spans="1:11" hidden="1" x14ac:dyDescent="0.3">
      <c r="A335" s="5">
        <v>18796639</v>
      </c>
      <c r="B335" s="6" t="s">
        <v>1525</v>
      </c>
      <c r="C335" s="6" t="s">
        <v>1526</v>
      </c>
      <c r="D335" s="8" t="s">
        <v>66</v>
      </c>
      <c r="E335" s="6" t="s">
        <v>114</v>
      </c>
      <c r="F335" s="6" t="s">
        <v>85</v>
      </c>
      <c r="G335" s="11">
        <v>46140.374305555553</v>
      </c>
      <c r="H335" s="10" t="s">
        <v>1527</v>
      </c>
      <c r="I335" s="6" t="s">
        <v>1528</v>
      </c>
      <c r="J335" s="12">
        <v>46120.586898148147</v>
      </c>
      <c r="K335" s="6" t="e" cm="1">
        <f t="array" ref="K335">LOOKUP(2^15,SEARCH(Tabela2[Palavras-Chave],Boletim[[#This Row],[Objeto]],1),Tabela2[Palavras-Chave])</f>
        <v>#N/A</v>
      </c>
    </row>
    <row r="336" spans="1:11" hidden="1" x14ac:dyDescent="0.3">
      <c r="A336" s="5">
        <v>18802788</v>
      </c>
      <c r="B336" s="6" t="s">
        <v>1529</v>
      </c>
      <c r="C336" s="6" t="s">
        <v>1530</v>
      </c>
      <c r="D336" s="8" t="s">
        <v>66</v>
      </c>
      <c r="E336" s="6" t="s">
        <v>157</v>
      </c>
      <c r="F336" s="6" t="s">
        <v>85</v>
      </c>
      <c r="G336" s="11" t="s">
        <v>56</v>
      </c>
      <c r="H336" s="10" t="s">
        <v>1531</v>
      </c>
      <c r="I336" s="6" t="s">
        <v>1532</v>
      </c>
      <c r="J336" s="12">
        <v>46120.606932870367</v>
      </c>
      <c r="K336" s="6" t="e" cm="1">
        <f t="array" ref="K336">LOOKUP(2^15,SEARCH(Tabela2[Palavras-Chave],Boletim[[#This Row],[Objeto]],1),Tabela2[Palavras-Chave])</f>
        <v>#N/A</v>
      </c>
    </row>
    <row r="337" spans="1:11" hidden="1" x14ac:dyDescent="0.3">
      <c r="A337" s="5">
        <v>18804014</v>
      </c>
      <c r="B337" s="6" t="s">
        <v>1533</v>
      </c>
      <c r="C337" s="6" t="s">
        <v>1534</v>
      </c>
      <c r="D337" s="8" t="s">
        <v>66</v>
      </c>
      <c r="E337" s="6" t="s">
        <v>127</v>
      </c>
      <c r="F337" s="6" t="s">
        <v>85</v>
      </c>
      <c r="G337" s="11">
        <v>46139.333333333336</v>
      </c>
      <c r="H337" s="10" t="s">
        <v>1535</v>
      </c>
      <c r="I337" s="6" t="s">
        <v>1536</v>
      </c>
      <c r="J337" s="12">
        <v>46120.611793981479</v>
      </c>
      <c r="K337" s="6" t="e" cm="1">
        <f t="array" ref="K337">LOOKUP(2^15,SEARCH(Tabela2[Palavras-Chave],Boletim[[#This Row],[Objeto]],1),Tabela2[Palavras-Chave])</f>
        <v>#N/A</v>
      </c>
    </row>
    <row r="338" spans="1:11" hidden="1" x14ac:dyDescent="0.3">
      <c r="A338" s="5">
        <v>18804172</v>
      </c>
      <c r="B338" s="6" t="s">
        <v>1537</v>
      </c>
      <c r="C338" s="6" t="s">
        <v>1538</v>
      </c>
      <c r="D338" s="8" t="s">
        <v>66</v>
      </c>
      <c r="E338" s="6" t="s">
        <v>1499</v>
      </c>
      <c r="F338" s="6" t="s">
        <v>85</v>
      </c>
      <c r="G338" s="11">
        <v>46134.334027777775</v>
      </c>
      <c r="H338" s="10" t="s">
        <v>1539</v>
      </c>
      <c r="I338" s="6" t="s">
        <v>1540</v>
      </c>
      <c r="J338" s="12">
        <v>46120.624768518515</v>
      </c>
      <c r="K338" s="6" t="e" cm="1">
        <f t="array" ref="K338">LOOKUP(2^15,SEARCH(Tabela2[Palavras-Chave],Boletim[[#This Row],[Objeto]],1),Tabela2[Palavras-Chave])</f>
        <v>#N/A</v>
      </c>
    </row>
    <row r="339" spans="1:11" hidden="1" x14ac:dyDescent="0.3">
      <c r="A339" s="5">
        <v>18804074</v>
      </c>
      <c r="B339" s="6" t="s">
        <v>1541</v>
      </c>
      <c r="C339" s="6" t="s">
        <v>1542</v>
      </c>
      <c r="D339" s="8" t="s">
        <v>66</v>
      </c>
      <c r="E339" s="6" t="s">
        <v>165</v>
      </c>
      <c r="F339" s="6" t="s">
        <v>85</v>
      </c>
      <c r="G339" s="11">
        <v>46134.415972222225</v>
      </c>
      <c r="H339" s="10" t="s">
        <v>1543</v>
      </c>
      <c r="I339" s="6" t="s">
        <v>1544</v>
      </c>
      <c r="J339" s="12">
        <v>46120.62736111111</v>
      </c>
      <c r="K339" s="6" t="e" cm="1">
        <f t="array" ref="K339">LOOKUP(2^15,SEARCH(Tabela2[Palavras-Chave],Boletim[[#This Row],[Objeto]],1),Tabela2[Palavras-Chave])</f>
        <v>#N/A</v>
      </c>
    </row>
    <row r="340" spans="1:11" hidden="1" x14ac:dyDescent="0.3">
      <c r="A340" s="5">
        <v>18804039</v>
      </c>
      <c r="B340" s="6" t="s">
        <v>1545</v>
      </c>
      <c r="C340" s="6" t="s">
        <v>1546</v>
      </c>
      <c r="D340" s="8" t="s">
        <v>66</v>
      </c>
      <c r="E340" s="6" t="s">
        <v>155</v>
      </c>
      <c r="F340" s="6" t="s">
        <v>85</v>
      </c>
      <c r="G340" s="11">
        <v>46134.333333333336</v>
      </c>
      <c r="H340" s="10" t="s">
        <v>1547</v>
      </c>
      <c r="I340" s="6" t="s">
        <v>1548</v>
      </c>
      <c r="J340" s="12">
        <v>46120.634189814817</v>
      </c>
      <c r="K340" s="6" t="e" cm="1">
        <f t="array" ref="K340">LOOKUP(2^15,SEARCH(Tabela2[Palavras-Chave],Boletim[[#This Row],[Objeto]],1),Tabela2[Palavras-Chave])</f>
        <v>#N/A</v>
      </c>
    </row>
    <row r="341" spans="1:11" hidden="1" x14ac:dyDescent="0.3">
      <c r="A341" s="5">
        <v>18803865</v>
      </c>
      <c r="B341" s="6" t="s">
        <v>1484</v>
      </c>
      <c r="C341" s="6" t="s">
        <v>1485</v>
      </c>
      <c r="D341" s="8" t="s">
        <v>66</v>
      </c>
      <c r="E341" s="6" t="s">
        <v>115</v>
      </c>
      <c r="F341" s="6" t="s">
        <v>85</v>
      </c>
      <c r="G341" s="11">
        <v>46132.374305555553</v>
      </c>
      <c r="H341" s="10" t="s">
        <v>1549</v>
      </c>
      <c r="I341" s="6" t="s">
        <v>1550</v>
      </c>
      <c r="J341" s="12">
        <v>46120.64025462963</v>
      </c>
      <c r="K341" s="6" t="e" cm="1">
        <f t="array" ref="K341">LOOKUP(2^15,SEARCH(Tabela2[Palavras-Chave],Boletim[[#This Row],[Objeto]],1),Tabela2[Palavras-Chave])</f>
        <v>#N/A</v>
      </c>
    </row>
    <row r="342" spans="1:11" hidden="1" x14ac:dyDescent="0.3">
      <c r="A342" s="5">
        <v>18802348</v>
      </c>
      <c r="B342" s="6" t="s">
        <v>1551</v>
      </c>
      <c r="C342" s="6" t="s">
        <v>65</v>
      </c>
      <c r="D342" s="8" t="s">
        <v>66</v>
      </c>
      <c r="E342" s="6" t="s">
        <v>1552</v>
      </c>
      <c r="F342" s="6" t="s">
        <v>85</v>
      </c>
      <c r="G342" s="11" t="s">
        <v>56</v>
      </c>
      <c r="H342" s="10" t="s">
        <v>1553</v>
      </c>
      <c r="I342" s="6" t="s">
        <v>1554</v>
      </c>
      <c r="J342" s="12">
        <v>46120.64298611111</v>
      </c>
      <c r="K342" s="6" t="e" cm="1">
        <f t="array" ref="K342">LOOKUP(2^15,SEARCH(Tabela2[Palavras-Chave],Boletim[[#This Row],[Objeto]],1),Tabela2[Palavras-Chave])</f>
        <v>#N/A</v>
      </c>
    </row>
    <row r="343" spans="1:11" hidden="1" x14ac:dyDescent="0.3">
      <c r="A343" s="5">
        <v>18802786</v>
      </c>
      <c r="B343" s="6" t="s">
        <v>1555</v>
      </c>
      <c r="C343" s="6" t="s">
        <v>65</v>
      </c>
      <c r="D343" s="8" t="s">
        <v>66</v>
      </c>
      <c r="E343" s="6" t="s">
        <v>157</v>
      </c>
      <c r="F343" s="6" t="s">
        <v>85</v>
      </c>
      <c r="G343" s="11" t="s">
        <v>56</v>
      </c>
      <c r="H343" s="10" t="s">
        <v>1556</v>
      </c>
      <c r="I343" s="6" t="s">
        <v>1557</v>
      </c>
      <c r="J343" s="12">
        <v>46120.656851851854</v>
      </c>
      <c r="K343" s="6" t="e" cm="1">
        <f t="array" ref="K343">LOOKUP(2^15,SEARCH(Tabela2[Palavras-Chave],Boletim[[#This Row],[Objeto]],1),Tabela2[Palavras-Chave])</f>
        <v>#N/A</v>
      </c>
    </row>
    <row r="344" spans="1:11" hidden="1" x14ac:dyDescent="0.3">
      <c r="A344" s="5">
        <v>18802807</v>
      </c>
      <c r="B344" s="6" t="s">
        <v>1558</v>
      </c>
      <c r="C344" s="6" t="s">
        <v>1559</v>
      </c>
      <c r="D344" s="8" t="s">
        <v>66</v>
      </c>
      <c r="E344" s="6" t="s">
        <v>284</v>
      </c>
      <c r="F344" s="6" t="s">
        <v>85</v>
      </c>
      <c r="G344" s="11" t="s">
        <v>56</v>
      </c>
      <c r="H344" s="10" t="s">
        <v>1560</v>
      </c>
      <c r="I344" s="6" t="s">
        <v>1561</v>
      </c>
      <c r="J344" s="12">
        <v>46120.661041666666</v>
      </c>
      <c r="K344" s="6" t="e" cm="1">
        <f t="array" ref="K344">LOOKUP(2^15,SEARCH(Tabela2[Palavras-Chave],Boletim[[#This Row],[Objeto]],1),Tabela2[Palavras-Chave])</f>
        <v>#N/A</v>
      </c>
    </row>
    <row r="345" spans="1:11" hidden="1" x14ac:dyDescent="0.3">
      <c r="A345" s="5">
        <v>18802768</v>
      </c>
      <c r="B345" s="6" t="s">
        <v>1562</v>
      </c>
      <c r="C345" s="6" t="s">
        <v>233</v>
      </c>
      <c r="D345" s="8" t="s">
        <v>66</v>
      </c>
      <c r="E345" s="6" t="s">
        <v>140</v>
      </c>
      <c r="F345" s="6" t="s">
        <v>85</v>
      </c>
      <c r="G345" s="11" t="s">
        <v>56</v>
      </c>
      <c r="H345" s="10" t="s">
        <v>1563</v>
      </c>
      <c r="I345" s="6" t="s">
        <v>1564</v>
      </c>
      <c r="J345" s="12">
        <v>46120.66265046296</v>
      </c>
      <c r="K345" s="6" t="e" cm="1">
        <f t="array" ref="K345">LOOKUP(2^15,SEARCH(Tabela2[Palavras-Chave],Boletim[[#This Row],[Objeto]],1),Tabela2[Palavras-Chave])</f>
        <v>#N/A</v>
      </c>
    </row>
    <row r="346" spans="1:11" ht="86.4" x14ac:dyDescent="0.3">
      <c r="A346" s="5">
        <v>18803693</v>
      </c>
      <c r="B346" s="6" t="s">
        <v>1565</v>
      </c>
      <c r="C346" s="6" t="s">
        <v>1566</v>
      </c>
      <c r="D346" s="8" t="s">
        <v>66</v>
      </c>
      <c r="E346" s="6" t="s">
        <v>1567</v>
      </c>
      <c r="F346" s="6" t="s">
        <v>85</v>
      </c>
      <c r="G346" s="11" t="s">
        <v>56</v>
      </c>
      <c r="H346" s="21" t="s">
        <v>1568</v>
      </c>
      <c r="I346" s="6" t="s">
        <v>1569</v>
      </c>
      <c r="J346" s="12">
        <v>46120.662870370368</v>
      </c>
      <c r="K346" s="6" t="str" cm="1">
        <f t="array" ref="K346">LOOKUP(2^15,SEARCH(Tabela2[Palavras-Chave],Boletim[[#This Row],[Objeto]],1),Tabela2[Palavras-Chave])</f>
        <v>JUNTA</v>
      </c>
    </row>
    <row r="347" spans="1:11" hidden="1" x14ac:dyDescent="0.3">
      <c r="A347" s="5">
        <v>18804736</v>
      </c>
      <c r="B347" s="6" t="s">
        <v>866</v>
      </c>
      <c r="C347" s="6" t="s">
        <v>299</v>
      </c>
      <c r="D347" s="8" t="s">
        <v>66</v>
      </c>
      <c r="E347" s="6" t="s">
        <v>402</v>
      </c>
      <c r="F347" s="6" t="s">
        <v>85</v>
      </c>
      <c r="G347" s="11">
        <v>46140.552083333336</v>
      </c>
      <c r="H347" s="10" t="s">
        <v>1570</v>
      </c>
      <c r="I347" s="6" t="s">
        <v>1571</v>
      </c>
      <c r="J347" s="12">
        <v>46120.695949074077</v>
      </c>
      <c r="K347" s="6" t="e" cm="1">
        <f t="array" ref="K347">LOOKUP(2^15,SEARCH(Tabela2[Palavras-Chave],Boletim[[#This Row],[Objeto]],1),Tabela2[Palavras-Chave])</f>
        <v>#N/A</v>
      </c>
    </row>
    <row r="348" spans="1:11" hidden="1" x14ac:dyDescent="0.3">
      <c r="A348" s="5">
        <v>18804298</v>
      </c>
      <c r="B348" s="6" t="s">
        <v>367</v>
      </c>
      <c r="C348" s="6" t="s">
        <v>368</v>
      </c>
      <c r="D348" s="8" t="s">
        <v>66</v>
      </c>
      <c r="E348" s="6" t="s">
        <v>148</v>
      </c>
      <c r="F348" s="6" t="s">
        <v>85</v>
      </c>
      <c r="G348" s="11">
        <v>46136.354166666664</v>
      </c>
      <c r="H348" s="10" t="s">
        <v>1572</v>
      </c>
      <c r="I348" s="6" t="s">
        <v>1573</v>
      </c>
      <c r="J348" s="12">
        <v>46120.722268518519</v>
      </c>
      <c r="K348" s="6" t="e" cm="1">
        <f t="array" ref="K348">LOOKUP(2^15,SEARCH(Tabela2[Palavras-Chave],Boletim[[#This Row],[Objeto]],1),Tabela2[Palavras-Chave])</f>
        <v>#N/A</v>
      </c>
    </row>
    <row r="349" spans="1:11" hidden="1" x14ac:dyDescent="0.3">
      <c r="A349" s="5">
        <v>18802796</v>
      </c>
      <c r="B349" s="6" t="s">
        <v>1555</v>
      </c>
      <c r="C349" s="6" t="s">
        <v>65</v>
      </c>
      <c r="D349" s="8" t="s">
        <v>66</v>
      </c>
      <c r="E349" s="6" t="s">
        <v>112</v>
      </c>
      <c r="F349" s="6" t="s">
        <v>85</v>
      </c>
      <c r="G349" s="11" t="s">
        <v>56</v>
      </c>
      <c r="H349" s="10" t="s">
        <v>1574</v>
      </c>
      <c r="I349" s="6" t="s">
        <v>1575</v>
      </c>
      <c r="J349" s="12">
        <v>46120.733981481484</v>
      </c>
      <c r="K349" s="6" t="e" cm="1">
        <f t="array" ref="K349">LOOKUP(2^15,SEARCH(Tabela2[Palavras-Chave],Boletim[[#This Row],[Objeto]],1),Tabela2[Palavras-Chave])</f>
        <v>#N/A</v>
      </c>
    </row>
    <row r="350" spans="1:11" hidden="1" x14ac:dyDescent="0.3">
      <c r="A350" s="5">
        <v>18802730</v>
      </c>
      <c r="B350" s="6" t="s">
        <v>1576</v>
      </c>
      <c r="C350" s="6" t="s">
        <v>233</v>
      </c>
      <c r="D350" s="8" t="s">
        <v>66</v>
      </c>
      <c r="E350" s="6" t="s">
        <v>157</v>
      </c>
      <c r="F350" s="6" t="s">
        <v>85</v>
      </c>
      <c r="G350" s="11" t="s">
        <v>56</v>
      </c>
      <c r="H350" s="10" t="s">
        <v>1577</v>
      </c>
      <c r="I350" s="6" t="s">
        <v>1578</v>
      </c>
      <c r="J350" s="12">
        <v>46120.734756944446</v>
      </c>
      <c r="K350" s="6" t="e" cm="1">
        <f t="array" ref="K350">LOOKUP(2^15,SEARCH(Tabela2[Palavras-Chave],Boletim[[#This Row],[Objeto]],1),Tabela2[Palavras-Chave])</f>
        <v>#N/A</v>
      </c>
    </row>
    <row r="351" spans="1:11" hidden="1" x14ac:dyDescent="0.3">
      <c r="A351" s="5">
        <v>18802785</v>
      </c>
      <c r="B351" s="6" t="s">
        <v>363</v>
      </c>
      <c r="C351" s="6" t="s">
        <v>328</v>
      </c>
      <c r="D351" s="8" t="s">
        <v>66</v>
      </c>
      <c r="E351" s="6" t="s">
        <v>152</v>
      </c>
      <c r="F351" s="6" t="s">
        <v>85</v>
      </c>
      <c r="G351" s="11" t="s">
        <v>56</v>
      </c>
      <c r="H351" s="10" t="s">
        <v>1579</v>
      </c>
      <c r="I351" s="6" t="s">
        <v>1580</v>
      </c>
      <c r="J351" s="12">
        <v>46120.735925925925</v>
      </c>
      <c r="K351" s="6" t="e" cm="1">
        <f t="array" ref="K351">LOOKUP(2^15,SEARCH(Tabela2[Palavras-Chave],Boletim[[#This Row],[Objeto]],1),Tabela2[Palavras-Chave])</f>
        <v>#N/A</v>
      </c>
    </row>
    <row r="352" spans="1:11" hidden="1" x14ac:dyDescent="0.3">
      <c r="A352" s="5">
        <v>18802770</v>
      </c>
      <c r="B352" s="6" t="s">
        <v>1581</v>
      </c>
      <c r="C352" s="6" t="s">
        <v>1566</v>
      </c>
      <c r="D352" s="8" t="s">
        <v>66</v>
      </c>
      <c r="E352" s="6" t="s">
        <v>238</v>
      </c>
      <c r="F352" s="6" t="s">
        <v>85</v>
      </c>
      <c r="G352" s="11" t="s">
        <v>56</v>
      </c>
      <c r="H352" s="10" t="s">
        <v>1582</v>
      </c>
      <c r="I352" s="6" t="s">
        <v>1583</v>
      </c>
      <c r="J352" s="12">
        <v>46120.736087962963</v>
      </c>
      <c r="K352" s="6" t="e" cm="1">
        <f t="array" ref="K352">LOOKUP(2^15,SEARCH(Tabela2[Palavras-Chave],Boletim[[#This Row],[Objeto]],1),Tabela2[Palavras-Chave])</f>
        <v>#N/A</v>
      </c>
    </row>
    <row r="353" spans="1:11" hidden="1" x14ac:dyDescent="0.3">
      <c r="A353" s="5">
        <v>18805514</v>
      </c>
      <c r="B353" s="6" t="s">
        <v>361</v>
      </c>
      <c r="C353" s="6" t="s">
        <v>362</v>
      </c>
      <c r="D353" s="8" t="s">
        <v>66</v>
      </c>
      <c r="E353" s="6" t="s">
        <v>128</v>
      </c>
      <c r="F353" s="6" t="s">
        <v>85</v>
      </c>
      <c r="G353" s="11">
        <v>46135.333333333336</v>
      </c>
      <c r="H353" s="10" t="s">
        <v>1584</v>
      </c>
      <c r="I353" s="6" t="s">
        <v>1585</v>
      </c>
      <c r="J353" s="12">
        <v>46120.82571759259</v>
      </c>
      <c r="K353" s="6" t="e" cm="1">
        <f t="array" ref="K353">LOOKUP(2^15,SEARCH(Tabela2[Palavras-Chave],Boletim[[#This Row],[Objeto]],1),Tabela2[Palavras-Chave])</f>
        <v>#N/A</v>
      </c>
    </row>
    <row r="354" spans="1:11" hidden="1" x14ac:dyDescent="0.3">
      <c r="A354" s="5">
        <v>18804225</v>
      </c>
      <c r="B354" s="6" t="s">
        <v>1586</v>
      </c>
      <c r="C354" s="6" t="s">
        <v>1587</v>
      </c>
      <c r="D354" s="8" t="s">
        <v>66</v>
      </c>
      <c r="E354" s="6" t="s">
        <v>223</v>
      </c>
      <c r="F354" s="6" t="s">
        <v>85</v>
      </c>
      <c r="G354" s="11">
        <v>46132.395833333336</v>
      </c>
      <c r="H354" s="10" t="s">
        <v>1588</v>
      </c>
      <c r="I354" s="6" t="s">
        <v>1589</v>
      </c>
      <c r="J354" s="12">
        <v>46120.738252314812</v>
      </c>
      <c r="K354" s="6" t="e" cm="1">
        <f t="array" ref="K354">LOOKUP(2^15,SEARCH(Tabela2[Palavras-Chave],Boletim[[#This Row],[Objeto]],1),Tabela2[Palavras-Chave])</f>
        <v>#N/A</v>
      </c>
    </row>
    <row r="355" spans="1:11" hidden="1" x14ac:dyDescent="0.3">
      <c r="A355" s="5">
        <v>18804667</v>
      </c>
      <c r="B355" s="6" t="s">
        <v>1590</v>
      </c>
      <c r="C355" s="6" t="s">
        <v>1591</v>
      </c>
      <c r="D355" s="8" t="s">
        <v>66</v>
      </c>
      <c r="E355" s="6" t="s">
        <v>1499</v>
      </c>
      <c r="F355" s="6" t="s">
        <v>85</v>
      </c>
      <c r="G355" s="11">
        <v>46134.375</v>
      </c>
      <c r="H355" s="10" t="s">
        <v>1592</v>
      </c>
      <c r="I355" s="6" t="s">
        <v>1593</v>
      </c>
      <c r="J355" s="12">
        <v>46120.753495370373</v>
      </c>
      <c r="K355" s="6" t="e" cm="1">
        <f t="array" ref="K355">LOOKUP(2^15,SEARCH(Tabela2[Palavras-Chave],Boletim[[#This Row],[Objeto]],1),Tabela2[Palavras-Chave])</f>
        <v>#N/A</v>
      </c>
    </row>
    <row r="356" spans="1:11" hidden="1" x14ac:dyDescent="0.3">
      <c r="A356" s="5">
        <v>18805640</v>
      </c>
      <c r="B356" s="6" t="s">
        <v>1594</v>
      </c>
      <c r="C356" s="6" t="s">
        <v>1595</v>
      </c>
      <c r="D356" s="8" t="s">
        <v>66</v>
      </c>
      <c r="E356" s="6" t="s">
        <v>435</v>
      </c>
      <c r="F356" s="6" t="s">
        <v>85</v>
      </c>
      <c r="G356" s="11">
        <v>46129.333333333336</v>
      </c>
      <c r="H356" s="10" t="s">
        <v>1596</v>
      </c>
      <c r="I356" s="6" t="s">
        <v>1597</v>
      </c>
      <c r="J356" s="12">
        <v>46120.758958333332</v>
      </c>
      <c r="K356" s="6" t="e" cm="1">
        <f t="array" ref="K356">LOOKUP(2^15,SEARCH(Tabela2[Palavras-Chave],Boletim[[#This Row],[Objeto]],1),Tabela2[Palavras-Chave])</f>
        <v>#N/A</v>
      </c>
    </row>
    <row r="357" spans="1:11" hidden="1" x14ac:dyDescent="0.3">
      <c r="A357" s="5">
        <v>18804651</v>
      </c>
      <c r="B357" s="6" t="s">
        <v>1598</v>
      </c>
      <c r="C357" s="6" t="s">
        <v>1599</v>
      </c>
      <c r="D357" s="8" t="s">
        <v>66</v>
      </c>
      <c r="E357" s="6" t="s">
        <v>120</v>
      </c>
      <c r="F357" s="6" t="s">
        <v>85</v>
      </c>
      <c r="G357" s="11">
        <v>46135.375</v>
      </c>
      <c r="H357" s="10" t="s">
        <v>1600</v>
      </c>
      <c r="I357" s="6" t="s">
        <v>1601</v>
      </c>
      <c r="J357" s="12">
        <v>46120.759780092594</v>
      </c>
      <c r="K357" s="6" t="e" cm="1">
        <f t="array" ref="K357">LOOKUP(2^15,SEARCH(Tabela2[Palavras-Chave],Boletim[[#This Row],[Objeto]],1),Tabela2[Palavras-Chave])</f>
        <v>#N/A</v>
      </c>
    </row>
    <row r="358" spans="1:11" hidden="1" x14ac:dyDescent="0.3">
      <c r="A358" s="5">
        <v>18805656</v>
      </c>
      <c r="B358" s="6" t="s">
        <v>1602</v>
      </c>
      <c r="C358" s="6" t="s">
        <v>1603</v>
      </c>
      <c r="D358" s="8" t="s">
        <v>66</v>
      </c>
      <c r="E358" s="6" t="s">
        <v>134</v>
      </c>
      <c r="F358" s="6" t="s">
        <v>85</v>
      </c>
      <c r="G358" s="11" t="s">
        <v>56</v>
      </c>
      <c r="H358" s="10" t="s">
        <v>1604</v>
      </c>
      <c r="I358" s="6" t="s">
        <v>1605</v>
      </c>
      <c r="J358" s="12">
        <v>46120.762048611112</v>
      </c>
      <c r="K358" s="6" t="e" cm="1">
        <f t="array" ref="K358">LOOKUP(2^15,SEARCH(Tabela2[Palavras-Chave],Boletim[[#This Row],[Objeto]],1),Tabela2[Palavras-Chave])</f>
        <v>#N/A</v>
      </c>
    </row>
    <row r="359" spans="1:11" ht="43.2" x14ac:dyDescent="0.3">
      <c r="A359" s="13">
        <v>18805757</v>
      </c>
      <c r="B359" s="10" t="s">
        <v>1606</v>
      </c>
      <c r="C359" s="10" t="s">
        <v>1607</v>
      </c>
      <c r="D359" s="15" t="s">
        <v>66</v>
      </c>
      <c r="E359" s="10" t="s">
        <v>143</v>
      </c>
      <c r="F359" s="10" t="s">
        <v>85</v>
      </c>
      <c r="G359" s="16">
        <v>46146.354166666664</v>
      </c>
      <c r="H359" s="21" t="s">
        <v>1608</v>
      </c>
      <c r="I359" s="10" t="s">
        <v>1609</v>
      </c>
      <c r="J359" s="17">
        <v>46120.80976851852</v>
      </c>
      <c r="K359" s="6" t="str" cm="1">
        <f t="array" ref="K359">LOOKUP(2^15,SEARCH(Tabela2[Palavras-Chave],Boletim[[#This Row],[Objeto]],1),Tabela2[Palavras-Chave])</f>
        <v>BOMBEAMENTO</v>
      </c>
    </row>
    <row r="360" spans="1:11" hidden="1" x14ac:dyDescent="0.3">
      <c r="A360" s="5">
        <v>18805756</v>
      </c>
      <c r="B360" s="6" t="s">
        <v>373</v>
      </c>
      <c r="C360" s="6" t="s">
        <v>233</v>
      </c>
      <c r="D360" s="8" t="s">
        <v>66</v>
      </c>
      <c r="E360" s="6" t="s">
        <v>265</v>
      </c>
      <c r="F360" s="6" t="s">
        <v>85</v>
      </c>
      <c r="G360" s="11">
        <v>46139.354166666664</v>
      </c>
      <c r="H360" s="10" t="s">
        <v>1610</v>
      </c>
      <c r="I360" s="6" t="s">
        <v>1611</v>
      </c>
      <c r="J360" s="12">
        <v>46120.829039351855</v>
      </c>
      <c r="K360" s="6" t="e" cm="1">
        <f t="array" ref="K360">LOOKUP(2^15,SEARCH(Tabela2[Palavras-Chave],Boletim[[#This Row],[Objeto]],1),Tabela2[Palavras-Chave])</f>
        <v>#N/A</v>
      </c>
    </row>
    <row r="361" spans="1:11" hidden="1" x14ac:dyDescent="0.3">
      <c r="A361" s="5">
        <v>18803928</v>
      </c>
      <c r="B361" s="6" t="s">
        <v>1612</v>
      </c>
      <c r="C361" s="6" t="s">
        <v>1613</v>
      </c>
      <c r="D361" s="8" t="s">
        <v>66</v>
      </c>
      <c r="E361" s="6" t="s">
        <v>142</v>
      </c>
      <c r="F361" s="6" t="s">
        <v>85</v>
      </c>
      <c r="G361" s="11">
        <v>46136.332638888889</v>
      </c>
      <c r="H361" s="10" t="s">
        <v>1614</v>
      </c>
      <c r="I361" s="6" t="s">
        <v>1615</v>
      </c>
      <c r="J361" s="12">
        <v>46120.777592592596</v>
      </c>
      <c r="K361" s="6" t="e" cm="1">
        <f t="array" ref="K361">LOOKUP(2^15,SEARCH(Tabela2[Palavras-Chave],Boletim[[#This Row],[Objeto]],1),Tabela2[Palavras-Chave])</f>
        <v>#N/A</v>
      </c>
    </row>
    <row r="362" spans="1:11" hidden="1" x14ac:dyDescent="0.3">
      <c r="A362" s="5">
        <v>18806068</v>
      </c>
      <c r="B362" s="6" t="s">
        <v>1616</v>
      </c>
      <c r="C362" s="6" t="s">
        <v>1617</v>
      </c>
      <c r="D362" s="8" t="s">
        <v>66</v>
      </c>
      <c r="E362" s="6" t="s">
        <v>374</v>
      </c>
      <c r="F362" s="6" t="s">
        <v>85</v>
      </c>
      <c r="G362" s="11" t="s">
        <v>56</v>
      </c>
      <c r="H362" s="10" t="s">
        <v>1618</v>
      </c>
      <c r="I362" s="6" t="s">
        <v>1619</v>
      </c>
      <c r="J362" s="12">
        <v>46120.813935185186</v>
      </c>
      <c r="K362" s="6" t="e" cm="1">
        <f t="array" ref="K362">LOOKUP(2^15,SEARCH(Tabela2[Palavras-Chave],Boletim[[#This Row],[Objeto]],1),Tabela2[Palavras-Chave])</f>
        <v>#N/A</v>
      </c>
    </row>
    <row r="363" spans="1:11" hidden="1" x14ac:dyDescent="0.3">
      <c r="A363" s="5">
        <v>18798064</v>
      </c>
      <c r="B363" s="6" t="s">
        <v>1620</v>
      </c>
      <c r="C363" s="6" t="s">
        <v>1542</v>
      </c>
      <c r="D363" s="8" t="s">
        <v>66</v>
      </c>
      <c r="E363" s="6" t="s">
        <v>114</v>
      </c>
      <c r="F363" s="6" t="s">
        <v>85</v>
      </c>
      <c r="G363" s="11">
        <v>46162.395833333336</v>
      </c>
      <c r="H363" s="10" t="s">
        <v>1621</v>
      </c>
      <c r="I363" s="6" t="s">
        <v>1622</v>
      </c>
      <c r="J363" s="12">
        <v>46120.816724537035</v>
      </c>
      <c r="K363" s="6" t="e" cm="1">
        <f t="array" ref="K363">LOOKUP(2^15,SEARCH(Tabela2[Palavras-Chave],Boletim[[#This Row],[Objeto]],1),Tabela2[Palavras-Chave])</f>
        <v>#N/A</v>
      </c>
    </row>
    <row r="364" spans="1:11" hidden="1" x14ac:dyDescent="0.3">
      <c r="A364" s="5">
        <v>18806178</v>
      </c>
      <c r="B364" s="6" t="s">
        <v>1623</v>
      </c>
      <c r="C364" s="6" t="s">
        <v>1624</v>
      </c>
      <c r="D364" s="8" t="s">
        <v>66</v>
      </c>
      <c r="E364" s="6" t="s">
        <v>1625</v>
      </c>
      <c r="F364" s="6" t="s">
        <v>85</v>
      </c>
      <c r="G364" s="11" t="s">
        <v>56</v>
      </c>
      <c r="H364" s="10" t="s">
        <v>1626</v>
      </c>
      <c r="I364" s="6" t="s">
        <v>1627</v>
      </c>
      <c r="J364" s="12">
        <v>46120.823541666665</v>
      </c>
      <c r="K364" s="6" t="e" cm="1">
        <f t="array" ref="K364">LOOKUP(2^15,SEARCH(Tabela2[Palavras-Chave],Boletim[[#This Row],[Objeto]],1),Tabela2[Palavras-Chave])</f>
        <v>#N/A</v>
      </c>
    </row>
    <row r="365" spans="1:11" hidden="1" x14ac:dyDescent="0.3">
      <c r="A365" s="5">
        <v>18781869</v>
      </c>
      <c r="B365" s="6" t="s">
        <v>416</v>
      </c>
      <c r="C365" s="6" t="s">
        <v>65</v>
      </c>
      <c r="D365" s="8" t="s">
        <v>66</v>
      </c>
      <c r="E365" s="6" t="s">
        <v>1628</v>
      </c>
      <c r="F365" s="6" t="s">
        <v>85</v>
      </c>
      <c r="G365" s="11" t="s">
        <v>56</v>
      </c>
      <c r="H365" s="10" t="s">
        <v>1629</v>
      </c>
      <c r="I365" s="6" t="s">
        <v>1630</v>
      </c>
      <c r="J365" s="12">
        <v>46120.839930555558</v>
      </c>
      <c r="K365" s="6" t="e" cm="1">
        <f t="array" ref="K365">LOOKUP(2^15,SEARCH(Tabela2[Palavras-Chave],Boletim[[#This Row],[Objeto]],1),Tabela2[Palavras-Chave])</f>
        <v>#N/A</v>
      </c>
    </row>
    <row r="366" spans="1:11" hidden="1" x14ac:dyDescent="0.3">
      <c r="A366" s="5">
        <v>18805364</v>
      </c>
      <c r="B366" s="6" t="s">
        <v>371</v>
      </c>
      <c r="C366" s="6" t="s">
        <v>231</v>
      </c>
      <c r="D366" s="8" t="s">
        <v>66</v>
      </c>
      <c r="E366" s="6" t="s">
        <v>106</v>
      </c>
      <c r="F366" s="6" t="s">
        <v>85</v>
      </c>
      <c r="G366" s="11" t="s">
        <v>56</v>
      </c>
      <c r="H366" s="10" t="s">
        <v>1631</v>
      </c>
      <c r="I366" s="6" t="s">
        <v>1632</v>
      </c>
      <c r="J366" s="12">
        <v>46120.871122685188</v>
      </c>
      <c r="K366" s="6" t="e" cm="1">
        <f t="array" ref="K366">LOOKUP(2^15,SEARCH(Tabela2[Palavras-Chave],Boletim[[#This Row],[Objeto]],1),Tabela2[Palavras-Chave])</f>
        <v>#N/A</v>
      </c>
    </row>
    <row r="367" spans="1:11" hidden="1" x14ac:dyDescent="0.3">
      <c r="A367" s="5">
        <v>18804643</v>
      </c>
      <c r="B367" s="6" t="s">
        <v>248</v>
      </c>
      <c r="C367" s="6" t="s">
        <v>65</v>
      </c>
      <c r="D367" s="8" t="s">
        <v>66</v>
      </c>
      <c r="E367" s="6" t="s">
        <v>1633</v>
      </c>
      <c r="F367" s="6" t="s">
        <v>85</v>
      </c>
      <c r="G367" s="11" t="s">
        <v>56</v>
      </c>
      <c r="H367" s="10" t="s">
        <v>1634</v>
      </c>
      <c r="I367" s="6" t="s">
        <v>1635</v>
      </c>
      <c r="J367" s="12">
        <v>46120.875659722224</v>
      </c>
      <c r="K367" s="6" t="e" cm="1">
        <f t="array" ref="K367">LOOKUP(2^15,SEARCH(Tabela2[Palavras-Chave],Boletim[[#This Row],[Objeto]],1),Tabela2[Palavras-Chave])</f>
        <v>#N/A</v>
      </c>
    </row>
    <row r="368" spans="1:11" hidden="1" x14ac:dyDescent="0.3">
      <c r="A368" s="5">
        <v>18804768</v>
      </c>
      <c r="B368" s="6" t="s">
        <v>1636</v>
      </c>
      <c r="C368" s="6" t="s">
        <v>200</v>
      </c>
      <c r="D368" s="8" t="s">
        <v>66</v>
      </c>
      <c r="E368" s="6" t="s">
        <v>117</v>
      </c>
      <c r="F368" s="6" t="s">
        <v>85</v>
      </c>
      <c r="G368" s="11">
        <v>46135.354166666664</v>
      </c>
      <c r="H368" s="10" t="s">
        <v>1637</v>
      </c>
      <c r="I368" s="6" t="s">
        <v>1638</v>
      </c>
      <c r="J368" s="12">
        <v>46120.888877314814</v>
      </c>
      <c r="K368" s="6" t="e" cm="1">
        <f t="array" ref="K368">LOOKUP(2^15,SEARCH(Tabela2[Palavras-Chave],Boletim[[#This Row],[Objeto]],1),Tabela2[Palavras-Chave])</f>
        <v>#N/A</v>
      </c>
    </row>
    <row r="369" spans="1:11" hidden="1" x14ac:dyDescent="0.3">
      <c r="A369" s="5">
        <v>18804050</v>
      </c>
      <c r="B369" s="6" t="s">
        <v>1639</v>
      </c>
      <c r="C369" s="6" t="s">
        <v>1640</v>
      </c>
      <c r="D369" s="8" t="s">
        <v>66</v>
      </c>
      <c r="E369" s="6" t="s">
        <v>128</v>
      </c>
      <c r="F369" s="6" t="s">
        <v>85</v>
      </c>
      <c r="G369" s="11">
        <v>46134.364583333336</v>
      </c>
      <c r="H369" s="10" t="s">
        <v>1641</v>
      </c>
      <c r="I369" s="6" t="s">
        <v>1642</v>
      </c>
      <c r="J369" s="12">
        <v>46120.889027777775</v>
      </c>
      <c r="K369" s="6" t="e" cm="1">
        <f t="array" ref="K369">LOOKUP(2^15,SEARCH(Tabela2[Palavras-Chave],Boletim[[#This Row],[Objeto]],1),Tabela2[Palavras-Chave])</f>
        <v>#N/A</v>
      </c>
    </row>
    <row r="370" spans="1:11" ht="172.8" x14ac:dyDescent="0.3">
      <c r="A370" s="5">
        <v>18802631</v>
      </c>
      <c r="B370" s="6" t="s">
        <v>1643</v>
      </c>
      <c r="C370" s="6" t="s">
        <v>1644</v>
      </c>
      <c r="D370" s="8" t="s">
        <v>67</v>
      </c>
      <c r="E370" s="6" t="s">
        <v>157</v>
      </c>
      <c r="F370" s="6" t="s">
        <v>85</v>
      </c>
      <c r="G370" s="11" t="s">
        <v>56</v>
      </c>
      <c r="H370" s="21" t="s">
        <v>1645</v>
      </c>
      <c r="I370" s="6" t="s">
        <v>1646</v>
      </c>
      <c r="J370" s="12">
        <v>46120.546805555554</v>
      </c>
      <c r="K370" s="6" t="str" cm="1">
        <f t="array" ref="K370">LOOKUP(2^15,SEARCH(Tabela2[Palavras-Chave],Boletim[[#This Row],[Objeto]],1),Tabela2[Palavras-Chave])</f>
        <v>TANQUE</v>
      </c>
    </row>
    <row r="371" spans="1:11" hidden="1" x14ac:dyDescent="0.3">
      <c r="A371" s="5">
        <v>18802638</v>
      </c>
      <c r="B371" s="6" t="s">
        <v>1647</v>
      </c>
      <c r="C371" s="6" t="s">
        <v>123</v>
      </c>
      <c r="D371" s="8" t="s">
        <v>67</v>
      </c>
      <c r="E371" s="6" t="s">
        <v>286</v>
      </c>
      <c r="F371" s="6" t="s">
        <v>85</v>
      </c>
      <c r="G371" s="11" t="s">
        <v>56</v>
      </c>
      <c r="H371" s="10" t="s">
        <v>1648</v>
      </c>
      <c r="I371" s="6" t="s">
        <v>1649</v>
      </c>
      <c r="J371" s="12">
        <v>46120.596087962964</v>
      </c>
      <c r="K371" s="6" t="e" cm="1">
        <f t="array" ref="K371">LOOKUP(2^15,SEARCH(Tabela2[Palavras-Chave],Boletim[[#This Row],[Objeto]],1),Tabela2[Palavras-Chave])</f>
        <v>#N/A</v>
      </c>
    </row>
    <row r="372" spans="1:11" hidden="1" x14ac:dyDescent="0.3">
      <c r="A372" s="5">
        <v>18804152</v>
      </c>
      <c r="B372" s="6" t="s">
        <v>1650</v>
      </c>
      <c r="C372" s="6" t="s">
        <v>1651</v>
      </c>
      <c r="D372" s="8" t="s">
        <v>67</v>
      </c>
      <c r="E372" s="6" t="s">
        <v>128</v>
      </c>
      <c r="F372" s="6" t="s">
        <v>85</v>
      </c>
      <c r="G372" s="11">
        <v>46134.375</v>
      </c>
      <c r="H372" s="10" t="s">
        <v>1652</v>
      </c>
      <c r="I372" s="6" t="s">
        <v>90</v>
      </c>
      <c r="J372" s="12">
        <v>46120.612835648149</v>
      </c>
      <c r="K372" s="6" t="e" cm="1">
        <f t="array" ref="K372">LOOKUP(2^15,SEARCH(Tabela2[Palavras-Chave],Boletim[[#This Row],[Objeto]],1),Tabela2[Palavras-Chave])</f>
        <v>#N/A</v>
      </c>
    </row>
    <row r="373" spans="1:11" hidden="1" x14ac:dyDescent="0.3">
      <c r="A373" s="5">
        <v>18804020</v>
      </c>
      <c r="B373" s="6" t="s">
        <v>1653</v>
      </c>
      <c r="C373" s="6" t="s">
        <v>1654</v>
      </c>
      <c r="D373" s="8" t="s">
        <v>67</v>
      </c>
      <c r="E373" s="6" t="s">
        <v>117</v>
      </c>
      <c r="F373" s="6" t="s">
        <v>85</v>
      </c>
      <c r="G373" s="11">
        <v>46140.375</v>
      </c>
      <c r="H373" s="10" t="s">
        <v>1655</v>
      </c>
      <c r="I373" s="6" t="s">
        <v>1656</v>
      </c>
      <c r="J373" s="12">
        <v>46120.639351851853</v>
      </c>
      <c r="K373" s="6" t="e" cm="1">
        <f t="array" ref="K373">LOOKUP(2^15,SEARCH(Tabela2[Palavras-Chave],Boletim[[#This Row],[Objeto]],1),Tabela2[Palavras-Chave])</f>
        <v>#N/A</v>
      </c>
    </row>
    <row r="374" spans="1:11" hidden="1" x14ac:dyDescent="0.3">
      <c r="A374" s="5">
        <v>18803944</v>
      </c>
      <c r="B374" s="6" t="s">
        <v>1657</v>
      </c>
      <c r="C374" s="6" t="s">
        <v>1658</v>
      </c>
      <c r="D374" s="8" t="s">
        <v>67</v>
      </c>
      <c r="E374" s="6" t="s">
        <v>135</v>
      </c>
      <c r="F374" s="6" t="s">
        <v>85</v>
      </c>
      <c r="G374" s="11" t="s">
        <v>56</v>
      </c>
      <c r="H374" s="10" t="s">
        <v>1659</v>
      </c>
      <c r="I374" s="6" t="s">
        <v>1660</v>
      </c>
      <c r="J374" s="12">
        <v>46120.661400462966</v>
      </c>
      <c r="K374" s="6" t="e" cm="1">
        <f t="array" ref="K374">LOOKUP(2^15,SEARCH(Tabela2[Palavras-Chave],Boletim[[#This Row],[Objeto]],1),Tabela2[Palavras-Chave])</f>
        <v>#N/A</v>
      </c>
    </row>
    <row r="375" spans="1:11" hidden="1" x14ac:dyDescent="0.3">
      <c r="A375" s="5">
        <v>18805355</v>
      </c>
      <c r="B375" s="6" t="s">
        <v>1661</v>
      </c>
      <c r="C375" s="6" t="s">
        <v>123</v>
      </c>
      <c r="D375" s="8" t="s">
        <v>67</v>
      </c>
      <c r="E375" s="6" t="s">
        <v>117</v>
      </c>
      <c r="F375" s="6" t="s">
        <v>85</v>
      </c>
      <c r="G375" s="11">
        <v>46140.375</v>
      </c>
      <c r="H375" s="10" t="s">
        <v>1662</v>
      </c>
      <c r="I375" s="6" t="s">
        <v>190</v>
      </c>
      <c r="J375" s="12">
        <v>46120.72016203704</v>
      </c>
      <c r="K375" s="6" t="e" cm="1">
        <f t="array" ref="K375">LOOKUP(2^15,SEARCH(Tabela2[Palavras-Chave],Boletim[[#This Row],[Objeto]],1),Tabela2[Palavras-Chave])</f>
        <v>#N/A</v>
      </c>
    </row>
    <row r="376" spans="1:11" hidden="1" x14ac:dyDescent="0.3">
      <c r="A376" s="5">
        <v>18803842</v>
      </c>
      <c r="B376" s="6" t="s">
        <v>1663</v>
      </c>
      <c r="C376" s="6" t="s">
        <v>1664</v>
      </c>
      <c r="D376" s="8" t="s">
        <v>67</v>
      </c>
      <c r="E376" s="6" t="s">
        <v>134</v>
      </c>
      <c r="F376" s="6" t="s">
        <v>85</v>
      </c>
      <c r="G376" s="11" t="s">
        <v>56</v>
      </c>
      <c r="H376" s="10" t="s">
        <v>1665</v>
      </c>
      <c r="I376" s="6" t="s">
        <v>1666</v>
      </c>
      <c r="J376" s="12">
        <v>46120.761712962965</v>
      </c>
      <c r="K376" s="6" t="e" cm="1">
        <f t="array" ref="K376">LOOKUP(2^15,SEARCH(Tabela2[Palavras-Chave],Boletim[[#This Row],[Objeto]],1),Tabela2[Palavras-Chave])</f>
        <v>#N/A</v>
      </c>
    </row>
    <row r="377" spans="1:11" hidden="1" x14ac:dyDescent="0.3">
      <c r="A377" s="5">
        <v>18805367</v>
      </c>
      <c r="B377" s="6" t="s">
        <v>1667</v>
      </c>
      <c r="C377" s="6" t="s">
        <v>1668</v>
      </c>
      <c r="D377" s="8" t="s">
        <v>67</v>
      </c>
      <c r="E377" s="6" t="s">
        <v>1669</v>
      </c>
      <c r="F377" s="6" t="s">
        <v>85</v>
      </c>
      <c r="G377" s="11" t="s">
        <v>56</v>
      </c>
      <c r="H377" s="10" t="s">
        <v>1670</v>
      </c>
      <c r="I377" s="6" t="s">
        <v>1671</v>
      </c>
      <c r="J377" s="12">
        <v>46120.771655092591</v>
      </c>
      <c r="K377" s="6" t="e" cm="1">
        <f t="array" ref="K377">LOOKUP(2^15,SEARCH(Tabela2[Palavras-Chave],Boletim[[#This Row],[Objeto]],1),Tabela2[Palavras-Chave])</f>
        <v>#N/A</v>
      </c>
    </row>
    <row r="378" spans="1:11" hidden="1" x14ac:dyDescent="0.3">
      <c r="A378" s="5">
        <v>18805334</v>
      </c>
      <c r="B378" s="6" t="s">
        <v>375</v>
      </c>
      <c r="C378" s="6" t="s">
        <v>376</v>
      </c>
      <c r="D378" s="8" t="s">
        <v>67</v>
      </c>
      <c r="E378" s="6" t="s">
        <v>128</v>
      </c>
      <c r="F378" s="6" t="s">
        <v>85</v>
      </c>
      <c r="G378" s="11" t="s">
        <v>56</v>
      </c>
      <c r="H378" s="10" t="s">
        <v>1672</v>
      </c>
      <c r="I378" s="6" t="s">
        <v>1673</v>
      </c>
      <c r="J378" s="12">
        <v>46120.773680555554</v>
      </c>
      <c r="K378" s="6" t="e" cm="1">
        <f t="array" ref="K378">LOOKUP(2^15,SEARCH(Tabela2[Palavras-Chave],Boletim[[#This Row],[Objeto]],1),Tabela2[Palavras-Chave])</f>
        <v>#N/A</v>
      </c>
    </row>
    <row r="379" spans="1:11" hidden="1" x14ac:dyDescent="0.3">
      <c r="A379" s="5">
        <v>18802110</v>
      </c>
      <c r="B379" s="6" t="s">
        <v>234</v>
      </c>
      <c r="C379" s="6" t="s">
        <v>227</v>
      </c>
      <c r="D379" s="8" t="s">
        <v>91</v>
      </c>
      <c r="E379" s="6" t="s">
        <v>121</v>
      </c>
      <c r="F379" s="6" t="s">
        <v>85</v>
      </c>
      <c r="G379" s="11" t="s">
        <v>56</v>
      </c>
      <c r="H379" s="10" t="s">
        <v>1674</v>
      </c>
      <c r="I379" s="6" t="s">
        <v>1675</v>
      </c>
      <c r="J379" s="12">
        <v>46120.458368055559</v>
      </c>
      <c r="K379" s="6" t="e" cm="1">
        <f t="array" ref="K379">LOOKUP(2^15,SEARCH(Tabela2[Palavras-Chave],Boletim[[#This Row],[Objeto]],1),Tabela2[Palavras-Chave])</f>
        <v>#N/A</v>
      </c>
    </row>
    <row r="380" spans="1:11" hidden="1" x14ac:dyDescent="0.3">
      <c r="A380" s="5">
        <v>18802834</v>
      </c>
      <c r="B380" s="6" t="s">
        <v>1676</v>
      </c>
      <c r="C380" s="6" t="s">
        <v>111</v>
      </c>
      <c r="D380" s="8" t="s">
        <v>91</v>
      </c>
      <c r="E380" s="6" t="s">
        <v>1677</v>
      </c>
      <c r="F380" s="6" t="s">
        <v>85</v>
      </c>
      <c r="G380" s="11" t="s">
        <v>56</v>
      </c>
      <c r="H380" s="10" t="s">
        <v>1678</v>
      </c>
      <c r="I380" s="6" t="s">
        <v>1679</v>
      </c>
      <c r="J380" s="12">
        <v>46120.519456018519</v>
      </c>
      <c r="K380" s="6" t="e" cm="1">
        <f t="array" ref="K380">LOOKUP(2^15,SEARCH(Tabela2[Palavras-Chave],Boletim[[#This Row],[Objeto]],1),Tabela2[Palavras-Chave])</f>
        <v>#N/A</v>
      </c>
    </row>
    <row r="381" spans="1:11" hidden="1" x14ac:dyDescent="0.3">
      <c r="A381" s="5">
        <v>18801577</v>
      </c>
      <c r="B381" s="6" t="s">
        <v>1680</v>
      </c>
      <c r="C381" s="6" t="s">
        <v>1681</v>
      </c>
      <c r="D381" s="8" t="s">
        <v>91</v>
      </c>
      <c r="E381" s="6" t="s">
        <v>148</v>
      </c>
      <c r="F381" s="6" t="s">
        <v>85</v>
      </c>
      <c r="G381" s="11" t="s">
        <v>56</v>
      </c>
      <c r="H381" s="10" t="s">
        <v>1682</v>
      </c>
      <c r="I381" s="6" t="s">
        <v>1683</v>
      </c>
      <c r="J381" s="12">
        <v>46120.588472222225</v>
      </c>
      <c r="K381" s="6" t="e" cm="1">
        <f t="array" ref="K381">LOOKUP(2^15,SEARCH(Tabela2[Palavras-Chave],Boletim[[#This Row],[Objeto]],1),Tabela2[Palavras-Chave])</f>
        <v>#N/A</v>
      </c>
    </row>
    <row r="382" spans="1:11" hidden="1" x14ac:dyDescent="0.3">
      <c r="A382" s="5">
        <v>18801567</v>
      </c>
      <c r="B382" s="6" t="s">
        <v>1684</v>
      </c>
      <c r="C382" s="6" t="s">
        <v>1685</v>
      </c>
      <c r="D382" s="8" t="s">
        <v>91</v>
      </c>
      <c r="E382" s="6" t="s">
        <v>109</v>
      </c>
      <c r="F382" s="6" t="s">
        <v>85</v>
      </c>
      <c r="G382" s="11" t="s">
        <v>56</v>
      </c>
      <c r="H382" s="10" t="s">
        <v>1686</v>
      </c>
      <c r="I382" s="6" t="s">
        <v>1687</v>
      </c>
      <c r="J382" s="12">
        <v>46120.625925925924</v>
      </c>
      <c r="K382" s="6" t="e" cm="1">
        <f t="array" ref="K382">LOOKUP(2^15,SEARCH(Tabela2[Palavras-Chave],Boletim[[#This Row],[Objeto]],1),Tabela2[Palavras-Chave])</f>
        <v>#N/A</v>
      </c>
    </row>
    <row r="383" spans="1:11" hidden="1" x14ac:dyDescent="0.3">
      <c r="A383" s="5">
        <v>18801612</v>
      </c>
      <c r="B383" s="6" t="s">
        <v>1688</v>
      </c>
      <c r="C383" s="6" t="s">
        <v>269</v>
      </c>
      <c r="D383" s="8" t="s">
        <v>91</v>
      </c>
      <c r="E383" s="6" t="s">
        <v>1222</v>
      </c>
      <c r="F383" s="6" t="s">
        <v>85</v>
      </c>
      <c r="G383" s="11" t="s">
        <v>56</v>
      </c>
      <c r="H383" s="10" t="s">
        <v>1689</v>
      </c>
      <c r="I383" s="6" t="s">
        <v>1690</v>
      </c>
      <c r="J383" s="12">
        <v>46120.723692129628</v>
      </c>
      <c r="K383" s="6" t="e" cm="1">
        <f t="array" ref="K383">LOOKUP(2^15,SEARCH(Tabela2[Palavras-Chave],Boletim[[#This Row],[Objeto]],1),Tabela2[Palavras-Chave])</f>
        <v>#N/A</v>
      </c>
    </row>
    <row r="384" spans="1:11" ht="115.2" x14ac:dyDescent="0.3">
      <c r="A384" s="5">
        <v>18804619</v>
      </c>
      <c r="B384" s="6" t="s">
        <v>1691</v>
      </c>
      <c r="C384" s="6" t="s">
        <v>1692</v>
      </c>
      <c r="D384" s="8" t="s">
        <v>91</v>
      </c>
      <c r="E384" s="6" t="s">
        <v>143</v>
      </c>
      <c r="F384" s="6" t="s">
        <v>85</v>
      </c>
      <c r="G384" s="11">
        <v>46134.354166666664</v>
      </c>
      <c r="H384" s="21" t="s">
        <v>1693</v>
      </c>
      <c r="I384" s="6" t="s">
        <v>1694</v>
      </c>
      <c r="J384" s="12">
        <v>46120.753055555557</v>
      </c>
      <c r="K384" s="6" t="str" cm="1">
        <f t="array" ref="K384">LOOKUP(2^15,SEARCH(Tabela2[Palavras-Chave],Boletim[[#This Row],[Objeto]],1),Tabela2[Palavras-Chave])</f>
        <v>DIAGNÓSTICO</v>
      </c>
    </row>
    <row r="385" spans="1:11" hidden="1" x14ac:dyDescent="0.3">
      <c r="A385" s="5">
        <v>18798635</v>
      </c>
      <c r="B385" s="6" t="s">
        <v>1695</v>
      </c>
      <c r="C385" s="6" t="s">
        <v>1696</v>
      </c>
      <c r="D385" s="8" t="s">
        <v>68</v>
      </c>
      <c r="E385" s="6" t="s">
        <v>124</v>
      </c>
      <c r="F385" s="6" t="s">
        <v>85</v>
      </c>
      <c r="G385" s="11">
        <v>46135.374305555553</v>
      </c>
      <c r="H385" s="10" t="s">
        <v>1697</v>
      </c>
      <c r="I385" s="6" t="s">
        <v>1698</v>
      </c>
      <c r="J385" s="12">
        <v>46120.388252314813</v>
      </c>
      <c r="K385" s="6" t="e" cm="1">
        <f t="array" ref="K385">LOOKUP(2^15,SEARCH(Tabela2[Palavras-Chave],Boletim[[#This Row],[Objeto]],1),Tabela2[Palavras-Chave])</f>
        <v>#N/A</v>
      </c>
    </row>
    <row r="386" spans="1:11" hidden="1" x14ac:dyDescent="0.3">
      <c r="A386" s="5">
        <v>18802016</v>
      </c>
      <c r="B386" s="6" t="s">
        <v>1699</v>
      </c>
      <c r="C386" s="6" t="s">
        <v>1696</v>
      </c>
      <c r="D386" s="8" t="s">
        <v>68</v>
      </c>
      <c r="E386" s="6" t="s">
        <v>117</v>
      </c>
      <c r="F386" s="6" t="s">
        <v>85</v>
      </c>
      <c r="G386" s="11">
        <v>46134.374305555553</v>
      </c>
      <c r="H386" s="10" t="s">
        <v>1700</v>
      </c>
      <c r="I386" s="6" t="s">
        <v>1701</v>
      </c>
      <c r="J386" s="12">
        <v>46120.445196759261</v>
      </c>
      <c r="K386" s="6" t="e" cm="1">
        <f t="array" ref="K386">LOOKUP(2^15,SEARCH(Tabela2[Palavras-Chave],Boletim[[#This Row],[Objeto]],1),Tabela2[Palavras-Chave])</f>
        <v>#N/A</v>
      </c>
    </row>
    <row r="387" spans="1:11" hidden="1" x14ac:dyDescent="0.3">
      <c r="A387" s="5">
        <v>18802011</v>
      </c>
      <c r="B387" s="6" t="s">
        <v>1702</v>
      </c>
      <c r="C387" s="6" t="s">
        <v>1703</v>
      </c>
      <c r="D387" s="8" t="s">
        <v>68</v>
      </c>
      <c r="E387" s="6" t="s">
        <v>106</v>
      </c>
      <c r="F387" s="6" t="s">
        <v>85</v>
      </c>
      <c r="G387" s="11">
        <v>46134.4375</v>
      </c>
      <c r="H387" s="10" t="s">
        <v>1704</v>
      </c>
      <c r="I387" s="6" t="s">
        <v>1705</v>
      </c>
      <c r="J387" s="12">
        <v>46120.446817129632</v>
      </c>
      <c r="K387" s="6" t="e" cm="1">
        <f t="array" ref="K387">LOOKUP(2^15,SEARCH(Tabela2[Palavras-Chave],Boletim[[#This Row],[Objeto]],1),Tabela2[Palavras-Chave])</f>
        <v>#N/A</v>
      </c>
    </row>
    <row r="388" spans="1:11" hidden="1" x14ac:dyDescent="0.3">
      <c r="A388" s="5">
        <v>18804755</v>
      </c>
      <c r="B388" s="6" t="s">
        <v>1706</v>
      </c>
      <c r="C388" s="6" t="s">
        <v>1707</v>
      </c>
      <c r="D388" s="8" t="s">
        <v>68</v>
      </c>
      <c r="E388" s="6" t="s">
        <v>407</v>
      </c>
      <c r="F388" s="6" t="s">
        <v>85</v>
      </c>
      <c r="G388" s="11">
        <v>46134.332638888889</v>
      </c>
      <c r="H388" s="10" t="s">
        <v>1708</v>
      </c>
      <c r="I388" s="6" t="s">
        <v>1709</v>
      </c>
      <c r="J388" s="12">
        <v>46120.724699074075</v>
      </c>
      <c r="K388" s="6" t="e" cm="1">
        <f t="array" ref="K388">LOOKUP(2^15,SEARCH(Tabela2[Palavras-Chave],Boletim[[#This Row],[Objeto]],1),Tabela2[Palavras-Chave])</f>
        <v>#N/A</v>
      </c>
    </row>
    <row r="389" spans="1:11" hidden="1" x14ac:dyDescent="0.3">
      <c r="A389" s="5">
        <v>18802020</v>
      </c>
      <c r="B389" s="6" t="s">
        <v>290</v>
      </c>
      <c r="C389" s="6" t="s">
        <v>283</v>
      </c>
      <c r="D389" s="8" t="s">
        <v>92</v>
      </c>
      <c r="E389" s="6" t="s">
        <v>117</v>
      </c>
      <c r="F389" s="6" t="s">
        <v>85</v>
      </c>
      <c r="G389" s="11">
        <v>46134</v>
      </c>
      <c r="H389" s="10" t="s">
        <v>1710</v>
      </c>
      <c r="I389" s="6" t="s">
        <v>1711</v>
      </c>
      <c r="J389" s="12">
        <v>46120.445208333331</v>
      </c>
      <c r="K389" s="6" t="e" cm="1">
        <f t="array" ref="K389">LOOKUP(2^15,SEARCH(Tabela2[Palavras-Chave],Boletim[[#This Row],[Objeto]],1),Tabela2[Palavras-Chave])</f>
        <v>#N/A</v>
      </c>
    </row>
    <row r="390" spans="1:11" hidden="1" x14ac:dyDescent="0.3">
      <c r="A390" s="5">
        <v>18791357</v>
      </c>
      <c r="B390" s="6" t="s">
        <v>1712</v>
      </c>
      <c r="C390" s="6" t="s">
        <v>1713</v>
      </c>
      <c r="D390" s="8" t="s">
        <v>92</v>
      </c>
      <c r="E390" s="6" t="s">
        <v>114</v>
      </c>
      <c r="F390" s="6" t="s">
        <v>85</v>
      </c>
      <c r="G390" s="11">
        <v>46211.375</v>
      </c>
      <c r="H390" s="10" t="s">
        <v>1714</v>
      </c>
      <c r="I390" s="6" t="s">
        <v>1715</v>
      </c>
      <c r="J390" s="12">
        <v>46120.450775462959</v>
      </c>
      <c r="K390" s="6" t="e" cm="1">
        <f t="array" ref="K390">LOOKUP(2^15,SEARCH(Tabela2[Palavras-Chave],Boletim[[#This Row],[Objeto]],1),Tabela2[Palavras-Chave])</f>
        <v>#N/A</v>
      </c>
    </row>
    <row r="391" spans="1:11" hidden="1" x14ac:dyDescent="0.3">
      <c r="A391" s="5">
        <v>18793274</v>
      </c>
      <c r="B391" s="6" t="s">
        <v>1716</v>
      </c>
      <c r="C391" s="6" t="s">
        <v>1717</v>
      </c>
      <c r="D391" s="8" t="s">
        <v>92</v>
      </c>
      <c r="E391" s="6" t="s">
        <v>172</v>
      </c>
      <c r="F391" s="6" t="s">
        <v>85</v>
      </c>
      <c r="G391" s="11">
        <v>46127.374305555553</v>
      </c>
      <c r="H391" s="10" t="s">
        <v>1718</v>
      </c>
      <c r="I391" s="6" t="s">
        <v>1719</v>
      </c>
      <c r="J391" s="12">
        <v>46120.502812500003</v>
      </c>
      <c r="K391" s="6" t="e" cm="1">
        <f t="array" ref="K391">LOOKUP(2^15,SEARCH(Tabela2[Palavras-Chave],Boletim[[#This Row],[Objeto]],1),Tabela2[Palavras-Chave])</f>
        <v>#N/A</v>
      </c>
    </row>
    <row r="392" spans="1:11" hidden="1" x14ac:dyDescent="0.3">
      <c r="A392" s="5">
        <v>18789825</v>
      </c>
      <c r="B392" s="6" t="s">
        <v>1716</v>
      </c>
      <c r="C392" s="6" t="s">
        <v>1717</v>
      </c>
      <c r="D392" s="8" t="s">
        <v>92</v>
      </c>
      <c r="E392" s="6" t="s">
        <v>212</v>
      </c>
      <c r="F392" s="6" t="s">
        <v>85</v>
      </c>
      <c r="G392" s="11">
        <v>46126.561805555553</v>
      </c>
      <c r="H392" s="10" t="s">
        <v>1720</v>
      </c>
      <c r="I392" s="6" t="s">
        <v>1721</v>
      </c>
      <c r="J392" s="12">
        <v>46120.502824074072</v>
      </c>
      <c r="K392" s="6" t="e" cm="1">
        <f t="array" ref="K392">LOOKUP(2^15,SEARCH(Tabela2[Palavras-Chave],Boletim[[#This Row],[Objeto]],1),Tabela2[Palavras-Chave])</f>
        <v>#N/A</v>
      </c>
    </row>
    <row r="393" spans="1:11" hidden="1" x14ac:dyDescent="0.3">
      <c r="A393" s="5">
        <v>18799776</v>
      </c>
      <c r="B393" s="6" t="s">
        <v>1722</v>
      </c>
      <c r="C393" s="6" t="s">
        <v>1723</v>
      </c>
      <c r="D393" s="8" t="s">
        <v>92</v>
      </c>
      <c r="E393" s="6" t="s">
        <v>134</v>
      </c>
      <c r="F393" s="6" t="s">
        <v>85</v>
      </c>
      <c r="G393" s="11">
        <v>46135.374305555553</v>
      </c>
      <c r="H393" s="10" t="s">
        <v>1724</v>
      </c>
      <c r="I393" s="6" t="s">
        <v>1725</v>
      </c>
      <c r="J393" s="12">
        <v>46120.502835648149</v>
      </c>
      <c r="K393" s="6" t="e" cm="1">
        <f t="array" ref="K393">LOOKUP(2^15,SEARCH(Tabela2[Palavras-Chave],Boletim[[#This Row],[Objeto]],1),Tabela2[Palavras-Chave])</f>
        <v>#N/A</v>
      </c>
    </row>
    <row r="394" spans="1:11" hidden="1" x14ac:dyDescent="0.3">
      <c r="A394" s="5">
        <v>18804042</v>
      </c>
      <c r="B394" s="6" t="s">
        <v>1726</v>
      </c>
      <c r="C394" s="6" t="s">
        <v>1727</v>
      </c>
      <c r="D394" s="8" t="s">
        <v>92</v>
      </c>
      <c r="E394" s="6" t="s">
        <v>381</v>
      </c>
      <c r="F394" s="6" t="s">
        <v>85</v>
      </c>
      <c r="G394" s="11">
        <v>46134.374305555553</v>
      </c>
      <c r="H394" s="10" t="s">
        <v>1728</v>
      </c>
      <c r="I394" s="6" t="s">
        <v>1729</v>
      </c>
      <c r="J394" s="12">
        <v>46120.634062500001</v>
      </c>
      <c r="K394" s="6" t="e" cm="1">
        <f t="array" ref="K394">LOOKUP(2^15,SEARCH(Tabela2[Palavras-Chave],Boletim[[#This Row],[Objeto]],1),Tabela2[Palavras-Chave])</f>
        <v>#N/A</v>
      </c>
    </row>
    <row r="395" spans="1:11" hidden="1" x14ac:dyDescent="0.3">
      <c r="A395" s="5">
        <v>18804751</v>
      </c>
      <c r="B395" s="6" t="s">
        <v>1730</v>
      </c>
      <c r="C395" s="6" t="s">
        <v>1731</v>
      </c>
      <c r="D395" s="8" t="s">
        <v>92</v>
      </c>
      <c r="E395" s="6" t="s">
        <v>120</v>
      </c>
      <c r="F395" s="6" t="s">
        <v>85</v>
      </c>
      <c r="G395" s="11">
        <v>46134.353472222225</v>
      </c>
      <c r="H395" s="10" t="s">
        <v>1732</v>
      </c>
      <c r="I395" s="6" t="s">
        <v>1733</v>
      </c>
      <c r="J395" s="12">
        <v>46120.731608796297</v>
      </c>
      <c r="K395" s="6" t="e" cm="1">
        <f t="array" ref="K395">LOOKUP(2^15,SEARCH(Tabela2[Palavras-Chave],Boletim[[#This Row],[Objeto]],1),Tabela2[Palavras-Chave])</f>
        <v>#N/A</v>
      </c>
    </row>
    <row r="396" spans="1:11" hidden="1" x14ac:dyDescent="0.3">
      <c r="A396" s="13">
        <v>18802002</v>
      </c>
      <c r="B396" s="10" t="s">
        <v>1734</v>
      </c>
      <c r="C396" s="10" t="s">
        <v>1735</v>
      </c>
      <c r="D396" s="15" t="s">
        <v>70</v>
      </c>
      <c r="E396" s="10" t="s">
        <v>135</v>
      </c>
      <c r="F396" s="10" t="s">
        <v>85</v>
      </c>
      <c r="G396" s="16">
        <v>46134.375</v>
      </c>
      <c r="H396" s="10" t="s">
        <v>1736</v>
      </c>
      <c r="I396" s="10" t="s">
        <v>1737</v>
      </c>
      <c r="J396" s="17">
        <v>46120.475486111114</v>
      </c>
      <c r="K396" s="6" t="e" cm="1">
        <f t="array" ref="K396">LOOKUP(2^15,SEARCH(Tabela2[Palavras-Chave],Boletim[[#This Row],[Objeto]],1),Tabela2[Palavras-Chave])</f>
        <v>#N/A</v>
      </c>
    </row>
    <row r="397" spans="1:11" hidden="1" x14ac:dyDescent="0.3">
      <c r="A397" s="5">
        <v>18802238</v>
      </c>
      <c r="B397" s="6" t="s">
        <v>74</v>
      </c>
      <c r="C397" s="6" t="s">
        <v>69</v>
      </c>
      <c r="D397" s="8" t="s">
        <v>70</v>
      </c>
      <c r="E397" s="6" t="s">
        <v>1232</v>
      </c>
      <c r="F397" s="6" t="s">
        <v>85</v>
      </c>
      <c r="G397" s="11" t="s">
        <v>56</v>
      </c>
      <c r="H397" s="10" t="s">
        <v>1233</v>
      </c>
      <c r="I397" s="6" t="s">
        <v>1234</v>
      </c>
      <c r="J397" s="12">
        <v>46120.529907407406</v>
      </c>
      <c r="K397" s="6" t="e" cm="1">
        <f t="array" ref="K397">LOOKUP(2^15,SEARCH(Tabela2[Palavras-Chave],Boletim[[#This Row],[Objeto]],1),Tabela2[Palavras-Chave])</f>
        <v>#N/A</v>
      </c>
    </row>
    <row r="398" spans="1:11" hidden="1" x14ac:dyDescent="0.3">
      <c r="A398" s="5">
        <v>18803788</v>
      </c>
      <c r="B398" s="6" t="s">
        <v>1738</v>
      </c>
      <c r="C398" s="6" t="s">
        <v>69</v>
      </c>
      <c r="D398" s="8" t="s">
        <v>70</v>
      </c>
      <c r="E398" s="6" t="s">
        <v>1739</v>
      </c>
      <c r="F398" s="6" t="s">
        <v>85</v>
      </c>
      <c r="G398" s="11" t="s">
        <v>56</v>
      </c>
      <c r="H398" s="10" t="s">
        <v>1740</v>
      </c>
      <c r="I398" s="6" t="s">
        <v>1741</v>
      </c>
      <c r="J398" s="12">
        <v>46120.617430555554</v>
      </c>
      <c r="K398" s="6" t="e" cm="1">
        <f t="array" ref="K398">LOOKUP(2^15,SEARCH(Tabela2[Palavras-Chave],Boletim[[#This Row],[Objeto]],1),Tabela2[Palavras-Chave])</f>
        <v>#N/A</v>
      </c>
    </row>
    <row r="399" spans="1:11" hidden="1" x14ac:dyDescent="0.3">
      <c r="A399" s="5">
        <v>18803857</v>
      </c>
      <c r="B399" s="6" t="s">
        <v>1742</v>
      </c>
      <c r="C399" s="6" t="s">
        <v>1743</v>
      </c>
      <c r="D399" s="8" t="s">
        <v>70</v>
      </c>
      <c r="E399" s="6" t="s">
        <v>135</v>
      </c>
      <c r="F399" s="6" t="s">
        <v>85</v>
      </c>
      <c r="G399" s="11" t="s">
        <v>56</v>
      </c>
      <c r="H399" s="10" t="s">
        <v>1744</v>
      </c>
      <c r="I399" s="6" t="s">
        <v>1745</v>
      </c>
      <c r="J399" s="12">
        <v>46120.604826388888</v>
      </c>
      <c r="K399" s="6" t="e" cm="1">
        <f t="array" ref="K399">LOOKUP(2^15,SEARCH(Tabela2[Palavras-Chave],Boletim[[#This Row],[Objeto]],1),Tabela2[Palavras-Chave])</f>
        <v>#N/A</v>
      </c>
    </row>
    <row r="400" spans="1:11" hidden="1" x14ac:dyDescent="0.3">
      <c r="A400" s="5">
        <v>18802833</v>
      </c>
      <c r="B400" s="6" t="s">
        <v>1746</v>
      </c>
      <c r="C400" s="6" t="s">
        <v>1747</v>
      </c>
      <c r="D400" s="8" t="s">
        <v>70</v>
      </c>
      <c r="E400" s="6" t="s">
        <v>230</v>
      </c>
      <c r="F400" s="6" t="s">
        <v>85</v>
      </c>
      <c r="G400" s="11" t="s">
        <v>56</v>
      </c>
      <c r="H400" s="10" t="s">
        <v>1748</v>
      </c>
      <c r="I400" s="6" t="s">
        <v>1749</v>
      </c>
      <c r="J400" s="12">
        <v>46120.628842592596</v>
      </c>
      <c r="K400" s="6" t="e" cm="1">
        <f t="array" ref="K400">LOOKUP(2^15,SEARCH(Tabela2[Palavras-Chave],Boletim[[#This Row],[Objeto]],1),Tabela2[Palavras-Chave])</f>
        <v>#N/A</v>
      </c>
    </row>
    <row r="401" spans="1:11" hidden="1" x14ac:dyDescent="0.3">
      <c r="A401" s="5">
        <v>18805343</v>
      </c>
      <c r="B401" s="6" t="s">
        <v>1750</v>
      </c>
      <c r="C401" s="6" t="s">
        <v>1751</v>
      </c>
      <c r="D401" s="8" t="s">
        <v>70</v>
      </c>
      <c r="E401" s="6" t="s">
        <v>117</v>
      </c>
      <c r="F401" s="6" t="s">
        <v>85</v>
      </c>
      <c r="G401" s="11" t="s">
        <v>56</v>
      </c>
      <c r="H401" s="10" t="s">
        <v>1752</v>
      </c>
      <c r="I401" s="6" t="s">
        <v>1753</v>
      </c>
      <c r="J401" s="12">
        <v>46120.721562500003</v>
      </c>
      <c r="K401" s="6" t="e" cm="1">
        <f t="array" ref="K401">LOOKUP(2^15,SEARCH(Tabela2[Palavras-Chave],Boletim[[#This Row],[Objeto]],1),Tabela2[Palavras-Chave])</f>
        <v>#N/A</v>
      </c>
    </row>
    <row r="402" spans="1:11" hidden="1" x14ac:dyDescent="0.3">
      <c r="A402" s="5">
        <v>18805326</v>
      </c>
      <c r="B402" s="6" t="s">
        <v>1754</v>
      </c>
      <c r="C402" s="6" t="s">
        <v>1755</v>
      </c>
      <c r="D402" s="8" t="s">
        <v>70</v>
      </c>
      <c r="E402" s="6" t="s">
        <v>127</v>
      </c>
      <c r="F402" s="6" t="s">
        <v>85</v>
      </c>
      <c r="G402" s="11" t="s">
        <v>56</v>
      </c>
      <c r="H402" s="10" t="s">
        <v>1756</v>
      </c>
      <c r="I402" s="6" t="s">
        <v>1757</v>
      </c>
      <c r="J402" s="12">
        <v>46120.72693287037</v>
      </c>
      <c r="K402" s="6" t="e" cm="1">
        <f t="array" ref="K402">LOOKUP(2^15,SEARCH(Tabela2[Palavras-Chave],Boletim[[#This Row],[Objeto]],1),Tabela2[Palavras-Chave])</f>
        <v>#N/A</v>
      </c>
    </row>
    <row r="403" spans="1:11" hidden="1" x14ac:dyDescent="0.3">
      <c r="A403" s="5">
        <v>18805616</v>
      </c>
      <c r="B403" s="6" t="s">
        <v>1758</v>
      </c>
      <c r="C403" s="6" t="s">
        <v>1759</v>
      </c>
      <c r="D403" s="8" t="s">
        <v>70</v>
      </c>
      <c r="E403" s="6" t="s">
        <v>128</v>
      </c>
      <c r="F403" s="6" t="s">
        <v>85</v>
      </c>
      <c r="G403" s="11" t="s">
        <v>56</v>
      </c>
      <c r="H403" s="10" t="s">
        <v>1760</v>
      </c>
      <c r="I403" s="6" t="s">
        <v>1761</v>
      </c>
      <c r="J403" s="12">
        <v>46120.759108796294</v>
      </c>
      <c r="K403" s="6" t="e" cm="1">
        <f t="array" ref="K403">LOOKUP(2^15,SEARCH(Tabela2[Palavras-Chave],Boletim[[#This Row],[Objeto]],1),Tabela2[Palavras-Chave])</f>
        <v>#N/A</v>
      </c>
    </row>
    <row r="404" spans="1:11" ht="144" x14ac:dyDescent="0.3">
      <c r="A404" s="5">
        <v>18802437</v>
      </c>
      <c r="B404" s="6" t="s">
        <v>1762</v>
      </c>
      <c r="C404" s="6" t="s">
        <v>69</v>
      </c>
      <c r="D404" s="8" t="s">
        <v>70</v>
      </c>
      <c r="E404" s="6" t="s">
        <v>1763</v>
      </c>
      <c r="F404" s="6" t="s">
        <v>85</v>
      </c>
      <c r="G404" s="11">
        <v>46128.375</v>
      </c>
      <c r="H404" s="21" t="s">
        <v>1764</v>
      </c>
      <c r="I404" s="6" t="s">
        <v>1765</v>
      </c>
      <c r="J404" s="12">
        <v>46120.759918981479</v>
      </c>
      <c r="K404" s="6" t="str" cm="1">
        <f t="array" ref="K404">LOOKUP(2^15,SEARCH(Tabela2[Palavras-Chave],Boletim[[#This Row],[Objeto]],1),Tabela2[Palavras-Chave])</f>
        <v>BOOSTER</v>
      </c>
    </row>
    <row r="405" spans="1:11" hidden="1" x14ac:dyDescent="0.3">
      <c r="A405" s="5">
        <v>18804248</v>
      </c>
      <c r="B405" s="6" t="s">
        <v>1766</v>
      </c>
      <c r="C405" s="6" t="s">
        <v>378</v>
      </c>
      <c r="D405" s="8" t="s">
        <v>70</v>
      </c>
      <c r="E405" s="6" t="s">
        <v>134</v>
      </c>
      <c r="F405" s="6" t="s">
        <v>85</v>
      </c>
      <c r="G405" s="11" t="s">
        <v>56</v>
      </c>
      <c r="H405" s="10" t="s">
        <v>1767</v>
      </c>
      <c r="I405" s="6" t="s">
        <v>1768</v>
      </c>
      <c r="J405" s="12">
        <v>46120.760451388887</v>
      </c>
      <c r="K405" s="6" t="e" cm="1">
        <f t="array" ref="K405">LOOKUP(2^15,SEARCH(Tabela2[Palavras-Chave],Boletim[[#This Row],[Objeto]],1),Tabela2[Palavras-Chave])</f>
        <v>#N/A</v>
      </c>
    </row>
    <row r="406" spans="1:11" hidden="1" x14ac:dyDescent="0.3">
      <c r="A406" s="5">
        <v>18802842</v>
      </c>
      <c r="B406" s="6" t="s">
        <v>1769</v>
      </c>
      <c r="C406" s="6" t="s">
        <v>69</v>
      </c>
      <c r="D406" s="8" t="s">
        <v>70</v>
      </c>
      <c r="E406" s="6" t="s">
        <v>232</v>
      </c>
      <c r="F406" s="6" t="s">
        <v>85</v>
      </c>
      <c r="G406" s="11" t="s">
        <v>56</v>
      </c>
      <c r="H406" s="10" t="s">
        <v>1770</v>
      </c>
      <c r="I406" s="6" t="s">
        <v>1771</v>
      </c>
      <c r="J406" s="12">
        <v>46120.858680555553</v>
      </c>
      <c r="K406" s="6" t="e" cm="1">
        <f t="array" ref="K406">LOOKUP(2^15,SEARCH(Tabela2[Palavras-Chave],Boletim[[#This Row],[Objeto]],1),Tabela2[Palavras-Chave])</f>
        <v>#N/A</v>
      </c>
    </row>
    <row r="407" spans="1:11" hidden="1" x14ac:dyDescent="0.3">
      <c r="A407" s="5">
        <v>18803456</v>
      </c>
      <c r="B407" s="6" t="s">
        <v>331</v>
      </c>
      <c r="C407" s="6" t="s">
        <v>69</v>
      </c>
      <c r="D407" s="8" t="s">
        <v>70</v>
      </c>
      <c r="E407" s="6" t="s">
        <v>1772</v>
      </c>
      <c r="F407" s="6" t="s">
        <v>85</v>
      </c>
      <c r="G407" s="11">
        <v>46160.458333333336</v>
      </c>
      <c r="H407" s="10" t="s">
        <v>1773</v>
      </c>
      <c r="I407" s="6" t="s">
        <v>1774</v>
      </c>
      <c r="J407" s="12">
        <v>46120.901296296295</v>
      </c>
      <c r="K407" s="6" t="e" cm="1">
        <f t="array" ref="K407">LOOKUP(2^15,SEARCH(Tabela2[Palavras-Chave],Boletim[[#This Row],[Objeto]],1),Tabela2[Palavras-Chave])</f>
        <v>#N/A</v>
      </c>
    </row>
    <row r="408" spans="1:11" hidden="1" x14ac:dyDescent="0.3">
      <c r="A408" s="5">
        <v>18800926</v>
      </c>
      <c r="B408" s="6" t="s">
        <v>1775</v>
      </c>
      <c r="C408" s="6" t="s">
        <v>1776</v>
      </c>
      <c r="D408" s="8" t="s">
        <v>71</v>
      </c>
      <c r="E408" s="6" t="s">
        <v>113</v>
      </c>
      <c r="F408" s="6" t="s">
        <v>85</v>
      </c>
      <c r="G408" s="11">
        <v>46132.354166666664</v>
      </c>
      <c r="H408" s="10" t="s">
        <v>1777</v>
      </c>
      <c r="I408" s="6" t="s">
        <v>1778</v>
      </c>
      <c r="J408" s="12">
        <v>46120.388356481482</v>
      </c>
      <c r="K408" s="6" t="e" cm="1">
        <f t="array" ref="K408">LOOKUP(2^15,SEARCH(Tabela2[Palavras-Chave],Boletim[[#This Row],[Objeto]],1),Tabela2[Palavras-Chave])</f>
        <v>#N/A</v>
      </c>
    </row>
    <row r="409" spans="1:11" hidden="1" x14ac:dyDescent="0.3">
      <c r="A409" s="5">
        <v>18802870</v>
      </c>
      <c r="B409" s="6" t="s">
        <v>1779</v>
      </c>
      <c r="C409" s="6" t="s">
        <v>133</v>
      </c>
      <c r="D409" s="8" t="s">
        <v>71</v>
      </c>
      <c r="E409" s="6" t="s">
        <v>1780</v>
      </c>
      <c r="F409" s="6" t="s">
        <v>85</v>
      </c>
      <c r="G409" s="11" t="s">
        <v>56</v>
      </c>
      <c r="H409" s="10" t="s">
        <v>1781</v>
      </c>
      <c r="I409" s="6" t="s">
        <v>1782</v>
      </c>
      <c r="J409" s="12">
        <v>46120.588356481479</v>
      </c>
      <c r="K409" s="6" t="e" cm="1">
        <f t="array" ref="K409">LOOKUP(2^15,SEARCH(Tabela2[Palavras-Chave],Boletim[[#This Row],[Objeto]],1),Tabela2[Palavras-Chave])</f>
        <v>#N/A</v>
      </c>
    </row>
    <row r="410" spans="1:11" hidden="1" x14ac:dyDescent="0.3">
      <c r="A410" s="5">
        <v>18802854</v>
      </c>
      <c r="B410" s="6" t="s">
        <v>1779</v>
      </c>
      <c r="C410" s="6" t="s">
        <v>133</v>
      </c>
      <c r="D410" s="8" t="s">
        <v>71</v>
      </c>
      <c r="E410" s="6" t="s">
        <v>1783</v>
      </c>
      <c r="F410" s="6" t="s">
        <v>85</v>
      </c>
      <c r="G410" s="11" t="s">
        <v>56</v>
      </c>
      <c r="H410" s="10" t="s">
        <v>1784</v>
      </c>
      <c r="I410" s="6" t="s">
        <v>1785</v>
      </c>
      <c r="J410" s="12">
        <v>46120.588391203702</v>
      </c>
      <c r="K410" s="6" t="e" cm="1">
        <f t="array" ref="K410">LOOKUP(2^15,SEARCH(Tabela2[Palavras-Chave],Boletim[[#This Row],[Objeto]],1),Tabela2[Palavras-Chave])</f>
        <v>#N/A</v>
      </c>
    </row>
    <row r="411" spans="1:11" hidden="1" x14ac:dyDescent="0.3">
      <c r="A411" s="5">
        <v>18805629</v>
      </c>
      <c r="B411" s="6" t="s">
        <v>1786</v>
      </c>
      <c r="C411" s="6" t="s">
        <v>1787</v>
      </c>
      <c r="D411" s="8" t="s">
        <v>71</v>
      </c>
      <c r="E411" s="6" t="s">
        <v>115</v>
      </c>
      <c r="F411" s="6" t="s">
        <v>85</v>
      </c>
      <c r="G411" s="11">
        <v>46134.375</v>
      </c>
      <c r="H411" s="10" t="s">
        <v>1788</v>
      </c>
      <c r="I411" s="6" t="s">
        <v>1789</v>
      </c>
      <c r="J411" s="12">
        <v>46120.746990740743</v>
      </c>
      <c r="K411" s="6" t="e" cm="1">
        <f t="array" ref="K411">LOOKUP(2^15,SEARCH(Tabela2[Palavras-Chave],Boletim[[#This Row],[Objeto]],1),Tabela2[Palavras-Chave])</f>
        <v>#N/A</v>
      </c>
    </row>
    <row r="412" spans="1:11" hidden="1" x14ac:dyDescent="0.3">
      <c r="A412" s="5">
        <v>18800615</v>
      </c>
      <c r="B412" s="6" t="s">
        <v>1790</v>
      </c>
      <c r="C412" s="6" t="s">
        <v>1791</v>
      </c>
      <c r="D412" s="8" t="s">
        <v>72</v>
      </c>
      <c r="E412" s="6" t="s">
        <v>134</v>
      </c>
      <c r="F412" s="6" t="s">
        <v>85</v>
      </c>
      <c r="G412" s="11" t="s">
        <v>56</v>
      </c>
      <c r="H412" s="10" t="s">
        <v>1792</v>
      </c>
      <c r="I412" s="6" t="s">
        <v>1793</v>
      </c>
      <c r="J412" s="12">
        <v>46120.388356481482</v>
      </c>
      <c r="K412" s="6" t="e" cm="1">
        <f t="array" ref="K412">LOOKUP(2^15,SEARCH(Tabela2[Palavras-Chave],Boletim[[#This Row],[Objeto]],1),Tabela2[Palavras-Chave])</f>
        <v>#N/A</v>
      </c>
    </row>
    <row r="413" spans="1:11" hidden="1" x14ac:dyDescent="0.3">
      <c r="A413" s="13">
        <v>18795164</v>
      </c>
      <c r="B413" s="10" t="s">
        <v>1794</v>
      </c>
      <c r="C413" s="10" t="s">
        <v>1795</v>
      </c>
      <c r="D413" s="15" t="s">
        <v>72</v>
      </c>
      <c r="E413" s="10" t="s">
        <v>381</v>
      </c>
      <c r="F413" s="10" t="s">
        <v>85</v>
      </c>
      <c r="G413" s="16" t="s">
        <v>56</v>
      </c>
      <c r="H413" s="10" t="s">
        <v>1796</v>
      </c>
      <c r="I413" s="10" t="s">
        <v>1797</v>
      </c>
      <c r="J413" s="17">
        <v>46120.388935185183</v>
      </c>
      <c r="K413" s="6" t="e" cm="1">
        <f t="array" ref="K413">LOOKUP(2^15,SEARCH(Tabela2[Palavras-Chave],Boletim[[#This Row],[Objeto]],1),Tabela2[Palavras-Chave])</f>
        <v>#N/A</v>
      </c>
    </row>
    <row r="414" spans="1:11" hidden="1" x14ac:dyDescent="0.3">
      <c r="A414" s="5">
        <v>18800924</v>
      </c>
      <c r="B414" s="6" t="s">
        <v>1798</v>
      </c>
      <c r="C414" s="6" t="s">
        <v>1799</v>
      </c>
      <c r="D414" s="8" t="s">
        <v>72</v>
      </c>
      <c r="E414" s="6" t="s">
        <v>141</v>
      </c>
      <c r="F414" s="6" t="s">
        <v>85</v>
      </c>
      <c r="G414" s="11">
        <v>46125.333333333336</v>
      </c>
      <c r="H414" s="10" t="s">
        <v>1800</v>
      </c>
      <c r="I414" s="6" t="s">
        <v>1801</v>
      </c>
      <c r="J414" s="12">
        <v>46120.388969907406</v>
      </c>
      <c r="K414" s="6" t="e" cm="1">
        <f t="array" ref="K414">LOOKUP(2^15,SEARCH(Tabela2[Palavras-Chave],Boletim[[#This Row],[Objeto]],1),Tabela2[Palavras-Chave])</f>
        <v>#N/A</v>
      </c>
    </row>
    <row r="415" spans="1:11" hidden="1" x14ac:dyDescent="0.3">
      <c r="A415" s="5">
        <v>18798439</v>
      </c>
      <c r="B415" s="6" t="s">
        <v>1802</v>
      </c>
      <c r="C415" s="6" t="s">
        <v>1803</v>
      </c>
      <c r="D415" s="8" t="s">
        <v>72</v>
      </c>
      <c r="E415" s="6" t="s">
        <v>148</v>
      </c>
      <c r="F415" s="6" t="s">
        <v>85</v>
      </c>
      <c r="G415" s="11" t="s">
        <v>56</v>
      </c>
      <c r="H415" s="10" t="s">
        <v>1804</v>
      </c>
      <c r="I415" s="6" t="s">
        <v>1805</v>
      </c>
      <c r="J415" s="12">
        <v>46120.388981481483</v>
      </c>
      <c r="K415" s="6" t="e" cm="1">
        <f t="array" ref="K415">LOOKUP(2^15,SEARCH(Tabela2[Palavras-Chave],Boletim[[#This Row],[Objeto]],1),Tabela2[Palavras-Chave])</f>
        <v>#N/A</v>
      </c>
    </row>
    <row r="416" spans="1:11" hidden="1" x14ac:dyDescent="0.3">
      <c r="A416" s="5">
        <v>18801592</v>
      </c>
      <c r="B416" s="6" t="s">
        <v>1806</v>
      </c>
      <c r="C416" s="6" t="s">
        <v>1807</v>
      </c>
      <c r="D416" s="8" t="s">
        <v>72</v>
      </c>
      <c r="E416" s="6" t="s">
        <v>120</v>
      </c>
      <c r="F416" s="6" t="s">
        <v>85</v>
      </c>
      <c r="G416" s="11" t="s">
        <v>56</v>
      </c>
      <c r="H416" s="10" t="s">
        <v>1808</v>
      </c>
      <c r="I416" s="6" t="s">
        <v>1809</v>
      </c>
      <c r="J416" s="12">
        <v>46120.456736111111</v>
      </c>
      <c r="K416" s="6" t="e" cm="1">
        <f t="array" ref="K416">LOOKUP(2^15,SEARCH(Tabela2[Palavras-Chave],Boletim[[#This Row],[Objeto]],1),Tabela2[Palavras-Chave])</f>
        <v>#N/A</v>
      </c>
    </row>
    <row r="417" spans="1:11" hidden="1" x14ac:dyDescent="0.3">
      <c r="A417" s="5">
        <v>18801599</v>
      </c>
      <c r="B417" s="6" t="s">
        <v>1810</v>
      </c>
      <c r="C417" s="6" t="s">
        <v>1811</v>
      </c>
      <c r="D417" s="8" t="s">
        <v>72</v>
      </c>
      <c r="E417" s="6" t="s">
        <v>456</v>
      </c>
      <c r="F417" s="6" t="s">
        <v>85</v>
      </c>
      <c r="G417" s="11" t="s">
        <v>56</v>
      </c>
      <c r="H417" s="10" t="s">
        <v>1812</v>
      </c>
      <c r="I417" s="6" t="s">
        <v>1813</v>
      </c>
      <c r="J417" s="12">
        <v>46120.491944444446</v>
      </c>
      <c r="K417" s="6" t="e" cm="1">
        <f t="array" ref="K417">LOOKUP(2^15,SEARCH(Tabela2[Palavras-Chave],Boletim[[#This Row],[Objeto]],1),Tabela2[Palavras-Chave])</f>
        <v>#N/A</v>
      </c>
    </row>
    <row r="418" spans="1:11" hidden="1" x14ac:dyDescent="0.3">
      <c r="A418" s="5">
        <v>18801669</v>
      </c>
      <c r="B418" s="6" t="s">
        <v>1814</v>
      </c>
      <c r="C418" s="6" t="s">
        <v>1815</v>
      </c>
      <c r="D418" s="8" t="s">
        <v>72</v>
      </c>
      <c r="E418" s="6" t="s">
        <v>143</v>
      </c>
      <c r="F418" s="6" t="s">
        <v>85</v>
      </c>
      <c r="G418" s="11" t="s">
        <v>56</v>
      </c>
      <c r="H418" s="10" t="s">
        <v>1816</v>
      </c>
      <c r="I418" s="6" t="s">
        <v>1817</v>
      </c>
      <c r="J418" s="12">
        <v>46120.493738425925</v>
      </c>
      <c r="K418" s="6" t="e" cm="1">
        <f t="array" ref="K418">LOOKUP(2^15,SEARCH(Tabela2[Palavras-Chave],Boletim[[#This Row],[Objeto]],1),Tabela2[Palavras-Chave])</f>
        <v>#N/A</v>
      </c>
    </row>
    <row r="419" spans="1:11" hidden="1" x14ac:dyDescent="0.3">
      <c r="A419" s="5">
        <v>18802711</v>
      </c>
      <c r="B419" s="6" t="s">
        <v>384</v>
      </c>
      <c r="C419" s="6" t="s">
        <v>206</v>
      </c>
      <c r="D419" s="8" t="s">
        <v>72</v>
      </c>
      <c r="E419" s="6" t="s">
        <v>1818</v>
      </c>
      <c r="F419" s="6" t="s">
        <v>85</v>
      </c>
      <c r="G419" s="11" t="s">
        <v>56</v>
      </c>
      <c r="H419" s="10" t="s">
        <v>1819</v>
      </c>
      <c r="I419" s="6" t="s">
        <v>1820</v>
      </c>
      <c r="J419" s="12">
        <v>46120.516493055555</v>
      </c>
      <c r="K419" s="6" t="e" cm="1">
        <f t="array" ref="K419">LOOKUP(2^15,SEARCH(Tabela2[Palavras-Chave],Boletim[[#This Row],[Objeto]],1),Tabela2[Palavras-Chave])</f>
        <v>#N/A</v>
      </c>
    </row>
    <row r="420" spans="1:11" hidden="1" x14ac:dyDescent="0.3">
      <c r="A420" s="5">
        <v>18801632</v>
      </c>
      <c r="B420" s="6" t="s">
        <v>235</v>
      </c>
      <c r="C420" s="6" t="s">
        <v>236</v>
      </c>
      <c r="D420" s="8" t="s">
        <v>72</v>
      </c>
      <c r="E420" s="6" t="s">
        <v>143</v>
      </c>
      <c r="F420" s="6" t="s">
        <v>85</v>
      </c>
      <c r="G420" s="11" t="s">
        <v>56</v>
      </c>
      <c r="H420" s="10" t="s">
        <v>1821</v>
      </c>
      <c r="I420" s="6" t="s">
        <v>1822</v>
      </c>
      <c r="J420" s="12">
        <v>46120.517847222225</v>
      </c>
      <c r="K420" s="6" t="e" cm="1">
        <f t="array" ref="K420">LOOKUP(2^15,SEARCH(Tabela2[Palavras-Chave],Boletim[[#This Row],[Objeto]],1),Tabela2[Palavras-Chave])</f>
        <v>#N/A</v>
      </c>
    </row>
    <row r="421" spans="1:11" hidden="1" x14ac:dyDescent="0.3">
      <c r="A421" s="5">
        <v>18802706</v>
      </c>
      <c r="B421" s="6" t="s">
        <v>1823</v>
      </c>
      <c r="C421" s="6" t="s">
        <v>1824</v>
      </c>
      <c r="D421" s="8" t="s">
        <v>72</v>
      </c>
      <c r="E421" s="6" t="s">
        <v>184</v>
      </c>
      <c r="F421" s="6" t="s">
        <v>85</v>
      </c>
      <c r="G421" s="11" t="s">
        <v>56</v>
      </c>
      <c r="H421" s="10" t="s">
        <v>1825</v>
      </c>
      <c r="I421" s="6" t="s">
        <v>1826</v>
      </c>
      <c r="J421" s="12">
        <v>46120.525682870371</v>
      </c>
      <c r="K421" s="6" t="e" cm="1">
        <f t="array" ref="K421">LOOKUP(2^15,SEARCH(Tabela2[Palavras-Chave],Boletim[[#This Row],[Objeto]],1),Tabela2[Palavras-Chave])</f>
        <v>#N/A</v>
      </c>
    </row>
    <row r="422" spans="1:11" hidden="1" x14ac:dyDescent="0.3">
      <c r="A422" s="5">
        <v>18802232</v>
      </c>
      <c r="B422" s="6" t="s">
        <v>74</v>
      </c>
      <c r="C422" s="6" t="s">
        <v>73</v>
      </c>
      <c r="D422" s="8" t="s">
        <v>72</v>
      </c>
      <c r="E422" s="6" t="s">
        <v>1394</v>
      </c>
      <c r="F422" s="6" t="s">
        <v>85</v>
      </c>
      <c r="G422" s="11" t="s">
        <v>56</v>
      </c>
      <c r="H422" s="10" t="s">
        <v>1395</v>
      </c>
      <c r="I422" s="6" t="s">
        <v>1396</v>
      </c>
      <c r="J422" s="12">
        <v>46120.529236111113</v>
      </c>
      <c r="K422" s="6" t="e" cm="1">
        <f t="array" ref="K422">LOOKUP(2^15,SEARCH(Tabela2[Palavras-Chave],Boletim[[#This Row],[Objeto]],1),Tabela2[Palavras-Chave])</f>
        <v>#N/A</v>
      </c>
    </row>
    <row r="423" spans="1:11" hidden="1" x14ac:dyDescent="0.3">
      <c r="A423" s="5">
        <v>18802762</v>
      </c>
      <c r="B423" s="6" t="s">
        <v>1827</v>
      </c>
      <c r="C423" s="6" t="s">
        <v>1828</v>
      </c>
      <c r="D423" s="8" t="s">
        <v>72</v>
      </c>
      <c r="E423" s="6" t="s">
        <v>1677</v>
      </c>
      <c r="F423" s="6" t="s">
        <v>85</v>
      </c>
      <c r="G423" s="11" t="s">
        <v>56</v>
      </c>
      <c r="H423" s="10" t="s">
        <v>1829</v>
      </c>
      <c r="I423" s="6" t="s">
        <v>1830</v>
      </c>
      <c r="J423" s="12">
        <v>46120.527129629627</v>
      </c>
      <c r="K423" s="6" t="e" cm="1">
        <f t="array" ref="K423">LOOKUP(2^15,SEARCH(Tabela2[Palavras-Chave],Boletim[[#This Row],[Objeto]],1),Tabela2[Palavras-Chave])</f>
        <v>#N/A</v>
      </c>
    </row>
    <row r="424" spans="1:11" hidden="1" x14ac:dyDescent="0.3">
      <c r="A424" s="5">
        <v>18802239</v>
      </c>
      <c r="B424" s="6" t="s">
        <v>74</v>
      </c>
      <c r="C424" s="6" t="s">
        <v>73</v>
      </c>
      <c r="D424" s="8" t="s">
        <v>72</v>
      </c>
      <c r="E424" s="6" t="s">
        <v>1232</v>
      </c>
      <c r="F424" s="6" t="s">
        <v>85</v>
      </c>
      <c r="G424" s="11" t="s">
        <v>56</v>
      </c>
      <c r="H424" s="10" t="s">
        <v>1233</v>
      </c>
      <c r="I424" s="6" t="s">
        <v>1234</v>
      </c>
      <c r="J424" s="12">
        <v>46120.529907407406</v>
      </c>
      <c r="K424" s="6" t="e" cm="1">
        <f t="array" ref="K424">LOOKUP(2^15,SEARCH(Tabela2[Palavras-Chave],Boletim[[#This Row],[Objeto]],1),Tabela2[Palavras-Chave])</f>
        <v>#N/A</v>
      </c>
    </row>
    <row r="425" spans="1:11" hidden="1" x14ac:dyDescent="0.3">
      <c r="A425" s="5">
        <v>18802744</v>
      </c>
      <c r="B425" s="6" t="s">
        <v>457</v>
      </c>
      <c r="C425" s="6" t="s">
        <v>385</v>
      </c>
      <c r="D425" s="8" t="s">
        <v>72</v>
      </c>
      <c r="E425" s="6" t="s">
        <v>1471</v>
      </c>
      <c r="F425" s="6" t="s">
        <v>85</v>
      </c>
      <c r="G425" s="11" t="s">
        <v>56</v>
      </c>
      <c r="H425" s="10" t="s">
        <v>1831</v>
      </c>
      <c r="I425" s="6" t="s">
        <v>1832</v>
      </c>
      <c r="J425" s="12">
        <v>46120.542523148149</v>
      </c>
      <c r="K425" s="6" t="e" cm="1">
        <f t="array" ref="K425">LOOKUP(2^15,SEARCH(Tabela2[Palavras-Chave],Boletim[[#This Row],[Objeto]],1),Tabela2[Palavras-Chave])</f>
        <v>#N/A</v>
      </c>
    </row>
    <row r="426" spans="1:11" hidden="1" x14ac:dyDescent="0.3">
      <c r="A426" s="5">
        <v>18801569</v>
      </c>
      <c r="B426" s="6" t="s">
        <v>1833</v>
      </c>
      <c r="C426" s="6" t="s">
        <v>1834</v>
      </c>
      <c r="D426" s="8" t="s">
        <v>72</v>
      </c>
      <c r="E426" s="6" t="s">
        <v>223</v>
      </c>
      <c r="F426" s="6" t="s">
        <v>85</v>
      </c>
      <c r="G426" s="11" t="s">
        <v>56</v>
      </c>
      <c r="H426" s="10" t="s">
        <v>1835</v>
      </c>
      <c r="I426" s="6" t="s">
        <v>1836</v>
      </c>
      <c r="J426" s="12">
        <v>46120.563032407408</v>
      </c>
      <c r="K426" s="6" t="e" cm="1">
        <f t="array" ref="K426">LOOKUP(2^15,SEARCH(Tabela2[Palavras-Chave],Boletim[[#This Row],[Objeto]],1),Tabela2[Palavras-Chave])</f>
        <v>#N/A</v>
      </c>
    </row>
    <row r="427" spans="1:11" hidden="1" x14ac:dyDescent="0.3">
      <c r="A427" s="5">
        <v>18801571</v>
      </c>
      <c r="B427" s="6" t="s">
        <v>424</v>
      </c>
      <c r="C427" s="6" t="s">
        <v>425</v>
      </c>
      <c r="D427" s="8" t="s">
        <v>72</v>
      </c>
      <c r="E427" s="6" t="s">
        <v>1669</v>
      </c>
      <c r="F427" s="6" t="s">
        <v>85</v>
      </c>
      <c r="G427" s="11" t="s">
        <v>56</v>
      </c>
      <c r="H427" s="10" t="s">
        <v>1837</v>
      </c>
      <c r="I427" s="6" t="s">
        <v>1838</v>
      </c>
      <c r="J427" s="12">
        <v>46120.564212962963</v>
      </c>
      <c r="K427" s="6" t="e" cm="1">
        <f t="array" ref="K427">LOOKUP(2^15,SEARCH(Tabela2[Palavras-Chave],Boletim[[#This Row],[Objeto]],1),Tabela2[Palavras-Chave])</f>
        <v>#N/A</v>
      </c>
    </row>
    <row r="428" spans="1:11" hidden="1" x14ac:dyDescent="0.3">
      <c r="A428" s="5">
        <v>18800365</v>
      </c>
      <c r="B428" s="6" t="s">
        <v>1839</v>
      </c>
      <c r="C428" s="6" t="s">
        <v>1840</v>
      </c>
      <c r="D428" s="8" t="s">
        <v>72</v>
      </c>
      <c r="E428" s="6" t="s">
        <v>125</v>
      </c>
      <c r="F428" s="6" t="s">
        <v>85</v>
      </c>
      <c r="G428" s="11" t="s">
        <v>56</v>
      </c>
      <c r="H428" s="10" t="s">
        <v>1841</v>
      </c>
      <c r="I428" s="6" t="s">
        <v>1842</v>
      </c>
      <c r="J428" s="12">
        <v>46120.586863425924</v>
      </c>
      <c r="K428" s="6" t="e" cm="1">
        <f t="array" ref="K428">LOOKUP(2^15,SEARCH(Tabela2[Palavras-Chave],Boletim[[#This Row],[Objeto]],1),Tabela2[Palavras-Chave])</f>
        <v>#N/A</v>
      </c>
    </row>
    <row r="429" spans="1:11" hidden="1" x14ac:dyDescent="0.3">
      <c r="A429" s="5">
        <v>18802691</v>
      </c>
      <c r="B429" s="6" t="s">
        <v>239</v>
      </c>
      <c r="C429" s="6" t="s">
        <v>240</v>
      </c>
      <c r="D429" s="8" t="s">
        <v>72</v>
      </c>
      <c r="E429" s="6" t="s">
        <v>267</v>
      </c>
      <c r="F429" s="6" t="s">
        <v>85</v>
      </c>
      <c r="G429" s="11" t="s">
        <v>56</v>
      </c>
      <c r="H429" s="10" t="s">
        <v>1843</v>
      </c>
      <c r="I429" s="6" t="s">
        <v>1844</v>
      </c>
      <c r="J429" s="12">
        <v>46120.586840277778</v>
      </c>
      <c r="K429" s="6" t="e" cm="1">
        <f t="array" ref="K429">LOOKUP(2^15,SEARCH(Tabela2[Palavras-Chave],Boletim[[#This Row],[Objeto]],1),Tabela2[Palavras-Chave])</f>
        <v>#N/A</v>
      </c>
    </row>
    <row r="430" spans="1:11" hidden="1" x14ac:dyDescent="0.3">
      <c r="A430" s="13">
        <v>18803964</v>
      </c>
      <c r="B430" s="10" t="s">
        <v>421</v>
      </c>
      <c r="C430" s="10" t="s">
        <v>422</v>
      </c>
      <c r="D430" s="15" t="s">
        <v>72</v>
      </c>
      <c r="E430" s="10" t="s">
        <v>134</v>
      </c>
      <c r="F430" s="10" t="s">
        <v>85</v>
      </c>
      <c r="G430" s="16" t="s">
        <v>56</v>
      </c>
      <c r="H430" s="10" t="s">
        <v>1845</v>
      </c>
      <c r="I430" s="10" t="s">
        <v>1846</v>
      </c>
      <c r="J430" s="17">
        <v>46120.608067129629</v>
      </c>
      <c r="K430" s="6" t="e" cm="1">
        <f t="array" ref="K430">LOOKUP(2^15,SEARCH(Tabela2[Palavras-Chave],Boletim[[#This Row],[Objeto]],1),Tabela2[Palavras-Chave])</f>
        <v>#N/A</v>
      </c>
    </row>
    <row r="431" spans="1:11" hidden="1" x14ac:dyDescent="0.3">
      <c r="A431" s="5">
        <v>18804008</v>
      </c>
      <c r="B431" s="6" t="s">
        <v>1847</v>
      </c>
      <c r="C431" s="6" t="s">
        <v>1848</v>
      </c>
      <c r="D431" s="8" t="s">
        <v>72</v>
      </c>
      <c r="E431" s="6" t="s">
        <v>1849</v>
      </c>
      <c r="F431" s="6" t="s">
        <v>85</v>
      </c>
      <c r="G431" s="11">
        <v>46146.374305555553</v>
      </c>
      <c r="H431" s="10" t="s">
        <v>1850</v>
      </c>
      <c r="I431" s="6" t="s">
        <v>1851</v>
      </c>
      <c r="J431" s="12">
        <v>46120.61041666667</v>
      </c>
      <c r="K431" s="6" t="e" cm="1">
        <f t="array" ref="K431">LOOKUP(2^15,SEARCH(Tabela2[Palavras-Chave],Boletim[[#This Row],[Objeto]],1),Tabela2[Palavras-Chave])</f>
        <v>#N/A</v>
      </c>
    </row>
    <row r="432" spans="1:11" ht="244.8" x14ac:dyDescent="0.3">
      <c r="A432" s="5">
        <v>18803811</v>
      </c>
      <c r="B432" s="6" t="s">
        <v>1852</v>
      </c>
      <c r="C432" s="6" t="s">
        <v>1853</v>
      </c>
      <c r="D432" s="8" t="s">
        <v>72</v>
      </c>
      <c r="E432" s="6" t="s">
        <v>166</v>
      </c>
      <c r="F432" s="6" t="s">
        <v>85</v>
      </c>
      <c r="G432" s="11" t="s">
        <v>56</v>
      </c>
      <c r="H432" s="21" t="s">
        <v>1854</v>
      </c>
      <c r="I432" s="6" t="s">
        <v>1855</v>
      </c>
      <c r="J432" s="12">
        <v>46120.64199074074</v>
      </c>
      <c r="K432" s="6" t="str" cm="1">
        <f t="array" ref="K432">LOOKUP(2^15,SEARCH(Tabela2[Palavras-Chave],Boletim[[#This Row],[Objeto]],1),Tabela2[Palavras-Chave])</f>
        <v>BOMBEAMENTO</v>
      </c>
    </row>
    <row r="433" spans="1:11" hidden="1" x14ac:dyDescent="0.3">
      <c r="A433" s="5">
        <v>18802759</v>
      </c>
      <c r="B433" s="6" t="s">
        <v>1856</v>
      </c>
      <c r="C433" s="6" t="s">
        <v>1857</v>
      </c>
      <c r="D433" s="8" t="s">
        <v>72</v>
      </c>
      <c r="E433" s="6" t="s">
        <v>1858</v>
      </c>
      <c r="F433" s="6" t="s">
        <v>85</v>
      </c>
      <c r="G433" s="11" t="s">
        <v>56</v>
      </c>
      <c r="H433" s="10" t="s">
        <v>1859</v>
      </c>
      <c r="I433" s="6" t="s">
        <v>1860</v>
      </c>
      <c r="J433" s="12">
        <v>46120.664120370369</v>
      </c>
      <c r="K433" s="6" t="e" cm="1">
        <f t="array" ref="K433">LOOKUP(2^15,SEARCH(Tabela2[Palavras-Chave],Boletim[[#This Row],[Objeto]],1),Tabela2[Palavras-Chave])</f>
        <v>#N/A</v>
      </c>
    </row>
    <row r="434" spans="1:11" hidden="1" x14ac:dyDescent="0.3">
      <c r="A434" s="5">
        <v>18802718</v>
      </c>
      <c r="B434" s="6" t="s">
        <v>1856</v>
      </c>
      <c r="C434" s="6" t="s">
        <v>1857</v>
      </c>
      <c r="D434" s="8" t="s">
        <v>72</v>
      </c>
      <c r="E434" s="6" t="s">
        <v>1861</v>
      </c>
      <c r="F434" s="6" t="s">
        <v>85</v>
      </c>
      <c r="G434" s="11" t="s">
        <v>56</v>
      </c>
      <c r="H434" s="10" t="s">
        <v>1862</v>
      </c>
      <c r="I434" s="6" t="s">
        <v>1863</v>
      </c>
      <c r="J434" s="12">
        <v>46120.664236111108</v>
      </c>
      <c r="K434" s="6" t="e" cm="1">
        <f t="array" ref="K434">LOOKUP(2^15,SEARCH(Tabela2[Palavras-Chave],Boletim[[#This Row],[Objeto]],1),Tabela2[Palavras-Chave])</f>
        <v>#N/A</v>
      </c>
    </row>
    <row r="435" spans="1:11" hidden="1" x14ac:dyDescent="0.3">
      <c r="A435" s="5">
        <v>18802709</v>
      </c>
      <c r="B435" s="6" t="s">
        <v>1864</v>
      </c>
      <c r="C435" s="6" t="s">
        <v>1865</v>
      </c>
      <c r="D435" s="8" t="s">
        <v>72</v>
      </c>
      <c r="E435" s="6" t="s">
        <v>394</v>
      </c>
      <c r="F435" s="6" t="s">
        <v>85</v>
      </c>
      <c r="G435" s="11" t="s">
        <v>56</v>
      </c>
      <c r="H435" s="10" t="s">
        <v>1866</v>
      </c>
      <c r="I435" s="6" t="s">
        <v>1867</v>
      </c>
      <c r="J435" s="12">
        <v>46120.664768518516</v>
      </c>
      <c r="K435" s="6" t="e" cm="1">
        <f t="array" ref="K435">LOOKUP(2^15,SEARCH(Tabela2[Palavras-Chave],Boletim[[#This Row],[Objeto]],1),Tabela2[Palavras-Chave])</f>
        <v>#N/A</v>
      </c>
    </row>
    <row r="436" spans="1:11" hidden="1" x14ac:dyDescent="0.3">
      <c r="A436" s="5">
        <v>18805219</v>
      </c>
      <c r="B436" s="6" t="s">
        <v>272</v>
      </c>
      <c r="C436" s="6" t="s">
        <v>273</v>
      </c>
      <c r="D436" s="8" t="s">
        <v>72</v>
      </c>
      <c r="E436" s="6" t="s">
        <v>1868</v>
      </c>
      <c r="F436" s="6" t="s">
        <v>85</v>
      </c>
      <c r="G436" s="11" t="s">
        <v>56</v>
      </c>
      <c r="H436" s="10" t="s">
        <v>1869</v>
      </c>
      <c r="I436" s="6" t="s">
        <v>1870</v>
      </c>
      <c r="J436" s="12">
        <v>46120.712916666664</v>
      </c>
      <c r="K436" s="6" t="e" cm="1">
        <f t="array" ref="K436">LOOKUP(2^15,SEARCH(Tabela2[Palavras-Chave],Boletim[[#This Row],[Objeto]],1),Tabela2[Palavras-Chave])</f>
        <v>#N/A</v>
      </c>
    </row>
    <row r="437" spans="1:11" hidden="1" x14ac:dyDescent="0.3">
      <c r="A437" s="5">
        <v>18790282</v>
      </c>
      <c r="B437" s="6" t="s">
        <v>1871</v>
      </c>
      <c r="C437" s="6" t="s">
        <v>1872</v>
      </c>
      <c r="D437" s="8" t="s">
        <v>72</v>
      </c>
      <c r="E437" s="6" t="s">
        <v>126</v>
      </c>
      <c r="F437" s="6" t="s">
        <v>85</v>
      </c>
      <c r="G437" s="11">
        <v>46134.625</v>
      </c>
      <c r="H437" s="10" t="s">
        <v>1873</v>
      </c>
      <c r="I437" s="6" t="s">
        <v>1874</v>
      </c>
      <c r="J437" s="12">
        <v>46120.721620370372</v>
      </c>
      <c r="K437" s="6" t="e" cm="1">
        <f t="array" ref="K437">LOOKUP(2^15,SEARCH(Tabela2[Palavras-Chave],Boletim[[#This Row],[Objeto]],1),Tabela2[Palavras-Chave])</f>
        <v>#N/A</v>
      </c>
    </row>
    <row r="438" spans="1:11" hidden="1" x14ac:dyDescent="0.3">
      <c r="A438" s="5">
        <v>18802698</v>
      </c>
      <c r="B438" s="6" t="s">
        <v>1823</v>
      </c>
      <c r="C438" s="6" t="s">
        <v>1824</v>
      </c>
      <c r="D438" s="8" t="s">
        <v>72</v>
      </c>
      <c r="E438" s="6" t="s">
        <v>157</v>
      </c>
      <c r="F438" s="6" t="s">
        <v>85</v>
      </c>
      <c r="G438" s="11" t="s">
        <v>56</v>
      </c>
      <c r="H438" s="10" t="s">
        <v>1875</v>
      </c>
      <c r="I438" s="6" t="s">
        <v>1876</v>
      </c>
      <c r="J438" s="12">
        <v>46120.731979166667</v>
      </c>
      <c r="K438" s="6" t="e" cm="1">
        <f t="array" ref="K438">LOOKUP(2^15,SEARCH(Tabela2[Palavras-Chave],Boletim[[#This Row],[Objeto]],1),Tabela2[Palavras-Chave])</f>
        <v>#N/A</v>
      </c>
    </row>
    <row r="439" spans="1:11" hidden="1" x14ac:dyDescent="0.3">
      <c r="A439" s="5">
        <v>18802708</v>
      </c>
      <c r="B439" s="6" t="s">
        <v>1877</v>
      </c>
      <c r="C439" s="6" t="s">
        <v>1878</v>
      </c>
      <c r="D439" s="8" t="s">
        <v>72</v>
      </c>
      <c r="E439" s="6" t="s">
        <v>230</v>
      </c>
      <c r="F439" s="6" t="s">
        <v>85</v>
      </c>
      <c r="G439" s="11" t="s">
        <v>56</v>
      </c>
      <c r="H439" s="10" t="s">
        <v>1879</v>
      </c>
      <c r="I439" s="6" t="s">
        <v>1880</v>
      </c>
      <c r="J439" s="12">
        <v>46120.732268518521</v>
      </c>
      <c r="K439" s="6" t="e" cm="1">
        <f t="array" ref="K439">LOOKUP(2^15,SEARCH(Tabela2[Palavras-Chave],Boletim[[#This Row],[Objeto]],1),Tabela2[Palavras-Chave])</f>
        <v>#N/A</v>
      </c>
    </row>
    <row r="440" spans="1:11" hidden="1" x14ac:dyDescent="0.3">
      <c r="A440" s="5">
        <v>18802731</v>
      </c>
      <c r="B440" s="6" t="s">
        <v>1881</v>
      </c>
      <c r="C440" s="6" t="s">
        <v>1882</v>
      </c>
      <c r="D440" s="8" t="s">
        <v>72</v>
      </c>
      <c r="E440" s="6" t="s">
        <v>224</v>
      </c>
      <c r="F440" s="6" t="s">
        <v>85</v>
      </c>
      <c r="G440" s="11" t="s">
        <v>56</v>
      </c>
      <c r="H440" s="10" t="s">
        <v>1883</v>
      </c>
      <c r="I440" s="6" t="s">
        <v>1884</v>
      </c>
      <c r="J440" s="12">
        <v>46120.733043981483</v>
      </c>
      <c r="K440" s="6" t="e" cm="1">
        <f t="array" ref="K440">LOOKUP(2^15,SEARCH(Tabela2[Palavras-Chave],Boletim[[#This Row],[Objeto]],1),Tabela2[Palavras-Chave])</f>
        <v>#N/A</v>
      </c>
    </row>
    <row r="441" spans="1:11" hidden="1" x14ac:dyDescent="0.3">
      <c r="A441" s="5">
        <v>18804287</v>
      </c>
      <c r="B441" s="6" t="s">
        <v>156</v>
      </c>
      <c r="C441" s="6" t="s">
        <v>73</v>
      </c>
      <c r="D441" s="8" t="s">
        <v>72</v>
      </c>
      <c r="E441" s="6" t="s">
        <v>1885</v>
      </c>
      <c r="F441" s="6" t="s">
        <v>85</v>
      </c>
      <c r="G441" s="11">
        <v>46196.416666666664</v>
      </c>
      <c r="H441" s="10" t="s">
        <v>1886</v>
      </c>
      <c r="I441" s="6" t="s">
        <v>1887</v>
      </c>
      <c r="J441" s="12">
        <v>46120.743159722224</v>
      </c>
      <c r="K441" s="6" t="e" cm="1">
        <f t="array" ref="K441">LOOKUP(2^15,SEARCH(Tabela2[Palavras-Chave],Boletim[[#This Row],[Objeto]],1),Tabela2[Palavras-Chave])</f>
        <v>#N/A</v>
      </c>
    </row>
    <row r="442" spans="1:11" hidden="1" x14ac:dyDescent="0.3">
      <c r="A442" s="5">
        <v>18805374</v>
      </c>
      <c r="B442" s="6" t="s">
        <v>1888</v>
      </c>
      <c r="C442" s="6" t="s">
        <v>1889</v>
      </c>
      <c r="D442" s="8" t="s">
        <v>72</v>
      </c>
      <c r="E442" s="6" t="s">
        <v>139</v>
      </c>
      <c r="F442" s="6" t="s">
        <v>85</v>
      </c>
      <c r="G442" s="11" t="s">
        <v>56</v>
      </c>
      <c r="H442" s="10" t="s">
        <v>1890</v>
      </c>
      <c r="I442" s="6" t="s">
        <v>1891</v>
      </c>
      <c r="J442" s="12">
        <v>46120.74422453704</v>
      </c>
      <c r="K442" s="6" t="e" cm="1">
        <f t="array" ref="K442">LOOKUP(2^15,SEARCH(Tabela2[Palavras-Chave],Boletim[[#This Row],[Objeto]],1),Tabela2[Palavras-Chave])</f>
        <v>#N/A</v>
      </c>
    </row>
    <row r="443" spans="1:11" hidden="1" x14ac:dyDescent="0.3">
      <c r="A443" s="5">
        <v>18801651</v>
      </c>
      <c r="B443" s="6" t="s">
        <v>1892</v>
      </c>
      <c r="C443" s="6" t="s">
        <v>1893</v>
      </c>
      <c r="D443" s="8" t="s">
        <v>72</v>
      </c>
      <c r="E443" s="6" t="s">
        <v>198</v>
      </c>
      <c r="F443" s="6" t="s">
        <v>85</v>
      </c>
      <c r="G443" s="11" t="s">
        <v>56</v>
      </c>
      <c r="H443" s="10" t="s">
        <v>1894</v>
      </c>
      <c r="I443" s="6" t="s">
        <v>1895</v>
      </c>
      <c r="J443" s="12">
        <v>46120.755509259259</v>
      </c>
      <c r="K443" s="6" t="e" cm="1">
        <f t="array" ref="K443">LOOKUP(2^15,SEARCH(Tabela2[Palavras-Chave],Boletim[[#This Row],[Objeto]],1),Tabela2[Palavras-Chave])</f>
        <v>#N/A</v>
      </c>
    </row>
    <row r="444" spans="1:11" hidden="1" x14ac:dyDescent="0.3">
      <c r="A444" s="13">
        <v>18805371</v>
      </c>
      <c r="B444" s="10" t="s">
        <v>1896</v>
      </c>
      <c r="C444" s="10" t="s">
        <v>1897</v>
      </c>
      <c r="D444" s="15" t="s">
        <v>72</v>
      </c>
      <c r="E444" s="10" t="s">
        <v>377</v>
      </c>
      <c r="F444" s="10" t="s">
        <v>85</v>
      </c>
      <c r="G444" s="16" t="s">
        <v>56</v>
      </c>
      <c r="H444" s="10" t="s">
        <v>1898</v>
      </c>
      <c r="I444" s="10" t="s">
        <v>1899</v>
      </c>
      <c r="J444" s="17">
        <v>46120.755891203706</v>
      </c>
      <c r="K444" s="6" t="e" cm="1">
        <f t="array" ref="K444">LOOKUP(2^15,SEARCH(Tabela2[Palavras-Chave],Boletim[[#This Row],[Objeto]],1),Tabela2[Palavras-Chave])</f>
        <v>#N/A</v>
      </c>
    </row>
    <row r="445" spans="1:11" hidden="1" x14ac:dyDescent="0.3">
      <c r="A445" s="5">
        <v>18804123</v>
      </c>
      <c r="B445" s="6" t="s">
        <v>156</v>
      </c>
      <c r="C445" s="6" t="s">
        <v>73</v>
      </c>
      <c r="D445" s="8" t="s">
        <v>72</v>
      </c>
      <c r="E445" s="6" t="s">
        <v>1900</v>
      </c>
      <c r="F445" s="6" t="s">
        <v>85</v>
      </c>
      <c r="G445" s="11">
        <v>46136.375</v>
      </c>
      <c r="H445" s="10" t="s">
        <v>1901</v>
      </c>
      <c r="I445" s="6" t="s">
        <v>1902</v>
      </c>
      <c r="J445" s="12">
        <v>46120.760243055556</v>
      </c>
      <c r="K445" s="6" t="e" cm="1">
        <f t="array" ref="K445">LOOKUP(2^15,SEARCH(Tabela2[Palavras-Chave],Boletim[[#This Row],[Objeto]],1),Tabela2[Palavras-Chave])</f>
        <v>#N/A</v>
      </c>
    </row>
    <row r="446" spans="1:11" hidden="1" x14ac:dyDescent="0.3">
      <c r="A446" s="5">
        <v>18803498</v>
      </c>
      <c r="B446" s="6" t="s">
        <v>1903</v>
      </c>
      <c r="C446" s="6" t="s">
        <v>1904</v>
      </c>
      <c r="D446" s="8" t="s">
        <v>72</v>
      </c>
      <c r="E446" s="6" t="s">
        <v>461</v>
      </c>
      <c r="F446" s="6" t="s">
        <v>85</v>
      </c>
      <c r="G446" s="11">
        <v>46135.375</v>
      </c>
      <c r="H446" s="10" t="s">
        <v>1905</v>
      </c>
      <c r="I446" s="6" t="s">
        <v>1906</v>
      </c>
      <c r="J446" s="12">
        <v>46120.773148148146</v>
      </c>
      <c r="K446" s="6" t="e" cm="1">
        <f t="array" ref="K446">LOOKUP(2^15,SEARCH(Tabela2[Palavras-Chave],Boletim[[#This Row],[Objeto]],1),Tabela2[Palavras-Chave])</f>
        <v>#N/A</v>
      </c>
    </row>
    <row r="447" spans="1:11" ht="86.4" x14ac:dyDescent="0.3">
      <c r="A447" s="5">
        <v>18801423</v>
      </c>
      <c r="B447" s="6" t="s">
        <v>1907</v>
      </c>
      <c r="C447" s="6" t="s">
        <v>73</v>
      </c>
      <c r="D447" s="8" t="s">
        <v>72</v>
      </c>
      <c r="E447" s="6" t="s">
        <v>1908</v>
      </c>
      <c r="F447" s="6" t="s">
        <v>85</v>
      </c>
      <c r="G447" s="11" t="s">
        <v>56</v>
      </c>
      <c r="H447" s="21" t="s">
        <v>1909</v>
      </c>
      <c r="I447" s="6" t="s">
        <v>1910</v>
      </c>
      <c r="J447" s="12">
        <v>46120.781828703701</v>
      </c>
      <c r="K447" s="6" t="str" cm="1">
        <f t="array" ref="K447">LOOKUP(2^15,SEARCH(Tabela2[Palavras-Chave],Boletim[[#This Row],[Objeto]],1),Tabela2[Palavras-Chave])</f>
        <v>MEDIÇÃO</v>
      </c>
    </row>
    <row r="448" spans="1:11" hidden="1" x14ac:dyDescent="0.3">
      <c r="A448" s="5">
        <v>18804126</v>
      </c>
      <c r="B448" s="6" t="s">
        <v>156</v>
      </c>
      <c r="C448" s="6" t="s">
        <v>73</v>
      </c>
      <c r="D448" s="8" t="s">
        <v>72</v>
      </c>
      <c r="E448" s="6" t="s">
        <v>1911</v>
      </c>
      <c r="F448" s="6" t="s">
        <v>85</v>
      </c>
      <c r="G448" s="11">
        <v>46136.375</v>
      </c>
      <c r="H448" s="10" t="s">
        <v>1912</v>
      </c>
      <c r="I448" s="6" t="s">
        <v>1902</v>
      </c>
      <c r="J448" s="12">
        <v>46120.882314814815</v>
      </c>
      <c r="K448" s="6" t="e" cm="1">
        <f t="array" ref="K448">LOOKUP(2^15,SEARCH(Tabela2[Palavras-Chave],Boletim[[#This Row],[Objeto]],1),Tabela2[Palavras-Chave])</f>
        <v>#N/A</v>
      </c>
    </row>
    <row r="449" spans="1:11" hidden="1" x14ac:dyDescent="0.3">
      <c r="A449" s="5">
        <v>18804127</v>
      </c>
      <c r="B449" s="6" t="s">
        <v>156</v>
      </c>
      <c r="C449" s="6" t="s">
        <v>73</v>
      </c>
      <c r="D449" s="8" t="s">
        <v>72</v>
      </c>
      <c r="E449" s="6" t="s">
        <v>1913</v>
      </c>
      <c r="F449" s="6" t="s">
        <v>85</v>
      </c>
      <c r="G449" s="11">
        <v>46135.375</v>
      </c>
      <c r="H449" s="10" t="s">
        <v>1914</v>
      </c>
      <c r="I449" s="6" t="s">
        <v>1915</v>
      </c>
      <c r="J449" s="12">
        <v>46120.882361111115</v>
      </c>
      <c r="K449" s="6" t="e" cm="1">
        <f t="array" ref="K449">LOOKUP(2^15,SEARCH(Tabela2[Palavras-Chave],Boletim[[#This Row],[Objeto]],1),Tabela2[Palavras-Chave])</f>
        <v>#N/A</v>
      </c>
    </row>
    <row r="450" spans="1:11" hidden="1" x14ac:dyDescent="0.3">
      <c r="A450" s="5">
        <v>18804142</v>
      </c>
      <c r="B450" s="6" t="s">
        <v>1916</v>
      </c>
      <c r="C450" s="6" t="s">
        <v>1917</v>
      </c>
      <c r="D450" s="8" t="s">
        <v>72</v>
      </c>
      <c r="E450" s="6" t="s">
        <v>142</v>
      </c>
      <c r="F450" s="6" t="s">
        <v>85</v>
      </c>
      <c r="G450" s="11">
        <v>46135.375</v>
      </c>
      <c r="H450" s="10" t="s">
        <v>1918</v>
      </c>
      <c r="I450" s="6" t="s">
        <v>90</v>
      </c>
      <c r="J450" s="12">
        <v>46120.885254629633</v>
      </c>
      <c r="K450" s="6" t="e" cm="1">
        <f t="array" ref="K450">LOOKUP(2^15,SEARCH(Tabela2[Palavras-Chave],Boletim[[#This Row],[Objeto]],1),Tabela2[Palavras-Chave])</f>
        <v>#N/A</v>
      </c>
    </row>
    <row r="451" spans="1:11" hidden="1" x14ac:dyDescent="0.3">
      <c r="A451" s="5">
        <v>18803087</v>
      </c>
      <c r="B451" s="6" t="s">
        <v>1919</v>
      </c>
      <c r="C451" s="6" t="s">
        <v>1920</v>
      </c>
      <c r="D451" s="8" t="s">
        <v>72</v>
      </c>
      <c r="E451" s="6" t="s">
        <v>110</v>
      </c>
      <c r="F451" s="6" t="s">
        <v>85</v>
      </c>
      <c r="G451" s="11">
        <v>46126.375</v>
      </c>
      <c r="H451" s="10" t="s">
        <v>1921</v>
      </c>
      <c r="I451" s="6" t="s">
        <v>1922</v>
      </c>
      <c r="J451" s="12">
        <v>46120.891944444447</v>
      </c>
      <c r="K451" s="6" t="e" cm="1">
        <f t="array" ref="K451">LOOKUP(2^15,SEARCH(Tabela2[Palavras-Chave],Boletim[[#This Row],[Objeto]],1),Tabela2[Palavras-Chave])</f>
        <v>#N/A</v>
      </c>
    </row>
    <row r="452" spans="1:11" hidden="1" x14ac:dyDescent="0.3">
      <c r="A452" s="5">
        <v>18802250</v>
      </c>
      <c r="B452" s="6" t="s">
        <v>74</v>
      </c>
      <c r="C452" s="6" t="s">
        <v>75</v>
      </c>
      <c r="D452" s="8" t="s">
        <v>76</v>
      </c>
      <c r="E452" s="6" t="s">
        <v>1229</v>
      </c>
      <c r="F452" s="6" t="s">
        <v>85</v>
      </c>
      <c r="G452" s="11" t="s">
        <v>56</v>
      </c>
      <c r="H452" s="10" t="s">
        <v>1230</v>
      </c>
      <c r="I452" s="6" t="s">
        <v>1231</v>
      </c>
      <c r="J452" s="12">
        <v>46120.501273148147</v>
      </c>
      <c r="K452" s="6" t="e" cm="1">
        <f t="array" ref="K452">LOOKUP(2^15,SEARCH(Tabela2[Palavras-Chave],Boletim[[#This Row],[Objeto]],1),Tabela2[Palavras-Chave])</f>
        <v>#N/A</v>
      </c>
    </row>
    <row r="453" spans="1:11" hidden="1" x14ac:dyDescent="0.3">
      <c r="A453" s="5">
        <v>18802248</v>
      </c>
      <c r="B453" s="6" t="s">
        <v>74</v>
      </c>
      <c r="C453" s="6" t="s">
        <v>75</v>
      </c>
      <c r="D453" s="8" t="s">
        <v>76</v>
      </c>
      <c r="E453" s="6" t="s">
        <v>1923</v>
      </c>
      <c r="F453" s="6" t="s">
        <v>85</v>
      </c>
      <c r="G453" s="11" t="s">
        <v>56</v>
      </c>
      <c r="H453" s="10" t="s">
        <v>1924</v>
      </c>
      <c r="I453" s="6" t="s">
        <v>1925</v>
      </c>
      <c r="J453" s="12">
        <v>46120.50136574074</v>
      </c>
      <c r="K453" s="6" t="e" cm="1">
        <f t="array" ref="K453">LOOKUP(2^15,SEARCH(Tabela2[Palavras-Chave],Boletim[[#This Row],[Objeto]],1),Tabela2[Palavras-Chave])</f>
        <v>#N/A</v>
      </c>
    </row>
    <row r="454" spans="1:11" hidden="1" x14ac:dyDescent="0.3">
      <c r="A454" s="5">
        <v>18802224</v>
      </c>
      <c r="B454" s="6" t="s">
        <v>74</v>
      </c>
      <c r="C454" s="6" t="s">
        <v>75</v>
      </c>
      <c r="D454" s="8" t="s">
        <v>76</v>
      </c>
      <c r="E454" s="6" t="s">
        <v>1926</v>
      </c>
      <c r="F454" s="6" t="s">
        <v>85</v>
      </c>
      <c r="G454" s="11" t="s">
        <v>56</v>
      </c>
      <c r="H454" s="10" t="s">
        <v>353</v>
      </c>
      <c r="I454" s="6" t="s">
        <v>1927</v>
      </c>
      <c r="J454" s="12">
        <v>46120.525613425925</v>
      </c>
      <c r="K454" s="6" t="e" cm="1">
        <f t="array" ref="K454">LOOKUP(2^15,SEARCH(Tabela2[Palavras-Chave],Boletim[[#This Row],[Objeto]],1),Tabela2[Palavras-Chave])</f>
        <v>#N/A</v>
      </c>
    </row>
    <row r="455" spans="1:11" hidden="1" x14ac:dyDescent="0.3">
      <c r="A455" s="5">
        <v>18802227</v>
      </c>
      <c r="B455" s="6" t="s">
        <v>74</v>
      </c>
      <c r="C455" s="6" t="s">
        <v>75</v>
      </c>
      <c r="D455" s="8" t="s">
        <v>76</v>
      </c>
      <c r="E455" s="6" t="s">
        <v>1394</v>
      </c>
      <c r="F455" s="6" t="s">
        <v>85</v>
      </c>
      <c r="G455" s="11" t="s">
        <v>56</v>
      </c>
      <c r="H455" s="10" t="s">
        <v>1395</v>
      </c>
      <c r="I455" s="6" t="s">
        <v>1396</v>
      </c>
      <c r="J455" s="12">
        <v>46120.526921296296</v>
      </c>
      <c r="K455" s="6" t="e" cm="1">
        <f t="array" ref="K455">LOOKUP(2^15,SEARCH(Tabela2[Palavras-Chave],Boletim[[#This Row],[Objeto]],1),Tabela2[Palavras-Chave])</f>
        <v>#N/A</v>
      </c>
    </row>
    <row r="456" spans="1:11" hidden="1" x14ac:dyDescent="0.3">
      <c r="A456" s="5">
        <v>18802234</v>
      </c>
      <c r="B456" s="6" t="s">
        <v>74</v>
      </c>
      <c r="C456" s="6" t="s">
        <v>75</v>
      </c>
      <c r="D456" s="8" t="s">
        <v>76</v>
      </c>
      <c r="E456" s="6" t="s">
        <v>1232</v>
      </c>
      <c r="F456" s="6" t="s">
        <v>85</v>
      </c>
      <c r="G456" s="11" t="s">
        <v>56</v>
      </c>
      <c r="H456" s="10" t="s">
        <v>1233</v>
      </c>
      <c r="I456" s="6" t="s">
        <v>1234</v>
      </c>
      <c r="J456" s="12">
        <v>46120.527349537035</v>
      </c>
      <c r="K456" s="6" t="e" cm="1">
        <f t="array" ref="K456">LOOKUP(2^15,SEARCH(Tabela2[Palavras-Chave],Boletim[[#This Row],[Objeto]],1),Tabela2[Palavras-Chave])</f>
        <v>#N/A</v>
      </c>
    </row>
    <row r="457" spans="1:11" hidden="1" x14ac:dyDescent="0.3">
      <c r="A457" s="5">
        <v>18801783</v>
      </c>
      <c r="B457" s="6" t="s">
        <v>1928</v>
      </c>
      <c r="C457" s="6" t="s">
        <v>440</v>
      </c>
      <c r="D457" s="8" t="s">
        <v>76</v>
      </c>
      <c r="E457" s="6" t="s">
        <v>324</v>
      </c>
      <c r="F457" s="6" t="s">
        <v>85</v>
      </c>
      <c r="G457" s="11" t="s">
        <v>56</v>
      </c>
      <c r="H457" s="10" t="s">
        <v>1929</v>
      </c>
      <c r="I457" s="6" t="s">
        <v>1930</v>
      </c>
      <c r="J457" s="12">
        <v>46120.576747685183</v>
      </c>
      <c r="K457" s="6" t="e" cm="1">
        <f t="array" ref="K457">LOOKUP(2^15,SEARCH(Tabela2[Palavras-Chave],Boletim[[#This Row],[Objeto]],1),Tabela2[Palavras-Chave])</f>
        <v>#N/A</v>
      </c>
    </row>
    <row r="458" spans="1:11" ht="28.8" x14ac:dyDescent="0.3">
      <c r="A458" s="5">
        <v>18801147</v>
      </c>
      <c r="B458" s="6" t="s">
        <v>1931</v>
      </c>
      <c r="C458" s="6" t="s">
        <v>1932</v>
      </c>
      <c r="D458" s="8" t="s">
        <v>76</v>
      </c>
      <c r="E458" s="6" t="s">
        <v>1499</v>
      </c>
      <c r="F458" s="6" t="s">
        <v>85</v>
      </c>
      <c r="G458" s="11">
        <v>46141.374305555553</v>
      </c>
      <c r="H458" s="21" t="s">
        <v>1933</v>
      </c>
      <c r="I458" s="6" t="s">
        <v>1934</v>
      </c>
      <c r="J458" s="12">
        <v>46120.586898148147</v>
      </c>
      <c r="K458" s="6" t="str" cm="1">
        <f t="array" ref="K458">LOOKUP(2^15,SEARCH(Tabela2[Palavras-Chave],Boletim[[#This Row],[Objeto]],1),Tabela2[Palavras-Chave])</f>
        <v>RESERVAT</v>
      </c>
    </row>
    <row r="459" spans="1:11" hidden="1" x14ac:dyDescent="0.3">
      <c r="A459" s="5">
        <v>18803492</v>
      </c>
      <c r="B459" s="6" t="s">
        <v>1935</v>
      </c>
      <c r="C459" s="6" t="s">
        <v>1936</v>
      </c>
      <c r="D459" s="8" t="s">
        <v>76</v>
      </c>
      <c r="E459" s="6" t="s">
        <v>142</v>
      </c>
      <c r="F459" s="6" t="s">
        <v>85</v>
      </c>
      <c r="G459" s="11" t="s">
        <v>56</v>
      </c>
      <c r="H459" s="10" t="s">
        <v>1937</v>
      </c>
      <c r="I459" s="6" t="s">
        <v>1938</v>
      </c>
      <c r="J459" s="12">
        <v>46120.617418981485</v>
      </c>
      <c r="K459" s="6" t="e" cm="1">
        <f t="array" ref="K459">LOOKUP(2^15,SEARCH(Tabela2[Palavras-Chave],Boletim[[#This Row],[Objeto]],1),Tabela2[Palavras-Chave])</f>
        <v>#N/A</v>
      </c>
    </row>
    <row r="460" spans="1:11" hidden="1" x14ac:dyDescent="0.3">
      <c r="A460" s="5">
        <v>18801679</v>
      </c>
      <c r="B460" s="6" t="s">
        <v>1939</v>
      </c>
      <c r="C460" s="6" t="s">
        <v>225</v>
      </c>
      <c r="D460" s="8" t="s">
        <v>76</v>
      </c>
      <c r="E460" s="6" t="s">
        <v>1940</v>
      </c>
      <c r="F460" s="6" t="s">
        <v>85</v>
      </c>
      <c r="G460" s="11" t="s">
        <v>56</v>
      </c>
      <c r="H460" s="10" t="s">
        <v>1941</v>
      </c>
      <c r="I460" s="6" t="s">
        <v>1942</v>
      </c>
      <c r="J460" s="12">
        <v>46120.589432870373</v>
      </c>
      <c r="K460" s="6" t="e" cm="1">
        <f t="array" ref="K460">LOOKUP(2^15,SEARCH(Tabela2[Palavras-Chave],Boletim[[#This Row],[Objeto]],1),Tabela2[Palavras-Chave])</f>
        <v>#N/A</v>
      </c>
    </row>
    <row r="461" spans="1:11" hidden="1" x14ac:dyDescent="0.3">
      <c r="A461" s="5">
        <v>18803691</v>
      </c>
      <c r="B461" s="6" t="s">
        <v>1943</v>
      </c>
      <c r="C461" s="6" t="s">
        <v>983</v>
      </c>
      <c r="D461" s="8" t="s">
        <v>76</v>
      </c>
      <c r="E461" s="6" t="s">
        <v>192</v>
      </c>
      <c r="F461" s="6" t="s">
        <v>85</v>
      </c>
      <c r="G461" s="11" t="s">
        <v>56</v>
      </c>
      <c r="H461" s="10" t="s">
        <v>1944</v>
      </c>
      <c r="I461" s="6" t="s">
        <v>1945</v>
      </c>
      <c r="J461" s="12">
        <v>46120.599270833336</v>
      </c>
      <c r="K461" s="6" t="e" cm="1">
        <f t="array" ref="K461">LOOKUP(2^15,SEARCH(Tabela2[Palavras-Chave],Boletim[[#This Row],[Objeto]],1),Tabela2[Palavras-Chave])</f>
        <v>#N/A</v>
      </c>
    </row>
    <row r="462" spans="1:11" hidden="1" x14ac:dyDescent="0.3">
      <c r="A462" s="5">
        <v>18802657</v>
      </c>
      <c r="B462" s="6" t="s">
        <v>1946</v>
      </c>
      <c r="C462" s="6" t="s">
        <v>195</v>
      </c>
      <c r="D462" s="8" t="s">
        <v>76</v>
      </c>
      <c r="E462" s="6" t="s">
        <v>1947</v>
      </c>
      <c r="F462" s="6" t="s">
        <v>85</v>
      </c>
      <c r="G462" s="11" t="s">
        <v>56</v>
      </c>
      <c r="H462" s="10" t="s">
        <v>1948</v>
      </c>
      <c r="I462" s="6" t="s">
        <v>1949</v>
      </c>
      <c r="J462" s="12">
        <v>46120.755358796298</v>
      </c>
      <c r="K462" s="6" t="e" cm="1">
        <f t="array" ref="K462">LOOKUP(2^15,SEARCH(Tabela2[Palavras-Chave],Boletim[[#This Row],[Objeto]],1),Tabela2[Palavras-Chave])</f>
        <v>#N/A</v>
      </c>
    </row>
    <row r="463" spans="1:11" hidden="1" x14ac:dyDescent="0.3">
      <c r="A463" s="5">
        <v>18802681</v>
      </c>
      <c r="B463" s="6" t="s">
        <v>1950</v>
      </c>
      <c r="C463" s="6" t="s">
        <v>75</v>
      </c>
      <c r="D463" s="8" t="s">
        <v>76</v>
      </c>
      <c r="E463" s="6" t="s">
        <v>157</v>
      </c>
      <c r="F463" s="6" t="s">
        <v>85</v>
      </c>
      <c r="G463" s="11" t="s">
        <v>56</v>
      </c>
      <c r="H463" s="10" t="s">
        <v>1951</v>
      </c>
      <c r="I463" s="6" t="s">
        <v>1952</v>
      </c>
      <c r="J463" s="12">
        <v>46120.826493055552</v>
      </c>
      <c r="K463" s="6" t="e" cm="1">
        <f t="array" ref="K463">LOOKUP(2^15,SEARCH(Tabela2[Palavras-Chave],Boletim[[#This Row],[Objeto]],1),Tabela2[Palavras-Chave])</f>
        <v>#N/A</v>
      </c>
    </row>
    <row r="464" spans="1:11" hidden="1" x14ac:dyDescent="0.3">
      <c r="A464" s="5">
        <v>18802656</v>
      </c>
      <c r="B464" s="6" t="s">
        <v>1953</v>
      </c>
      <c r="C464" s="6" t="s">
        <v>75</v>
      </c>
      <c r="D464" s="8" t="s">
        <v>76</v>
      </c>
      <c r="E464" s="6" t="s">
        <v>1954</v>
      </c>
      <c r="F464" s="6" t="s">
        <v>85</v>
      </c>
      <c r="G464" s="11" t="s">
        <v>56</v>
      </c>
      <c r="H464" s="10" t="s">
        <v>1955</v>
      </c>
      <c r="I464" s="6" t="s">
        <v>1956</v>
      </c>
      <c r="J464" s="12">
        <v>46120.855995370373</v>
      </c>
      <c r="K464" s="6" t="e" cm="1">
        <f t="array" ref="K464">LOOKUP(2^15,SEARCH(Tabela2[Palavras-Chave],Boletim[[#This Row],[Objeto]],1),Tabela2[Palavras-Chave])</f>
        <v>#N/A</v>
      </c>
    </row>
    <row r="465" spans="1:11" hidden="1" x14ac:dyDescent="0.3">
      <c r="A465" s="5">
        <v>18804002</v>
      </c>
      <c r="B465" s="6" t="s">
        <v>1957</v>
      </c>
      <c r="C465" s="6" t="s">
        <v>1958</v>
      </c>
      <c r="D465" s="8" t="s">
        <v>77</v>
      </c>
      <c r="E465" s="6" t="s">
        <v>115</v>
      </c>
      <c r="F465" s="6" t="s">
        <v>85</v>
      </c>
      <c r="G465" s="11">
        <v>46139.395138888889</v>
      </c>
      <c r="H465" s="10" t="s">
        <v>1959</v>
      </c>
      <c r="I465" s="6" t="s">
        <v>1960</v>
      </c>
      <c r="J465" s="12">
        <v>46120.611006944448</v>
      </c>
      <c r="K465" s="6" t="e" cm="1">
        <f t="array" ref="K465">LOOKUP(2^15,SEARCH(Tabela2[Palavras-Chave],Boletim[[#This Row],[Objeto]],1),Tabela2[Palavras-Chave])</f>
        <v>#N/A</v>
      </c>
    </row>
    <row r="466" spans="1:11" hidden="1" x14ac:dyDescent="0.3">
      <c r="A466" s="5">
        <v>18802864</v>
      </c>
      <c r="B466" s="6" t="s">
        <v>1961</v>
      </c>
      <c r="C466" s="6" t="s">
        <v>1962</v>
      </c>
      <c r="D466" s="8" t="s">
        <v>77</v>
      </c>
      <c r="E466" s="6" t="s">
        <v>238</v>
      </c>
      <c r="F466" s="6" t="s">
        <v>85</v>
      </c>
      <c r="G466" s="11" t="s">
        <v>56</v>
      </c>
      <c r="H466" s="10" t="s">
        <v>1963</v>
      </c>
      <c r="I466" s="6" t="s">
        <v>1964</v>
      </c>
      <c r="J466" s="12">
        <v>46120.660312499997</v>
      </c>
      <c r="K466" s="6" t="e" cm="1">
        <f t="array" ref="K466">LOOKUP(2^15,SEARCH(Tabela2[Palavras-Chave],Boletim[[#This Row],[Objeto]],1),Tabela2[Palavras-Chave])</f>
        <v>#N/A</v>
      </c>
    </row>
    <row r="467" spans="1:11" hidden="1" x14ac:dyDescent="0.3">
      <c r="A467" s="13">
        <v>18803100</v>
      </c>
      <c r="B467" s="10" t="s">
        <v>1961</v>
      </c>
      <c r="C467" s="10" t="s">
        <v>1962</v>
      </c>
      <c r="D467" s="15" t="s">
        <v>77</v>
      </c>
      <c r="E467" s="10" t="s">
        <v>140</v>
      </c>
      <c r="F467" s="10" t="s">
        <v>85</v>
      </c>
      <c r="G467" s="16" t="s">
        <v>56</v>
      </c>
      <c r="H467" s="10" t="s">
        <v>1965</v>
      </c>
      <c r="I467" s="10" t="s">
        <v>1966</v>
      </c>
      <c r="J467" s="17">
        <v>46120.660740740743</v>
      </c>
      <c r="K467" s="6" t="e" cm="1">
        <f t="array" ref="K467">LOOKUP(2^15,SEARCH(Tabela2[Palavras-Chave],Boletim[[#This Row],[Objeto]],1),Tabela2[Palavras-Chave])</f>
        <v>#N/A</v>
      </c>
    </row>
    <row r="468" spans="1:11" hidden="1" x14ac:dyDescent="0.3">
      <c r="A468" s="5">
        <v>18803515</v>
      </c>
      <c r="B468" s="6" t="s">
        <v>1967</v>
      </c>
      <c r="C468" s="6" t="s">
        <v>1968</v>
      </c>
      <c r="D468" s="8" t="s">
        <v>77</v>
      </c>
      <c r="E468" s="6" t="s">
        <v>117</v>
      </c>
      <c r="F468" s="6" t="s">
        <v>85</v>
      </c>
      <c r="G468" s="11">
        <v>46132.354166666664</v>
      </c>
      <c r="H468" s="10" t="s">
        <v>1969</v>
      </c>
      <c r="I468" s="6" t="s">
        <v>1104</v>
      </c>
      <c r="J468" s="12">
        <v>46120.663275462961</v>
      </c>
      <c r="K468" s="6" t="e" cm="1">
        <f t="array" ref="K468">LOOKUP(2^15,SEARCH(Tabela2[Palavras-Chave],Boletim[[#This Row],[Objeto]],1),Tabela2[Palavras-Chave])</f>
        <v>#N/A</v>
      </c>
    </row>
    <row r="469" spans="1:11" hidden="1" x14ac:dyDescent="0.3">
      <c r="A469" s="5">
        <v>18800007</v>
      </c>
      <c r="B469" s="6" t="s">
        <v>1970</v>
      </c>
      <c r="C469" s="6" t="s">
        <v>1971</v>
      </c>
      <c r="D469" s="8" t="s">
        <v>77</v>
      </c>
      <c r="E469" s="6" t="s">
        <v>121</v>
      </c>
      <c r="F469" s="6" t="s">
        <v>85</v>
      </c>
      <c r="G469" s="11" t="s">
        <v>56</v>
      </c>
      <c r="H469" s="10" t="s">
        <v>1972</v>
      </c>
      <c r="I469" s="6" t="s">
        <v>1973</v>
      </c>
      <c r="J469" s="12">
        <v>46120.690335648149</v>
      </c>
      <c r="K469" s="6" t="e" cm="1">
        <f t="array" ref="K469">LOOKUP(2^15,SEARCH(Tabela2[Palavras-Chave],Boletim[[#This Row],[Objeto]],1),Tabela2[Palavras-Chave])</f>
        <v>#N/A</v>
      </c>
    </row>
    <row r="470" spans="1:11" hidden="1" x14ac:dyDescent="0.3">
      <c r="A470" s="13">
        <v>18804735</v>
      </c>
      <c r="B470" s="10" t="s">
        <v>1974</v>
      </c>
      <c r="C470" s="10" t="s">
        <v>1975</v>
      </c>
      <c r="D470" s="15" t="s">
        <v>77</v>
      </c>
      <c r="E470" s="10" t="s">
        <v>127</v>
      </c>
      <c r="F470" s="10" t="s">
        <v>85</v>
      </c>
      <c r="G470" s="16">
        <v>46142.375</v>
      </c>
      <c r="H470" s="10" t="s">
        <v>1976</v>
      </c>
      <c r="I470" s="10" t="s">
        <v>1977</v>
      </c>
      <c r="J470" s="17">
        <v>46120.809340277781</v>
      </c>
      <c r="K470" s="6" t="e" cm="1">
        <f t="array" ref="K470">LOOKUP(2^15,SEARCH(Tabela2[Palavras-Chave],Boletim[[#This Row],[Objeto]],1),Tabela2[Palavras-Chave])</f>
        <v>#N/A</v>
      </c>
    </row>
    <row r="471" spans="1:11" hidden="1" x14ac:dyDescent="0.3">
      <c r="A471" s="5">
        <v>18802873</v>
      </c>
      <c r="B471" s="6" t="s">
        <v>1978</v>
      </c>
      <c r="C471" s="6" t="s">
        <v>441</v>
      </c>
      <c r="D471" s="8" t="s">
        <v>78</v>
      </c>
      <c r="E471" s="6" t="s">
        <v>1858</v>
      </c>
      <c r="F471" s="6" t="s">
        <v>85</v>
      </c>
      <c r="G471" s="11" t="s">
        <v>56</v>
      </c>
      <c r="H471" s="10" t="s">
        <v>1979</v>
      </c>
      <c r="I471" s="6" t="s">
        <v>1980</v>
      </c>
      <c r="J471" s="12">
        <v>46120.514861111114</v>
      </c>
      <c r="K471" s="6" t="e" cm="1">
        <f t="array" ref="K471">LOOKUP(2^15,SEARCH(Tabela2[Palavras-Chave],Boletim[[#This Row],[Objeto]],1),Tabela2[Palavras-Chave])</f>
        <v>#N/A</v>
      </c>
    </row>
    <row r="472" spans="1:11" hidden="1" x14ac:dyDescent="0.3">
      <c r="A472" s="5">
        <v>18802823</v>
      </c>
      <c r="B472" s="6" t="s">
        <v>1978</v>
      </c>
      <c r="C472" s="6" t="s">
        <v>441</v>
      </c>
      <c r="D472" s="8" t="s">
        <v>78</v>
      </c>
      <c r="E472" s="6" t="s">
        <v>1981</v>
      </c>
      <c r="F472" s="6" t="s">
        <v>85</v>
      </c>
      <c r="G472" s="11" t="s">
        <v>56</v>
      </c>
      <c r="H472" s="10" t="s">
        <v>1982</v>
      </c>
      <c r="I472" s="6" t="s">
        <v>1983</v>
      </c>
      <c r="J472" s="12">
        <v>46120.5153125</v>
      </c>
      <c r="K472" s="6" t="e" cm="1">
        <f t="array" ref="K472">LOOKUP(2^15,SEARCH(Tabela2[Palavras-Chave],Boletim[[#This Row],[Objeto]],1),Tabela2[Palavras-Chave])</f>
        <v>#N/A</v>
      </c>
    </row>
    <row r="473" spans="1:11" hidden="1" x14ac:dyDescent="0.3">
      <c r="A473" s="5">
        <v>18802892</v>
      </c>
      <c r="B473" s="6" t="s">
        <v>1984</v>
      </c>
      <c r="C473" s="6" t="s">
        <v>136</v>
      </c>
      <c r="D473" s="8" t="s">
        <v>78</v>
      </c>
      <c r="E473" s="6" t="s">
        <v>1985</v>
      </c>
      <c r="F473" s="6" t="s">
        <v>85</v>
      </c>
      <c r="G473" s="11" t="s">
        <v>56</v>
      </c>
      <c r="H473" s="10" t="s">
        <v>1986</v>
      </c>
      <c r="I473" s="6" t="s">
        <v>1987</v>
      </c>
      <c r="J473" s="12">
        <v>46120.588310185187</v>
      </c>
      <c r="K473" s="6" t="e" cm="1">
        <f t="array" ref="K473">LOOKUP(2^15,SEARCH(Tabela2[Palavras-Chave],Boletim[[#This Row],[Objeto]],1),Tabela2[Palavras-Chave])</f>
        <v>#N/A</v>
      </c>
    </row>
    <row r="474" spans="1:11" hidden="1" x14ac:dyDescent="0.3">
      <c r="A474" s="5">
        <v>18802879</v>
      </c>
      <c r="B474" s="6" t="s">
        <v>1978</v>
      </c>
      <c r="C474" s="6" t="s">
        <v>441</v>
      </c>
      <c r="D474" s="8" t="s">
        <v>78</v>
      </c>
      <c r="E474" s="6" t="s">
        <v>1988</v>
      </c>
      <c r="F474" s="6" t="s">
        <v>85</v>
      </c>
      <c r="G474" s="11" t="s">
        <v>56</v>
      </c>
      <c r="H474" s="10" t="s">
        <v>1989</v>
      </c>
      <c r="I474" s="6" t="s">
        <v>1990</v>
      </c>
      <c r="J474" s="12">
        <v>46120.660983796297</v>
      </c>
      <c r="K474" s="6" t="e" cm="1">
        <f t="array" ref="K474">LOOKUP(2^15,SEARCH(Tabela2[Palavras-Chave],Boletim[[#This Row],[Objeto]],1),Tabela2[Palavras-Chave])</f>
        <v>#N/A</v>
      </c>
    </row>
    <row r="475" spans="1:11" hidden="1" x14ac:dyDescent="0.3">
      <c r="A475" s="5">
        <v>18797234</v>
      </c>
      <c r="B475" s="6" t="s">
        <v>396</v>
      </c>
      <c r="C475" s="6" t="s">
        <v>397</v>
      </c>
      <c r="D475" s="8" t="s">
        <v>80</v>
      </c>
      <c r="E475" s="6" t="s">
        <v>134</v>
      </c>
      <c r="F475" s="6" t="s">
        <v>85</v>
      </c>
      <c r="G475" s="11">
        <v>46139</v>
      </c>
      <c r="H475" s="10" t="s">
        <v>1991</v>
      </c>
      <c r="I475" s="6" t="s">
        <v>1992</v>
      </c>
      <c r="J475" s="12">
        <v>46120.388969907406</v>
      </c>
      <c r="K475" s="6" t="e" cm="1">
        <f t="array" ref="K475">LOOKUP(2^15,SEARCH(Tabela2[Palavras-Chave],Boletim[[#This Row],[Objeto]],1),Tabela2[Palavras-Chave])</f>
        <v>#N/A</v>
      </c>
    </row>
    <row r="476" spans="1:11" hidden="1" x14ac:dyDescent="0.3">
      <c r="A476" s="5">
        <v>18798658</v>
      </c>
      <c r="B476" s="6" t="s">
        <v>1993</v>
      </c>
      <c r="C476" s="6" t="s">
        <v>1994</v>
      </c>
      <c r="D476" s="8" t="s">
        <v>80</v>
      </c>
      <c r="E476" s="6" t="s">
        <v>117</v>
      </c>
      <c r="F476" s="6" t="s">
        <v>85</v>
      </c>
      <c r="G476" s="11">
        <v>46134.364583333336</v>
      </c>
      <c r="H476" s="10" t="s">
        <v>1995</v>
      </c>
      <c r="I476" s="6" t="s">
        <v>1996</v>
      </c>
      <c r="J476" s="12">
        <v>46120.409155092595</v>
      </c>
      <c r="K476" s="6" t="e" cm="1">
        <f t="array" ref="K476">LOOKUP(2^15,SEARCH(Tabela2[Palavras-Chave],Boletim[[#This Row],[Objeto]],1),Tabela2[Palavras-Chave])</f>
        <v>#N/A</v>
      </c>
    </row>
    <row r="477" spans="1:11" hidden="1" x14ac:dyDescent="0.3">
      <c r="A477" s="5">
        <v>18802021</v>
      </c>
      <c r="B477" s="6" t="s">
        <v>1997</v>
      </c>
      <c r="C477" s="6" t="s">
        <v>1998</v>
      </c>
      <c r="D477" s="8" t="s">
        <v>80</v>
      </c>
      <c r="E477" s="6" t="s">
        <v>126</v>
      </c>
      <c r="F477" s="6" t="s">
        <v>85</v>
      </c>
      <c r="G477" s="11">
        <v>46129.652777777781</v>
      </c>
      <c r="H477" s="10" t="s">
        <v>1999</v>
      </c>
      <c r="I477" s="6" t="s">
        <v>2000</v>
      </c>
      <c r="J477" s="12">
        <v>46120.445208333331</v>
      </c>
      <c r="K477" s="6" t="e" cm="1">
        <f t="array" ref="K477">LOOKUP(2^15,SEARCH(Tabela2[Palavras-Chave],Boletim[[#This Row],[Objeto]],1),Tabela2[Palavras-Chave])</f>
        <v>#N/A</v>
      </c>
    </row>
    <row r="478" spans="1:11" hidden="1" x14ac:dyDescent="0.3">
      <c r="A478" s="5">
        <v>18802006</v>
      </c>
      <c r="B478" s="6" t="s">
        <v>2001</v>
      </c>
      <c r="C478" s="6" t="s">
        <v>2002</v>
      </c>
      <c r="D478" s="8" t="s">
        <v>80</v>
      </c>
      <c r="E478" s="6" t="s">
        <v>115</v>
      </c>
      <c r="F478" s="6" t="s">
        <v>85</v>
      </c>
      <c r="G478" s="11">
        <v>46134.354166666664</v>
      </c>
      <c r="H478" s="10" t="s">
        <v>2003</v>
      </c>
      <c r="I478" s="6" t="s">
        <v>2004</v>
      </c>
      <c r="J478" s="12">
        <v>46120.447870370372</v>
      </c>
      <c r="K478" s="6" t="e" cm="1">
        <f t="array" ref="K478">LOOKUP(2^15,SEARCH(Tabela2[Palavras-Chave],Boletim[[#This Row],[Objeto]],1),Tabela2[Palavras-Chave])</f>
        <v>#N/A</v>
      </c>
    </row>
    <row r="479" spans="1:11" hidden="1" x14ac:dyDescent="0.3">
      <c r="A479" s="5">
        <v>18800020</v>
      </c>
      <c r="B479" s="6" t="s">
        <v>398</v>
      </c>
      <c r="C479" s="6" t="s">
        <v>399</v>
      </c>
      <c r="D479" s="8" t="s">
        <v>80</v>
      </c>
      <c r="E479" s="6" t="s">
        <v>2005</v>
      </c>
      <c r="F479" s="6" t="s">
        <v>85</v>
      </c>
      <c r="G479" s="11" t="s">
        <v>56</v>
      </c>
      <c r="H479" s="10" t="s">
        <v>2006</v>
      </c>
      <c r="I479" s="6" t="s">
        <v>2007</v>
      </c>
      <c r="J479" s="12">
        <v>46120.45144675926</v>
      </c>
      <c r="K479" s="6" t="e" cm="1">
        <f t="array" ref="K479">LOOKUP(2^15,SEARCH(Tabela2[Palavras-Chave],Boletim[[#This Row],[Objeto]],1),Tabela2[Palavras-Chave])</f>
        <v>#N/A</v>
      </c>
    </row>
    <row r="480" spans="1:11" hidden="1" x14ac:dyDescent="0.3">
      <c r="A480" s="5">
        <v>18800620</v>
      </c>
      <c r="B480" s="6" t="s">
        <v>2008</v>
      </c>
      <c r="C480" s="6" t="s">
        <v>2009</v>
      </c>
      <c r="D480" s="8" t="s">
        <v>80</v>
      </c>
      <c r="E480" s="6" t="s">
        <v>135</v>
      </c>
      <c r="F480" s="6" t="s">
        <v>85</v>
      </c>
      <c r="G480" s="11" t="s">
        <v>56</v>
      </c>
      <c r="H480" s="10" t="s">
        <v>2010</v>
      </c>
      <c r="I480" s="6" t="s">
        <v>2011</v>
      </c>
      <c r="J480" s="12">
        <v>46120.451516203706</v>
      </c>
      <c r="K480" s="6" t="e" cm="1">
        <f t="array" ref="K480">LOOKUP(2^15,SEARCH(Tabela2[Palavras-Chave],Boletim[[#This Row],[Objeto]],1),Tabela2[Palavras-Chave])</f>
        <v>#N/A</v>
      </c>
    </row>
    <row r="481" spans="1:11" hidden="1" x14ac:dyDescent="0.3">
      <c r="A481" s="5">
        <v>18797238</v>
      </c>
      <c r="B481" s="6" t="s">
        <v>2012</v>
      </c>
      <c r="C481" s="6" t="s">
        <v>2013</v>
      </c>
      <c r="D481" s="8" t="s">
        <v>80</v>
      </c>
      <c r="E481" s="6" t="s">
        <v>127</v>
      </c>
      <c r="F481" s="6" t="s">
        <v>85</v>
      </c>
      <c r="G481" s="11">
        <v>46139</v>
      </c>
      <c r="H481" s="10" t="s">
        <v>2014</v>
      </c>
      <c r="I481" s="6" t="s">
        <v>2015</v>
      </c>
      <c r="J481" s="12">
        <v>46120.451516203706</v>
      </c>
      <c r="K481" s="6" t="e" cm="1">
        <f t="array" ref="K481">LOOKUP(2^15,SEARCH(Tabela2[Palavras-Chave],Boletim[[#This Row],[Objeto]],1),Tabela2[Palavras-Chave])</f>
        <v>#N/A</v>
      </c>
    </row>
    <row r="482" spans="1:11" hidden="1" x14ac:dyDescent="0.3">
      <c r="A482" s="5">
        <v>18801972</v>
      </c>
      <c r="B482" s="6" t="s">
        <v>2016</v>
      </c>
      <c r="C482" s="6" t="s">
        <v>2017</v>
      </c>
      <c r="D482" s="8" t="s">
        <v>80</v>
      </c>
      <c r="E482" s="6" t="s">
        <v>114</v>
      </c>
      <c r="F482" s="6" t="s">
        <v>85</v>
      </c>
      <c r="G482" s="11">
        <v>46135.332638888889</v>
      </c>
      <c r="H482" s="10" t="s">
        <v>2018</v>
      </c>
      <c r="I482" s="6" t="s">
        <v>2019</v>
      </c>
      <c r="J482" s="12">
        <v>46120.455312500002</v>
      </c>
      <c r="K482" s="6" t="e" cm="1">
        <f t="array" ref="K482">LOOKUP(2^15,SEARCH(Tabela2[Palavras-Chave],Boletim[[#This Row],[Objeto]],1),Tabela2[Palavras-Chave])</f>
        <v>#N/A</v>
      </c>
    </row>
    <row r="483" spans="1:11" hidden="1" x14ac:dyDescent="0.3">
      <c r="A483" s="5">
        <v>18801544</v>
      </c>
      <c r="B483" s="6" t="s">
        <v>2020</v>
      </c>
      <c r="C483" s="6" t="s">
        <v>2021</v>
      </c>
      <c r="D483" s="8" t="s">
        <v>80</v>
      </c>
      <c r="E483" s="6" t="s">
        <v>155</v>
      </c>
      <c r="F483" s="6" t="s">
        <v>85</v>
      </c>
      <c r="G483" s="11">
        <v>46136.395833333336</v>
      </c>
      <c r="H483" s="10" t="s">
        <v>2022</v>
      </c>
      <c r="I483" s="6" t="s">
        <v>2023</v>
      </c>
      <c r="J483" s="12">
        <v>46120.474999999999</v>
      </c>
      <c r="K483" s="6" t="e" cm="1">
        <f t="array" ref="K483">LOOKUP(2^15,SEARCH(Tabela2[Palavras-Chave],Boletim[[#This Row],[Objeto]],1),Tabela2[Palavras-Chave])</f>
        <v>#N/A</v>
      </c>
    </row>
    <row r="484" spans="1:11" hidden="1" x14ac:dyDescent="0.3">
      <c r="A484" s="5">
        <v>18801957</v>
      </c>
      <c r="B484" s="6" t="s">
        <v>2024</v>
      </c>
      <c r="C484" s="6" t="s">
        <v>2025</v>
      </c>
      <c r="D484" s="8" t="s">
        <v>80</v>
      </c>
      <c r="E484" s="6" t="s">
        <v>107</v>
      </c>
      <c r="F484" s="6" t="s">
        <v>85</v>
      </c>
      <c r="G484" s="11">
        <v>46136.374305555553</v>
      </c>
      <c r="H484" s="10" t="s">
        <v>2026</v>
      </c>
      <c r="I484" s="6" t="s">
        <v>2027</v>
      </c>
      <c r="J484" s="12">
        <v>46120.519606481481</v>
      </c>
      <c r="K484" s="6" t="e" cm="1">
        <f t="array" ref="K484">LOOKUP(2^15,SEARCH(Tabela2[Palavras-Chave],Boletim[[#This Row],[Objeto]],1),Tabela2[Palavras-Chave])</f>
        <v>#N/A</v>
      </c>
    </row>
    <row r="485" spans="1:11" hidden="1" x14ac:dyDescent="0.3">
      <c r="A485" s="5">
        <v>18801533</v>
      </c>
      <c r="B485" s="6" t="s">
        <v>276</v>
      </c>
      <c r="C485" s="6" t="s">
        <v>79</v>
      </c>
      <c r="D485" s="8" t="s">
        <v>80</v>
      </c>
      <c r="E485" s="6" t="s">
        <v>2028</v>
      </c>
      <c r="F485" s="6" t="s">
        <v>85</v>
      </c>
      <c r="G485" s="11">
        <v>46126.417361111111</v>
      </c>
      <c r="H485" s="10" t="s">
        <v>338</v>
      </c>
      <c r="I485" s="6" t="s">
        <v>2029</v>
      </c>
      <c r="J485" s="12">
        <v>46120.521678240744</v>
      </c>
      <c r="K485" s="6" t="e" cm="1">
        <f t="array" ref="K485">LOOKUP(2^15,SEARCH(Tabela2[Palavras-Chave],Boletim[[#This Row],[Objeto]],1),Tabela2[Palavras-Chave])</f>
        <v>#N/A</v>
      </c>
    </row>
    <row r="486" spans="1:11" hidden="1" x14ac:dyDescent="0.3">
      <c r="A486" s="5">
        <v>18801904</v>
      </c>
      <c r="B486" s="6" t="s">
        <v>2030</v>
      </c>
      <c r="C486" s="6" t="s">
        <v>2031</v>
      </c>
      <c r="D486" s="8" t="s">
        <v>80</v>
      </c>
      <c r="E486" s="6" t="s">
        <v>1499</v>
      </c>
      <c r="F486" s="6" t="s">
        <v>85</v>
      </c>
      <c r="G486" s="11">
        <v>46132.344444444447</v>
      </c>
      <c r="H486" s="10" t="s">
        <v>2032</v>
      </c>
      <c r="I486" s="6" t="s">
        <v>2033</v>
      </c>
      <c r="J486" s="12">
        <v>46120.527557870373</v>
      </c>
      <c r="K486" s="6" t="e" cm="1">
        <f t="array" ref="K486">LOOKUP(2^15,SEARCH(Tabela2[Palavras-Chave],Boletim[[#This Row],[Objeto]],1),Tabela2[Palavras-Chave])</f>
        <v>#N/A</v>
      </c>
    </row>
    <row r="487" spans="1:11" ht="115.2" x14ac:dyDescent="0.3">
      <c r="A487" s="5">
        <v>18802867</v>
      </c>
      <c r="B487" s="6" t="s">
        <v>2034</v>
      </c>
      <c r="C487" s="6" t="s">
        <v>2035</v>
      </c>
      <c r="D487" s="8" t="s">
        <v>80</v>
      </c>
      <c r="E487" s="6" t="s">
        <v>157</v>
      </c>
      <c r="F487" s="6" t="s">
        <v>85</v>
      </c>
      <c r="G487" s="11" t="s">
        <v>56</v>
      </c>
      <c r="H487" s="21" t="s">
        <v>2036</v>
      </c>
      <c r="I487" s="6" t="s">
        <v>2037</v>
      </c>
      <c r="J487" s="12">
        <v>46120.542210648149</v>
      </c>
      <c r="K487" s="6" t="str" cm="1">
        <f t="array" ref="K487">LOOKUP(2^15,SEARCH(Tabela2[Palavras-Chave],Boletim[[#This Row],[Objeto]],1),Tabela2[Palavras-Chave])</f>
        <v>RESERVAT</v>
      </c>
    </row>
    <row r="488" spans="1:11" hidden="1" x14ac:dyDescent="0.3">
      <c r="A488" s="5">
        <v>18801542</v>
      </c>
      <c r="B488" s="6" t="s">
        <v>395</v>
      </c>
      <c r="C488" s="6" t="s">
        <v>257</v>
      </c>
      <c r="D488" s="8" t="s">
        <v>80</v>
      </c>
      <c r="E488" s="6" t="s">
        <v>265</v>
      </c>
      <c r="F488" s="6" t="s">
        <v>85</v>
      </c>
      <c r="G488" s="11">
        <v>46136.354166666664</v>
      </c>
      <c r="H488" s="10" t="s">
        <v>2038</v>
      </c>
      <c r="I488" s="6" t="s">
        <v>2039</v>
      </c>
      <c r="J488" s="12">
        <v>46120.561354166668</v>
      </c>
      <c r="K488" s="6" t="e" cm="1">
        <f t="array" ref="K488">LOOKUP(2^15,SEARCH(Tabela2[Palavras-Chave],Boletim[[#This Row],[Objeto]],1),Tabela2[Palavras-Chave])</f>
        <v>#N/A</v>
      </c>
    </row>
    <row r="489" spans="1:11" hidden="1" x14ac:dyDescent="0.3">
      <c r="A489" s="5">
        <v>18802028</v>
      </c>
      <c r="B489" s="6" t="s">
        <v>2040</v>
      </c>
      <c r="C489" s="6" t="s">
        <v>79</v>
      </c>
      <c r="D489" s="8" t="s">
        <v>80</v>
      </c>
      <c r="E489" s="6" t="s">
        <v>212</v>
      </c>
      <c r="F489" s="6" t="s">
        <v>85</v>
      </c>
      <c r="G489" s="11">
        <v>46129.353472222225</v>
      </c>
      <c r="H489" s="10" t="s">
        <v>2041</v>
      </c>
      <c r="I489" s="6" t="s">
        <v>2042</v>
      </c>
      <c r="J489" s="12">
        <v>46120.576840277776</v>
      </c>
      <c r="K489" s="6" t="e" cm="1">
        <f t="array" ref="K489">LOOKUP(2^15,SEARCH(Tabela2[Palavras-Chave],Boletim[[#This Row],[Objeto]],1),Tabela2[Palavras-Chave])</f>
        <v>#N/A</v>
      </c>
    </row>
    <row r="490" spans="1:11" ht="100.8" x14ac:dyDescent="0.3">
      <c r="A490" s="5">
        <v>18801961</v>
      </c>
      <c r="B490" s="6" t="s">
        <v>2043</v>
      </c>
      <c r="C490" s="6" t="s">
        <v>2044</v>
      </c>
      <c r="D490" s="8" t="s">
        <v>80</v>
      </c>
      <c r="E490" s="6" t="s">
        <v>115</v>
      </c>
      <c r="F490" s="6" t="s">
        <v>85</v>
      </c>
      <c r="G490" s="11">
        <v>46136.374305555553</v>
      </c>
      <c r="H490" s="21" t="s">
        <v>2045</v>
      </c>
      <c r="I490" s="6" t="s">
        <v>2046</v>
      </c>
      <c r="J490" s="12">
        <v>46120.583275462966</v>
      </c>
      <c r="K490" s="6" t="str" cm="1">
        <f t="array" ref="K490">LOOKUP(2^15,SEARCH(Tabela2[Palavras-Chave],Boletim[[#This Row],[Objeto]],1),Tabela2[Palavras-Chave])</f>
        <v>RESERVAT</v>
      </c>
    </row>
    <row r="491" spans="1:11" hidden="1" x14ac:dyDescent="0.3">
      <c r="A491" s="5">
        <v>18796659</v>
      </c>
      <c r="B491" s="6" t="s">
        <v>339</v>
      </c>
      <c r="C491" s="6" t="s">
        <v>277</v>
      </c>
      <c r="D491" s="8" t="s">
        <v>80</v>
      </c>
      <c r="E491" s="6" t="s">
        <v>2047</v>
      </c>
      <c r="F491" s="6" t="s">
        <v>85</v>
      </c>
      <c r="G491" s="11">
        <v>46125.625</v>
      </c>
      <c r="H491" s="10" t="s">
        <v>2048</v>
      </c>
      <c r="I491" s="6" t="s">
        <v>2049</v>
      </c>
      <c r="J491" s="12">
        <v>46120.586886574078</v>
      </c>
      <c r="K491" s="6" t="e" cm="1">
        <f t="array" ref="K491">LOOKUP(2^15,SEARCH(Tabela2[Palavras-Chave],Boletim[[#This Row],[Objeto]],1),Tabela2[Palavras-Chave])</f>
        <v>#N/A</v>
      </c>
    </row>
    <row r="492" spans="1:11" hidden="1" x14ac:dyDescent="0.3">
      <c r="A492" s="5">
        <v>18795687</v>
      </c>
      <c r="B492" s="6" t="s">
        <v>2050</v>
      </c>
      <c r="C492" s="6" t="s">
        <v>79</v>
      </c>
      <c r="D492" s="8" t="s">
        <v>80</v>
      </c>
      <c r="E492" s="6" t="s">
        <v>2051</v>
      </c>
      <c r="F492" s="6" t="s">
        <v>85</v>
      </c>
      <c r="G492" s="11">
        <v>46125.395833333336</v>
      </c>
      <c r="H492" s="10" t="s">
        <v>340</v>
      </c>
      <c r="I492" s="6" t="s">
        <v>2052</v>
      </c>
      <c r="J492" s="12">
        <v>46120.586967592593</v>
      </c>
      <c r="K492" s="6" t="e" cm="1">
        <f t="array" ref="K492">LOOKUP(2^15,SEARCH(Tabela2[Palavras-Chave],Boletim[[#This Row],[Objeto]],1),Tabela2[Palavras-Chave])</f>
        <v>#N/A</v>
      </c>
    </row>
    <row r="493" spans="1:11" hidden="1" x14ac:dyDescent="0.3">
      <c r="A493" s="5">
        <v>18790826</v>
      </c>
      <c r="B493" s="6" t="s">
        <v>2053</v>
      </c>
      <c r="C493" s="6" t="s">
        <v>2054</v>
      </c>
      <c r="D493" s="8" t="s">
        <v>80</v>
      </c>
      <c r="E493" s="6" t="s">
        <v>120</v>
      </c>
      <c r="F493" s="6" t="s">
        <v>85</v>
      </c>
      <c r="G493" s="11">
        <v>46127.584027777775</v>
      </c>
      <c r="H493" s="10" t="s">
        <v>2055</v>
      </c>
      <c r="I493" s="6" t="s">
        <v>2056</v>
      </c>
      <c r="J493" s="12">
        <v>46120.587627314817</v>
      </c>
      <c r="K493" s="6" t="e" cm="1">
        <f t="array" ref="K493">LOOKUP(2^15,SEARCH(Tabela2[Palavras-Chave],Boletim[[#This Row],[Objeto]],1),Tabela2[Palavras-Chave])</f>
        <v>#N/A</v>
      </c>
    </row>
    <row r="494" spans="1:11" hidden="1" x14ac:dyDescent="0.3">
      <c r="A494" s="5">
        <v>18803521</v>
      </c>
      <c r="B494" s="6" t="s">
        <v>2057</v>
      </c>
      <c r="C494" s="6" t="s">
        <v>464</v>
      </c>
      <c r="D494" s="8" t="s">
        <v>80</v>
      </c>
      <c r="E494" s="6" t="s">
        <v>2058</v>
      </c>
      <c r="F494" s="6" t="s">
        <v>85</v>
      </c>
      <c r="G494" s="11" t="s">
        <v>56</v>
      </c>
      <c r="H494" s="10" t="s">
        <v>2059</v>
      </c>
      <c r="I494" s="6" t="s">
        <v>2060</v>
      </c>
      <c r="J494" s="12">
        <v>46120.588831018518</v>
      </c>
      <c r="K494" s="6" t="e" cm="1">
        <f t="array" ref="K494">LOOKUP(2^15,SEARCH(Tabela2[Palavras-Chave],Boletim[[#This Row],[Objeto]],1),Tabela2[Palavras-Chave])</f>
        <v>#N/A</v>
      </c>
    </row>
    <row r="495" spans="1:11" ht="302.39999999999998" x14ac:dyDescent="0.3">
      <c r="A495" s="5">
        <v>18800131</v>
      </c>
      <c r="B495" s="6" t="s">
        <v>2061</v>
      </c>
      <c r="C495" s="6" t="s">
        <v>2062</v>
      </c>
      <c r="D495" s="8" t="s">
        <v>80</v>
      </c>
      <c r="E495" s="6" t="s">
        <v>135</v>
      </c>
      <c r="F495" s="6" t="s">
        <v>85</v>
      </c>
      <c r="G495" s="11" t="s">
        <v>56</v>
      </c>
      <c r="H495" s="21" t="s">
        <v>2063</v>
      </c>
      <c r="I495" s="6" t="s">
        <v>2064</v>
      </c>
      <c r="J495" s="12">
        <v>46120.617430555554</v>
      </c>
      <c r="K495" s="6" t="str" cm="1">
        <f t="array" ref="K495">LOOKUP(2^15,SEARCH(Tabela2[Palavras-Chave],Boletim[[#This Row],[Objeto]],1),Tabela2[Palavras-Chave])</f>
        <v>RESERVAT</v>
      </c>
    </row>
    <row r="496" spans="1:11" hidden="1" x14ac:dyDescent="0.3">
      <c r="A496" s="5">
        <v>18801997</v>
      </c>
      <c r="B496" s="6" t="s">
        <v>2065</v>
      </c>
      <c r="C496" s="6" t="s">
        <v>2066</v>
      </c>
      <c r="D496" s="8" t="s">
        <v>80</v>
      </c>
      <c r="E496" s="6" t="s">
        <v>2067</v>
      </c>
      <c r="F496" s="6" t="s">
        <v>85</v>
      </c>
      <c r="G496" s="11">
        <v>46135.374305555553</v>
      </c>
      <c r="H496" s="10" t="s">
        <v>2068</v>
      </c>
      <c r="I496" s="6" t="s">
        <v>2069</v>
      </c>
      <c r="J496" s="12">
        <v>46120.630277777775</v>
      </c>
      <c r="K496" s="6" t="e" cm="1">
        <f t="array" ref="K496">LOOKUP(2^15,SEARCH(Tabela2[Palavras-Chave],Boletim[[#This Row],[Objeto]],1),Tabela2[Palavras-Chave])</f>
        <v>#N/A</v>
      </c>
    </row>
    <row r="497" spans="1:11" hidden="1" x14ac:dyDescent="0.3">
      <c r="A497" s="5">
        <v>18804099</v>
      </c>
      <c r="B497" s="6" t="s">
        <v>2070</v>
      </c>
      <c r="C497" s="6" t="s">
        <v>2071</v>
      </c>
      <c r="D497" s="8" t="s">
        <v>80</v>
      </c>
      <c r="E497" s="6" t="s">
        <v>309</v>
      </c>
      <c r="F497" s="6" t="s">
        <v>85</v>
      </c>
      <c r="G497" s="11">
        <v>46126.374305555553</v>
      </c>
      <c r="H497" s="10" t="s">
        <v>2072</v>
      </c>
      <c r="I497" s="6" t="s">
        <v>2073</v>
      </c>
      <c r="J497" s="12">
        <v>46120.632615740738</v>
      </c>
      <c r="K497" s="6" t="e" cm="1">
        <f t="array" ref="K497">LOOKUP(2^15,SEARCH(Tabela2[Palavras-Chave],Boletim[[#This Row],[Objeto]],1),Tabela2[Palavras-Chave])</f>
        <v>#N/A</v>
      </c>
    </row>
    <row r="498" spans="1:11" hidden="1" x14ac:dyDescent="0.3">
      <c r="A498" s="5">
        <v>18804113</v>
      </c>
      <c r="B498" s="6" t="s">
        <v>2074</v>
      </c>
      <c r="C498" s="6" t="s">
        <v>2075</v>
      </c>
      <c r="D498" s="8" t="s">
        <v>80</v>
      </c>
      <c r="E498" s="6" t="s">
        <v>114</v>
      </c>
      <c r="F498" s="6" t="s">
        <v>85</v>
      </c>
      <c r="G498" s="11">
        <v>46157.374305555553</v>
      </c>
      <c r="H498" s="10" t="s">
        <v>2076</v>
      </c>
      <c r="I498" s="6" t="s">
        <v>2077</v>
      </c>
      <c r="J498" s="12">
        <v>46120.638101851851</v>
      </c>
      <c r="K498" s="6" t="e" cm="1">
        <f t="array" ref="K498">LOOKUP(2^15,SEARCH(Tabela2[Palavras-Chave],Boletim[[#This Row],[Objeto]],1),Tabela2[Palavras-Chave])</f>
        <v>#N/A</v>
      </c>
    </row>
    <row r="499" spans="1:11" hidden="1" x14ac:dyDescent="0.3">
      <c r="A499" s="13">
        <v>18804458</v>
      </c>
      <c r="B499" s="10" t="s">
        <v>2078</v>
      </c>
      <c r="C499" s="10" t="s">
        <v>2079</v>
      </c>
      <c r="D499" s="15" t="s">
        <v>80</v>
      </c>
      <c r="E499" s="10" t="s">
        <v>117</v>
      </c>
      <c r="F499" s="10" t="s">
        <v>85</v>
      </c>
      <c r="G499" s="16">
        <v>46135.375</v>
      </c>
      <c r="H499" s="10" t="s">
        <v>2080</v>
      </c>
      <c r="I499" s="10" t="s">
        <v>2081</v>
      </c>
      <c r="J499" s="17">
        <v>46120.666006944448</v>
      </c>
      <c r="K499" s="6" t="e" cm="1">
        <f t="array" ref="K499">LOOKUP(2^15,SEARCH(Tabela2[Palavras-Chave],Boletim[[#This Row],[Objeto]],1),Tabela2[Palavras-Chave])</f>
        <v>#N/A</v>
      </c>
    </row>
    <row r="500" spans="1:11" hidden="1" x14ac:dyDescent="0.3">
      <c r="A500" s="5">
        <v>18805224</v>
      </c>
      <c r="B500" s="6" t="s">
        <v>2082</v>
      </c>
      <c r="C500" s="6" t="s">
        <v>2083</v>
      </c>
      <c r="D500" s="8" t="s">
        <v>80</v>
      </c>
      <c r="E500" s="6" t="s">
        <v>366</v>
      </c>
      <c r="F500" s="6" t="s">
        <v>85</v>
      </c>
      <c r="G500" s="11" t="s">
        <v>56</v>
      </c>
      <c r="H500" s="10" t="s">
        <v>2084</v>
      </c>
      <c r="I500" s="6" t="s">
        <v>2085</v>
      </c>
      <c r="J500" s="12">
        <v>46120.712546296294</v>
      </c>
      <c r="K500" s="6" t="e" cm="1">
        <f t="array" ref="K500">LOOKUP(2^15,SEARCH(Tabela2[Palavras-Chave],Boletim[[#This Row],[Objeto]],1),Tabela2[Palavras-Chave])</f>
        <v>#N/A</v>
      </c>
    </row>
    <row r="501" spans="1:11" hidden="1" x14ac:dyDescent="0.3">
      <c r="A501" s="5">
        <v>18803568</v>
      </c>
      <c r="B501" s="6" t="s">
        <v>2086</v>
      </c>
      <c r="C501" s="6" t="s">
        <v>2087</v>
      </c>
      <c r="D501" s="8" t="s">
        <v>80</v>
      </c>
      <c r="E501" s="6" t="s">
        <v>2088</v>
      </c>
      <c r="F501" s="6" t="s">
        <v>85</v>
      </c>
      <c r="G501" s="11" t="s">
        <v>56</v>
      </c>
      <c r="H501" s="10" t="s">
        <v>2089</v>
      </c>
      <c r="I501" s="6" t="s">
        <v>2090</v>
      </c>
      <c r="J501" s="12">
        <v>46120.714930555558</v>
      </c>
      <c r="K501" s="6" t="e" cm="1">
        <f t="array" ref="K501">LOOKUP(2^15,SEARCH(Tabela2[Palavras-Chave],Boletim[[#This Row],[Objeto]],1),Tabela2[Palavras-Chave])</f>
        <v>#N/A</v>
      </c>
    </row>
    <row r="502" spans="1:11" hidden="1" x14ac:dyDescent="0.3">
      <c r="A502" s="5">
        <v>18801621</v>
      </c>
      <c r="B502" s="6" t="s">
        <v>2091</v>
      </c>
      <c r="C502" s="6" t="s">
        <v>2092</v>
      </c>
      <c r="D502" s="8" t="s">
        <v>80</v>
      </c>
      <c r="E502" s="6" t="s">
        <v>120</v>
      </c>
      <c r="F502" s="6" t="s">
        <v>85</v>
      </c>
      <c r="G502" s="11" t="s">
        <v>56</v>
      </c>
      <c r="H502" s="10" t="s">
        <v>2093</v>
      </c>
      <c r="I502" s="6" t="s">
        <v>2094</v>
      </c>
      <c r="J502" s="12">
        <v>46120.734247685185</v>
      </c>
      <c r="K502" s="6" t="e" cm="1">
        <f t="array" ref="K502">LOOKUP(2^15,SEARCH(Tabela2[Palavras-Chave],Boletim[[#This Row],[Objeto]],1),Tabela2[Palavras-Chave])</f>
        <v>#N/A</v>
      </c>
    </row>
    <row r="503" spans="1:11" hidden="1" x14ac:dyDescent="0.3">
      <c r="A503" s="5">
        <v>18804061</v>
      </c>
      <c r="B503" s="6" t="s">
        <v>2095</v>
      </c>
      <c r="C503" s="6" t="s">
        <v>2096</v>
      </c>
      <c r="D503" s="8" t="s">
        <v>80</v>
      </c>
      <c r="E503" s="6" t="s">
        <v>2097</v>
      </c>
      <c r="F503" s="6" t="s">
        <v>85</v>
      </c>
      <c r="G503" s="11">
        <v>46135.374305555553</v>
      </c>
      <c r="H503" s="10" t="s">
        <v>2098</v>
      </c>
      <c r="I503" s="6" t="s">
        <v>2099</v>
      </c>
      <c r="J503" s="12">
        <v>46120.735486111109</v>
      </c>
      <c r="K503" s="6" t="e" cm="1">
        <f t="array" ref="K503">LOOKUP(2^15,SEARCH(Tabela2[Palavras-Chave],Boletim[[#This Row],[Objeto]],1),Tabela2[Palavras-Chave])</f>
        <v>#N/A</v>
      </c>
    </row>
    <row r="504" spans="1:11" hidden="1" x14ac:dyDescent="0.3">
      <c r="A504" s="5">
        <v>18792595</v>
      </c>
      <c r="B504" s="6" t="s">
        <v>2100</v>
      </c>
      <c r="C504" s="6" t="s">
        <v>2101</v>
      </c>
      <c r="D504" s="8" t="s">
        <v>80</v>
      </c>
      <c r="E504" s="6" t="s">
        <v>149</v>
      </c>
      <c r="F504" s="6" t="s">
        <v>85</v>
      </c>
      <c r="G504" s="11">
        <v>46136.375</v>
      </c>
      <c r="H504" s="10" t="s">
        <v>2102</v>
      </c>
      <c r="I504" s="6" t="s">
        <v>2103</v>
      </c>
      <c r="J504" s="12">
        <v>46120.745173611111</v>
      </c>
      <c r="K504" s="6" t="e" cm="1">
        <f t="array" ref="K504">LOOKUP(2^15,SEARCH(Tabela2[Palavras-Chave],Boletim[[#This Row],[Objeto]],1),Tabela2[Palavras-Chave])</f>
        <v>#N/A</v>
      </c>
    </row>
    <row r="505" spans="1:11" hidden="1" x14ac:dyDescent="0.3">
      <c r="A505" s="5">
        <v>18805586</v>
      </c>
      <c r="B505" s="6" t="s">
        <v>2104</v>
      </c>
      <c r="C505" s="6" t="s">
        <v>2105</v>
      </c>
      <c r="D505" s="8" t="s">
        <v>80</v>
      </c>
      <c r="E505" s="6" t="s">
        <v>2106</v>
      </c>
      <c r="F505" s="6" t="s">
        <v>85</v>
      </c>
      <c r="G505" s="11">
        <v>46126.5625</v>
      </c>
      <c r="H505" s="10" t="s">
        <v>2107</v>
      </c>
      <c r="I505" s="6" t="s">
        <v>2108</v>
      </c>
      <c r="J505" s="12">
        <v>46120.747696759259</v>
      </c>
      <c r="K505" s="6" t="e" cm="1">
        <f t="array" ref="K505">LOOKUP(2^15,SEARCH(Tabela2[Palavras-Chave],Boletim[[#This Row],[Objeto]],1),Tabela2[Palavras-Chave])</f>
        <v>#N/A</v>
      </c>
    </row>
    <row r="506" spans="1:11" hidden="1" x14ac:dyDescent="0.3">
      <c r="A506" s="5">
        <v>18805613</v>
      </c>
      <c r="B506" s="6" t="s">
        <v>2109</v>
      </c>
      <c r="C506" s="6" t="s">
        <v>79</v>
      </c>
      <c r="D506" s="8" t="s">
        <v>80</v>
      </c>
      <c r="E506" s="6" t="s">
        <v>2106</v>
      </c>
      <c r="F506" s="6" t="s">
        <v>85</v>
      </c>
      <c r="G506" s="11">
        <v>46135.625694444447</v>
      </c>
      <c r="H506" s="10" t="s">
        <v>2110</v>
      </c>
      <c r="I506" s="6" t="s">
        <v>2111</v>
      </c>
      <c r="J506" s="12">
        <v>46120.755069444444</v>
      </c>
      <c r="K506" s="6" t="e" cm="1">
        <f t="array" ref="K506">LOOKUP(2^15,SEARCH(Tabela2[Palavras-Chave],Boletim[[#This Row],[Objeto]],1),Tabela2[Palavras-Chave])</f>
        <v>#N/A</v>
      </c>
    </row>
    <row r="507" spans="1:11" hidden="1" x14ac:dyDescent="0.3">
      <c r="A507" s="5">
        <v>18803870</v>
      </c>
      <c r="B507" s="6" t="s">
        <v>193</v>
      </c>
      <c r="C507" s="6" t="s">
        <v>79</v>
      </c>
      <c r="D507" s="8" t="s">
        <v>80</v>
      </c>
      <c r="E507" s="6" t="s">
        <v>2112</v>
      </c>
      <c r="F507" s="6" t="s">
        <v>85</v>
      </c>
      <c r="G507" s="11">
        <v>46126.381944444445</v>
      </c>
      <c r="H507" s="10" t="s">
        <v>2113</v>
      </c>
      <c r="I507" s="6" t="s">
        <v>2114</v>
      </c>
      <c r="J507" s="12">
        <v>46120.767465277779</v>
      </c>
      <c r="K507" s="6" t="e" cm="1">
        <f t="array" ref="K507">LOOKUP(2^15,SEARCH(Tabela2[Palavras-Chave],Boletim[[#This Row],[Objeto]],1),Tabela2[Palavras-Chave])</f>
        <v>#N/A</v>
      </c>
    </row>
    <row r="508" spans="1:11" hidden="1" x14ac:dyDescent="0.3">
      <c r="A508" s="5">
        <v>18804063</v>
      </c>
      <c r="B508" s="6" t="s">
        <v>2115</v>
      </c>
      <c r="C508" s="6" t="s">
        <v>2116</v>
      </c>
      <c r="D508" s="8" t="s">
        <v>80</v>
      </c>
      <c r="E508" s="6" t="s">
        <v>366</v>
      </c>
      <c r="F508" s="6" t="s">
        <v>85</v>
      </c>
      <c r="G508" s="11">
        <v>46141.375</v>
      </c>
      <c r="H508" s="10" t="s">
        <v>2117</v>
      </c>
      <c r="I508" s="6" t="s">
        <v>2118</v>
      </c>
      <c r="J508" s="12">
        <v>46120.811840277776</v>
      </c>
      <c r="K508" s="6" t="e" cm="1">
        <f t="array" ref="K508">LOOKUP(2^15,SEARCH(Tabela2[Palavras-Chave],Boletim[[#This Row],[Objeto]],1),Tabela2[Palavras-Chave])</f>
        <v>#N/A</v>
      </c>
    </row>
    <row r="509" spans="1:11" hidden="1" x14ac:dyDescent="0.3">
      <c r="A509" s="5">
        <v>18806056</v>
      </c>
      <c r="B509" s="6" t="s">
        <v>2119</v>
      </c>
      <c r="C509" s="6" t="s">
        <v>2120</v>
      </c>
      <c r="D509" s="8" t="s">
        <v>80</v>
      </c>
      <c r="E509" s="6" t="s">
        <v>117</v>
      </c>
      <c r="F509" s="6" t="s">
        <v>85</v>
      </c>
      <c r="G509" s="11" t="s">
        <v>56</v>
      </c>
      <c r="H509" s="10" t="s">
        <v>2121</v>
      </c>
      <c r="I509" s="6" t="s">
        <v>2122</v>
      </c>
      <c r="J509" s="12">
        <v>46120.812743055554</v>
      </c>
      <c r="K509" s="6" t="e" cm="1">
        <f t="array" ref="K509">LOOKUP(2^15,SEARCH(Tabela2[Palavras-Chave],Boletim[[#This Row],[Objeto]],1),Tabela2[Palavras-Chave])</f>
        <v>#N/A</v>
      </c>
    </row>
    <row r="510" spans="1:11" hidden="1" x14ac:dyDescent="0.3">
      <c r="A510" s="5">
        <v>18806122</v>
      </c>
      <c r="B510" s="6" t="s">
        <v>2123</v>
      </c>
      <c r="C510" s="6" t="s">
        <v>2124</v>
      </c>
      <c r="D510" s="8" t="s">
        <v>80</v>
      </c>
      <c r="E510" s="6" t="s">
        <v>2125</v>
      </c>
      <c r="F510" s="6" t="s">
        <v>85</v>
      </c>
      <c r="G510" s="11" t="s">
        <v>56</v>
      </c>
      <c r="H510" s="10" t="s">
        <v>2126</v>
      </c>
      <c r="I510" s="6" t="s">
        <v>2127</v>
      </c>
      <c r="J510" s="12">
        <v>46120.814270833333</v>
      </c>
      <c r="K510" s="6" t="e" cm="1">
        <f t="array" ref="K510">LOOKUP(2^15,SEARCH(Tabela2[Palavras-Chave],Boletim[[#This Row],[Objeto]],1),Tabela2[Palavras-Chave])</f>
        <v>#N/A</v>
      </c>
    </row>
    <row r="511" spans="1:11" hidden="1" x14ac:dyDescent="0.3">
      <c r="A511" s="5">
        <v>18793335</v>
      </c>
      <c r="B511" s="6" t="s">
        <v>2128</v>
      </c>
      <c r="C511" s="6" t="s">
        <v>245</v>
      </c>
      <c r="D511" s="8" t="s">
        <v>81</v>
      </c>
      <c r="E511" s="6" t="s">
        <v>122</v>
      </c>
      <c r="F511" s="6" t="s">
        <v>85</v>
      </c>
      <c r="G511" s="11" t="s">
        <v>56</v>
      </c>
      <c r="H511" s="10" t="s">
        <v>2129</v>
      </c>
      <c r="I511" s="6" t="s">
        <v>2130</v>
      </c>
      <c r="J511" s="12">
        <v>46120.388935185183</v>
      </c>
      <c r="K511" s="6" t="e" cm="1">
        <f t="array" ref="K511">LOOKUP(2^15,SEARCH(Tabela2[Palavras-Chave],Boletim[[#This Row],[Objeto]],1),Tabela2[Palavras-Chave])</f>
        <v>#N/A</v>
      </c>
    </row>
    <row r="512" spans="1:11" hidden="1" x14ac:dyDescent="0.3">
      <c r="A512" s="5">
        <v>18802018</v>
      </c>
      <c r="B512" s="6" t="s">
        <v>2131</v>
      </c>
      <c r="C512" s="6" t="s">
        <v>2132</v>
      </c>
      <c r="D512" s="8" t="s">
        <v>81</v>
      </c>
      <c r="E512" s="6" t="s">
        <v>223</v>
      </c>
      <c r="F512" s="6" t="s">
        <v>85</v>
      </c>
      <c r="G512" s="11">
        <v>46134.322222222225</v>
      </c>
      <c r="H512" s="10" t="s">
        <v>2133</v>
      </c>
      <c r="I512" s="6" t="s">
        <v>2134</v>
      </c>
      <c r="J512" s="12">
        <v>46120.445208333331</v>
      </c>
      <c r="K512" s="6" t="e" cm="1">
        <f t="array" ref="K512">LOOKUP(2^15,SEARCH(Tabela2[Palavras-Chave],Boletim[[#This Row],[Objeto]],1),Tabela2[Palavras-Chave])</f>
        <v>#N/A</v>
      </c>
    </row>
    <row r="513" spans="1:11" hidden="1" x14ac:dyDescent="0.3">
      <c r="A513" s="5">
        <v>18801503</v>
      </c>
      <c r="B513" s="6" t="s">
        <v>2135</v>
      </c>
      <c r="C513" s="6" t="s">
        <v>2136</v>
      </c>
      <c r="D513" s="8" t="s">
        <v>81</v>
      </c>
      <c r="E513" s="6" t="s">
        <v>122</v>
      </c>
      <c r="F513" s="6" t="s">
        <v>85</v>
      </c>
      <c r="G513" s="11" t="s">
        <v>56</v>
      </c>
      <c r="H513" s="10" t="s">
        <v>2137</v>
      </c>
      <c r="I513" s="6" t="s">
        <v>2138</v>
      </c>
      <c r="J513" s="12">
        <v>46120.490682870368</v>
      </c>
      <c r="K513" s="6" t="e" cm="1">
        <f t="array" ref="K513">LOOKUP(2^15,SEARCH(Tabela2[Palavras-Chave],Boletim[[#This Row],[Objeto]],1),Tabela2[Palavras-Chave])</f>
        <v>#N/A</v>
      </c>
    </row>
    <row r="514" spans="1:11" hidden="1" x14ac:dyDescent="0.3">
      <c r="A514" s="5">
        <v>18801984</v>
      </c>
      <c r="B514" s="6" t="s">
        <v>2139</v>
      </c>
      <c r="C514" s="6" t="s">
        <v>2140</v>
      </c>
      <c r="D514" s="8" t="s">
        <v>81</v>
      </c>
      <c r="E514" s="6" t="s">
        <v>146</v>
      </c>
      <c r="F514" s="6" t="s">
        <v>85</v>
      </c>
      <c r="G514" s="11">
        <v>46135.333333333336</v>
      </c>
      <c r="H514" s="10" t="s">
        <v>2141</v>
      </c>
      <c r="I514" s="6" t="s">
        <v>2142</v>
      </c>
      <c r="J514" s="12">
        <v>46120.492847222224</v>
      </c>
      <c r="K514" s="6" t="e" cm="1">
        <f t="array" ref="K514">LOOKUP(2^15,SEARCH(Tabela2[Palavras-Chave],Boletim[[#This Row],[Objeto]],1),Tabela2[Palavras-Chave])</f>
        <v>#N/A</v>
      </c>
    </row>
    <row r="515" spans="1:11" hidden="1" x14ac:dyDescent="0.3">
      <c r="A515" s="5">
        <v>18697005</v>
      </c>
      <c r="B515" s="6" t="s">
        <v>208</v>
      </c>
      <c r="C515" s="6" t="s">
        <v>209</v>
      </c>
      <c r="D515" s="8" t="s">
        <v>81</v>
      </c>
      <c r="E515" s="6" t="s">
        <v>114</v>
      </c>
      <c r="F515" s="6" t="s">
        <v>85</v>
      </c>
      <c r="G515" s="11">
        <v>46126.357638888891</v>
      </c>
      <c r="H515" s="10" t="s">
        <v>210</v>
      </c>
      <c r="I515" s="6" t="s">
        <v>211</v>
      </c>
      <c r="J515" s="12">
        <v>46120.523680555554</v>
      </c>
      <c r="K515" s="6" t="e" cm="1">
        <f t="array" ref="K515">LOOKUP(2^15,SEARCH(Tabela2[Palavras-Chave],Boletim[[#This Row],[Objeto]],1),Tabela2[Palavras-Chave])</f>
        <v>#N/A</v>
      </c>
    </row>
    <row r="516" spans="1:11" hidden="1" x14ac:dyDescent="0.3">
      <c r="A516" s="5">
        <v>18794644</v>
      </c>
      <c r="B516" s="6" t="s">
        <v>201</v>
      </c>
      <c r="C516" s="6" t="s">
        <v>202</v>
      </c>
      <c r="D516" s="8" t="s">
        <v>81</v>
      </c>
      <c r="E516" s="6" t="s">
        <v>2143</v>
      </c>
      <c r="F516" s="6" t="s">
        <v>85</v>
      </c>
      <c r="G516" s="11" t="s">
        <v>56</v>
      </c>
      <c r="H516" s="10" t="s">
        <v>2144</v>
      </c>
      <c r="I516" s="6" t="s">
        <v>2145</v>
      </c>
      <c r="J516" s="12">
        <v>46120.523692129631</v>
      </c>
      <c r="K516" s="6" t="e" cm="1">
        <f t="array" ref="K516">LOOKUP(2^15,SEARCH(Tabela2[Palavras-Chave],Boletim[[#This Row],[Objeto]],1),Tabela2[Palavras-Chave])</f>
        <v>#N/A</v>
      </c>
    </row>
    <row r="517" spans="1:11" hidden="1" x14ac:dyDescent="0.3">
      <c r="A517" s="5">
        <v>18802898</v>
      </c>
      <c r="B517" s="6" t="s">
        <v>408</v>
      </c>
      <c r="C517" s="6" t="s">
        <v>199</v>
      </c>
      <c r="D517" s="8" t="s">
        <v>81</v>
      </c>
      <c r="E517" s="6" t="s">
        <v>2146</v>
      </c>
      <c r="F517" s="6" t="s">
        <v>85</v>
      </c>
      <c r="G517" s="11" t="s">
        <v>56</v>
      </c>
      <c r="H517" s="10" t="s">
        <v>2147</v>
      </c>
      <c r="I517" s="6" t="s">
        <v>2148</v>
      </c>
      <c r="J517" s="12">
        <v>46120.523136574076</v>
      </c>
      <c r="K517" s="6" t="e" cm="1">
        <f t="array" ref="K517">LOOKUP(2^15,SEARCH(Tabela2[Palavras-Chave],Boletim[[#This Row],[Objeto]],1),Tabela2[Palavras-Chave])</f>
        <v>#N/A</v>
      </c>
    </row>
    <row r="518" spans="1:11" hidden="1" x14ac:dyDescent="0.3">
      <c r="A518" s="5">
        <v>18802024</v>
      </c>
      <c r="B518" s="6" t="s">
        <v>2149</v>
      </c>
      <c r="C518" s="6" t="s">
        <v>303</v>
      </c>
      <c r="D518" s="8" t="s">
        <v>81</v>
      </c>
      <c r="E518" s="6" t="s">
        <v>109</v>
      </c>
      <c r="F518" s="6" t="s">
        <v>85</v>
      </c>
      <c r="G518" s="11">
        <v>46132.329861111109</v>
      </c>
      <c r="H518" s="10" t="s">
        <v>2150</v>
      </c>
      <c r="I518" s="6" t="s">
        <v>2151</v>
      </c>
      <c r="J518" s="12">
        <v>46120.526018518518</v>
      </c>
      <c r="K518" s="6" t="e" cm="1">
        <f t="array" ref="K518">LOOKUP(2^15,SEARCH(Tabela2[Palavras-Chave],Boletim[[#This Row],[Objeto]],1),Tabela2[Palavras-Chave])</f>
        <v>#N/A</v>
      </c>
    </row>
    <row r="519" spans="1:11" hidden="1" x14ac:dyDescent="0.3">
      <c r="A519" s="5">
        <v>18801502</v>
      </c>
      <c r="B519" s="6" t="s">
        <v>2152</v>
      </c>
      <c r="C519" s="6" t="s">
        <v>2153</v>
      </c>
      <c r="D519" s="8" t="s">
        <v>81</v>
      </c>
      <c r="E519" s="6" t="s">
        <v>121</v>
      </c>
      <c r="F519" s="6" t="s">
        <v>85</v>
      </c>
      <c r="G519" s="11" t="s">
        <v>56</v>
      </c>
      <c r="H519" s="10" t="s">
        <v>2154</v>
      </c>
      <c r="I519" s="6" t="s">
        <v>2155</v>
      </c>
      <c r="J519" s="12">
        <v>46120.53429398148</v>
      </c>
      <c r="K519" s="6" t="e" cm="1">
        <f t="array" ref="K519">LOOKUP(2^15,SEARCH(Tabela2[Palavras-Chave],Boletim[[#This Row],[Objeto]],1),Tabela2[Palavras-Chave])</f>
        <v>#N/A</v>
      </c>
    </row>
    <row r="520" spans="1:11" hidden="1" x14ac:dyDescent="0.3">
      <c r="A520" s="5">
        <v>18801635</v>
      </c>
      <c r="B520" s="6" t="s">
        <v>2156</v>
      </c>
      <c r="C520" s="6" t="s">
        <v>2157</v>
      </c>
      <c r="D520" s="8" t="s">
        <v>81</v>
      </c>
      <c r="E520" s="6" t="s">
        <v>155</v>
      </c>
      <c r="F520" s="6" t="s">
        <v>85</v>
      </c>
      <c r="G520" s="11" t="s">
        <v>56</v>
      </c>
      <c r="H520" s="10" t="s">
        <v>2158</v>
      </c>
      <c r="I520" s="6" t="s">
        <v>2159</v>
      </c>
      <c r="J520" s="12">
        <v>46120.536898148152</v>
      </c>
      <c r="K520" s="6" t="e" cm="1">
        <f t="array" ref="K520">LOOKUP(2^15,SEARCH(Tabela2[Palavras-Chave],Boletim[[#This Row],[Objeto]],1),Tabela2[Palavras-Chave])</f>
        <v>#N/A</v>
      </c>
    </row>
    <row r="521" spans="1:11" hidden="1" x14ac:dyDescent="0.3">
      <c r="A521" s="5">
        <v>18799620</v>
      </c>
      <c r="B521" s="6" t="s">
        <v>2160</v>
      </c>
      <c r="C521" s="6" t="s">
        <v>2161</v>
      </c>
      <c r="D521" s="8" t="s">
        <v>81</v>
      </c>
      <c r="E521" s="6" t="s">
        <v>108</v>
      </c>
      <c r="F521" s="6" t="s">
        <v>85</v>
      </c>
      <c r="G521" s="11">
        <v>46135.375</v>
      </c>
      <c r="H521" s="10" t="s">
        <v>2162</v>
      </c>
      <c r="I521" s="6" t="s">
        <v>2163</v>
      </c>
      <c r="J521" s="12">
        <v>46120.572268518517</v>
      </c>
      <c r="K521" s="6" t="e" cm="1">
        <f t="array" ref="K521">LOOKUP(2^15,SEARCH(Tabela2[Palavras-Chave],Boletim[[#This Row],[Objeto]],1),Tabela2[Palavras-Chave])</f>
        <v>#N/A</v>
      </c>
    </row>
    <row r="522" spans="1:11" hidden="1" x14ac:dyDescent="0.3">
      <c r="A522" s="5">
        <v>18797081</v>
      </c>
      <c r="B522" s="6" t="s">
        <v>2164</v>
      </c>
      <c r="C522" s="6" t="s">
        <v>2165</v>
      </c>
      <c r="D522" s="8" t="s">
        <v>81</v>
      </c>
      <c r="E522" s="6" t="s">
        <v>2097</v>
      </c>
      <c r="F522" s="6" t="s">
        <v>85</v>
      </c>
      <c r="G522" s="11">
        <v>46135.291666666664</v>
      </c>
      <c r="H522" s="10" t="s">
        <v>2166</v>
      </c>
      <c r="I522" s="6" t="s">
        <v>2167</v>
      </c>
      <c r="J522" s="12">
        <v>46120.586898148147</v>
      </c>
      <c r="K522" s="6" t="e" cm="1">
        <f t="array" ref="K522">LOOKUP(2^15,SEARCH(Tabela2[Palavras-Chave],Boletim[[#This Row],[Objeto]],1),Tabela2[Palavras-Chave])</f>
        <v>#N/A</v>
      </c>
    </row>
    <row r="523" spans="1:11" ht="86.4" x14ac:dyDescent="0.3">
      <c r="A523" s="5">
        <v>18793553</v>
      </c>
      <c r="B523" s="6" t="s">
        <v>2168</v>
      </c>
      <c r="C523" s="6" t="s">
        <v>2169</v>
      </c>
      <c r="D523" s="8" t="s">
        <v>81</v>
      </c>
      <c r="E523" s="6" t="s">
        <v>2170</v>
      </c>
      <c r="F523" s="6" t="s">
        <v>85</v>
      </c>
      <c r="G523" s="11" t="s">
        <v>56</v>
      </c>
      <c r="H523" s="21" t="s">
        <v>2171</v>
      </c>
      <c r="I523" s="6" t="s">
        <v>2172</v>
      </c>
      <c r="J523" s="12">
        <v>46120.596597222226</v>
      </c>
      <c r="K523" s="6" t="str" cm="1">
        <f t="array" ref="K523">LOOKUP(2^15,SEARCH(Tabela2[Palavras-Chave],Boletim[[#This Row],[Objeto]],1),Tabela2[Palavras-Chave])</f>
        <v>JUNTA</v>
      </c>
    </row>
    <row r="524" spans="1:11" hidden="1" x14ac:dyDescent="0.3">
      <c r="A524" s="5">
        <v>18803576</v>
      </c>
      <c r="B524" s="6" t="s">
        <v>2173</v>
      </c>
      <c r="C524" s="6" t="s">
        <v>2174</v>
      </c>
      <c r="D524" s="8" t="s">
        <v>81</v>
      </c>
      <c r="E524" s="6" t="s">
        <v>2175</v>
      </c>
      <c r="F524" s="6" t="s">
        <v>85</v>
      </c>
      <c r="G524" s="11" t="s">
        <v>56</v>
      </c>
      <c r="H524" s="10" t="s">
        <v>2176</v>
      </c>
      <c r="I524" s="6" t="s">
        <v>2177</v>
      </c>
      <c r="J524" s="12">
        <v>46120.603182870371</v>
      </c>
      <c r="K524" s="6" t="e" cm="1">
        <f t="array" ref="K524">LOOKUP(2^15,SEARCH(Tabela2[Palavras-Chave],Boletim[[#This Row],[Objeto]],1),Tabela2[Palavras-Chave])</f>
        <v>#N/A</v>
      </c>
    </row>
    <row r="525" spans="1:11" hidden="1" x14ac:dyDescent="0.3">
      <c r="A525" s="5">
        <v>18798927</v>
      </c>
      <c r="B525" s="6" t="s">
        <v>2178</v>
      </c>
      <c r="C525" s="6" t="s">
        <v>2179</v>
      </c>
      <c r="D525" s="8" t="s">
        <v>81</v>
      </c>
      <c r="E525" s="6" t="s">
        <v>106</v>
      </c>
      <c r="F525" s="6" t="s">
        <v>85</v>
      </c>
      <c r="G525" s="11">
        <v>46142.374305555553</v>
      </c>
      <c r="H525" s="10" t="s">
        <v>2180</v>
      </c>
      <c r="I525" s="6" t="s">
        <v>2181</v>
      </c>
      <c r="J525" s="12">
        <v>46120.618125000001</v>
      </c>
      <c r="K525" s="6" t="e" cm="1">
        <f t="array" ref="K525">LOOKUP(2^15,SEARCH(Tabela2[Palavras-Chave],Boletim[[#This Row],[Objeto]],1),Tabela2[Palavras-Chave])</f>
        <v>#N/A</v>
      </c>
    </row>
    <row r="526" spans="1:11" hidden="1" x14ac:dyDescent="0.3">
      <c r="A526" s="5">
        <v>18804051</v>
      </c>
      <c r="B526" s="6" t="s">
        <v>2182</v>
      </c>
      <c r="C526" s="6" t="s">
        <v>2183</v>
      </c>
      <c r="D526" s="8" t="s">
        <v>81</v>
      </c>
      <c r="E526" s="6" t="s">
        <v>2184</v>
      </c>
      <c r="F526" s="6" t="s">
        <v>85</v>
      </c>
      <c r="G526" s="11">
        <v>46134.374305555553</v>
      </c>
      <c r="H526" s="10" t="s">
        <v>2185</v>
      </c>
      <c r="I526" s="6" t="s">
        <v>2186</v>
      </c>
      <c r="J526" s="12">
        <v>46120.651053240741</v>
      </c>
      <c r="K526" s="6" t="e" cm="1">
        <f t="array" ref="K526">LOOKUP(2^15,SEARCH(Tabela2[Palavras-Chave],Boletim[[#This Row],[Objeto]],1),Tabela2[Palavras-Chave])</f>
        <v>#N/A</v>
      </c>
    </row>
    <row r="527" spans="1:11" hidden="1" x14ac:dyDescent="0.3">
      <c r="A527" s="5">
        <v>18801629</v>
      </c>
      <c r="B527" s="6" t="s">
        <v>2187</v>
      </c>
      <c r="C527" s="6" t="s">
        <v>2188</v>
      </c>
      <c r="D527" s="8" t="s">
        <v>81</v>
      </c>
      <c r="E527" s="6" t="s">
        <v>165</v>
      </c>
      <c r="F527" s="6" t="s">
        <v>85</v>
      </c>
      <c r="G527" s="11" t="s">
        <v>56</v>
      </c>
      <c r="H527" s="10" t="s">
        <v>2189</v>
      </c>
      <c r="I527" s="6" t="s">
        <v>2190</v>
      </c>
      <c r="J527" s="12">
        <v>46120.659768518519</v>
      </c>
      <c r="K527" s="6" t="e" cm="1">
        <f t="array" ref="K527">LOOKUP(2^15,SEARCH(Tabela2[Palavras-Chave],Boletim[[#This Row],[Objeto]],1),Tabela2[Palavras-Chave])</f>
        <v>#N/A</v>
      </c>
    </row>
    <row r="528" spans="1:11" hidden="1" x14ac:dyDescent="0.3">
      <c r="A528" s="5">
        <v>18801655</v>
      </c>
      <c r="B528" s="6" t="s">
        <v>2191</v>
      </c>
      <c r="C528" s="6" t="s">
        <v>2192</v>
      </c>
      <c r="D528" s="8" t="s">
        <v>81</v>
      </c>
      <c r="E528" s="6" t="s">
        <v>192</v>
      </c>
      <c r="F528" s="6" t="s">
        <v>85</v>
      </c>
      <c r="G528" s="11" t="s">
        <v>56</v>
      </c>
      <c r="H528" s="10" t="s">
        <v>2193</v>
      </c>
      <c r="I528" s="6" t="s">
        <v>2194</v>
      </c>
      <c r="J528" s="12">
        <v>46120.660891203705</v>
      </c>
      <c r="K528" s="6" t="e" cm="1">
        <f t="array" ref="K528">LOOKUP(2^15,SEARCH(Tabela2[Palavras-Chave],Boletim[[#This Row],[Objeto]],1),Tabela2[Palavras-Chave])</f>
        <v>#N/A</v>
      </c>
    </row>
    <row r="529" spans="1:11" hidden="1" x14ac:dyDescent="0.3">
      <c r="A529" s="5">
        <v>18798294</v>
      </c>
      <c r="B529" s="6" t="s">
        <v>2195</v>
      </c>
      <c r="C529" s="6" t="s">
        <v>2196</v>
      </c>
      <c r="D529" s="8" t="s">
        <v>81</v>
      </c>
      <c r="E529" s="6" t="s">
        <v>2197</v>
      </c>
      <c r="F529" s="6" t="s">
        <v>85</v>
      </c>
      <c r="G529" s="11">
        <v>46134.375</v>
      </c>
      <c r="H529" s="10" t="s">
        <v>2198</v>
      </c>
      <c r="I529" s="6" t="s">
        <v>2199</v>
      </c>
      <c r="J529" s="12">
        <v>46120.690335648149</v>
      </c>
      <c r="K529" s="6" t="e" cm="1">
        <f t="array" ref="K529">LOOKUP(2^15,SEARCH(Tabela2[Palavras-Chave],Boletim[[#This Row],[Objeto]],1),Tabela2[Palavras-Chave])</f>
        <v>#N/A</v>
      </c>
    </row>
    <row r="530" spans="1:11" hidden="1" x14ac:dyDescent="0.3">
      <c r="A530" s="5">
        <v>18805233</v>
      </c>
      <c r="B530" s="6" t="s">
        <v>2200</v>
      </c>
      <c r="C530" s="6" t="s">
        <v>2201</v>
      </c>
      <c r="D530" s="8" t="s">
        <v>81</v>
      </c>
      <c r="E530" s="6" t="s">
        <v>2202</v>
      </c>
      <c r="F530" s="6" t="s">
        <v>85</v>
      </c>
      <c r="G530" s="11" t="s">
        <v>56</v>
      </c>
      <c r="H530" s="10" t="s">
        <v>2203</v>
      </c>
      <c r="I530" s="6" t="s">
        <v>2204</v>
      </c>
      <c r="J530" s="12">
        <v>46120.721574074072</v>
      </c>
      <c r="K530" s="6" t="e" cm="1">
        <f t="array" ref="K530">LOOKUP(2^15,SEARCH(Tabela2[Palavras-Chave],Boletim[[#This Row],[Objeto]],1),Tabela2[Palavras-Chave])</f>
        <v>#N/A</v>
      </c>
    </row>
    <row r="531" spans="1:11" hidden="1" x14ac:dyDescent="0.3">
      <c r="A531" s="5">
        <v>18804193</v>
      </c>
      <c r="B531" s="6" t="s">
        <v>2205</v>
      </c>
      <c r="C531" s="6" t="s">
        <v>403</v>
      </c>
      <c r="D531" s="8" t="s">
        <v>81</v>
      </c>
      <c r="E531" s="6" t="s">
        <v>108</v>
      </c>
      <c r="F531" s="6" t="s">
        <v>85</v>
      </c>
      <c r="G531" s="11" t="s">
        <v>56</v>
      </c>
      <c r="H531" s="10" t="s">
        <v>2206</v>
      </c>
      <c r="I531" s="6" t="s">
        <v>2207</v>
      </c>
      <c r="J531" s="12">
        <v>46120.711168981485</v>
      </c>
      <c r="K531" s="6" t="e" cm="1">
        <f t="array" ref="K531">LOOKUP(2^15,SEARCH(Tabela2[Palavras-Chave],Boletim[[#This Row],[Objeto]],1),Tabela2[Palavras-Chave])</f>
        <v>#N/A</v>
      </c>
    </row>
    <row r="532" spans="1:11" hidden="1" x14ac:dyDescent="0.3">
      <c r="A532" s="5">
        <v>18804690</v>
      </c>
      <c r="B532" s="6" t="s">
        <v>2208</v>
      </c>
      <c r="C532" s="6" t="s">
        <v>2209</v>
      </c>
      <c r="D532" s="8" t="s">
        <v>81</v>
      </c>
      <c r="E532" s="6" t="s">
        <v>108</v>
      </c>
      <c r="F532" s="6" t="s">
        <v>85</v>
      </c>
      <c r="G532" s="11">
        <v>46162.375</v>
      </c>
      <c r="H532" s="10" t="s">
        <v>2210</v>
      </c>
      <c r="I532" s="6" t="s">
        <v>90</v>
      </c>
      <c r="J532" s="12">
        <v>46120.729120370372</v>
      </c>
      <c r="K532" s="6" t="e" cm="1">
        <f t="array" ref="K532">LOOKUP(2^15,SEARCH(Tabela2[Palavras-Chave],Boletim[[#This Row],[Objeto]],1),Tabela2[Palavras-Chave])</f>
        <v>#N/A</v>
      </c>
    </row>
    <row r="533" spans="1:11" hidden="1" x14ac:dyDescent="0.3">
      <c r="A533" s="5">
        <v>18804022</v>
      </c>
      <c r="B533" s="6" t="s">
        <v>2211</v>
      </c>
      <c r="C533" s="6" t="s">
        <v>2174</v>
      </c>
      <c r="D533" s="8" t="s">
        <v>81</v>
      </c>
      <c r="E533" s="6" t="s">
        <v>1499</v>
      </c>
      <c r="F533" s="6" t="s">
        <v>85</v>
      </c>
      <c r="G533" s="11">
        <v>46135.354166666664</v>
      </c>
      <c r="H533" s="10" t="s">
        <v>2212</v>
      </c>
      <c r="I533" s="6" t="s">
        <v>2213</v>
      </c>
      <c r="J533" s="12">
        <v>46120.733368055553</v>
      </c>
      <c r="K533" s="6" t="e" cm="1">
        <f t="array" ref="K533">LOOKUP(2^15,SEARCH(Tabela2[Palavras-Chave],Boletim[[#This Row],[Objeto]],1),Tabela2[Palavras-Chave])</f>
        <v>#N/A</v>
      </c>
    </row>
    <row r="534" spans="1:11" hidden="1" x14ac:dyDescent="0.3">
      <c r="A534" s="5">
        <v>18805312</v>
      </c>
      <c r="B534" s="6" t="s">
        <v>2214</v>
      </c>
      <c r="C534" s="6" t="s">
        <v>2215</v>
      </c>
      <c r="D534" s="8" t="s">
        <v>81</v>
      </c>
      <c r="E534" s="6" t="s">
        <v>223</v>
      </c>
      <c r="F534" s="6" t="s">
        <v>85</v>
      </c>
      <c r="G534" s="11" t="s">
        <v>56</v>
      </c>
      <c r="H534" s="10" t="s">
        <v>2216</v>
      </c>
      <c r="I534" s="6" t="s">
        <v>2217</v>
      </c>
      <c r="J534" s="12">
        <v>46120.733773148146</v>
      </c>
      <c r="K534" s="6" t="e" cm="1">
        <f t="array" ref="K534">LOOKUP(2^15,SEARCH(Tabela2[Palavras-Chave],Boletim[[#This Row],[Objeto]],1),Tabela2[Palavras-Chave])</f>
        <v>#N/A</v>
      </c>
    </row>
    <row r="535" spans="1:11" hidden="1" x14ac:dyDescent="0.3">
      <c r="A535" s="5">
        <v>18802063</v>
      </c>
      <c r="B535" s="6" t="s">
        <v>2218</v>
      </c>
      <c r="C535" s="6" t="s">
        <v>2219</v>
      </c>
      <c r="D535" s="8" t="s">
        <v>81</v>
      </c>
      <c r="E535" s="6" t="s">
        <v>205</v>
      </c>
      <c r="F535" s="6" t="s">
        <v>85</v>
      </c>
      <c r="G535" s="11">
        <v>46160.305555555555</v>
      </c>
      <c r="H535" s="10" t="s">
        <v>2220</v>
      </c>
      <c r="I535" s="6" t="s">
        <v>2221</v>
      </c>
      <c r="J535" s="12">
        <v>46120.746354166666</v>
      </c>
      <c r="K535" s="6" t="e" cm="1">
        <f t="array" ref="K535">LOOKUP(2^15,SEARCH(Tabela2[Palavras-Chave],Boletim[[#This Row],[Objeto]],1),Tabela2[Palavras-Chave])</f>
        <v>#N/A</v>
      </c>
    </row>
    <row r="536" spans="1:11" ht="244.8" x14ac:dyDescent="0.3">
      <c r="A536" s="5">
        <v>18801675</v>
      </c>
      <c r="B536" s="6" t="s">
        <v>2222</v>
      </c>
      <c r="C536" s="6" t="s">
        <v>405</v>
      </c>
      <c r="D536" s="8" t="s">
        <v>81</v>
      </c>
      <c r="E536" s="6" t="s">
        <v>124</v>
      </c>
      <c r="F536" s="6" t="s">
        <v>85</v>
      </c>
      <c r="G536" s="11" t="s">
        <v>56</v>
      </c>
      <c r="H536" s="21" t="s">
        <v>2223</v>
      </c>
      <c r="I536" s="6" t="s">
        <v>2224</v>
      </c>
      <c r="J536" s="12">
        <v>46120.761064814818</v>
      </c>
      <c r="K536" s="6" t="str" cm="1">
        <f t="array" ref="K536">LOOKUP(2^15,SEARCH(Tabela2[Palavras-Chave],Boletim[[#This Row],[Objeto]],1),Tabela2[Palavras-Chave])</f>
        <v>TANQUE</v>
      </c>
    </row>
    <row r="537" spans="1:11" hidden="1" x14ac:dyDescent="0.3">
      <c r="A537" s="5">
        <v>18801918</v>
      </c>
      <c r="B537" s="6" t="s">
        <v>2225</v>
      </c>
      <c r="C537" s="6" t="s">
        <v>2226</v>
      </c>
      <c r="D537" s="8" t="s">
        <v>81</v>
      </c>
      <c r="E537" s="6" t="s">
        <v>1849</v>
      </c>
      <c r="F537" s="6" t="s">
        <v>85</v>
      </c>
      <c r="G537" s="11">
        <v>46147.582638888889</v>
      </c>
      <c r="H537" s="10" t="s">
        <v>2227</v>
      </c>
      <c r="I537" s="6" t="s">
        <v>2228</v>
      </c>
      <c r="J537" s="12">
        <v>46120.772662037038</v>
      </c>
      <c r="K537" s="6" t="e" cm="1">
        <f t="array" ref="K537">LOOKUP(2^15,SEARCH(Tabela2[Palavras-Chave],Boletim[[#This Row],[Objeto]],1),Tabela2[Palavras-Chave])</f>
        <v>#N/A</v>
      </c>
    </row>
    <row r="538" spans="1:11" hidden="1" x14ac:dyDescent="0.3">
      <c r="A538" s="5">
        <v>18805909</v>
      </c>
      <c r="B538" s="6" t="s">
        <v>2229</v>
      </c>
      <c r="C538" s="6" t="s">
        <v>2230</v>
      </c>
      <c r="D538" s="8" t="s">
        <v>81</v>
      </c>
      <c r="E538" s="6" t="s">
        <v>2231</v>
      </c>
      <c r="F538" s="6" t="s">
        <v>85</v>
      </c>
      <c r="G538" s="11" t="s">
        <v>56</v>
      </c>
      <c r="H538" s="10" t="s">
        <v>2232</v>
      </c>
      <c r="I538" s="6" t="s">
        <v>2233</v>
      </c>
      <c r="J538" s="12">
        <v>46120.785000000003</v>
      </c>
      <c r="K538" s="6" t="e" cm="1">
        <f t="array" ref="K538">LOOKUP(2^15,SEARCH(Tabela2[Palavras-Chave],Boletim[[#This Row],[Objeto]],1),Tabela2[Palavras-Chave])</f>
        <v>#N/A</v>
      </c>
    </row>
    <row r="539" spans="1:11" hidden="1" x14ac:dyDescent="0.3">
      <c r="A539" s="5">
        <v>18766991</v>
      </c>
      <c r="B539" s="6" t="s">
        <v>2234</v>
      </c>
      <c r="C539" s="6" t="s">
        <v>2235</v>
      </c>
      <c r="D539" s="8" t="s">
        <v>81</v>
      </c>
      <c r="E539" s="6" t="s">
        <v>337</v>
      </c>
      <c r="F539" s="6" t="s">
        <v>85</v>
      </c>
      <c r="G539" s="11" t="s">
        <v>56</v>
      </c>
      <c r="H539" s="10" t="s">
        <v>2236</v>
      </c>
      <c r="I539" s="6" t="s">
        <v>2237</v>
      </c>
      <c r="J539" s="12">
        <v>46120.789618055554</v>
      </c>
      <c r="K539" s="6" t="e" cm="1">
        <f t="array" ref="K539">LOOKUP(2^15,SEARCH(Tabela2[Palavras-Chave],Boletim[[#This Row],[Objeto]],1),Tabela2[Palavras-Chave])</f>
        <v>#N/A</v>
      </c>
    </row>
    <row r="540" spans="1:11" hidden="1" x14ac:dyDescent="0.3">
      <c r="A540" s="5">
        <v>18799617</v>
      </c>
      <c r="B540" s="6" t="s">
        <v>2164</v>
      </c>
      <c r="C540" s="6" t="s">
        <v>2165</v>
      </c>
      <c r="D540" s="8" t="s">
        <v>81</v>
      </c>
      <c r="E540" s="6" t="s">
        <v>146</v>
      </c>
      <c r="F540" s="6" t="s">
        <v>85</v>
      </c>
      <c r="G540" s="11">
        <v>46135.333333333336</v>
      </c>
      <c r="H540" s="10" t="s">
        <v>2166</v>
      </c>
      <c r="I540" s="6" t="s">
        <v>2238</v>
      </c>
      <c r="J540" s="12">
        <v>46120.829895833333</v>
      </c>
      <c r="K540" s="6" t="e" cm="1">
        <f t="array" ref="K540">LOOKUP(2^15,SEARCH(Tabela2[Palavras-Chave],Boletim[[#This Row],[Objeto]],1),Tabela2[Palavras-Chave])</f>
        <v>#N/A</v>
      </c>
    </row>
    <row r="541" spans="1:11" hidden="1" x14ac:dyDescent="0.3">
      <c r="A541" s="13">
        <v>18806276</v>
      </c>
      <c r="B541" s="10" t="s">
        <v>427</v>
      </c>
      <c r="C541" s="10" t="s">
        <v>428</v>
      </c>
      <c r="D541" s="15" t="s">
        <v>81</v>
      </c>
      <c r="E541" s="10" t="s">
        <v>120</v>
      </c>
      <c r="F541" s="10" t="s">
        <v>85</v>
      </c>
      <c r="G541" s="16">
        <v>46134</v>
      </c>
      <c r="H541" s="10" t="s">
        <v>2239</v>
      </c>
      <c r="I541" s="10" t="s">
        <v>2240</v>
      </c>
      <c r="J541" s="17">
        <v>46120.840312499997</v>
      </c>
      <c r="K541" s="6" t="e" cm="1">
        <f t="array" ref="K541">LOOKUP(2^15,SEARCH(Tabela2[Palavras-Chave],Boletim[[#This Row],[Objeto]],1),Tabela2[Palavras-Chave])</f>
        <v>#N/A</v>
      </c>
    </row>
    <row r="542" spans="1:11" hidden="1" x14ac:dyDescent="0.3">
      <c r="A542" s="5">
        <v>18803573</v>
      </c>
      <c r="B542" s="6" t="s">
        <v>2211</v>
      </c>
      <c r="C542" s="6" t="s">
        <v>2174</v>
      </c>
      <c r="D542" s="8" t="s">
        <v>81</v>
      </c>
      <c r="E542" s="6" t="s">
        <v>212</v>
      </c>
      <c r="F542" s="6" t="s">
        <v>85</v>
      </c>
      <c r="G542" s="11" t="s">
        <v>56</v>
      </c>
      <c r="H542" s="10" t="s">
        <v>2241</v>
      </c>
      <c r="I542" s="6" t="s">
        <v>2242</v>
      </c>
      <c r="J542" s="12">
        <v>46120.863749999997</v>
      </c>
      <c r="K542" s="6" t="e" cm="1">
        <f t="array" ref="K542">LOOKUP(2^15,SEARCH(Tabela2[Palavras-Chave],Boletim[[#This Row],[Objeto]],1),Tabela2[Palavras-Chave])</f>
        <v>#N/A</v>
      </c>
    </row>
    <row r="543" spans="1:11" hidden="1" x14ac:dyDescent="0.3">
      <c r="A543" s="5">
        <v>18804700</v>
      </c>
      <c r="B543" s="6" t="s">
        <v>2243</v>
      </c>
      <c r="C543" s="6" t="s">
        <v>2244</v>
      </c>
      <c r="D543" s="8" t="s">
        <v>81</v>
      </c>
      <c r="E543" s="6" t="s">
        <v>2245</v>
      </c>
      <c r="F543" s="6" t="s">
        <v>85</v>
      </c>
      <c r="G543" s="11">
        <v>46136.334027777775</v>
      </c>
      <c r="H543" s="10" t="s">
        <v>2246</v>
      </c>
      <c r="I543" s="6" t="s">
        <v>90</v>
      </c>
      <c r="J543" s="12">
        <v>46120.869386574072</v>
      </c>
      <c r="K543" s="6" t="e" cm="1">
        <f t="array" ref="K543">LOOKUP(2^15,SEARCH(Tabela2[Palavras-Chave],Boletim[[#This Row],[Objeto]],1),Tabela2[Palavras-Chave])</f>
        <v>#N/A</v>
      </c>
    </row>
    <row r="544" spans="1:11" hidden="1" x14ac:dyDescent="0.3">
      <c r="A544" s="5">
        <v>18804764</v>
      </c>
      <c r="B544" s="6" t="s">
        <v>2178</v>
      </c>
      <c r="C544" s="6" t="s">
        <v>2179</v>
      </c>
      <c r="D544" s="8" t="s">
        <v>81</v>
      </c>
      <c r="E544" s="6" t="s">
        <v>117</v>
      </c>
      <c r="F544" s="6" t="s">
        <v>85</v>
      </c>
      <c r="G544" s="11">
        <v>46132.374305555553</v>
      </c>
      <c r="H544" s="10" t="s">
        <v>2247</v>
      </c>
      <c r="I544" s="6" t="s">
        <v>2248</v>
      </c>
      <c r="J544" s="12">
        <v>46120.873136574075</v>
      </c>
      <c r="K544" s="6" t="e" cm="1">
        <f t="array" ref="K544">LOOKUP(2^15,SEARCH(Tabela2[Palavras-Chave],Boletim[[#This Row],[Objeto]],1),Tabela2[Palavras-Chave])</f>
        <v>#N/A</v>
      </c>
    </row>
    <row r="545" spans="1:11" hidden="1" x14ac:dyDescent="0.3">
      <c r="A545" s="5">
        <v>18804153</v>
      </c>
      <c r="B545" s="6" t="s">
        <v>2249</v>
      </c>
      <c r="C545" s="6" t="s">
        <v>2250</v>
      </c>
      <c r="D545" s="8" t="s">
        <v>81</v>
      </c>
      <c r="E545" s="6" t="s">
        <v>109</v>
      </c>
      <c r="F545" s="6" t="s">
        <v>85</v>
      </c>
      <c r="G545" s="11">
        <v>46129.375</v>
      </c>
      <c r="H545" s="10" t="s">
        <v>2251</v>
      </c>
      <c r="I545" s="6" t="s">
        <v>90</v>
      </c>
      <c r="J545" s="12">
        <v>46120.885462962964</v>
      </c>
      <c r="K545" s="6" t="e" cm="1">
        <f t="array" ref="K545">LOOKUP(2^15,SEARCH(Tabela2[Palavras-Chave],Boletim[[#This Row],[Objeto]],1),Tabela2[Palavras-Chave])</f>
        <v>#N/A</v>
      </c>
    </row>
    <row r="546" spans="1:11" hidden="1" x14ac:dyDescent="0.3">
      <c r="A546" s="5">
        <v>18804235</v>
      </c>
      <c r="B546" s="6" t="s">
        <v>2252</v>
      </c>
      <c r="C546" s="6" t="s">
        <v>2253</v>
      </c>
      <c r="D546" s="8" t="s">
        <v>93</v>
      </c>
      <c r="E546" s="6" t="s">
        <v>107</v>
      </c>
      <c r="F546" s="6" t="s">
        <v>85</v>
      </c>
      <c r="G546" s="11" t="s">
        <v>56</v>
      </c>
      <c r="H546" s="10" t="s">
        <v>2254</v>
      </c>
      <c r="I546" s="6" t="s">
        <v>2255</v>
      </c>
      <c r="J546" s="12">
        <v>46120.622673611113</v>
      </c>
      <c r="K546" s="6" t="e" cm="1">
        <f t="array" ref="K546">LOOKUP(2^15,SEARCH(Tabela2[Palavras-Chave],Boletim[[#This Row],[Objeto]],1),Tabela2[Palavras-Chave])</f>
        <v>#N/A</v>
      </c>
    </row>
    <row r="547" spans="1:11" hidden="1" x14ac:dyDescent="0.3">
      <c r="A547" s="5">
        <v>18805327</v>
      </c>
      <c r="B547" s="6" t="s">
        <v>2256</v>
      </c>
      <c r="C547" s="6" t="s">
        <v>2257</v>
      </c>
      <c r="D547" s="8" t="s">
        <v>93</v>
      </c>
      <c r="E547" s="6" t="s">
        <v>114</v>
      </c>
      <c r="F547" s="6" t="s">
        <v>85</v>
      </c>
      <c r="G547" s="11" t="s">
        <v>56</v>
      </c>
      <c r="H547" s="10" t="s">
        <v>2258</v>
      </c>
      <c r="I547" s="6" t="s">
        <v>2259</v>
      </c>
      <c r="J547" s="12">
        <v>46120.726770833331</v>
      </c>
      <c r="K547" s="6" t="e" cm="1">
        <f t="array" ref="K547">LOOKUP(2^15,SEARCH(Tabela2[Palavras-Chave],Boletim[[#This Row],[Objeto]],1),Tabela2[Palavras-Chave])</f>
        <v>#N/A</v>
      </c>
    </row>
    <row r="548" spans="1:11" hidden="1" x14ac:dyDescent="0.3">
      <c r="A548" s="5">
        <v>18800102</v>
      </c>
      <c r="B548" s="6" t="s">
        <v>2260</v>
      </c>
      <c r="C548" s="6" t="s">
        <v>2261</v>
      </c>
      <c r="D548" s="8" t="s">
        <v>82</v>
      </c>
      <c r="E548" s="6" t="s">
        <v>1567</v>
      </c>
      <c r="F548" s="6" t="s">
        <v>85</v>
      </c>
      <c r="G548" s="11" t="s">
        <v>56</v>
      </c>
      <c r="H548" s="10" t="s">
        <v>2262</v>
      </c>
      <c r="I548" s="6" t="s">
        <v>2263</v>
      </c>
      <c r="J548" s="12">
        <v>46120.388298611113</v>
      </c>
      <c r="K548" s="6" t="e" cm="1">
        <f t="array" ref="K548">LOOKUP(2^15,SEARCH(Tabela2[Palavras-Chave],Boletim[[#This Row],[Objeto]],1),Tabela2[Palavras-Chave])</f>
        <v>#N/A</v>
      </c>
    </row>
    <row r="549" spans="1:11" hidden="1" x14ac:dyDescent="0.3">
      <c r="A549" s="13">
        <v>18800025</v>
      </c>
      <c r="B549" s="10" t="s">
        <v>1101</v>
      </c>
      <c r="C549" s="10" t="s">
        <v>1102</v>
      </c>
      <c r="D549" s="15" t="s">
        <v>82</v>
      </c>
      <c r="E549" s="10" t="s">
        <v>134</v>
      </c>
      <c r="F549" s="10" t="s">
        <v>85</v>
      </c>
      <c r="G549" s="16" t="s">
        <v>56</v>
      </c>
      <c r="H549" s="10" t="s">
        <v>2264</v>
      </c>
      <c r="I549" s="10" t="s">
        <v>2265</v>
      </c>
      <c r="J549" s="17">
        <v>46120.388958333337</v>
      </c>
      <c r="K549" s="6" t="e" cm="1">
        <f t="array" ref="K549">LOOKUP(2^15,SEARCH(Tabela2[Palavras-Chave],Boletim[[#This Row],[Objeto]],1),Tabela2[Palavras-Chave])</f>
        <v>#N/A</v>
      </c>
    </row>
    <row r="550" spans="1:11" hidden="1" x14ac:dyDescent="0.3">
      <c r="A550" s="5">
        <v>18793105</v>
      </c>
      <c r="B550" s="6" t="s">
        <v>2266</v>
      </c>
      <c r="C550" s="6" t="s">
        <v>2267</v>
      </c>
      <c r="D550" s="8" t="s">
        <v>82</v>
      </c>
      <c r="E550" s="6" t="s">
        <v>2268</v>
      </c>
      <c r="F550" s="6" t="s">
        <v>85</v>
      </c>
      <c r="G550" s="11" t="s">
        <v>56</v>
      </c>
      <c r="H550" s="10" t="s">
        <v>2269</v>
      </c>
      <c r="I550" s="6" t="s">
        <v>2270</v>
      </c>
      <c r="J550" s="12">
        <v>46120.388981481483</v>
      </c>
      <c r="K550" s="6" t="e" cm="1">
        <f t="array" ref="K550">LOOKUP(2^15,SEARCH(Tabela2[Palavras-Chave],Boletim[[#This Row],[Objeto]],1),Tabela2[Palavras-Chave])</f>
        <v>#N/A</v>
      </c>
    </row>
    <row r="551" spans="1:11" hidden="1" x14ac:dyDescent="0.3">
      <c r="A551" s="5">
        <v>18783825</v>
      </c>
      <c r="B551" s="6" t="s">
        <v>2271</v>
      </c>
      <c r="C551" s="6" t="s">
        <v>348</v>
      </c>
      <c r="D551" s="8" t="s">
        <v>82</v>
      </c>
      <c r="E551" s="6" t="s">
        <v>146</v>
      </c>
      <c r="F551" s="6" t="s">
        <v>85</v>
      </c>
      <c r="G551" s="11" t="s">
        <v>56</v>
      </c>
      <c r="H551" s="10" t="s">
        <v>2272</v>
      </c>
      <c r="I551" s="6" t="s">
        <v>2273</v>
      </c>
      <c r="J551" s="12">
        <v>46120.48196759259</v>
      </c>
      <c r="K551" s="6" t="e" cm="1">
        <f t="array" ref="K551">LOOKUP(2^15,SEARCH(Tabela2[Palavras-Chave],Boletim[[#This Row],[Objeto]],1),Tabela2[Palavras-Chave])</f>
        <v>#N/A</v>
      </c>
    </row>
    <row r="552" spans="1:11" hidden="1" x14ac:dyDescent="0.3">
      <c r="A552" s="5">
        <v>18802249</v>
      </c>
      <c r="B552" s="6" t="s">
        <v>74</v>
      </c>
      <c r="C552" s="6" t="s">
        <v>83</v>
      </c>
      <c r="D552" s="8" t="s">
        <v>82</v>
      </c>
      <c r="E552" s="6" t="s">
        <v>1923</v>
      </c>
      <c r="F552" s="6" t="s">
        <v>85</v>
      </c>
      <c r="G552" s="11" t="s">
        <v>56</v>
      </c>
      <c r="H552" s="10" t="s">
        <v>1924</v>
      </c>
      <c r="I552" s="6" t="s">
        <v>1925</v>
      </c>
      <c r="J552" s="12">
        <v>46120.503541666665</v>
      </c>
      <c r="K552" s="6" t="e" cm="1">
        <f t="array" ref="K552">LOOKUP(2^15,SEARCH(Tabela2[Palavras-Chave],Boletim[[#This Row],[Objeto]],1),Tabela2[Palavras-Chave])</f>
        <v>#N/A</v>
      </c>
    </row>
    <row r="553" spans="1:11" hidden="1" x14ac:dyDescent="0.3">
      <c r="A553" s="5">
        <v>18802933</v>
      </c>
      <c r="B553" s="6" t="s">
        <v>2274</v>
      </c>
      <c r="C553" s="6" t="s">
        <v>2275</v>
      </c>
      <c r="D553" s="8" t="s">
        <v>82</v>
      </c>
      <c r="E553" s="6" t="s">
        <v>2276</v>
      </c>
      <c r="F553" s="6" t="s">
        <v>85</v>
      </c>
      <c r="G553" s="11" t="s">
        <v>56</v>
      </c>
      <c r="H553" s="10" t="s">
        <v>2277</v>
      </c>
      <c r="I553" s="6" t="s">
        <v>2278</v>
      </c>
      <c r="J553" s="12">
        <v>46120.51048611111</v>
      </c>
      <c r="K553" s="6" t="e" cm="1">
        <f t="array" ref="K553">LOOKUP(2^15,SEARCH(Tabela2[Palavras-Chave],Boletim[[#This Row],[Objeto]],1),Tabela2[Palavras-Chave])</f>
        <v>#N/A</v>
      </c>
    </row>
    <row r="554" spans="1:11" ht="144" x14ac:dyDescent="0.3">
      <c r="A554" s="5">
        <v>18802462</v>
      </c>
      <c r="B554" s="6" t="s">
        <v>2279</v>
      </c>
      <c r="C554" s="6" t="s">
        <v>2280</v>
      </c>
      <c r="D554" s="8" t="s">
        <v>82</v>
      </c>
      <c r="E554" s="6" t="s">
        <v>205</v>
      </c>
      <c r="F554" s="6" t="s">
        <v>85</v>
      </c>
      <c r="G554" s="11" t="s">
        <v>56</v>
      </c>
      <c r="H554" s="21" t="s">
        <v>2281</v>
      </c>
      <c r="I554" s="6" t="s">
        <v>2282</v>
      </c>
      <c r="J554" s="12">
        <v>46120.51425925926</v>
      </c>
      <c r="K554" s="6" t="str" cm="1">
        <f t="array" ref="K554">LOOKUP(2^15,SEARCH(Tabela2[Palavras-Chave],Boletim[[#This Row],[Objeto]],1),Tabela2[Palavras-Chave])</f>
        <v>ELEVADO</v>
      </c>
    </row>
    <row r="555" spans="1:11" hidden="1" x14ac:dyDescent="0.3">
      <c r="A555" s="5">
        <v>18802149</v>
      </c>
      <c r="B555" s="6" t="s">
        <v>2283</v>
      </c>
      <c r="C555" s="6" t="s">
        <v>344</v>
      </c>
      <c r="D555" s="8" t="s">
        <v>82</v>
      </c>
      <c r="E555" s="6" t="s">
        <v>270</v>
      </c>
      <c r="F555" s="6" t="s">
        <v>85</v>
      </c>
      <c r="G555" s="11" t="s">
        <v>56</v>
      </c>
      <c r="H555" s="10" t="s">
        <v>2284</v>
      </c>
      <c r="I555" s="6" t="s">
        <v>2285</v>
      </c>
      <c r="J555" s="12">
        <v>46120.518043981479</v>
      </c>
      <c r="K555" s="6" t="e" cm="1">
        <f t="array" ref="K555">LOOKUP(2^15,SEARCH(Tabela2[Palavras-Chave],Boletim[[#This Row],[Objeto]],1),Tabela2[Palavras-Chave])</f>
        <v>#N/A</v>
      </c>
    </row>
    <row r="556" spans="1:11" hidden="1" x14ac:dyDescent="0.3">
      <c r="A556" s="5">
        <v>18801479</v>
      </c>
      <c r="B556" s="6" t="s">
        <v>2286</v>
      </c>
      <c r="C556" s="6" t="s">
        <v>2287</v>
      </c>
      <c r="D556" s="8" t="s">
        <v>82</v>
      </c>
      <c r="E556" s="6" t="s">
        <v>2097</v>
      </c>
      <c r="F556" s="6" t="s">
        <v>85</v>
      </c>
      <c r="G556" s="11" t="s">
        <v>56</v>
      </c>
      <c r="H556" s="10" t="s">
        <v>2288</v>
      </c>
      <c r="I556" s="6" t="s">
        <v>2289</v>
      </c>
      <c r="J556" s="12">
        <v>46120.522337962961</v>
      </c>
      <c r="K556" s="6" t="e" cm="1">
        <f t="array" ref="K556">LOOKUP(2^15,SEARCH(Tabela2[Palavras-Chave],Boletim[[#This Row],[Objeto]],1),Tabela2[Palavras-Chave])</f>
        <v>#N/A</v>
      </c>
    </row>
    <row r="557" spans="1:11" hidden="1" x14ac:dyDescent="0.3">
      <c r="A557" s="5">
        <v>18801722</v>
      </c>
      <c r="B557" s="6" t="s">
        <v>2290</v>
      </c>
      <c r="C557" s="6" t="s">
        <v>2291</v>
      </c>
      <c r="D557" s="8" t="s">
        <v>82</v>
      </c>
      <c r="E557" s="6" t="s">
        <v>135</v>
      </c>
      <c r="F557" s="6" t="s">
        <v>85</v>
      </c>
      <c r="G557" s="11">
        <v>46135.333333333336</v>
      </c>
      <c r="H557" s="10" t="s">
        <v>2292</v>
      </c>
      <c r="I557" s="6" t="s">
        <v>2293</v>
      </c>
      <c r="J557" s="12">
        <v>46120.523564814815</v>
      </c>
      <c r="K557" s="6" t="e" cm="1">
        <f t="array" ref="K557">LOOKUP(2^15,SEARCH(Tabela2[Palavras-Chave],Boletim[[#This Row],[Objeto]],1),Tabela2[Palavras-Chave])</f>
        <v>#N/A</v>
      </c>
    </row>
    <row r="558" spans="1:11" hidden="1" x14ac:dyDescent="0.3">
      <c r="A558" s="5">
        <v>18802226</v>
      </c>
      <c r="B558" s="6" t="s">
        <v>74</v>
      </c>
      <c r="C558" s="6" t="s">
        <v>83</v>
      </c>
      <c r="D558" s="8" t="s">
        <v>82</v>
      </c>
      <c r="E558" s="6" t="s">
        <v>1926</v>
      </c>
      <c r="F558" s="6" t="s">
        <v>85</v>
      </c>
      <c r="G558" s="11" t="s">
        <v>56</v>
      </c>
      <c r="H558" s="10" t="s">
        <v>353</v>
      </c>
      <c r="I558" s="6" t="s">
        <v>1927</v>
      </c>
      <c r="J558" s="12">
        <v>46120.527824074074</v>
      </c>
      <c r="K558" s="6" t="e" cm="1">
        <f t="array" ref="K558">LOOKUP(2^15,SEARCH(Tabela2[Palavras-Chave],Boletim[[#This Row],[Objeto]],1),Tabela2[Palavras-Chave])</f>
        <v>#N/A</v>
      </c>
    </row>
    <row r="559" spans="1:11" hidden="1" x14ac:dyDescent="0.3">
      <c r="A559" s="5">
        <v>18801598</v>
      </c>
      <c r="B559" s="6" t="s">
        <v>2294</v>
      </c>
      <c r="C559" s="6" t="s">
        <v>283</v>
      </c>
      <c r="D559" s="8" t="s">
        <v>82</v>
      </c>
      <c r="E559" s="6" t="s">
        <v>212</v>
      </c>
      <c r="F559" s="6" t="s">
        <v>85</v>
      </c>
      <c r="G559" s="11" t="s">
        <v>56</v>
      </c>
      <c r="H559" s="10" t="s">
        <v>2295</v>
      </c>
      <c r="I559" s="6" t="s">
        <v>2296</v>
      </c>
      <c r="J559" s="12">
        <v>46120.526365740741</v>
      </c>
      <c r="K559" s="6" t="e" cm="1">
        <f t="array" ref="K559">LOOKUP(2^15,SEARCH(Tabela2[Palavras-Chave],Boletim[[#This Row],[Objeto]],1),Tabela2[Palavras-Chave])</f>
        <v>#N/A</v>
      </c>
    </row>
    <row r="560" spans="1:11" hidden="1" x14ac:dyDescent="0.3">
      <c r="A560" s="5">
        <v>18802233</v>
      </c>
      <c r="B560" s="6" t="s">
        <v>74</v>
      </c>
      <c r="C560" s="6" t="s">
        <v>83</v>
      </c>
      <c r="D560" s="8" t="s">
        <v>82</v>
      </c>
      <c r="E560" s="6" t="s">
        <v>1394</v>
      </c>
      <c r="F560" s="6" t="s">
        <v>85</v>
      </c>
      <c r="G560" s="11" t="s">
        <v>56</v>
      </c>
      <c r="H560" s="10" t="s">
        <v>1395</v>
      </c>
      <c r="I560" s="6" t="s">
        <v>1396</v>
      </c>
      <c r="J560" s="12">
        <v>46120.529236111113</v>
      </c>
      <c r="K560" s="6" t="e" cm="1">
        <f t="array" ref="K560">LOOKUP(2^15,SEARCH(Tabela2[Palavras-Chave],Boletim[[#This Row],[Objeto]],1),Tabela2[Palavras-Chave])</f>
        <v>#N/A</v>
      </c>
    </row>
    <row r="561" spans="1:11" hidden="1" x14ac:dyDescent="0.3">
      <c r="A561" s="5">
        <v>18802240</v>
      </c>
      <c r="B561" s="6" t="s">
        <v>74</v>
      </c>
      <c r="C561" s="6" t="s">
        <v>83</v>
      </c>
      <c r="D561" s="8" t="s">
        <v>82</v>
      </c>
      <c r="E561" s="6" t="s">
        <v>1232</v>
      </c>
      <c r="F561" s="6" t="s">
        <v>85</v>
      </c>
      <c r="G561" s="11" t="s">
        <v>56</v>
      </c>
      <c r="H561" s="10" t="s">
        <v>1233</v>
      </c>
      <c r="I561" s="6" t="s">
        <v>1234</v>
      </c>
      <c r="J561" s="12">
        <v>46120.529907407406</v>
      </c>
      <c r="K561" s="6" t="e" cm="1">
        <f t="array" ref="K561">LOOKUP(2^15,SEARCH(Tabela2[Palavras-Chave],Boletim[[#This Row],[Objeto]],1),Tabela2[Palavras-Chave])</f>
        <v>#N/A</v>
      </c>
    </row>
    <row r="562" spans="1:11" hidden="1" x14ac:dyDescent="0.3">
      <c r="A562" s="5">
        <v>18801586</v>
      </c>
      <c r="B562" s="6" t="s">
        <v>2297</v>
      </c>
      <c r="C562" s="6" t="s">
        <v>2298</v>
      </c>
      <c r="D562" s="8" t="s">
        <v>82</v>
      </c>
      <c r="E562" s="6" t="s">
        <v>2097</v>
      </c>
      <c r="F562" s="6" t="s">
        <v>85</v>
      </c>
      <c r="G562" s="11" t="s">
        <v>56</v>
      </c>
      <c r="H562" s="10" t="s">
        <v>2299</v>
      </c>
      <c r="I562" s="6" t="s">
        <v>2300</v>
      </c>
      <c r="J562" s="12">
        <v>46120.555578703701</v>
      </c>
      <c r="K562" s="6" t="e" cm="1">
        <f t="array" ref="K562">LOOKUP(2^15,SEARCH(Tabela2[Palavras-Chave],Boletim[[#This Row],[Objeto]],1),Tabela2[Palavras-Chave])</f>
        <v>#N/A</v>
      </c>
    </row>
    <row r="563" spans="1:11" hidden="1" x14ac:dyDescent="0.3">
      <c r="A563" s="5">
        <v>18801553</v>
      </c>
      <c r="B563" s="6" t="s">
        <v>2301</v>
      </c>
      <c r="C563" s="6" t="s">
        <v>2302</v>
      </c>
      <c r="D563" s="8" t="s">
        <v>82</v>
      </c>
      <c r="E563" s="6" t="s">
        <v>121</v>
      </c>
      <c r="F563" s="6" t="s">
        <v>85</v>
      </c>
      <c r="G563" s="11" t="s">
        <v>56</v>
      </c>
      <c r="H563" s="10" t="s">
        <v>2303</v>
      </c>
      <c r="I563" s="6" t="s">
        <v>2304</v>
      </c>
      <c r="J563" s="12">
        <v>46120.555844907409</v>
      </c>
      <c r="K563" s="6" t="e" cm="1">
        <f t="array" ref="K563">LOOKUP(2^15,SEARCH(Tabela2[Palavras-Chave],Boletim[[#This Row],[Objeto]],1),Tabela2[Palavras-Chave])</f>
        <v>#N/A</v>
      </c>
    </row>
    <row r="564" spans="1:11" hidden="1" x14ac:dyDescent="0.3">
      <c r="A564" s="5">
        <v>18802396</v>
      </c>
      <c r="B564" s="6" t="s">
        <v>261</v>
      </c>
      <c r="C564" s="6" t="s">
        <v>262</v>
      </c>
      <c r="D564" s="8" t="s">
        <v>82</v>
      </c>
      <c r="E564" s="6" t="s">
        <v>461</v>
      </c>
      <c r="F564" s="6" t="s">
        <v>85</v>
      </c>
      <c r="G564" s="11" t="s">
        <v>56</v>
      </c>
      <c r="H564" s="10" t="s">
        <v>2305</v>
      </c>
      <c r="I564" s="6" t="s">
        <v>2306</v>
      </c>
      <c r="J564" s="12">
        <v>46120.556921296295</v>
      </c>
      <c r="K564" s="6" t="e" cm="1">
        <f t="array" ref="K564">LOOKUP(2^15,SEARCH(Tabela2[Palavras-Chave],Boletim[[#This Row],[Objeto]],1),Tabela2[Palavras-Chave])</f>
        <v>#N/A</v>
      </c>
    </row>
    <row r="565" spans="1:11" hidden="1" x14ac:dyDescent="0.3">
      <c r="A565" s="5">
        <v>18801605</v>
      </c>
      <c r="B565" s="6" t="s">
        <v>2307</v>
      </c>
      <c r="C565" s="6" t="s">
        <v>2308</v>
      </c>
      <c r="D565" s="8" t="s">
        <v>82</v>
      </c>
      <c r="E565" s="6" t="s">
        <v>114</v>
      </c>
      <c r="F565" s="6" t="s">
        <v>85</v>
      </c>
      <c r="G565" s="11" t="s">
        <v>56</v>
      </c>
      <c r="H565" s="10" t="s">
        <v>2309</v>
      </c>
      <c r="I565" s="6" t="s">
        <v>2310</v>
      </c>
      <c r="J565" s="12">
        <v>46120.569652777776</v>
      </c>
      <c r="K565" s="6" t="e" cm="1">
        <f t="array" ref="K565">LOOKUP(2^15,SEARCH(Tabela2[Palavras-Chave],Boletim[[#This Row],[Objeto]],1),Tabela2[Palavras-Chave])</f>
        <v>#N/A</v>
      </c>
    </row>
    <row r="566" spans="1:11" ht="129.6" x14ac:dyDescent="0.3">
      <c r="A566" s="5">
        <v>18802801</v>
      </c>
      <c r="B566" s="6" t="s">
        <v>2311</v>
      </c>
      <c r="C566" s="6" t="s">
        <v>1183</v>
      </c>
      <c r="D566" s="8" t="s">
        <v>82</v>
      </c>
      <c r="E566" s="6" t="s">
        <v>2312</v>
      </c>
      <c r="F566" s="6" t="s">
        <v>85</v>
      </c>
      <c r="G566" s="11" t="s">
        <v>56</v>
      </c>
      <c r="H566" s="21" t="s">
        <v>2313</v>
      </c>
      <c r="I566" s="6" t="s">
        <v>2314</v>
      </c>
      <c r="J566" s="12">
        <v>46120.586655092593</v>
      </c>
      <c r="K566" s="6" t="str" cm="1">
        <f t="array" ref="K566">LOOKUP(2^15,SEARCH(Tabela2[Palavras-Chave],Boletim[[#This Row],[Objeto]],1),Tabela2[Palavras-Chave])</f>
        <v>INOX</v>
      </c>
    </row>
    <row r="567" spans="1:11" hidden="1" x14ac:dyDescent="0.3">
      <c r="A567" s="5">
        <v>18798054</v>
      </c>
      <c r="B567" s="6" t="s">
        <v>2315</v>
      </c>
      <c r="C567" s="6" t="s">
        <v>2316</v>
      </c>
      <c r="D567" s="8" t="s">
        <v>82</v>
      </c>
      <c r="E567" s="6" t="s">
        <v>124</v>
      </c>
      <c r="F567" s="6" t="s">
        <v>85</v>
      </c>
      <c r="G567" s="11" t="s">
        <v>56</v>
      </c>
      <c r="H567" s="10" t="s">
        <v>2317</v>
      </c>
      <c r="I567" s="6" t="s">
        <v>2318</v>
      </c>
      <c r="J567" s="12">
        <v>46120.600254629629</v>
      </c>
      <c r="K567" s="6" t="e" cm="1">
        <f t="array" ref="K567">LOOKUP(2^15,SEARCH(Tabela2[Palavras-Chave],Boletim[[#This Row],[Objeto]],1),Tabela2[Palavras-Chave])</f>
        <v>#N/A</v>
      </c>
    </row>
    <row r="568" spans="1:11" hidden="1" x14ac:dyDescent="0.3">
      <c r="A568" s="5">
        <v>18803893</v>
      </c>
      <c r="B568" s="6" t="s">
        <v>2319</v>
      </c>
      <c r="C568" s="6" t="s">
        <v>2320</v>
      </c>
      <c r="D568" s="8" t="s">
        <v>82</v>
      </c>
      <c r="E568" s="6" t="s">
        <v>142</v>
      </c>
      <c r="F568" s="6" t="s">
        <v>85</v>
      </c>
      <c r="G568" s="11" t="s">
        <v>56</v>
      </c>
      <c r="H568" s="10" t="s">
        <v>2321</v>
      </c>
      <c r="I568" s="6" t="s">
        <v>2322</v>
      </c>
      <c r="J568" s="12">
        <v>46120.604594907411</v>
      </c>
      <c r="K568" s="6" t="e" cm="1">
        <f t="array" ref="K568">LOOKUP(2^15,SEARCH(Tabela2[Palavras-Chave],Boletim[[#This Row],[Objeto]],1),Tabela2[Palavras-Chave])</f>
        <v>#N/A</v>
      </c>
    </row>
    <row r="569" spans="1:11" hidden="1" x14ac:dyDescent="0.3">
      <c r="A569" s="5">
        <v>18802158</v>
      </c>
      <c r="B569" s="6" t="s">
        <v>2323</v>
      </c>
      <c r="C569" s="6" t="s">
        <v>2324</v>
      </c>
      <c r="D569" s="8" t="s">
        <v>82</v>
      </c>
      <c r="E569" s="6" t="s">
        <v>120</v>
      </c>
      <c r="F569" s="6" t="s">
        <v>85</v>
      </c>
      <c r="G569" s="11" t="s">
        <v>56</v>
      </c>
      <c r="H569" s="10" t="s">
        <v>2325</v>
      </c>
      <c r="I569" s="6" t="s">
        <v>2326</v>
      </c>
      <c r="J569" s="12">
        <v>46120.60491898148</v>
      </c>
      <c r="K569" s="6" t="e" cm="1">
        <f t="array" ref="K569">LOOKUP(2^15,SEARCH(Tabela2[Palavras-Chave],Boletim[[#This Row],[Objeto]],1),Tabela2[Palavras-Chave])</f>
        <v>#N/A</v>
      </c>
    </row>
    <row r="570" spans="1:11" hidden="1" x14ac:dyDescent="0.3">
      <c r="A570" s="5">
        <v>18802912</v>
      </c>
      <c r="B570" s="6" t="s">
        <v>2327</v>
      </c>
      <c r="C570" s="6" t="s">
        <v>2328</v>
      </c>
      <c r="D570" s="8" t="s">
        <v>82</v>
      </c>
      <c r="E570" s="6" t="s">
        <v>222</v>
      </c>
      <c r="F570" s="6" t="s">
        <v>85</v>
      </c>
      <c r="G570" s="11" t="s">
        <v>56</v>
      </c>
      <c r="H570" s="10" t="s">
        <v>2329</v>
      </c>
      <c r="I570" s="6" t="s">
        <v>2330</v>
      </c>
      <c r="J570" s="12">
        <v>46120.605520833335</v>
      </c>
      <c r="K570" s="6" t="e" cm="1">
        <f t="array" ref="K570">LOOKUP(2^15,SEARCH(Tabela2[Palavras-Chave],Boletim[[#This Row],[Objeto]],1),Tabela2[Palavras-Chave])</f>
        <v>#N/A</v>
      </c>
    </row>
    <row r="571" spans="1:11" hidden="1" x14ac:dyDescent="0.3">
      <c r="A571" s="13">
        <v>18801550</v>
      </c>
      <c r="B571" s="10" t="s">
        <v>2331</v>
      </c>
      <c r="C571" s="10" t="s">
        <v>2287</v>
      </c>
      <c r="D571" s="15" t="s">
        <v>82</v>
      </c>
      <c r="E571" s="10" t="s">
        <v>1849</v>
      </c>
      <c r="F571" s="10" t="s">
        <v>85</v>
      </c>
      <c r="G571" s="16">
        <v>46146.375</v>
      </c>
      <c r="H571" s="10" t="s">
        <v>2332</v>
      </c>
      <c r="I571" s="10" t="s">
        <v>90</v>
      </c>
      <c r="J571" s="17">
        <v>46120.625081018516</v>
      </c>
      <c r="K571" s="6" t="e" cm="1">
        <f t="array" ref="K571">LOOKUP(2^15,SEARCH(Tabela2[Palavras-Chave],Boletim[[#This Row],[Objeto]],1),Tabela2[Palavras-Chave])</f>
        <v>#N/A</v>
      </c>
    </row>
    <row r="572" spans="1:11" hidden="1" x14ac:dyDescent="0.3">
      <c r="A572" s="5">
        <v>18801718</v>
      </c>
      <c r="B572" s="6" t="s">
        <v>2333</v>
      </c>
      <c r="C572" s="6" t="s">
        <v>2334</v>
      </c>
      <c r="D572" s="8" t="s">
        <v>82</v>
      </c>
      <c r="E572" s="6" t="s">
        <v>2335</v>
      </c>
      <c r="F572" s="6" t="s">
        <v>85</v>
      </c>
      <c r="G572" s="11">
        <v>46134.354166666664</v>
      </c>
      <c r="H572" s="10" t="s">
        <v>2336</v>
      </c>
      <c r="I572" s="6" t="s">
        <v>2337</v>
      </c>
      <c r="J572" s="12">
        <v>46120.639479166668</v>
      </c>
      <c r="K572" s="6" t="e" cm="1">
        <f t="array" ref="K572">LOOKUP(2^15,SEARCH(Tabela2[Palavras-Chave],Boletim[[#This Row],[Objeto]],1),Tabela2[Palavras-Chave])</f>
        <v>#N/A</v>
      </c>
    </row>
    <row r="573" spans="1:11" hidden="1" x14ac:dyDescent="0.3">
      <c r="A573" s="5">
        <v>18803839</v>
      </c>
      <c r="B573" s="6" t="s">
        <v>2338</v>
      </c>
      <c r="C573" s="6" t="s">
        <v>2339</v>
      </c>
      <c r="D573" s="8" t="s">
        <v>82</v>
      </c>
      <c r="E573" s="6" t="s">
        <v>274</v>
      </c>
      <c r="F573" s="6" t="s">
        <v>85</v>
      </c>
      <c r="G573" s="11" t="s">
        <v>56</v>
      </c>
      <c r="H573" s="10" t="s">
        <v>2340</v>
      </c>
      <c r="I573" s="6" t="s">
        <v>2341</v>
      </c>
      <c r="J573" s="12">
        <v>46120.640405092592</v>
      </c>
      <c r="K573" s="6" t="e" cm="1">
        <f t="array" ref="K573">LOOKUP(2^15,SEARCH(Tabela2[Palavras-Chave],Boletim[[#This Row],[Objeto]],1),Tabela2[Palavras-Chave])</f>
        <v>#N/A</v>
      </c>
    </row>
    <row r="574" spans="1:11" hidden="1" x14ac:dyDescent="0.3">
      <c r="A574" s="5">
        <v>18802488</v>
      </c>
      <c r="B574" s="6" t="s">
        <v>229</v>
      </c>
      <c r="C574" s="6" t="s">
        <v>228</v>
      </c>
      <c r="D574" s="8" t="s">
        <v>82</v>
      </c>
      <c r="E574" s="6" t="s">
        <v>274</v>
      </c>
      <c r="F574" s="6" t="s">
        <v>85</v>
      </c>
      <c r="G574" s="11">
        <v>46136.375694444447</v>
      </c>
      <c r="H574" s="10" t="s">
        <v>2342</v>
      </c>
      <c r="I574" s="6" t="s">
        <v>2343</v>
      </c>
      <c r="J574" s="12">
        <v>46120.690335648149</v>
      </c>
      <c r="K574" s="6" t="e" cm="1">
        <f t="array" ref="K574">LOOKUP(2^15,SEARCH(Tabela2[Palavras-Chave],Boletim[[#This Row],[Objeto]],1),Tabela2[Palavras-Chave])</f>
        <v>#N/A</v>
      </c>
    </row>
    <row r="575" spans="1:11" hidden="1" x14ac:dyDescent="0.3">
      <c r="A575" s="5">
        <v>18801719</v>
      </c>
      <c r="B575" s="6" t="s">
        <v>2344</v>
      </c>
      <c r="C575" s="6" t="s">
        <v>2345</v>
      </c>
      <c r="D575" s="8" t="s">
        <v>82</v>
      </c>
      <c r="E575" s="6" t="s">
        <v>113</v>
      </c>
      <c r="F575" s="6" t="s">
        <v>85</v>
      </c>
      <c r="G575" s="11">
        <v>46139.395833333336</v>
      </c>
      <c r="H575" s="10" t="s">
        <v>2346</v>
      </c>
      <c r="I575" s="6" t="s">
        <v>2347</v>
      </c>
      <c r="J575" s="12">
        <v>46120.811840277776</v>
      </c>
      <c r="K575" s="6" t="e" cm="1">
        <f t="array" ref="K575">LOOKUP(2^15,SEARCH(Tabela2[Palavras-Chave],Boletim[[#This Row],[Objeto]],1),Tabela2[Palavras-Chave])</f>
        <v>#N/A</v>
      </c>
    </row>
    <row r="576" spans="1:11" hidden="1" x14ac:dyDescent="0.3">
      <c r="A576" s="5">
        <v>18796341</v>
      </c>
      <c r="B576" s="6" t="s">
        <v>2348</v>
      </c>
      <c r="C576" s="6" t="s">
        <v>2349</v>
      </c>
      <c r="D576" s="8" t="s">
        <v>82</v>
      </c>
      <c r="E576" s="6" t="s">
        <v>122</v>
      </c>
      <c r="F576" s="6" t="s">
        <v>85</v>
      </c>
      <c r="G576" s="11" t="s">
        <v>56</v>
      </c>
      <c r="H576" s="10" t="s">
        <v>2350</v>
      </c>
      <c r="I576" s="6" t="s">
        <v>2351</v>
      </c>
      <c r="J576" s="12">
        <v>46120.721574074072</v>
      </c>
      <c r="K576" s="6" t="e" cm="1">
        <f t="array" ref="K576">LOOKUP(2^15,SEARCH(Tabela2[Palavras-Chave],Boletim[[#This Row],[Objeto]],1),Tabela2[Palavras-Chave])</f>
        <v>#N/A</v>
      </c>
    </row>
    <row r="577" spans="1:11" hidden="1" x14ac:dyDescent="0.3">
      <c r="A577" s="5">
        <v>18802985</v>
      </c>
      <c r="B577" s="6" t="s">
        <v>2352</v>
      </c>
      <c r="C577" s="6" t="s">
        <v>2353</v>
      </c>
      <c r="D577" s="8" t="s">
        <v>82</v>
      </c>
      <c r="E577" s="6" t="s">
        <v>184</v>
      </c>
      <c r="F577" s="6" t="s">
        <v>85</v>
      </c>
      <c r="G577" s="11" t="s">
        <v>56</v>
      </c>
      <c r="H577" s="10" t="s">
        <v>2354</v>
      </c>
      <c r="I577" s="6" t="s">
        <v>2355</v>
      </c>
      <c r="J577" s="12">
        <v>46120.727812500001</v>
      </c>
      <c r="K577" s="6" t="e" cm="1">
        <f t="array" ref="K577">LOOKUP(2^15,SEARCH(Tabela2[Palavras-Chave],Boletim[[#This Row],[Objeto]],1),Tabela2[Palavras-Chave])</f>
        <v>#N/A</v>
      </c>
    </row>
    <row r="578" spans="1:11" hidden="1" x14ac:dyDescent="0.3">
      <c r="A578" s="5">
        <v>18804773</v>
      </c>
      <c r="B578" s="6" t="s">
        <v>409</v>
      </c>
      <c r="C578" s="6" t="s">
        <v>410</v>
      </c>
      <c r="D578" s="8" t="s">
        <v>82</v>
      </c>
      <c r="E578" s="6" t="s">
        <v>198</v>
      </c>
      <c r="F578" s="6" t="s">
        <v>85</v>
      </c>
      <c r="G578" s="11">
        <v>46126.374305555553</v>
      </c>
      <c r="H578" s="10" t="s">
        <v>2356</v>
      </c>
      <c r="I578" s="6" t="s">
        <v>2357</v>
      </c>
      <c r="J578" s="12">
        <v>46120.784062500003</v>
      </c>
      <c r="K578" s="6" t="e" cm="1">
        <f t="array" ref="K578">LOOKUP(2^15,SEARCH(Tabela2[Palavras-Chave],Boletim[[#This Row],[Objeto]],1),Tabela2[Palavras-Chave])</f>
        <v>#N/A</v>
      </c>
    </row>
    <row r="579" spans="1:11" hidden="1" x14ac:dyDescent="0.3">
      <c r="A579" s="5">
        <v>18804733</v>
      </c>
      <c r="B579" s="6" t="s">
        <v>411</v>
      </c>
      <c r="C579" s="6" t="s">
        <v>412</v>
      </c>
      <c r="D579" s="8" t="s">
        <v>82</v>
      </c>
      <c r="E579" s="6" t="s">
        <v>2358</v>
      </c>
      <c r="F579" s="6" t="s">
        <v>85</v>
      </c>
      <c r="G579" s="11">
        <v>46147.395833333336</v>
      </c>
      <c r="H579" s="10" t="s">
        <v>2359</v>
      </c>
      <c r="I579" s="6" t="s">
        <v>2360</v>
      </c>
      <c r="J579" s="12">
        <v>46120.731087962966</v>
      </c>
      <c r="K579" s="6" t="e" cm="1">
        <f t="array" ref="K579">LOOKUP(2^15,SEARCH(Tabela2[Palavras-Chave],Boletim[[#This Row],[Objeto]],1),Tabela2[Palavras-Chave])</f>
        <v>#N/A</v>
      </c>
    </row>
    <row r="580" spans="1:11" hidden="1" x14ac:dyDescent="0.3">
      <c r="A580" s="5">
        <v>18804621</v>
      </c>
      <c r="B580" s="6" t="s">
        <v>289</v>
      </c>
      <c r="C580" s="6" t="s">
        <v>164</v>
      </c>
      <c r="D580" s="8" t="s">
        <v>82</v>
      </c>
      <c r="E580" s="6" t="s">
        <v>2361</v>
      </c>
      <c r="F580" s="6" t="s">
        <v>85</v>
      </c>
      <c r="G580" s="11">
        <v>46136.333333333336</v>
      </c>
      <c r="H580" s="10" t="s">
        <v>2362</v>
      </c>
      <c r="I580" s="6" t="s">
        <v>2363</v>
      </c>
      <c r="J580" s="12">
        <v>46120.73228009259</v>
      </c>
      <c r="K580" s="6" t="e" cm="1">
        <f t="array" ref="K580">LOOKUP(2^15,SEARCH(Tabela2[Palavras-Chave],Boletim[[#This Row],[Objeto]],1),Tabela2[Palavras-Chave])</f>
        <v>#N/A</v>
      </c>
    </row>
    <row r="581" spans="1:11" hidden="1" x14ac:dyDescent="0.3">
      <c r="A581" s="5">
        <v>18804729</v>
      </c>
      <c r="B581" s="6" t="s">
        <v>411</v>
      </c>
      <c r="C581" s="6" t="s">
        <v>412</v>
      </c>
      <c r="D581" s="8" t="s">
        <v>82</v>
      </c>
      <c r="E581" s="6" t="s">
        <v>2364</v>
      </c>
      <c r="F581" s="6" t="s">
        <v>85</v>
      </c>
      <c r="G581" s="11">
        <v>46148.604166666664</v>
      </c>
      <c r="H581" s="10" t="s">
        <v>2365</v>
      </c>
      <c r="I581" s="6" t="s">
        <v>2366</v>
      </c>
      <c r="J581" s="12">
        <v>46120.732453703706</v>
      </c>
      <c r="K581" s="6" t="e" cm="1">
        <f t="array" ref="K581">LOOKUP(2^15,SEARCH(Tabela2[Palavras-Chave],Boletim[[#This Row],[Objeto]],1),Tabela2[Palavras-Chave])</f>
        <v>#N/A</v>
      </c>
    </row>
    <row r="582" spans="1:11" hidden="1" x14ac:dyDescent="0.3">
      <c r="A582" s="5">
        <v>18804195</v>
      </c>
      <c r="B582" s="6" t="s">
        <v>2367</v>
      </c>
      <c r="C582" s="6" t="s">
        <v>2368</v>
      </c>
      <c r="D582" s="8" t="s">
        <v>82</v>
      </c>
      <c r="E582" s="6" t="s">
        <v>106</v>
      </c>
      <c r="F582" s="6" t="s">
        <v>85</v>
      </c>
      <c r="G582" s="11" t="s">
        <v>56</v>
      </c>
      <c r="H582" s="10" t="s">
        <v>2369</v>
      </c>
      <c r="I582" s="6" t="s">
        <v>2370</v>
      </c>
      <c r="J582" s="12">
        <v>46120.735300925924</v>
      </c>
      <c r="K582" s="6" t="e" cm="1">
        <f t="array" ref="K582">LOOKUP(2^15,SEARCH(Tabela2[Palavras-Chave],Boletim[[#This Row],[Objeto]],1),Tabela2[Palavras-Chave])</f>
        <v>#N/A</v>
      </c>
    </row>
    <row r="583" spans="1:11" hidden="1" x14ac:dyDescent="0.3">
      <c r="A583" s="5">
        <v>18801487</v>
      </c>
      <c r="B583" s="6" t="s">
        <v>2286</v>
      </c>
      <c r="C583" s="6" t="s">
        <v>2287</v>
      </c>
      <c r="D583" s="8" t="s">
        <v>82</v>
      </c>
      <c r="E583" s="6" t="s">
        <v>2268</v>
      </c>
      <c r="F583" s="6" t="s">
        <v>85</v>
      </c>
      <c r="G583" s="11" t="s">
        <v>56</v>
      </c>
      <c r="H583" s="10" t="s">
        <v>2371</v>
      </c>
      <c r="I583" s="6" t="s">
        <v>2372</v>
      </c>
      <c r="J583" s="12">
        <v>46120.736250000002</v>
      </c>
      <c r="K583" s="6" t="e" cm="1">
        <f t="array" ref="K583">LOOKUP(2^15,SEARCH(Tabela2[Palavras-Chave],Boletim[[#This Row],[Objeto]],1),Tabela2[Palavras-Chave])</f>
        <v>#N/A</v>
      </c>
    </row>
    <row r="584" spans="1:11" hidden="1" x14ac:dyDescent="0.3">
      <c r="A584" s="5">
        <v>18805488</v>
      </c>
      <c r="B584" s="6" t="s">
        <v>2373</v>
      </c>
      <c r="C584" s="6" t="s">
        <v>83</v>
      </c>
      <c r="D584" s="8" t="s">
        <v>82</v>
      </c>
      <c r="E584" s="6" t="s">
        <v>2374</v>
      </c>
      <c r="F584" s="6" t="s">
        <v>85</v>
      </c>
      <c r="G584" s="11">
        <v>46134.395833333336</v>
      </c>
      <c r="H584" s="10" t="s">
        <v>2375</v>
      </c>
      <c r="I584" s="6" t="s">
        <v>2376</v>
      </c>
      <c r="J584" s="12">
        <v>46120.737893518519</v>
      </c>
      <c r="K584" s="6" t="e" cm="1">
        <f t="array" ref="K584">LOOKUP(2^15,SEARCH(Tabela2[Palavras-Chave],Boletim[[#This Row],[Objeto]],1),Tabela2[Palavras-Chave])</f>
        <v>#N/A</v>
      </c>
    </row>
    <row r="585" spans="1:11" hidden="1" x14ac:dyDescent="0.3">
      <c r="A585" s="5">
        <v>18805400</v>
      </c>
      <c r="B585" s="6" t="s">
        <v>2377</v>
      </c>
      <c r="C585" s="6" t="s">
        <v>2378</v>
      </c>
      <c r="D585" s="8" t="s">
        <v>82</v>
      </c>
      <c r="E585" s="6" t="s">
        <v>1849</v>
      </c>
      <c r="F585" s="6" t="s">
        <v>85</v>
      </c>
      <c r="G585" s="11" t="s">
        <v>56</v>
      </c>
      <c r="H585" s="10" t="s">
        <v>2379</v>
      </c>
      <c r="I585" s="6" t="s">
        <v>2380</v>
      </c>
      <c r="J585" s="12">
        <v>46120.737974537034</v>
      </c>
      <c r="K585" s="6" t="e" cm="1">
        <f t="array" ref="K585">LOOKUP(2^15,SEARCH(Tabela2[Palavras-Chave],Boletim[[#This Row],[Objeto]],1),Tabela2[Palavras-Chave])</f>
        <v>#N/A</v>
      </c>
    </row>
    <row r="586" spans="1:11" hidden="1" x14ac:dyDescent="0.3">
      <c r="A586" s="5">
        <v>18805610</v>
      </c>
      <c r="B586" s="6" t="s">
        <v>1157</v>
      </c>
      <c r="C586" s="6" t="s">
        <v>1110</v>
      </c>
      <c r="D586" s="8" t="s">
        <v>82</v>
      </c>
      <c r="E586" s="6" t="s">
        <v>1222</v>
      </c>
      <c r="F586" s="6" t="s">
        <v>85</v>
      </c>
      <c r="G586" s="11" t="s">
        <v>56</v>
      </c>
      <c r="H586" s="10" t="s">
        <v>2381</v>
      </c>
      <c r="I586" s="6" t="s">
        <v>2382</v>
      </c>
      <c r="J586" s="12">
        <v>46120.745740740742</v>
      </c>
      <c r="K586" s="6" t="e" cm="1">
        <f t="array" ref="K586">LOOKUP(2^15,SEARCH(Tabela2[Palavras-Chave],Boletim[[#This Row],[Objeto]],1),Tabela2[Palavras-Chave])</f>
        <v>#N/A</v>
      </c>
    </row>
    <row r="587" spans="1:11" hidden="1" x14ac:dyDescent="0.3">
      <c r="A587" s="5">
        <v>18805618</v>
      </c>
      <c r="B587" s="6" t="s">
        <v>1157</v>
      </c>
      <c r="C587" s="6" t="s">
        <v>1110</v>
      </c>
      <c r="D587" s="8" t="s">
        <v>82</v>
      </c>
      <c r="E587" s="6" t="s">
        <v>274</v>
      </c>
      <c r="F587" s="6" t="s">
        <v>85</v>
      </c>
      <c r="G587" s="11" t="s">
        <v>56</v>
      </c>
      <c r="H587" s="10" t="s">
        <v>2383</v>
      </c>
      <c r="I587" s="6" t="s">
        <v>2384</v>
      </c>
      <c r="J587" s="12">
        <v>46120.754467592589</v>
      </c>
      <c r="K587" s="6" t="e" cm="1">
        <f t="array" ref="K587">LOOKUP(2^15,SEARCH(Tabela2[Palavras-Chave],Boletim[[#This Row],[Objeto]],1),Tabela2[Palavras-Chave])</f>
        <v>#N/A</v>
      </c>
    </row>
    <row r="588" spans="1:11" hidden="1" x14ac:dyDescent="0.3">
      <c r="A588" s="5">
        <v>18801872</v>
      </c>
      <c r="B588" s="6" t="s">
        <v>345</v>
      </c>
      <c r="C588" s="6" t="s">
        <v>346</v>
      </c>
      <c r="D588" s="8" t="s">
        <v>82</v>
      </c>
      <c r="E588" s="6" t="s">
        <v>205</v>
      </c>
      <c r="F588" s="6" t="s">
        <v>85</v>
      </c>
      <c r="G588" s="11">
        <v>46160.333333333336</v>
      </c>
      <c r="H588" s="10" t="s">
        <v>2385</v>
      </c>
      <c r="I588" s="6" t="s">
        <v>2386</v>
      </c>
      <c r="J588" s="12">
        <v>46120.763935185183</v>
      </c>
      <c r="K588" s="6" t="e" cm="1">
        <f t="array" ref="K588">LOOKUP(2^15,SEARCH(Tabela2[Palavras-Chave],Boletim[[#This Row],[Objeto]],1),Tabela2[Palavras-Chave])</f>
        <v>#N/A</v>
      </c>
    </row>
    <row r="589" spans="1:11" hidden="1" x14ac:dyDescent="0.3">
      <c r="A589" s="5">
        <v>18801581</v>
      </c>
      <c r="B589" s="6" t="s">
        <v>2387</v>
      </c>
      <c r="C589" s="6" t="s">
        <v>2388</v>
      </c>
      <c r="D589" s="8" t="s">
        <v>82</v>
      </c>
      <c r="E589" s="6" t="s">
        <v>143</v>
      </c>
      <c r="F589" s="6" t="s">
        <v>85</v>
      </c>
      <c r="G589" s="11" t="s">
        <v>56</v>
      </c>
      <c r="H589" s="10" t="s">
        <v>2389</v>
      </c>
      <c r="I589" s="6" t="s">
        <v>2390</v>
      </c>
      <c r="J589" s="12">
        <v>46120.772928240738</v>
      </c>
      <c r="K589" s="6" t="e" cm="1">
        <f t="array" ref="K589">LOOKUP(2^15,SEARCH(Tabela2[Palavras-Chave],Boletim[[#This Row],[Objeto]],1),Tabela2[Palavras-Chave])</f>
        <v>#N/A</v>
      </c>
    </row>
    <row r="590" spans="1:11" hidden="1" x14ac:dyDescent="0.3">
      <c r="A590" s="5">
        <v>18806058</v>
      </c>
      <c r="B590" s="6" t="s">
        <v>2391</v>
      </c>
      <c r="C590" s="6" t="s">
        <v>2392</v>
      </c>
      <c r="D590" s="8" t="s">
        <v>82</v>
      </c>
      <c r="E590" s="6" t="s">
        <v>108</v>
      </c>
      <c r="F590" s="6" t="s">
        <v>85</v>
      </c>
      <c r="G590" s="11" t="s">
        <v>56</v>
      </c>
      <c r="H590" s="10" t="s">
        <v>2393</v>
      </c>
      <c r="I590" s="6" t="s">
        <v>2394</v>
      </c>
      <c r="J590" s="12">
        <v>46120.812581018516</v>
      </c>
      <c r="K590" s="6" t="e" cm="1">
        <f t="array" ref="K590">LOOKUP(2^15,SEARCH(Tabela2[Palavras-Chave],Boletim[[#This Row],[Objeto]],1),Tabela2[Palavras-Chave])</f>
        <v>#N/A</v>
      </c>
    </row>
    <row r="591" spans="1:11" hidden="1" x14ac:dyDescent="0.3">
      <c r="A591" s="5">
        <v>18806198</v>
      </c>
      <c r="B591" s="6" t="s">
        <v>2395</v>
      </c>
      <c r="C591" s="6" t="s">
        <v>2396</v>
      </c>
      <c r="D591" s="8" t="s">
        <v>82</v>
      </c>
      <c r="E591" s="6" t="s">
        <v>247</v>
      </c>
      <c r="F591" s="6" t="s">
        <v>85</v>
      </c>
      <c r="G591" s="11" t="s">
        <v>56</v>
      </c>
      <c r="H591" s="10" t="s">
        <v>2397</v>
      </c>
      <c r="I591" s="6" t="s">
        <v>2398</v>
      </c>
      <c r="J591" s="12">
        <v>46120.824861111112</v>
      </c>
      <c r="K591" s="6" t="e" cm="1">
        <f t="array" ref="K591">LOOKUP(2^15,SEARCH(Tabela2[Palavras-Chave],Boletim[[#This Row],[Objeto]],1),Tabela2[Palavras-Chave])</f>
        <v>#N/A</v>
      </c>
    </row>
    <row r="592" spans="1:11" hidden="1" x14ac:dyDescent="0.3">
      <c r="A592" s="5">
        <v>18806249</v>
      </c>
      <c r="B592" s="6" t="s">
        <v>2399</v>
      </c>
      <c r="C592" s="6" t="s">
        <v>2400</v>
      </c>
      <c r="D592" s="8" t="s">
        <v>82</v>
      </c>
      <c r="E592" s="6" t="s">
        <v>120</v>
      </c>
      <c r="F592" s="6" t="s">
        <v>85</v>
      </c>
      <c r="G592" s="11">
        <v>46135.375</v>
      </c>
      <c r="H592" s="10" t="s">
        <v>2401</v>
      </c>
      <c r="I592" s="6" t="s">
        <v>2402</v>
      </c>
      <c r="J592" s="12">
        <v>46120.839745370373</v>
      </c>
      <c r="K592" s="6" t="e" cm="1">
        <f t="array" ref="K592">LOOKUP(2^15,SEARCH(Tabela2[Palavras-Chave],Boletim[[#This Row],[Objeto]],1),Tabela2[Palavras-Chave])</f>
        <v>#N/A</v>
      </c>
    </row>
    <row r="593" spans="1:11" ht="28.8" x14ac:dyDescent="0.3">
      <c r="A593" s="5">
        <v>18806254</v>
      </c>
      <c r="B593" s="6" t="s">
        <v>287</v>
      </c>
      <c r="C593" s="6" t="s">
        <v>288</v>
      </c>
      <c r="D593" s="8" t="s">
        <v>82</v>
      </c>
      <c r="E593" s="6" t="s">
        <v>134</v>
      </c>
      <c r="F593" s="6" t="s">
        <v>85</v>
      </c>
      <c r="G593" s="11">
        <v>46135.375</v>
      </c>
      <c r="H593" s="21" t="s">
        <v>2403</v>
      </c>
      <c r="I593" s="6" t="s">
        <v>2404</v>
      </c>
      <c r="J593" s="12">
        <v>46120.841874999998</v>
      </c>
      <c r="K593" s="6" t="str" cm="1">
        <f t="array" ref="K593">LOOKUP(2^15,SEARCH(Tabela2[Palavras-Chave],Boletim[[#This Row],[Objeto]],1),Tabela2[Palavras-Chave])</f>
        <v>MEDIÇÃO</v>
      </c>
    </row>
    <row r="594" spans="1:11" hidden="1" x14ac:dyDescent="0.3">
      <c r="A594" s="5">
        <v>18802965</v>
      </c>
      <c r="B594" s="6" t="s">
        <v>2405</v>
      </c>
      <c r="C594" s="6" t="s">
        <v>2406</v>
      </c>
      <c r="D594" s="8" t="s">
        <v>82</v>
      </c>
      <c r="E594" s="6" t="s">
        <v>1471</v>
      </c>
      <c r="F594" s="6" t="s">
        <v>85</v>
      </c>
      <c r="G594" s="11" t="s">
        <v>56</v>
      </c>
      <c r="H594" s="10" t="s">
        <v>2407</v>
      </c>
      <c r="I594" s="6" t="s">
        <v>2408</v>
      </c>
      <c r="J594" s="12">
        <v>46120.859849537039</v>
      </c>
      <c r="K594" s="6" t="e" cm="1">
        <f t="array" ref="K594">LOOKUP(2^15,SEARCH(Tabela2[Palavras-Chave],Boletim[[#This Row],[Objeto]],1),Tabela2[Palavras-Chave])</f>
        <v>#N/A</v>
      </c>
    </row>
    <row r="595" spans="1:11" hidden="1" x14ac:dyDescent="0.3">
      <c r="A595" s="5">
        <v>18804711</v>
      </c>
      <c r="B595" s="6" t="s">
        <v>2409</v>
      </c>
      <c r="C595" s="6" t="s">
        <v>413</v>
      </c>
      <c r="D595" s="8" t="s">
        <v>82</v>
      </c>
      <c r="E595" s="6" t="s">
        <v>145</v>
      </c>
      <c r="F595" s="6" t="s">
        <v>85</v>
      </c>
      <c r="G595" s="11" t="s">
        <v>56</v>
      </c>
      <c r="H595" s="10" t="s">
        <v>2410</v>
      </c>
      <c r="I595" s="6" t="s">
        <v>190</v>
      </c>
      <c r="J595" s="12">
        <v>46120.869050925925</v>
      </c>
      <c r="K595" s="6" t="e" cm="1">
        <f t="array" ref="K595">LOOKUP(2^15,SEARCH(Tabela2[Palavras-Chave],Boletim[[#This Row],[Objeto]],1),Tabela2[Palavras-Chave])</f>
        <v>#N/A</v>
      </c>
    </row>
    <row r="596" spans="1:11" hidden="1" x14ac:dyDescent="0.3">
      <c r="A596" s="5">
        <v>18804388</v>
      </c>
      <c r="B596" s="6" t="s">
        <v>2411</v>
      </c>
      <c r="C596" s="6" t="s">
        <v>2412</v>
      </c>
      <c r="D596" s="8" t="s">
        <v>84</v>
      </c>
      <c r="E596" s="6" t="s">
        <v>106</v>
      </c>
      <c r="F596" s="6" t="s">
        <v>85</v>
      </c>
      <c r="G596" s="11">
        <v>46136</v>
      </c>
      <c r="H596" s="10" t="s">
        <v>2413</v>
      </c>
      <c r="I596" s="6" t="s">
        <v>2414</v>
      </c>
      <c r="J596" s="12">
        <v>46120.809791666667</v>
      </c>
      <c r="K596" s="6" t="e" cm="1">
        <f t="array" ref="K596">LOOKUP(2^15,SEARCH(Tabela2[Palavras-Chave],Boletim[[#This Row],[Objeto]],1),Tabela2[Palavras-Chave])</f>
        <v>#N/A</v>
      </c>
    </row>
    <row r="597" spans="1:11" hidden="1" x14ac:dyDescent="0.3">
      <c r="A597" s="5">
        <v>18568733</v>
      </c>
      <c r="B597" s="6" t="s">
        <v>2415</v>
      </c>
      <c r="C597" s="6" t="s">
        <v>2416</v>
      </c>
      <c r="D597" s="8" t="s">
        <v>66</v>
      </c>
      <c r="E597" s="6" t="s">
        <v>2417</v>
      </c>
      <c r="F597" s="6" t="s">
        <v>94</v>
      </c>
      <c r="G597" s="11">
        <v>46134.375</v>
      </c>
      <c r="H597" s="10" t="s">
        <v>2418</v>
      </c>
      <c r="I597" s="6" t="s">
        <v>2419</v>
      </c>
      <c r="J597" s="12">
        <v>46120.492106481484</v>
      </c>
      <c r="K597" s="6" t="e" cm="1">
        <f t="array" ref="K597">LOOKUP(2^15,SEARCH(Tabela2[Palavras-Chave],Boletim[[#This Row],[Objeto]],1),Tabela2[Palavras-Chave])</f>
        <v>#N/A</v>
      </c>
    </row>
    <row r="598" spans="1:11" hidden="1" x14ac:dyDescent="0.3">
      <c r="A598" s="5">
        <v>18738871</v>
      </c>
      <c r="B598" s="6" t="s">
        <v>458</v>
      </c>
      <c r="C598" s="6" t="s">
        <v>459</v>
      </c>
      <c r="D598" s="8" t="s">
        <v>66</v>
      </c>
      <c r="E598" s="6" t="s">
        <v>114</v>
      </c>
      <c r="F598" s="6" t="s">
        <v>94</v>
      </c>
      <c r="G598" s="11">
        <v>46135.340277777781</v>
      </c>
      <c r="H598" s="10" t="s">
        <v>460</v>
      </c>
      <c r="I598" s="6" t="s">
        <v>2420</v>
      </c>
      <c r="J598" s="12">
        <v>46120.587627314817</v>
      </c>
      <c r="K598" s="6" t="e" cm="1">
        <f t="array" ref="K598">LOOKUP(2^15,SEARCH(Tabela2[Palavras-Chave],Boletim[[#This Row],[Objeto]],1),Tabela2[Palavras-Chave])</f>
        <v>#N/A</v>
      </c>
    </row>
    <row r="599" spans="1:11" hidden="1" x14ac:dyDescent="0.3">
      <c r="A599" s="5">
        <v>18731492</v>
      </c>
      <c r="B599" s="6" t="s">
        <v>2421</v>
      </c>
      <c r="C599" s="6" t="s">
        <v>2422</v>
      </c>
      <c r="D599" s="8" t="s">
        <v>66</v>
      </c>
      <c r="E599" s="6" t="s">
        <v>117</v>
      </c>
      <c r="F599" s="6" t="s">
        <v>94</v>
      </c>
      <c r="G599" s="11" t="s">
        <v>56</v>
      </c>
      <c r="H599" s="10" t="s">
        <v>2423</v>
      </c>
      <c r="I599" s="6" t="s">
        <v>2424</v>
      </c>
      <c r="J599" s="12">
        <v>46120.617418981485</v>
      </c>
      <c r="K599" s="6" t="e" cm="1">
        <f t="array" ref="K599">LOOKUP(2^15,SEARCH(Tabela2[Palavras-Chave],Boletim[[#This Row],[Objeto]],1),Tabela2[Palavras-Chave])</f>
        <v>#N/A</v>
      </c>
    </row>
    <row r="600" spans="1:11" hidden="1" x14ac:dyDescent="0.3">
      <c r="A600" s="5">
        <v>18791197</v>
      </c>
      <c r="B600" s="6" t="s">
        <v>1214</v>
      </c>
      <c r="C600" s="6" t="s">
        <v>1215</v>
      </c>
      <c r="D600" s="8" t="s">
        <v>72</v>
      </c>
      <c r="E600" s="6" t="s">
        <v>126</v>
      </c>
      <c r="F600" s="6" t="s">
        <v>94</v>
      </c>
      <c r="G600" s="11" t="s">
        <v>56</v>
      </c>
      <c r="H600" s="10" t="s">
        <v>2425</v>
      </c>
      <c r="I600" s="6" t="s">
        <v>2426</v>
      </c>
      <c r="J600" s="12">
        <v>46120.603043981479</v>
      </c>
      <c r="K600" s="6" t="e" cm="1">
        <f t="array" ref="K600">LOOKUP(2^15,SEARCH(Tabela2[Palavras-Chave],Boletim[[#This Row],[Objeto]],1),Tabela2[Palavras-Chave])</f>
        <v>#N/A</v>
      </c>
    </row>
    <row r="601" spans="1:11" hidden="1" x14ac:dyDescent="0.3">
      <c r="A601" s="5">
        <v>18796334</v>
      </c>
      <c r="B601" s="6" t="s">
        <v>177</v>
      </c>
      <c r="C601" s="6" t="s">
        <v>75</v>
      </c>
      <c r="D601" s="8" t="s">
        <v>76</v>
      </c>
      <c r="E601" s="6" t="s">
        <v>2427</v>
      </c>
      <c r="F601" s="6" t="s">
        <v>94</v>
      </c>
      <c r="G601" s="11">
        <v>46126.708333333336</v>
      </c>
      <c r="H601" s="10" t="s">
        <v>2428</v>
      </c>
      <c r="I601" s="6" t="s">
        <v>2429</v>
      </c>
      <c r="J601" s="12">
        <v>46120.398657407408</v>
      </c>
      <c r="K601" s="6" t="e" cm="1">
        <f t="array" ref="K601">LOOKUP(2^15,SEARCH(Tabela2[Palavras-Chave],Boletim[[#This Row],[Objeto]],1),Tabela2[Palavras-Chave])</f>
        <v>#N/A</v>
      </c>
    </row>
    <row r="602" spans="1:11" hidden="1" x14ac:dyDescent="0.3">
      <c r="A602" s="5">
        <v>18777336</v>
      </c>
      <c r="B602" s="6" t="s">
        <v>2430</v>
      </c>
      <c r="C602" s="6" t="s">
        <v>2431</v>
      </c>
      <c r="D602" s="8" t="s">
        <v>66</v>
      </c>
      <c r="E602" s="6" t="s">
        <v>114</v>
      </c>
      <c r="F602" s="6" t="s">
        <v>167</v>
      </c>
      <c r="G602" s="11" t="s">
        <v>56</v>
      </c>
      <c r="H602" s="10" t="s">
        <v>2432</v>
      </c>
      <c r="I602" s="6" t="s">
        <v>2433</v>
      </c>
      <c r="J602" s="12">
        <v>46120.836145833331</v>
      </c>
      <c r="K602" s="6" t="e" cm="1">
        <f t="array" ref="K602">LOOKUP(2^15,SEARCH(Tabela2[Palavras-Chave],Boletim[[#This Row],[Objeto]],1),Tabela2[Palavras-Chave])</f>
        <v>#N/A</v>
      </c>
    </row>
    <row r="603" spans="1:11" ht="129.6" x14ac:dyDescent="0.3">
      <c r="A603" s="5">
        <v>18675488</v>
      </c>
      <c r="B603" s="6" t="s">
        <v>2434</v>
      </c>
      <c r="C603" s="6" t="s">
        <v>162</v>
      </c>
      <c r="D603" s="8" t="s">
        <v>144</v>
      </c>
      <c r="E603" s="6" t="s">
        <v>112</v>
      </c>
      <c r="F603" s="6" t="s">
        <v>95</v>
      </c>
      <c r="G603" s="11" t="s">
        <v>56</v>
      </c>
      <c r="H603" s="21" t="s">
        <v>2435</v>
      </c>
      <c r="I603" s="6" t="s">
        <v>2436</v>
      </c>
      <c r="J603" s="12">
        <v>46120.560266203705</v>
      </c>
      <c r="K603" s="6" t="str" cm="1">
        <f t="array" ref="K603">LOOKUP(2^15,SEARCH(Tabela2[Palavras-Chave],Boletim[[#This Row],[Objeto]],1),Tabela2[Palavras-Chave])</f>
        <v>RESERVAT</v>
      </c>
    </row>
    <row r="604" spans="1:11" hidden="1" x14ac:dyDescent="0.3">
      <c r="A604" s="5">
        <v>18790238</v>
      </c>
      <c r="B604" s="6" t="s">
        <v>2437</v>
      </c>
      <c r="C604" s="6" t="s">
        <v>2438</v>
      </c>
      <c r="D604" s="8" t="s">
        <v>144</v>
      </c>
      <c r="E604" s="6" t="s">
        <v>222</v>
      </c>
      <c r="F604" s="6" t="s">
        <v>95</v>
      </c>
      <c r="G604" s="11" t="s">
        <v>56</v>
      </c>
      <c r="H604" s="10" t="s">
        <v>2439</v>
      </c>
      <c r="I604" s="6" t="s">
        <v>2440</v>
      </c>
      <c r="J604" s="12">
        <v>46120.560648148145</v>
      </c>
      <c r="K604" s="6" t="e" cm="1">
        <f t="array" ref="K604">LOOKUP(2^15,SEARCH(Tabela2[Palavras-Chave],Boletim[[#This Row],[Objeto]],1),Tabela2[Palavras-Chave])</f>
        <v>#N/A</v>
      </c>
    </row>
    <row r="605" spans="1:11" hidden="1" x14ac:dyDescent="0.3">
      <c r="A605" s="5">
        <v>18770009</v>
      </c>
      <c r="B605" s="6" t="s">
        <v>74</v>
      </c>
      <c r="C605" s="6" t="s">
        <v>52</v>
      </c>
      <c r="D605" s="8" t="s">
        <v>50</v>
      </c>
      <c r="E605" s="6" t="s">
        <v>2441</v>
      </c>
      <c r="F605" s="6" t="s">
        <v>95</v>
      </c>
      <c r="G605" s="11" t="s">
        <v>56</v>
      </c>
      <c r="H605" s="10" t="s">
        <v>2442</v>
      </c>
      <c r="I605" s="6" t="s">
        <v>2443</v>
      </c>
      <c r="J605" s="12">
        <v>46120.468136574076</v>
      </c>
      <c r="K605" s="6" t="e" cm="1">
        <f t="array" ref="K605">LOOKUP(2^15,SEARCH(Tabela2[Palavras-Chave],Boletim[[#This Row],[Objeto]],1),Tabela2[Palavras-Chave])</f>
        <v>#N/A</v>
      </c>
    </row>
    <row r="606" spans="1:11" hidden="1" x14ac:dyDescent="0.3">
      <c r="A606" s="13">
        <v>18770010</v>
      </c>
      <c r="B606" s="10" t="s">
        <v>74</v>
      </c>
      <c r="C606" s="10" t="s">
        <v>53</v>
      </c>
      <c r="D606" s="15" t="s">
        <v>54</v>
      </c>
      <c r="E606" s="10" t="s">
        <v>2441</v>
      </c>
      <c r="F606" s="10" t="s">
        <v>95</v>
      </c>
      <c r="G606" s="16" t="s">
        <v>56</v>
      </c>
      <c r="H606" s="10" t="s">
        <v>2442</v>
      </c>
      <c r="I606" s="10" t="s">
        <v>2443</v>
      </c>
      <c r="J606" s="17">
        <v>46120.468136574076</v>
      </c>
      <c r="K606" s="6" t="e" cm="1">
        <f t="array" ref="K606">LOOKUP(2^15,SEARCH(Tabela2[Palavras-Chave],Boletim[[#This Row],[Objeto]],1),Tabela2[Palavras-Chave])</f>
        <v>#N/A</v>
      </c>
    </row>
    <row r="607" spans="1:11" hidden="1" x14ac:dyDescent="0.3">
      <c r="A607" s="5">
        <v>18719706</v>
      </c>
      <c r="B607" s="6" t="s">
        <v>2444</v>
      </c>
      <c r="C607" s="6" t="s">
        <v>2445</v>
      </c>
      <c r="D607" s="8" t="s">
        <v>54</v>
      </c>
      <c r="E607" s="6" t="s">
        <v>117</v>
      </c>
      <c r="F607" s="6" t="s">
        <v>95</v>
      </c>
      <c r="G607" s="11" t="s">
        <v>56</v>
      </c>
      <c r="H607" s="10" t="s">
        <v>2446</v>
      </c>
      <c r="I607" s="6" t="s">
        <v>2447</v>
      </c>
      <c r="J607" s="12">
        <v>46120.579629629632</v>
      </c>
      <c r="K607" s="6" t="e" cm="1">
        <f t="array" ref="K607">LOOKUP(2^15,SEARCH(Tabela2[Palavras-Chave],Boletim[[#This Row],[Objeto]],1),Tabela2[Palavras-Chave])</f>
        <v>#N/A</v>
      </c>
    </row>
    <row r="608" spans="1:11" hidden="1" x14ac:dyDescent="0.3">
      <c r="A608" s="5">
        <v>18789461</v>
      </c>
      <c r="B608" s="6" t="s">
        <v>2448</v>
      </c>
      <c r="C608" s="6" t="s">
        <v>2449</v>
      </c>
      <c r="D608" s="8" t="s">
        <v>54</v>
      </c>
      <c r="E608" s="6" t="s">
        <v>2450</v>
      </c>
      <c r="F608" s="6" t="s">
        <v>95</v>
      </c>
      <c r="G608" s="11" t="s">
        <v>56</v>
      </c>
      <c r="H608" s="10" t="s">
        <v>2451</v>
      </c>
      <c r="I608" s="6" t="s">
        <v>2452</v>
      </c>
      <c r="J608" s="12">
        <v>46120.776365740741</v>
      </c>
      <c r="K608" s="6" t="e" cm="1">
        <f t="array" ref="K608">LOOKUP(2^15,SEARCH(Tabela2[Palavras-Chave],Boletim[[#This Row],[Objeto]],1),Tabela2[Palavras-Chave])</f>
        <v>#N/A</v>
      </c>
    </row>
    <row r="609" spans="1:11" hidden="1" x14ac:dyDescent="0.3">
      <c r="A609" s="5">
        <v>18774678</v>
      </c>
      <c r="B609" s="6" t="s">
        <v>151</v>
      </c>
      <c r="C609" s="6" t="s">
        <v>59</v>
      </c>
      <c r="D609" s="8" t="s">
        <v>60</v>
      </c>
      <c r="E609" s="6" t="s">
        <v>2453</v>
      </c>
      <c r="F609" s="6" t="s">
        <v>95</v>
      </c>
      <c r="G609" s="11">
        <v>46126.479166666664</v>
      </c>
      <c r="H609" s="10" t="s">
        <v>2454</v>
      </c>
      <c r="I609" s="6" t="s">
        <v>2455</v>
      </c>
      <c r="J609" s="12">
        <v>46120.863912037035</v>
      </c>
      <c r="K609" s="6" t="e" cm="1">
        <f t="array" ref="K609">LOOKUP(2^15,SEARCH(Tabela2[Palavras-Chave],Boletim[[#This Row],[Objeto]],1),Tabela2[Palavras-Chave])</f>
        <v>#N/A</v>
      </c>
    </row>
    <row r="610" spans="1:11" hidden="1" x14ac:dyDescent="0.3">
      <c r="A610" s="5">
        <v>18735548</v>
      </c>
      <c r="B610" s="6" t="s">
        <v>74</v>
      </c>
      <c r="C610" s="6" t="s">
        <v>88</v>
      </c>
      <c r="D610" s="8" t="s">
        <v>63</v>
      </c>
      <c r="E610" s="6" t="s">
        <v>2456</v>
      </c>
      <c r="F610" s="6" t="s">
        <v>95</v>
      </c>
      <c r="G610" s="11" t="s">
        <v>56</v>
      </c>
      <c r="H610" s="10" t="s">
        <v>2457</v>
      </c>
      <c r="I610" s="6" t="s">
        <v>2458</v>
      </c>
      <c r="J610" s="12">
        <v>46120.468124999999</v>
      </c>
      <c r="K610" s="6" t="e" cm="1">
        <f t="array" ref="K610">LOOKUP(2^15,SEARCH(Tabela2[Palavras-Chave],Boletim[[#This Row],[Objeto]],1),Tabela2[Palavras-Chave])</f>
        <v>#N/A</v>
      </c>
    </row>
    <row r="611" spans="1:11" hidden="1" x14ac:dyDescent="0.3">
      <c r="A611" s="5">
        <v>18764975</v>
      </c>
      <c r="B611" s="6" t="s">
        <v>2459</v>
      </c>
      <c r="C611" s="6" t="s">
        <v>2460</v>
      </c>
      <c r="D611" s="8" t="s">
        <v>63</v>
      </c>
      <c r="E611" s="6" t="s">
        <v>117</v>
      </c>
      <c r="F611" s="6" t="s">
        <v>95</v>
      </c>
      <c r="G611" s="11">
        <v>46135.354166666664</v>
      </c>
      <c r="H611" s="10" t="s">
        <v>2461</v>
      </c>
      <c r="I611" s="6" t="s">
        <v>2462</v>
      </c>
      <c r="J611" s="12">
        <v>46120.580590277779</v>
      </c>
      <c r="K611" s="6" t="e" cm="1">
        <f t="array" ref="K611">LOOKUP(2^15,SEARCH(Tabela2[Palavras-Chave],Boletim[[#This Row],[Objeto]],1),Tabela2[Palavras-Chave])</f>
        <v>#N/A</v>
      </c>
    </row>
    <row r="612" spans="1:11" hidden="1" x14ac:dyDescent="0.3">
      <c r="A612" s="5">
        <v>18698834</v>
      </c>
      <c r="B612" s="6" t="s">
        <v>2463</v>
      </c>
      <c r="C612" s="6" t="s">
        <v>2464</v>
      </c>
      <c r="D612" s="8" t="s">
        <v>64</v>
      </c>
      <c r="E612" s="6" t="s">
        <v>115</v>
      </c>
      <c r="F612" s="6" t="s">
        <v>95</v>
      </c>
      <c r="G612" s="11" t="s">
        <v>56</v>
      </c>
      <c r="H612" s="10" t="s">
        <v>2465</v>
      </c>
      <c r="I612" s="6" t="s">
        <v>2466</v>
      </c>
      <c r="J612" s="12">
        <v>46120.773946759262</v>
      </c>
      <c r="K612" s="6" t="e" cm="1">
        <f t="array" ref="K612">LOOKUP(2^15,SEARCH(Tabela2[Palavras-Chave],Boletim[[#This Row],[Objeto]],1),Tabela2[Palavras-Chave])</f>
        <v>#N/A</v>
      </c>
    </row>
    <row r="613" spans="1:11" hidden="1" x14ac:dyDescent="0.3">
      <c r="A613" s="5">
        <v>18758968</v>
      </c>
      <c r="B613" s="6" t="s">
        <v>2467</v>
      </c>
      <c r="C613" s="6" t="s">
        <v>2468</v>
      </c>
      <c r="D613" s="8" t="s">
        <v>89</v>
      </c>
      <c r="E613" s="6" t="s">
        <v>115</v>
      </c>
      <c r="F613" s="6" t="s">
        <v>95</v>
      </c>
      <c r="G613" s="11" t="s">
        <v>56</v>
      </c>
      <c r="H613" s="10" t="s">
        <v>2469</v>
      </c>
      <c r="I613" s="6" t="s">
        <v>2470</v>
      </c>
      <c r="J613" s="12">
        <v>46120.482673611114</v>
      </c>
      <c r="K613" s="6" t="e" cm="1">
        <f t="array" ref="K613">LOOKUP(2^15,SEARCH(Tabela2[Palavras-Chave],Boletim[[#This Row],[Objeto]],1),Tabela2[Palavras-Chave])</f>
        <v>#N/A</v>
      </c>
    </row>
    <row r="614" spans="1:11" hidden="1" x14ac:dyDescent="0.3">
      <c r="A614" s="5">
        <v>18674424</v>
      </c>
      <c r="B614" s="6" t="s">
        <v>2471</v>
      </c>
      <c r="C614" s="6" t="s">
        <v>2472</v>
      </c>
      <c r="D614" s="8" t="s">
        <v>66</v>
      </c>
      <c r="E614" s="6" t="s">
        <v>146</v>
      </c>
      <c r="F614" s="6" t="s">
        <v>95</v>
      </c>
      <c r="G614" s="11" t="s">
        <v>56</v>
      </c>
      <c r="H614" s="10" t="s">
        <v>2473</v>
      </c>
      <c r="I614" s="6" t="s">
        <v>2474</v>
      </c>
      <c r="J614" s="12">
        <v>46120.449386574073</v>
      </c>
      <c r="K614" s="6" t="e" cm="1">
        <f t="array" ref="K614">LOOKUP(2^15,SEARCH(Tabela2[Palavras-Chave],Boletim[[#This Row],[Objeto]],1),Tabela2[Palavras-Chave])</f>
        <v>#N/A</v>
      </c>
    </row>
    <row r="615" spans="1:11" hidden="1" x14ac:dyDescent="0.3">
      <c r="A615" s="5">
        <v>18782337</v>
      </c>
      <c r="B615" s="6" t="s">
        <v>2475</v>
      </c>
      <c r="C615" s="6" t="s">
        <v>2476</v>
      </c>
      <c r="D615" s="8" t="s">
        <v>66</v>
      </c>
      <c r="E615" s="6" t="s">
        <v>125</v>
      </c>
      <c r="F615" s="6" t="s">
        <v>95</v>
      </c>
      <c r="G615" s="11">
        <v>46126.375</v>
      </c>
      <c r="H615" s="10" t="s">
        <v>2477</v>
      </c>
      <c r="I615" s="6" t="s">
        <v>2478</v>
      </c>
      <c r="J615" s="12">
        <v>46120.519490740742</v>
      </c>
      <c r="K615" s="6" t="e" cm="1">
        <f t="array" ref="K615">LOOKUP(2^15,SEARCH(Tabela2[Palavras-Chave],Boletim[[#This Row],[Objeto]],1),Tabela2[Palavras-Chave])</f>
        <v>#N/A</v>
      </c>
    </row>
    <row r="616" spans="1:11" hidden="1" x14ac:dyDescent="0.3">
      <c r="A616" s="5">
        <v>18717691</v>
      </c>
      <c r="B616" s="6" t="s">
        <v>369</v>
      </c>
      <c r="C616" s="6" t="s">
        <v>370</v>
      </c>
      <c r="D616" s="8" t="s">
        <v>66</v>
      </c>
      <c r="E616" s="6" t="s">
        <v>124</v>
      </c>
      <c r="F616" s="6" t="s">
        <v>95</v>
      </c>
      <c r="G616" s="11">
        <v>46134.375</v>
      </c>
      <c r="H616" s="10" t="s">
        <v>2479</v>
      </c>
      <c r="I616" s="6" t="s">
        <v>2480</v>
      </c>
      <c r="J616" s="12">
        <v>46120.669490740744</v>
      </c>
      <c r="K616" s="6" t="e" cm="1">
        <f t="array" ref="K616">LOOKUP(2^15,SEARCH(Tabela2[Palavras-Chave],Boletim[[#This Row],[Objeto]],1),Tabela2[Palavras-Chave])</f>
        <v>#N/A</v>
      </c>
    </row>
    <row r="617" spans="1:11" hidden="1" x14ac:dyDescent="0.3">
      <c r="A617" s="5">
        <v>18717012</v>
      </c>
      <c r="B617" s="6" t="s">
        <v>417</v>
      </c>
      <c r="C617" s="6" t="s">
        <v>418</v>
      </c>
      <c r="D617" s="8" t="s">
        <v>66</v>
      </c>
      <c r="E617" s="6" t="s">
        <v>108</v>
      </c>
      <c r="F617" s="6" t="s">
        <v>95</v>
      </c>
      <c r="G617" s="11">
        <v>46139.3125</v>
      </c>
      <c r="H617" s="10" t="s">
        <v>419</v>
      </c>
      <c r="I617" s="6" t="s">
        <v>420</v>
      </c>
      <c r="J617" s="12">
        <v>46120.777824074074</v>
      </c>
      <c r="K617" s="6" t="e" cm="1">
        <f t="array" ref="K617">LOOKUP(2^15,SEARCH(Tabela2[Palavras-Chave],Boletim[[#This Row],[Objeto]],1),Tabela2[Palavras-Chave])</f>
        <v>#N/A</v>
      </c>
    </row>
    <row r="618" spans="1:11" hidden="1" x14ac:dyDescent="0.3">
      <c r="A618" s="5">
        <v>18724058</v>
      </c>
      <c r="B618" s="6" t="s">
        <v>361</v>
      </c>
      <c r="C618" s="6" t="s">
        <v>362</v>
      </c>
      <c r="D618" s="8" t="s">
        <v>66</v>
      </c>
      <c r="E618" s="6" t="s">
        <v>120</v>
      </c>
      <c r="F618" s="6" t="s">
        <v>95</v>
      </c>
      <c r="G618" s="11" t="s">
        <v>56</v>
      </c>
      <c r="H618" s="10" t="s">
        <v>2481</v>
      </c>
      <c r="I618" s="6" t="s">
        <v>2482</v>
      </c>
      <c r="J618" s="12">
        <v>46120.807615740741</v>
      </c>
      <c r="K618" s="6" t="e" cm="1">
        <f t="array" ref="K618">LOOKUP(2^15,SEARCH(Tabela2[Palavras-Chave],Boletim[[#This Row],[Objeto]],1),Tabela2[Palavras-Chave])</f>
        <v>#N/A</v>
      </c>
    </row>
    <row r="619" spans="1:11" hidden="1" x14ac:dyDescent="0.3">
      <c r="A619" s="5">
        <v>18648336</v>
      </c>
      <c r="B619" s="6" t="s">
        <v>2483</v>
      </c>
      <c r="C619" s="6" t="s">
        <v>2484</v>
      </c>
      <c r="D619" s="8" t="s">
        <v>91</v>
      </c>
      <c r="E619" s="6" t="s">
        <v>121</v>
      </c>
      <c r="F619" s="6" t="s">
        <v>95</v>
      </c>
      <c r="G619" s="11" t="s">
        <v>56</v>
      </c>
      <c r="H619" s="10" t="s">
        <v>2485</v>
      </c>
      <c r="I619" s="6" t="s">
        <v>2486</v>
      </c>
      <c r="J619" s="12">
        <v>46120.454884259256</v>
      </c>
      <c r="K619" s="6" t="e" cm="1">
        <f t="array" ref="K619">LOOKUP(2^15,SEARCH(Tabela2[Palavras-Chave],Boletim[[#This Row],[Objeto]],1),Tabela2[Palavras-Chave])</f>
        <v>#N/A</v>
      </c>
    </row>
    <row r="620" spans="1:11" hidden="1" x14ac:dyDescent="0.3">
      <c r="A620" s="5">
        <v>18781985</v>
      </c>
      <c r="B620" s="6" t="s">
        <v>2487</v>
      </c>
      <c r="C620" s="6" t="s">
        <v>2488</v>
      </c>
      <c r="D620" s="8" t="s">
        <v>91</v>
      </c>
      <c r="E620" s="6" t="s">
        <v>115</v>
      </c>
      <c r="F620" s="6" t="s">
        <v>95</v>
      </c>
      <c r="G620" s="11">
        <v>46134.541666666664</v>
      </c>
      <c r="H620" s="10" t="s">
        <v>2489</v>
      </c>
      <c r="I620" s="6" t="s">
        <v>138</v>
      </c>
      <c r="J620" s="12">
        <v>46120.62296296296</v>
      </c>
      <c r="K620" s="6" t="e" cm="1">
        <f t="array" ref="K620">LOOKUP(2^15,SEARCH(Tabela2[Palavras-Chave],Boletim[[#This Row],[Objeto]],1),Tabela2[Palavras-Chave])</f>
        <v>#N/A</v>
      </c>
    </row>
    <row r="621" spans="1:11" hidden="1" x14ac:dyDescent="0.3">
      <c r="A621" s="5">
        <v>18779148</v>
      </c>
      <c r="B621" s="6" t="s">
        <v>2490</v>
      </c>
      <c r="C621" s="6" t="s">
        <v>2491</v>
      </c>
      <c r="D621" s="8" t="s">
        <v>70</v>
      </c>
      <c r="E621" s="6" t="s">
        <v>128</v>
      </c>
      <c r="F621" s="6" t="s">
        <v>95</v>
      </c>
      <c r="G621" s="11">
        <v>46134.479166666664</v>
      </c>
      <c r="H621" s="10" t="s">
        <v>2492</v>
      </c>
      <c r="I621" s="6" t="s">
        <v>2493</v>
      </c>
      <c r="J621" s="12">
        <v>46120.861562500002</v>
      </c>
      <c r="K621" s="6" t="e" cm="1">
        <f t="array" ref="K621">LOOKUP(2^15,SEARCH(Tabela2[Palavras-Chave],Boletim[[#This Row],[Objeto]],1),Tabela2[Palavras-Chave])</f>
        <v>#N/A</v>
      </c>
    </row>
    <row r="622" spans="1:11" hidden="1" x14ac:dyDescent="0.3">
      <c r="A622" s="5">
        <v>18730650</v>
      </c>
      <c r="B622" s="6" t="s">
        <v>2494</v>
      </c>
      <c r="C622" s="6" t="s">
        <v>2495</v>
      </c>
      <c r="D622" s="8" t="s">
        <v>72</v>
      </c>
      <c r="E622" s="6" t="s">
        <v>178</v>
      </c>
      <c r="F622" s="6" t="s">
        <v>95</v>
      </c>
      <c r="G622" s="11" t="s">
        <v>56</v>
      </c>
      <c r="H622" s="10" t="s">
        <v>2496</v>
      </c>
      <c r="I622" s="6" t="s">
        <v>2497</v>
      </c>
      <c r="J622" s="12">
        <v>46120.554918981485</v>
      </c>
      <c r="K622" s="6" t="e" cm="1">
        <f t="array" ref="K622">LOOKUP(2^15,SEARCH(Tabela2[Palavras-Chave],Boletim[[#This Row],[Objeto]],1),Tabela2[Palavras-Chave])</f>
        <v>#N/A</v>
      </c>
    </row>
    <row r="623" spans="1:11" hidden="1" x14ac:dyDescent="0.3">
      <c r="A623" s="5">
        <v>18735547</v>
      </c>
      <c r="B623" s="6" t="s">
        <v>74</v>
      </c>
      <c r="C623" s="6" t="s">
        <v>75</v>
      </c>
      <c r="D623" s="8" t="s">
        <v>76</v>
      </c>
      <c r="E623" s="6" t="s">
        <v>2456</v>
      </c>
      <c r="F623" s="6" t="s">
        <v>95</v>
      </c>
      <c r="G623" s="11" t="s">
        <v>56</v>
      </c>
      <c r="H623" s="10" t="s">
        <v>2457</v>
      </c>
      <c r="I623" s="6" t="s">
        <v>2458</v>
      </c>
      <c r="J623" s="12">
        <v>46120.465810185182</v>
      </c>
      <c r="K623" s="6" t="e" cm="1">
        <f t="array" ref="K623">LOOKUP(2^15,SEARCH(Tabela2[Palavras-Chave],Boletim[[#This Row],[Objeto]],1),Tabela2[Palavras-Chave])</f>
        <v>#N/A</v>
      </c>
    </row>
    <row r="624" spans="1:11" hidden="1" x14ac:dyDescent="0.3">
      <c r="A624" s="5">
        <v>18770007</v>
      </c>
      <c r="B624" s="6" t="s">
        <v>74</v>
      </c>
      <c r="C624" s="6" t="s">
        <v>75</v>
      </c>
      <c r="D624" s="8" t="s">
        <v>76</v>
      </c>
      <c r="E624" s="6" t="s">
        <v>2441</v>
      </c>
      <c r="F624" s="6" t="s">
        <v>95</v>
      </c>
      <c r="G624" s="11" t="s">
        <v>56</v>
      </c>
      <c r="H624" s="10" t="s">
        <v>2442</v>
      </c>
      <c r="I624" s="6" t="s">
        <v>2443</v>
      </c>
      <c r="J624" s="12">
        <v>46120.465902777774</v>
      </c>
      <c r="K624" s="6" t="e" cm="1">
        <f t="array" ref="K624">LOOKUP(2^15,SEARCH(Tabela2[Palavras-Chave],Boletim[[#This Row],[Objeto]],1),Tabela2[Palavras-Chave])</f>
        <v>#N/A</v>
      </c>
    </row>
    <row r="625" spans="1:11" hidden="1" x14ac:dyDescent="0.3">
      <c r="A625" s="5">
        <v>18796302</v>
      </c>
      <c r="B625" s="6" t="s">
        <v>74</v>
      </c>
      <c r="C625" s="6" t="s">
        <v>75</v>
      </c>
      <c r="D625" s="8" t="s">
        <v>76</v>
      </c>
      <c r="E625" s="6" t="s">
        <v>2498</v>
      </c>
      <c r="F625" s="6" t="s">
        <v>95</v>
      </c>
      <c r="G625" s="11" t="s">
        <v>56</v>
      </c>
      <c r="H625" s="10" t="s">
        <v>2499</v>
      </c>
      <c r="I625" s="6" t="s">
        <v>2500</v>
      </c>
      <c r="J625" s="12">
        <v>46120.466898148145</v>
      </c>
      <c r="K625" s="6" t="e" cm="1">
        <f t="array" ref="K625">LOOKUP(2^15,SEARCH(Tabela2[Palavras-Chave],Boletim[[#This Row],[Objeto]],1),Tabela2[Palavras-Chave])</f>
        <v>#N/A</v>
      </c>
    </row>
    <row r="626" spans="1:11" ht="72" x14ac:dyDescent="0.3">
      <c r="A626" s="5">
        <v>18796307</v>
      </c>
      <c r="B626" s="6" t="s">
        <v>74</v>
      </c>
      <c r="C626" s="6" t="s">
        <v>75</v>
      </c>
      <c r="D626" s="8" t="s">
        <v>76</v>
      </c>
      <c r="E626" s="6" t="s">
        <v>2501</v>
      </c>
      <c r="F626" s="6" t="s">
        <v>95</v>
      </c>
      <c r="G626" s="11" t="s">
        <v>56</v>
      </c>
      <c r="H626" s="21" t="s">
        <v>2502</v>
      </c>
      <c r="I626" s="6" t="s">
        <v>2503</v>
      </c>
      <c r="J626" s="12">
        <v>46120.467106481483</v>
      </c>
      <c r="K626" s="6" t="str" cm="1">
        <f t="array" ref="K626">LOOKUP(2^15,SEARCH(Tabela2[Palavras-Chave],Boletim[[#This Row],[Objeto]],1),Tabela2[Palavras-Chave])</f>
        <v>TANQUE</v>
      </c>
    </row>
    <row r="627" spans="1:11" hidden="1" x14ac:dyDescent="0.3">
      <c r="A627" s="5">
        <v>18597832</v>
      </c>
      <c r="B627" s="6" t="s">
        <v>241</v>
      </c>
      <c r="C627" s="6" t="s">
        <v>75</v>
      </c>
      <c r="D627" s="8" t="s">
        <v>76</v>
      </c>
      <c r="E627" s="6" t="s">
        <v>2504</v>
      </c>
      <c r="F627" s="6" t="s">
        <v>95</v>
      </c>
      <c r="G627" s="11" t="s">
        <v>56</v>
      </c>
      <c r="H627" s="10" t="s">
        <v>2505</v>
      </c>
      <c r="I627" s="6" t="s">
        <v>2506</v>
      </c>
      <c r="J627" s="12">
        <v>46120.547974537039</v>
      </c>
      <c r="K627" s="6" t="e" cm="1">
        <f t="array" ref="K627">LOOKUP(2^15,SEARCH(Tabela2[Palavras-Chave],Boletim[[#This Row],[Objeto]],1),Tabela2[Palavras-Chave])</f>
        <v>#N/A</v>
      </c>
    </row>
    <row r="628" spans="1:11" hidden="1" x14ac:dyDescent="0.3">
      <c r="A628" s="5">
        <v>18725654</v>
      </c>
      <c r="B628" s="6" t="s">
        <v>2507</v>
      </c>
      <c r="C628" s="6" t="s">
        <v>2508</v>
      </c>
      <c r="D628" s="8" t="s">
        <v>76</v>
      </c>
      <c r="E628" s="6" t="s">
        <v>157</v>
      </c>
      <c r="F628" s="6" t="s">
        <v>95</v>
      </c>
      <c r="G628" s="11" t="s">
        <v>56</v>
      </c>
      <c r="H628" s="10" t="s">
        <v>2509</v>
      </c>
      <c r="I628" s="6" t="s">
        <v>2510</v>
      </c>
      <c r="J628" s="12">
        <v>46120.560416666667</v>
      </c>
      <c r="K628" s="6" t="e" cm="1">
        <f t="array" ref="K628">LOOKUP(2^15,SEARCH(Tabela2[Palavras-Chave],Boletim[[#This Row],[Objeto]],1),Tabela2[Palavras-Chave])</f>
        <v>#N/A</v>
      </c>
    </row>
    <row r="629" spans="1:11" hidden="1" x14ac:dyDescent="0.3">
      <c r="A629" s="5">
        <v>18796315</v>
      </c>
      <c r="B629" s="6" t="s">
        <v>74</v>
      </c>
      <c r="C629" s="6" t="s">
        <v>75</v>
      </c>
      <c r="D629" s="8" t="s">
        <v>76</v>
      </c>
      <c r="E629" s="6" t="s">
        <v>2511</v>
      </c>
      <c r="F629" s="6" t="s">
        <v>95</v>
      </c>
      <c r="G629" s="11" t="s">
        <v>56</v>
      </c>
      <c r="H629" s="10" t="s">
        <v>2512</v>
      </c>
      <c r="I629" s="6" t="s">
        <v>2513</v>
      </c>
      <c r="J629" s="12">
        <v>46120.652916666666</v>
      </c>
      <c r="K629" s="6" t="e" cm="1">
        <f t="array" ref="K629">LOOKUP(2^15,SEARCH(Tabela2[Palavras-Chave],Boletim[[#This Row],[Objeto]],1),Tabela2[Palavras-Chave])</f>
        <v>#N/A</v>
      </c>
    </row>
    <row r="630" spans="1:11" hidden="1" x14ac:dyDescent="0.3">
      <c r="A630" s="5">
        <v>18799021</v>
      </c>
      <c r="B630" s="6" t="s">
        <v>2514</v>
      </c>
      <c r="C630" s="6" t="s">
        <v>2515</v>
      </c>
      <c r="D630" s="8" t="s">
        <v>77</v>
      </c>
      <c r="E630" s="6" t="s">
        <v>127</v>
      </c>
      <c r="F630" s="6" t="s">
        <v>95</v>
      </c>
      <c r="G630" s="11" t="s">
        <v>56</v>
      </c>
      <c r="H630" s="10" t="s">
        <v>2516</v>
      </c>
      <c r="I630" s="6" t="s">
        <v>2517</v>
      </c>
      <c r="J630" s="12">
        <v>46120.656354166669</v>
      </c>
      <c r="K630" s="6" t="e" cm="1">
        <f t="array" ref="K630">LOOKUP(2^15,SEARCH(Tabela2[Palavras-Chave],Boletim[[#This Row],[Objeto]],1),Tabela2[Palavras-Chave])</f>
        <v>#N/A</v>
      </c>
    </row>
    <row r="631" spans="1:11" hidden="1" x14ac:dyDescent="0.3">
      <c r="A631" s="5">
        <v>18801211</v>
      </c>
      <c r="B631" s="6" t="s">
        <v>2514</v>
      </c>
      <c r="C631" s="6" t="s">
        <v>2515</v>
      </c>
      <c r="D631" s="8" t="s">
        <v>77</v>
      </c>
      <c r="E631" s="6" t="s">
        <v>113</v>
      </c>
      <c r="F631" s="6" t="s">
        <v>95</v>
      </c>
      <c r="G631" s="11" t="s">
        <v>56</v>
      </c>
      <c r="H631" s="10" t="s">
        <v>2518</v>
      </c>
      <c r="I631" s="6" t="s">
        <v>2519</v>
      </c>
      <c r="J631" s="12">
        <v>46120.658425925925</v>
      </c>
      <c r="K631" s="6" t="e" cm="1">
        <f t="array" ref="K631">LOOKUP(2^15,SEARCH(Tabela2[Palavras-Chave],Boletim[[#This Row],[Objeto]],1),Tabela2[Palavras-Chave])</f>
        <v>#N/A</v>
      </c>
    </row>
    <row r="632" spans="1:11" hidden="1" x14ac:dyDescent="0.3">
      <c r="A632" s="5">
        <v>18733017</v>
      </c>
      <c r="B632" s="6" t="s">
        <v>1974</v>
      </c>
      <c r="C632" s="6" t="s">
        <v>1975</v>
      </c>
      <c r="D632" s="8" t="s">
        <v>77</v>
      </c>
      <c r="E632" s="6" t="s">
        <v>106</v>
      </c>
      <c r="F632" s="6" t="s">
        <v>95</v>
      </c>
      <c r="G632" s="11">
        <v>46135.354166666664</v>
      </c>
      <c r="H632" s="10" t="s">
        <v>2520</v>
      </c>
      <c r="I632" s="6" t="s">
        <v>2521</v>
      </c>
      <c r="J632" s="12">
        <v>46120.721608796295</v>
      </c>
      <c r="K632" s="6" t="e" cm="1">
        <f t="array" ref="K632">LOOKUP(2^15,SEARCH(Tabela2[Palavras-Chave],Boletim[[#This Row],[Objeto]],1),Tabela2[Palavras-Chave])</f>
        <v>#N/A</v>
      </c>
    </row>
    <row r="633" spans="1:11" hidden="1" x14ac:dyDescent="0.3">
      <c r="A633" s="5">
        <v>18793507</v>
      </c>
      <c r="B633" s="6" t="s">
        <v>1984</v>
      </c>
      <c r="C633" s="6" t="s">
        <v>136</v>
      </c>
      <c r="D633" s="8" t="s">
        <v>78</v>
      </c>
      <c r="E633" s="6" t="s">
        <v>2522</v>
      </c>
      <c r="F633" s="6" t="s">
        <v>95</v>
      </c>
      <c r="G633" s="11" t="s">
        <v>56</v>
      </c>
      <c r="H633" s="10" t="s">
        <v>2523</v>
      </c>
      <c r="I633" s="6" t="s">
        <v>2524</v>
      </c>
      <c r="J633" s="12">
        <v>46120.554907407408</v>
      </c>
      <c r="K633" s="6" t="e" cm="1">
        <f t="array" ref="K633">LOOKUP(2^15,SEARCH(Tabela2[Palavras-Chave],Boletim[[#This Row],[Objeto]],1),Tabela2[Palavras-Chave])</f>
        <v>#N/A</v>
      </c>
    </row>
    <row r="634" spans="1:11" hidden="1" x14ac:dyDescent="0.3">
      <c r="A634" s="5">
        <v>18800863</v>
      </c>
      <c r="B634" s="6" t="s">
        <v>2525</v>
      </c>
      <c r="C634" s="6" t="s">
        <v>136</v>
      </c>
      <c r="D634" s="8" t="s">
        <v>78</v>
      </c>
      <c r="E634" s="6" t="s">
        <v>129</v>
      </c>
      <c r="F634" s="6" t="s">
        <v>95</v>
      </c>
      <c r="G634" s="11">
        <v>46126.375</v>
      </c>
      <c r="H634" s="10" t="s">
        <v>2526</v>
      </c>
      <c r="I634" s="6" t="s">
        <v>2527</v>
      </c>
      <c r="J634" s="12">
        <v>46120.821562500001</v>
      </c>
      <c r="K634" s="6" t="e" cm="1">
        <f t="array" ref="K634">LOOKUP(2^15,SEARCH(Tabela2[Palavras-Chave],Boletim[[#This Row],[Objeto]],1),Tabela2[Palavras-Chave])</f>
        <v>#N/A</v>
      </c>
    </row>
    <row r="635" spans="1:11" ht="72" x14ac:dyDescent="0.3">
      <c r="A635" s="5">
        <v>18802282</v>
      </c>
      <c r="B635" s="6" t="s">
        <v>74</v>
      </c>
      <c r="C635" s="6" t="s">
        <v>79</v>
      </c>
      <c r="D635" s="8" t="s">
        <v>80</v>
      </c>
      <c r="E635" s="6" t="s">
        <v>2501</v>
      </c>
      <c r="F635" s="6" t="s">
        <v>95</v>
      </c>
      <c r="G635" s="11" t="s">
        <v>56</v>
      </c>
      <c r="H635" s="21" t="s">
        <v>2502</v>
      </c>
      <c r="I635" s="6" t="s">
        <v>2503</v>
      </c>
      <c r="J635" s="12">
        <v>46120.469490740739</v>
      </c>
      <c r="K635" s="6" t="str" cm="1">
        <f t="array" ref="K635">LOOKUP(2^15,SEARCH(Tabela2[Palavras-Chave],Boletim[[#This Row],[Objeto]],1),Tabela2[Palavras-Chave])</f>
        <v>TANQUE</v>
      </c>
    </row>
    <row r="636" spans="1:11" hidden="1" x14ac:dyDescent="0.3">
      <c r="A636" s="5">
        <v>18785341</v>
      </c>
      <c r="B636" s="6" t="s">
        <v>2528</v>
      </c>
      <c r="C636" s="6" t="s">
        <v>442</v>
      </c>
      <c r="D636" s="8" t="s">
        <v>80</v>
      </c>
      <c r="E636" s="6" t="s">
        <v>224</v>
      </c>
      <c r="F636" s="6" t="s">
        <v>95</v>
      </c>
      <c r="G636" s="11">
        <v>46136.333333333336</v>
      </c>
      <c r="H636" s="10" t="s">
        <v>2529</v>
      </c>
      <c r="I636" s="6" t="s">
        <v>2530</v>
      </c>
      <c r="J636" s="12">
        <v>46120.521319444444</v>
      </c>
      <c r="K636" s="6" t="e" cm="1">
        <f t="array" ref="K636">LOOKUP(2^15,SEARCH(Tabela2[Palavras-Chave],Boletim[[#This Row],[Objeto]],1),Tabela2[Palavras-Chave])</f>
        <v>#N/A</v>
      </c>
    </row>
    <row r="637" spans="1:11" hidden="1" x14ac:dyDescent="0.3">
      <c r="A637" s="5">
        <v>18722922</v>
      </c>
      <c r="B637" s="6" t="s">
        <v>2531</v>
      </c>
      <c r="C637" s="6" t="s">
        <v>2532</v>
      </c>
      <c r="D637" s="8" t="s">
        <v>80</v>
      </c>
      <c r="E637" s="6" t="s">
        <v>461</v>
      </c>
      <c r="F637" s="6" t="s">
        <v>95</v>
      </c>
      <c r="G637" s="11">
        <v>46139.340277777781</v>
      </c>
      <c r="H637" s="10" t="s">
        <v>2533</v>
      </c>
      <c r="I637" s="6" t="s">
        <v>2534</v>
      </c>
      <c r="J637" s="12">
        <v>46120.579594907409</v>
      </c>
      <c r="K637" s="6" t="e" cm="1">
        <f t="array" ref="K637">LOOKUP(2^15,SEARCH(Tabela2[Palavras-Chave],Boletim[[#This Row],[Objeto]],1),Tabela2[Palavras-Chave])</f>
        <v>#N/A</v>
      </c>
    </row>
    <row r="638" spans="1:11" hidden="1" x14ac:dyDescent="0.3">
      <c r="A638" s="5">
        <v>18610831</v>
      </c>
      <c r="B638" s="6" t="s">
        <v>2535</v>
      </c>
      <c r="C638" s="6" t="s">
        <v>2536</v>
      </c>
      <c r="D638" s="8" t="s">
        <v>80</v>
      </c>
      <c r="E638" s="6" t="s">
        <v>120</v>
      </c>
      <c r="F638" s="6" t="s">
        <v>95</v>
      </c>
      <c r="G638" s="11">
        <v>46146.353472222225</v>
      </c>
      <c r="H638" s="10" t="s">
        <v>2537</v>
      </c>
      <c r="I638" s="6" t="s">
        <v>2538</v>
      </c>
      <c r="J638" s="12">
        <v>46120.579710648148</v>
      </c>
      <c r="K638" s="6" t="e" cm="1">
        <f t="array" ref="K638">LOOKUP(2^15,SEARCH(Tabela2[Palavras-Chave],Boletim[[#This Row],[Objeto]],1),Tabela2[Palavras-Chave])</f>
        <v>#N/A</v>
      </c>
    </row>
    <row r="639" spans="1:11" hidden="1" x14ac:dyDescent="0.3">
      <c r="A639" s="5">
        <v>18755244</v>
      </c>
      <c r="B639" s="6" t="s">
        <v>2539</v>
      </c>
      <c r="C639" s="6" t="s">
        <v>2540</v>
      </c>
      <c r="D639" s="8" t="s">
        <v>80</v>
      </c>
      <c r="E639" s="6" t="s">
        <v>107</v>
      </c>
      <c r="F639" s="6" t="s">
        <v>95</v>
      </c>
      <c r="G639" s="11">
        <v>46141.353472222225</v>
      </c>
      <c r="H639" s="10" t="s">
        <v>2541</v>
      </c>
      <c r="I639" s="6" t="s">
        <v>2542</v>
      </c>
      <c r="J639" s="12">
        <v>46120.654780092591</v>
      </c>
      <c r="K639" s="6" t="e" cm="1">
        <f t="array" ref="K639">LOOKUP(2^15,SEARCH(Tabela2[Palavras-Chave],Boletim[[#This Row],[Objeto]],1),Tabela2[Palavras-Chave])</f>
        <v>#N/A</v>
      </c>
    </row>
    <row r="640" spans="1:11" hidden="1" x14ac:dyDescent="0.3">
      <c r="A640" s="5">
        <v>18721738</v>
      </c>
      <c r="B640" s="6" t="s">
        <v>2543</v>
      </c>
      <c r="C640" s="6" t="s">
        <v>2544</v>
      </c>
      <c r="D640" s="8" t="s">
        <v>80</v>
      </c>
      <c r="E640" s="6" t="s">
        <v>114</v>
      </c>
      <c r="F640" s="6" t="s">
        <v>95</v>
      </c>
      <c r="G640" s="11">
        <v>46141.333333333336</v>
      </c>
      <c r="H640" s="10" t="s">
        <v>2545</v>
      </c>
      <c r="I640" s="6" t="s">
        <v>2546</v>
      </c>
      <c r="J640" s="12">
        <v>46120.655439814815</v>
      </c>
      <c r="K640" s="6" t="e" cm="1">
        <f t="array" ref="K640">LOOKUP(2^15,SEARCH(Tabela2[Palavras-Chave],Boletim[[#This Row],[Objeto]],1),Tabela2[Palavras-Chave])</f>
        <v>#N/A</v>
      </c>
    </row>
    <row r="641" spans="1:11" hidden="1" x14ac:dyDescent="0.3">
      <c r="A641" s="5">
        <v>18759982</v>
      </c>
      <c r="B641" s="6" t="s">
        <v>2547</v>
      </c>
      <c r="C641" s="6" t="s">
        <v>2548</v>
      </c>
      <c r="D641" s="8" t="s">
        <v>80</v>
      </c>
      <c r="E641" s="6" t="s">
        <v>134</v>
      </c>
      <c r="F641" s="6" t="s">
        <v>95</v>
      </c>
      <c r="G641" s="11">
        <v>46135.561805555553</v>
      </c>
      <c r="H641" s="10" t="s">
        <v>2549</v>
      </c>
      <c r="I641" s="6" t="s">
        <v>2550</v>
      </c>
      <c r="J641" s="12">
        <v>46120.863217592596</v>
      </c>
      <c r="K641" s="6" t="e" cm="1">
        <f t="array" ref="K641">LOOKUP(2^15,SEARCH(Tabela2[Palavras-Chave],Boletim[[#This Row],[Objeto]],1),Tabela2[Palavras-Chave])</f>
        <v>#N/A</v>
      </c>
    </row>
    <row r="642" spans="1:11" hidden="1" x14ac:dyDescent="0.3">
      <c r="A642" s="5">
        <v>18306381</v>
      </c>
      <c r="B642" s="6" t="s">
        <v>2551</v>
      </c>
      <c r="C642" s="6" t="s">
        <v>2552</v>
      </c>
      <c r="D642" s="8" t="s">
        <v>81</v>
      </c>
      <c r="E642" s="6" t="s">
        <v>2553</v>
      </c>
      <c r="F642" s="6" t="s">
        <v>95</v>
      </c>
      <c r="G642" s="11" t="s">
        <v>56</v>
      </c>
      <c r="H642" s="10" t="s">
        <v>2554</v>
      </c>
      <c r="I642" s="6" t="s">
        <v>2555</v>
      </c>
      <c r="J642" s="12">
        <v>46120.731979166667</v>
      </c>
      <c r="K642" s="6" t="e" cm="1">
        <f t="array" ref="K642">LOOKUP(2^15,SEARCH(Tabela2[Palavras-Chave],Boletim[[#This Row],[Objeto]],1),Tabela2[Palavras-Chave])</f>
        <v>#N/A</v>
      </c>
    </row>
    <row r="643" spans="1:11" hidden="1" x14ac:dyDescent="0.3">
      <c r="A643" s="5">
        <v>18697455</v>
      </c>
      <c r="B643" s="6" t="s">
        <v>291</v>
      </c>
      <c r="C643" s="6" t="s">
        <v>292</v>
      </c>
      <c r="D643" s="8" t="s">
        <v>81</v>
      </c>
      <c r="E643" s="6" t="s">
        <v>117</v>
      </c>
      <c r="F643" s="6" t="s">
        <v>95</v>
      </c>
      <c r="G643" s="11">
        <v>46147.375</v>
      </c>
      <c r="H643" s="10" t="s">
        <v>2556</v>
      </c>
      <c r="I643" s="6" t="s">
        <v>2557</v>
      </c>
      <c r="J643" s="12">
        <v>46120.73269675926</v>
      </c>
      <c r="K643" s="6" t="e" cm="1">
        <f t="array" ref="K643">LOOKUP(2^15,SEARCH(Tabela2[Palavras-Chave],Boletim[[#This Row],[Objeto]],1),Tabela2[Palavras-Chave])</f>
        <v>#N/A</v>
      </c>
    </row>
    <row r="644" spans="1:11" hidden="1" x14ac:dyDescent="0.3">
      <c r="A644" s="5">
        <v>18795523</v>
      </c>
      <c r="B644" s="6" t="s">
        <v>2558</v>
      </c>
      <c r="C644" s="6" t="s">
        <v>2559</v>
      </c>
      <c r="D644" s="8" t="s">
        <v>93</v>
      </c>
      <c r="E644" s="6" t="s">
        <v>115</v>
      </c>
      <c r="F644" s="6" t="s">
        <v>95</v>
      </c>
      <c r="G644" s="11" t="s">
        <v>56</v>
      </c>
      <c r="H644" s="10" t="s">
        <v>2560</v>
      </c>
      <c r="I644" s="6" t="s">
        <v>2561</v>
      </c>
      <c r="J644" s="12">
        <v>46120.552673611113</v>
      </c>
      <c r="K644" s="6" t="e" cm="1">
        <f t="array" ref="K644">LOOKUP(2^15,SEARCH(Tabela2[Palavras-Chave],Boletim[[#This Row],[Objeto]],1),Tabela2[Palavras-Chave])</f>
        <v>#N/A</v>
      </c>
    </row>
    <row r="645" spans="1:11" hidden="1" x14ac:dyDescent="0.3">
      <c r="A645" s="5">
        <v>18724117</v>
      </c>
      <c r="B645" s="6" t="s">
        <v>2562</v>
      </c>
      <c r="C645" s="6" t="s">
        <v>2563</v>
      </c>
      <c r="D645" s="8" t="s">
        <v>82</v>
      </c>
      <c r="E645" s="6" t="s">
        <v>128</v>
      </c>
      <c r="F645" s="6" t="s">
        <v>95</v>
      </c>
      <c r="G645" s="11" t="s">
        <v>56</v>
      </c>
      <c r="H645" s="10" t="s">
        <v>2564</v>
      </c>
      <c r="I645" s="6" t="s">
        <v>2565</v>
      </c>
      <c r="J645" s="12">
        <v>46120.388368055559</v>
      </c>
      <c r="K645" s="6" t="e" cm="1">
        <f t="array" ref="K645">LOOKUP(2^15,SEARCH(Tabela2[Palavras-Chave],Boletim[[#This Row],[Objeto]],1),Tabela2[Palavras-Chave])</f>
        <v>#N/A</v>
      </c>
    </row>
    <row r="646" spans="1:11" hidden="1" x14ac:dyDescent="0.3">
      <c r="A646" s="5">
        <v>18521554</v>
      </c>
      <c r="B646" s="6" t="s">
        <v>74</v>
      </c>
      <c r="C646" s="6" t="s">
        <v>83</v>
      </c>
      <c r="D646" s="8" t="s">
        <v>82</v>
      </c>
      <c r="E646" s="6" t="s">
        <v>2566</v>
      </c>
      <c r="F646" s="6" t="s">
        <v>95</v>
      </c>
      <c r="G646" s="11" t="s">
        <v>56</v>
      </c>
      <c r="H646" s="10" t="s">
        <v>2567</v>
      </c>
      <c r="I646" s="6" t="s">
        <v>2568</v>
      </c>
      <c r="J646" s="12">
        <v>46120.468090277776</v>
      </c>
      <c r="K646" s="6" t="e" cm="1">
        <f t="array" ref="K646">LOOKUP(2^15,SEARCH(Tabela2[Palavras-Chave],Boletim[[#This Row],[Objeto]],1),Tabela2[Palavras-Chave])</f>
        <v>#N/A</v>
      </c>
    </row>
    <row r="647" spans="1:11" hidden="1" x14ac:dyDescent="0.3">
      <c r="A647" s="5">
        <v>18790480</v>
      </c>
      <c r="B647" s="6" t="s">
        <v>2569</v>
      </c>
      <c r="C647" s="6" t="s">
        <v>83</v>
      </c>
      <c r="D647" s="8" t="s">
        <v>82</v>
      </c>
      <c r="E647" s="6" t="s">
        <v>2570</v>
      </c>
      <c r="F647" s="6" t="s">
        <v>95</v>
      </c>
      <c r="G647" s="11" t="s">
        <v>56</v>
      </c>
      <c r="H647" s="10" t="s">
        <v>2571</v>
      </c>
      <c r="I647" s="6" t="s">
        <v>2572</v>
      </c>
      <c r="J647" s="12">
        <v>46120.55023148148</v>
      </c>
      <c r="K647" s="6" t="e" cm="1">
        <f t="array" ref="K647">LOOKUP(2^15,SEARCH(Tabela2[Palavras-Chave],Boletim[[#This Row],[Objeto]],1),Tabela2[Palavras-Chave])</f>
        <v>#N/A</v>
      </c>
    </row>
    <row r="648" spans="1:11" hidden="1" x14ac:dyDescent="0.3">
      <c r="A648" s="5">
        <v>18804386</v>
      </c>
      <c r="B648" s="6" t="s">
        <v>74</v>
      </c>
      <c r="C648" s="6" t="s">
        <v>83</v>
      </c>
      <c r="D648" s="8" t="s">
        <v>82</v>
      </c>
      <c r="E648" s="6" t="s">
        <v>2511</v>
      </c>
      <c r="F648" s="6" t="s">
        <v>95</v>
      </c>
      <c r="G648" s="11" t="s">
        <v>56</v>
      </c>
      <c r="H648" s="10" t="s">
        <v>2512</v>
      </c>
      <c r="I648" s="6" t="s">
        <v>2513</v>
      </c>
      <c r="J648" s="12">
        <v>46120.655590277776</v>
      </c>
      <c r="K648" s="6" t="e" cm="1">
        <f t="array" ref="K648">LOOKUP(2^15,SEARCH(Tabela2[Palavras-Chave],Boletim[[#This Row],[Objeto]],1),Tabela2[Palavras-Chave])</f>
        <v>#N/A</v>
      </c>
    </row>
    <row r="649" spans="1:11" hidden="1" x14ac:dyDescent="0.3">
      <c r="A649" s="5">
        <v>18798412</v>
      </c>
      <c r="B649" s="6" t="s">
        <v>2573</v>
      </c>
      <c r="C649" s="6" t="s">
        <v>2574</v>
      </c>
      <c r="D649" s="8" t="s">
        <v>82</v>
      </c>
      <c r="E649" s="6" t="s">
        <v>176</v>
      </c>
      <c r="F649" s="6" t="s">
        <v>95</v>
      </c>
      <c r="G649" s="11" t="s">
        <v>56</v>
      </c>
      <c r="H649" s="10" t="s">
        <v>2575</v>
      </c>
      <c r="I649" s="6" t="s">
        <v>2576</v>
      </c>
      <c r="J649" s="12">
        <v>46120.824953703705</v>
      </c>
      <c r="K649" s="6" t="e" cm="1">
        <f t="array" ref="K649">LOOKUP(2^15,SEARCH(Tabela2[Palavras-Chave],Boletim[[#This Row],[Objeto]],1),Tabela2[Palavras-Chave])</f>
        <v>#N/A</v>
      </c>
    </row>
    <row r="650" spans="1:11" hidden="1" x14ac:dyDescent="0.3">
      <c r="A650" s="5">
        <v>18768043</v>
      </c>
      <c r="B650" s="6" t="s">
        <v>450</v>
      </c>
      <c r="C650" s="6" t="s">
        <v>451</v>
      </c>
      <c r="D650" s="8" t="s">
        <v>82</v>
      </c>
      <c r="E650" s="6" t="s">
        <v>124</v>
      </c>
      <c r="F650" s="6" t="s">
        <v>95</v>
      </c>
      <c r="G650" s="11" t="s">
        <v>56</v>
      </c>
      <c r="H650" s="10" t="s">
        <v>2577</v>
      </c>
      <c r="I650" s="6" t="s">
        <v>2578</v>
      </c>
      <c r="J650" s="12">
        <v>46120.825983796298</v>
      </c>
      <c r="K650" s="6" t="e" cm="1">
        <f t="array" ref="K650">LOOKUP(2^15,SEARCH(Tabela2[Palavras-Chave],Boletim[[#This Row],[Objeto]],1),Tabela2[Palavras-Chave])</f>
        <v>#N/A</v>
      </c>
    </row>
    <row r="651" spans="1:11" hidden="1" x14ac:dyDescent="0.3">
      <c r="A651" s="5">
        <v>18693222</v>
      </c>
      <c r="B651" s="6" t="s">
        <v>382</v>
      </c>
      <c r="C651" s="6" t="s">
        <v>383</v>
      </c>
      <c r="D651" s="8" t="s">
        <v>72</v>
      </c>
      <c r="E651" s="6" t="s">
        <v>126</v>
      </c>
      <c r="F651" s="6" t="s">
        <v>187</v>
      </c>
      <c r="G651" s="11">
        <v>46139.375</v>
      </c>
      <c r="H651" s="10" t="s">
        <v>2579</v>
      </c>
      <c r="I651" s="6" t="s">
        <v>2580</v>
      </c>
      <c r="J651" s="12">
        <v>46120.627812500003</v>
      </c>
      <c r="K651" s="6" t="e" cm="1">
        <f t="array" ref="K651">LOOKUP(2^15,SEARCH(Tabela2[Palavras-Chave],Boletim[[#This Row],[Objeto]],1),Tabela2[Palavras-Chave])</f>
        <v>#N/A</v>
      </c>
    </row>
    <row r="652" spans="1:11" hidden="1" x14ac:dyDescent="0.3">
      <c r="A652" s="5">
        <v>18122137</v>
      </c>
      <c r="B652" s="6" t="s">
        <v>2274</v>
      </c>
      <c r="C652" s="6" t="s">
        <v>2275</v>
      </c>
      <c r="D652" s="8" t="s">
        <v>82</v>
      </c>
      <c r="E652" s="6" t="s">
        <v>2581</v>
      </c>
      <c r="F652" s="6" t="s">
        <v>187</v>
      </c>
      <c r="G652" s="11" t="s">
        <v>56</v>
      </c>
      <c r="H652" s="10" t="s">
        <v>2582</v>
      </c>
      <c r="I652" s="6" t="s">
        <v>2583</v>
      </c>
      <c r="J652" s="12">
        <v>46120.513240740744</v>
      </c>
      <c r="K652" s="6" t="e" cm="1">
        <f t="array" ref="K652">LOOKUP(2^15,SEARCH(Tabela2[Palavras-Chave],Boletim[[#This Row],[Objeto]],1),Tabela2[Palavras-Chave])</f>
        <v>#N/A</v>
      </c>
    </row>
    <row r="653" spans="1:11" hidden="1" x14ac:dyDescent="0.3">
      <c r="A653" s="5">
        <v>18705872</v>
      </c>
      <c r="B653" s="6" t="s">
        <v>2584</v>
      </c>
      <c r="C653" s="6" t="s">
        <v>2585</v>
      </c>
      <c r="D653" s="8" t="s">
        <v>66</v>
      </c>
      <c r="E653" s="6" t="s">
        <v>108</v>
      </c>
      <c r="F653" s="6" t="s">
        <v>96</v>
      </c>
      <c r="G653" s="11">
        <v>46163.354166666664</v>
      </c>
      <c r="H653" s="10" t="s">
        <v>2586</v>
      </c>
      <c r="I653" s="6" t="s">
        <v>2587</v>
      </c>
      <c r="J653" s="12">
        <v>46120.705578703702</v>
      </c>
      <c r="K653" s="6" t="e" cm="1">
        <f t="array" ref="K653">LOOKUP(2^15,SEARCH(Tabela2[Palavras-Chave],Boletim[[#This Row],[Objeto]],1),Tabela2[Palavras-Chave])</f>
        <v>#N/A</v>
      </c>
    </row>
    <row r="654" spans="1:11" hidden="1" x14ac:dyDescent="0.3">
      <c r="A654" s="5">
        <v>18740602</v>
      </c>
      <c r="B654" s="6" t="s">
        <v>2588</v>
      </c>
      <c r="C654" s="6" t="s">
        <v>2589</v>
      </c>
      <c r="D654" s="8" t="s">
        <v>82</v>
      </c>
      <c r="E654" s="6" t="s">
        <v>192</v>
      </c>
      <c r="F654" s="6" t="s">
        <v>168</v>
      </c>
      <c r="G654" s="11" t="s">
        <v>56</v>
      </c>
      <c r="H654" s="10" t="s">
        <v>2590</v>
      </c>
      <c r="I654" s="6" t="s">
        <v>2591</v>
      </c>
      <c r="J654" s="12">
        <v>46120.871053240742</v>
      </c>
      <c r="K654" s="6" t="e" cm="1">
        <f t="array" ref="K654">LOOKUP(2^15,SEARCH(Tabela2[Palavras-Chave],Boletim[[#This Row],[Objeto]],1),Tabela2[Palavras-Chave])</f>
        <v>#N/A</v>
      </c>
    </row>
    <row r="655" spans="1:11" ht="144" x14ac:dyDescent="0.3">
      <c r="A655" s="5">
        <v>18671059</v>
      </c>
      <c r="B655" s="6" t="s">
        <v>2592</v>
      </c>
      <c r="C655" s="6" t="s">
        <v>2593</v>
      </c>
      <c r="D655" s="8" t="s">
        <v>82</v>
      </c>
      <c r="E655" s="6" t="s">
        <v>108</v>
      </c>
      <c r="F655" s="6" t="s">
        <v>2594</v>
      </c>
      <c r="G655" s="11" t="s">
        <v>56</v>
      </c>
      <c r="H655" s="21" t="s">
        <v>2595</v>
      </c>
      <c r="I655" s="6" t="s">
        <v>2596</v>
      </c>
      <c r="J655" s="12">
        <v>46120.801782407405</v>
      </c>
      <c r="K655" s="6" t="str" cm="1">
        <f t="array" ref="K655">LOOKUP(2^15,SEARCH(Tabela2[Palavras-Chave],Boletim[[#This Row],[Objeto]],1),Tabela2[Palavras-Chave])</f>
        <v>ELEVATÓRIA</v>
      </c>
    </row>
    <row r="656" spans="1:11" hidden="1" x14ac:dyDescent="0.3">
      <c r="A656" s="5">
        <v>18747088</v>
      </c>
      <c r="B656" s="6" t="s">
        <v>2597</v>
      </c>
      <c r="C656" s="6" t="s">
        <v>2598</v>
      </c>
      <c r="D656" s="8" t="s">
        <v>54</v>
      </c>
      <c r="E656" s="6" t="s">
        <v>108</v>
      </c>
      <c r="F656" s="6" t="s">
        <v>97</v>
      </c>
      <c r="G656" s="11" t="s">
        <v>56</v>
      </c>
      <c r="H656" s="10" t="s">
        <v>2599</v>
      </c>
      <c r="I656" s="6" t="s">
        <v>2600</v>
      </c>
      <c r="J656" s="12">
        <v>46120.801168981481</v>
      </c>
      <c r="K656" s="6" t="e" cm="1">
        <f t="array" ref="K656">LOOKUP(2^15,SEARCH(Tabela2[Palavras-Chave],Boletim[[#This Row],[Objeto]],1),Tabela2[Palavras-Chave])</f>
        <v>#N/A</v>
      </c>
    </row>
    <row r="657" spans="1:11" hidden="1" x14ac:dyDescent="0.3">
      <c r="A657" s="5">
        <v>18761071</v>
      </c>
      <c r="B657" s="6" t="s">
        <v>2601</v>
      </c>
      <c r="C657" s="6" t="s">
        <v>59</v>
      </c>
      <c r="D657" s="8" t="s">
        <v>60</v>
      </c>
      <c r="E657" s="6" t="s">
        <v>222</v>
      </c>
      <c r="F657" s="6" t="s">
        <v>97</v>
      </c>
      <c r="G657" s="11" t="s">
        <v>56</v>
      </c>
      <c r="H657" s="10" t="s">
        <v>2602</v>
      </c>
      <c r="I657" s="6" t="s">
        <v>2603</v>
      </c>
      <c r="J657" s="12">
        <v>46120.659571759257</v>
      </c>
      <c r="K657" s="6" t="e" cm="1">
        <f t="array" ref="K657">LOOKUP(2^15,SEARCH(Tabela2[Palavras-Chave],Boletim[[#This Row],[Objeto]],1),Tabela2[Palavras-Chave])</f>
        <v>#N/A</v>
      </c>
    </row>
    <row r="658" spans="1:11" hidden="1" x14ac:dyDescent="0.3">
      <c r="A658" s="5">
        <v>18759755</v>
      </c>
      <c r="B658" s="6" t="s">
        <v>2604</v>
      </c>
      <c r="C658" s="6" t="s">
        <v>2605</v>
      </c>
      <c r="D658" s="8" t="s">
        <v>64</v>
      </c>
      <c r="E658" s="6" t="s">
        <v>128</v>
      </c>
      <c r="F658" s="6" t="s">
        <v>97</v>
      </c>
      <c r="G658" s="11" t="s">
        <v>56</v>
      </c>
      <c r="H658" s="10" t="s">
        <v>2606</v>
      </c>
      <c r="I658" s="6" t="s">
        <v>2607</v>
      </c>
      <c r="J658" s="12">
        <v>46120.827199074076</v>
      </c>
      <c r="K658" s="6" t="e" cm="1">
        <f t="array" ref="K658">LOOKUP(2^15,SEARCH(Tabela2[Palavras-Chave],Boletim[[#This Row],[Objeto]],1),Tabela2[Palavras-Chave])</f>
        <v>#N/A</v>
      </c>
    </row>
    <row r="659" spans="1:11" hidden="1" x14ac:dyDescent="0.3">
      <c r="A659" s="5">
        <v>18331036</v>
      </c>
      <c r="B659" s="6" t="s">
        <v>2608</v>
      </c>
      <c r="C659" s="6" t="s">
        <v>123</v>
      </c>
      <c r="D659" s="8" t="s">
        <v>67</v>
      </c>
      <c r="E659" s="6" t="s">
        <v>2609</v>
      </c>
      <c r="F659" s="6" t="s">
        <v>97</v>
      </c>
      <c r="G659" s="11" t="s">
        <v>56</v>
      </c>
      <c r="H659" s="10" t="s">
        <v>2610</v>
      </c>
      <c r="I659" s="6" t="s">
        <v>2611</v>
      </c>
      <c r="J659" s="12">
        <v>46120.534247685187</v>
      </c>
      <c r="K659" s="6" t="e" cm="1">
        <f t="array" ref="K659">LOOKUP(2^15,SEARCH(Tabela2[Palavras-Chave],Boletim[[#This Row],[Objeto]],1),Tabela2[Palavras-Chave])</f>
        <v>#N/A</v>
      </c>
    </row>
    <row r="660" spans="1:11" hidden="1" x14ac:dyDescent="0.3">
      <c r="A660" s="5">
        <v>18757225</v>
      </c>
      <c r="B660" s="6" t="s">
        <v>400</v>
      </c>
      <c r="C660" s="6" t="s">
        <v>401</v>
      </c>
      <c r="D660" s="8" t="s">
        <v>81</v>
      </c>
      <c r="E660" s="6" t="s">
        <v>2175</v>
      </c>
      <c r="F660" s="6" t="s">
        <v>97</v>
      </c>
      <c r="G660" s="11" t="s">
        <v>56</v>
      </c>
      <c r="H660" s="10" t="s">
        <v>2612</v>
      </c>
      <c r="I660" s="6" t="s">
        <v>2613</v>
      </c>
      <c r="J660" s="12">
        <v>46120.736307870371</v>
      </c>
      <c r="K660" s="6" t="e" cm="1">
        <f t="array" ref="K660">LOOKUP(2^15,SEARCH(Tabela2[Palavras-Chave],Boletim[[#This Row],[Objeto]],1),Tabela2[Palavras-Chave])</f>
        <v>#N/A</v>
      </c>
    </row>
    <row r="661" spans="1:11" hidden="1" x14ac:dyDescent="0.3">
      <c r="A661" s="5">
        <v>18561338</v>
      </c>
      <c r="B661" s="6" t="s">
        <v>2614</v>
      </c>
      <c r="C661" s="6" t="s">
        <v>2615</v>
      </c>
      <c r="D661" s="8" t="s">
        <v>54</v>
      </c>
      <c r="E661" s="6" t="s">
        <v>109</v>
      </c>
      <c r="F661" s="6" t="s">
        <v>98</v>
      </c>
      <c r="G661" s="11" t="s">
        <v>56</v>
      </c>
      <c r="H661" s="10" t="s">
        <v>2616</v>
      </c>
      <c r="I661" s="6" t="s">
        <v>2617</v>
      </c>
      <c r="J661" s="12">
        <v>46120.773553240739</v>
      </c>
      <c r="K661" s="6" t="e" cm="1">
        <f t="array" ref="K661">LOOKUP(2^15,SEARCH(Tabela2[Palavras-Chave],Boletim[[#This Row],[Objeto]],1),Tabela2[Palavras-Chave])</f>
        <v>#N/A</v>
      </c>
    </row>
    <row r="662" spans="1:11" hidden="1" x14ac:dyDescent="0.3">
      <c r="A662" s="5">
        <v>18593197</v>
      </c>
      <c r="B662" s="6" t="s">
        <v>2618</v>
      </c>
      <c r="C662" s="6" t="s">
        <v>159</v>
      </c>
      <c r="D662" s="8" t="s">
        <v>89</v>
      </c>
      <c r="E662" s="6" t="s">
        <v>2619</v>
      </c>
      <c r="F662" s="6" t="s">
        <v>98</v>
      </c>
      <c r="G662" s="11" t="s">
        <v>56</v>
      </c>
      <c r="H662" s="10" t="s">
        <v>2620</v>
      </c>
      <c r="I662" s="6" t="s">
        <v>2621</v>
      </c>
      <c r="J662" s="12">
        <v>46120.591053240743</v>
      </c>
      <c r="K662" s="6" t="e" cm="1">
        <f t="array" ref="K662">LOOKUP(2^15,SEARCH(Tabela2[Palavras-Chave],Boletim[[#This Row],[Objeto]],1),Tabela2[Palavras-Chave])</f>
        <v>#N/A</v>
      </c>
    </row>
    <row r="663" spans="1:11" ht="172.8" x14ac:dyDescent="0.3">
      <c r="A663" s="13">
        <v>18778818</v>
      </c>
      <c r="B663" s="10" t="s">
        <v>2622</v>
      </c>
      <c r="C663" s="10" t="s">
        <v>2623</v>
      </c>
      <c r="D663" s="15" t="s">
        <v>66</v>
      </c>
      <c r="E663" s="10" t="s">
        <v>139</v>
      </c>
      <c r="F663" s="10" t="s">
        <v>98</v>
      </c>
      <c r="G663" s="16" t="s">
        <v>56</v>
      </c>
      <c r="H663" s="21" t="s">
        <v>2624</v>
      </c>
      <c r="I663" s="10" t="s">
        <v>2625</v>
      </c>
      <c r="J663" s="17">
        <v>46120.800173611111</v>
      </c>
      <c r="K663" s="6" t="str" cm="1">
        <f t="array" ref="K663">LOOKUP(2^15,SEARCH(Tabela2[Palavras-Chave],Boletim[[#This Row],[Objeto]],1),Tabela2[Palavras-Chave])</f>
        <v>EFICIÊNCIA</v>
      </c>
    </row>
    <row r="664" spans="1:11" hidden="1" x14ac:dyDescent="0.3">
      <c r="A664" s="5">
        <v>18255660</v>
      </c>
      <c r="B664" s="6" t="s">
        <v>2626</v>
      </c>
      <c r="C664" s="6" t="s">
        <v>2627</v>
      </c>
      <c r="D664" s="8" t="s">
        <v>67</v>
      </c>
      <c r="E664" s="6" t="s">
        <v>2628</v>
      </c>
      <c r="F664" s="6" t="s">
        <v>98</v>
      </c>
      <c r="G664" s="11" t="s">
        <v>56</v>
      </c>
      <c r="H664" s="10" t="s">
        <v>2629</v>
      </c>
      <c r="I664" s="6" t="s">
        <v>2630</v>
      </c>
      <c r="J664" s="12">
        <v>46120.767696759256</v>
      </c>
      <c r="K664" s="6" t="e" cm="1">
        <f t="array" ref="K664">LOOKUP(2^15,SEARCH(Tabela2[Palavras-Chave],Boletim[[#This Row],[Objeto]],1),Tabela2[Palavras-Chave])</f>
        <v>#N/A</v>
      </c>
    </row>
    <row r="665" spans="1:11" ht="144" x14ac:dyDescent="0.3">
      <c r="A665" s="5">
        <v>18452867</v>
      </c>
      <c r="B665" s="6" t="s">
        <v>2631</v>
      </c>
      <c r="C665" s="6" t="s">
        <v>2632</v>
      </c>
      <c r="D665" s="8" t="s">
        <v>82</v>
      </c>
      <c r="E665" s="6" t="s">
        <v>2633</v>
      </c>
      <c r="F665" s="6" t="s">
        <v>98</v>
      </c>
      <c r="G665" s="11" t="s">
        <v>56</v>
      </c>
      <c r="H665" s="21" t="s">
        <v>2634</v>
      </c>
      <c r="I665" s="6" t="s">
        <v>2635</v>
      </c>
      <c r="J665" s="12">
        <v>46120.813946759263</v>
      </c>
      <c r="K665" s="6" t="str" cm="1">
        <f t="array" ref="K665">LOOKUP(2^15,SEARCH(Tabela2[Palavras-Chave],Boletim[[#This Row],[Objeto]],1),Tabela2[Palavras-Chave])</f>
        <v>TAÇA</v>
      </c>
    </row>
    <row r="666" spans="1:11" hidden="1" x14ac:dyDescent="0.3">
      <c r="A666" s="13">
        <v>18567935</v>
      </c>
      <c r="B666" s="10" t="s">
        <v>433</v>
      </c>
      <c r="C666" s="10" t="s">
        <v>434</v>
      </c>
      <c r="D666" s="15" t="s">
        <v>66</v>
      </c>
      <c r="E666" s="10" t="s">
        <v>2636</v>
      </c>
      <c r="F666" s="10" t="s">
        <v>295</v>
      </c>
      <c r="G666" s="16" t="s">
        <v>56</v>
      </c>
      <c r="H666" s="10" t="s">
        <v>2637</v>
      </c>
      <c r="I666" s="10" t="s">
        <v>2638</v>
      </c>
      <c r="J666" s="17">
        <v>46120.796701388892</v>
      </c>
      <c r="K666" s="6" t="e" cm="1">
        <f t="array" ref="K666">LOOKUP(2^15,SEARCH(Tabela2[Palavras-Chave],Boletim[[#This Row],[Objeto]],1),Tabela2[Palavras-Chave])</f>
        <v>#N/A</v>
      </c>
    </row>
    <row r="667" spans="1:11" hidden="1" x14ac:dyDescent="0.3">
      <c r="A667" s="5">
        <v>18761193</v>
      </c>
      <c r="B667" s="6" t="s">
        <v>2639</v>
      </c>
      <c r="C667" s="6" t="s">
        <v>2640</v>
      </c>
      <c r="D667" s="8" t="s">
        <v>72</v>
      </c>
      <c r="E667" s="6" t="s">
        <v>2641</v>
      </c>
      <c r="F667" s="6" t="s">
        <v>295</v>
      </c>
      <c r="G667" s="11" t="s">
        <v>56</v>
      </c>
      <c r="H667" s="10" t="s">
        <v>2642</v>
      </c>
      <c r="I667" s="6" t="s">
        <v>2643</v>
      </c>
      <c r="J667" s="12">
        <v>46120.732418981483</v>
      </c>
      <c r="K667" s="6" t="e" cm="1">
        <f t="array" ref="K667">LOOKUP(2^15,SEARCH(Tabela2[Palavras-Chave],Boletim[[#This Row],[Objeto]],1),Tabela2[Palavras-Chave])</f>
        <v>#N/A</v>
      </c>
    </row>
    <row r="668" spans="1:11" hidden="1" x14ac:dyDescent="0.3">
      <c r="A668" s="5">
        <v>18693926</v>
      </c>
      <c r="B668" s="6" t="s">
        <v>2644</v>
      </c>
      <c r="C668" s="6" t="s">
        <v>1595</v>
      </c>
      <c r="D668" s="8" t="s">
        <v>66</v>
      </c>
      <c r="E668" s="6" t="s">
        <v>109</v>
      </c>
      <c r="F668" s="6" t="s">
        <v>296</v>
      </c>
      <c r="G668" s="11">
        <v>46148.541666666664</v>
      </c>
      <c r="H668" s="10" t="s">
        <v>2645</v>
      </c>
      <c r="I668" s="6" t="s">
        <v>2646</v>
      </c>
      <c r="J668" s="12">
        <v>46120.522962962961</v>
      </c>
      <c r="K668" s="6" t="e" cm="1">
        <f t="array" ref="K668">LOOKUP(2^15,SEARCH(Tabela2[Palavras-Chave],Boletim[[#This Row],[Objeto]],1),Tabela2[Palavras-Chave])</f>
        <v>#N/A</v>
      </c>
    </row>
    <row r="669" spans="1:11" hidden="1" x14ac:dyDescent="0.3">
      <c r="A669" s="5">
        <v>18798936</v>
      </c>
      <c r="B669" s="6" t="s">
        <v>2647</v>
      </c>
      <c r="C669" s="6" t="s">
        <v>2648</v>
      </c>
      <c r="D669" s="8" t="s">
        <v>81</v>
      </c>
      <c r="E669" s="6" t="s">
        <v>106</v>
      </c>
      <c r="F669" s="6" t="s">
        <v>296</v>
      </c>
      <c r="G669" s="11">
        <v>46136.333333333336</v>
      </c>
      <c r="H669" s="10" t="s">
        <v>2649</v>
      </c>
      <c r="I669" s="6" t="s">
        <v>2650</v>
      </c>
      <c r="J669" s="12">
        <v>46120.523668981485</v>
      </c>
      <c r="K669" s="6" t="e" cm="1">
        <f t="array" ref="K669">LOOKUP(2^15,SEARCH(Tabela2[Palavras-Chave],Boletim[[#This Row],[Objeto]],1),Tabela2[Palavras-Chave])</f>
        <v>#N/A</v>
      </c>
    </row>
    <row r="670" spans="1:11" hidden="1" x14ac:dyDescent="0.3">
      <c r="A670" s="5">
        <v>18795434</v>
      </c>
      <c r="B670" s="6" t="s">
        <v>185</v>
      </c>
      <c r="C670" s="6" t="s">
        <v>186</v>
      </c>
      <c r="D670" s="8" t="s">
        <v>81</v>
      </c>
      <c r="E670" s="6" t="s">
        <v>149</v>
      </c>
      <c r="F670" s="6" t="s">
        <v>296</v>
      </c>
      <c r="G670" s="11" t="s">
        <v>56</v>
      </c>
      <c r="H670" s="10" t="s">
        <v>2651</v>
      </c>
      <c r="I670" s="6" t="s">
        <v>2652</v>
      </c>
      <c r="J670" s="12">
        <v>46120.523680555554</v>
      </c>
      <c r="K670" s="6" t="e" cm="1">
        <f t="array" ref="K670">LOOKUP(2^15,SEARCH(Tabela2[Palavras-Chave],Boletim[[#This Row],[Objeto]],1),Tabela2[Palavras-Chave])</f>
        <v>#N/A</v>
      </c>
    </row>
    <row r="671" spans="1:11" hidden="1" x14ac:dyDescent="0.3">
      <c r="B671" s="6" t="s">
        <v>36</v>
      </c>
      <c r="C671" s="6" t="s">
        <v>37</v>
      </c>
      <c r="D671" s="8" t="s">
        <v>38</v>
      </c>
      <c r="E671" s="6" t="s">
        <v>39</v>
      </c>
      <c r="F671" s="6" t="s">
        <v>40</v>
      </c>
      <c r="G671" s="11" t="s">
        <v>41</v>
      </c>
      <c r="H671" s="10" t="s">
        <v>42</v>
      </c>
      <c r="I671" s="6" t="s">
        <v>44</v>
      </c>
      <c r="J671" s="12"/>
      <c r="K671" s="6" t="e" cm="1">
        <f t="array" ref="K671">LOOKUP(2^15,SEARCH(Tabela2[Palavras-Chave],Boletim[[#This Row],[Objeto]],1),Tabela2[Palavras-Chave])</f>
        <v>#N/A</v>
      </c>
    </row>
    <row r="672" spans="1:11" hidden="1" x14ac:dyDescent="0.3">
      <c r="A672" s="5">
        <v>18777441</v>
      </c>
      <c r="B672" s="6" t="s">
        <v>305</v>
      </c>
      <c r="C672" s="6" t="s">
        <v>52</v>
      </c>
      <c r="D672" s="8" t="s">
        <v>50</v>
      </c>
      <c r="E672" s="6" t="s">
        <v>465</v>
      </c>
      <c r="F672" s="6" t="s">
        <v>51</v>
      </c>
      <c r="G672" s="11" t="s">
        <v>56</v>
      </c>
      <c r="H672" s="10" t="s">
        <v>466</v>
      </c>
      <c r="I672" s="6" t="s">
        <v>467</v>
      </c>
      <c r="J672" s="12">
        <v>46120.472094907411</v>
      </c>
      <c r="K672" s="6" t="e" cm="1">
        <f t="array" ref="K672">LOOKUP(2^15,SEARCH(Tabela2[Palavras-Chave],Boletim[[#This Row],[Objeto]],1),Tabela2[Palavras-Chave])</f>
        <v>#N/A</v>
      </c>
    </row>
    <row r="673" spans="1:11" hidden="1" x14ac:dyDescent="0.3">
      <c r="A673" s="5">
        <v>18801286</v>
      </c>
      <c r="B673" s="6" t="s">
        <v>468</v>
      </c>
      <c r="C673" s="6" t="s">
        <v>52</v>
      </c>
      <c r="D673" s="8" t="s">
        <v>50</v>
      </c>
      <c r="E673" s="6" t="s">
        <v>347</v>
      </c>
      <c r="F673" s="6" t="s">
        <v>51</v>
      </c>
      <c r="G673" s="11">
        <v>46125.333333333336</v>
      </c>
      <c r="H673" s="10" t="s">
        <v>469</v>
      </c>
      <c r="I673" s="6" t="s">
        <v>470</v>
      </c>
      <c r="J673" s="12">
        <v>46120.523009259261</v>
      </c>
      <c r="K673" s="6" t="e" cm="1">
        <f t="array" ref="K673">LOOKUP(2^15,SEARCH(Tabela2[Palavras-Chave],Boletim[[#This Row],[Objeto]],1),Tabela2[Palavras-Chave])</f>
        <v>#N/A</v>
      </c>
    </row>
    <row r="674" spans="1:11" hidden="1" x14ac:dyDescent="0.3">
      <c r="A674" s="5">
        <v>18752505</v>
      </c>
      <c r="B674" s="6" t="s">
        <v>305</v>
      </c>
      <c r="C674" s="6" t="s">
        <v>52</v>
      </c>
      <c r="D674" s="8" t="s">
        <v>50</v>
      </c>
      <c r="E674" s="6" t="s">
        <v>306</v>
      </c>
      <c r="F674" s="6" t="s">
        <v>51</v>
      </c>
      <c r="G674" s="11" t="s">
        <v>56</v>
      </c>
      <c r="H674" s="10" t="s">
        <v>307</v>
      </c>
      <c r="I674" s="6" t="s">
        <v>429</v>
      </c>
      <c r="J674" s="12">
        <v>46120.693090277775</v>
      </c>
      <c r="K674" s="6" t="e" cm="1">
        <f t="array" ref="K674">LOOKUP(2^15,SEARCH(Tabela2[Palavras-Chave],Boletim[[#This Row],[Objeto]],1),Tabela2[Palavras-Chave])</f>
        <v>#N/A</v>
      </c>
    </row>
    <row r="675" spans="1:11" hidden="1" x14ac:dyDescent="0.3">
      <c r="A675" s="5">
        <v>18804806</v>
      </c>
      <c r="B675" s="6" t="s">
        <v>305</v>
      </c>
      <c r="C675" s="6" t="s">
        <v>52</v>
      </c>
      <c r="D675" s="8" t="s">
        <v>50</v>
      </c>
      <c r="E675" s="6" t="s">
        <v>2653</v>
      </c>
      <c r="F675" s="6" t="s">
        <v>51</v>
      </c>
      <c r="G675" s="11" t="s">
        <v>56</v>
      </c>
      <c r="H675" s="10" t="s">
        <v>2654</v>
      </c>
      <c r="I675" s="6" t="s">
        <v>2655</v>
      </c>
      <c r="J675" s="12">
        <v>46120.71503472222</v>
      </c>
      <c r="K675" s="6" t="e" cm="1">
        <f t="array" ref="K675">LOOKUP(2^15,SEARCH(Tabela2[Palavras-Chave],Boletim[[#This Row],[Objeto]],1),Tabela2[Palavras-Chave])</f>
        <v>#N/A</v>
      </c>
    </row>
    <row r="676" spans="1:11" hidden="1" x14ac:dyDescent="0.3">
      <c r="A676" s="5">
        <v>18770012</v>
      </c>
      <c r="B676" s="6" t="s">
        <v>74</v>
      </c>
      <c r="C676" s="6" t="s">
        <v>53</v>
      </c>
      <c r="D676" s="8" t="s">
        <v>54</v>
      </c>
      <c r="E676" s="6" t="s">
        <v>471</v>
      </c>
      <c r="F676" s="6" t="s">
        <v>51</v>
      </c>
      <c r="G676" s="11" t="s">
        <v>56</v>
      </c>
      <c r="H676" s="10" t="s">
        <v>472</v>
      </c>
      <c r="I676" s="6" t="s">
        <v>473</v>
      </c>
      <c r="J676" s="12">
        <v>46120.468136574076</v>
      </c>
      <c r="K676" s="6" t="e" cm="1">
        <f t="array" ref="K676">LOOKUP(2^15,SEARCH(Tabela2[Palavras-Chave],Boletim[[#This Row],[Objeto]],1),Tabela2[Palavras-Chave])</f>
        <v>#N/A</v>
      </c>
    </row>
    <row r="677" spans="1:11" hidden="1" x14ac:dyDescent="0.3">
      <c r="A677" s="5">
        <v>18699682</v>
      </c>
      <c r="B677" s="6" t="s">
        <v>474</v>
      </c>
      <c r="C677" s="6" t="s">
        <v>475</v>
      </c>
      <c r="D677" s="8" t="s">
        <v>54</v>
      </c>
      <c r="E677" s="6" t="s">
        <v>55</v>
      </c>
      <c r="F677" s="6" t="s">
        <v>51</v>
      </c>
      <c r="G677" s="11" t="s">
        <v>56</v>
      </c>
      <c r="H677" s="10" t="s">
        <v>476</v>
      </c>
      <c r="I677" s="6" t="s">
        <v>138</v>
      </c>
      <c r="J677" s="12">
        <v>46120.502847222226</v>
      </c>
      <c r="K677" s="6" t="e" cm="1">
        <f t="array" ref="K677">LOOKUP(2^15,SEARCH(Tabela2[Palavras-Chave],Boletim[[#This Row],[Objeto]],1),Tabela2[Palavras-Chave])</f>
        <v>#N/A</v>
      </c>
    </row>
    <row r="678" spans="1:11" hidden="1" x14ac:dyDescent="0.3">
      <c r="A678" s="5">
        <v>18802205</v>
      </c>
      <c r="B678" s="6" t="s">
        <v>226</v>
      </c>
      <c r="C678" s="6" t="s">
        <v>53</v>
      </c>
      <c r="D678" s="8" t="s">
        <v>54</v>
      </c>
      <c r="E678" s="6" t="s">
        <v>55</v>
      </c>
      <c r="F678" s="6" t="s">
        <v>51</v>
      </c>
      <c r="G678" s="11" t="s">
        <v>56</v>
      </c>
      <c r="H678" s="10" t="s">
        <v>477</v>
      </c>
      <c r="I678" s="6" t="s">
        <v>478</v>
      </c>
      <c r="J678" s="12">
        <v>46120.520532407405</v>
      </c>
      <c r="K678" s="6" t="e" cm="1">
        <f t="array" ref="K678">LOOKUP(2^15,SEARCH(Tabela2[Palavras-Chave],Boletim[[#This Row],[Objeto]],1),Tabela2[Palavras-Chave])</f>
        <v>#N/A</v>
      </c>
    </row>
    <row r="679" spans="1:11" hidden="1" x14ac:dyDescent="0.3">
      <c r="A679" s="5">
        <v>18802216</v>
      </c>
      <c r="B679" s="6" t="s">
        <v>226</v>
      </c>
      <c r="C679" s="6" t="s">
        <v>53</v>
      </c>
      <c r="D679" s="8" t="s">
        <v>54</v>
      </c>
      <c r="E679" s="6" t="s">
        <v>55</v>
      </c>
      <c r="F679" s="6" t="s">
        <v>51</v>
      </c>
      <c r="G679" s="11" t="s">
        <v>56</v>
      </c>
      <c r="H679" s="10" t="s">
        <v>479</v>
      </c>
      <c r="I679" s="6" t="s">
        <v>480</v>
      </c>
      <c r="J679" s="12">
        <v>46120.532604166663</v>
      </c>
      <c r="K679" s="6" t="e" cm="1">
        <f t="array" ref="K679">LOOKUP(2^15,SEARCH(Tabela2[Palavras-Chave],Boletim[[#This Row],[Objeto]],1),Tabela2[Palavras-Chave])</f>
        <v>#N/A</v>
      </c>
    </row>
    <row r="680" spans="1:11" hidden="1" x14ac:dyDescent="0.3">
      <c r="A680" s="5">
        <v>18802589</v>
      </c>
      <c r="B680" s="6" t="s">
        <v>481</v>
      </c>
      <c r="C680" s="6" t="s">
        <v>53</v>
      </c>
      <c r="D680" s="8" t="s">
        <v>54</v>
      </c>
      <c r="E680" s="6" t="s">
        <v>352</v>
      </c>
      <c r="F680" s="6" t="s">
        <v>51</v>
      </c>
      <c r="G680" s="11" t="s">
        <v>56</v>
      </c>
      <c r="H680" s="10" t="s">
        <v>482</v>
      </c>
      <c r="I680" s="6" t="s">
        <v>483</v>
      </c>
      <c r="J680" s="12">
        <v>46120.534618055557</v>
      </c>
      <c r="K680" s="6" t="e" cm="1">
        <f t="array" ref="K680">LOOKUP(2^15,SEARCH(Tabela2[Palavras-Chave],Boletim[[#This Row],[Objeto]],1),Tabela2[Palavras-Chave])</f>
        <v>#N/A</v>
      </c>
    </row>
    <row r="681" spans="1:11" hidden="1" x14ac:dyDescent="0.3">
      <c r="A681" s="5">
        <v>18803378</v>
      </c>
      <c r="B681" s="6" t="s">
        <v>2656</v>
      </c>
      <c r="C681" s="6" t="s">
        <v>2657</v>
      </c>
      <c r="D681" s="8" t="s">
        <v>54</v>
      </c>
      <c r="E681" s="6" t="s">
        <v>198</v>
      </c>
      <c r="F681" s="6" t="s">
        <v>51</v>
      </c>
      <c r="G681" s="11" t="s">
        <v>56</v>
      </c>
      <c r="H681" s="10" t="s">
        <v>2658</v>
      </c>
      <c r="I681" s="6" t="s">
        <v>2659</v>
      </c>
      <c r="J681" s="12">
        <v>46120.557476851849</v>
      </c>
      <c r="K681" s="6" t="e" cm="1">
        <f t="array" ref="K681">LOOKUP(2^15,SEARCH(Tabela2[Palavras-Chave],Boletim[[#This Row],[Objeto]],1),Tabela2[Palavras-Chave])</f>
        <v>#N/A</v>
      </c>
    </row>
    <row r="682" spans="1:11" hidden="1" x14ac:dyDescent="0.3">
      <c r="A682" s="5">
        <v>18789570</v>
      </c>
      <c r="B682" s="6" t="s">
        <v>484</v>
      </c>
      <c r="C682" s="6" t="s">
        <v>243</v>
      </c>
      <c r="D682" s="8" t="s">
        <v>54</v>
      </c>
      <c r="E682" s="6" t="s">
        <v>55</v>
      </c>
      <c r="F682" s="6" t="s">
        <v>51</v>
      </c>
      <c r="G682" s="11" t="s">
        <v>56</v>
      </c>
      <c r="H682" s="10" t="s">
        <v>485</v>
      </c>
      <c r="I682" s="6" t="s">
        <v>138</v>
      </c>
      <c r="J682" s="12">
        <v>46120.578518518516</v>
      </c>
      <c r="K682" s="6" t="e" cm="1">
        <f t="array" ref="K682">LOOKUP(2^15,SEARCH(Tabela2[Palavras-Chave],Boletim[[#This Row],[Objeto]],1),Tabela2[Palavras-Chave])</f>
        <v>#N/A</v>
      </c>
    </row>
    <row r="683" spans="1:11" hidden="1" x14ac:dyDescent="0.3">
      <c r="A683" s="5">
        <v>18769576</v>
      </c>
      <c r="B683" s="6" t="s">
        <v>474</v>
      </c>
      <c r="C683" s="6" t="s">
        <v>475</v>
      </c>
      <c r="D683" s="8" t="s">
        <v>54</v>
      </c>
      <c r="E683" s="6" t="s">
        <v>55</v>
      </c>
      <c r="F683" s="6" t="s">
        <v>51</v>
      </c>
      <c r="G683" s="11" t="s">
        <v>56</v>
      </c>
      <c r="H683" s="10" t="s">
        <v>486</v>
      </c>
      <c r="I683" s="6" t="s">
        <v>179</v>
      </c>
      <c r="J683" s="12">
        <v>46120.580509259256</v>
      </c>
      <c r="K683" s="6" t="e" cm="1">
        <f t="array" ref="K683">LOOKUP(2^15,SEARCH(Tabela2[Palavras-Chave],Boletim[[#This Row],[Objeto]],1),Tabela2[Palavras-Chave])</f>
        <v>#N/A</v>
      </c>
    </row>
    <row r="684" spans="1:11" hidden="1" x14ac:dyDescent="0.3">
      <c r="A684" s="5">
        <v>18803765</v>
      </c>
      <c r="B684" s="6" t="s">
        <v>58</v>
      </c>
      <c r="C684" s="6" t="s">
        <v>53</v>
      </c>
      <c r="D684" s="8" t="s">
        <v>54</v>
      </c>
      <c r="E684" s="6" t="s">
        <v>487</v>
      </c>
      <c r="F684" s="6" t="s">
        <v>51</v>
      </c>
      <c r="G684" s="11" t="s">
        <v>56</v>
      </c>
      <c r="H684" s="10" t="s">
        <v>488</v>
      </c>
      <c r="I684" s="6" t="s">
        <v>489</v>
      </c>
      <c r="J684" s="12">
        <v>46120.588240740741</v>
      </c>
      <c r="K684" s="6" t="e" cm="1">
        <f t="array" ref="K684">LOOKUP(2^15,SEARCH(Tabela2[Palavras-Chave],Boletim[[#This Row],[Objeto]],1),Tabela2[Palavras-Chave])</f>
        <v>#N/A</v>
      </c>
    </row>
    <row r="685" spans="1:11" hidden="1" x14ac:dyDescent="0.3">
      <c r="A685" s="13">
        <v>18803780</v>
      </c>
      <c r="B685" s="10" t="s">
        <v>431</v>
      </c>
      <c r="C685" s="10" t="s">
        <v>53</v>
      </c>
      <c r="D685" s="15" t="s">
        <v>54</v>
      </c>
      <c r="E685" s="10" t="s">
        <v>490</v>
      </c>
      <c r="F685" s="10" t="s">
        <v>51</v>
      </c>
      <c r="G685" s="16" t="s">
        <v>56</v>
      </c>
      <c r="H685" s="10" t="s">
        <v>491</v>
      </c>
      <c r="I685" s="10" t="s">
        <v>492</v>
      </c>
      <c r="J685" s="17">
        <v>46120.595381944448</v>
      </c>
      <c r="K685" s="6" t="e" cm="1">
        <f t="array" ref="K685">LOOKUP(2^15,SEARCH(Tabela2[Palavras-Chave],Boletim[[#This Row],[Objeto]],1),Tabela2[Palavras-Chave])</f>
        <v>#N/A</v>
      </c>
    </row>
    <row r="686" spans="1:11" hidden="1" x14ac:dyDescent="0.3">
      <c r="A686" s="5">
        <v>18803774</v>
      </c>
      <c r="B686" s="6" t="s">
        <v>150</v>
      </c>
      <c r="C686" s="6" t="s">
        <v>57</v>
      </c>
      <c r="D686" s="8" t="s">
        <v>54</v>
      </c>
      <c r="E686" s="6" t="s">
        <v>493</v>
      </c>
      <c r="F686" s="6" t="s">
        <v>51</v>
      </c>
      <c r="G686" s="11" t="s">
        <v>56</v>
      </c>
      <c r="H686" s="10" t="s">
        <v>494</v>
      </c>
      <c r="I686" s="6" t="s">
        <v>495</v>
      </c>
      <c r="J686" s="12">
        <v>46120.599560185183</v>
      </c>
      <c r="K686" s="6" t="e" cm="1">
        <f t="array" ref="K686">LOOKUP(2^15,SEARCH(Tabela2[Palavras-Chave],Boletim[[#This Row],[Objeto]],1),Tabela2[Palavras-Chave])</f>
        <v>#N/A</v>
      </c>
    </row>
    <row r="687" spans="1:11" hidden="1" x14ac:dyDescent="0.3">
      <c r="A687" s="5">
        <v>18656484</v>
      </c>
      <c r="B687" s="6" t="s">
        <v>150</v>
      </c>
      <c r="C687" s="6" t="s">
        <v>57</v>
      </c>
      <c r="D687" s="8" t="s">
        <v>54</v>
      </c>
      <c r="E687" s="6" t="s">
        <v>496</v>
      </c>
      <c r="F687" s="6" t="s">
        <v>51</v>
      </c>
      <c r="G687" s="11" t="s">
        <v>56</v>
      </c>
      <c r="H687" s="10" t="s">
        <v>497</v>
      </c>
      <c r="I687" s="6" t="s">
        <v>498</v>
      </c>
      <c r="J687" s="12">
        <v>46120.636157407411</v>
      </c>
      <c r="K687" s="6" t="e" cm="1">
        <f t="array" ref="K687">LOOKUP(2^15,SEARCH(Tabela2[Palavras-Chave],Boletim[[#This Row],[Objeto]],1),Tabela2[Palavras-Chave])</f>
        <v>#N/A</v>
      </c>
    </row>
    <row r="688" spans="1:11" hidden="1" x14ac:dyDescent="0.3">
      <c r="A688" s="5">
        <v>18712650</v>
      </c>
      <c r="B688" s="6" t="s">
        <v>150</v>
      </c>
      <c r="C688" s="6" t="s">
        <v>57</v>
      </c>
      <c r="D688" s="8" t="s">
        <v>54</v>
      </c>
      <c r="E688" s="6" t="s">
        <v>499</v>
      </c>
      <c r="F688" s="6" t="s">
        <v>51</v>
      </c>
      <c r="G688" s="11" t="s">
        <v>56</v>
      </c>
      <c r="H688" s="10" t="s">
        <v>500</v>
      </c>
      <c r="I688" s="6" t="s">
        <v>501</v>
      </c>
      <c r="J688" s="12">
        <v>46120.637557870374</v>
      </c>
      <c r="K688" s="6" t="e" cm="1">
        <f t="array" ref="K688">LOOKUP(2^15,SEARCH(Tabela2[Palavras-Chave],Boletim[[#This Row],[Objeto]],1),Tabela2[Palavras-Chave])</f>
        <v>#N/A</v>
      </c>
    </row>
    <row r="689" spans="1:11" hidden="1" x14ac:dyDescent="0.3">
      <c r="A689" s="5">
        <v>18761660</v>
      </c>
      <c r="B689" s="6" t="s">
        <v>150</v>
      </c>
      <c r="C689" s="6" t="s">
        <v>57</v>
      </c>
      <c r="D689" s="8" t="s">
        <v>54</v>
      </c>
      <c r="E689" s="6" t="s">
        <v>502</v>
      </c>
      <c r="F689" s="6" t="s">
        <v>51</v>
      </c>
      <c r="G689" s="11" t="s">
        <v>56</v>
      </c>
      <c r="H689" s="10" t="s">
        <v>312</v>
      </c>
      <c r="I689" s="6" t="s">
        <v>503</v>
      </c>
      <c r="J689" s="12">
        <v>46120.641724537039</v>
      </c>
      <c r="K689" s="6" t="e" cm="1">
        <f t="array" ref="K689">LOOKUP(2^15,SEARCH(Tabela2[Palavras-Chave],Boletim[[#This Row],[Objeto]],1),Tabela2[Palavras-Chave])</f>
        <v>#N/A</v>
      </c>
    </row>
    <row r="690" spans="1:11" hidden="1" x14ac:dyDescent="0.3">
      <c r="A690" s="5">
        <v>18767304</v>
      </c>
      <c r="B690" s="6" t="s">
        <v>150</v>
      </c>
      <c r="C690" s="6" t="s">
        <v>57</v>
      </c>
      <c r="D690" s="8" t="s">
        <v>54</v>
      </c>
      <c r="E690" s="6" t="s">
        <v>504</v>
      </c>
      <c r="F690" s="6" t="s">
        <v>51</v>
      </c>
      <c r="G690" s="11" t="s">
        <v>56</v>
      </c>
      <c r="H690" s="10" t="s">
        <v>505</v>
      </c>
      <c r="I690" s="6" t="s">
        <v>506</v>
      </c>
      <c r="J690" s="12">
        <v>46120.643113425926</v>
      </c>
      <c r="K690" s="6" t="e" cm="1">
        <f t="array" ref="K690">LOOKUP(2^15,SEARCH(Tabela2[Palavras-Chave],Boletim[[#This Row],[Objeto]],1),Tabela2[Palavras-Chave])</f>
        <v>#N/A</v>
      </c>
    </row>
    <row r="691" spans="1:11" hidden="1" x14ac:dyDescent="0.3">
      <c r="A691" s="13">
        <v>18776696</v>
      </c>
      <c r="B691" s="10" t="s">
        <v>150</v>
      </c>
      <c r="C691" s="10" t="s">
        <v>57</v>
      </c>
      <c r="D691" s="15" t="s">
        <v>54</v>
      </c>
      <c r="E691" s="10" t="s">
        <v>507</v>
      </c>
      <c r="F691" s="10" t="s">
        <v>51</v>
      </c>
      <c r="G691" s="16" t="s">
        <v>56</v>
      </c>
      <c r="H691" s="10" t="s">
        <v>508</v>
      </c>
      <c r="I691" s="10" t="s">
        <v>509</v>
      </c>
      <c r="J691" s="17">
        <v>46120.643125000002</v>
      </c>
      <c r="K691" s="6" t="e" cm="1">
        <f t="array" ref="K691">LOOKUP(2^15,SEARCH(Tabela2[Palavras-Chave],Boletim[[#This Row],[Objeto]],1),Tabela2[Palavras-Chave])</f>
        <v>#N/A</v>
      </c>
    </row>
    <row r="692" spans="1:11" hidden="1" x14ac:dyDescent="0.3">
      <c r="A692" s="5">
        <v>18712649</v>
      </c>
      <c r="B692" s="6" t="s">
        <v>150</v>
      </c>
      <c r="C692" s="6" t="s">
        <v>57</v>
      </c>
      <c r="D692" s="8" t="s">
        <v>54</v>
      </c>
      <c r="E692" s="6" t="s">
        <v>510</v>
      </c>
      <c r="F692" s="6" t="s">
        <v>51</v>
      </c>
      <c r="G692" s="11" t="s">
        <v>56</v>
      </c>
      <c r="H692" s="10" t="s">
        <v>511</v>
      </c>
      <c r="I692" s="6" t="s">
        <v>512</v>
      </c>
      <c r="J692" s="12">
        <v>46120.647951388892</v>
      </c>
      <c r="K692" s="6" t="e" cm="1">
        <f t="array" ref="K692">LOOKUP(2^15,SEARCH(Tabela2[Palavras-Chave],Boletim[[#This Row],[Objeto]],1),Tabela2[Palavras-Chave])</f>
        <v>#N/A</v>
      </c>
    </row>
    <row r="693" spans="1:11" hidden="1" x14ac:dyDescent="0.3">
      <c r="A693" s="5">
        <v>18767307</v>
      </c>
      <c r="B693" s="6" t="s">
        <v>150</v>
      </c>
      <c r="C693" s="6" t="s">
        <v>57</v>
      </c>
      <c r="D693" s="8" t="s">
        <v>54</v>
      </c>
      <c r="E693" s="6" t="s">
        <v>513</v>
      </c>
      <c r="F693" s="6" t="s">
        <v>51</v>
      </c>
      <c r="G693" s="11" t="s">
        <v>56</v>
      </c>
      <c r="H693" s="10" t="s">
        <v>514</v>
      </c>
      <c r="I693" s="6" t="s">
        <v>515</v>
      </c>
      <c r="J693" s="12">
        <v>46120.648634259262</v>
      </c>
      <c r="K693" s="6" t="e" cm="1">
        <f t="array" ref="K693">LOOKUP(2^15,SEARCH(Tabela2[Palavras-Chave],Boletim[[#This Row],[Objeto]],1),Tabela2[Palavras-Chave])</f>
        <v>#N/A</v>
      </c>
    </row>
    <row r="694" spans="1:11" hidden="1" x14ac:dyDescent="0.3">
      <c r="A694" s="5">
        <v>18767303</v>
      </c>
      <c r="B694" s="6" t="s">
        <v>150</v>
      </c>
      <c r="C694" s="6" t="s">
        <v>57</v>
      </c>
      <c r="D694" s="8" t="s">
        <v>54</v>
      </c>
      <c r="E694" s="6" t="s">
        <v>516</v>
      </c>
      <c r="F694" s="6" t="s">
        <v>51</v>
      </c>
      <c r="G694" s="11" t="s">
        <v>56</v>
      </c>
      <c r="H694" s="10" t="s">
        <v>517</v>
      </c>
      <c r="I694" s="6" t="s">
        <v>518</v>
      </c>
      <c r="J694" s="12">
        <v>46120.650069444448</v>
      </c>
      <c r="K694" s="6" t="e" cm="1">
        <f t="array" ref="K694">LOOKUP(2^15,SEARCH(Tabela2[Palavras-Chave],Boletim[[#This Row],[Objeto]],1),Tabela2[Palavras-Chave])</f>
        <v>#N/A</v>
      </c>
    </row>
    <row r="695" spans="1:11" hidden="1" x14ac:dyDescent="0.3">
      <c r="A695" s="5">
        <v>18782354</v>
      </c>
      <c r="B695" s="6" t="s">
        <v>58</v>
      </c>
      <c r="C695" s="6" t="s">
        <v>53</v>
      </c>
      <c r="D695" s="8" t="s">
        <v>54</v>
      </c>
      <c r="E695" s="6" t="s">
        <v>519</v>
      </c>
      <c r="F695" s="6" t="s">
        <v>51</v>
      </c>
      <c r="G695" s="11" t="s">
        <v>56</v>
      </c>
      <c r="H695" s="10" t="s">
        <v>520</v>
      </c>
      <c r="I695" s="6" t="s">
        <v>521</v>
      </c>
      <c r="J695" s="12">
        <v>46120.651423611111</v>
      </c>
      <c r="K695" s="6" t="e" cm="1">
        <f t="array" ref="K695">LOOKUP(2^15,SEARCH(Tabela2[Palavras-Chave],Boletim[[#This Row],[Objeto]],1),Tabela2[Palavras-Chave])</f>
        <v>#N/A</v>
      </c>
    </row>
    <row r="696" spans="1:11" hidden="1" x14ac:dyDescent="0.3">
      <c r="A696" s="5">
        <v>18803787</v>
      </c>
      <c r="B696" s="6" t="s">
        <v>150</v>
      </c>
      <c r="C696" s="6" t="s">
        <v>57</v>
      </c>
      <c r="D696" s="8" t="s">
        <v>54</v>
      </c>
      <c r="E696" s="6" t="s">
        <v>2660</v>
      </c>
      <c r="F696" s="6" t="s">
        <v>51</v>
      </c>
      <c r="G696" s="11" t="s">
        <v>56</v>
      </c>
      <c r="H696" s="10" t="s">
        <v>2661</v>
      </c>
      <c r="I696" s="6" t="s">
        <v>2662</v>
      </c>
      <c r="J696" s="12">
        <v>46120.651828703703</v>
      </c>
      <c r="K696" s="6" t="e" cm="1">
        <f t="array" ref="K696">LOOKUP(2^15,SEARCH(Tabela2[Palavras-Chave],Boletim[[#This Row],[Objeto]],1),Tabela2[Palavras-Chave])</f>
        <v>#N/A</v>
      </c>
    </row>
    <row r="697" spans="1:11" hidden="1" x14ac:dyDescent="0.3">
      <c r="A697" s="5">
        <v>18762141</v>
      </c>
      <c r="B697" s="6" t="s">
        <v>522</v>
      </c>
      <c r="C697" s="6" t="s">
        <v>523</v>
      </c>
      <c r="D697" s="8" t="s">
        <v>54</v>
      </c>
      <c r="E697" s="6" t="s">
        <v>126</v>
      </c>
      <c r="F697" s="6" t="s">
        <v>51</v>
      </c>
      <c r="G697" s="11" t="s">
        <v>56</v>
      </c>
      <c r="H697" s="10" t="s">
        <v>524</v>
      </c>
      <c r="I697" s="6" t="s">
        <v>525</v>
      </c>
      <c r="J697" s="12">
        <v>46120.654803240737</v>
      </c>
      <c r="K697" s="6" t="e" cm="1">
        <f t="array" ref="K697">LOOKUP(2^15,SEARCH(Tabela2[Palavras-Chave],Boletim[[#This Row],[Objeto]],1),Tabela2[Palavras-Chave])</f>
        <v>#N/A</v>
      </c>
    </row>
    <row r="698" spans="1:11" hidden="1" x14ac:dyDescent="0.3">
      <c r="A698" s="5">
        <v>18779282</v>
      </c>
      <c r="B698" s="6" t="s">
        <v>150</v>
      </c>
      <c r="C698" s="6" t="s">
        <v>57</v>
      </c>
      <c r="D698" s="8" t="s">
        <v>54</v>
      </c>
      <c r="E698" s="6" t="s">
        <v>526</v>
      </c>
      <c r="F698" s="6" t="s">
        <v>51</v>
      </c>
      <c r="G698" s="11" t="s">
        <v>56</v>
      </c>
      <c r="H698" s="10" t="s">
        <v>527</v>
      </c>
      <c r="I698" s="6" t="s">
        <v>528</v>
      </c>
      <c r="J698" s="12">
        <v>46120.655081018522</v>
      </c>
      <c r="K698" s="6" t="e" cm="1">
        <f t="array" ref="K698">LOOKUP(2^15,SEARCH(Tabela2[Palavras-Chave],Boletim[[#This Row],[Objeto]],1),Tabela2[Palavras-Chave])</f>
        <v>#N/A</v>
      </c>
    </row>
    <row r="699" spans="1:11" hidden="1" x14ac:dyDescent="0.3">
      <c r="A699" s="5">
        <v>18803763</v>
      </c>
      <c r="B699" s="6" t="s">
        <v>150</v>
      </c>
      <c r="C699" s="6" t="s">
        <v>57</v>
      </c>
      <c r="D699" s="8" t="s">
        <v>54</v>
      </c>
      <c r="E699" s="6" t="s">
        <v>529</v>
      </c>
      <c r="F699" s="6" t="s">
        <v>51</v>
      </c>
      <c r="G699" s="11" t="s">
        <v>56</v>
      </c>
      <c r="H699" s="10" t="s">
        <v>310</v>
      </c>
      <c r="I699" s="6" t="s">
        <v>530</v>
      </c>
      <c r="J699" s="12">
        <v>46120.659490740742</v>
      </c>
      <c r="K699" s="6" t="e" cm="1">
        <f t="array" ref="K699">LOOKUP(2^15,SEARCH(Tabela2[Palavras-Chave],Boletim[[#This Row],[Objeto]],1),Tabela2[Palavras-Chave])</f>
        <v>#N/A</v>
      </c>
    </row>
    <row r="700" spans="1:11" hidden="1" x14ac:dyDescent="0.3">
      <c r="A700" s="5">
        <v>18803768</v>
      </c>
      <c r="B700" s="6" t="s">
        <v>153</v>
      </c>
      <c r="C700" s="6" t="s">
        <v>53</v>
      </c>
      <c r="D700" s="8" t="s">
        <v>54</v>
      </c>
      <c r="E700" s="6" t="s">
        <v>531</v>
      </c>
      <c r="F700" s="6" t="s">
        <v>51</v>
      </c>
      <c r="G700" s="11" t="s">
        <v>56</v>
      </c>
      <c r="H700" s="10" t="s">
        <v>532</v>
      </c>
      <c r="I700" s="6" t="s">
        <v>533</v>
      </c>
      <c r="J700" s="12">
        <v>46120.661516203705</v>
      </c>
      <c r="K700" s="6" t="e" cm="1">
        <f t="array" ref="K700">LOOKUP(2^15,SEARCH(Tabela2[Palavras-Chave],Boletim[[#This Row],[Objeto]],1),Tabela2[Palavras-Chave])</f>
        <v>#N/A</v>
      </c>
    </row>
    <row r="701" spans="1:11" hidden="1" x14ac:dyDescent="0.3">
      <c r="A701" s="5">
        <v>18735264</v>
      </c>
      <c r="B701" s="6" t="s">
        <v>150</v>
      </c>
      <c r="C701" s="6" t="s">
        <v>57</v>
      </c>
      <c r="D701" s="8" t="s">
        <v>54</v>
      </c>
      <c r="E701" s="6" t="s">
        <v>2663</v>
      </c>
      <c r="F701" s="6" t="s">
        <v>51</v>
      </c>
      <c r="G701" s="11" t="s">
        <v>56</v>
      </c>
      <c r="H701" s="10" t="s">
        <v>2664</v>
      </c>
      <c r="I701" s="6" t="s">
        <v>2665</v>
      </c>
      <c r="J701" s="12">
        <v>46120.664618055554</v>
      </c>
      <c r="K701" s="6" t="e" cm="1">
        <f t="array" ref="K701">LOOKUP(2^15,SEARCH(Tabela2[Palavras-Chave],Boletim[[#This Row],[Objeto]],1),Tabela2[Palavras-Chave])</f>
        <v>#N/A</v>
      </c>
    </row>
    <row r="702" spans="1:11" hidden="1" x14ac:dyDescent="0.3">
      <c r="A702" s="5">
        <v>18776645</v>
      </c>
      <c r="B702" s="6" t="s">
        <v>58</v>
      </c>
      <c r="C702" s="6" t="s">
        <v>53</v>
      </c>
      <c r="D702" s="8" t="s">
        <v>54</v>
      </c>
      <c r="E702" s="6" t="s">
        <v>2666</v>
      </c>
      <c r="F702" s="6" t="s">
        <v>51</v>
      </c>
      <c r="G702" s="11" t="s">
        <v>56</v>
      </c>
      <c r="H702" s="10" t="s">
        <v>2667</v>
      </c>
      <c r="I702" s="6" t="s">
        <v>2668</v>
      </c>
      <c r="J702" s="12">
        <v>46120.664618055554</v>
      </c>
      <c r="K702" s="6" t="e" cm="1">
        <f t="array" ref="K702">LOOKUP(2^15,SEARCH(Tabela2[Palavras-Chave],Boletim[[#This Row],[Objeto]],1),Tabela2[Palavras-Chave])</f>
        <v>#N/A</v>
      </c>
    </row>
    <row r="703" spans="1:11" hidden="1" x14ac:dyDescent="0.3">
      <c r="A703" s="5">
        <v>18722784</v>
      </c>
      <c r="B703" s="6" t="s">
        <v>431</v>
      </c>
      <c r="C703" s="6" t="s">
        <v>53</v>
      </c>
      <c r="D703" s="8" t="s">
        <v>54</v>
      </c>
      <c r="E703" s="6" t="s">
        <v>2669</v>
      </c>
      <c r="F703" s="6" t="s">
        <v>51</v>
      </c>
      <c r="G703" s="11" t="s">
        <v>56</v>
      </c>
      <c r="H703" s="10" t="s">
        <v>432</v>
      </c>
      <c r="I703" s="6" t="s">
        <v>2670</v>
      </c>
      <c r="J703" s="12">
        <v>46120.665312500001</v>
      </c>
      <c r="K703" s="6" t="e" cm="1">
        <f t="array" ref="K703">LOOKUP(2^15,SEARCH(Tabela2[Palavras-Chave],Boletim[[#This Row],[Objeto]],1),Tabela2[Palavras-Chave])</f>
        <v>#N/A</v>
      </c>
    </row>
    <row r="704" spans="1:11" hidden="1" x14ac:dyDescent="0.3">
      <c r="A704" s="5">
        <v>18745100</v>
      </c>
      <c r="B704" s="6" t="s">
        <v>484</v>
      </c>
      <c r="C704" s="6" t="s">
        <v>243</v>
      </c>
      <c r="D704" s="8" t="s">
        <v>54</v>
      </c>
      <c r="E704" s="6" t="s">
        <v>55</v>
      </c>
      <c r="F704" s="6" t="s">
        <v>51</v>
      </c>
      <c r="G704" s="11" t="s">
        <v>56</v>
      </c>
      <c r="H704" s="10" t="s">
        <v>534</v>
      </c>
      <c r="I704" s="6" t="s">
        <v>138</v>
      </c>
      <c r="J704" s="12">
        <v>46120.672951388886</v>
      </c>
      <c r="K704" s="6" t="e" cm="1">
        <f t="array" ref="K704">LOOKUP(2^15,SEARCH(Tabela2[Palavras-Chave],Boletim[[#This Row],[Objeto]],1),Tabela2[Palavras-Chave])</f>
        <v>#N/A</v>
      </c>
    </row>
    <row r="705" spans="1:11" hidden="1" x14ac:dyDescent="0.3">
      <c r="A705" s="5">
        <v>18791739</v>
      </c>
      <c r="B705" s="6" t="s">
        <v>293</v>
      </c>
      <c r="C705" s="6" t="s">
        <v>53</v>
      </c>
      <c r="D705" s="8" t="s">
        <v>54</v>
      </c>
      <c r="E705" s="6" t="s">
        <v>2671</v>
      </c>
      <c r="F705" s="6" t="s">
        <v>51</v>
      </c>
      <c r="G705" s="11" t="s">
        <v>56</v>
      </c>
      <c r="H705" s="10" t="s">
        <v>2672</v>
      </c>
      <c r="I705" s="6" t="s">
        <v>2673</v>
      </c>
      <c r="J705" s="12">
        <v>46120.674328703702</v>
      </c>
      <c r="K705" s="6" t="e" cm="1">
        <f t="array" ref="K705">LOOKUP(2^15,SEARCH(Tabela2[Palavras-Chave],Boletim[[#This Row],[Objeto]],1),Tabela2[Palavras-Chave])</f>
        <v>#N/A</v>
      </c>
    </row>
    <row r="706" spans="1:11" hidden="1" x14ac:dyDescent="0.3">
      <c r="A706" s="5">
        <v>18568049</v>
      </c>
      <c r="B706" s="6" t="s">
        <v>58</v>
      </c>
      <c r="C706" s="6" t="s">
        <v>53</v>
      </c>
      <c r="D706" s="8" t="s">
        <v>54</v>
      </c>
      <c r="E706" s="6" t="s">
        <v>2674</v>
      </c>
      <c r="F706" s="6" t="s">
        <v>51</v>
      </c>
      <c r="G706" s="11" t="s">
        <v>56</v>
      </c>
      <c r="H706" s="10" t="s">
        <v>2675</v>
      </c>
      <c r="I706" s="6" t="s">
        <v>2676</v>
      </c>
      <c r="J706" s="12">
        <v>46120.694965277777</v>
      </c>
      <c r="K706" s="6" t="e" cm="1">
        <f t="array" ref="K706">LOOKUP(2^15,SEARCH(Tabela2[Palavras-Chave],Boletim[[#This Row],[Objeto]],1),Tabela2[Palavras-Chave])</f>
        <v>#N/A</v>
      </c>
    </row>
    <row r="707" spans="1:11" hidden="1" x14ac:dyDescent="0.3">
      <c r="A707" s="5">
        <v>18702262</v>
      </c>
      <c r="B707" s="6" t="s">
        <v>150</v>
      </c>
      <c r="C707" s="6" t="s">
        <v>57</v>
      </c>
      <c r="D707" s="8" t="s">
        <v>54</v>
      </c>
      <c r="E707" s="6" t="s">
        <v>2677</v>
      </c>
      <c r="F707" s="6" t="s">
        <v>51</v>
      </c>
      <c r="G707" s="11" t="s">
        <v>56</v>
      </c>
      <c r="H707" s="10" t="s">
        <v>2678</v>
      </c>
      <c r="I707" s="6" t="s">
        <v>2679</v>
      </c>
      <c r="J707" s="12">
        <v>46120.695196759261</v>
      </c>
      <c r="K707" s="6" t="e" cm="1">
        <f t="array" ref="K707">LOOKUP(2^15,SEARCH(Tabela2[Palavras-Chave],Boletim[[#This Row],[Objeto]],1),Tabela2[Palavras-Chave])</f>
        <v>#N/A</v>
      </c>
    </row>
    <row r="708" spans="1:11" hidden="1" x14ac:dyDescent="0.3">
      <c r="A708" s="5">
        <v>18786773</v>
      </c>
      <c r="B708" s="6" t="s">
        <v>150</v>
      </c>
      <c r="C708" s="6" t="s">
        <v>57</v>
      </c>
      <c r="D708" s="8" t="s">
        <v>54</v>
      </c>
      <c r="E708" s="6" t="s">
        <v>535</v>
      </c>
      <c r="F708" s="6" t="s">
        <v>51</v>
      </c>
      <c r="G708" s="11" t="s">
        <v>56</v>
      </c>
      <c r="H708" s="10" t="s">
        <v>536</v>
      </c>
      <c r="I708" s="6" t="s">
        <v>537</v>
      </c>
      <c r="J708" s="12">
        <v>46120.696134259262</v>
      </c>
      <c r="K708" s="6" t="e" cm="1">
        <f t="array" ref="K708">LOOKUP(2^15,SEARCH(Tabela2[Palavras-Chave],Boletim[[#This Row],[Objeto]],1),Tabela2[Palavras-Chave])</f>
        <v>#N/A</v>
      </c>
    </row>
    <row r="709" spans="1:11" hidden="1" x14ac:dyDescent="0.3">
      <c r="A709" s="5">
        <v>18786774</v>
      </c>
      <c r="B709" s="6" t="s">
        <v>150</v>
      </c>
      <c r="C709" s="6" t="s">
        <v>57</v>
      </c>
      <c r="D709" s="8" t="s">
        <v>54</v>
      </c>
      <c r="E709" s="6" t="s">
        <v>538</v>
      </c>
      <c r="F709" s="6" t="s">
        <v>51</v>
      </c>
      <c r="G709" s="11" t="s">
        <v>56</v>
      </c>
      <c r="H709" s="10" t="s">
        <v>539</v>
      </c>
      <c r="I709" s="6" t="s">
        <v>540</v>
      </c>
      <c r="J709" s="12">
        <v>46120.726423611108</v>
      </c>
      <c r="K709" s="6" t="e" cm="1">
        <f t="array" ref="K709">LOOKUP(2^15,SEARCH(Tabela2[Palavras-Chave],Boletim[[#This Row],[Objeto]],1),Tabela2[Palavras-Chave])</f>
        <v>#N/A</v>
      </c>
    </row>
    <row r="710" spans="1:11" hidden="1" x14ac:dyDescent="0.3">
      <c r="A710" s="5">
        <v>18804611</v>
      </c>
      <c r="B710" s="6" t="s">
        <v>297</v>
      </c>
      <c r="C710" s="6" t="s">
        <v>53</v>
      </c>
      <c r="D710" s="8" t="s">
        <v>54</v>
      </c>
      <c r="E710" s="6" t="s">
        <v>55</v>
      </c>
      <c r="F710" s="6" t="s">
        <v>51</v>
      </c>
      <c r="G710" s="11" t="s">
        <v>56</v>
      </c>
      <c r="H710" s="10" t="s">
        <v>541</v>
      </c>
      <c r="I710" s="6" t="s">
        <v>542</v>
      </c>
      <c r="J710" s="12">
        <v>46120.727164351854</v>
      </c>
      <c r="K710" s="6" t="e" cm="1">
        <f t="array" ref="K710">LOOKUP(2^15,SEARCH(Tabela2[Palavras-Chave],Boletim[[#This Row],[Objeto]],1),Tabela2[Palavras-Chave])</f>
        <v>#N/A</v>
      </c>
    </row>
    <row r="711" spans="1:11" hidden="1" x14ac:dyDescent="0.3">
      <c r="A711" s="5">
        <v>18804856</v>
      </c>
      <c r="B711" s="6" t="s">
        <v>1242</v>
      </c>
      <c r="C711" s="6" t="s">
        <v>1243</v>
      </c>
      <c r="D711" s="8" t="s">
        <v>54</v>
      </c>
      <c r="E711" s="6" t="s">
        <v>2680</v>
      </c>
      <c r="F711" s="6" t="s">
        <v>51</v>
      </c>
      <c r="G711" s="11" t="s">
        <v>56</v>
      </c>
      <c r="H711" s="10" t="s">
        <v>2681</v>
      </c>
      <c r="I711" s="6" t="s">
        <v>2682</v>
      </c>
      <c r="J711" s="12">
        <v>46120.727326388886</v>
      </c>
      <c r="K711" s="6" t="e" cm="1">
        <f t="array" ref="K711">LOOKUP(2^15,SEARCH(Tabela2[Palavras-Chave],Boletim[[#This Row],[Objeto]],1),Tabela2[Palavras-Chave])</f>
        <v>#N/A</v>
      </c>
    </row>
    <row r="712" spans="1:11" hidden="1" x14ac:dyDescent="0.3">
      <c r="A712" s="5">
        <v>18805450</v>
      </c>
      <c r="B712" s="6" t="s">
        <v>543</v>
      </c>
      <c r="C712" s="6" t="s">
        <v>53</v>
      </c>
      <c r="D712" s="8" t="s">
        <v>54</v>
      </c>
      <c r="E712" s="6" t="s">
        <v>55</v>
      </c>
      <c r="F712" s="6" t="s">
        <v>51</v>
      </c>
      <c r="G712" s="11" t="s">
        <v>56</v>
      </c>
      <c r="H712" s="10" t="s">
        <v>544</v>
      </c>
      <c r="I712" s="6" t="s">
        <v>545</v>
      </c>
      <c r="J712" s="12">
        <v>46120.729212962964</v>
      </c>
      <c r="K712" s="6" t="e" cm="1">
        <f t="array" ref="K712">LOOKUP(2^15,SEARCH(Tabela2[Palavras-Chave],Boletim[[#This Row],[Objeto]],1),Tabela2[Palavras-Chave])</f>
        <v>#N/A</v>
      </c>
    </row>
    <row r="713" spans="1:11" hidden="1" x14ac:dyDescent="0.3">
      <c r="A713" s="5">
        <v>18804863</v>
      </c>
      <c r="B713" s="6" t="s">
        <v>226</v>
      </c>
      <c r="C713" s="6" t="s">
        <v>53</v>
      </c>
      <c r="D713" s="8" t="s">
        <v>54</v>
      </c>
      <c r="E713" s="6" t="s">
        <v>55</v>
      </c>
      <c r="F713" s="6" t="s">
        <v>51</v>
      </c>
      <c r="G713" s="11" t="s">
        <v>56</v>
      </c>
      <c r="H713" s="10" t="s">
        <v>546</v>
      </c>
      <c r="I713" s="6" t="s">
        <v>547</v>
      </c>
      <c r="J713" s="12">
        <v>46120.728680555556</v>
      </c>
      <c r="K713" s="6" t="e" cm="1">
        <f t="array" ref="K713">LOOKUP(2^15,SEARCH(Tabela2[Palavras-Chave],Boletim[[#This Row],[Objeto]],1),Tabela2[Palavras-Chave])</f>
        <v>#N/A</v>
      </c>
    </row>
    <row r="714" spans="1:11" hidden="1" x14ac:dyDescent="0.3">
      <c r="A714" s="5">
        <v>18805447</v>
      </c>
      <c r="B714" s="6" t="s">
        <v>308</v>
      </c>
      <c r="C714" s="6" t="s">
        <v>53</v>
      </c>
      <c r="D714" s="8" t="s">
        <v>54</v>
      </c>
      <c r="E714" s="6" t="s">
        <v>55</v>
      </c>
      <c r="F714" s="6" t="s">
        <v>51</v>
      </c>
      <c r="G714" s="11" t="s">
        <v>56</v>
      </c>
      <c r="H714" s="10" t="s">
        <v>548</v>
      </c>
      <c r="I714" s="6" t="s">
        <v>549</v>
      </c>
      <c r="J714" s="12">
        <v>46120.729884259257</v>
      </c>
      <c r="K714" s="6" t="e" cm="1">
        <f t="array" ref="K714">LOOKUP(2^15,SEARCH(Tabela2[Palavras-Chave],Boletim[[#This Row],[Objeto]],1),Tabela2[Palavras-Chave])</f>
        <v>#N/A</v>
      </c>
    </row>
    <row r="715" spans="1:11" hidden="1" x14ac:dyDescent="0.3">
      <c r="A715" s="5">
        <v>18804862</v>
      </c>
      <c r="B715" s="6" t="s">
        <v>226</v>
      </c>
      <c r="C715" s="6" t="s">
        <v>53</v>
      </c>
      <c r="D715" s="8" t="s">
        <v>54</v>
      </c>
      <c r="E715" s="6" t="s">
        <v>55</v>
      </c>
      <c r="F715" s="6" t="s">
        <v>51</v>
      </c>
      <c r="G715" s="11" t="s">
        <v>56</v>
      </c>
      <c r="H715" s="10" t="s">
        <v>550</v>
      </c>
      <c r="I715" s="6" t="s">
        <v>551</v>
      </c>
      <c r="J715" s="12">
        <v>46120.728761574072</v>
      </c>
      <c r="K715" s="6" t="e" cm="1">
        <f t="array" ref="K715">LOOKUP(2^15,SEARCH(Tabela2[Palavras-Chave],Boletim[[#This Row],[Objeto]],1),Tabela2[Palavras-Chave])</f>
        <v>#N/A</v>
      </c>
    </row>
    <row r="716" spans="1:11" hidden="1" x14ac:dyDescent="0.3">
      <c r="A716" s="5">
        <v>18805444</v>
      </c>
      <c r="B716" s="6" t="s">
        <v>552</v>
      </c>
      <c r="C716" s="6" t="s">
        <v>53</v>
      </c>
      <c r="D716" s="8" t="s">
        <v>54</v>
      </c>
      <c r="E716" s="6" t="s">
        <v>55</v>
      </c>
      <c r="F716" s="6" t="s">
        <v>51</v>
      </c>
      <c r="G716" s="11" t="s">
        <v>56</v>
      </c>
      <c r="H716" s="10" t="s">
        <v>553</v>
      </c>
      <c r="I716" s="6" t="s">
        <v>554</v>
      </c>
      <c r="J716" s="12">
        <v>46120.729895833334</v>
      </c>
      <c r="K716" s="6" t="e" cm="1">
        <f t="array" ref="K716">LOOKUP(2^15,SEARCH(Tabela2[Palavras-Chave],Boletim[[#This Row],[Objeto]],1),Tabela2[Palavras-Chave])</f>
        <v>#N/A</v>
      </c>
    </row>
    <row r="717" spans="1:11" hidden="1" x14ac:dyDescent="0.3">
      <c r="A717" s="5">
        <v>18805456</v>
      </c>
      <c r="B717" s="6" t="s">
        <v>555</v>
      </c>
      <c r="C717" s="6" t="s">
        <v>53</v>
      </c>
      <c r="D717" s="8" t="s">
        <v>54</v>
      </c>
      <c r="E717" s="6" t="s">
        <v>55</v>
      </c>
      <c r="F717" s="6" t="s">
        <v>51</v>
      </c>
      <c r="G717" s="11" t="s">
        <v>56</v>
      </c>
      <c r="H717" s="10" t="s">
        <v>556</v>
      </c>
      <c r="I717" s="6" t="s">
        <v>557</v>
      </c>
      <c r="J717" s="12">
        <v>46120.729895833334</v>
      </c>
      <c r="K717" s="6" t="e" cm="1">
        <f t="array" ref="K717">LOOKUP(2^15,SEARCH(Tabela2[Palavras-Chave],Boletim[[#This Row],[Objeto]],1),Tabela2[Palavras-Chave])</f>
        <v>#N/A</v>
      </c>
    </row>
    <row r="718" spans="1:11" hidden="1" x14ac:dyDescent="0.3">
      <c r="A718" s="5">
        <v>18805451</v>
      </c>
      <c r="B718" s="6" t="s">
        <v>308</v>
      </c>
      <c r="C718" s="6" t="s">
        <v>315</v>
      </c>
      <c r="D718" s="8" t="s">
        <v>54</v>
      </c>
      <c r="E718" s="6" t="s">
        <v>55</v>
      </c>
      <c r="F718" s="6" t="s">
        <v>51</v>
      </c>
      <c r="G718" s="11" t="s">
        <v>56</v>
      </c>
      <c r="H718" s="10" t="s">
        <v>558</v>
      </c>
      <c r="I718" s="6" t="s">
        <v>559</v>
      </c>
      <c r="J718" s="12">
        <v>46120.731296296297</v>
      </c>
      <c r="K718" s="6" t="e" cm="1">
        <f t="array" ref="K718">LOOKUP(2^15,SEARCH(Tabela2[Palavras-Chave],Boletim[[#This Row],[Objeto]],1),Tabela2[Palavras-Chave])</f>
        <v>#N/A</v>
      </c>
    </row>
    <row r="719" spans="1:11" hidden="1" x14ac:dyDescent="0.3">
      <c r="A719" s="5">
        <v>18805429</v>
      </c>
      <c r="B719" s="6" t="s">
        <v>226</v>
      </c>
      <c r="C719" s="6" t="s">
        <v>53</v>
      </c>
      <c r="D719" s="8" t="s">
        <v>54</v>
      </c>
      <c r="E719" s="6" t="s">
        <v>55</v>
      </c>
      <c r="F719" s="6" t="s">
        <v>51</v>
      </c>
      <c r="G719" s="11" t="s">
        <v>56</v>
      </c>
      <c r="H719" s="10" t="s">
        <v>560</v>
      </c>
      <c r="I719" s="6" t="s">
        <v>561</v>
      </c>
      <c r="J719" s="12">
        <v>46120.731296296297</v>
      </c>
      <c r="K719" s="6" t="e" cm="1">
        <f t="array" ref="K719">LOOKUP(2^15,SEARCH(Tabela2[Palavras-Chave],Boletim[[#This Row],[Objeto]],1),Tabela2[Palavras-Chave])</f>
        <v>#N/A</v>
      </c>
    </row>
    <row r="720" spans="1:11" hidden="1" x14ac:dyDescent="0.3">
      <c r="A720" s="5">
        <v>18803771</v>
      </c>
      <c r="B720" s="6" t="s">
        <v>58</v>
      </c>
      <c r="C720" s="6" t="s">
        <v>53</v>
      </c>
      <c r="D720" s="8" t="s">
        <v>54</v>
      </c>
      <c r="E720" s="6" t="s">
        <v>562</v>
      </c>
      <c r="F720" s="6" t="s">
        <v>51</v>
      </c>
      <c r="G720" s="11" t="s">
        <v>56</v>
      </c>
      <c r="H720" s="10" t="s">
        <v>563</v>
      </c>
      <c r="I720" s="6" t="s">
        <v>564</v>
      </c>
      <c r="J720" s="12">
        <v>46120.731863425928</v>
      </c>
      <c r="K720" s="6" t="e" cm="1">
        <f t="array" ref="K720">LOOKUP(2^15,SEARCH(Tabela2[Palavras-Chave],Boletim[[#This Row],[Objeto]],1),Tabela2[Palavras-Chave])</f>
        <v>#N/A</v>
      </c>
    </row>
    <row r="721" spans="1:11" hidden="1" x14ac:dyDescent="0.3">
      <c r="A721" s="5">
        <v>18805436</v>
      </c>
      <c r="B721" s="6" t="s">
        <v>565</v>
      </c>
      <c r="C721" s="6" t="s">
        <v>53</v>
      </c>
      <c r="D721" s="8" t="s">
        <v>54</v>
      </c>
      <c r="E721" s="6" t="s">
        <v>55</v>
      </c>
      <c r="F721" s="6" t="s">
        <v>51</v>
      </c>
      <c r="G721" s="11" t="s">
        <v>56</v>
      </c>
      <c r="H721" s="10" t="s">
        <v>566</v>
      </c>
      <c r="I721" s="6" t="s">
        <v>567</v>
      </c>
      <c r="J721" s="12">
        <v>46120.731990740744</v>
      </c>
      <c r="K721" s="6" t="e" cm="1">
        <f t="array" ref="K721">LOOKUP(2^15,SEARCH(Tabela2[Palavras-Chave],Boletim[[#This Row],[Objeto]],1),Tabela2[Palavras-Chave])</f>
        <v>#N/A</v>
      </c>
    </row>
    <row r="722" spans="1:11" hidden="1" x14ac:dyDescent="0.3">
      <c r="A722" s="5">
        <v>18805421</v>
      </c>
      <c r="B722" s="6" t="s">
        <v>226</v>
      </c>
      <c r="C722" s="6" t="s">
        <v>53</v>
      </c>
      <c r="D722" s="8" t="s">
        <v>54</v>
      </c>
      <c r="E722" s="6" t="s">
        <v>55</v>
      </c>
      <c r="F722" s="6" t="s">
        <v>51</v>
      </c>
      <c r="G722" s="11" t="s">
        <v>56</v>
      </c>
      <c r="H722" s="10" t="s">
        <v>568</v>
      </c>
      <c r="I722" s="6" t="s">
        <v>569</v>
      </c>
      <c r="J722" s="12">
        <v>46120.731990740744</v>
      </c>
      <c r="K722" s="6" t="e" cm="1">
        <f t="array" ref="K722">LOOKUP(2^15,SEARCH(Tabela2[Palavras-Chave],Boletim[[#This Row],[Objeto]],1),Tabela2[Palavras-Chave])</f>
        <v>#N/A</v>
      </c>
    </row>
    <row r="723" spans="1:11" hidden="1" x14ac:dyDescent="0.3">
      <c r="A723" s="5">
        <v>18805412</v>
      </c>
      <c r="B723" s="6" t="s">
        <v>226</v>
      </c>
      <c r="C723" s="6" t="s">
        <v>53</v>
      </c>
      <c r="D723" s="8" t="s">
        <v>54</v>
      </c>
      <c r="E723" s="6" t="s">
        <v>55</v>
      </c>
      <c r="F723" s="6" t="s">
        <v>51</v>
      </c>
      <c r="G723" s="11" t="s">
        <v>56</v>
      </c>
      <c r="H723" s="10" t="s">
        <v>570</v>
      </c>
      <c r="I723" s="6" t="s">
        <v>571</v>
      </c>
      <c r="J723" s="12">
        <v>46120.731990740744</v>
      </c>
      <c r="K723" s="6" t="e" cm="1">
        <f t="array" ref="K723">LOOKUP(2^15,SEARCH(Tabela2[Palavras-Chave],Boletim[[#This Row],[Objeto]],1),Tabela2[Palavras-Chave])</f>
        <v>#N/A</v>
      </c>
    </row>
    <row r="724" spans="1:11" hidden="1" x14ac:dyDescent="0.3">
      <c r="A724" s="5">
        <v>18787066</v>
      </c>
      <c r="B724" s="6" t="s">
        <v>150</v>
      </c>
      <c r="C724" s="6" t="s">
        <v>57</v>
      </c>
      <c r="D724" s="8" t="s">
        <v>54</v>
      </c>
      <c r="E724" s="6" t="s">
        <v>572</v>
      </c>
      <c r="F724" s="6" t="s">
        <v>51</v>
      </c>
      <c r="G724" s="11" t="s">
        <v>56</v>
      </c>
      <c r="H724" s="10" t="s">
        <v>573</v>
      </c>
      <c r="I724" s="6" t="s">
        <v>574</v>
      </c>
      <c r="J724" s="12">
        <v>46120.734756944446</v>
      </c>
      <c r="K724" s="6" t="e" cm="1">
        <f t="array" ref="K724">LOOKUP(2^15,SEARCH(Tabela2[Palavras-Chave],Boletim[[#This Row],[Objeto]],1),Tabela2[Palavras-Chave])</f>
        <v>#N/A</v>
      </c>
    </row>
    <row r="725" spans="1:11" hidden="1" x14ac:dyDescent="0.3">
      <c r="A725" s="5">
        <v>18805414</v>
      </c>
      <c r="B725" s="6" t="s">
        <v>226</v>
      </c>
      <c r="C725" s="6" t="s">
        <v>53</v>
      </c>
      <c r="D725" s="8" t="s">
        <v>54</v>
      </c>
      <c r="E725" s="6" t="s">
        <v>55</v>
      </c>
      <c r="F725" s="6" t="s">
        <v>51</v>
      </c>
      <c r="G725" s="11" t="s">
        <v>56</v>
      </c>
      <c r="H725" s="10" t="s">
        <v>575</v>
      </c>
      <c r="I725" s="6" t="s">
        <v>576</v>
      </c>
      <c r="J725" s="12">
        <v>46120.732685185183</v>
      </c>
      <c r="K725" s="6" t="e" cm="1">
        <f t="array" ref="K725">LOOKUP(2^15,SEARCH(Tabela2[Palavras-Chave],Boletim[[#This Row],[Objeto]],1),Tabela2[Palavras-Chave])</f>
        <v>#N/A</v>
      </c>
    </row>
    <row r="726" spans="1:11" hidden="1" x14ac:dyDescent="0.3">
      <c r="A726" s="5">
        <v>18805442</v>
      </c>
      <c r="B726" s="6" t="s">
        <v>226</v>
      </c>
      <c r="C726" s="6" t="s">
        <v>53</v>
      </c>
      <c r="D726" s="8" t="s">
        <v>54</v>
      </c>
      <c r="E726" s="6" t="s">
        <v>55</v>
      </c>
      <c r="F726" s="6" t="s">
        <v>51</v>
      </c>
      <c r="G726" s="11" t="s">
        <v>56</v>
      </c>
      <c r="H726" s="10" t="s">
        <v>550</v>
      </c>
      <c r="I726" s="6" t="s">
        <v>577</v>
      </c>
      <c r="J726" s="12">
        <v>46120.73337962963</v>
      </c>
      <c r="K726" s="6" t="e" cm="1">
        <f t="array" ref="K726">LOOKUP(2^15,SEARCH(Tabela2[Palavras-Chave],Boletim[[#This Row],[Objeto]],1),Tabela2[Palavras-Chave])</f>
        <v>#N/A</v>
      </c>
    </row>
    <row r="727" spans="1:11" ht="158.4" x14ac:dyDescent="0.3">
      <c r="A727" s="5">
        <v>18805419</v>
      </c>
      <c r="B727" s="6" t="s">
        <v>226</v>
      </c>
      <c r="C727" s="6" t="s">
        <v>53</v>
      </c>
      <c r="D727" s="8" t="s">
        <v>54</v>
      </c>
      <c r="E727" s="6" t="s">
        <v>55</v>
      </c>
      <c r="F727" s="6" t="s">
        <v>51</v>
      </c>
      <c r="G727" s="11" t="s">
        <v>56</v>
      </c>
      <c r="H727" s="21" t="s">
        <v>578</v>
      </c>
      <c r="I727" s="6" t="s">
        <v>579</v>
      </c>
      <c r="J727" s="12">
        <v>46120.733414351853</v>
      </c>
      <c r="K727" s="6" t="str" cm="1">
        <f t="array" ref="K727">LOOKUP(2^15,SEARCH(Tabela2[Palavras-Chave],Boletim[[#This Row],[Objeto]],1),Tabela2[Palavras-Chave])</f>
        <v>UNIAO</v>
      </c>
    </row>
    <row r="728" spans="1:11" hidden="1" x14ac:dyDescent="0.3">
      <c r="A728" s="5">
        <v>18805415</v>
      </c>
      <c r="B728" s="6" t="s">
        <v>226</v>
      </c>
      <c r="C728" s="6" t="s">
        <v>53</v>
      </c>
      <c r="D728" s="8" t="s">
        <v>54</v>
      </c>
      <c r="E728" s="6" t="s">
        <v>55</v>
      </c>
      <c r="F728" s="6" t="s">
        <v>51</v>
      </c>
      <c r="G728" s="11" t="s">
        <v>56</v>
      </c>
      <c r="H728" s="10" t="s">
        <v>580</v>
      </c>
      <c r="I728" s="6" t="s">
        <v>581</v>
      </c>
      <c r="J728" s="12">
        <v>46120.733414351853</v>
      </c>
      <c r="K728" s="6" t="e" cm="1">
        <f t="array" ref="K728">LOOKUP(2^15,SEARCH(Tabela2[Palavras-Chave],Boletim[[#This Row],[Objeto]],1),Tabela2[Palavras-Chave])</f>
        <v>#N/A</v>
      </c>
    </row>
    <row r="729" spans="1:11" hidden="1" x14ac:dyDescent="0.3">
      <c r="A729" s="5">
        <v>18776643</v>
      </c>
      <c r="B729" s="6" t="s">
        <v>191</v>
      </c>
      <c r="C729" s="6" t="s">
        <v>313</v>
      </c>
      <c r="D729" s="8" t="s">
        <v>54</v>
      </c>
      <c r="E729" s="6" t="s">
        <v>389</v>
      </c>
      <c r="F729" s="6" t="s">
        <v>51</v>
      </c>
      <c r="G729" s="11" t="s">
        <v>56</v>
      </c>
      <c r="H729" s="10" t="s">
        <v>582</v>
      </c>
      <c r="I729" s="6" t="s">
        <v>583</v>
      </c>
      <c r="J729" s="12">
        <v>46120.74795138889</v>
      </c>
      <c r="K729" s="6" t="e" cm="1">
        <f t="array" ref="K729">LOOKUP(2^15,SEARCH(Tabela2[Palavras-Chave],Boletim[[#This Row],[Objeto]],1),Tabela2[Palavras-Chave])</f>
        <v>#N/A</v>
      </c>
    </row>
    <row r="730" spans="1:11" hidden="1" x14ac:dyDescent="0.3">
      <c r="A730" s="5">
        <v>18805533</v>
      </c>
      <c r="B730" s="6" t="s">
        <v>314</v>
      </c>
      <c r="C730" s="6" t="s">
        <v>430</v>
      </c>
      <c r="D730" s="8" t="s">
        <v>54</v>
      </c>
      <c r="E730" s="6" t="s">
        <v>55</v>
      </c>
      <c r="F730" s="6" t="s">
        <v>51</v>
      </c>
      <c r="G730" s="11" t="s">
        <v>56</v>
      </c>
      <c r="H730" s="10" t="s">
        <v>584</v>
      </c>
      <c r="I730" s="6" t="s">
        <v>585</v>
      </c>
      <c r="J730" s="12">
        <v>46120.74795138889</v>
      </c>
      <c r="K730" s="6" t="e" cm="1">
        <f t="array" ref="K730">LOOKUP(2^15,SEARCH(Tabela2[Palavras-Chave],Boletim[[#This Row],[Objeto]],1),Tabela2[Palavras-Chave])</f>
        <v>#N/A</v>
      </c>
    </row>
    <row r="731" spans="1:11" hidden="1" x14ac:dyDescent="0.3">
      <c r="A731" s="5">
        <v>18803767</v>
      </c>
      <c r="B731" s="6" t="s">
        <v>58</v>
      </c>
      <c r="C731" s="6" t="s">
        <v>53</v>
      </c>
      <c r="D731" s="8" t="s">
        <v>54</v>
      </c>
      <c r="E731" s="6" t="s">
        <v>586</v>
      </c>
      <c r="F731" s="6" t="s">
        <v>51</v>
      </c>
      <c r="G731" s="11" t="s">
        <v>56</v>
      </c>
      <c r="H731" s="10" t="s">
        <v>587</v>
      </c>
      <c r="I731" s="6" t="s">
        <v>588</v>
      </c>
      <c r="J731" s="12">
        <v>46120.749537037038</v>
      </c>
      <c r="K731" s="6" t="e" cm="1">
        <f t="array" ref="K731">LOOKUP(2^15,SEARCH(Tabela2[Palavras-Chave],Boletim[[#This Row],[Objeto]],1),Tabela2[Palavras-Chave])</f>
        <v>#N/A</v>
      </c>
    </row>
    <row r="732" spans="1:11" hidden="1" x14ac:dyDescent="0.3">
      <c r="A732" s="5">
        <v>18805597</v>
      </c>
      <c r="B732" s="6" t="s">
        <v>589</v>
      </c>
      <c r="C732" s="6" t="s">
        <v>183</v>
      </c>
      <c r="D732" s="8" t="s">
        <v>54</v>
      </c>
      <c r="E732" s="6" t="s">
        <v>137</v>
      </c>
      <c r="F732" s="6" t="s">
        <v>51</v>
      </c>
      <c r="G732" s="11" t="s">
        <v>56</v>
      </c>
      <c r="H732" s="10" t="s">
        <v>590</v>
      </c>
      <c r="I732" s="6" t="s">
        <v>591</v>
      </c>
      <c r="J732" s="12">
        <v>46120.754618055558</v>
      </c>
      <c r="K732" s="6" t="e" cm="1">
        <f t="array" ref="K732">LOOKUP(2^15,SEARCH(Tabela2[Palavras-Chave],Boletim[[#This Row],[Objeto]],1),Tabela2[Palavras-Chave])</f>
        <v>#N/A</v>
      </c>
    </row>
    <row r="733" spans="1:11" ht="72" x14ac:dyDescent="0.3">
      <c r="A733" s="5">
        <v>18803784</v>
      </c>
      <c r="B733" s="6" t="s">
        <v>191</v>
      </c>
      <c r="C733" s="6" t="s">
        <v>313</v>
      </c>
      <c r="D733" s="8" t="s">
        <v>54</v>
      </c>
      <c r="E733" s="6" t="s">
        <v>2683</v>
      </c>
      <c r="F733" s="6" t="s">
        <v>51</v>
      </c>
      <c r="G733" s="11" t="s">
        <v>56</v>
      </c>
      <c r="H733" s="21" t="s">
        <v>2684</v>
      </c>
      <c r="I733" s="6" t="s">
        <v>2685</v>
      </c>
      <c r="J733" s="12">
        <v>46120.758831018517</v>
      </c>
      <c r="K733" s="6" t="str" cm="1">
        <f t="array" ref="K733">LOOKUP(2^15,SEARCH(Tabela2[Palavras-Chave],Boletim[[#This Row],[Objeto]],1),Tabela2[Palavras-Chave])</f>
        <v>MEDIÇÃO</v>
      </c>
    </row>
    <row r="734" spans="1:11" hidden="1" x14ac:dyDescent="0.3">
      <c r="A734" s="5">
        <v>18803781</v>
      </c>
      <c r="B734" s="6" t="s">
        <v>153</v>
      </c>
      <c r="C734" s="6" t="s">
        <v>53</v>
      </c>
      <c r="D734" s="8" t="s">
        <v>54</v>
      </c>
      <c r="E734" s="6" t="s">
        <v>592</v>
      </c>
      <c r="F734" s="6" t="s">
        <v>51</v>
      </c>
      <c r="G734" s="11" t="s">
        <v>56</v>
      </c>
      <c r="H734" s="10" t="s">
        <v>593</v>
      </c>
      <c r="I734" s="6" t="s">
        <v>594</v>
      </c>
      <c r="J734" s="12">
        <v>46120.761793981481</v>
      </c>
      <c r="K734" s="6" t="e" cm="1">
        <f t="array" ref="K734">LOOKUP(2^15,SEARCH(Tabela2[Palavras-Chave],Boletim[[#This Row],[Objeto]],1),Tabela2[Palavras-Chave])</f>
        <v>#N/A</v>
      </c>
    </row>
    <row r="735" spans="1:11" hidden="1" x14ac:dyDescent="0.3">
      <c r="A735" s="5">
        <v>18805740</v>
      </c>
      <c r="B735" s="6" t="s">
        <v>2686</v>
      </c>
      <c r="C735" s="6" t="s">
        <v>2687</v>
      </c>
      <c r="D735" s="8" t="s">
        <v>54</v>
      </c>
      <c r="E735" s="6" t="s">
        <v>244</v>
      </c>
      <c r="F735" s="6" t="s">
        <v>51</v>
      </c>
      <c r="G735" s="11" t="s">
        <v>56</v>
      </c>
      <c r="H735" s="10" t="s">
        <v>2688</v>
      </c>
      <c r="I735" s="6" t="s">
        <v>2689</v>
      </c>
      <c r="J735" s="12">
        <v>46120.764849537038</v>
      </c>
      <c r="K735" s="6" t="e" cm="1">
        <f t="array" ref="K735">LOOKUP(2^15,SEARCH(Tabela2[Palavras-Chave],Boletim[[#This Row],[Objeto]],1),Tabela2[Palavras-Chave])</f>
        <v>#N/A</v>
      </c>
    </row>
    <row r="736" spans="1:11" hidden="1" x14ac:dyDescent="0.3">
      <c r="A736" s="5">
        <v>18805541</v>
      </c>
      <c r="B736" s="6" t="s">
        <v>2690</v>
      </c>
      <c r="C736" s="6" t="s">
        <v>1288</v>
      </c>
      <c r="D736" s="8" t="s">
        <v>54</v>
      </c>
      <c r="E736" s="6" t="s">
        <v>116</v>
      </c>
      <c r="F736" s="6" t="s">
        <v>51</v>
      </c>
      <c r="G736" s="11" t="s">
        <v>56</v>
      </c>
      <c r="H736" s="10" t="s">
        <v>2691</v>
      </c>
      <c r="I736" s="6" t="s">
        <v>2692</v>
      </c>
      <c r="J736" s="12">
        <v>46120.768611111111</v>
      </c>
      <c r="K736" s="6" t="e" cm="1">
        <f t="array" ref="K736">LOOKUP(2^15,SEARCH(Tabela2[Palavras-Chave],Boletim[[#This Row],[Objeto]],1),Tabela2[Palavras-Chave])</f>
        <v>#N/A</v>
      </c>
    </row>
    <row r="737" spans="1:11" hidden="1" x14ac:dyDescent="0.3">
      <c r="A737" s="5">
        <v>18779296</v>
      </c>
      <c r="B737" s="6" t="s">
        <v>150</v>
      </c>
      <c r="C737" s="6" t="s">
        <v>57</v>
      </c>
      <c r="D737" s="8" t="s">
        <v>54</v>
      </c>
      <c r="E737" s="6" t="s">
        <v>595</v>
      </c>
      <c r="F737" s="6" t="s">
        <v>51</v>
      </c>
      <c r="G737" s="11" t="s">
        <v>56</v>
      </c>
      <c r="H737" s="10" t="s">
        <v>596</v>
      </c>
      <c r="I737" s="6" t="s">
        <v>597</v>
      </c>
      <c r="J737" s="12">
        <v>46120.775949074072</v>
      </c>
      <c r="K737" s="6" t="e" cm="1">
        <f t="array" ref="K737">LOOKUP(2^15,SEARCH(Tabela2[Palavras-Chave],Boletim[[#This Row],[Objeto]],1),Tabela2[Palavras-Chave])</f>
        <v>#N/A</v>
      </c>
    </row>
    <row r="738" spans="1:11" hidden="1" x14ac:dyDescent="0.3">
      <c r="A738" s="5">
        <v>18805418</v>
      </c>
      <c r="B738" s="6" t="s">
        <v>318</v>
      </c>
      <c r="C738" s="6" t="s">
        <v>53</v>
      </c>
      <c r="D738" s="8" t="s">
        <v>54</v>
      </c>
      <c r="E738" s="6" t="s">
        <v>55</v>
      </c>
      <c r="F738" s="6" t="s">
        <v>51</v>
      </c>
      <c r="G738" s="11" t="s">
        <v>56</v>
      </c>
      <c r="H738" s="10" t="s">
        <v>598</v>
      </c>
      <c r="I738" s="6" t="s">
        <v>599</v>
      </c>
      <c r="J738" s="12">
        <v>46120.809548611112</v>
      </c>
      <c r="K738" s="6" t="e" cm="1">
        <f t="array" ref="K738">LOOKUP(2^15,SEARCH(Tabela2[Palavras-Chave],Boletim[[#This Row],[Objeto]],1),Tabela2[Palavras-Chave])</f>
        <v>#N/A</v>
      </c>
    </row>
    <row r="739" spans="1:11" hidden="1" x14ac:dyDescent="0.3">
      <c r="A739" s="5">
        <v>18802429</v>
      </c>
      <c r="B739" s="6" t="s">
        <v>2693</v>
      </c>
      <c r="C739" s="6" t="s">
        <v>2694</v>
      </c>
      <c r="D739" s="8" t="s">
        <v>54</v>
      </c>
      <c r="E739" s="6" t="s">
        <v>249</v>
      </c>
      <c r="F739" s="6" t="s">
        <v>51</v>
      </c>
      <c r="G739" s="11" t="s">
        <v>56</v>
      </c>
      <c r="H739" s="10" t="s">
        <v>2695</v>
      </c>
      <c r="I739" s="6" t="s">
        <v>2696</v>
      </c>
      <c r="J739" s="12">
        <v>46120.811307870368</v>
      </c>
      <c r="K739" s="6" t="e" cm="1">
        <f t="array" ref="K739">LOOKUP(2^15,SEARCH(Tabela2[Palavras-Chave],Boletim[[#This Row],[Objeto]],1),Tabela2[Palavras-Chave])</f>
        <v>#N/A</v>
      </c>
    </row>
    <row r="740" spans="1:11" hidden="1" x14ac:dyDescent="0.3">
      <c r="A740" s="5">
        <v>18799169</v>
      </c>
      <c r="B740" s="6" t="s">
        <v>191</v>
      </c>
      <c r="C740" s="6" t="s">
        <v>311</v>
      </c>
      <c r="D740" s="8" t="s">
        <v>54</v>
      </c>
      <c r="E740" s="6" t="s">
        <v>600</v>
      </c>
      <c r="F740" s="6" t="s">
        <v>51</v>
      </c>
      <c r="G740" s="11" t="s">
        <v>56</v>
      </c>
      <c r="H740" s="10" t="s">
        <v>601</v>
      </c>
      <c r="I740" s="6" t="s">
        <v>602</v>
      </c>
      <c r="J740" s="12">
        <v>46120.827118055553</v>
      </c>
      <c r="K740" s="6" t="e" cm="1">
        <f t="array" ref="K740">LOOKUP(2^15,SEARCH(Tabela2[Palavras-Chave],Boletim[[#This Row],[Objeto]],1),Tabela2[Palavras-Chave])</f>
        <v>#N/A</v>
      </c>
    </row>
    <row r="741" spans="1:11" hidden="1" x14ac:dyDescent="0.3">
      <c r="A741" s="5">
        <v>18764133</v>
      </c>
      <c r="B741" s="6" t="s">
        <v>58</v>
      </c>
      <c r="C741" s="6" t="s">
        <v>53</v>
      </c>
      <c r="D741" s="8" t="s">
        <v>54</v>
      </c>
      <c r="E741" s="6" t="s">
        <v>603</v>
      </c>
      <c r="F741" s="6" t="s">
        <v>51</v>
      </c>
      <c r="G741" s="11" t="s">
        <v>56</v>
      </c>
      <c r="H741" s="10" t="s">
        <v>604</v>
      </c>
      <c r="I741" s="6" t="s">
        <v>605</v>
      </c>
      <c r="J741" s="12">
        <v>46120.839918981481</v>
      </c>
      <c r="K741" s="6" t="e" cm="1">
        <f t="array" ref="K741">LOOKUP(2^15,SEARCH(Tabela2[Palavras-Chave],Boletim[[#This Row],[Objeto]],1),Tabela2[Palavras-Chave])</f>
        <v>#N/A</v>
      </c>
    </row>
    <row r="742" spans="1:11" hidden="1" x14ac:dyDescent="0.3">
      <c r="A742" s="5">
        <v>18805745</v>
      </c>
      <c r="B742" s="6" t="s">
        <v>153</v>
      </c>
      <c r="C742" s="6" t="s">
        <v>53</v>
      </c>
      <c r="D742" s="8" t="s">
        <v>54</v>
      </c>
      <c r="E742" s="6" t="s">
        <v>606</v>
      </c>
      <c r="F742" s="6" t="s">
        <v>51</v>
      </c>
      <c r="G742" s="11" t="s">
        <v>56</v>
      </c>
      <c r="H742" s="10" t="s">
        <v>607</v>
      </c>
      <c r="I742" s="6" t="s">
        <v>608</v>
      </c>
      <c r="J742" s="12">
        <v>46120.85560185185</v>
      </c>
      <c r="K742" s="6" t="e" cm="1">
        <f t="array" ref="K742">LOOKUP(2^15,SEARCH(Tabela2[Palavras-Chave],Boletim[[#This Row],[Objeto]],1),Tabela2[Palavras-Chave])</f>
        <v>#N/A</v>
      </c>
    </row>
    <row r="743" spans="1:11" hidden="1" x14ac:dyDescent="0.3">
      <c r="A743" s="5">
        <v>18805522</v>
      </c>
      <c r="B743" s="6" t="s">
        <v>150</v>
      </c>
      <c r="C743" s="6" t="s">
        <v>57</v>
      </c>
      <c r="D743" s="8" t="s">
        <v>54</v>
      </c>
      <c r="E743" s="6" t="s">
        <v>609</v>
      </c>
      <c r="F743" s="6" t="s">
        <v>51</v>
      </c>
      <c r="G743" s="11" t="s">
        <v>56</v>
      </c>
      <c r="H743" s="10" t="s">
        <v>610</v>
      </c>
      <c r="I743" s="6" t="s">
        <v>611</v>
      </c>
      <c r="J743" s="12">
        <v>46120.862314814818</v>
      </c>
      <c r="K743" s="6" t="e" cm="1">
        <f t="array" ref="K743">LOOKUP(2^15,SEARCH(Tabela2[Palavras-Chave],Boletim[[#This Row],[Objeto]],1),Tabela2[Palavras-Chave])</f>
        <v>#N/A</v>
      </c>
    </row>
    <row r="744" spans="1:11" hidden="1" x14ac:dyDescent="0.3">
      <c r="A744" s="5">
        <v>18805417</v>
      </c>
      <c r="B744" s="6" t="s">
        <v>226</v>
      </c>
      <c r="C744" s="6" t="s">
        <v>53</v>
      </c>
      <c r="D744" s="8" t="s">
        <v>54</v>
      </c>
      <c r="E744" s="6" t="s">
        <v>55</v>
      </c>
      <c r="F744" s="6" t="s">
        <v>51</v>
      </c>
      <c r="G744" s="11" t="s">
        <v>56</v>
      </c>
      <c r="H744" s="10" t="s">
        <v>612</v>
      </c>
      <c r="I744" s="6" t="s">
        <v>613</v>
      </c>
      <c r="J744" s="12">
        <v>46120.862395833334</v>
      </c>
      <c r="K744" s="6" t="e" cm="1">
        <f t="array" ref="K744">LOOKUP(2^15,SEARCH(Tabela2[Palavras-Chave],Boletim[[#This Row],[Objeto]],1),Tabela2[Palavras-Chave])</f>
        <v>#N/A</v>
      </c>
    </row>
    <row r="745" spans="1:11" hidden="1" x14ac:dyDescent="0.3">
      <c r="A745" s="5">
        <v>18805416</v>
      </c>
      <c r="B745" s="6" t="s">
        <v>316</v>
      </c>
      <c r="C745" s="6" t="s">
        <v>317</v>
      </c>
      <c r="D745" s="8" t="s">
        <v>54</v>
      </c>
      <c r="E745" s="6" t="s">
        <v>55</v>
      </c>
      <c r="F745" s="6" t="s">
        <v>51</v>
      </c>
      <c r="G745" s="11" t="s">
        <v>56</v>
      </c>
      <c r="H745" s="10" t="s">
        <v>614</v>
      </c>
      <c r="I745" s="6" t="s">
        <v>615</v>
      </c>
      <c r="J745" s="12">
        <v>46120.862476851849</v>
      </c>
      <c r="K745" s="6" t="e" cm="1">
        <f t="array" ref="K745">LOOKUP(2^15,SEARCH(Tabela2[Palavras-Chave],Boletim[[#This Row],[Objeto]],1),Tabela2[Palavras-Chave])</f>
        <v>#N/A</v>
      </c>
    </row>
    <row r="746" spans="1:11" hidden="1" x14ac:dyDescent="0.3">
      <c r="A746" s="5">
        <v>18805407</v>
      </c>
      <c r="B746" s="6" t="s">
        <v>226</v>
      </c>
      <c r="C746" s="6" t="s">
        <v>53</v>
      </c>
      <c r="D746" s="8" t="s">
        <v>54</v>
      </c>
      <c r="E746" s="6" t="s">
        <v>55</v>
      </c>
      <c r="F746" s="6" t="s">
        <v>51</v>
      </c>
      <c r="G746" s="11" t="s">
        <v>56</v>
      </c>
      <c r="H746" s="10" t="s">
        <v>616</v>
      </c>
      <c r="I746" s="6" t="s">
        <v>617</v>
      </c>
      <c r="J746" s="12">
        <v>46120.862615740742</v>
      </c>
      <c r="K746" s="6" t="e" cm="1">
        <f t="array" ref="K746">LOOKUP(2^15,SEARCH(Tabela2[Palavras-Chave],Boletim[[#This Row],[Objeto]],1),Tabela2[Palavras-Chave])</f>
        <v>#N/A</v>
      </c>
    </row>
    <row r="747" spans="1:11" hidden="1" x14ac:dyDescent="0.3">
      <c r="A747" s="5">
        <v>18803766</v>
      </c>
      <c r="B747" s="6" t="s">
        <v>150</v>
      </c>
      <c r="C747" s="6" t="s">
        <v>57</v>
      </c>
      <c r="D747" s="8" t="s">
        <v>54</v>
      </c>
      <c r="E747" s="6" t="s">
        <v>618</v>
      </c>
      <c r="F747" s="6" t="s">
        <v>51</v>
      </c>
      <c r="G747" s="11" t="s">
        <v>56</v>
      </c>
      <c r="H747" s="10" t="s">
        <v>619</v>
      </c>
      <c r="I747" s="6" t="s">
        <v>620</v>
      </c>
      <c r="J747" s="12">
        <v>46120.871099537035</v>
      </c>
      <c r="K747" s="6" t="e" cm="1">
        <f t="array" ref="K747">LOOKUP(2^15,SEARCH(Tabela2[Palavras-Chave],Boletim[[#This Row],[Objeto]],1),Tabela2[Palavras-Chave])</f>
        <v>#N/A</v>
      </c>
    </row>
    <row r="748" spans="1:11" hidden="1" x14ac:dyDescent="0.3">
      <c r="A748" s="5">
        <v>18804407</v>
      </c>
      <c r="B748" s="6" t="s">
        <v>621</v>
      </c>
      <c r="C748" s="6" t="s">
        <v>622</v>
      </c>
      <c r="D748" s="8" t="s">
        <v>54</v>
      </c>
      <c r="E748" s="6" t="s">
        <v>55</v>
      </c>
      <c r="F748" s="6" t="s">
        <v>51</v>
      </c>
      <c r="G748" s="11" t="s">
        <v>56</v>
      </c>
      <c r="H748" s="10" t="s">
        <v>623</v>
      </c>
      <c r="I748" s="6" t="s">
        <v>90</v>
      </c>
      <c r="J748" s="12">
        <v>46120.883460648147</v>
      </c>
      <c r="K748" s="6" t="e" cm="1">
        <f t="array" ref="K748">LOOKUP(2^15,SEARCH(Tabela2[Palavras-Chave],Boletim[[#This Row],[Objeto]],1),Tabela2[Palavras-Chave])</f>
        <v>#N/A</v>
      </c>
    </row>
    <row r="749" spans="1:11" hidden="1" x14ac:dyDescent="0.3">
      <c r="A749" s="5">
        <v>18806451</v>
      </c>
      <c r="B749" s="6" t="s">
        <v>624</v>
      </c>
      <c r="C749" s="6" t="s">
        <v>622</v>
      </c>
      <c r="D749" s="8" t="s">
        <v>54</v>
      </c>
      <c r="E749" s="6" t="s">
        <v>110</v>
      </c>
      <c r="F749" s="6" t="s">
        <v>51</v>
      </c>
      <c r="G749" s="11">
        <v>46125.333333333336</v>
      </c>
      <c r="H749" s="10" t="s">
        <v>625</v>
      </c>
      <c r="I749" s="6" t="s">
        <v>626</v>
      </c>
      <c r="J749" s="12">
        <v>46120.888020833336</v>
      </c>
      <c r="K749" s="6" t="e" cm="1">
        <f t="array" ref="K749">LOOKUP(2^15,SEARCH(Tabela2[Palavras-Chave],Boletim[[#This Row],[Objeto]],1),Tabela2[Palavras-Chave])</f>
        <v>#N/A</v>
      </c>
    </row>
    <row r="750" spans="1:11" hidden="1" x14ac:dyDescent="0.3">
      <c r="A750" s="5">
        <v>18800857</v>
      </c>
      <c r="B750" s="6" t="s">
        <v>627</v>
      </c>
      <c r="C750" s="6" t="s">
        <v>628</v>
      </c>
      <c r="D750" s="8" t="s">
        <v>60</v>
      </c>
      <c r="E750" s="6" t="s">
        <v>629</v>
      </c>
      <c r="F750" s="6" t="s">
        <v>51</v>
      </c>
      <c r="G750" s="11">
        <v>46122.645833333336</v>
      </c>
      <c r="H750" s="10" t="s">
        <v>630</v>
      </c>
      <c r="I750" s="6" t="s">
        <v>631</v>
      </c>
      <c r="J750" s="12">
        <v>46120.409097222226</v>
      </c>
      <c r="K750" s="6" t="e" cm="1">
        <f t="array" ref="K750">LOOKUP(2^15,SEARCH(Tabela2[Palavras-Chave],Boletim[[#This Row],[Objeto]],1),Tabela2[Palavras-Chave])</f>
        <v>#N/A</v>
      </c>
    </row>
    <row r="751" spans="1:11" hidden="1" x14ac:dyDescent="0.3">
      <c r="A751" s="5">
        <v>18800907</v>
      </c>
      <c r="B751" s="6" t="s">
        <v>632</v>
      </c>
      <c r="C751" s="6" t="s">
        <v>59</v>
      </c>
      <c r="D751" s="8" t="s">
        <v>60</v>
      </c>
      <c r="E751" s="6" t="s">
        <v>633</v>
      </c>
      <c r="F751" s="6" t="s">
        <v>51</v>
      </c>
      <c r="G751" s="11">
        <v>46122.666666666664</v>
      </c>
      <c r="H751" s="10" t="s">
        <v>634</v>
      </c>
      <c r="I751" s="6" t="s">
        <v>635</v>
      </c>
      <c r="J751" s="12">
        <v>46120.409097222226</v>
      </c>
      <c r="K751" s="6" t="e" cm="1">
        <f t="array" ref="K751">LOOKUP(2^15,SEARCH(Tabela2[Palavras-Chave],Boletim[[#This Row],[Objeto]],1),Tabela2[Palavras-Chave])</f>
        <v>#N/A</v>
      </c>
    </row>
    <row r="752" spans="1:11" hidden="1" x14ac:dyDescent="0.3">
      <c r="A752" s="5">
        <v>18800905</v>
      </c>
      <c r="B752" s="6" t="s">
        <v>636</v>
      </c>
      <c r="C752" s="6" t="s">
        <v>59</v>
      </c>
      <c r="D752" s="8" t="s">
        <v>60</v>
      </c>
      <c r="E752" s="6" t="s">
        <v>637</v>
      </c>
      <c r="F752" s="6" t="s">
        <v>51</v>
      </c>
      <c r="G752" s="11">
        <v>46122.604166666664</v>
      </c>
      <c r="H752" s="10" t="s">
        <v>638</v>
      </c>
      <c r="I752" s="6" t="s">
        <v>639</v>
      </c>
      <c r="J752" s="12">
        <v>46120.409097222226</v>
      </c>
      <c r="K752" s="6" t="e" cm="1">
        <f t="array" ref="K752">LOOKUP(2^15,SEARCH(Tabela2[Palavras-Chave],Boletim[[#This Row],[Objeto]],1),Tabela2[Palavras-Chave])</f>
        <v>#N/A</v>
      </c>
    </row>
    <row r="753" spans="1:11" hidden="1" x14ac:dyDescent="0.3">
      <c r="A753" s="5">
        <v>18800828</v>
      </c>
      <c r="B753" s="6" t="s">
        <v>640</v>
      </c>
      <c r="C753" s="6" t="s">
        <v>641</v>
      </c>
      <c r="D753" s="8" t="s">
        <v>60</v>
      </c>
      <c r="E753" s="6" t="s">
        <v>642</v>
      </c>
      <c r="F753" s="6" t="s">
        <v>51</v>
      </c>
      <c r="G753" s="11">
        <v>46122.625</v>
      </c>
      <c r="H753" s="10" t="s">
        <v>643</v>
      </c>
      <c r="I753" s="6" t="s">
        <v>644</v>
      </c>
      <c r="J753" s="12">
        <v>46120.409108796295</v>
      </c>
      <c r="K753" s="6" t="e" cm="1">
        <f t="array" ref="K753">LOOKUP(2^15,SEARCH(Tabela2[Palavras-Chave],Boletim[[#This Row],[Objeto]],1),Tabela2[Palavras-Chave])</f>
        <v>#N/A</v>
      </c>
    </row>
    <row r="754" spans="1:11" hidden="1" x14ac:dyDescent="0.3">
      <c r="A754" s="5">
        <v>18800866</v>
      </c>
      <c r="B754" s="6" t="s">
        <v>645</v>
      </c>
      <c r="C754" s="6" t="s">
        <v>59</v>
      </c>
      <c r="D754" s="8" t="s">
        <v>60</v>
      </c>
      <c r="E754" s="6" t="s">
        <v>646</v>
      </c>
      <c r="F754" s="6" t="s">
        <v>51</v>
      </c>
      <c r="G754" s="11">
        <v>46122.625</v>
      </c>
      <c r="H754" s="10" t="s">
        <v>647</v>
      </c>
      <c r="I754" s="6" t="s">
        <v>648</v>
      </c>
      <c r="J754" s="12">
        <v>46120.409131944441</v>
      </c>
      <c r="K754" s="6" t="e" cm="1">
        <f t="array" ref="K754">LOOKUP(2^15,SEARCH(Tabela2[Palavras-Chave],Boletim[[#This Row],[Objeto]],1),Tabela2[Palavras-Chave])</f>
        <v>#N/A</v>
      </c>
    </row>
    <row r="755" spans="1:11" hidden="1" x14ac:dyDescent="0.3">
      <c r="A755" s="5">
        <v>18801870</v>
      </c>
      <c r="B755" s="6" t="s">
        <v>194</v>
      </c>
      <c r="C755" s="6" t="s">
        <v>59</v>
      </c>
      <c r="D755" s="8" t="s">
        <v>60</v>
      </c>
      <c r="E755" s="6" t="s">
        <v>2697</v>
      </c>
      <c r="F755" s="6" t="s">
        <v>51</v>
      </c>
      <c r="G755" s="11" t="s">
        <v>56</v>
      </c>
      <c r="H755" s="10" t="s">
        <v>2698</v>
      </c>
      <c r="I755" s="6" t="s">
        <v>90</v>
      </c>
      <c r="J755" s="12">
        <v>46120.437280092592</v>
      </c>
      <c r="K755" s="6" t="e" cm="1">
        <f t="array" ref="K755">LOOKUP(2^15,SEARCH(Tabela2[Palavras-Chave],Boletim[[#This Row],[Objeto]],1),Tabela2[Palavras-Chave])</f>
        <v>#N/A</v>
      </c>
    </row>
    <row r="756" spans="1:11" hidden="1" x14ac:dyDescent="0.3">
      <c r="A756" s="5">
        <v>18801869</v>
      </c>
      <c r="B756" s="6" t="s">
        <v>194</v>
      </c>
      <c r="C756" s="6" t="s">
        <v>59</v>
      </c>
      <c r="D756" s="8" t="s">
        <v>60</v>
      </c>
      <c r="E756" s="6" t="s">
        <v>2699</v>
      </c>
      <c r="F756" s="6" t="s">
        <v>51</v>
      </c>
      <c r="G756" s="11" t="s">
        <v>56</v>
      </c>
      <c r="H756" s="10" t="s">
        <v>2700</v>
      </c>
      <c r="I756" s="6" t="s">
        <v>90</v>
      </c>
      <c r="J756" s="12">
        <v>46120.437326388892</v>
      </c>
      <c r="K756" s="6" t="e" cm="1">
        <f t="array" ref="K756">LOOKUP(2^15,SEARCH(Tabela2[Palavras-Chave],Boletim[[#This Row],[Objeto]],1),Tabela2[Palavras-Chave])</f>
        <v>#N/A</v>
      </c>
    </row>
    <row r="757" spans="1:11" hidden="1" x14ac:dyDescent="0.3">
      <c r="A757" s="5">
        <v>18801859</v>
      </c>
      <c r="B757" s="6" t="s">
        <v>194</v>
      </c>
      <c r="C757" s="6" t="s">
        <v>59</v>
      </c>
      <c r="D757" s="8" t="s">
        <v>60</v>
      </c>
      <c r="E757" s="6" t="s">
        <v>2701</v>
      </c>
      <c r="F757" s="6" t="s">
        <v>51</v>
      </c>
      <c r="G757" s="11" t="s">
        <v>56</v>
      </c>
      <c r="H757" s="10" t="s">
        <v>2702</v>
      </c>
      <c r="I757" s="6" t="s">
        <v>90</v>
      </c>
      <c r="J757" s="12">
        <v>46120.437673611108</v>
      </c>
      <c r="K757" s="6" t="e" cm="1">
        <f t="array" ref="K757">LOOKUP(2^15,SEARCH(Tabela2[Palavras-Chave],Boletim[[#This Row],[Objeto]],1),Tabela2[Palavras-Chave])</f>
        <v>#N/A</v>
      </c>
    </row>
    <row r="758" spans="1:11" hidden="1" x14ac:dyDescent="0.3">
      <c r="A758" s="5">
        <v>18801856</v>
      </c>
      <c r="B758" s="6" t="s">
        <v>194</v>
      </c>
      <c r="C758" s="6" t="s">
        <v>59</v>
      </c>
      <c r="D758" s="8" t="s">
        <v>60</v>
      </c>
      <c r="E758" s="6" t="s">
        <v>649</v>
      </c>
      <c r="F758" s="6" t="s">
        <v>51</v>
      </c>
      <c r="G758" s="11" t="s">
        <v>56</v>
      </c>
      <c r="H758" s="10" t="s">
        <v>650</v>
      </c>
      <c r="I758" s="6" t="s">
        <v>90</v>
      </c>
      <c r="J758" s="12">
        <v>46120.437731481485</v>
      </c>
      <c r="K758" s="6" t="e" cm="1">
        <f t="array" ref="K758">LOOKUP(2^15,SEARCH(Tabela2[Palavras-Chave],Boletim[[#This Row],[Objeto]],1),Tabela2[Palavras-Chave])</f>
        <v>#N/A</v>
      </c>
    </row>
    <row r="759" spans="1:11" hidden="1" x14ac:dyDescent="0.3">
      <c r="A759" s="5">
        <v>18801317</v>
      </c>
      <c r="B759" s="6" t="s">
        <v>651</v>
      </c>
      <c r="C759" s="6" t="s">
        <v>319</v>
      </c>
      <c r="D759" s="8" t="s">
        <v>60</v>
      </c>
      <c r="E759" s="6" t="s">
        <v>652</v>
      </c>
      <c r="F759" s="6" t="s">
        <v>51</v>
      </c>
      <c r="G759" s="11">
        <v>46125.333333333336</v>
      </c>
      <c r="H759" s="10" t="s">
        <v>653</v>
      </c>
      <c r="I759" s="6" t="s">
        <v>654</v>
      </c>
      <c r="J759" s="12">
        <v>46120.459224537037</v>
      </c>
      <c r="K759" s="6" t="e" cm="1">
        <f t="array" ref="K759">LOOKUP(2^15,SEARCH(Tabela2[Palavras-Chave],Boletim[[#This Row],[Objeto]],1),Tabela2[Palavras-Chave])</f>
        <v>#N/A</v>
      </c>
    </row>
    <row r="760" spans="1:11" hidden="1" x14ac:dyDescent="0.3">
      <c r="A760" s="5">
        <v>18765089</v>
      </c>
      <c r="B760" s="6" t="s">
        <v>74</v>
      </c>
      <c r="C760" s="6" t="s">
        <v>59</v>
      </c>
      <c r="D760" s="8" t="s">
        <v>60</v>
      </c>
      <c r="E760" s="6" t="s">
        <v>2703</v>
      </c>
      <c r="F760" s="6" t="s">
        <v>51</v>
      </c>
      <c r="G760" s="11" t="s">
        <v>56</v>
      </c>
      <c r="H760" s="10" t="s">
        <v>2704</v>
      </c>
      <c r="I760" s="6" t="s">
        <v>2705</v>
      </c>
      <c r="J760" s="12">
        <v>46120.468124999999</v>
      </c>
      <c r="K760" s="6" t="e" cm="1">
        <f t="array" ref="K760">LOOKUP(2^15,SEARCH(Tabela2[Palavras-Chave],Boletim[[#This Row],[Objeto]],1),Tabela2[Palavras-Chave])</f>
        <v>#N/A</v>
      </c>
    </row>
    <row r="761" spans="1:11" hidden="1" x14ac:dyDescent="0.3">
      <c r="A761" s="5">
        <v>18801851</v>
      </c>
      <c r="B761" s="6" t="s">
        <v>194</v>
      </c>
      <c r="C761" s="6" t="s">
        <v>59</v>
      </c>
      <c r="D761" s="8" t="s">
        <v>60</v>
      </c>
      <c r="E761" s="6" t="s">
        <v>2706</v>
      </c>
      <c r="F761" s="6" t="s">
        <v>51</v>
      </c>
      <c r="G761" s="11" t="s">
        <v>56</v>
      </c>
      <c r="H761" s="10" t="s">
        <v>2707</v>
      </c>
      <c r="I761" s="6" t="s">
        <v>90</v>
      </c>
      <c r="J761" s="12">
        <v>46120.505798611113</v>
      </c>
      <c r="K761" s="6" t="e" cm="1">
        <f t="array" ref="K761">LOOKUP(2^15,SEARCH(Tabela2[Palavras-Chave],Boletim[[#This Row],[Objeto]],1),Tabela2[Palavras-Chave])</f>
        <v>#N/A</v>
      </c>
    </row>
    <row r="762" spans="1:11" hidden="1" x14ac:dyDescent="0.3">
      <c r="A762" s="5">
        <v>18802164</v>
      </c>
      <c r="B762" s="6" t="s">
        <v>321</v>
      </c>
      <c r="C762" s="6" t="s">
        <v>59</v>
      </c>
      <c r="D762" s="8" t="s">
        <v>60</v>
      </c>
      <c r="E762" s="6" t="s">
        <v>655</v>
      </c>
      <c r="F762" s="6" t="s">
        <v>51</v>
      </c>
      <c r="G762" s="11">
        <v>46126.333333333336</v>
      </c>
      <c r="H762" s="10" t="s">
        <v>656</v>
      </c>
      <c r="I762" s="6" t="s">
        <v>657</v>
      </c>
      <c r="J762" s="12">
        <v>46120.510428240741</v>
      </c>
      <c r="K762" s="6" t="e" cm="1">
        <f t="array" ref="K762">LOOKUP(2^15,SEARCH(Tabela2[Palavras-Chave],Boletim[[#This Row],[Objeto]],1),Tabela2[Palavras-Chave])</f>
        <v>#N/A</v>
      </c>
    </row>
    <row r="763" spans="1:11" hidden="1" x14ac:dyDescent="0.3">
      <c r="A763" s="5">
        <v>18801865</v>
      </c>
      <c r="B763" s="6" t="s">
        <v>194</v>
      </c>
      <c r="C763" s="6" t="s">
        <v>59</v>
      </c>
      <c r="D763" s="8" t="s">
        <v>60</v>
      </c>
      <c r="E763" s="6" t="s">
        <v>2708</v>
      </c>
      <c r="F763" s="6" t="s">
        <v>51</v>
      </c>
      <c r="G763" s="11" t="s">
        <v>56</v>
      </c>
      <c r="H763" s="10" t="s">
        <v>2709</v>
      </c>
      <c r="I763" s="6" t="s">
        <v>90</v>
      </c>
      <c r="J763" s="12">
        <v>46120.526076388887</v>
      </c>
      <c r="K763" s="6" t="e" cm="1">
        <f t="array" ref="K763">LOOKUP(2^15,SEARCH(Tabela2[Palavras-Chave],Boletim[[#This Row],[Objeto]],1),Tabela2[Palavras-Chave])</f>
        <v>#N/A</v>
      </c>
    </row>
    <row r="764" spans="1:11" hidden="1" x14ac:dyDescent="0.3">
      <c r="A764" s="5">
        <v>18801860</v>
      </c>
      <c r="B764" s="6" t="s">
        <v>194</v>
      </c>
      <c r="C764" s="6" t="s">
        <v>59</v>
      </c>
      <c r="D764" s="8" t="s">
        <v>60</v>
      </c>
      <c r="E764" s="6" t="s">
        <v>2710</v>
      </c>
      <c r="F764" s="6" t="s">
        <v>51</v>
      </c>
      <c r="G764" s="11" t="s">
        <v>56</v>
      </c>
      <c r="H764" s="10" t="s">
        <v>2711</v>
      </c>
      <c r="I764" s="6" t="s">
        <v>90</v>
      </c>
      <c r="J764" s="12">
        <v>46120.526122685187</v>
      </c>
      <c r="K764" s="6" t="e" cm="1">
        <f t="array" ref="K764">LOOKUP(2^15,SEARCH(Tabela2[Palavras-Chave],Boletim[[#This Row],[Objeto]],1),Tabela2[Palavras-Chave])</f>
        <v>#N/A</v>
      </c>
    </row>
    <row r="765" spans="1:11" hidden="1" x14ac:dyDescent="0.3">
      <c r="A765" s="5">
        <v>18802082</v>
      </c>
      <c r="B765" s="6" t="s">
        <v>658</v>
      </c>
      <c r="C765" s="6" t="s">
        <v>59</v>
      </c>
      <c r="D765" s="8" t="s">
        <v>60</v>
      </c>
      <c r="E765" s="6" t="s">
        <v>659</v>
      </c>
      <c r="F765" s="6" t="s">
        <v>51</v>
      </c>
      <c r="G765" s="11">
        <v>46126.333333333336</v>
      </c>
      <c r="H765" s="10" t="s">
        <v>660</v>
      </c>
      <c r="I765" s="6" t="s">
        <v>661</v>
      </c>
      <c r="J765" s="12">
        <v>46120.528645833336</v>
      </c>
      <c r="K765" s="6" t="e" cm="1">
        <f t="array" ref="K765">LOOKUP(2^15,SEARCH(Tabela2[Palavras-Chave],Boletim[[#This Row],[Objeto]],1),Tabela2[Palavras-Chave])</f>
        <v>#N/A</v>
      </c>
    </row>
    <row r="766" spans="1:11" hidden="1" x14ac:dyDescent="0.3">
      <c r="A766" s="5">
        <v>18801850</v>
      </c>
      <c r="B766" s="6" t="s">
        <v>194</v>
      </c>
      <c r="C766" s="6" t="s">
        <v>59</v>
      </c>
      <c r="D766" s="8" t="s">
        <v>60</v>
      </c>
      <c r="E766" s="6" t="s">
        <v>662</v>
      </c>
      <c r="F766" s="6" t="s">
        <v>51</v>
      </c>
      <c r="G766" s="11" t="s">
        <v>56</v>
      </c>
      <c r="H766" s="10" t="s">
        <v>663</v>
      </c>
      <c r="I766" s="6" t="s">
        <v>90</v>
      </c>
      <c r="J766" s="12">
        <v>46120.544814814813</v>
      </c>
      <c r="K766" s="6" t="e" cm="1">
        <f t="array" ref="K766">LOOKUP(2^15,SEARCH(Tabela2[Palavras-Chave],Boletim[[#This Row],[Objeto]],1),Tabela2[Palavras-Chave])</f>
        <v>#N/A</v>
      </c>
    </row>
    <row r="767" spans="1:11" hidden="1" x14ac:dyDescent="0.3">
      <c r="A767" s="5">
        <v>18801268</v>
      </c>
      <c r="B767" s="6" t="s">
        <v>664</v>
      </c>
      <c r="C767" s="6" t="s">
        <v>251</v>
      </c>
      <c r="D767" s="8" t="s">
        <v>60</v>
      </c>
      <c r="E767" s="6" t="s">
        <v>665</v>
      </c>
      <c r="F767" s="6" t="s">
        <v>51</v>
      </c>
      <c r="G767" s="11">
        <v>46122.75</v>
      </c>
      <c r="H767" s="10" t="s">
        <v>666</v>
      </c>
      <c r="I767" s="6" t="s">
        <v>667</v>
      </c>
      <c r="J767" s="12">
        <v>46120.555405092593</v>
      </c>
      <c r="K767" s="6" t="e" cm="1">
        <f t="array" ref="K767">LOOKUP(2^15,SEARCH(Tabela2[Palavras-Chave],Boletim[[#This Row],[Objeto]],1),Tabela2[Palavras-Chave])</f>
        <v>#N/A</v>
      </c>
    </row>
    <row r="768" spans="1:11" hidden="1" x14ac:dyDescent="0.3">
      <c r="A768" s="5">
        <v>18801863</v>
      </c>
      <c r="B768" s="6" t="s">
        <v>194</v>
      </c>
      <c r="C768" s="6" t="s">
        <v>59</v>
      </c>
      <c r="D768" s="8" t="s">
        <v>60</v>
      </c>
      <c r="E768" s="6" t="s">
        <v>2712</v>
      </c>
      <c r="F768" s="6" t="s">
        <v>51</v>
      </c>
      <c r="G768" s="11" t="s">
        <v>56</v>
      </c>
      <c r="H768" s="10" t="s">
        <v>2713</v>
      </c>
      <c r="I768" s="6" t="s">
        <v>90</v>
      </c>
      <c r="J768" s="12">
        <v>46120.555879629632</v>
      </c>
      <c r="K768" s="6" t="e" cm="1">
        <f t="array" ref="K768">LOOKUP(2^15,SEARCH(Tabela2[Palavras-Chave],Boletim[[#This Row],[Objeto]],1),Tabela2[Palavras-Chave])</f>
        <v>#N/A</v>
      </c>
    </row>
    <row r="769" spans="1:11" hidden="1" x14ac:dyDescent="0.3">
      <c r="A769" s="5">
        <v>18801855</v>
      </c>
      <c r="B769" s="6" t="s">
        <v>194</v>
      </c>
      <c r="C769" s="6" t="s">
        <v>59</v>
      </c>
      <c r="D769" s="8" t="s">
        <v>60</v>
      </c>
      <c r="E769" s="6" t="s">
        <v>668</v>
      </c>
      <c r="F769" s="6" t="s">
        <v>51</v>
      </c>
      <c r="G769" s="11" t="s">
        <v>56</v>
      </c>
      <c r="H769" s="10" t="s">
        <v>669</v>
      </c>
      <c r="I769" s="6" t="s">
        <v>90</v>
      </c>
      <c r="J769" s="12">
        <v>46120.556620370371</v>
      </c>
      <c r="K769" s="6" t="e" cm="1">
        <f t="array" ref="K769">LOOKUP(2^15,SEARCH(Tabela2[Palavras-Chave],Boletim[[#This Row],[Objeto]],1),Tabela2[Palavras-Chave])</f>
        <v>#N/A</v>
      </c>
    </row>
    <row r="770" spans="1:11" hidden="1" x14ac:dyDescent="0.3">
      <c r="A770" s="5">
        <v>18803282</v>
      </c>
      <c r="B770" s="6" t="s">
        <v>670</v>
      </c>
      <c r="C770" s="6" t="s">
        <v>319</v>
      </c>
      <c r="D770" s="8" t="s">
        <v>60</v>
      </c>
      <c r="E770" s="6" t="s">
        <v>671</v>
      </c>
      <c r="F770" s="6" t="s">
        <v>51</v>
      </c>
      <c r="G770" s="11">
        <v>46125.375</v>
      </c>
      <c r="H770" s="10" t="s">
        <v>672</v>
      </c>
      <c r="I770" s="6" t="s">
        <v>673</v>
      </c>
      <c r="J770" s="12">
        <v>46120.590520833335</v>
      </c>
      <c r="K770" s="6" t="e" cm="1">
        <f t="array" ref="K770">LOOKUP(2^15,SEARCH(Tabela2[Palavras-Chave],Boletim[[#This Row],[Objeto]],1),Tabela2[Palavras-Chave])</f>
        <v>#N/A</v>
      </c>
    </row>
    <row r="771" spans="1:11" hidden="1" x14ac:dyDescent="0.3">
      <c r="A771" s="5">
        <v>18779904</v>
      </c>
      <c r="B771" s="6" t="s">
        <v>217</v>
      </c>
      <c r="C771" s="6" t="s">
        <v>59</v>
      </c>
      <c r="D771" s="8" t="s">
        <v>60</v>
      </c>
      <c r="E771" s="6" t="s">
        <v>674</v>
      </c>
      <c r="F771" s="6" t="s">
        <v>51</v>
      </c>
      <c r="G771" s="11" t="s">
        <v>56</v>
      </c>
      <c r="H771" s="10" t="s">
        <v>675</v>
      </c>
      <c r="I771" s="6" t="s">
        <v>138</v>
      </c>
      <c r="J771" s="12">
        <v>46120.600752314815</v>
      </c>
      <c r="K771" s="6" t="e" cm="1">
        <f t="array" ref="K771">LOOKUP(2^15,SEARCH(Tabela2[Palavras-Chave],Boletim[[#This Row],[Objeto]],1),Tabela2[Palavras-Chave])</f>
        <v>#N/A</v>
      </c>
    </row>
    <row r="772" spans="1:11" hidden="1" x14ac:dyDescent="0.3">
      <c r="A772" s="5">
        <v>18801314</v>
      </c>
      <c r="B772" s="6" t="s">
        <v>676</v>
      </c>
      <c r="C772" s="6" t="s">
        <v>59</v>
      </c>
      <c r="D772" s="8" t="s">
        <v>60</v>
      </c>
      <c r="E772" s="6" t="s">
        <v>677</v>
      </c>
      <c r="F772" s="6" t="s">
        <v>51</v>
      </c>
      <c r="G772" s="11">
        <v>46122.708333333336</v>
      </c>
      <c r="H772" s="10" t="s">
        <v>678</v>
      </c>
      <c r="I772" s="6" t="s">
        <v>679</v>
      </c>
      <c r="J772" s="12">
        <v>46120.661111111112</v>
      </c>
      <c r="K772" s="6" t="e" cm="1">
        <f t="array" ref="K772">LOOKUP(2^15,SEARCH(Tabela2[Palavras-Chave],Boletim[[#This Row],[Objeto]],1),Tabela2[Palavras-Chave])</f>
        <v>#N/A</v>
      </c>
    </row>
    <row r="773" spans="1:11" hidden="1" x14ac:dyDescent="0.3">
      <c r="A773" s="5">
        <v>18803303</v>
      </c>
      <c r="B773" s="6" t="s">
        <v>680</v>
      </c>
      <c r="C773" s="6" t="s">
        <v>681</v>
      </c>
      <c r="D773" s="8" t="s">
        <v>60</v>
      </c>
      <c r="E773" s="6" t="s">
        <v>682</v>
      </c>
      <c r="F773" s="6" t="s">
        <v>51</v>
      </c>
      <c r="G773" s="11">
        <v>46125.5</v>
      </c>
      <c r="H773" s="10" t="s">
        <v>683</v>
      </c>
      <c r="I773" s="6" t="s">
        <v>684</v>
      </c>
      <c r="J773" s="12">
        <v>46120.672372685185</v>
      </c>
      <c r="K773" s="6" t="e" cm="1">
        <f t="array" ref="K773">LOOKUP(2^15,SEARCH(Tabela2[Palavras-Chave],Boletim[[#This Row],[Objeto]],1),Tabela2[Palavras-Chave])</f>
        <v>#N/A</v>
      </c>
    </row>
    <row r="774" spans="1:11" hidden="1" x14ac:dyDescent="0.3">
      <c r="A774" s="5">
        <v>18801277</v>
      </c>
      <c r="B774" s="6" t="s">
        <v>685</v>
      </c>
      <c r="C774" s="6" t="s">
        <v>356</v>
      </c>
      <c r="D774" s="8" t="s">
        <v>60</v>
      </c>
      <c r="E774" s="6" t="s">
        <v>686</v>
      </c>
      <c r="F774" s="6" t="s">
        <v>51</v>
      </c>
      <c r="G774" s="11">
        <v>46125.333333333336</v>
      </c>
      <c r="H774" s="10" t="s">
        <v>687</v>
      </c>
      <c r="I774" s="6" t="s">
        <v>688</v>
      </c>
      <c r="J774" s="12">
        <v>46120.671655092592</v>
      </c>
      <c r="K774" s="6" t="e" cm="1">
        <f t="array" ref="K774">LOOKUP(2^15,SEARCH(Tabela2[Palavras-Chave],Boletim[[#This Row],[Objeto]],1),Tabela2[Palavras-Chave])</f>
        <v>#N/A</v>
      </c>
    </row>
    <row r="775" spans="1:11" hidden="1" x14ac:dyDescent="0.3">
      <c r="A775" s="5">
        <v>18803290</v>
      </c>
      <c r="B775" s="6" t="s">
        <v>689</v>
      </c>
      <c r="C775" s="6" t="s">
        <v>59</v>
      </c>
      <c r="D775" s="8" t="s">
        <v>60</v>
      </c>
      <c r="E775" s="6" t="s">
        <v>690</v>
      </c>
      <c r="F775" s="6" t="s">
        <v>51</v>
      </c>
      <c r="G775" s="11">
        <v>46125.416666666664</v>
      </c>
      <c r="H775" s="10" t="s">
        <v>691</v>
      </c>
      <c r="I775" s="6" t="s">
        <v>692</v>
      </c>
      <c r="J775" s="12">
        <v>46120.672372685185</v>
      </c>
      <c r="K775" s="6" t="e" cm="1">
        <f t="array" ref="K775">LOOKUP(2^15,SEARCH(Tabela2[Palavras-Chave],Boletim[[#This Row],[Objeto]],1),Tabela2[Palavras-Chave])</f>
        <v>#N/A</v>
      </c>
    </row>
    <row r="776" spans="1:11" hidden="1" x14ac:dyDescent="0.3">
      <c r="A776" s="5">
        <v>18804589</v>
      </c>
      <c r="B776" s="6" t="s">
        <v>323</v>
      </c>
      <c r="C776" s="6" t="s">
        <v>252</v>
      </c>
      <c r="D776" s="8" t="s">
        <v>60</v>
      </c>
      <c r="E776" s="6" t="s">
        <v>693</v>
      </c>
      <c r="F776" s="6" t="s">
        <v>51</v>
      </c>
      <c r="G776" s="11">
        <v>46125.458333333336</v>
      </c>
      <c r="H776" s="10" t="s">
        <v>694</v>
      </c>
      <c r="I776" s="6" t="s">
        <v>695</v>
      </c>
      <c r="J776" s="12">
        <v>46120.675000000003</v>
      </c>
      <c r="K776" s="6" t="e" cm="1">
        <f t="array" ref="K776">LOOKUP(2^15,SEARCH(Tabela2[Palavras-Chave],Boletim[[#This Row],[Objeto]],1),Tabela2[Palavras-Chave])</f>
        <v>#N/A</v>
      </c>
    </row>
    <row r="777" spans="1:11" hidden="1" x14ac:dyDescent="0.3">
      <c r="A777" s="5">
        <v>18804416</v>
      </c>
      <c r="B777" s="6" t="s">
        <v>696</v>
      </c>
      <c r="C777" s="6" t="s">
        <v>697</v>
      </c>
      <c r="D777" s="8" t="s">
        <v>60</v>
      </c>
      <c r="E777" s="6" t="s">
        <v>698</v>
      </c>
      <c r="F777" s="6" t="s">
        <v>51</v>
      </c>
      <c r="G777" s="11">
        <v>46125.479166666664</v>
      </c>
      <c r="H777" s="10" t="s">
        <v>699</v>
      </c>
      <c r="I777" s="6" t="s">
        <v>700</v>
      </c>
      <c r="J777" s="12">
        <v>46120.679907407408</v>
      </c>
      <c r="K777" s="6" t="e" cm="1">
        <f t="array" ref="K777">LOOKUP(2^15,SEARCH(Tabela2[Palavras-Chave],Boletim[[#This Row],[Objeto]],1),Tabela2[Palavras-Chave])</f>
        <v>#N/A</v>
      </c>
    </row>
    <row r="778" spans="1:11" hidden="1" x14ac:dyDescent="0.3">
      <c r="A778" s="5">
        <v>18801767</v>
      </c>
      <c r="B778" s="6" t="s">
        <v>2714</v>
      </c>
      <c r="C778" s="6" t="s">
        <v>336</v>
      </c>
      <c r="D778" s="8" t="s">
        <v>60</v>
      </c>
      <c r="E778" s="6" t="s">
        <v>118</v>
      </c>
      <c r="F778" s="6" t="s">
        <v>51</v>
      </c>
      <c r="G778" s="11">
        <v>46122.625</v>
      </c>
      <c r="H778" s="10" t="s">
        <v>2715</v>
      </c>
      <c r="I778" s="6" t="s">
        <v>2716</v>
      </c>
      <c r="J778" s="12">
        <v>46120.701481481483</v>
      </c>
      <c r="K778" s="6" t="e" cm="1">
        <f t="array" ref="K778">LOOKUP(2^15,SEARCH(Tabela2[Palavras-Chave],Boletim[[#This Row],[Objeto]],1),Tabela2[Palavras-Chave])</f>
        <v>#N/A</v>
      </c>
    </row>
    <row r="779" spans="1:11" ht="57.6" x14ac:dyDescent="0.3">
      <c r="A779" s="5">
        <v>18802468</v>
      </c>
      <c r="B779" s="6" t="s">
        <v>701</v>
      </c>
      <c r="C779" s="6" t="s">
        <v>702</v>
      </c>
      <c r="D779" s="8" t="s">
        <v>60</v>
      </c>
      <c r="E779" s="6" t="s">
        <v>141</v>
      </c>
      <c r="F779" s="6" t="s">
        <v>51</v>
      </c>
      <c r="G779" s="11">
        <v>46122.645833333336</v>
      </c>
      <c r="H779" s="21" t="s">
        <v>703</v>
      </c>
      <c r="I779" s="6" t="s">
        <v>704</v>
      </c>
      <c r="J779" s="12">
        <v>46120.731099537035</v>
      </c>
      <c r="K779" s="6" t="str" cm="1">
        <f t="array" ref="K779">LOOKUP(2^15,SEARCH(Tabela2[Palavras-Chave],Boletim[[#This Row],[Objeto]],1),Tabela2[Palavras-Chave])</f>
        <v>EFICIÊNCIA</v>
      </c>
    </row>
    <row r="780" spans="1:11" hidden="1" x14ac:dyDescent="0.3">
      <c r="A780" s="5">
        <v>18803280</v>
      </c>
      <c r="B780" s="6" t="s">
        <v>645</v>
      </c>
      <c r="C780" s="6" t="s">
        <v>59</v>
      </c>
      <c r="D780" s="8" t="s">
        <v>60</v>
      </c>
      <c r="E780" s="6" t="s">
        <v>705</v>
      </c>
      <c r="F780" s="6" t="s">
        <v>51</v>
      </c>
      <c r="G780" s="11">
        <v>46126.458333333336</v>
      </c>
      <c r="H780" s="10" t="s">
        <v>706</v>
      </c>
      <c r="I780" s="6" t="s">
        <v>707</v>
      </c>
      <c r="J780" s="12">
        <v>46120.735613425924</v>
      </c>
      <c r="K780" s="6" t="e" cm="1">
        <f t="array" ref="K780">LOOKUP(2^15,SEARCH(Tabela2[Palavras-Chave],Boletim[[#This Row],[Objeto]],1),Tabela2[Palavras-Chave])</f>
        <v>#N/A</v>
      </c>
    </row>
    <row r="781" spans="1:11" hidden="1" x14ac:dyDescent="0.3">
      <c r="A781" s="5">
        <v>18803326</v>
      </c>
      <c r="B781" s="6" t="s">
        <v>708</v>
      </c>
      <c r="C781" s="6" t="s">
        <v>628</v>
      </c>
      <c r="D781" s="8" t="s">
        <v>60</v>
      </c>
      <c r="E781" s="6" t="s">
        <v>709</v>
      </c>
      <c r="F781" s="6" t="s">
        <v>51</v>
      </c>
      <c r="G781" s="11">
        <v>46125.375</v>
      </c>
      <c r="H781" s="10" t="s">
        <v>710</v>
      </c>
      <c r="I781" s="6" t="s">
        <v>711</v>
      </c>
      <c r="J781" s="12">
        <v>46120.738599537035</v>
      </c>
      <c r="K781" s="6" t="e" cm="1">
        <f t="array" ref="K781">LOOKUP(2^15,SEARCH(Tabela2[Palavras-Chave],Boletim[[#This Row],[Objeto]],1),Tabela2[Palavras-Chave])</f>
        <v>#N/A</v>
      </c>
    </row>
    <row r="782" spans="1:11" hidden="1" x14ac:dyDescent="0.3">
      <c r="A782" s="5">
        <v>18801867</v>
      </c>
      <c r="B782" s="6" t="s">
        <v>194</v>
      </c>
      <c r="C782" s="6" t="s">
        <v>59</v>
      </c>
      <c r="D782" s="8" t="s">
        <v>60</v>
      </c>
      <c r="E782" s="6" t="s">
        <v>2717</v>
      </c>
      <c r="F782" s="6" t="s">
        <v>51</v>
      </c>
      <c r="G782" s="11" t="s">
        <v>56</v>
      </c>
      <c r="H782" s="10" t="s">
        <v>2718</v>
      </c>
      <c r="I782" s="6" t="s">
        <v>90</v>
      </c>
      <c r="J782" s="12">
        <v>46120.755393518521</v>
      </c>
      <c r="K782" s="6" t="e" cm="1">
        <f t="array" ref="K782">LOOKUP(2^15,SEARCH(Tabela2[Palavras-Chave],Boletim[[#This Row],[Objeto]],1),Tabela2[Palavras-Chave])</f>
        <v>#N/A</v>
      </c>
    </row>
    <row r="783" spans="1:11" hidden="1" x14ac:dyDescent="0.3">
      <c r="A783" s="5">
        <v>18804559</v>
      </c>
      <c r="B783" s="6" t="s">
        <v>712</v>
      </c>
      <c r="C783" s="6" t="s">
        <v>713</v>
      </c>
      <c r="D783" s="8" t="s">
        <v>60</v>
      </c>
      <c r="E783" s="6" t="s">
        <v>714</v>
      </c>
      <c r="F783" s="6" t="s">
        <v>51</v>
      </c>
      <c r="G783" s="11">
        <v>46125.5</v>
      </c>
      <c r="H783" s="10" t="s">
        <v>715</v>
      </c>
      <c r="I783" s="6" t="s">
        <v>716</v>
      </c>
      <c r="J783" s="12">
        <v>46120.758923611109</v>
      </c>
      <c r="K783" s="6" t="e" cm="1">
        <f t="array" ref="K783">LOOKUP(2^15,SEARCH(Tabela2[Palavras-Chave],Boletim[[#This Row],[Objeto]],1),Tabela2[Palavras-Chave])</f>
        <v>#N/A</v>
      </c>
    </row>
    <row r="784" spans="1:11" hidden="1" x14ac:dyDescent="0.3">
      <c r="A784" s="5">
        <v>18804563</v>
      </c>
      <c r="B784" s="6" t="s">
        <v>717</v>
      </c>
      <c r="C784" s="6" t="s">
        <v>59</v>
      </c>
      <c r="D784" s="8" t="s">
        <v>60</v>
      </c>
      <c r="E784" s="6" t="s">
        <v>718</v>
      </c>
      <c r="F784" s="6" t="s">
        <v>51</v>
      </c>
      <c r="G784" s="11">
        <v>46126.5</v>
      </c>
      <c r="H784" s="10" t="s">
        <v>719</v>
      </c>
      <c r="I784" s="6" t="s">
        <v>720</v>
      </c>
      <c r="J784" s="12">
        <v>46120.759201388886</v>
      </c>
      <c r="K784" s="6" t="e" cm="1">
        <f t="array" ref="K784">LOOKUP(2^15,SEARCH(Tabela2[Palavras-Chave],Boletim[[#This Row],[Objeto]],1),Tabela2[Palavras-Chave])</f>
        <v>#N/A</v>
      </c>
    </row>
    <row r="785" spans="1:11" hidden="1" x14ac:dyDescent="0.3">
      <c r="A785" s="5">
        <v>18805724</v>
      </c>
      <c r="B785" s="6" t="s">
        <v>2719</v>
      </c>
      <c r="C785" s="6" t="s">
        <v>319</v>
      </c>
      <c r="D785" s="8" t="s">
        <v>60</v>
      </c>
      <c r="E785" s="6" t="s">
        <v>110</v>
      </c>
      <c r="F785" s="6" t="s">
        <v>51</v>
      </c>
      <c r="G785" s="11" t="s">
        <v>56</v>
      </c>
      <c r="H785" s="10" t="s">
        <v>2720</v>
      </c>
      <c r="I785" s="6" t="s">
        <v>2721</v>
      </c>
      <c r="J785" s="12">
        <v>46120.762812499997</v>
      </c>
      <c r="K785" s="6" t="e" cm="1">
        <f t="array" ref="K785">LOOKUP(2^15,SEARCH(Tabela2[Palavras-Chave],Boletim[[#This Row],[Objeto]],1),Tabela2[Palavras-Chave])</f>
        <v>#N/A</v>
      </c>
    </row>
    <row r="786" spans="1:11" hidden="1" x14ac:dyDescent="0.3">
      <c r="A786" s="5">
        <v>18804506</v>
      </c>
      <c r="B786" s="6" t="s">
        <v>721</v>
      </c>
      <c r="C786" s="6" t="s">
        <v>697</v>
      </c>
      <c r="D786" s="8" t="s">
        <v>60</v>
      </c>
      <c r="E786" s="6" t="s">
        <v>722</v>
      </c>
      <c r="F786" s="6" t="s">
        <v>51</v>
      </c>
      <c r="G786" s="11">
        <v>46125.520833333336</v>
      </c>
      <c r="H786" s="10" t="s">
        <v>723</v>
      </c>
      <c r="I786" s="6" t="s">
        <v>724</v>
      </c>
      <c r="J786" s="12">
        <v>46120.766944444447</v>
      </c>
      <c r="K786" s="6" t="e" cm="1">
        <f t="array" ref="K786">LOOKUP(2^15,SEARCH(Tabela2[Palavras-Chave],Boletim[[#This Row],[Objeto]],1),Tabela2[Palavras-Chave])</f>
        <v>#N/A</v>
      </c>
    </row>
    <row r="787" spans="1:11" hidden="1" x14ac:dyDescent="0.3">
      <c r="A787" s="5">
        <v>18805799</v>
      </c>
      <c r="B787" s="6" t="s">
        <v>322</v>
      </c>
      <c r="C787" s="6" t="s">
        <v>59</v>
      </c>
      <c r="D787" s="8" t="s">
        <v>60</v>
      </c>
      <c r="E787" s="6" t="s">
        <v>725</v>
      </c>
      <c r="F787" s="6" t="s">
        <v>51</v>
      </c>
      <c r="G787" s="11">
        <v>46122.416666666664</v>
      </c>
      <c r="H787" s="10" t="s">
        <v>726</v>
      </c>
      <c r="I787" s="6" t="s">
        <v>727</v>
      </c>
      <c r="J787" s="12">
        <v>46120.770335648151</v>
      </c>
      <c r="K787" s="6" t="e" cm="1">
        <f t="array" ref="K787">LOOKUP(2^15,SEARCH(Tabela2[Palavras-Chave],Boletim[[#This Row],[Objeto]],1),Tabela2[Palavras-Chave])</f>
        <v>#N/A</v>
      </c>
    </row>
    <row r="788" spans="1:11" hidden="1" x14ac:dyDescent="0.3">
      <c r="A788" s="5">
        <v>18805786</v>
      </c>
      <c r="B788" s="6" t="s">
        <v>322</v>
      </c>
      <c r="C788" s="6" t="s">
        <v>59</v>
      </c>
      <c r="D788" s="8" t="s">
        <v>60</v>
      </c>
      <c r="E788" s="6" t="s">
        <v>728</v>
      </c>
      <c r="F788" s="6" t="s">
        <v>51</v>
      </c>
      <c r="G788" s="11">
        <v>46121.458333333336</v>
      </c>
      <c r="H788" s="10" t="s">
        <v>726</v>
      </c>
      <c r="I788" s="6" t="s">
        <v>727</v>
      </c>
      <c r="J788" s="12">
        <v>46120.77039351852</v>
      </c>
      <c r="K788" s="6" t="e" cm="1">
        <f t="array" ref="K788">LOOKUP(2^15,SEARCH(Tabela2[Palavras-Chave],Boletim[[#This Row],[Objeto]],1),Tabela2[Palavras-Chave])</f>
        <v>#N/A</v>
      </c>
    </row>
    <row r="789" spans="1:11" hidden="1" x14ac:dyDescent="0.3">
      <c r="A789" s="5">
        <v>18801847</v>
      </c>
      <c r="B789" s="6" t="s">
        <v>194</v>
      </c>
      <c r="C789" s="6" t="s">
        <v>59</v>
      </c>
      <c r="D789" s="8" t="s">
        <v>60</v>
      </c>
      <c r="E789" s="6" t="s">
        <v>2722</v>
      </c>
      <c r="F789" s="6" t="s">
        <v>51</v>
      </c>
      <c r="G789" s="11" t="s">
        <v>56</v>
      </c>
      <c r="H789" s="10" t="s">
        <v>2723</v>
      </c>
      <c r="I789" s="6" t="s">
        <v>90</v>
      </c>
      <c r="J789" s="12">
        <v>46120.780613425923</v>
      </c>
      <c r="K789" s="6" t="e" cm="1">
        <f t="array" ref="K789">LOOKUP(2^15,SEARCH(Tabela2[Palavras-Chave],Boletim[[#This Row],[Objeto]],1),Tabela2[Palavras-Chave])</f>
        <v>#N/A</v>
      </c>
    </row>
    <row r="790" spans="1:11" hidden="1" x14ac:dyDescent="0.3">
      <c r="A790" s="5">
        <v>18805914</v>
      </c>
      <c r="B790" s="6" t="s">
        <v>729</v>
      </c>
      <c r="C790" s="6" t="s">
        <v>59</v>
      </c>
      <c r="D790" s="8" t="s">
        <v>60</v>
      </c>
      <c r="E790" s="6" t="s">
        <v>730</v>
      </c>
      <c r="F790" s="6" t="s">
        <v>51</v>
      </c>
      <c r="G790" s="11">
        <v>46128.333333333336</v>
      </c>
      <c r="H790" s="10" t="s">
        <v>731</v>
      </c>
      <c r="I790" s="6" t="s">
        <v>732</v>
      </c>
      <c r="J790" s="12">
        <v>46120.785381944443</v>
      </c>
      <c r="K790" s="6" t="e" cm="1">
        <f t="array" ref="K790">LOOKUP(2^15,SEARCH(Tabela2[Palavras-Chave],Boletim[[#This Row],[Objeto]],1),Tabela2[Palavras-Chave])</f>
        <v>#N/A</v>
      </c>
    </row>
    <row r="791" spans="1:11" hidden="1" x14ac:dyDescent="0.3">
      <c r="A791" s="5">
        <v>18805898</v>
      </c>
      <c r="B791" s="6" t="s">
        <v>733</v>
      </c>
      <c r="C791" s="6" t="s">
        <v>59</v>
      </c>
      <c r="D791" s="8" t="s">
        <v>60</v>
      </c>
      <c r="E791" s="6" t="s">
        <v>734</v>
      </c>
      <c r="F791" s="6" t="s">
        <v>51</v>
      </c>
      <c r="G791" s="11">
        <v>46126.5</v>
      </c>
      <c r="H791" s="10" t="s">
        <v>735</v>
      </c>
      <c r="I791" s="6" t="s">
        <v>736</v>
      </c>
      <c r="J791" s="12">
        <v>46120.78601851852</v>
      </c>
      <c r="K791" s="6" t="e" cm="1">
        <f t="array" ref="K791">LOOKUP(2^15,SEARCH(Tabela2[Palavras-Chave],Boletim[[#This Row],[Objeto]],1),Tabela2[Palavras-Chave])</f>
        <v>#N/A</v>
      </c>
    </row>
    <row r="792" spans="1:11" hidden="1" x14ac:dyDescent="0.3">
      <c r="A792" s="5">
        <v>18805878</v>
      </c>
      <c r="B792" s="6" t="s">
        <v>737</v>
      </c>
      <c r="C792" s="6" t="s">
        <v>738</v>
      </c>
      <c r="D792" s="8" t="s">
        <v>60</v>
      </c>
      <c r="E792" s="6" t="s">
        <v>739</v>
      </c>
      <c r="F792" s="6" t="s">
        <v>51</v>
      </c>
      <c r="G792" s="11">
        <v>46126.583333333336</v>
      </c>
      <c r="H792" s="10" t="s">
        <v>740</v>
      </c>
      <c r="I792" s="6" t="s">
        <v>741</v>
      </c>
      <c r="J792" s="12">
        <v>46120.786527777775</v>
      </c>
      <c r="K792" s="6" t="e" cm="1">
        <f t="array" ref="K792">LOOKUP(2^15,SEARCH(Tabela2[Palavras-Chave],Boletim[[#This Row],[Objeto]],1),Tabela2[Palavras-Chave])</f>
        <v>#N/A</v>
      </c>
    </row>
    <row r="793" spans="1:11" hidden="1" x14ac:dyDescent="0.3">
      <c r="A793" s="5">
        <v>18801861</v>
      </c>
      <c r="B793" s="6" t="s">
        <v>194</v>
      </c>
      <c r="C793" s="6" t="s">
        <v>59</v>
      </c>
      <c r="D793" s="8" t="s">
        <v>60</v>
      </c>
      <c r="E793" s="6" t="s">
        <v>2724</v>
      </c>
      <c r="F793" s="6" t="s">
        <v>51</v>
      </c>
      <c r="G793" s="11" t="s">
        <v>56</v>
      </c>
      <c r="H793" s="10" t="s">
        <v>2725</v>
      </c>
      <c r="I793" s="6" t="s">
        <v>90</v>
      </c>
      <c r="J793" s="12">
        <v>46120.787974537037</v>
      </c>
      <c r="K793" s="6" t="e" cm="1">
        <f t="array" ref="K793">LOOKUP(2^15,SEARCH(Tabela2[Palavras-Chave],Boletim[[#This Row],[Objeto]],1),Tabela2[Palavras-Chave])</f>
        <v>#N/A</v>
      </c>
    </row>
    <row r="794" spans="1:11" hidden="1" x14ac:dyDescent="0.3">
      <c r="A794" s="5">
        <v>18801383</v>
      </c>
      <c r="B794" s="6" t="s">
        <v>645</v>
      </c>
      <c r="C794" s="6" t="s">
        <v>59</v>
      </c>
      <c r="D794" s="8" t="s">
        <v>60</v>
      </c>
      <c r="E794" s="6" t="s">
        <v>742</v>
      </c>
      <c r="F794" s="6" t="s">
        <v>51</v>
      </c>
      <c r="G794" s="11">
        <v>46126.375</v>
      </c>
      <c r="H794" s="10" t="s">
        <v>743</v>
      </c>
      <c r="I794" s="6" t="s">
        <v>744</v>
      </c>
      <c r="J794" s="12">
        <v>46120.817175925928</v>
      </c>
      <c r="K794" s="6" t="e" cm="1">
        <f t="array" ref="K794">LOOKUP(2^15,SEARCH(Tabela2[Palavras-Chave],Boletim[[#This Row],[Objeto]],1),Tabela2[Palavras-Chave])</f>
        <v>#N/A</v>
      </c>
    </row>
    <row r="795" spans="1:11" hidden="1" x14ac:dyDescent="0.3">
      <c r="A795" s="5">
        <v>18745593</v>
      </c>
      <c r="B795" s="6" t="s">
        <v>151</v>
      </c>
      <c r="C795" s="6" t="s">
        <v>59</v>
      </c>
      <c r="D795" s="8" t="s">
        <v>60</v>
      </c>
      <c r="E795" s="6" t="s">
        <v>745</v>
      </c>
      <c r="F795" s="6" t="s">
        <v>51</v>
      </c>
      <c r="G795" s="11">
        <v>46125.381944444445</v>
      </c>
      <c r="H795" s="10" t="s">
        <v>746</v>
      </c>
      <c r="I795" s="6" t="s">
        <v>747</v>
      </c>
      <c r="J795" s="12">
        <v>46120.872384259259</v>
      </c>
      <c r="K795" s="6" t="e" cm="1">
        <f t="array" ref="K795">LOOKUP(2^15,SEARCH(Tabela2[Palavras-Chave],Boletim[[#This Row],[Objeto]],1),Tabela2[Palavras-Chave])</f>
        <v>#N/A</v>
      </c>
    </row>
    <row r="796" spans="1:11" hidden="1" x14ac:dyDescent="0.3">
      <c r="A796" s="5">
        <v>18801885</v>
      </c>
      <c r="B796" s="6" t="s">
        <v>191</v>
      </c>
      <c r="C796" s="6" t="s">
        <v>88</v>
      </c>
      <c r="D796" s="8" t="s">
        <v>63</v>
      </c>
      <c r="E796" s="6" t="s">
        <v>748</v>
      </c>
      <c r="F796" s="6" t="s">
        <v>51</v>
      </c>
      <c r="G796" s="11" t="s">
        <v>56</v>
      </c>
      <c r="H796" s="10" t="s">
        <v>749</v>
      </c>
      <c r="I796" s="6" t="s">
        <v>90</v>
      </c>
      <c r="J796" s="12">
        <v>46120.573784722219</v>
      </c>
      <c r="K796" s="6" t="e" cm="1">
        <f t="array" ref="K796">LOOKUP(2^15,SEARCH(Tabela2[Palavras-Chave],Boletim[[#This Row],[Objeto]],1),Tabela2[Palavras-Chave])</f>
        <v>#N/A</v>
      </c>
    </row>
    <row r="797" spans="1:11" hidden="1" x14ac:dyDescent="0.3">
      <c r="A797" s="5">
        <v>18802048</v>
      </c>
      <c r="B797" s="6" t="s">
        <v>1389</v>
      </c>
      <c r="C797" s="6" t="s">
        <v>1390</v>
      </c>
      <c r="D797" s="8" t="s">
        <v>63</v>
      </c>
      <c r="E797" s="6" t="s">
        <v>2726</v>
      </c>
      <c r="F797" s="6" t="s">
        <v>51</v>
      </c>
      <c r="G797" s="11">
        <v>46122.666666666664</v>
      </c>
      <c r="H797" s="10" t="s">
        <v>2727</v>
      </c>
      <c r="I797" s="6" t="s">
        <v>2728</v>
      </c>
      <c r="J797" s="12">
        <v>46120.714143518519</v>
      </c>
      <c r="K797" s="6" t="e" cm="1">
        <f t="array" ref="K797">LOOKUP(2^15,SEARCH(Tabela2[Palavras-Chave],Boletim[[#This Row],[Objeto]],1),Tabela2[Palavras-Chave])</f>
        <v>#N/A</v>
      </c>
    </row>
    <row r="798" spans="1:11" hidden="1" x14ac:dyDescent="0.3">
      <c r="A798" s="5">
        <v>18801898</v>
      </c>
      <c r="B798" s="6" t="s">
        <v>325</v>
      </c>
      <c r="C798" s="6" t="s">
        <v>213</v>
      </c>
      <c r="D798" s="8" t="s">
        <v>64</v>
      </c>
      <c r="E798" s="6" t="s">
        <v>750</v>
      </c>
      <c r="F798" s="6" t="s">
        <v>51</v>
      </c>
      <c r="G798" s="11" t="s">
        <v>56</v>
      </c>
      <c r="H798" s="10" t="s">
        <v>751</v>
      </c>
      <c r="I798" s="6" t="s">
        <v>752</v>
      </c>
      <c r="J798" s="12">
        <v>46120.521504629629</v>
      </c>
      <c r="K798" s="6" t="e" cm="1">
        <f t="array" ref="K798">LOOKUP(2^15,SEARCH(Tabela2[Palavras-Chave],Boletim[[#This Row],[Objeto]],1),Tabela2[Palavras-Chave])</f>
        <v>#N/A</v>
      </c>
    </row>
    <row r="799" spans="1:11" hidden="1" x14ac:dyDescent="0.3">
      <c r="A799" s="5">
        <v>18801901</v>
      </c>
      <c r="B799" s="6" t="s">
        <v>753</v>
      </c>
      <c r="C799" s="6" t="s">
        <v>213</v>
      </c>
      <c r="D799" s="8" t="s">
        <v>64</v>
      </c>
      <c r="E799" s="6" t="s">
        <v>754</v>
      </c>
      <c r="F799" s="6" t="s">
        <v>51</v>
      </c>
      <c r="G799" s="11" t="s">
        <v>56</v>
      </c>
      <c r="H799" s="10" t="s">
        <v>755</v>
      </c>
      <c r="I799" s="6" t="s">
        <v>752</v>
      </c>
      <c r="J799" s="12">
        <v>46120.521562499998</v>
      </c>
      <c r="K799" s="6" t="e" cm="1">
        <f t="array" ref="K799">LOOKUP(2^15,SEARCH(Tabela2[Palavras-Chave],Boletim[[#This Row],[Objeto]],1),Tabela2[Palavras-Chave])</f>
        <v>#N/A</v>
      </c>
    </row>
    <row r="800" spans="1:11" x14ac:dyDescent="0.3">
      <c r="A800" s="5">
        <v>18801900</v>
      </c>
      <c r="B800" s="6" t="s">
        <v>325</v>
      </c>
      <c r="C800" s="6" t="s">
        <v>213</v>
      </c>
      <c r="D800" s="8" t="s">
        <v>64</v>
      </c>
      <c r="E800" s="6" t="s">
        <v>756</v>
      </c>
      <c r="F800" s="6" t="s">
        <v>51</v>
      </c>
      <c r="G800" s="11" t="s">
        <v>56</v>
      </c>
      <c r="H800" s="21" t="s">
        <v>757</v>
      </c>
      <c r="I800" s="6" t="s">
        <v>758</v>
      </c>
      <c r="J800" s="12">
        <v>46120.583182870374</v>
      </c>
      <c r="K800" s="6" t="str" cm="1">
        <f t="array" ref="K800">LOOKUP(2^15,SEARCH(Tabela2[Palavras-Chave],Boletim[[#This Row],[Objeto]],1),Tabela2[Palavras-Chave])</f>
        <v>RESERVAT</v>
      </c>
    </row>
    <row r="801" spans="1:11" hidden="1" x14ac:dyDescent="0.3">
      <c r="A801" s="5">
        <v>18803718</v>
      </c>
      <c r="B801" s="6" t="s">
        <v>759</v>
      </c>
      <c r="C801" s="6" t="s">
        <v>760</v>
      </c>
      <c r="D801" s="8" t="s">
        <v>64</v>
      </c>
      <c r="E801" s="6" t="s">
        <v>761</v>
      </c>
      <c r="F801" s="6" t="s">
        <v>51</v>
      </c>
      <c r="G801" s="11">
        <v>46121.625</v>
      </c>
      <c r="H801" s="10" t="s">
        <v>762</v>
      </c>
      <c r="I801" s="6" t="s">
        <v>763</v>
      </c>
      <c r="J801" s="12">
        <v>46120.737905092596</v>
      </c>
      <c r="K801" s="6" t="e" cm="1">
        <f t="array" ref="K801">LOOKUP(2^15,SEARCH(Tabela2[Palavras-Chave],Boletim[[#This Row],[Objeto]],1),Tabela2[Palavras-Chave])</f>
        <v>#N/A</v>
      </c>
    </row>
    <row r="802" spans="1:11" hidden="1" x14ac:dyDescent="0.3">
      <c r="A802" s="5">
        <v>18804483</v>
      </c>
      <c r="B802" s="6" t="s">
        <v>764</v>
      </c>
      <c r="C802" s="6" t="s">
        <v>765</v>
      </c>
      <c r="D802" s="8" t="s">
        <v>64</v>
      </c>
      <c r="E802" s="6" t="s">
        <v>766</v>
      </c>
      <c r="F802" s="6" t="s">
        <v>51</v>
      </c>
      <c r="G802" s="11">
        <v>46125.486805555556</v>
      </c>
      <c r="H802" s="10" t="s">
        <v>767</v>
      </c>
      <c r="I802" s="6" t="s">
        <v>768</v>
      </c>
      <c r="J802" s="12">
        <v>46120.743287037039</v>
      </c>
      <c r="K802" s="6" t="e" cm="1">
        <f t="array" ref="K802">LOOKUP(2^15,SEARCH(Tabela2[Palavras-Chave],Boletim[[#This Row],[Objeto]],1),Tabela2[Palavras-Chave])</f>
        <v>#N/A</v>
      </c>
    </row>
    <row r="803" spans="1:11" hidden="1" x14ac:dyDescent="0.3">
      <c r="A803" s="5">
        <v>18801364</v>
      </c>
      <c r="B803" s="6" t="s">
        <v>2729</v>
      </c>
      <c r="C803" s="6" t="s">
        <v>101</v>
      </c>
      <c r="D803" s="8" t="s">
        <v>64</v>
      </c>
      <c r="E803" s="6" t="s">
        <v>2730</v>
      </c>
      <c r="F803" s="6" t="s">
        <v>51</v>
      </c>
      <c r="G803" s="11">
        <v>46127.333333333336</v>
      </c>
      <c r="H803" s="10" t="s">
        <v>2731</v>
      </c>
      <c r="I803" s="6" t="s">
        <v>2732</v>
      </c>
      <c r="J803" s="12">
        <v>46120.754374999997</v>
      </c>
      <c r="K803" s="6" t="e" cm="1">
        <f t="array" ref="K803">LOOKUP(2^15,SEARCH(Tabela2[Palavras-Chave],Boletim[[#This Row],[Objeto]],1),Tabela2[Palavras-Chave])</f>
        <v>#N/A</v>
      </c>
    </row>
    <row r="804" spans="1:11" hidden="1" x14ac:dyDescent="0.3">
      <c r="A804" s="5">
        <v>18805552</v>
      </c>
      <c r="B804" s="6" t="s">
        <v>2733</v>
      </c>
      <c r="C804" s="6" t="s">
        <v>2734</v>
      </c>
      <c r="D804" s="8" t="s">
        <v>64</v>
      </c>
      <c r="E804" s="6" t="s">
        <v>180</v>
      </c>
      <c r="F804" s="6" t="s">
        <v>51</v>
      </c>
      <c r="G804" s="11">
        <v>46125</v>
      </c>
      <c r="H804" s="10" t="s">
        <v>2735</v>
      </c>
      <c r="I804" s="6" t="s">
        <v>2736</v>
      </c>
      <c r="J804" s="12">
        <v>46120.77553240741</v>
      </c>
      <c r="K804" s="6" t="e" cm="1">
        <f t="array" ref="K804">LOOKUP(2^15,SEARCH(Tabela2[Palavras-Chave],Boletim[[#This Row],[Objeto]],1),Tabela2[Palavras-Chave])</f>
        <v>#N/A</v>
      </c>
    </row>
    <row r="805" spans="1:11" hidden="1" x14ac:dyDescent="0.3">
      <c r="A805" s="5">
        <v>18805852</v>
      </c>
      <c r="B805" s="6" t="s">
        <v>214</v>
      </c>
      <c r="C805" s="6" t="s">
        <v>215</v>
      </c>
      <c r="D805" s="8" t="s">
        <v>64</v>
      </c>
      <c r="E805" s="6" t="s">
        <v>769</v>
      </c>
      <c r="F805" s="6" t="s">
        <v>51</v>
      </c>
      <c r="G805" s="11">
        <v>46125.575694444444</v>
      </c>
      <c r="H805" s="10" t="s">
        <v>770</v>
      </c>
      <c r="I805" s="6" t="s">
        <v>771</v>
      </c>
      <c r="J805" s="12">
        <v>46120.787291666667</v>
      </c>
      <c r="K805" s="6" t="e" cm="1">
        <f t="array" ref="K805">LOOKUP(2^15,SEARCH(Tabela2[Palavras-Chave],Boletim[[#This Row],[Objeto]],1),Tabela2[Palavras-Chave])</f>
        <v>#N/A</v>
      </c>
    </row>
    <row r="806" spans="1:11" hidden="1" x14ac:dyDescent="0.3">
      <c r="A806" s="5">
        <v>18805891</v>
      </c>
      <c r="B806" s="6" t="s">
        <v>772</v>
      </c>
      <c r="C806" s="6" t="s">
        <v>101</v>
      </c>
      <c r="D806" s="8" t="s">
        <v>64</v>
      </c>
      <c r="E806" s="6" t="s">
        <v>351</v>
      </c>
      <c r="F806" s="6" t="s">
        <v>51</v>
      </c>
      <c r="G806" s="11">
        <v>46126.333333333336</v>
      </c>
      <c r="H806" s="10" t="s">
        <v>773</v>
      </c>
      <c r="I806" s="6" t="s">
        <v>774</v>
      </c>
      <c r="J806" s="12">
        <v>46120.79005787037</v>
      </c>
      <c r="K806" s="6" t="e" cm="1">
        <f t="array" ref="K806">LOOKUP(2^15,SEARCH(Tabela2[Palavras-Chave],Boletim[[#This Row],[Objeto]],1),Tabela2[Palavras-Chave])</f>
        <v>#N/A</v>
      </c>
    </row>
    <row r="807" spans="1:11" hidden="1" x14ac:dyDescent="0.3">
      <c r="A807" s="5">
        <v>18805893</v>
      </c>
      <c r="B807" s="6" t="s">
        <v>775</v>
      </c>
      <c r="C807" s="6" t="s">
        <v>215</v>
      </c>
      <c r="D807" s="8" t="s">
        <v>64</v>
      </c>
      <c r="E807" s="6" t="s">
        <v>776</v>
      </c>
      <c r="F807" s="6" t="s">
        <v>51</v>
      </c>
      <c r="G807" s="11">
        <v>46125.574999999997</v>
      </c>
      <c r="H807" s="10" t="s">
        <v>777</v>
      </c>
      <c r="I807" s="6" t="s">
        <v>778</v>
      </c>
      <c r="J807" s="12">
        <v>46120.790162037039</v>
      </c>
      <c r="K807" s="6" t="e" cm="1">
        <f t="array" ref="K807">LOOKUP(2^15,SEARCH(Tabela2[Palavras-Chave],Boletim[[#This Row],[Objeto]],1),Tabela2[Palavras-Chave])</f>
        <v>#N/A</v>
      </c>
    </row>
    <row r="808" spans="1:11" hidden="1" x14ac:dyDescent="0.3">
      <c r="A808" s="5">
        <v>18805887</v>
      </c>
      <c r="B808" s="6" t="s">
        <v>214</v>
      </c>
      <c r="C808" s="6" t="s">
        <v>215</v>
      </c>
      <c r="D808" s="8" t="s">
        <v>64</v>
      </c>
      <c r="E808" s="6" t="s">
        <v>779</v>
      </c>
      <c r="F808" s="6" t="s">
        <v>51</v>
      </c>
      <c r="G808" s="11">
        <v>46125.578472222223</v>
      </c>
      <c r="H808" s="10" t="s">
        <v>780</v>
      </c>
      <c r="I808" s="6" t="s">
        <v>781</v>
      </c>
      <c r="J808" s="12">
        <v>46120.850381944445</v>
      </c>
      <c r="K808" s="6" t="e" cm="1">
        <f t="array" ref="K808">LOOKUP(2^15,SEARCH(Tabela2[Palavras-Chave],Boletim[[#This Row],[Objeto]],1),Tabela2[Palavras-Chave])</f>
        <v>#N/A</v>
      </c>
    </row>
    <row r="809" spans="1:11" hidden="1" x14ac:dyDescent="0.3">
      <c r="A809" s="5">
        <v>18804578</v>
      </c>
      <c r="B809" s="6" t="s">
        <v>203</v>
      </c>
      <c r="C809" s="6" t="s">
        <v>204</v>
      </c>
      <c r="D809" s="8" t="s">
        <v>64</v>
      </c>
      <c r="E809" s="6" t="s">
        <v>782</v>
      </c>
      <c r="F809" s="6" t="s">
        <v>51</v>
      </c>
      <c r="G809" s="11">
        <v>46125.999305555553</v>
      </c>
      <c r="H809" s="10" t="s">
        <v>783</v>
      </c>
      <c r="I809" s="6" t="s">
        <v>784</v>
      </c>
      <c r="J809" s="12">
        <v>46120.869930555556</v>
      </c>
      <c r="K809" s="6" t="e" cm="1">
        <f t="array" ref="K809">LOOKUP(2^15,SEARCH(Tabela2[Palavras-Chave],Boletim[[#This Row],[Objeto]],1),Tabela2[Palavras-Chave])</f>
        <v>#N/A</v>
      </c>
    </row>
    <row r="810" spans="1:11" hidden="1" x14ac:dyDescent="0.3">
      <c r="A810" s="5">
        <v>18801724</v>
      </c>
      <c r="B810" s="6" t="s">
        <v>99</v>
      </c>
      <c r="C810" s="6" t="s">
        <v>65</v>
      </c>
      <c r="D810" s="8" t="s">
        <v>66</v>
      </c>
      <c r="E810" s="6" t="s">
        <v>2737</v>
      </c>
      <c r="F810" s="6" t="s">
        <v>51</v>
      </c>
      <c r="G810" s="11" t="s">
        <v>56</v>
      </c>
      <c r="H810" s="10" t="s">
        <v>2738</v>
      </c>
      <c r="I810" s="6" t="s">
        <v>132</v>
      </c>
      <c r="J810" s="12">
        <v>46120.457789351851</v>
      </c>
      <c r="K810" s="6" t="e" cm="1">
        <f t="array" ref="K810">LOOKUP(2^15,SEARCH(Tabela2[Palavras-Chave],Boletim[[#This Row],[Objeto]],1),Tabela2[Palavras-Chave])</f>
        <v>#N/A</v>
      </c>
    </row>
    <row r="811" spans="1:11" hidden="1" x14ac:dyDescent="0.3">
      <c r="A811" s="5">
        <v>18797724</v>
      </c>
      <c r="B811" s="6" t="s">
        <v>99</v>
      </c>
      <c r="C811" s="6" t="s">
        <v>65</v>
      </c>
      <c r="D811" s="8" t="s">
        <v>66</v>
      </c>
      <c r="E811" s="6" t="s">
        <v>2739</v>
      </c>
      <c r="F811" s="6" t="s">
        <v>51</v>
      </c>
      <c r="G811" s="11" t="s">
        <v>56</v>
      </c>
      <c r="H811" s="10" t="s">
        <v>2740</v>
      </c>
      <c r="I811" s="6" t="s">
        <v>131</v>
      </c>
      <c r="J811" s="12">
        <v>46120.468101851853</v>
      </c>
      <c r="K811" s="6" t="e" cm="1">
        <f t="array" ref="K811">LOOKUP(2^15,SEARCH(Tabela2[Palavras-Chave],Boletim[[#This Row],[Objeto]],1),Tabela2[Palavras-Chave])</f>
        <v>#N/A</v>
      </c>
    </row>
    <row r="812" spans="1:11" hidden="1" x14ac:dyDescent="0.3">
      <c r="A812" s="5">
        <v>18580467</v>
      </c>
      <c r="B812" s="6" t="s">
        <v>177</v>
      </c>
      <c r="C812" s="6" t="s">
        <v>65</v>
      </c>
      <c r="D812" s="8" t="s">
        <v>66</v>
      </c>
      <c r="E812" s="6" t="s">
        <v>785</v>
      </c>
      <c r="F812" s="6" t="s">
        <v>51</v>
      </c>
      <c r="G812" s="11" t="s">
        <v>56</v>
      </c>
      <c r="H812" s="10" t="s">
        <v>786</v>
      </c>
      <c r="I812" s="6" t="s">
        <v>787</v>
      </c>
      <c r="J812" s="12">
        <v>46120.468113425923</v>
      </c>
      <c r="K812" s="6" t="e" cm="1">
        <f t="array" ref="K812">LOOKUP(2^15,SEARCH(Tabela2[Palavras-Chave],Boletim[[#This Row],[Objeto]],1),Tabela2[Palavras-Chave])</f>
        <v>#N/A</v>
      </c>
    </row>
    <row r="813" spans="1:11" hidden="1" x14ac:dyDescent="0.3">
      <c r="A813" s="5">
        <v>18802347</v>
      </c>
      <c r="B813" s="6" t="s">
        <v>436</v>
      </c>
      <c r="C813" s="6" t="s">
        <v>437</v>
      </c>
      <c r="D813" s="8" t="s">
        <v>66</v>
      </c>
      <c r="E813" s="6" t="s">
        <v>788</v>
      </c>
      <c r="F813" s="6" t="s">
        <v>51</v>
      </c>
      <c r="G813" s="11" t="s">
        <v>56</v>
      </c>
      <c r="H813" s="10" t="s">
        <v>789</v>
      </c>
      <c r="I813" s="6" t="s">
        <v>790</v>
      </c>
      <c r="J813" s="12">
        <v>46120.483923611115</v>
      </c>
      <c r="K813" s="6" t="e" cm="1">
        <f t="array" ref="K813">LOOKUP(2^15,SEARCH(Tabela2[Palavras-Chave],Boletim[[#This Row],[Objeto]],1),Tabela2[Palavras-Chave])</f>
        <v>#N/A</v>
      </c>
    </row>
    <row r="814" spans="1:11" hidden="1" x14ac:dyDescent="0.3">
      <c r="A814" s="5">
        <v>18802351</v>
      </c>
      <c r="B814" s="6" t="s">
        <v>436</v>
      </c>
      <c r="C814" s="6" t="s">
        <v>437</v>
      </c>
      <c r="D814" s="8" t="s">
        <v>66</v>
      </c>
      <c r="E814" s="6" t="s">
        <v>791</v>
      </c>
      <c r="F814" s="6" t="s">
        <v>51</v>
      </c>
      <c r="G814" s="11" t="s">
        <v>56</v>
      </c>
      <c r="H814" s="10" t="s">
        <v>792</v>
      </c>
      <c r="I814" s="6" t="s">
        <v>790</v>
      </c>
      <c r="J814" s="12">
        <v>46120.484456018516</v>
      </c>
      <c r="K814" s="6" t="e" cm="1">
        <f t="array" ref="K814">LOOKUP(2^15,SEARCH(Tabela2[Palavras-Chave],Boletim[[#This Row],[Objeto]],1),Tabela2[Palavras-Chave])</f>
        <v>#N/A</v>
      </c>
    </row>
    <row r="815" spans="1:11" hidden="1" x14ac:dyDescent="0.3">
      <c r="A815" s="5">
        <v>18802349</v>
      </c>
      <c r="B815" s="6" t="s">
        <v>436</v>
      </c>
      <c r="C815" s="6" t="s">
        <v>437</v>
      </c>
      <c r="D815" s="8" t="s">
        <v>66</v>
      </c>
      <c r="E815" s="6" t="s">
        <v>793</v>
      </c>
      <c r="F815" s="6" t="s">
        <v>51</v>
      </c>
      <c r="G815" s="11" t="s">
        <v>56</v>
      </c>
      <c r="H815" s="10" t="s">
        <v>794</v>
      </c>
      <c r="I815" s="6" t="s">
        <v>790</v>
      </c>
      <c r="J815" s="12">
        <v>46120.484606481485</v>
      </c>
      <c r="K815" s="6" t="e" cm="1">
        <f t="array" ref="K815">LOOKUP(2^15,SEARCH(Tabela2[Palavras-Chave],Boletim[[#This Row],[Objeto]],1),Tabela2[Palavras-Chave])</f>
        <v>#N/A</v>
      </c>
    </row>
    <row r="816" spans="1:11" hidden="1" x14ac:dyDescent="0.3">
      <c r="A816" s="5">
        <v>18802344</v>
      </c>
      <c r="B816" s="6" t="s">
        <v>436</v>
      </c>
      <c r="C816" s="6" t="s">
        <v>437</v>
      </c>
      <c r="D816" s="8" t="s">
        <v>66</v>
      </c>
      <c r="E816" s="6" t="s">
        <v>2741</v>
      </c>
      <c r="F816" s="6" t="s">
        <v>51</v>
      </c>
      <c r="G816" s="11" t="s">
        <v>56</v>
      </c>
      <c r="H816" s="10" t="s">
        <v>2742</v>
      </c>
      <c r="I816" s="6" t="s">
        <v>2743</v>
      </c>
      <c r="J816" s="12">
        <v>46120.484930555554</v>
      </c>
      <c r="K816" s="6" t="e" cm="1">
        <f t="array" ref="K816">LOOKUP(2^15,SEARCH(Tabela2[Palavras-Chave],Boletim[[#This Row],[Objeto]],1),Tabela2[Palavras-Chave])</f>
        <v>#N/A</v>
      </c>
    </row>
    <row r="817" spans="1:11" ht="57.6" x14ac:dyDescent="0.3">
      <c r="A817" s="5">
        <v>18802338</v>
      </c>
      <c r="B817" s="6" t="s">
        <v>436</v>
      </c>
      <c r="C817" s="6" t="s">
        <v>437</v>
      </c>
      <c r="D817" s="8" t="s">
        <v>66</v>
      </c>
      <c r="E817" s="6" t="s">
        <v>2744</v>
      </c>
      <c r="F817" s="6" t="s">
        <v>51</v>
      </c>
      <c r="G817" s="11" t="s">
        <v>56</v>
      </c>
      <c r="H817" s="21" t="s">
        <v>2745</v>
      </c>
      <c r="I817" s="6" t="s">
        <v>438</v>
      </c>
      <c r="J817" s="12">
        <v>46120.486192129632</v>
      </c>
      <c r="K817" s="6" t="str" cm="1">
        <f t="array" ref="K817">LOOKUP(2^15,SEARCH(Tabela2[Palavras-Chave],Boletim[[#This Row],[Objeto]],1),Tabela2[Palavras-Chave])</f>
        <v>INOX</v>
      </c>
    </row>
    <row r="818" spans="1:11" hidden="1" x14ac:dyDescent="0.3">
      <c r="A818" s="5">
        <v>18802255</v>
      </c>
      <c r="B818" s="6" t="s">
        <v>99</v>
      </c>
      <c r="C818" s="6" t="s">
        <v>65</v>
      </c>
      <c r="D818" s="8" t="s">
        <v>66</v>
      </c>
      <c r="E818" s="6" t="s">
        <v>2746</v>
      </c>
      <c r="F818" s="6" t="s">
        <v>51</v>
      </c>
      <c r="G818" s="11" t="s">
        <v>56</v>
      </c>
      <c r="H818" s="10" t="s">
        <v>2747</v>
      </c>
      <c r="I818" s="6" t="s">
        <v>132</v>
      </c>
      <c r="J818" s="12">
        <v>46120.497511574074</v>
      </c>
      <c r="K818" s="6" t="e" cm="1">
        <f t="array" ref="K818">LOOKUP(2^15,SEARCH(Tabela2[Palavras-Chave],Boletim[[#This Row],[Objeto]],1),Tabela2[Palavras-Chave])</f>
        <v>#N/A</v>
      </c>
    </row>
    <row r="819" spans="1:11" hidden="1" x14ac:dyDescent="0.3">
      <c r="A819" s="5">
        <v>18802279</v>
      </c>
      <c r="B819" s="6" t="s">
        <v>99</v>
      </c>
      <c r="C819" s="6" t="s">
        <v>65</v>
      </c>
      <c r="D819" s="8" t="s">
        <v>66</v>
      </c>
      <c r="E819" s="6" t="s">
        <v>2748</v>
      </c>
      <c r="F819" s="6" t="s">
        <v>51</v>
      </c>
      <c r="G819" s="11" t="s">
        <v>56</v>
      </c>
      <c r="H819" s="10" t="s">
        <v>2749</v>
      </c>
      <c r="I819" s="6" t="s">
        <v>132</v>
      </c>
      <c r="J819" s="12">
        <v>46120.50236111111</v>
      </c>
      <c r="K819" s="6" t="e" cm="1">
        <f t="array" ref="K819">LOOKUP(2^15,SEARCH(Tabela2[Palavras-Chave],Boletim[[#This Row],[Objeto]],1),Tabela2[Palavras-Chave])</f>
        <v>#N/A</v>
      </c>
    </row>
    <row r="820" spans="1:11" hidden="1" x14ac:dyDescent="0.3">
      <c r="A820" s="5">
        <v>18802278</v>
      </c>
      <c r="B820" s="6" t="s">
        <v>99</v>
      </c>
      <c r="C820" s="6" t="s">
        <v>65</v>
      </c>
      <c r="D820" s="8" t="s">
        <v>66</v>
      </c>
      <c r="E820" s="6" t="s">
        <v>2750</v>
      </c>
      <c r="F820" s="6" t="s">
        <v>51</v>
      </c>
      <c r="G820" s="11" t="s">
        <v>56</v>
      </c>
      <c r="H820" s="10" t="s">
        <v>2751</v>
      </c>
      <c r="I820" s="6" t="s">
        <v>132</v>
      </c>
      <c r="J820" s="12">
        <v>46120.502476851849</v>
      </c>
      <c r="K820" s="6" t="e" cm="1">
        <f t="array" ref="K820">LOOKUP(2^15,SEARCH(Tabela2[Palavras-Chave],Boletim[[#This Row],[Objeto]],1),Tabela2[Palavras-Chave])</f>
        <v>#N/A</v>
      </c>
    </row>
    <row r="821" spans="1:11" hidden="1" x14ac:dyDescent="0.3">
      <c r="A821" s="5">
        <v>18802268</v>
      </c>
      <c r="B821" s="6" t="s">
        <v>99</v>
      </c>
      <c r="C821" s="6" t="s">
        <v>65</v>
      </c>
      <c r="D821" s="8" t="s">
        <v>66</v>
      </c>
      <c r="E821" s="6" t="s">
        <v>2752</v>
      </c>
      <c r="F821" s="6" t="s">
        <v>51</v>
      </c>
      <c r="G821" s="11" t="s">
        <v>56</v>
      </c>
      <c r="H821" s="10" t="s">
        <v>2753</v>
      </c>
      <c r="I821" s="6" t="s">
        <v>132</v>
      </c>
      <c r="J821" s="12">
        <v>46120.505312499998</v>
      </c>
      <c r="K821" s="6" t="e" cm="1">
        <f t="array" ref="K821">LOOKUP(2^15,SEARCH(Tabela2[Palavras-Chave],Boletim[[#This Row],[Objeto]],1),Tabela2[Palavras-Chave])</f>
        <v>#N/A</v>
      </c>
    </row>
    <row r="822" spans="1:11" hidden="1" x14ac:dyDescent="0.3">
      <c r="A822" s="5">
        <v>18801748</v>
      </c>
      <c r="B822" s="6" t="s">
        <v>191</v>
      </c>
      <c r="C822" s="6" t="s">
        <v>65</v>
      </c>
      <c r="D822" s="8" t="s">
        <v>66</v>
      </c>
      <c r="E822" s="6" t="s">
        <v>795</v>
      </c>
      <c r="F822" s="6" t="s">
        <v>51</v>
      </c>
      <c r="G822" s="11" t="s">
        <v>56</v>
      </c>
      <c r="H822" s="10" t="s">
        <v>796</v>
      </c>
      <c r="I822" s="6" t="s">
        <v>797</v>
      </c>
      <c r="J822" s="12">
        <v>46120.517916666664</v>
      </c>
      <c r="K822" s="6" t="e" cm="1">
        <f t="array" ref="K822">LOOKUP(2^15,SEARCH(Tabela2[Palavras-Chave],Boletim[[#This Row],[Objeto]],1),Tabela2[Palavras-Chave])</f>
        <v>#N/A</v>
      </c>
    </row>
    <row r="823" spans="1:11" hidden="1" x14ac:dyDescent="0.3">
      <c r="A823" s="5">
        <v>18803092</v>
      </c>
      <c r="B823" s="6" t="s">
        <v>798</v>
      </c>
      <c r="C823" s="6" t="s">
        <v>799</v>
      </c>
      <c r="D823" s="8" t="s">
        <v>66</v>
      </c>
      <c r="E823" s="6" t="s">
        <v>161</v>
      </c>
      <c r="F823" s="6" t="s">
        <v>51</v>
      </c>
      <c r="G823" s="11">
        <v>46129.75</v>
      </c>
      <c r="H823" s="10" t="s">
        <v>800</v>
      </c>
      <c r="I823" s="6" t="s">
        <v>801</v>
      </c>
      <c r="J823" s="12">
        <v>46120.526562500003</v>
      </c>
      <c r="K823" s="6" t="e" cm="1">
        <f t="array" ref="K823">LOOKUP(2^15,SEARCH(Tabela2[Palavras-Chave],Boletim[[#This Row],[Objeto]],1),Tabela2[Palavras-Chave])</f>
        <v>#N/A</v>
      </c>
    </row>
    <row r="824" spans="1:11" hidden="1" x14ac:dyDescent="0.3">
      <c r="A824" s="5">
        <v>18802055</v>
      </c>
      <c r="B824" s="6" t="s">
        <v>802</v>
      </c>
      <c r="C824" s="6" t="s">
        <v>803</v>
      </c>
      <c r="D824" s="8" t="s">
        <v>66</v>
      </c>
      <c r="E824" s="6" t="s">
        <v>263</v>
      </c>
      <c r="F824" s="6" t="s">
        <v>51</v>
      </c>
      <c r="G824" s="11">
        <v>46125.353472222225</v>
      </c>
      <c r="H824" s="10" t="s">
        <v>804</v>
      </c>
      <c r="I824" s="6" t="s">
        <v>805</v>
      </c>
      <c r="J824" s="12">
        <v>46120.533125000002</v>
      </c>
      <c r="K824" s="6" t="e" cm="1">
        <f t="array" ref="K824">LOOKUP(2^15,SEARCH(Tabela2[Palavras-Chave],Boletim[[#This Row],[Objeto]],1),Tabela2[Palavras-Chave])</f>
        <v>#N/A</v>
      </c>
    </row>
    <row r="825" spans="1:11" hidden="1" x14ac:dyDescent="0.3">
      <c r="A825" s="5">
        <v>18801903</v>
      </c>
      <c r="B825" s="6" t="s">
        <v>2754</v>
      </c>
      <c r="C825" s="6" t="s">
        <v>2755</v>
      </c>
      <c r="D825" s="8" t="s">
        <v>66</v>
      </c>
      <c r="E825" s="6" t="s">
        <v>145</v>
      </c>
      <c r="F825" s="6" t="s">
        <v>51</v>
      </c>
      <c r="G825" s="11">
        <v>46125.333333333336</v>
      </c>
      <c r="H825" s="10" t="s">
        <v>2756</v>
      </c>
      <c r="I825" s="6" t="s">
        <v>2757</v>
      </c>
      <c r="J825" s="12">
        <v>46120.552233796298</v>
      </c>
      <c r="K825" s="6" t="e" cm="1">
        <f t="array" ref="K825">LOOKUP(2^15,SEARCH(Tabela2[Palavras-Chave],Boletim[[#This Row],[Objeto]],1),Tabela2[Palavras-Chave])</f>
        <v>#N/A</v>
      </c>
    </row>
    <row r="826" spans="1:11" hidden="1" x14ac:dyDescent="0.3">
      <c r="A826" s="5">
        <v>18798148</v>
      </c>
      <c r="B826" s="6" t="s">
        <v>806</v>
      </c>
      <c r="C826" s="6" t="s">
        <v>360</v>
      </c>
      <c r="D826" s="8" t="s">
        <v>66</v>
      </c>
      <c r="E826" s="6" t="s">
        <v>807</v>
      </c>
      <c r="F826" s="6" t="s">
        <v>51</v>
      </c>
      <c r="G826" s="11" t="s">
        <v>56</v>
      </c>
      <c r="H826" s="10" t="s">
        <v>808</v>
      </c>
      <c r="I826" s="6" t="s">
        <v>809</v>
      </c>
      <c r="J826" s="12">
        <v>46120.586921296293</v>
      </c>
      <c r="K826" s="6" t="e" cm="1">
        <f t="array" ref="K826">LOOKUP(2^15,SEARCH(Tabela2[Palavras-Chave],Boletim[[#This Row],[Objeto]],1),Tabela2[Palavras-Chave])</f>
        <v>#N/A</v>
      </c>
    </row>
    <row r="827" spans="1:11" hidden="1" x14ac:dyDescent="0.3">
      <c r="A827" s="5">
        <v>18802252</v>
      </c>
      <c r="B827" s="6" t="s">
        <v>99</v>
      </c>
      <c r="C827" s="6" t="s">
        <v>65</v>
      </c>
      <c r="D827" s="8" t="s">
        <v>66</v>
      </c>
      <c r="E827" s="6" t="s">
        <v>2758</v>
      </c>
      <c r="F827" s="6" t="s">
        <v>51</v>
      </c>
      <c r="G827" s="11" t="s">
        <v>56</v>
      </c>
      <c r="H827" s="10" t="s">
        <v>2759</v>
      </c>
      <c r="I827" s="6" t="s">
        <v>132</v>
      </c>
      <c r="J827" s="12">
        <v>46120.608587962961</v>
      </c>
      <c r="K827" s="6" t="e" cm="1">
        <f t="array" ref="K827">LOOKUP(2^15,SEARCH(Tabela2[Palavras-Chave],Boletim[[#This Row],[Objeto]],1),Tabela2[Palavras-Chave])</f>
        <v>#N/A</v>
      </c>
    </row>
    <row r="828" spans="1:11" hidden="1" x14ac:dyDescent="0.3">
      <c r="A828" s="5">
        <v>18802265</v>
      </c>
      <c r="B828" s="6" t="s">
        <v>99</v>
      </c>
      <c r="C828" s="6" t="s">
        <v>65</v>
      </c>
      <c r="D828" s="8" t="s">
        <v>66</v>
      </c>
      <c r="E828" s="6" t="s">
        <v>2760</v>
      </c>
      <c r="F828" s="6" t="s">
        <v>51</v>
      </c>
      <c r="G828" s="11" t="s">
        <v>56</v>
      </c>
      <c r="H828" s="10" t="s">
        <v>2761</v>
      </c>
      <c r="I828" s="6" t="s">
        <v>132</v>
      </c>
      <c r="J828" s="12">
        <v>46120.639641203707</v>
      </c>
      <c r="K828" s="6" t="e" cm="1">
        <f t="array" ref="K828">LOOKUP(2^15,SEARCH(Tabela2[Palavras-Chave],Boletim[[#This Row],[Objeto]],1),Tabela2[Palavras-Chave])</f>
        <v>#N/A</v>
      </c>
    </row>
    <row r="829" spans="1:11" hidden="1" x14ac:dyDescent="0.3">
      <c r="A829" s="5">
        <v>18804319</v>
      </c>
      <c r="B829" s="6" t="s">
        <v>99</v>
      </c>
      <c r="C829" s="6" t="s">
        <v>65</v>
      </c>
      <c r="D829" s="8" t="s">
        <v>66</v>
      </c>
      <c r="E829" s="6" t="s">
        <v>2762</v>
      </c>
      <c r="F829" s="6" t="s">
        <v>51</v>
      </c>
      <c r="G829" s="11" t="s">
        <v>56</v>
      </c>
      <c r="H829" s="10" t="s">
        <v>2763</v>
      </c>
      <c r="I829" s="6" t="s">
        <v>132</v>
      </c>
      <c r="J829" s="12">
        <v>46120.641724537039</v>
      </c>
      <c r="K829" s="6" t="e" cm="1">
        <f t="array" ref="K829">LOOKUP(2^15,SEARCH(Tabela2[Palavras-Chave],Boletim[[#This Row],[Objeto]],1),Tabela2[Palavras-Chave])</f>
        <v>#N/A</v>
      </c>
    </row>
    <row r="830" spans="1:11" hidden="1" x14ac:dyDescent="0.3">
      <c r="A830" s="5">
        <v>18804316</v>
      </c>
      <c r="B830" s="6" t="s">
        <v>99</v>
      </c>
      <c r="C830" s="6" t="s">
        <v>65</v>
      </c>
      <c r="D830" s="8" t="s">
        <v>66</v>
      </c>
      <c r="E830" s="6" t="s">
        <v>2764</v>
      </c>
      <c r="F830" s="6" t="s">
        <v>51</v>
      </c>
      <c r="G830" s="11" t="s">
        <v>56</v>
      </c>
      <c r="H830" s="10" t="s">
        <v>2765</v>
      </c>
      <c r="I830" s="6" t="s">
        <v>132</v>
      </c>
      <c r="J830" s="12">
        <v>46120.641782407409</v>
      </c>
      <c r="K830" s="6" t="e" cm="1">
        <f t="array" ref="K830">LOOKUP(2^15,SEARCH(Tabela2[Palavras-Chave],Boletim[[#This Row],[Objeto]],1),Tabela2[Palavras-Chave])</f>
        <v>#N/A</v>
      </c>
    </row>
    <row r="831" spans="1:11" hidden="1" x14ac:dyDescent="0.3">
      <c r="A831" s="5">
        <v>18804310</v>
      </c>
      <c r="B831" s="6" t="s">
        <v>99</v>
      </c>
      <c r="C831" s="6" t="s">
        <v>65</v>
      </c>
      <c r="D831" s="8" t="s">
        <v>66</v>
      </c>
      <c r="E831" s="6" t="s">
        <v>810</v>
      </c>
      <c r="F831" s="6" t="s">
        <v>51</v>
      </c>
      <c r="G831" s="11" t="s">
        <v>56</v>
      </c>
      <c r="H831" s="10" t="s">
        <v>811</v>
      </c>
      <c r="I831" s="6" t="s">
        <v>132</v>
      </c>
      <c r="J831" s="12">
        <v>46120.648645833331</v>
      </c>
      <c r="K831" s="6" t="e" cm="1">
        <f t="array" ref="K831">LOOKUP(2^15,SEARCH(Tabela2[Palavras-Chave],Boletim[[#This Row],[Objeto]],1),Tabela2[Palavras-Chave])</f>
        <v>#N/A</v>
      </c>
    </row>
    <row r="832" spans="1:11" hidden="1" x14ac:dyDescent="0.3">
      <c r="A832" s="5">
        <v>18804369</v>
      </c>
      <c r="B832" s="6" t="s">
        <v>99</v>
      </c>
      <c r="C832" s="6" t="s">
        <v>65</v>
      </c>
      <c r="D832" s="8" t="s">
        <v>66</v>
      </c>
      <c r="E832" s="6" t="s">
        <v>2766</v>
      </c>
      <c r="F832" s="6" t="s">
        <v>51</v>
      </c>
      <c r="G832" s="11" t="s">
        <v>56</v>
      </c>
      <c r="H832" s="10" t="s">
        <v>2767</v>
      </c>
      <c r="I832" s="6" t="s">
        <v>132</v>
      </c>
      <c r="J832" s="12">
        <v>46120.650127314817</v>
      </c>
      <c r="K832" s="6" t="e" cm="1">
        <f t="array" ref="K832">LOOKUP(2^15,SEARCH(Tabela2[Palavras-Chave],Boletim[[#This Row],[Objeto]],1),Tabela2[Palavras-Chave])</f>
        <v>#N/A</v>
      </c>
    </row>
    <row r="833" spans="1:11" hidden="1" x14ac:dyDescent="0.3">
      <c r="A833" s="5">
        <v>18804362</v>
      </c>
      <c r="B833" s="6" t="s">
        <v>99</v>
      </c>
      <c r="C833" s="6" t="s">
        <v>65</v>
      </c>
      <c r="D833" s="8" t="s">
        <v>66</v>
      </c>
      <c r="E833" s="6" t="s">
        <v>2768</v>
      </c>
      <c r="F833" s="6" t="s">
        <v>51</v>
      </c>
      <c r="G833" s="11" t="s">
        <v>56</v>
      </c>
      <c r="H833" s="10" t="s">
        <v>2769</v>
      </c>
      <c r="I833" s="6" t="s">
        <v>132</v>
      </c>
      <c r="J833" s="12">
        <v>46120.650208333333</v>
      </c>
      <c r="K833" s="6" t="e" cm="1">
        <f t="array" ref="K833">LOOKUP(2^15,SEARCH(Tabela2[Palavras-Chave],Boletim[[#This Row],[Objeto]],1),Tabela2[Palavras-Chave])</f>
        <v>#N/A</v>
      </c>
    </row>
    <row r="834" spans="1:11" hidden="1" x14ac:dyDescent="0.3">
      <c r="A834" s="5">
        <v>18804370</v>
      </c>
      <c r="B834" s="6" t="s">
        <v>99</v>
      </c>
      <c r="C834" s="6" t="s">
        <v>65</v>
      </c>
      <c r="D834" s="8" t="s">
        <v>66</v>
      </c>
      <c r="E834" s="6" t="s">
        <v>812</v>
      </c>
      <c r="F834" s="6" t="s">
        <v>51</v>
      </c>
      <c r="G834" s="11" t="s">
        <v>56</v>
      </c>
      <c r="H834" s="10" t="s">
        <v>813</v>
      </c>
      <c r="I834" s="6" t="s">
        <v>132</v>
      </c>
      <c r="J834" s="12">
        <v>46120.65042824074</v>
      </c>
      <c r="K834" s="6" t="e" cm="1">
        <f t="array" ref="K834">LOOKUP(2^15,SEARCH(Tabela2[Palavras-Chave],Boletim[[#This Row],[Objeto]],1),Tabela2[Palavras-Chave])</f>
        <v>#N/A</v>
      </c>
    </row>
    <row r="835" spans="1:11" hidden="1" x14ac:dyDescent="0.3">
      <c r="A835" s="5">
        <v>18804367</v>
      </c>
      <c r="B835" s="6" t="s">
        <v>99</v>
      </c>
      <c r="C835" s="6" t="s">
        <v>65</v>
      </c>
      <c r="D835" s="8" t="s">
        <v>66</v>
      </c>
      <c r="E835" s="6" t="s">
        <v>2770</v>
      </c>
      <c r="F835" s="6" t="s">
        <v>51</v>
      </c>
      <c r="G835" s="11" t="s">
        <v>56</v>
      </c>
      <c r="H835" s="10" t="s">
        <v>2771</v>
      </c>
      <c r="I835" s="6" t="s">
        <v>132</v>
      </c>
      <c r="J835" s="12">
        <v>46120.650520833333</v>
      </c>
      <c r="K835" s="6" t="e" cm="1">
        <f t="array" ref="K835">LOOKUP(2^15,SEARCH(Tabela2[Palavras-Chave],Boletim[[#This Row],[Objeto]],1),Tabela2[Palavras-Chave])</f>
        <v>#N/A</v>
      </c>
    </row>
    <row r="836" spans="1:11" hidden="1" x14ac:dyDescent="0.3">
      <c r="A836" s="5">
        <v>18804366</v>
      </c>
      <c r="B836" s="6" t="s">
        <v>99</v>
      </c>
      <c r="C836" s="6" t="s">
        <v>65</v>
      </c>
      <c r="D836" s="8" t="s">
        <v>66</v>
      </c>
      <c r="E836" s="6" t="s">
        <v>814</v>
      </c>
      <c r="F836" s="6" t="s">
        <v>51</v>
      </c>
      <c r="G836" s="11" t="s">
        <v>56</v>
      </c>
      <c r="H836" s="10" t="s">
        <v>813</v>
      </c>
      <c r="I836" s="6" t="s">
        <v>132</v>
      </c>
      <c r="J836" s="12">
        <v>46120.650578703702</v>
      </c>
      <c r="K836" s="6" t="e" cm="1">
        <f t="array" ref="K836">LOOKUP(2^15,SEARCH(Tabela2[Palavras-Chave],Boletim[[#This Row],[Objeto]],1),Tabela2[Palavras-Chave])</f>
        <v>#N/A</v>
      </c>
    </row>
    <row r="837" spans="1:11" hidden="1" x14ac:dyDescent="0.3">
      <c r="A837" s="5">
        <v>18804357</v>
      </c>
      <c r="B837" s="6" t="s">
        <v>99</v>
      </c>
      <c r="C837" s="6" t="s">
        <v>65</v>
      </c>
      <c r="D837" s="8" t="s">
        <v>66</v>
      </c>
      <c r="E837" s="6" t="s">
        <v>815</v>
      </c>
      <c r="F837" s="6" t="s">
        <v>51</v>
      </c>
      <c r="G837" s="11" t="s">
        <v>56</v>
      </c>
      <c r="H837" s="10" t="s">
        <v>813</v>
      </c>
      <c r="I837" s="6" t="s">
        <v>132</v>
      </c>
      <c r="J837" s="12">
        <v>46120.650636574072</v>
      </c>
      <c r="K837" s="6" t="e" cm="1">
        <f t="array" ref="K837">LOOKUP(2^15,SEARCH(Tabela2[Palavras-Chave],Boletim[[#This Row],[Objeto]],1),Tabela2[Palavras-Chave])</f>
        <v>#N/A</v>
      </c>
    </row>
    <row r="838" spans="1:11" hidden="1" x14ac:dyDescent="0.3">
      <c r="A838" s="5">
        <v>18804358</v>
      </c>
      <c r="B838" s="6" t="s">
        <v>99</v>
      </c>
      <c r="C838" s="6" t="s">
        <v>65</v>
      </c>
      <c r="D838" s="8" t="s">
        <v>66</v>
      </c>
      <c r="E838" s="6" t="s">
        <v>2772</v>
      </c>
      <c r="F838" s="6" t="s">
        <v>51</v>
      </c>
      <c r="G838" s="11" t="s">
        <v>56</v>
      </c>
      <c r="H838" s="10" t="s">
        <v>2773</v>
      </c>
      <c r="I838" s="6" t="s">
        <v>132</v>
      </c>
      <c r="J838" s="12">
        <v>46120.650694444441</v>
      </c>
      <c r="K838" s="6" t="e" cm="1">
        <f t="array" ref="K838">LOOKUP(2^15,SEARCH(Tabela2[Palavras-Chave],Boletim[[#This Row],[Objeto]],1),Tabela2[Palavras-Chave])</f>
        <v>#N/A</v>
      </c>
    </row>
    <row r="839" spans="1:11" hidden="1" x14ac:dyDescent="0.3">
      <c r="A839" s="5">
        <v>18746682</v>
      </c>
      <c r="B839" s="6" t="s">
        <v>74</v>
      </c>
      <c r="C839" s="6" t="s">
        <v>65</v>
      </c>
      <c r="D839" s="8" t="s">
        <v>66</v>
      </c>
      <c r="E839" s="6" t="s">
        <v>816</v>
      </c>
      <c r="F839" s="6" t="s">
        <v>51</v>
      </c>
      <c r="G839" s="11" t="s">
        <v>56</v>
      </c>
      <c r="H839" s="10" t="s">
        <v>817</v>
      </c>
      <c r="I839" s="6" t="s">
        <v>818</v>
      </c>
      <c r="J839" s="12">
        <v>46120.654895833337</v>
      </c>
      <c r="K839" s="6" t="e" cm="1">
        <f t="array" ref="K839">LOOKUP(2^15,SEARCH(Tabela2[Palavras-Chave],Boletim[[#This Row],[Objeto]],1),Tabela2[Palavras-Chave])</f>
        <v>#N/A</v>
      </c>
    </row>
    <row r="840" spans="1:11" hidden="1" x14ac:dyDescent="0.3">
      <c r="A840" s="5">
        <v>18793477</v>
      </c>
      <c r="B840" s="6" t="s">
        <v>191</v>
      </c>
      <c r="C840" s="6" t="s">
        <v>65</v>
      </c>
      <c r="D840" s="8" t="s">
        <v>66</v>
      </c>
      <c r="E840" s="6" t="s">
        <v>819</v>
      </c>
      <c r="F840" s="6" t="s">
        <v>51</v>
      </c>
      <c r="G840" s="11" t="s">
        <v>56</v>
      </c>
      <c r="H840" s="10" t="s">
        <v>820</v>
      </c>
      <c r="I840" s="6" t="s">
        <v>821</v>
      </c>
      <c r="J840" s="12">
        <v>46120.655763888892</v>
      </c>
      <c r="K840" s="6" t="e" cm="1">
        <f t="array" ref="K840">LOOKUP(2^15,SEARCH(Tabela2[Palavras-Chave],Boletim[[#This Row],[Objeto]],1),Tabela2[Palavras-Chave])</f>
        <v>#N/A</v>
      </c>
    </row>
    <row r="841" spans="1:11" hidden="1" x14ac:dyDescent="0.3">
      <c r="A841" s="5">
        <v>18803283</v>
      </c>
      <c r="B841" s="6" t="s">
        <v>822</v>
      </c>
      <c r="C841" s="6" t="s">
        <v>823</v>
      </c>
      <c r="D841" s="8" t="s">
        <v>66</v>
      </c>
      <c r="E841" s="6" t="s">
        <v>824</v>
      </c>
      <c r="F841" s="6" t="s">
        <v>51</v>
      </c>
      <c r="G841" s="11">
        <v>46125.999305555553</v>
      </c>
      <c r="H841" s="10" t="s">
        <v>825</v>
      </c>
      <c r="I841" s="6" t="s">
        <v>826</v>
      </c>
      <c r="J841" s="12">
        <v>46120.66300925926</v>
      </c>
      <c r="K841" s="6" t="e" cm="1">
        <f t="array" ref="K841">LOOKUP(2^15,SEARCH(Tabela2[Palavras-Chave],Boletim[[#This Row],[Objeto]],1),Tabela2[Palavras-Chave])</f>
        <v>#N/A</v>
      </c>
    </row>
    <row r="842" spans="1:11" hidden="1" x14ac:dyDescent="0.3">
      <c r="A842" s="5">
        <v>18803652</v>
      </c>
      <c r="B842" s="6" t="s">
        <v>827</v>
      </c>
      <c r="C842" s="6" t="s">
        <v>65</v>
      </c>
      <c r="D842" s="8" t="s">
        <v>66</v>
      </c>
      <c r="E842" s="6" t="s">
        <v>828</v>
      </c>
      <c r="F842" s="6" t="s">
        <v>51</v>
      </c>
      <c r="G842" s="11">
        <v>46122.333333333336</v>
      </c>
      <c r="H842" s="10" t="s">
        <v>829</v>
      </c>
      <c r="I842" s="6" t="s">
        <v>830</v>
      </c>
      <c r="J842" s="12">
        <v>46120.66306712963</v>
      </c>
      <c r="K842" s="6" t="e" cm="1">
        <f t="array" ref="K842">LOOKUP(2^15,SEARCH(Tabela2[Palavras-Chave],Boletim[[#This Row],[Objeto]],1),Tabela2[Palavras-Chave])</f>
        <v>#N/A</v>
      </c>
    </row>
    <row r="843" spans="1:11" hidden="1" x14ac:dyDescent="0.3">
      <c r="A843" s="5">
        <v>18800769</v>
      </c>
      <c r="B843" s="6" t="s">
        <v>831</v>
      </c>
      <c r="C843" s="6" t="s">
        <v>832</v>
      </c>
      <c r="D843" s="8" t="s">
        <v>66</v>
      </c>
      <c r="E843" s="6" t="s">
        <v>129</v>
      </c>
      <c r="F843" s="6" t="s">
        <v>51</v>
      </c>
      <c r="G843" s="11" t="s">
        <v>56</v>
      </c>
      <c r="H843" s="10" t="s">
        <v>833</v>
      </c>
      <c r="I843" s="6" t="s">
        <v>834</v>
      </c>
      <c r="J843" s="12">
        <v>46120.673564814817</v>
      </c>
      <c r="K843" s="6" t="e" cm="1">
        <f t="array" ref="K843">LOOKUP(2^15,SEARCH(Tabela2[Palavras-Chave],Boletim[[#This Row],[Objeto]],1),Tabela2[Palavras-Chave])</f>
        <v>#N/A</v>
      </c>
    </row>
    <row r="844" spans="1:11" hidden="1" x14ac:dyDescent="0.3">
      <c r="A844" s="5">
        <v>18790597</v>
      </c>
      <c r="B844" s="6" t="s">
        <v>298</v>
      </c>
      <c r="C844" s="6" t="s">
        <v>299</v>
      </c>
      <c r="D844" s="8" t="s">
        <v>66</v>
      </c>
      <c r="E844" s="6" t="s">
        <v>835</v>
      </c>
      <c r="F844" s="6" t="s">
        <v>51</v>
      </c>
      <c r="G844" s="11" t="s">
        <v>56</v>
      </c>
      <c r="H844" s="10" t="s">
        <v>836</v>
      </c>
      <c r="I844" s="6" t="s">
        <v>837</v>
      </c>
      <c r="J844" s="12">
        <v>46120.677812499998</v>
      </c>
      <c r="K844" s="6" t="e" cm="1">
        <f t="array" ref="K844">LOOKUP(2^15,SEARCH(Tabela2[Palavras-Chave],Boletim[[#This Row],[Objeto]],1),Tabela2[Palavras-Chave])</f>
        <v>#N/A</v>
      </c>
    </row>
    <row r="845" spans="1:11" hidden="1" x14ac:dyDescent="0.3">
      <c r="A845" s="5">
        <v>18787795</v>
      </c>
      <c r="B845" s="6" t="s">
        <v>838</v>
      </c>
      <c r="C845" s="6" t="s">
        <v>254</v>
      </c>
      <c r="D845" s="8" t="s">
        <v>66</v>
      </c>
      <c r="E845" s="6" t="s">
        <v>839</v>
      </c>
      <c r="F845" s="6" t="s">
        <v>51</v>
      </c>
      <c r="G845" s="11" t="s">
        <v>56</v>
      </c>
      <c r="H845" s="10" t="s">
        <v>840</v>
      </c>
      <c r="I845" s="6" t="s">
        <v>841</v>
      </c>
      <c r="J845" s="12">
        <v>46120.696157407408</v>
      </c>
      <c r="K845" s="6" t="e" cm="1">
        <f t="array" ref="K845">LOOKUP(2^15,SEARCH(Tabela2[Palavras-Chave],Boletim[[#This Row],[Objeto]],1),Tabela2[Palavras-Chave])</f>
        <v>#N/A</v>
      </c>
    </row>
    <row r="846" spans="1:11" hidden="1" x14ac:dyDescent="0.3">
      <c r="A846" s="5">
        <v>18795306</v>
      </c>
      <c r="B846" s="6" t="s">
        <v>298</v>
      </c>
      <c r="C846" s="6" t="s">
        <v>299</v>
      </c>
      <c r="D846" s="8" t="s">
        <v>66</v>
      </c>
      <c r="E846" s="6" t="s">
        <v>2774</v>
      </c>
      <c r="F846" s="6" t="s">
        <v>51</v>
      </c>
      <c r="G846" s="11" t="s">
        <v>56</v>
      </c>
      <c r="H846" s="10" t="s">
        <v>2775</v>
      </c>
      <c r="I846" s="6" t="s">
        <v>837</v>
      </c>
      <c r="J846" s="12">
        <v>46120.697013888886</v>
      </c>
      <c r="K846" s="6" t="e" cm="1">
        <f t="array" ref="K846">LOOKUP(2^15,SEARCH(Tabela2[Palavras-Chave],Boletim[[#This Row],[Objeto]],1),Tabela2[Palavras-Chave])</f>
        <v>#N/A</v>
      </c>
    </row>
    <row r="847" spans="1:11" hidden="1" x14ac:dyDescent="0.3">
      <c r="A847" s="5">
        <v>18802289</v>
      </c>
      <c r="B847" s="6" t="s">
        <v>99</v>
      </c>
      <c r="C847" s="6" t="s">
        <v>65</v>
      </c>
      <c r="D847" s="8" t="s">
        <v>66</v>
      </c>
      <c r="E847" s="6" t="s">
        <v>2776</v>
      </c>
      <c r="F847" s="6" t="s">
        <v>51</v>
      </c>
      <c r="G847" s="11" t="s">
        <v>56</v>
      </c>
      <c r="H847" s="10" t="s">
        <v>2777</v>
      </c>
      <c r="I847" s="6" t="s">
        <v>132</v>
      </c>
      <c r="J847" s="12">
        <v>46120.701747685183</v>
      </c>
      <c r="K847" s="6" t="e" cm="1">
        <f t="array" ref="K847">LOOKUP(2^15,SEARCH(Tabela2[Palavras-Chave],Boletim[[#This Row],[Objeto]],1),Tabela2[Palavras-Chave])</f>
        <v>#N/A</v>
      </c>
    </row>
    <row r="848" spans="1:11" hidden="1" x14ac:dyDescent="0.3">
      <c r="A848" s="5">
        <v>18802263</v>
      </c>
      <c r="B848" s="6" t="s">
        <v>99</v>
      </c>
      <c r="C848" s="6" t="s">
        <v>65</v>
      </c>
      <c r="D848" s="8" t="s">
        <v>66</v>
      </c>
      <c r="E848" s="6" t="s">
        <v>2778</v>
      </c>
      <c r="F848" s="6" t="s">
        <v>51</v>
      </c>
      <c r="G848" s="11" t="s">
        <v>56</v>
      </c>
      <c r="H848" s="10" t="s">
        <v>2779</v>
      </c>
      <c r="I848" s="6" t="s">
        <v>132</v>
      </c>
      <c r="J848" s="12">
        <v>46120.703784722224</v>
      </c>
      <c r="K848" s="6" t="e" cm="1">
        <f t="array" ref="K848">LOOKUP(2^15,SEARCH(Tabela2[Palavras-Chave],Boletim[[#This Row],[Objeto]],1),Tabela2[Palavras-Chave])</f>
        <v>#N/A</v>
      </c>
    </row>
    <row r="849" spans="1:11" hidden="1" x14ac:dyDescent="0.3">
      <c r="A849" s="5">
        <v>18802264</v>
      </c>
      <c r="B849" s="6" t="s">
        <v>99</v>
      </c>
      <c r="C849" s="6" t="s">
        <v>65</v>
      </c>
      <c r="D849" s="8" t="s">
        <v>66</v>
      </c>
      <c r="E849" s="6" t="s">
        <v>2780</v>
      </c>
      <c r="F849" s="6" t="s">
        <v>51</v>
      </c>
      <c r="G849" s="11" t="s">
        <v>56</v>
      </c>
      <c r="H849" s="10" t="s">
        <v>2781</v>
      </c>
      <c r="I849" s="6" t="s">
        <v>132</v>
      </c>
      <c r="J849" s="12">
        <v>46120.703842592593</v>
      </c>
      <c r="K849" s="6" t="e" cm="1">
        <f t="array" ref="K849">LOOKUP(2^15,SEARCH(Tabela2[Palavras-Chave],Boletim[[#This Row],[Objeto]],1),Tabela2[Palavras-Chave])</f>
        <v>#N/A</v>
      </c>
    </row>
    <row r="850" spans="1:11" hidden="1" x14ac:dyDescent="0.3">
      <c r="A850" s="5">
        <v>18802269</v>
      </c>
      <c r="B850" s="6" t="s">
        <v>99</v>
      </c>
      <c r="C850" s="6" t="s">
        <v>65</v>
      </c>
      <c r="D850" s="8" t="s">
        <v>66</v>
      </c>
      <c r="E850" s="6" t="s">
        <v>2782</v>
      </c>
      <c r="F850" s="6" t="s">
        <v>51</v>
      </c>
      <c r="G850" s="11" t="s">
        <v>56</v>
      </c>
      <c r="H850" s="10" t="s">
        <v>2783</v>
      </c>
      <c r="I850" s="6" t="s">
        <v>132</v>
      </c>
      <c r="J850" s="12">
        <v>46120.704004629632</v>
      </c>
      <c r="K850" s="6" t="e" cm="1">
        <f t="array" ref="K850">LOOKUP(2^15,SEARCH(Tabela2[Palavras-Chave],Boletim[[#This Row],[Objeto]],1),Tabela2[Palavras-Chave])</f>
        <v>#N/A</v>
      </c>
    </row>
    <row r="851" spans="1:11" hidden="1" x14ac:dyDescent="0.3">
      <c r="A851" s="5">
        <v>18802274</v>
      </c>
      <c r="B851" s="6" t="s">
        <v>99</v>
      </c>
      <c r="C851" s="6" t="s">
        <v>65</v>
      </c>
      <c r="D851" s="8" t="s">
        <v>66</v>
      </c>
      <c r="E851" s="6" t="s">
        <v>2784</v>
      </c>
      <c r="F851" s="6" t="s">
        <v>51</v>
      </c>
      <c r="G851" s="11" t="s">
        <v>56</v>
      </c>
      <c r="H851" s="10" t="s">
        <v>2785</v>
      </c>
      <c r="I851" s="6" t="s">
        <v>132</v>
      </c>
      <c r="J851" s="12">
        <v>46120.70417824074</v>
      </c>
      <c r="K851" s="6" t="e" cm="1">
        <f t="array" ref="K851">LOOKUP(2^15,SEARCH(Tabela2[Palavras-Chave],Boletim[[#This Row],[Objeto]],1),Tabela2[Palavras-Chave])</f>
        <v>#N/A</v>
      </c>
    </row>
    <row r="852" spans="1:11" hidden="1" x14ac:dyDescent="0.3">
      <c r="A852" s="5">
        <v>18802277</v>
      </c>
      <c r="B852" s="6" t="s">
        <v>99</v>
      </c>
      <c r="C852" s="6" t="s">
        <v>65</v>
      </c>
      <c r="D852" s="8" t="s">
        <v>66</v>
      </c>
      <c r="E852" s="6" t="s">
        <v>2786</v>
      </c>
      <c r="F852" s="6" t="s">
        <v>51</v>
      </c>
      <c r="G852" s="11" t="s">
        <v>56</v>
      </c>
      <c r="H852" s="10" t="s">
        <v>2787</v>
      </c>
      <c r="I852" s="6" t="s">
        <v>132</v>
      </c>
      <c r="J852" s="12">
        <v>46120.704780092594</v>
      </c>
      <c r="K852" s="6" t="e" cm="1">
        <f t="array" ref="K852">LOOKUP(2^15,SEARCH(Tabela2[Palavras-Chave],Boletim[[#This Row],[Objeto]],1),Tabela2[Palavras-Chave])</f>
        <v>#N/A</v>
      </c>
    </row>
    <row r="853" spans="1:11" hidden="1" x14ac:dyDescent="0.3">
      <c r="A853" s="5">
        <v>18804810</v>
      </c>
      <c r="B853" s="6" t="s">
        <v>436</v>
      </c>
      <c r="C853" s="6" t="s">
        <v>437</v>
      </c>
      <c r="D853" s="8" t="s">
        <v>66</v>
      </c>
      <c r="E853" s="6" t="s">
        <v>2788</v>
      </c>
      <c r="F853" s="6" t="s">
        <v>51</v>
      </c>
      <c r="G853" s="11" t="s">
        <v>56</v>
      </c>
      <c r="H853" s="10" t="s">
        <v>2789</v>
      </c>
      <c r="I853" s="6" t="s">
        <v>2743</v>
      </c>
      <c r="J853" s="12">
        <v>46120.714317129627</v>
      </c>
      <c r="K853" s="6" t="e" cm="1">
        <f t="array" ref="K853">LOOKUP(2^15,SEARCH(Tabela2[Palavras-Chave],Boletim[[#This Row],[Objeto]],1),Tabela2[Palavras-Chave])</f>
        <v>#N/A</v>
      </c>
    </row>
    <row r="854" spans="1:11" hidden="1" x14ac:dyDescent="0.3">
      <c r="A854" s="5">
        <v>18804808</v>
      </c>
      <c r="B854" s="6" t="s">
        <v>842</v>
      </c>
      <c r="C854" s="6" t="s">
        <v>233</v>
      </c>
      <c r="D854" s="8" t="s">
        <v>66</v>
      </c>
      <c r="E854" s="6" t="s">
        <v>843</v>
      </c>
      <c r="F854" s="6" t="s">
        <v>51</v>
      </c>
      <c r="G854" s="11" t="s">
        <v>56</v>
      </c>
      <c r="H854" s="10" t="s">
        <v>844</v>
      </c>
      <c r="I854" s="6" t="s">
        <v>845</v>
      </c>
      <c r="J854" s="12">
        <v>46120.714837962965</v>
      </c>
      <c r="K854" s="6" t="e" cm="1">
        <f t="array" ref="K854">LOOKUP(2^15,SEARCH(Tabela2[Palavras-Chave],Boletim[[#This Row],[Objeto]],1),Tabela2[Palavras-Chave])</f>
        <v>#N/A</v>
      </c>
    </row>
    <row r="855" spans="1:11" hidden="1" x14ac:dyDescent="0.3">
      <c r="A855" s="5">
        <v>18802294</v>
      </c>
      <c r="B855" s="6" t="s">
        <v>298</v>
      </c>
      <c r="C855" s="6" t="s">
        <v>299</v>
      </c>
      <c r="D855" s="8" t="s">
        <v>66</v>
      </c>
      <c r="E855" s="6" t="s">
        <v>846</v>
      </c>
      <c r="F855" s="6" t="s">
        <v>51</v>
      </c>
      <c r="G855" s="11" t="s">
        <v>56</v>
      </c>
      <c r="H855" s="10" t="s">
        <v>847</v>
      </c>
      <c r="I855" s="6" t="s">
        <v>848</v>
      </c>
      <c r="J855" s="12">
        <v>46120.717164351852</v>
      </c>
      <c r="K855" s="6" t="e" cm="1">
        <f t="array" ref="K855">LOOKUP(2^15,SEARCH(Tabela2[Palavras-Chave],Boletim[[#This Row],[Objeto]],1),Tabela2[Palavras-Chave])</f>
        <v>#N/A</v>
      </c>
    </row>
    <row r="856" spans="1:11" hidden="1" x14ac:dyDescent="0.3">
      <c r="A856" s="5">
        <v>18802291</v>
      </c>
      <c r="B856" s="6" t="s">
        <v>99</v>
      </c>
      <c r="C856" s="6" t="s">
        <v>65</v>
      </c>
      <c r="D856" s="8" t="s">
        <v>66</v>
      </c>
      <c r="E856" s="6" t="s">
        <v>2790</v>
      </c>
      <c r="F856" s="6" t="s">
        <v>51</v>
      </c>
      <c r="G856" s="11" t="s">
        <v>56</v>
      </c>
      <c r="H856" s="10" t="s">
        <v>2791</v>
      </c>
      <c r="I856" s="6" t="s">
        <v>132</v>
      </c>
      <c r="J856" s="12">
        <v>46120.725011574075</v>
      </c>
      <c r="K856" s="6" t="e" cm="1">
        <f t="array" ref="K856">LOOKUP(2^15,SEARCH(Tabela2[Palavras-Chave],Boletim[[#This Row],[Objeto]],1),Tabela2[Palavras-Chave])</f>
        <v>#N/A</v>
      </c>
    </row>
    <row r="857" spans="1:11" x14ac:dyDescent="0.3">
      <c r="A857" s="5">
        <v>18804363</v>
      </c>
      <c r="B857" s="6" t="s">
        <v>99</v>
      </c>
      <c r="C857" s="6" t="s">
        <v>65</v>
      </c>
      <c r="D857" s="8" t="s">
        <v>66</v>
      </c>
      <c r="E857" s="6" t="s">
        <v>849</v>
      </c>
      <c r="F857" s="6" t="s">
        <v>51</v>
      </c>
      <c r="G857" s="11" t="s">
        <v>56</v>
      </c>
      <c r="H857" s="21" t="s">
        <v>850</v>
      </c>
      <c r="I857" s="6" t="s">
        <v>132</v>
      </c>
      <c r="J857" s="12">
        <v>46120.734606481485</v>
      </c>
      <c r="K857" s="6" t="str" cm="1">
        <f t="array" ref="K857">LOOKUP(2^15,SEARCH(Tabela2[Palavras-Chave],Boletim[[#This Row],[Objeto]],1),Tabela2[Palavras-Chave])</f>
        <v>ABRACADEIRA</v>
      </c>
    </row>
    <row r="858" spans="1:11" hidden="1" x14ac:dyDescent="0.3">
      <c r="A858" s="5">
        <v>18804356</v>
      </c>
      <c r="B858" s="6" t="s">
        <v>99</v>
      </c>
      <c r="C858" s="6" t="s">
        <v>65</v>
      </c>
      <c r="D858" s="8" t="s">
        <v>66</v>
      </c>
      <c r="E858" s="6" t="s">
        <v>851</v>
      </c>
      <c r="F858" s="6" t="s">
        <v>51</v>
      </c>
      <c r="G858" s="11" t="s">
        <v>56</v>
      </c>
      <c r="H858" s="10" t="s">
        <v>852</v>
      </c>
      <c r="I858" s="6" t="s">
        <v>132</v>
      </c>
      <c r="J858" s="12">
        <v>46120.734664351854</v>
      </c>
      <c r="K858" s="6" t="e" cm="1">
        <f t="array" ref="K858">LOOKUP(2^15,SEARCH(Tabela2[Palavras-Chave],Boletim[[#This Row],[Objeto]],1),Tabela2[Palavras-Chave])</f>
        <v>#N/A</v>
      </c>
    </row>
    <row r="859" spans="1:11" hidden="1" x14ac:dyDescent="0.3">
      <c r="A859" s="5">
        <v>18803642</v>
      </c>
      <c r="B859" s="6" t="s">
        <v>853</v>
      </c>
      <c r="C859" s="6" t="s">
        <v>65</v>
      </c>
      <c r="D859" s="8" t="s">
        <v>66</v>
      </c>
      <c r="E859" s="6" t="s">
        <v>854</v>
      </c>
      <c r="F859" s="6" t="s">
        <v>51</v>
      </c>
      <c r="G859" s="11">
        <v>46125.375</v>
      </c>
      <c r="H859" s="10" t="s">
        <v>855</v>
      </c>
      <c r="I859" s="6" t="s">
        <v>856</v>
      </c>
      <c r="J859" s="12">
        <v>46120.736655092594</v>
      </c>
      <c r="K859" s="6" t="e" cm="1">
        <f t="array" ref="K859">LOOKUP(2^15,SEARCH(Tabela2[Palavras-Chave],Boletim[[#This Row],[Objeto]],1),Tabela2[Palavras-Chave])</f>
        <v>#N/A</v>
      </c>
    </row>
    <row r="860" spans="1:11" hidden="1" x14ac:dyDescent="0.3">
      <c r="A860" s="5">
        <v>18805617</v>
      </c>
      <c r="B860" s="6" t="s">
        <v>2792</v>
      </c>
      <c r="C860" s="6" t="s">
        <v>2793</v>
      </c>
      <c r="D860" s="8" t="s">
        <v>66</v>
      </c>
      <c r="E860" s="6" t="s">
        <v>119</v>
      </c>
      <c r="F860" s="6" t="s">
        <v>51</v>
      </c>
      <c r="G860" s="11">
        <v>46125.583333333336</v>
      </c>
      <c r="H860" s="10" t="s">
        <v>2794</v>
      </c>
      <c r="I860" s="6" t="s">
        <v>2795</v>
      </c>
      <c r="J860" s="12">
        <v>46120.747800925928</v>
      </c>
      <c r="K860" s="6" t="e" cm="1">
        <f t="array" ref="K860">LOOKUP(2^15,SEARCH(Tabela2[Palavras-Chave],Boletim[[#This Row],[Objeto]],1),Tabela2[Palavras-Chave])</f>
        <v>#N/A</v>
      </c>
    </row>
    <row r="861" spans="1:11" x14ac:dyDescent="0.3">
      <c r="A861" s="5">
        <v>18803519</v>
      </c>
      <c r="B861" s="6" t="s">
        <v>857</v>
      </c>
      <c r="C861" s="6" t="s">
        <v>858</v>
      </c>
      <c r="D861" s="8" t="s">
        <v>66</v>
      </c>
      <c r="E861" s="6" t="s">
        <v>220</v>
      </c>
      <c r="F861" s="6" t="s">
        <v>51</v>
      </c>
      <c r="G861" s="11" t="s">
        <v>56</v>
      </c>
      <c r="H861" s="21" t="s">
        <v>859</v>
      </c>
      <c r="I861" s="6" t="s">
        <v>860</v>
      </c>
      <c r="J861" s="12">
        <v>46120.767534722225</v>
      </c>
      <c r="K861" s="6" t="str" cm="1">
        <f t="array" ref="K861">LOOKUP(2^15,SEARCH(Tabela2[Palavras-Chave],Boletim[[#This Row],[Objeto]],1),Tabela2[Palavras-Chave])</f>
        <v>BOMBEAMENTO</v>
      </c>
    </row>
    <row r="862" spans="1:11" hidden="1" x14ac:dyDescent="0.3">
      <c r="A862" s="5">
        <v>18804313</v>
      </c>
      <c r="B862" s="6" t="s">
        <v>99</v>
      </c>
      <c r="C862" s="6" t="s">
        <v>65</v>
      </c>
      <c r="D862" s="8" t="s">
        <v>66</v>
      </c>
      <c r="E862" s="6" t="s">
        <v>2796</v>
      </c>
      <c r="F862" s="6" t="s">
        <v>51</v>
      </c>
      <c r="G862" s="11" t="s">
        <v>56</v>
      </c>
      <c r="H862" s="10" t="s">
        <v>2797</v>
      </c>
      <c r="I862" s="6" t="s">
        <v>132</v>
      </c>
      <c r="J862" s="12">
        <v>46120.767916666664</v>
      </c>
      <c r="K862" s="6" t="e" cm="1">
        <f t="array" ref="K862">LOOKUP(2^15,SEARCH(Tabela2[Palavras-Chave],Boletim[[#This Row],[Objeto]],1),Tabela2[Palavras-Chave])</f>
        <v>#N/A</v>
      </c>
    </row>
    <row r="863" spans="1:11" hidden="1" x14ac:dyDescent="0.3">
      <c r="A863" s="5">
        <v>18803509</v>
      </c>
      <c r="B863" s="6" t="s">
        <v>857</v>
      </c>
      <c r="C863" s="6" t="s">
        <v>858</v>
      </c>
      <c r="D863" s="8" t="s">
        <v>66</v>
      </c>
      <c r="E863" s="6" t="s">
        <v>824</v>
      </c>
      <c r="F863" s="6" t="s">
        <v>51</v>
      </c>
      <c r="G863" s="11" t="s">
        <v>56</v>
      </c>
      <c r="H863" s="10" t="s">
        <v>861</v>
      </c>
      <c r="I863" s="6" t="s">
        <v>860</v>
      </c>
      <c r="J863" s="12">
        <v>46120.768877314818</v>
      </c>
      <c r="K863" s="6" t="e" cm="1">
        <f t="array" ref="K863">LOOKUP(2^15,SEARCH(Tabela2[Palavras-Chave],Boletim[[#This Row],[Objeto]],1),Tabela2[Palavras-Chave])</f>
        <v>#N/A</v>
      </c>
    </row>
    <row r="864" spans="1:11" hidden="1" x14ac:dyDescent="0.3">
      <c r="A864" s="5">
        <v>18805975</v>
      </c>
      <c r="B864" s="6" t="s">
        <v>2798</v>
      </c>
      <c r="C864" s="6" t="s">
        <v>2799</v>
      </c>
      <c r="D864" s="8" t="s">
        <v>66</v>
      </c>
      <c r="E864" s="6" t="s">
        <v>139</v>
      </c>
      <c r="F864" s="6" t="s">
        <v>51</v>
      </c>
      <c r="G864" s="11" t="s">
        <v>56</v>
      </c>
      <c r="H864" s="10" t="s">
        <v>2800</v>
      </c>
      <c r="I864" s="6" t="s">
        <v>2801</v>
      </c>
      <c r="J864" s="12">
        <v>46120.789490740739</v>
      </c>
      <c r="K864" s="6" t="e" cm="1">
        <f t="array" ref="K864">LOOKUP(2^15,SEARCH(Tabela2[Palavras-Chave],Boletim[[#This Row],[Objeto]],1),Tabela2[Palavras-Chave])</f>
        <v>#N/A</v>
      </c>
    </row>
    <row r="865" spans="1:11" hidden="1" x14ac:dyDescent="0.3">
      <c r="A865" s="5">
        <v>18802288</v>
      </c>
      <c r="B865" s="6" t="s">
        <v>99</v>
      </c>
      <c r="C865" s="6" t="s">
        <v>65</v>
      </c>
      <c r="D865" s="8" t="s">
        <v>66</v>
      </c>
      <c r="E865" s="6" t="s">
        <v>2802</v>
      </c>
      <c r="F865" s="6" t="s">
        <v>51</v>
      </c>
      <c r="G865" s="11" t="s">
        <v>56</v>
      </c>
      <c r="H865" s="10" t="s">
        <v>2803</v>
      </c>
      <c r="I865" s="6" t="s">
        <v>132</v>
      </c>
      <c r="J865" s="12">
        <v>46120.80327546296</v>
      </c>
      <c r="K865" s="6" t="e" cm="1">
        <f t="array" ref="K865">LOOKUP(2^15,SEARCH(Tabela2[Palavras-Chave],Boletim[[#This Row],[Objeto]],1),Tabela2[Palavras-Chave])</f>
        <v>#N/A</v>
      </c>
    </row>
    <row r="866" spans="1:11" ht="57.6" x14ac:dyDescent="0.3">
      <c r="A866" s="5">
        <v>18802343</v>
      </c>
      <c r="B866" s="6" t="s">
        <v>436</v>
      </c>
      <c r="C866" s="6" t="s">
        <v>437</v>
      </c>
      <c r="D866" s="8" t="s">
        <v>66</v>
      </c>
      <c r="E866" s="6" t="s">
        <v>862</v>
      </c>
      <c r="F866" s="6" t="s">
        <v>51</v>
      </c>
      <c r="G866" s="11" t="s">
        <v>56</v>
      </c>
      <c r="H866" s="21" t="s">
        <v>863</v>
      </c>
      <c r="I866" s="6" t="s">
        <v>790</v>
      </c>
      <c r="J866" s="12">
        <v>46120.80982638889</v>
      </c>
      <c r="K866" s="6" t="str" cm="1">
        <f t="array" ref="K866">LOOKUP(2^15,SEARCH(Tabela2[Palavras-Chave],Boletim[[#This Row],[Objeto]],1),Tabela2[Palavras-Chave])</f>
        <v>INOX</v>
      </c>
    </row>
    <row r="867" spans="1:11" hidden="1" x14ac:dyDescent="0.3">
      <c r="A867" s="5">
        <v>18802346</v>
      </c>
      <c r="B867" s="6" t="s">
        <v>436</v>
      </c>
      <c r="C867" s="6" t="s">
        <v>437</v>
      </c>
      <c r="D867" s="8" t="s">
        <v>66</v>
      </c>
      <c r="E867" s="6" t="s">
        <v>864</v>
      </c>
      <c r="F867" s="6" t="s">
        <v>51</v>
      </c>
      <c r="G867" s="11" t="s">
        <v>56</v>
      </c>
      <c r="H867" s="10" t="s">
        <v>865</v>
      </c>
      <c r="I867" s="6" t="s">
        <v>790</v>
      </c>
      <c r="J867" s="12">
        <v>46120.810590277775</v>
      </c>
      <c r="K867" s="6" t="e" cm="1">
        <f t="array" ref="K867">LOOKUP(2^15,SEARCH(Tabela2[Palavras-Chave],Boletim[[#This Row],[Objeto]],1),Tabela2[Palavras-Chave])</f>
        <v>#N/A</v>
      </c>
    </row>
    <row r="868" spans="1:11" hidden="1" x14ac:dyDescent="0.3">
      <c r="A868" s="5">
        <v>18800245</v>
      </c>
      <c r="B868" s="6" t="s">
        <v>2804</v>
      </c>
      <c r="C868" s="6" t="s">
        <v>2805</v>
      </c>
      <c r="D868" s="8" t="s">
        <v>66</v>
      </c>
      <c r="E868" s="6" t="s">
        <v>244</v>
      </c>
      <c r="F868" s="6" t="s">
        <v>51</v>
      </c>
      <c r="G868" s="11">
        <v>46125.333333333336</v>
      </c>
      <c r="H868" s="10" t="s">
        <v>2806</v>
      </c>
      <c r="I868" s="6" t="s">
        <v>2807</v>
      </c>
      <c r="J868" s="12">
        <v>46120.823148148149</v>
      </c>
      <c r="K868" s="6" t="e" cm="1">
        <f t="array" ref="K868">LOOKUP(2^15,SEARCH(Tabela2[Palavras-Chave],Boletim[[#This Row],[Objeto]],1),Tabela2[Palavras-Chave])</f>
        <v>#N/A</v>
      </c>
    </row>
    <row r="869" spans="1:11" hidden="1" x14ac:dyDescent="0.3">
      <c r="A869" s="5">
        <v>18806385</v>
      </c>
      <c r="B869" s="6" t="s">
        <v>866</v>
      </c>
      <c r="C869" s="6" t="s">
        <v>299</v>
      </c>
      <c r="D869" s="8" t="s">
        <v>66</v>
      </c>
      <c r="E869" s="6" t="s">
        <v>105</v>
      </c>
      <c r="F869" s="6" t="s">
        <v>51</v>
      </c>
      <c r="G869" s="11">
        <v>46129.333333333336</v>
      </c>
      <c r="H869" s="10" t="s">
        <v>867</v>
      </c>
      <c r="I869" s="6" t="s">
        <v>868</v>
      </c>
      <c r="J869" s="12">
        <v>46120.860138888886</v>
      </c>
      <c r="K869" s="6" t="e" cm="1">
        <f t="array" ref="K869">LOOKUP(2^15,SEARCH(Tabela2[Palavras-Chave],Boletim[[#This Row],[Objeto]],1),Tabela2[Palavras-Chave])</f>
        <v>#N/A</v>
      </c>
    </row>
    <row r="870" spans="1:11" hidden="1" x14ac:dyDescent="0.3">
      <c r="A870" s="5">
        <v>18803563</v>
      </c>
      <c r="B870" s="6" t="s">
        <v>2808</v>
      </c>
      <c r="C870" s="6" t="s">
        <v>2809</v>
      </c>
      <c r="D870" s="8" t="s">
        <v>66</v>
      </c>
      <c r="E870" s="6" t="s">
        <v>2810</v>
      </c>
      <c r="F870" s="6" t="s">
        <v>51</v>
      </c>
      <c r="G870" s="11">
        <v>46122.333333333336</v>
      </c>
      <c r="H870" s="10" t="s">
        <v>2811</v>
      </c>
      <c r="I870" s="6" t="s">
        <v>2812</v>
      </c>
      <c r="J870" s="12">
        <v>46120.863680555558</v>
      </c>
      <c r="K870" s="6" t="e" cm="1">
        <f t="array" ref="K870">LOOKUP(2^15,SEARCH(Tabela2[Palavras-Chave],Boletim[[#This Row],[Objeto]],1),Tabela2[Palavras-Chave])</f>
        <v>#N/A</v>
      </c>
    </row>
    <row r="871" spans="1:11" hidden="1" x14ac:dyDescent="0.3">
      <c r="A871" s="5">
        <v>18803635</v>
      </c>
      <c r="B871" s="6" t="s">
        <v>2813</v>
      </c>
      <c r="C871" s="6" t="s">
        <v>2814</v>
      </c>
      <c r="D871" s="8" t="s">
        <v>66</v>
      </c>
      <c r="E871" s="6" t="s">
        <v>110</v>
      </c>
      <c r="F871" s="6" t="s">
        <v>51</v>
      </c>
      <c r="G871" s="11">
        <v>46140.5625</v>
      </c>
      <c r="H871" s="10" t="s">
        <v>2815</v>
      </c>
      <c r="I871" s="6" t="s">
        <v>2816</v>
      </c>
      <c r="J871" s="12">
        <v>46120.864849537036</v>
      </c>
      <c r="K871" s="6" t="e" cm="1">
        <f t="array" ref="K871">LOOKUP(2^15,SEARCH(Tabela2[Palavras-Chave],Boletim[[#This Row],[Objeto]],1),Tabela2[Palavras-Chave])</f>
        <v>#N/A</v>
      </c>
    </row>
    <row r="872" spans="1:11" hidden="1" x14ac:dyDescent="0.3">
      <c r="A872" s="5">
        <v>18803682</v>
      </c>
      <c r="B872" s="6" t="s">
        <v>869</v>
      </c>
      <c r="C872" s="6" t="s">
        <v>870</v>
      </c>
      <c r="D872" s="8" t="s">
        <v>66</v>
      </c>
      <c r="E872" s="6" t="s">
        <v>871</v>
      </c>
      <c r="F872" s="6" t="s">
        <v>51</v>
      </c>
      <c r="G872" s="11">
        <v>46122.354166666664</v>
      </c>
      <c r="H872" s="10" t="s">
        <v>872</v>
      </c>
      <c r="I872" s="6" t="s">
        <v>873</v>
      </c>
      <c r="J872" s="12">
        <v>46120.872488425928</v>
      </c>
      <c r="K872" s="6" t="e" cm="1">
        <f t="array" ref="K872">LOOKUP(2^15,SEARCH(Tabela2[Palavras-Chave],Boletim[[#This Row],[Objeto]],1),Tabela2[Palavras-Chave])</f>
        <v>#N/A</v>
      </c>
    </row>
    <row r="873" spans="1:11" hidden="1" x14ac:dyDescent="0.3">
      <c r="A873" s="5">
        <v>18804636</v>
      </c>
      <c r="B873" s="6" t="s">
        <v>838</v>
      </c>
      <c r="C873" s="6" t="s">
        <v>254</v>
      </c>
      <c r="D873" s="8" t="s">
        <v>66</v>
      </c>
      <c r="E873" s="6" t="s">
        <v>874</v>
      </c>
      <c r="F873" s="6" t="s">
        <v>51</v>
      </c>
      <c r="G873" s="11" t="s">
        <v>56</v>
      </c>
      <c r="H873" s="10" t="s">
        <v>875</v>
      </c>
      <c r="I873" s="6" t="s">
        <v>876</v>
      </c>
      <c r="J873" s="12">
        <v>46120.876307870371</v>
      </c>
      <c r="K873" s="6" t="e" cm="1">
        <f t="array" ref="K873">LOOKUP(2^15,SEARCH(Tabela2[Palavras-Chave],Boletim[[#This Row],[Objeto]],1),Tabela2[Palavras-Chave])</f>
        <v>#N/A</v>
      </c>
    </row>
    <row r="874" spans="1:11" hidden="1" x14ac:dyDescent="0.3">
      <c r="A874" s="5">
        <v>18804633</v>
      </c>
      <c r="B874" s="6" t="s">
        <v>838</v>
      </c>
      <c r="C874" s="6" t="s">
        <v>254</v>
      </c>
      <c r="D874" s="8" t="s">
        <v>66</v>
      </c>
      <c r="E874" s="6" t="s">
        <v>877</v>
      </c>
      <c r="F874" s="6" t="s">
        <v>51</v>
      </c>
      <c r="G874" s="11" t="s">
        <v>56</v>
      </c>
      <c r="H874" s="10" t="s">
        <v>878</v>
      </c>
      <c r="I874" s="6" t="s">
        <v>876</v>
      </c>
      <c r="J874" s="12">
        <v>46120.87636574074</v>
      </c>
      <c r="K874" s="6" t="e" cm="1">
        <f t="array" ref="K874">LOOKUP(2^15,SEARCH(Tabela2[Palavras-Chave],Boletim[[#This Row],[Objeto]],1),Tabela2[Palavras-Chave])</f>
        <v>#N/A</v>
      </c>
    </row>
    <row r="875" spans="1:11" hidden="1" x14ac:dyDescent="0.3">
      <c r="A875" s="5">
        <v>18803872</v>
      </c>
      <c r="B875" s="6" t="s">
        <v>2817</v>
      </c>
      <c r="C875" s="6" t="s">
        <v>2818</v>
      </c>
      <c r="D875" s="8" t="s">
        <v>67</v>
      </c>
      <c r="E875" s="6" t="s">
        <v>444</v>
      </c>
      <c r="F875" s="6" t="s">
        <v>51</v>
      </c>
      <c r="G875" s="11" t="s">
        <v>56</v>
      </c>
      <c r="H875" s="10" t="s">
        <v>2819</v>
      </c>
      <c r="I875" s="6" t="s">
        <v>2820</v>
      </c>
      <c r="J875" s="12">
        <v>46120.597893518519</v>
      </c>
      <c r="K875" s="6" t="e" cm="1">
        <f t="array" ref="K875">LOOKUP(2^15,SEARCH(Tabela2[Palavras-Chave],Boletim[[#This Row],[Objeto]],1),Tabela2[Palavras-Chave])</f>
        <v>#N/A</v>
      </c>
    </row>
    <row r="876" spans="1:11" hidden="1" x14ac:dyDescent="0.3">
      <c r="A876" s="5">
        <v>18803661</v>
      </c>
      <c r="B876" s="6" t="s">
        <v>879</v>
      </c>
      <c r="C876" s="6" t="s">
        <v>123</v>
      </c>
      <c r="D876" s="8" t="s">
        <v>67</v>
      </c>
      <c r="E876" s="6" t="s">
        <v>145</v>
      </c>
      <c r="F876" s="6" t="s">
        <v>51</v>
      </c>
      <c r="G876" s="11">
        <v>46122.354166666664</v>
      </c>
      <c r="H876" s="10" t="s">
        <v>880</v>
      </c>
      <c r="I876" s="6" t="s">
        <v>881</v>
      </c>
      <c r="J876" s="12">
        <v>46120.640104166669</v>
      </c>
      <c r="K876" s="6" t="e" cm="1">
        <f t="array" ref="K876">LOOKUP(2^15,SEARCH(Tabela2[Palavras-Chave],Boletim[[#This Row],[Objeto]],1),Tabela2[Palavras-Chave])</f>
        <v>#N/A</v>
      </c>
    </row>
    <row r="877" spans="1:11" hidden="1" x14ac:dyDescent="0.3">
      <c r="A877" s="5">
        <v>18791682</v>
      </c>
      <c r="B877" s="6" t="s">
        <v>217</v>
      </c>
      <c r="C877" s="6" t="s">
        <v>111</v>
      </c>
      <c r="D877" s="8" t="s">
        <v>91</v>
      </c>
      <c r="E877" s="6" t="s">
        <v>55</v>
      </c>
      <c r="F877" s="6" t="s">
        <v>51</v>
      </c>
      <c r="G877" s="11" t="s">
        <v>56</v>
      </c>
      <c r="H877" s="10" t="s">
        <v>2821</v>
      </c>
      <c r="I877" s="6" t="s">
        <v>138</v>
      </c>
      <c r="J877" s="12">
        <v>46120.583599537036</v>
      </c>
      <c r="K877" s="6" t="e" cm="1">
        <f t="array" ref="K877">LOOKUP(2^15,SEARCH(Tabela2[Palavras-Chave],Boletim[[#This Row],[Objeto]],1),Tabela2[Palavras-Chave])</f>
        <v>#N/A</v>
      </c>
    </row>
    <row r="878" spans="1:11" hidden="1" x14ac:dyDescent="0.3">
      <c r="A878" s="5">
        <v>18804592</v>
      </c>
      <c r="B878" s="6" t="s">
        <v>882</v>
      </c>
      <c r="C878" s="6" t="s">
        <v>883</v>
      </c>
      <c r="D878" s="8" t="s">
        <v>91</v>
      </c>
      <c r="E878" s="6" t="s">
        <v>761</v>
      </c>
      <c r="F878" s="6" t="s">
        <v>51</v>
      </c>
      <c r="G878" s="11">
        <v>46125.354166666664</v>
      </c>
      <c r="H878" s="10" t="s">
        <v>884</v>
      </c>
      <c r="I878" s="6" t="s">
        <v>885</v>
      </c>
      <c r="J878" s="12">
        <v>46120.731805555559</v>
      </c>
      <c r="K878" s="6" t="e" cm="1">
        <f t="array" ref="K878">LOOKUP(2^15,SEARCH(Tabela2[Palavras-Chave],Boletim[[#This Row],[Objeto]],1),Tabela2[Palavras-Chave])</f>
        <v>#N/A</v>
      </c>
    </row>
    <row r="879" spans="1:11" hidden="1" x14ac:dyDescent="0.3">
      <c r="A879" s="5">
        <v>18804771</v>
      </c>
      <c r="B879" s="6" t="s">
        <v>886</v>
      </c>
      <c r="C879" s="6" t="s">
        <v>887</v>
      </c>
      <c r="D879" s="8" t="s">
        <v>91</v>
      </c>
      <c r="E879" s="6" t="s">
        <v>147</v>
      </c>
      <c r="F879" s="6" t="s">
        <v>51</v>
      </c>
      <c r="G879" s="11">
        <v>46125.999305555553</v>
      </c>
      <c r="H879" s="10" t="s">
        <v>888</v>
      </c>
      <c r="I879" s="6" t="s">
        <v>889</v>
      </c>
      <c r="J879" s="12">
        <v>46120.744409722225</v>
      </c>
      <c r="K879" s="6" t="e" cm="1">
        <f t="array" ref="K879">LOOKUP(2^15,SEARCH(Tabela2[Palavras-Chave],Boletim[[#This Row],[Objeto]],1),Tabela2[Palavras-Chave])</f>
        <v>#N/A</v>
      </c>
    </row>
    <row r="880" spans="1:11" hidden="1" x14ac:dyDescent="0.3">
      <c r="A880" s="5">
        <v>18801352</v>
      </c>
      <c r="B880" s="6" t="s">
        <v>890</v>
      </c>
      <c r="C880" s="6" t="s">
        <v>130</v>
      </c>
      <c r="D880" s="8" t="s">
        <v>68</v>
      </c>
      <c r="E880" s="6" t="s">
        <v>891</v>
      </c>
      <c r="F880" s="6" t="s">
        <v>51</v>
      </c>
      <c r="G880" s="11">
        <v>46126.333333333336</v>
      </c>
      <c r="H880" s="10" t="s">
        <v>892</v>
      </c>
      <c r="I880" s="6" t="s">
        <v>893</v>
      </c>
      <c r="J880" s="12">
        <v>46120.576238425929</v>
      </c>
      <c r="K880" s="6" t="e" cm="1">
        <f t="array" ref="K880">LOOKUP(2^15,SEARCH(Tabela2[Palavras-Chave],Boletim[[#This Row],[Objeto]],1),Tabela2[Palavras-Chave])</f>
        <v>#N/A</v>
      </c>
    </row>
    <row r="881" spans="1:11" hidden="1" x14ac:dyDescent="0.3">
      <c r="A881" s="5">
        <v>18804996</v>
      </c>
      <c r="B881" s="6" t="s">
        <v>894</v>
      </c>
      <c r="C881" s="6" t="s">
        <v>130</v>
      </c>
      <c r="D881" s="8" t="s">
        <v>68</v>
      </c>
      <c r="E881" s="6" t="s">
        <v>147</v>
      </c>
      <c r="F881" s="6" t="s">
        <v>51</v>
      </c>
      <c r="G881" s="11" t="s">
        <v>56</v>
      </c>
      <c r="H881" s="10" t="s">
        <v>895</v>
      </c>
      <c r="I881" s="6" t="s">
        <v>896</v>
      </c>
      <c r="J881" s="12">
        <v>46120.75408564815</v>
      </c>
      <c r="K881" s="6" t="e" cm="1">
        <f t="array" ref="K881">LOOKUP(2^15,SEARCH(Tabela2[Palavras-Chave],Boletim[[#This Row],[Objeto]],1),Tabela2[Palavras-Chave])</f>
        <v>#N/A</v>
      </c>
    </row>
    <row r="882" spans="1:11" hidden="1" x14ac:dyDescent="0.3">
      <c r="A882" s="5">
        <v>18746430</v>
      </c>
      <c r="B882" s="6" t="s">
        <v>897</v>
      </c>
      <c r="C882" s="6" t="s">
        <v>898</v>
      </c>
      <c r="D882" s="8" t="s">
        <v>68</v>
      </c>
      <c r="E882" s="6" t="s">
        <v>899</v>
      </c>
      <c r="F882" s="6" t="s">
        <v>51</v>
      </c>
      <c r="G882" s="11">
        <v>46125.333333333336</v>
      </c>
      <c r="H882" s="10" t="s">
        <v>900</v>
      </c>
      <c r="I882" s="6" t="s">
        <v>901</v>
      </c>
      <c r="J882" s="12">
        <v>46120.859155092592</v>
      </c>
      <c r="K882" s="6" t="e" cm="1">
        <f t="array" ref="K882">LOOKUP(2^15,SEARCH(Tabela2[Palavras-Chave],Boletim[[#This Row],[Objeto]],1),Tabela2[Palavras-Chave])</f>
        <v>#N/A</v>
      </c>
    </row>
    <row r="883" spans="1:11" hidden="1" x14ac:dyDescent="0.3">
      <c r="A883" s="5">
        <v>18804496</v>
      </c>
      <c r="B883" s="6" t="s">
        <v>902</v>
      </c>
      <c r="C883" s="6" t="s">
        <v>130</v>
      </c>
      <c r="D883" s="8" t="s">
        <v>68</v>
      </c>
      <c r="E883" s="6" t="s">
        <v>147</v>
      </c>
      <c r="F883" s="6" t="s">
        <v>51</v>
      </c>
      <c r="G883" s="11">
        <v>46126.458333333336</v>
      </c>
      <c r="H883" s="10" t="s">
        <v>903</v>
      </c>
      <c r="I883" s="6" t="s">
        <v>904</v>
      </c>
      <c r="J883" s="12">
        <v>46120.880636574075</v>
      </c>
      <c r="K883" s="6" t="e" cm="1">
        <f t="array" ref="K883">LOOKUP(2^15,SEARCH(Tabela2[Palavras-Chave],Boletim[[#This Row],[Objeto]],1),Tabela2[Palavras-Chave])</f>
        <v>#N/A</v>
      </c>
    </row>
    <row r="884" spans="1:11" hidden="1" x14ac:dyDescent="0.3">
      <c r="A884" s="5">
        <v>18806369</v>
      </c>
      <c r="B884" s="6" t="s">
        <v>2822</v>
      </c>
      <c r="C884" s="6" t="s">
        <v>2823</v>
      </c>
      <c r="D884" s="8" t="s">
        <v>92</v>
      </c>
      <c r="E884" s="6" t="s">
        <v>2824</v>
      </c>
      <c r="F884" s="6" t="s">
        <v>51</v>
      </c>
      <c r="G884" s="11" t="s">
        <v>56</v>
      </c>
      <c r="H884" s="10" t="s">
        <v>2825</v>
      </c>
      <c r="I884" s="6" t="s">
        <v>2826</v>
      </c>
      <c r="J884" s="12">
        <v>46120.856423611112</v>
      </c>
      <c r="K884" s="6" t="e" cm="1">
        <f t="array" ref="K884">LOOKUP(2^15,SEARCH(Tabela2[Palavras-Chave],Boletim[[#This Row],[Objeto]],1),Tabela2[Palavras-Chave])</f>
        <v>#N/A</v>
      </c>
    </row>
    <row r="885" spans="1:11" hidden="1" x14ac:dyDescent="0.3">
      <c r="A885" s="5">
        <v>18801735</v>
      </c>
      <c r="B885" s="6" t="s">
        <v>905</v>
      </c>
      <c r="C885" s="6" t="s">
        <v>69</v>
      </c>
      <c r="D885" s="8" t="s">
        <v>70</v>
      </c>
      <c r="E885" s="6" t="s">
        <v>55</v>
      </c>
      <c r="F885" s="6" t="s">
        <v>51</v>
      </c>
      <c r="G885" s="11" t="s">
        <v>56</v>
      </c>
      <c r="H885" s="10" t="s">
        <v>906</v>
      </c>
      <c r="I885" s="6" t="s">
        <v>907</v>
      </c>
      <c r="J885" s="12">
        <v>46120.517743055556</v>
      </c>
      <c r="K885" s="6" t="e" cm="1">
        <f t="array" ref="K885">LOOKUP(2^15,SEARCH(Tabela2[Palavras-Chave],Boletim[[#This Row],[Objeto]],1),Tabela2[Palavras-Chave])</f>
        <v>#N/A</v>
      </c>
    </row>
    <row r="886" spans="1:11" hidden="1" x14ac:dyDescent="0.3">
      <c r="A886" s="5">
        <v>18805650</v>
      </c>
      <c r="B886" s="6" t="s">
        <v>908</v>
      </c>
      <c r="C886" s="6" t="s">
        <v>909</v>
      </c>
      <c r="D886" s="8" t="s">
        <v>70</v>
      </c>
      <c r="E886" s="6" t="s">
        <v>118</v>
      </c>
      <c r="F886" s="6" t="s">
        <v>51</v>
      </c>
      <c r="G886" s="11" t="s">
        <v>56</v>
      </c>
      <c r="H886" s="10" t="s">
        <v>910</v>
      </c>
      <c r="I886" s="6" t="s">
        <v>911</v>
      </c>
      <c r="J886" s="12">
        <v>46120.751342592594</v>
      </c>
      <c r="K886" s="6" t="e" cm="1">
        <f t="array" ref="K886">LOOKUP(2^15,SEARCH(Tabela2[Palavras-Chave],Boletim[[#This Row],[Objeto]],1),Tabela2[Palavras-Chave])</f>
        <v>#N/A</v>
      </c>
    </row>
    <row r="887" spans="1:11" hidden="1" x14ac:dyDescent="0.3">
      <c r="A887" s="5">
        <v>18805907</v>
      </c>
      <c r="B887" s="6" t="s">
        <v>271</v>
      </c>
      <c r="C887" s="6" t="s">
        <v>69</v>
      </c>
      <c r="D887" s="8" t="s">
        <v>70</v>
      </c>
      <c r="E887" s="6" t="s">
        <v>216</v>
      </c>
      <c r="F887" s="6" t="s">
        <v>51</v>
      </c>
      <c r="G887" s="11">
        <v>46126.333333333336</v>
      </c>
      <c r="H887" s="10" t="s">
        <v>912</v>
      </c>
      <c r="I887" s="6" t="s">
        <v>913</v>
      </c>
      <c r="J887" s="12">
        <v>46120.790405092594</v>
      </c>
      <c r="K887" s="6" t="e" cm="1">
        <f t="array" ref="K887">LOOKUP(2^15,SEARCH(Tabela2[Palavras-Chave],Boletim[[#This Row],[Objeto]],1),Tabela2[Palavras-Chave])</f>
        <v>#N/A</v>
      </c>
    </row>
    <row r="888" spans="1:11" hidden="1" x14ac:dyDescent="0.3">
      <c r="A888" s="5">
        <v>18805598</v>
      </c>
      <c r="B888" s="6" t="s">
        <v>914</v>
      </c>
      <c r="C888" s="6" t="s">
        <v>69</v>
      </c>
      <c r="D888" s="8" t="s">
        <v>70</v>
      </c>
      <c r="E888" s="6" t="s">
        <v>161</v>
      </c>
      <c r="F888" s="6" t="s">
        <v>51</v>
      </c>
      <c r="G888" s="11">
        <v>46122.375</v>
      </c>
      <c r="H888" s="10" t="s">
        <v>915</v>
      </c>
      <c r="I888" s="6" t="s">
        <v>916</v>
      </c>
      <c r="J888" s="12">
        <v>46120.860995370371</v>
      </c>
      <c r="K888" s="6" t="e" cm="1">
        <f t="array" ref="K888">LOOKUP(2^15,SEARCH(Tabela2[Palavras-Chave],Boletim[[#This Row],[Objeto]],1),Tabela2[Palavras-Chave])</f>
        <v>#N/A</v>
      </c>
    </row>
    <row r="889" spans="1:11" hidden="1" x14ac:dyDescent="0.3">
      <c r="A889" s="5">
        <v>18803705</v>
      </c>
      <c r="B889" s="6" t="s">
        <v>917</v>
      </c>
      <c r="C889" s="6" t="s">
        <v>69</v>
      </c>
      <c r="D889" s="8" t="s">
        <v>70</v>
      </c>
      <c r="E889" s="6" t="s">
        <v>918</v>
      </c>
      <c r="F889" s="6" t="s">
        <v>51</v>
      </c>
      <c r="G889" s="11">
        <v>46121.697916666664</v>
      </c>
      <c r="H889" s="10" t="s">
        <v>919</v>
      </c>
      <c r="I889" s="6" t="s">
        <v>920</v>
      </c>
      <c r="J889" s="12">
        <v>46120.870497685188</v>
      </c>
      <c r="K889" s="6" t="e" cm="1">
        <f t="array" ref="K889">LOOKUP(2^15,SEARCH(Tabela2[Palavras-Chave],Boletim[[#This Row],[Objeto]],1),Tabela2[Palavras-Chave])</f>
        <v>#N/A</v>
      </c>
    </row>
    <row r="890" spans="1:11" hidden="1" x14ac:dyDescent="0.3">
      <c r="A890" s="5">
        <v>18801888</v>
      </c>
      <c r="B890" s="6" t="s">
        <v>423</v>
      </c>
      <c r="C890" s="6" t="s">
        <v>237</v>
      </c>
      <c r="D890" s="8" t="s">
        <v>72</v>
      </c>
      <c r="E890" s="6" t="s">
        <v>2827</v>
      </c>
      <c r="F890" s="6" t="s">
        <v>51</v>
      </c>
      <c r="G890" s="11" t="s">
        <v>56</v>
      </c>
      <c r="H890" s="10" t="s">
        <v>2828</v>
      </c>
      <c r="I890" s="6" t="s">
        <v>2829</v>
      </c>
      <c r="J890" s="12">
        <v>46120.435046296298</v>
      </c>
      <c r="K890" s="6" t="e" cm="1">
        <f t="array" ref="K890">LOOKUP(2^15,SEARCH(Tabela2[Palavras-Chave],Boletim[[#This Row],[Objeto]],1),Tabela2[Palavras-Chave])</f>
        <v>#N/A</v>
      </c>
    </row>
    <row r="891" spans="1:11" hidden="1" x14ac:dyDescent="0.3">
      <c r="A891" s="5">
        <v>18699805</v>
      </c>
      <c r="B891" s="6" t="s">
        <v>156</v>
      </c>
      <c r="C891" s="6" t="s">
        <v>73</v>
      </c>
      <c r="D891" s="8" t="s">
        <v>72</v>
      </c>
      <c r="E891" s="6" t="s">
        <v>2830</v>
      </c>
      <c r="F891" s="6" t="s">
        <v>51</v>
      </c>
      <c r="G891" s="11">
        <v>46122.458333333336</v>
      </c>
      <c r="H891" s="10" t="s">
        <v>2831</v>
      </c>
      <c r="I891" s="6" t="s">
        <v>2832</v>
      </c>
      <c r="J891" s="12">
        <v>46120.695104166669</v>
      </c>
      <c r="K891" s="6" t="e" cm="1">
        <f t="array" ref="K891">LOOKUP(2^15,SEARCH(Tabela2[Palavras-Chave],Boletim[[#This Row],[Objeto]],1),Tabela2[Palavras-Chave])</f>
        <v>#N/A</v>
      </c>
    </row>
    <row r="892" spans="1:11" hidden="1" x14ac:dyDescent="0.3">
      <c r="A892" s="5">
        <v>18804849</v>
      </c>
      <c r="B892" s="6" t="s">
        <v>2833</v>
      </c>
      <c r="C892" s="6" t="s">
        <v>253</v>
      </c>
      <c r="D892" s="8" t="s">
        <v>72</v>
      </c>
      <c r="E892" s="6" t="s">
        <v>161</v>
      </c>
      <c r="F892" s="6" t="s">
        <v>51</v>
      </c>
      <c r="G892" s="11" t="s">
        <v>56</v>
      </c>
      <c r="H892" s="10" t="s">
        <v>2834</v>
      </c>
      <c r="I892" s="6" t="s">
        <v>2835</v>
      </c>
      <c r="J892" s="12">
        <v>46120.744317129633</v>
      </c>
      <c r="K892" s="6" t="e" cm="1">
        <f t="array" ref="K892">LOOKUP(2^15,SEARCH(Tabela2[Palavras-Chave],Boletim[[#This Row],[Objeto]],1),Tabela2[Palavras-Chave])</f>
        <v>#N/A</v>
      </c>
    </row>
    <row r="893" spans="1:11" hidden="1" x14ac:dyDescent="0.3">
      <c r="A893" s="5">
        <v>18804585</v>
      </c>
      <c r="B893" s="6" t="s">
        <v>921</v>
      </c>
      <c r="C893" s="6" t="s">
        <v>922</v>
      </c>
      <c r="D893" s="8" t="s">
        <v>72</v>
      </c>
      <c r="E893" s="6" t="s">
        <v>118</v>
      </c>
      <c r="F893" s="6" t="s">
        <v>51</v>
      </c>
      <c r="G893" s="11">
        <v>46129.333333333336</v>
      </c>
      <c r="H893" s="10" t="s">
        <v>923</v>
      </c>
      <c r="I893" s="6" t="s">
        <v>924</v>
      </c>
      <c r="J893" s="12">
        <v>46120.7496875</v>
      </c>
      <c r="K893" s="6" t="e" cm="1">
        <f t="array" ref="K893">LOOKUP(2^15,SEARCH(Tabela2[Palavras-Chave],Boletim[[#This Row],[Objeto]],1),Tabela2[Palavras-Chave])</f>
        <v>#N/A</v>
      </c>
    </row>
    <row r="894" spans="1:11" hidden="1" x14ac:dyDescent="0.3">
      <c r="A894" s="5">
        <v>18803650</v>
      </c>
      <c r="B894" s="6" t="s">
        <v>925</v>
      </c>
      <c r="C894" s="6" t="s">
        <v>926</v>
      </c>
      <c r="D894" s="8" t="s">
        <v>72</v>
      </c>
      <c r="E894" s="6" t="s">
        <v>927</v>
      </c>
      <c r="F894" s="6" t="s">
        <v>51</v>
      </c>
      <c r="G894" s="11">
        <v>46122.708333333336</v>
      </c>
      <c r="H894" s="10" t="s">
        <v>928</v>
      </c>
      <c r="I894" s="6" t="s">
        <v>929</v>
      </c>
      <c r="J894" s="12">
        <v>46120.764120370368</v>
      </c>
      <c r="K894" s="6" t="e" cm="1">
        <f t="array" ref="K894">LOOKUP(2^15,SEARCH(Tabela2[Palavras-Chave],Boletim[[#This Row],[Objeto]],1),Tabela2[Palavras-Chave])</f>
        <v>#N/A</v>
      </c>
    </row>
    <row r="895" spans="1:11" hidden="1" x14ac:dyDescent="0.3">
      <c r="A895" s="5">
        <v>18805947</v>
      </c>
      <c r="B895" s="6" t="s">
        <v>930</v>
      </c>
      <c r="C895" s="6" t="s">
        <v>73</v>
      </c>
      <c r="D895" s="8" t="s">
        <v>72</v>
      </c>
      <c r="E895" s="6" t="s">
        <v>330</v>
      </c>
      <c r="F895" s="6" t="s">
        <v>51</v>
      </c>
      <c r="G895" s="11">
        <v>46128.333333333336</v>
      </c>
      <c r="H895" s="10" t="s">
        <v>931</v>
      </c>
      <c r="I895" s="6" t="s">
        <v>932</v>
      </c>
      <c r="J895" s="12">
        <v>46120.791064814817</v>
      </c>
      <c r="K895" s="6" t="e" cm="1">
        <f t="array" ref="K895">LOOKUP(2^15,SEARCH(Tabela2[Palavras-Chave],Boletim[[#This Row],[Objeto]],1),Tabela2[Palavras-Chave])</f>
        <v>#N/A</v>
      </c>
    </row>
    <row r="896" spans="1:11" hidden="1" x14ac:dyDescent="0.3">
      <c r="A896" s="5">
        <v>18806085</v>
      </c>
      <c r="B896" s="6" t="s">
        <v>2836</v>
      </c>
      <c r="C896" s="6" t="s">
        <v>2837</v>
      </c>
      <c r="D896" s="8" t="s">
        <v>72</v>
      </c>
      <c r="E896" s="6" t="s">
        <v>105</v>
      </c>
      <c r="F896" s="6" t="s">
        <v>51</v>
      </c>
      <c r="G896" s="11" t="s">
        <v>56</v>
      </c>
      <c r="H896" s="10" t="s">
        <v>2838</v>
      </c>
      <c r="I896" s="6" t="s">
        <v>2839</v>
      </c>
      <c r="J896" s="12">
        <v>46120.81417824074</v>
      </c>
      <c r="K896" s="6" t="e" cm="1">
        <f t="array" ref="K896">LOOKUP(2^15,SEARCH(Tabela2[Palavras-Chave],Boletim[[#This Row],[Objeto]],1),Tabela2[Palavras-Chave])</f>
        <v>#N/A</v>
      </c>
    </row>
    <row r="897" spans="1:11" hidden="1" x14ac:dyDescent="0.3">
      <c r="A897" s="5">
        <v>18804498</v>
      </c>
      <c r="B897" s="6" t="s">
        <v>933</v>
      </c>
      <c r="C897" s="6" t="s">
        <v>73</v>
      </c>
      <c r="D897" s="8" t="s">
        <v>72</v>
      </c>
      <c r="E897" s="6" t="s">
        <v>197</v>
      </c>
      <c r="F897" s="6" t="s">
        <v>51</v>
      </c>
      <c r="G897" s="11">
        <v>46127.333333333336</v>
      </c>
      <c r="H897" s="10" t="s">
        <v>934</v>
      </c>
      <c r="I897" s="6" t="s">
        <v>935</v>
      </c>
      <c r="J897" s="12">
        <v>46120.879432870373</v>
      </c>
      <c r="K897" s="6" t="e" cm="1">
        <f t="array" ref="K897">LOOKUP(2^15,SEARCH(Tabela2[Palavras-Chave],Boletim[[#This Row],[Objeto]],1),Tabela2[Palavras-Chave])</f>
        <v>#N/A</v>
      </c>
    </row>
    <row r="898" spans="1:11" hidden="1" x14ac:dyDescent="0.3">
      <c r="A898" s="5">
        <v>18801365</v>
      </c>
      <c r="B898" s="6" t="s">
        <v>2840</v>
      </c>
      <c r="C898" s="6" t="s">
        <v>75</v>
      </c>
      <c r="D898" s="8" t="s">
        <v>76</v>
      </c>
      <c r="E898" s="6" t="s">
        <v>824</v>
      </c>
      <c r="F898" s="6" t="s">
        <v>51</v>
      </c>
      <c r="G898" s="11">
        <v>46126.416666666664</v>
      </c>
      <c r="H898" s="10" t="s">
        <v>2841</v>
      </c>
      <c r="I898" s="6" t="s">
        <v>2842</v>
      </c>
      <c r="J898" s="12">
        <v>46120.451678240737</v>
      </c>
      <c r="K898" s="6" t="e" cm="1">
        <f t="array" ref="K898">LOOKUP(2^15,SEARCH(Tabela2[Palavras-Chave],Boletim[[#This Row],[Objeto]],1),Tabela2[Palavras-Chave])</f>
        <v>#N/A</v>
      </c>
    </row>
    <row r="899" spans="1:11" hidden="1" x14ac:dyDescent="0.3">
      <c r="A899" s="5">
        <v>18801331</v>
      </c>
      <c r="B899" s="6" t="s">
        <v>1953</v>
      </c>
      <c r="C899" s="6" t="s">
        <v>75</v>
      </c>
      <c r="D899" s="8" t="s">
        <v>76</v>
      </c>
      <c r="E899" s="6" t="s">
        <v>2843</v>
      </c>
      <c r="F899" s="6" t="s">
        <v>51</v>
      </c>
      <c r="G899" s="11">
        <v>46125.375</v>
      </c>
      <c r="H899" s="10" t="s">
        <v>2844</v>
      </c>
      <c r="I899" s="6" t="s">
        <v>2845</v>
      </c>
      <c r="J899" s="12">
        <v>46120.452141203707</v>
      </c>
      <c r="K899" s="6" t="e" cm="1">
        <f t="array" ref="K899">LOOKUP(2^15,SEARCH(Tabela2[Palavras-Chave],Boletim[[#This Row],[Objeto]],1),Tabela2[Palavras-Chave])</f>
        <v>#N/A</v>
      </c>
    </row>
    <row r="900" spans="1:11" hidden="1" x14ac:dyDescent="0.3">
      <c r="A900" s="5">
        <v>18801344</v>
      </c>
      <c r="B900" s="6" t="s">
        <v>936</v>
      </c>
      <c r="C900" s="6" t="s">
        <v>75</v>
      </c>
      <c r="D900" s="8" t="s">
        <v>76</v>
      </c>
      <c r="E900" s="6" t="s">
        <v>118</v>
      </c>
      <c r="F900" s="6" t="s">
        <v>51</v>
      </c>
      <c r="G900" s="11">
        <v>46125.333333333336</v>
      </c>
      <c r="H900" s="10" t="s">
        <v>937</v>
      </c>
      <c r="I900" s="6" t="s">
        <v>938</v>
      </c>
      <c r="J900" s="12">
        <v>46120.452604166669</v>
      </c>
      <c r="K900" s="6" t="e" cm="1">
        <f t="array" ref="K900">LOOKUP(2^15,SEARCH(Tabela2[Palavras-Chave],Boletim[[#This Row],[Objeto]],1),Tabela2[Palavras-Chave])</f>
        <v>#N/A</v>
      </c>
    </row>
    <row r="901" spans="1:11" hidden="1" x14ac:dyDescent="0.3">
      <c r="A901" s="5">
        <v>18801349</v>
      </c>
      <c r="B901" s="6" t="s">
        <v>967</v>
      </c>
      <c r="C901" s="6" t="s">
        <v>75</v>
      </c>
      <c r="D901" s="8" t="s">
        <v>76</v>
      </c>
      <c r="E901" s="6" t="s">
        <v>444</v>
      </c>
      <c r="F901" s="6" t="s">
        <v>51</v>
      </c>
      <c r="G901" s="11">
        <v>46125.354166666664</v>
      </c>
      <c r="H901" s="10" t="s">
        <v>2846</v>
      </c>
      <c r="I901" s="6" t="s">
        <v>2847</v>
      </c>
      <c r="J901" s="12">
        <v>46120.452986111108</v>
      </c>
      <c r="K901" s="6" t="e" cm="1">
        <f t="array" ref="K901">LOOKUP(2^15,SEARCH(Tabela2[Palavras-Chave],Boletim[[#This Row],[Objeto]],1),Tabela2[Palavras-Chave])</f>
        <v>#N/A</v>
      </c>
    </row>
    <row r="902" spans="1:11" hidden="1" x14ac:dyDescent="0.3">
      <c r="A902" s="5">
        <v>18801350</v>
      </c>
      <c r="B902" s="6" t="s">
        <v>2848</v>
      </c>
      <c r="C902" s="6" t="s">
        <v>75</v>
      </c>
      <c r="D902" s="8" t="s">
        <v>76</v>
      </c>
      <c r="E902" s="6" t="s">
        <v>824</v>
      </c>
      <c r="F902" s="6" t="s">
        <v>51</v>
      </c>
      <c r="G902" s="11">
        <v>46125.333333333336</v>
      </c>
      <c r="H902" s="10" t="s">
        <v>2849</v>
      </c>
      <c r="I902" s="6" t="s">
        <v>2850</v>
      </c>
      <c r="J902" s="12">
        <v>46120.453125</v>
      </c>
      <c r="K902" s="6" t="e" cm="1">
        <f t="array" ref="K902">LOOKUP(2^15,SEARCH(Tabela2[Palavras-Chave],Boletim[[#This Row],[Objeto]],1),Tabela2[Palavras-Chave])</f>
        <v>#N/A</v>
      </c>
    </row>
    <row r="903" spans="1:11" hidden="1" x14ac:dyDescent="0.3">
      <c r="A903" s="5">
        <v>18801351</v>
      </c>
      <c r="B903" s="6" t="s">
        <v>2848</v>
      </c>
      <c r="C903" s="6" t="s">
        <v>75</v>
      </c>
      <c r="D903" s="8" t="s">
        <v>76</v>
      </c>
      <c r="E903" s="6" t="s">
        <v>824</v>
      </c>
      <c r="F903" s="6" t="s">
        <v>51</v>
      </c>
      <c r="G903" s="11">
        <v>46125.333333333336</v>
      </c>
      <c r="H903" s="10" t="s">
        <v>2849</v>
      </c>
      <c r="I903" s="6" t="s">
        <v>2850</v>
      </c>
      <c r="J903" s="12">
        <v>46120.453194444446</v>
      </c>
      <c r="K903" s="6" t="e" cm="1">
        <f t="array" ref="K903">LOOKUP(2^15,SEARCH(Tabela2[Palavras-Chave],Boletim[[#This Row],[Objeto]],1),Tabela2[Palavras-Chave])</f>
        <v>#N/A</v>
      </c>
    </row>
    <row r="904" spans="1:11" hidden="1" x14ac:dyDescent="0.3">
      <c r="A904" s="5">
        <v>18580466</v>
      </c>
      <c r="B904" s="6" t="s">
        <v>177</v>
      </c>
      <c r="C904" s="6" t="s">
        <v>75</v>
      </c>
      <c r="D904" s="8" t="s">
        <v>76</v>
      </c>
      <c r="E904" s="6" t="s">
        <v>785</v>
      </c>
      <c r="F904" s="6" t="s">
        <v>51</v>
      </c>
      <c r="G904" s="11" t="s">
        <v>56</v>
      </c>
      <c r="H904" s="10" t="s">
        <v>786</v>
      </c>
      <c r="I904" s="6" t="s">
        <v>787</v>
      </c>
      <c r="J904" s="12">
        <v>46120.465682870374</v>
      </c>
      <c r="K904" s="6" t="e" cm="1">
        <f t="array" ref="K904">LOOKUP(2^15,SEARCH(Tabela2[Palavras-Chave],Boletim[[#This Row],[Objeto]],1),Tabela2[Palavras-Chave])</f>
        <v>#N/A</v>
      </c>
    </row>
    <row r="905" spans="1:11" hidden="1" x14ac:dyDescent="0.3">
      <c r="A905" s="5">
        <v>18727977</v>
      </c>
      <c r="B905" s="6" t="s">
        <v>177</v>
      </c>
      <c r="C905" s="6" t="s">
        <v>75</v>
      </c>
      <c r="D905" s="8" t="s">
        <v>76</v>
      </c>
      <c r="E905" s="6" t="s">
        <v>333</v>
      </c>
      <c r="F905" s="6" t="s">
        <v>51</v>
      </c>
      <c r="G905" s="11" t="s">
        <v>56</v>
      </c>
      <c r="H905" s="10" t="s">
        <v>334</v>
      </c>
      <c r="I905" s="6" t="s">
        <v>2851</v>
      </c>
      <c r="J905" s="12">
        <v>46120.465740740743</v>
      </c>
      <c r="K905" s="6" t="e" cm="1">
        <f t="array" ref="K905">LOOKUP(2^15,SEARCH(Tabela2[Palavras-Chave],Boletim[[#This Row],[Objeto]],1),Tabela2[Palavras-Chave])</f>
        <v>#N/A</v>
      </c>
    </row>
    <row r="906" spans="1:11" hidden="1" x14ac:dyDescent="0.3">
      <c r="A906" s="5">
        <v>18765087</v>
      </c>
      <c r="B906" s="6" t="s">
        <v>74</v>
      </c>
      <c r="C906" s="6" t="s">
        <v>75</v>
      </c>
      <c r="D906" s="8" t="s">
        <v>76</v>
      </c>
      <c r="E906" s="6" t="s">
        <v>2703</v>
      </c>
      <c r="F906" s="6" t="s">
        <v>51</v>
      </c>
      <c r="G906" s="11" t="s">
        <v>56</v>
      </c>
      <c r="H906" s="10" t="s">
        <v>2704</v>
      </c>
      <c r="I906" s="6" t="s">
        <v>2705</v>
      </c>
      <c r="J906" s="12">
        <v>46120.465856481482</v>
      </c>
      <c r="K906" s="6" t="e" cm="1">
        <f t="array" ref="K906">LOOKUP(2^15,SEARCH(Tabela2[Palavras-Chave],Boletim[[#This Row],[Objeto]],1),Tabela2[Palavras-Chave])</f>
        <v>#N/A</v>
      </c>
    </row>
    <row r="907" spans="1:11" hidden="1" x14ac:dyDescent="0.3">
      <c r="A907" s="5">
        <v>18770011</v>
      </c>
      <c r="B907" s="6" t="s">
        <v>74</v>
      </c>
      <c r="C907" s="6" t="s">
        <v>75</v>
      </c>
      <c r="D907" s="8" t="s">
        <v>76</v>
      </c>
      <c r="E907" s="6" t="s">
        <v>471</v>
      </c>
      <c r="F907" s="6" t="s">
        <v>51</v>
      </c>
      <c r="G907" s="11" t="s">
        <v>56</v>
      </c>
      <c r="H907" s="10" t="s">
        <v>472</v>
      </c>
      <c r="I907" s="6" t="s">
        <v>473</v>
      </c>
      <c r="J907" s="12">
        <v>46120.465949074074</v>
      </c>
      <c r="K907" s="6" t="e" cm="1">
        <f t="array" ref="K907">LOOKUP(2^15,SEARCH(Tabela2[Palavras-Chave],Boletim[[#This Row],[Objeto]],1),Tabela2[Palavras-Chave])</f>
        <v>#N/A</v>
      </c>
    </row>
    <row r="908" spans="1:11" hidden="1" x14ac:dyDescent="0.3">
      <c r="A908" s="5">
        <v>18780322</v>
      </c>
      <c r="B908" s="6" t="s">
        <v>74</v>
      </c>
      <c r="C908" s="6" t="s">
        <v>75</v>
      </c>
      <c r="D908" s="8" t="s">
        <v>76</v>
      </c>
      <c r="E908" s="6" t="s">
        <v>939</v>
      </c>
      <c r="F908" s="6" t="s">
        <v>51</v>
      </c>
      <c r="G908" s="11" t="s">
        <v>56</v>
      </c>
      <c r="H908" s="10" t="s">
        <v>940</v>
      </c>
      <c r="I908" s="6" t="s">
        <v>941</v>
      </c>
      <c r="J908" s="12">
        <v>46120.466805555552</v>
      </c>
      <c r="K908" s="6" t="e" cm="1">
        <f t="array" ref="K908">LOOKUP(2^15,SEARCH(Tabela2[Palavras-Chave],Boletim[[#This Row],[Objeto]],1),Tabela2[Palavras-Chave])</f>
        <v>#N/A</v>
      </c>
    </row>
    <row r="909" spans="1:11" hidden="1" x14ac:dyDescent="0.3">
      <c r="A909" s="5">
        <v>18801798</v>
      </c>
      <c r="B909" s="6" t="s">
        <v>217</v>
      </c>
      <c r="C909" s="6" t="s">
        <v>75</v>
      </c>
      <c r="D909" s="8" t="s">
        <v>76</v>
      </c>
      <c r="E909" s="6" t="s">
        <v>942</v>
      </c>
      <c r="F909" s="6" t="s">
        <v>51</v>
      </c>
      <c r="G909" s="11" t="s">
        <v>56</v>
      </c>
      <c r="H909" s="10" t="s">
        <v>943</v>
      </c>
      <c r="I909" s="6" t="s">
        <v>944</v>
      </c>
      <c r="J909" s="12">
        <v>46120.494953703703</v>
      </c>
      <c r="K909" s="6" t="e" cm="1">
        <f t="array" ref="K909">LOOKUP(2^15,SEARCH(Tabela2[Palavras-Chave],Boletim[[#This Row],[Objeto]],1),Tabela2[Palavras-Chave])</f>
        <v>#N/A</v>
      </c>
    </row>
    <row r="910" spans="1:11" hidden="1" x14ac:dyDescent="0.3">
      <c r="A910" s="5">
        <v>18801800</v>
      </c>
      <c r="B910" s="6" t="s">
        <v>217</v>
      </c>
      <c r="C910" s="6" t="s">
        <v>75</v>
      </c>
      <c r="D910" s="8" t="s">
        <v>76</v>
      </c>
      <c r="E910" s="6" t="s">
        <v>945</v>
      </c>
      <c r="F910" s="6" t="s">
        <v>51</v>
      </c>
      <c r="G910" s="11" t="s">
        <v>56</v>
      </c>
      <c r="H910" s="10" t="s">
        <v>946</v>
      </c>
      <c r="I910" s="6" t="s">
        <v>947</v>
      </c>
      <c r="J910" s="12">
        <v>46120.521423611113</v>
      </c>
      <c r="K910" s="6" t="e" cm="1">
        <f t="array" ref="K910">LOOKUP(2^15,SEARCH(Tabela2[Palavras-Chave],Boletim[[#This Row],[Objeto]],1),Tabela2[Palavras-Chave])</f>
        <v>#N/A</v>
      </c>
    </row>
    <row r="911" spans="1:11" hidden="1" x14ac:dyDescent="0.3">
      <c r="A911" s="5">
        <v>18801799</v>
      </c>
      <c r="B911" s="6" t="s">
        <v>948</v>
      </c>
      <c r="C911" s="6" t="s">
        <v>390</v>
      </c>
      <c r="D911" s="8" t="s">
        <v>76</v>
      </c>
      <c r="E911" s="6" t="s">
        <v>949</v>
      </c>
      <c r="F911" s="6" t="s">
        <v>51</v>
      </c>
      <c r="G911" s="11" t="s">
        <v>56</v>
      </c>
      <c r="H911" s="10" t="s">
        <v>950</v>
      </c>
      <c r="I911" s="6" t="s">
        <v>951</v>
      </c>
      <c r="J911" s="12">
        <v>46120.523472222223</v>
      </c>
      <c r="K911" s="6" t="e" cm="1">
        <f t="array" ref="K911">LOOKUP(2^15,SEARCH(Tabela2[Palavras-Chave],Boletim[[#This Row],[Objeto]],1),Tabela2[Palavras-Chave])</f>
        <v>#N/A</v>
      </c>
    </row>
    <row r="912" spans="1:11" hidden="1" x14ac:dyDescent="0.3">
      <c r="A912" s="5">
        <v>18801790</v>
      </c>
      <c r="B912" s="6" t="s">
        <v>256</v>
      </c>
      <c r="C912" s="6" t="s">
        <v>75</v>
      </c>
      <c r="D912" s="8" t="s">
        <v>76</v>
      </c>
      <c r="E912" s="6" t="s">
        <v>55</v>
      </c>
      <c r="F912" s="6" t="s">
        <v>51</v>
      </c>
      <c r="G912" s="11" t="s">
        <v>56</v>
      </c>
      <c r="H912" s="10" t="s">
        <v>952</v>
      </c>
      <c r="I912" s="6" t="s">
        <v>953</v>
      </c>
      <c r="J912" s="12">
        <v>46120.546851851854</v>
      </c>
      <c r="K912" s="6" t="e" cm="1">
        <f t="array" ref="K912">LOOKUP(2^15,SEARCH(Tabela2[Palavras-Chave],Boletim[[#This Row],[Objeto]],1),Tabela2[Palavras-Chave])</f>
        <v>#N/A</v>
      </c>
    </row>
    <row r="913" spans="1:11" hidden="1" x14ac:dyDescent="0.3">
      <c r="A913" s="5">
        <v>18746681</v>
      </c>
      <c r="B913" s="6" t="s">
        <v>74</v>
      </c>
      <c r="C913" s="6" t="s">
        <v>75</v>
      </c>
      <c r="D913" s="8" t="s">
        <v>76</v>
      </c>
      <c r="E913" s="6" t="s">
        <v>816</v>
      </c>
      <c r="F913" s="6" t="s">
        <v>51</v>
      </c>
      <c r="G913" s="11" t="s">
        <v>56</v>
      </c>
      <c r="H913" s="10" t="s">
        <v>817</v>
      </c>
      <c r="I913" s="6" t="s">
        <v>818</v>
      </c>
      <c r="J913" s="12">
        <v>46120.652719907404</v>
      </c>
      <c r="K913" s="6" t="e" cm="1">
        <f t="array" ref="K913">LOOKUP(2^15,SEARCH(Tabela2[Palavras-Chave],Boletim[[#This Row],[Objeto]],1),Tabela2[Palavras-Chave])</f>
        <v>#N/A</v>
      </c>
    </row>
    <row r="914" spans="1:11" hidden="1" x14ac:dyDescent="0.3">
      <c r="A914" s="5">
        <v>18748508</v>
      </c>
      <c r="B914" s="6" t="s">
        <v>954</v>
      </c>
      <c r="C914" s="6" t="s">
        <v>955</v>
      </c>
      <c r="D914" s="8" t="s">
        <v>76</v>
      </c>
      <c r="E914" s="6" t="s">
        <v>165</v>
      </c>
      <c r="F914" s="6" t="s">
        <v>51</v>
      </c>
      <c r="G914" s="11" t="s">
        <v>56</v>
      </c>
      <c r="H914" s="10" t="s">
        <v>956</v>
      </c>
      <c r="I914" s="6" t="s">
        <v>957</v>
      </c>
      <c r="J914" s="12">
        <v>46120.654699074075</v>
      </c>
      <c r="K914" s="6" t="e" cm="1">
        <f t="array" ref="K914">LOOKUP(2^15,SEARCH(Tabela2[Palavras-Chave],Boletim[[#This Row],[Objeto]],1),Tabela2[Palavras-Chave])</f>
        <v>#N/A</v>
      </c>
    </row>
    <row r="915" spans="1:11" hidden="1" x14ac:dyDescent="0.3">
      <c r="A915" s="5">
        <v>18803157</v>
      </c>
      <c r="B915" s="6" t="s">
        <v>256</v>
      </c>
      <c r="C915" s="6" t="s">
        <v>75</v>
      </c>
      <c r="D915" s="8" t="s">
        <v>76</v>
      </c>
      <c r="E915" s="6" t="s">
        <v>958</v>
      </c>
      <c r="F915" s="6" t="s">
        <v>51</v>
      </c>
      <c r="G915" s="11" t="s">
        <v>56</v>
      </c>
      <c r="H915" s="10" t="s">
        <v>959</v>
      </c>
      <c r="I915" s="6" t="s">
        <v>960</v>
      </c>
      <c r="J915" s="12">
        <v>46120.663182870368</v>
      </c>
      <c r="K915" s="6" t="e" cm="1">
        <f t="array" ref="K915">LOOKUP(2^15,SEARCH(Tabela2[Palavras-Chave],Boletim[[#This Row],[Objeto]],1),Tabela2[Palavras-Chave])</f>
        <v>#N/A</v>
      </c>
    </row>
    <row r="916" spans="1:11" hidden="1" x14ac:dyDescent="0.3">
      <c r="A916" s="5">
        <v>18789615</v>
      </c>
      <c r="B916" s="6" t="s">
        <v>2852</v>
      </c>
      <c r="C916" s="6" t="s">
        <v>2853</v>
      </c>
      <c r="D916" s="8" t="s">
        <v>76</v>
      </c>
      <c r="E916" s="6" t="s">
        <v>55</v>
      </c>
      <c r="F916" s="6" t="s">
        <v>51</v>
      </c>
      <c r="G916" s="11" t="s">
        <v>56</v>
      </c>
      <c r="H916" s="10" t="s">
        <v>2854</v>
      </c>
      <c r="I916" s="6" t="s">
        <v>138</v>
      </c>
      <c r="J916" s="12">
        <v>46120.66747685185</v>
      </c>
      <c r="K916" s="6" t="e" cm="1">
        <f t="array" ref="K916">LOOKUP(2^15,SEARCH(Tabela2[Palavras-Chave],Boletim[[#This Row],[Objeto]],1),Tabela2[Palavras-Chave])</f>
        <v>#N/A</v>
      </c>
    </row>
    <row r="917" spans="1:11" hidden="1" x14ac:dyDescent="0.3">
      <c r="A917" s="5">
        <v>18675094</v>
      </c>
      <c r="B917" s="6" t="s">
        <v>961</v>
      </c>
      <c r="C917" s="6" t="s">
        <v>962</v>
      </c>
      <c r="D917" s="8" t="s">
        <v>76</v>
      </c>
      <c r="E917" s="6" t="s">
        <v>55</v>
      </c>
      <c r="F917" s="6" t="s">
        <v>51</v>
      </c>
      <c r="G917" s="11" t="s">
        <v>56</v>
      </c>
      <c r="H917" s="10" t="s">
        <v>963</v>
      </c>
      <c r="I917" s="6" t="s">
        <v>138</v>
      </c>
      <c r="J917" s="12">
        <v>46120.67019675926</v>
      </c>
      <c r="K917" s="6" t="e" cm="1">
        <f t="array" ref="K917">LOOKUP(2^15,SEARCH(Tabela2[Palavras-Chave],Boletim[[#This Row],[Objeto]],1),Tabela2[Palavras-Chave])</f>
        <v>#N/A</v>
      </c>
    </row>
    <row r="918" spans="1:11" hidden="1" x14ac:dyDescent="0.3">
      <c r="A918" s="5">
        <v>18779897</v>
      </c>
      <c r="B918" s="6" t="s">
        <v>2855</v>
      </c>
      <c r="C918" s="6" t="s">
        <v>391</v>
      </c>
      <c r="D918" s="8" t="s">
        <v>76</v>
      </c>
      <c r="E918" s="6" t="s">
        <v>55</v>
      </c>
      <c r="F918" s="6" t="s">
        <v>51</v>
      </c>
      <c r="G918" s="11" t="s">
        <v>56</v>
      </c>
      <c r="H918" s="10" t="s">
        <v>2856</v>
      </c>
      <c r="I918" s="6" t="s">
        <v>138</v>
      </c>
      <c r="J918" s="12">
        <v>46120.671574074076</v>
      </c>
      <c r="K918" s="6" t="e" cm="1">
        <f t="array" ref="K918">LOOKUP(2^15,SEARCH(Tabela2[Palavras-Chave],Boletim[[#This Row],[Objeto]],1),Tabela2[Palavras-Chave])</f>
        <v>#N/A</v>
      </c>
    </row>
    <row r="919" spans="1:11" hidden="1" x14ac:dyDescent="0.3">
      <c r="A919" s="5">
        <v>18793190</v>
      </c>
      <c r="B919" s="6" t="s">
        <v>2857</v>
      </c>
      <c r="C919" s="6" t="s">
        <v>2858</v>
      </c>
      <c r="D919" s="8" t="s">
        <v>76</v>
      </c>
      <c r="E919" s="6" t="s">
        <v>55</v>
      </c>
      <c r="F919" s="6" t="s">
        <v>51</v>
      </c>
      <c r="G919" s="11" t="s">
        <v>56</v>
      </c>
      <c r="H919" s="10" t="s">
        <v>2859</v>
      </c>
      <c r="I919" s="6" t="s">
        <v>138</v>
      </c>
      <c r="J919" s="12">
        <v>46120.675046296295</v>
      </c>
      <c r="K919" s="6" t="e" cm="1">
        <f t="array" ref="K919">LOOKUP(2^15,SEARCH(Tabela2[Palavras-Chave],Boletim[[#This Row],[Objeto]],1),Tabela2[Palavras-Chave])</f>
        <v>#N/A</v>
      </c>
    </row>
    <row r="920" spans="1:11" hidden="1" x14ac:dyDescent="0.3">
      <c r="A920" s="5">
        <v>18804543</v>
      </c>
      <c r="B920" s="6" t="s">
        <v>964</v>
      </c>
      <c r="C920" s="6" t="s">
        <v>75</v>
      </c>
      <c r="D920" s="8" t="s">
        <v>76</v>
      </c>
      <c r="E920" s="6" t="s">
        <v>330</v>
      </c>
      <c r="F920" s="6" t="s">
        <v>51</v>
      </c>
      <c r="G920" s="11">
        <v>46127.333333333336</v>
      </c>
      <c r="H920" s="10" t="s">
        <v>965</v>
      </c>
      <c r="I920" s="6" t="s">
        <v>966</v>
      </c>
      <c r="J920" s="12">
        <v>46120.673784722225</v>
      </c>
      <c r="K920" s="6" t="e" cm="1">
        <f t="array" ref="K920">LOOKUP(2^15,SEARCH(Tabela2[Palavras-Chave],Boletim[[#This Row],[Objeto]],1),Tabela2[Palavras-Chave])</f>
        <v>#N/A</v>
      </c>
    </row>
    <row r="921" spans="1:11" hidden="1" x14ac:dyDescent="0.3">
      <c r="A921" s="5">
        <v>18789608</v>
      </c>
      <c r="B921" s="6" t="s">
        <v>2857</v>
      </c>
      <c r="C921" s="6" t="s">
        <v>2858</v>
      </c>
      <c r="D921" s="8" t="s">
        <v>76</v>
      </c>
      <c r="E921" s="6" t="s">
        <v>55</v>
      </c>
      <c r="F921" s="6" t="s">
        <v>51</v>
      </c>
      <c r="G921" s="11" t="s">
        <v>56</v>
      </c>
      <c r="H921" s="10" t="s">
        <v>2860</v>
      </c>
      <c r="I921" s="6" t="s">
        <v>138</v>
      </c>
      <c r="J921" s="12">
        <v>46120.677129629628</v>
      </c>
      <c r="K921" s="6" t="e" cm="1">
        <f t="array" ref="K921">LOOKUP(2^15,SEARCH(Tabela2[Palavras-Chave],Boletim[[#This Row],[Objeto]],1),Tabela2[Palavras-Chave])</f>
        <v>#N/A</v>
      </c>
    </row>
    <row r="922" spans="1:11" hidden="1" x14ac:dyDescent="0.3">
      <c r="A922" s="5">
        <v>18801823</v>
      </c>
      <c r="B922" s="6" t="s">
        <v>2861</v>
      </c>
      <c r="C922" s="6" t="s">
        <v>2858</v>
      </c>
      <c r="D922" s="8" t="s">
        <v>76</v>
      </c>
      <c r="E922" s="6" t="s">
        <v>55</v>
      </c>
      <c r="F922" s="6" t="s">
        <v>51</v>
      </c>
      <c r="G922" s="11" t="s">
        <v>56</v>
      </c>
      <c r="H922" s="10" t="s">
        <v>2862</v>
      </c>
      <c r="I922" s="6" t="s">
        <v>90</v>
      </c>
      <c r="J922" s="12">
        <v>46120.702696759261</v>
      </c>
      <c r="K922" s="6" t="e" cm="1">
        <f t="array" ref="K922">LOOKUP(2^15,SEARCH(Tabela2[Palavras-Chave],Boletim[[#This Row],[Objeto]],1),Tabela2[Palavras-Chave])</f>
        <v>#N/A</v>
      </c>
    </row>
    <row r="923" spans="1:11" hidden="1" x14ac:dyDescent="0.3">
      <c r="A923" s="5">
        <v>18804597</v>
      </c>
      <c r="B923" s="6" t="s">
        <v>967</v>
      </c>
      <c r="C923" s="6" t="s">
        <v>75</v>
      </c>
      <c r="D923" s="8" t="s">
        <v>76</v>
      </c>
      <c r="E923" s="6" t="s">
        <v>260</v>
      </c>
      <c r="F923" s="6" t="s">
        <v>51</v>
      </c>
      <c r="G923" s="11">
        <v>46126.333333333336</v>
      </c>
      <c r="H923" s="10" t="s">
        <v>968</v>
      </c>
      <c r="I923" s="6" t="s">
        <v>969</v>
      </c>
      <c r="J923" s="12">
        <v>46120.727581018517</v>
      </c>
      <c r="K923" s="6" t="e" cm="1">
        <f t="array" ref="K923">LOOKUP(2^15,SEARCH(Tabela2[Palavras-Chave],Boletim[[#This Row],[Objeto]],1),Tabela2[Palavras-Chave])</f>
        <v>#N/A</v>
      </c>
    </row>
    <row r="924" spans="1:11" hidden="1" x14ac:dyDescent="0.3">
      <c r="A924" s="5">
        <v>18804582</v>
      </c>
      <c r="B924" s="6" t="s">
        <v>970</v>
      </c>
      <c r="C924" s="6" t="s">
        <v>75</v>
      </c>
      <c r="D924" s="8" t="s">
        <v>76</v>
      </c>
      <c r="E924" s="6" t="s">
        <v>329</v>
      </c>
      <c r="F924" s="6" t="s">
        <v>51</v>
      </c>
      <c r="G924" s="11">
        <v>46125.392361111109</v>
      </c>
      <c r="H924" s="10" t="s">
        <v>971</v>
      </c>
      <c r="I924" s="6" t="s">
        <v>972</v>
      </c>
      <c r="J924" s="12">
        <v>46120.732210648152</v>
      </c>
      <c r="K924" s="6" t="e" cm="1">
        <f t="array" ref="K924">LOOKUP(2^15,SEARCH(Tabela2[Palavras-Chave],Boletim[[#This Row],[Objeto]],1),Tabela2[Palavras-Chave])</f>
        <v>#N/A</v>
      </c>
    </row>
    <row r="925" spans="1:11" hidden="1" x14ac:dyDescent="0.3">
      <c r="A925" s="5">
        <v>18804717</v>
      </c>
      <c r="B925" s="6" t="s">
        <v>973</v>
      </c>
      <c r="C925" s="6" t="s">
        <v>75</v>
      </c>
      <c r="D925" s="8" t="s">
        <v>76</v>
      </c>
      <c r="E925" s="6" t="s">
        <v>974</v>
      </c>
      <c r="F925" s="6" t="s">
        <v>51</v>
      </c>
      <c r="G925" s="11" t="s">
        <v>56</v>
      </c>
      <c r="H925" s="10" t="s">
        <v>975</v>
      </c>
      <c r="I925" s="6" t="s">
        <v>190</v>
      </c>
      <c r="J925" s="12">
        <v>46120.732395833336</v>
      </c>
      <c r="K925" s="6" t="e" cm="1">
        <f t="array" ref="K925">LOOKUP(2^15,SEARCH(Tabela2[Palavras-Chave],Boletim[[#This Row],[Objeto]],1),Tabela2[Palavras-Chave])</f>
        <v>#N/A</v>
      </c>
    </row>
    <row r="926" spans="1:11" hidden="1" x14ac:dyDescent="0.3">
      <c r="A926" s="5">
        <v>18804527</v>
      </c>
      <c r="B926" s="6" t="s">
        <v>964</v>
      </c>
      <c r="C926" s="6" t="s">
        <v>75</v>
      </c>
      <c r="D926" s="8" t="s">
        <v>76</v>
      </c>
      <c r="E926" s="6" t="s">
        <v>197</v>
      </c>
      <c r="F926" s="6" t="s">
        <v>51</v>
      </c>
      <c r="G926" s="11">
        <v>46127.333333333336</v>
      </c>
      <c r="H926" s="10" t="s">
        <v>976</v>
      </c>
      <c r="I926" s="6" t="s">
        <v>977</v>
      </c>
      <c r="J926" s="12">
        <v>46120.757349537038</v>
      </c>
      <c r="K926" s="6" t="e" cm="1">
        <f t="array" ref="K926">LOOKUP(2^15,SEARCH(Tabela2[Palavras-Chave],Boletim[[#This Row],[Objeto]],1),Tabela2[Palavras-Chave])</f>
        <v>#N/A</v>
      </c>
    </row>
    <row r="927" spans="1:11" hidden="1" x14ac:dyDescent="0.3">
      <c r="A927" s="5">
        <v>18804602</v>
      </c>
      <c r="B927" s="6" t="s">
        <v>978</v>
      </c>
      <c r="C927" s="6" t="s">
        <v>979</v>
      </c>
      <c r="D927" s="8" t="s">
        <v>76</v>
      </c>
      <c r="E927" s="6" t="s">
        <v>129</v>
      </c>
      <c r="F927" s="6" t="s">
        <v>51</v>
      </c>
      <c r="G927" s="11">
        <v>46128.333333333336</v>
      </c>
      <c r="H927" s="10" t="s">
        <v>980</v>
      </c>
      <c r="I927" s="6" t="s">
        <v>981</v>
      </c>
      <c r="J927" s="12">
        <v>46120.762129629627</v>
      </c>
      <c r="K927" s="6" t="e" cm="1">
        <f t="array" ref="K927">LOOKUP(2^15,SEARCH(Tabela2[Palavras-Chave],Boletim[[#This Row],[Objeto]],1),Tabela2[Palavras-Chave])</f>
        <v>#N/A</v>
      </c>
    </row>
    <row r="928" spans="1:11" hidden="1" x14ac:dyDescent="0.3">
      <c r="A928" s="5">
        <v>18804521</v>
      </c>
      <c r="B928" s="6" t="s">
        <v>982</v>
      </c>
      <c r="C928" s="6" t="s">
        <v>983</v>
      </c>
      <c r="D928" s="8" t="s">
        <v>76</v>
      </c>
      <c r="E928" s="6" t="s">
        <v>335</v>
      </c>
      <c r="F928" s="6" t="s">
        <v>51</v>
      </c>
      <c r="G928" s="11">
        <v>46126.333333333336</v>
      </c>
      <c r="H928" s="10" t="s">
        <v>984</v>
      </c>
      <c r="I928" s="6" t="s">
        <v>985</v>
      </c>
      <c r="J928" s="12">
        <v>46120.788518518515</v>
      </c>
      <c r="K928" s="6" t="e" cm="1">
        <f t="array" ref="K928">LOOKUP(2^15,SEARCH(Tabela2[Palavras-Chave],Boletim[[#This Row],[Objeto]],1),Tabela2[Palavras-Chave])</f>
        <v>#N/A</v>
      </c>
    </row>
    <row r="929" spans="1:11" hidden="1" x14ac:dyDescent="0.3">
      <c r="A929" s="5">
        <v>18803657</v>
      </c>
      <c r="B929" s="6" t="s">
        <v>986</v>
      </c>
      <c r="C929" s="6" t="s">
        <v>75</v>
      </c>
      <c r="D929" s="8" t="s">
        <v>76</v>
      </c>
      <c r="E929" s="6" t="s">
        <v>110</v>
      </c>
      <c r="F929" s="6" t="s">
        <v>51</v>
      </c>
      <c r="G929" s="11">
        <v>46122.708333333336</v>
      </c>
      <c r="H929" s="10" t="s">
        <v>987</v>
      </c>
      <c r="I929" s="6" t="s">
        <v>988</v>
      </c>
      <c r="J929" s="12">
        <v>46120.86513888889</v>
      </c>
      <c r="K929" s="6" t="e" cm="1">
        <f t="array" ref="K929">LOOKUP(2^15,SEARCH(Tabela2[Palavras-Chave],Boletim[[#This Row],[Objeto]],1),Tabela2[Palavras-Chave])</f>
        <v>#N/A</v>
      </c>
    </row>
    <row r="930" spans="1:11" hidden="1" x14ac:dyDescent="0.3">
      <c r="A930" s="5">
        <v>18804720</v>
      </c>
      <c r="B930" s="6" t="s">
        <v>973</v>
      </c>
      <c r="C930" s="6" t="s">
        <v>75</v>
      </c>
      <c r="D930" s="8" t="s">
        <v>76</v>
      </c>
      <c r="E930" s="6" t="s">
        <v>2863</v>
      </c>
      <c r="F930" s="6" t="s">
        <v>51</v>
      </c>
      <c r="G930" s="11" t="s">
        <v>56</v>
      </c>
      <c r="H930" s="10" t="s">
        <v>2864</v>
      </c>
      <c r="I930" s="6" t="s">
        <v>190</v>
      </c>
      <c r="J930" s="12">
        <v>46120.868495370371</v>
      </c>
      <c r="K930" s="6" t="e" cm="1">
        <f t="array" ref="K930">LOOKUP(2^15,SEARCH(Tabela2[Palavras-Chave],Boletim[[#This Row],[Objeto]],1),Tabela2[Palavras-Chave])</f>
        <v>#N/A</v>
      </c>
    </row>
    <row r="931" spans="1:11" x14ac:dyDescent="0.3">
      <c r="A931" s="5">
        <v>18804719</v>
      </c>
      <c r="B931" s="6" t="s">
        <v>973</v>
      </c>
      <c r="C931" s="6" t="s">
        <v>75</v>
      </c>
      <c r="D931" s="8" t="s">
        <v>76</v>
      </c>
      <c r="E931" s="6" t="s">
        <v>989</v>
      </c>
      <c r="F931" s="6" t="s">
        <v>51</v>
      </c>
      <c r="G931" s="11" t="s">
        <v>56</v>
      </c>
      <c r="H931" s="21" t="s">
        <v>990</v>
      </c>
      <c r="I931" s="6" t="s">
        <v>190</v>
      </c>
      <c r="J931" s="12">
        <v>46120.868622685186</v>
      </c>
      <c r="K931" s="6" t="str" cm="1">
        <f t="array" ref="K931">LOOKUP(2^15,SEARCH(Tabela2[Palavras-Chave],Boletim[[#This Row],[Objeto]],1),Tabela2[Palavras-Chave])</f>
        <v>abraçadeira</v>
      </c>
    </row>
    <row r="932" spans="1:11" hidden="1" x14ac:dyDescent="0.3">
      <c r="A932" s="5">
        <v>18804718</v>
      </c>
      <c r="B932" s="6" t="s">
        <v>973</v>
      </c>
      <c r="C932" s="6" t="s">
        <v>75</v>
      </c>
      <c r="D932" s="8" t="s">
        <v>76</v>
      </c>
      <c r="E932" s="6" t="s">
        <v>991</v>
      </c>
      <c r="F932" s="6" t="s">
        <v>51</v>
      </c>
      <c r="G932" s="11" t="s">
        <v>56</v>
      </c>
      <c r="H932" s="10" t="s">
        <v>992</v>
      </c>
      <c r="I932" s="6" t="s">
        <v>190</v>
      </c>
      <c r="J932" s="12">
        <v>46120.868958333333</v>
      </c>
      <c r="K932" s="6" t="e" cm="1">
        <f t="array" ref="K932">LOOKUP(2^15,SEARCH(Tabela2[Palavras-Chave],Boletim[[#This Row],[Objeto]],1),Tabela2[Palavras-Chave])</f>
        <v>#N/A</v>
      </c>
    </row>
    <row r="933" spans="1:11" hidden="1" x14ac:dyDescent="0.3">
      <c r="A933" s="5">
        <v>18804705</v>
      </c>
      <c r="B933" s="6" t="s">
        <v>973</v>
      </c>
      <c r="C933" s="6" t="s">
        <v>75</v>
      </c>
      <c r="D933" s="8" t="s">
        <v>76</v>
      </c>
      <c r="E933" s="6" t="s">
        <v>332</v>
      </c>
      <c r="F933" s="6" t="s">
        <v>51</v>
      </c>
      <c r="G933" s="11" t="s">
        <v>56</v>
      </c>
      <c r="H933" s="10" t="s">
        <v>993</v>
      </c>
      <c r="I933" s="6" t="s">
        <v>190</v>
      </c>
      <c r="J933" s="12">
        <v>46120.869212962964</v>
      </c>
      <c r="K933" s="6" t="e" cm="1">
        <f t="array" ref="K933">LOOKUP(2^15,SEARCH(Tabela2[Palavras-Chave],Boletim[[#This Row],[Objeto]],1),Tabela2[Palavras-Chave])</f>
        <v>#N/A</v>
      </c>
    </row>
    <row r="934" spans="1:11" hidden="1" x14ac:dyDescent="0.3">
      <c r="A934" s="5">
        <v>18804158</v>
      </c>
      <c r="B934" s="6" t="s">
        <v>973</v>
      </c>
      <c r="C934" s="6" t="s">
        <v>75</v>
      </c>
      <c r="D934" s="8" t="s">
        <v>76</v>
      </c>
      <c r="E934" s="6" t="s">
        <v>279</v>
      </c>
      <c r="F934" s="6" t="s">
        <v>51</v>
      </c>
      <c r="G934" s="11" t="s">
        <v>56</v>
      </c>
      <c r="H934" s="10" t="s">
        <v>2865</v>
      </c>
      <c r="I934" s="6" t="s">
        <v>190</v>
      </c>
      <c r="J934" s="12">
        <v>46120.875902777778</v>
      </c>
      <c r="K934" s="6" t="e" cm="1">
        <f t="array" ref="K934">LOOKUP(2^15,SEARCH(Tabela2[Palavras-Chave],Boletim[[#This Row],[Objeto]],1),Tabela2[Palavras-Chave])</f>
        <v>#N/A</v>
      </c>
    </row>
    <row r="935" spans="1:11" hidden="1" x14ac:dyDescent="0.3">
      <c r="A935" s="5">
        <v>18804478</v>
      </c>
      <c r="B935" s="6" t="s">
        <v>994</v>
      </c>
      <c r="C935" s="6" t="s">
        <v>75</v>
      </c>
      <c r="D935" s="8" t="s">
        <v>76</v>
      </c>
      <c r="E935" s="6" t="s">
        <v>264</v>
      </c>
      <c r="F935" s="6" t="s">
        <v>51</v>
      </c>
      <c r="G935" s="11">
        <v>46126.333333333336</v>
      </c>
      <c r="H935" s="10" t="s">
        <v>995</v>
      </c>
      <c r="I935" s="6" t="s">
        <v>996</v>
      </c>
      <c r="J935" s="12">
        <v>46120.882314814815</v>
      </c>
      <c r="K935" s="6" t="e" cm="1">
        <f t="array" ref="K935">LOOKUP(2^15,SEARCH(Tabela2[Palavras-Chave],Boletim[[#This Row],[Objeto]],1),Tabela2[Palavras-Chave])</f>
        <v>#N/A</v>
      </c>
    </row>
    <row r="936" spans="1:11" hidden="1" x14ac:dyDescent="0.3">
      <c r="A936" s="5">
        <v>18804157</v>
      </c>
      <c r="B936" s="6" t="s">
        <v>973</v>
      </c>
      <c r="C936" s="6" t="s">
        <v>75</v>
      </c>
      <c r="D936" s="8" t="s">
        <v>76</v>
      </c>
      <c r="E936" s="6" t="s">
        <v>255</v>
      </c>
      <c r="F936" s="6" t="s">
        <v>51</v>
      </c>
      <c r="G936" s="11" t="s">
        <v>56</v>
      </c>
      <c r="H936" s="10" t="s">
        <v>997</v>
      </c>
      <c r="I936" s="6" t="s">
        <v>190</v>
      </c>
      <c r="J936" s="12">
        <v>46120.882476851853</v>
      </c>
      <c r="K936" s="6" t="e" cm="1">
        <f t="array" ref="K936">LOOKUP(2^15,SEARCH(Tabela2[Palavras-Chave],Boletim[[#This Row],[Objeto]],1),Tabela2[Palavras-Chave])</f>
        <v>#N/A</v>
      </c>
    </row>
    <row r="937" spans="1:11" hidden="1" x14ac:dyDescent="0.3">
      <c r="A937" s="5">
        <v>18801818</v>
      </c>
      <c r="B937" s="6" t="s">
        <v>998</v>
      </c>
      <c r="C937" s="6" t="s">
        <v>999</v>
      </c>
      <c r="D937" s="8" t="s">
        <v>77</v>
      </c>
      <c r="E937" s="6" t="s">
        <v>129</v>
      </c>
      <c r="F937" s="6" t="s">
        <v>51</v>
      </c>
      <c r="G937" s="11">
        <v>46122.833333333336</v>
      </c>
      <c r="H937" s="10" t="s">
        <v>1000</v>
      </c>
      <c r="I937" s="6" t="s">
        <v>1001</v>
      </c>
      <c r="J937" s="12">
        <v>46120.412777777776</v>
      </c>
      <c r="K937" s="6" t="e" cm="1">
        <f t="array" ref="K937">LOOKUP(2^15,SEARCH(Tabela2[Palavras-Chave],Boletim[[#This Row],[Objeto]],1),Tabela2[Palavras-Chave])</f>
        <v>#N/A</v>
      </c>
    </row>
    <row r="938" spans="1:11" hidden="1" x14ac:dyDescent="0.3">
      <c r="A938" s="5">
        <v>18802170</v>
      </c>
      <c r="B938" s="6" t="s">
        <v>1002</v>
      </c>
      <c r="C938" s="6" t="s">
        <v>102</v>
      </c>
      <c r="D938" s="8" t="s">
        <v>77</v>
      </c>
      <c r="E938" s="6" t="s">
        <v>139</v>
      </c>
      <c r="F938" s="6" t="s">
        <v>51</v>
      </c>
      <c r="G938" s="11">
        <v>46125.333333333336</v>
      </c>
      <c r="H938" s="10" t="s">
        <v>1003</v>
      </c>
      <c r="I938" s="6" t="s">
        <v>1004</v>
      </c>
      <c r="J938" s="12">
        <v>46120.496134259258</v>
      </c>
      <c r="K938" s="6" t="e" cm="1">
        <f t="array" ref="K938">LOOKUP(2^15,SEARCH(Tabela2[Palavras-Chave],Boletim[[#This Row],[Objeto]],1),Tabela2[Palavras-Chave])</f>
        <v>#N/A</v>
      </c>
    </row>
    <row r="939" spans="1:11" hidden="1" x14ac:dyDescent="0.3">
      <c r="A939" s="5">
        <v>18803373</v>
      </c>
      <c r="B939" s="6" t="s">
        <v>2866</v>
      </c>
      <c r="C939" s="6" t="s">
        <v>2867</v>
      </c>
      <c r="D939" s="8" t="s">
        <v>77</v>
      </c>
      <c r="E939" s="6" t="s">
        <v>173</v>
      </c>
      <c r="F939" s="6" t="s">
        <v>51</v>
      </c>
      <c r="G939" s="11" t="s">
        <v>56</v>
      </c>
      <c r="H939" s="10" t="s">
        <v>2868</v>
      </c>
      <c r="I939" s="6" t="s">
        <v>2869</v>
      </c>
      <c r="J939" s="12">
        <v>46120.65121527778</v>
      </c>
      <c r="K939" s="6" t="e" cm="1">
        <f t="array" ref="K939">LOOKUP(2^15,SEARCH(Tabela2[Palavras-Chave],Boletim[[#This Row],[Objeto]],1),Tabela2[Palavras-Chave])</f>
        <v>#N/A</v>
      </c>
    </row>
    <row r="940" spans="1:11" hidden="1" x14ac:dyDescent="0.3">
      <c r="A940" s="5">
        <v>18805639</v>
      </c>
      <c r="B940" s="6" t="s">
        <v>275</v>
      </c>
      <c r="C940" s="6" t="s">
        <v>102</v>
      </c>
      <c r="D940" s="8" t="s">
        <v>77</v>
      </c>
      <c r="E940" s="6" t="s">
        <v>1005</v>
      </c>
      <c r="F940" s="6" t="s">
        <v>51</v>
      </c>
      <c r="G940" s="11" t="s">
        <v>56</v>
      </c>
      <c r="H940" s="10" t="s">
        <v>1006</v>
      </c>
      <c r="I940" s="6" t="s">
        <v>1007</v>
      </c>
      <c r="J940" s="12">
        <v>46120.749988425923</v>
      </c>
      <c r="K940" s="6" t="e" cm="1">
        <f t="array" ref="K940">LOOKUP(2^15,SEARCH(Tabela2[Palavras-Chave],Boletim[[#This Row],[Objeto]],1),Tabela2[Palavras-Chave])</f>
        <v>#N/A</v>
      </c>
    </row>
    <row r="941" spans="1:11" hidden="1" x14ac:dyDescent="0.3">
      <c r="A941" s="5">
        <v>18805380</v>
      </c>
      <c r="B941" s="6" t="s">
        <v>2870</v>
      </c>
      <c r="C941" s="6" t="s">
        <v>2871</v>
      </c>
      <c r="D941" s="8" t="s">
        <v>77</v>
      </c>
      <c r="E941" s="6" t="s">
        <v>2872</v>
      </c>
      <c r="F941" s="6" t="s">
        <v>51</v>
      </c>
      <c r="G941" s="11">
        <v>46122</v>
      </c>
      <c r="H941" s="10" t="s">
        <v>2873</v>
      </c>
      <c r="I941" s="6" t="s">
        <v>2874</v>
      </c>
      <c r="J941" s="12">
        <v>46120.863240740742</v>
      </c>
      <c r="K941" s="6" t="e" cm="1">
        <f t="array" ref="K941">LOOKUP(2^15,SEARCH(Tabela2[Palavras-Chave],Boletim[[#This Row],[Objeto]],1),Tabela2[Palavras-Chave])</f>
        <v>#N/A</v>
      </c>
    </row>
    <row r="942" spans="1:11" hidden="1" x14ac:dyDescent="0.3">
      <c r="A942" s="5">
        <v>18806201</v>
      </c>
      <c r="B942" s="6" t="s">
        <v>1008</v>
      </c>
      <c r="C942" s="6" t="s">
        <v>1009</v>
      </c>
      <c r="D942" s="8" t="s">
        <v>78</v>
      </c>
      <c r="E942" s="6" t="s">
        <v>110</v>
      </c>
      <c r="F942" s="6" t="s">
        <v>51</v>
      </c>
      <c r="G942" s="11">
        <v>46125.75</v>
      </c>
      <c r="H942" s="10" t="s">
        <v>1010</v>
      </c>
      <c r="I942" s="6" t="s">
        <v>1011</v>
      </c>
      <c r="J942" s="12">
        <v>46120.870856481481</v>
      </c>
      <c r="K942" s="6" t="e" cm="1">
        <f t="array" ref="K942">LOOKUP(2^15,SEARCH(Tabela2[Palavras-Chave],Boletim[[#This Row],[Objeto]],1),Tabela2[Palavras-Chave])</f>
        <v>#N/A</v>
      </c>
    </row>
    <row r="943" spans="1:11" hidden="1" x14ac:dyDescent="0.3">
      <c r="A943" s="5">
        <v>18801887</v>
      </c>
      <c r="B943" s="6" t="s">
        <v>2875</v>
      </c>
      <c r="C943" s="6" t="s">
        <v>2876</v>
      </c>
      <c r="D943" s="8" t="s">
        <v>80</v>
      </c>
      <c r="E943" s="6" t="s">
        <v>2877</v>
      </c>
      <c r="F943" s="6" t="s">
        <v>51</v>
      </c>
      <c r="G943" s="11" t="s">
        <v>56</v>
      </c>
      <c r="H943" s="10" t="s">
        <v>2878</v>
      </c>
      <c r="I943" s="6" t="s">
        <v>2879</v>
      </c>
      <c r="J943" s="12">
        <v>46120.436064814814</v>
      </c>
      <c r="K943" s="6" t="e" cm="1">
        <f t="array" ref="K943">LOOKUP(2^15,SEARCH(Tabela2[Palavras-Chave],Boletim[[#This Row],[Objeto]],1),Tabela2[Palavras-Chave])</f>
        <v>#N/A</v>
      </c>
    </row>
    <row r="944" spans="1:11" hidden="1" x14ac:dyDescent="0.3">
      <c r="A944" s="5">
        <v>18802047</v>
      </c>
      <c r="B944" s="6" t="s">
        <v>1012</v>
      </c>
      <c r="C944" s="6" t="s">
        <v>1013</v>
      </c>
      <c r="D944" s="8" t="s">
        <v>80</v>
      </c>
      <c r="E944" s="6" t="s">
        <v>263</v>
      </c>
      <c r="F944" s="6" t="s">
        <v>51</v>
      </c>
      <c r="G944" s="11">
        <v>46125.416666666664</v>
      </c>
      <c r="H944" s="10" t="s">
        <v>1014</v>
      </c>
      <c r="I944" s="6" t="s">
        <v>1015</v>
      </c>
      <c r="J944" s="12">
        <v>46120.525578703702</v>
      </c>
      <c r="K944" s="6" t="e" cm="1">
        <f t="array" ref="K944">LOOKUP(2^15,SEARCH(Tabela2[Palavras-Chave],Boletim[[#This Row],[Objeto]],1),Tabela2[Palavras-Chave])</f>
        <v>#N/A</v>
      </c>
    </row>
    <row r="945" spans="1:11" hidden="1" x14ac:dyDescent="0.3">
      <c r="A945" s="5">
        <v>18801387</v>
      </c>
      <c r="B945" s="6" t="s">
        <v>1016</v>
      </c>
      <c r="C945" s="6" t="s">
        <v>464</v>
      </c>
      <c r="D945" s="8" t="s">
        <v>80</v>
      </c>
      <c r="E945" s="6" t="s">
        <v>197</v>
      </c>
      <c r="F945" s="6" t="s">
        <v>51</v>
      </c>
      <c r="G945" s="11">
        <v>46126.541666666664</v>
      </c>
      <c r="H945" s="10" t="s">
        <v>1017</v>
      </c>
      <c r="I945" s="6" t="s">
        <v>1018</v>
      </c>
      <c r="J945" s="12">
        <v>46120.527905092589</v>
      </c>
      <c r="K945" s="6" t="e" cm="1">
        <f t="array" ref="K945">LOOKUP(2^15,SEARCH(Tabela2[Palavras-Chave],Boletim[[#This Row],[Objeto]],1),Tabela2[Palavras-Chave])</f>
        <v>#N/A</v>
      </c>
    </row>
    <row r="946" spans="1:11" hidden="1" x14ac:dyDescent="0.3">
      <c r="A946" s="5">
        <v>18795684</v>
      </c>
      <c r="B946" s="6" t="s">
        <v>193</v>
      </c>
      <c r="C946" s="6" t="s">
        <v>79</v>
      </c>
      <c r="D946" s="8" t="s">
        <v>80</v>
      </c>
      <c r="E946" s="6" t="s">
        <v>1019</v>
      </c>
      <c r="F946" s="6" t="s">
        <v>51</v>
      </c>
      <c r="G946" s="11">
        <v>46122.590277777781</v>
      </c>
      <c r="H946" s="10" t="s">
        <v>1020</v>
      </c>
      <c r="I946" s="6" t="s">
        <v>1021</v>
      </c>
      <c r="J946" s="12">
        <v>46120.586967592593</v>
      </c>
      <c r="K946" s="6" t="e" cm="1">
        <f t="array" ref="K946">LOOKUP(2^15,SEARCH(Tabela2[Palavras-Chave],Boletim[[#This Row],[Objeto]],1),Tabela2[Palavras-Chave])</f>
        <v>#N/A</v>
      </c>
    </row>
    <row r="947" spans="1:11" hidden="1" x14ac:dyDescent="0.3">
      <c r="A947" s="5">
        <v>18768198</v>
      </c>
      <c r="B947" s="6" t="s">
        <v>278</v>
      </c>
      <c r="C947" s="6" t="s">
        <v>79</v>
      </c>
      <c r="D947" s="8" t="s">
        <v>80</v>
      </c>
      <c r="E947" s="6" t="s">
        <v>1022</v>
      </c>
      <c r="F947" s="6" t="s">
        <v>51</v>
      </c>
      <c r="G947" s="11">
        <v>46122.425000000003</v>
      </c>
      <c r="H947" s="10" t="s">
        <v>340</v>
      </c>
      <c r="I947" s="6" t="s">
        <v>1023</v>
      </c>
      <c r="J947" s="12">
        <v>46120.587592592594</v>
      </c>
      <c r="K947" s="6" t="e" cm="1">
        <f t="array" ref="K947">LOOKUP(2^15,SEARCH(Tabela2[Palavras-Chave],Boletim[[#This Row],[Objeto]],1),Tabela2[Palavras-Chave])</f>
        <v>#N/A</v>
      </c>
    </row>
    <row r="948" spans="1:11" hidden="1" x14ac:dyDescent="0.3">
      <c r="A948" s="5">
        <v>18804259</v>
      </c>
      <c r="B948" s="6" t="s">
        <v>2880</v>
      </c>
      <c r="C948" s="6" t="s">
        <v>79</v>
      </c>
      <c r="D948" s="8" t="s">
        <v>80</v>
      </c>
      <c r="E948" s="6" t="s">
        <v>2881</v>
      </c>
      <c r="F948" s="6" t="s">
        <v>51</v>
      </c>
      <c r="G948" s="11">
        <v>46120.583333333336</v>
      </c>
      <c r="H948" s="10" t="s">
        <v>2882</v>
      </c>
      <c r="I948" s="6" t="s">
        <v>2883</v>
      </c>
      <c r="J948" s="12">
        <v>46120.62159722222</v>
      </c>
      <c r="K948" s="6" t="e" cm="1">
        <f t="array" ref="K948">LOOKUP(2^15,SEARCH(Tabela2[Palavras-Chave],Boletim[[#This Row],[Objeto]],1),Tabela2[Palavras-Chave])</f>
        <v>#N/A</v>
      </c>
    </row>
    <row r="949" spans="1:11" hidden="1" x14ac:dyDescent="0.3">
      <c r="A949" s="5">
        <v>18803818</v>
      </c>
      <c r="B949" s="6" t="s">
        <v>1024</v>
      </c>
      <c r="C949" s="6" t="s">
        <v>1025</v>
      </c>
      <c r="D949" s="8" t="s">
        <v>80</v>
      </c>
      <c r="E949" s="6" t="s">
        <v>137</v>
      </c>
      <c r="F949" s="6" t="s">
        <v>51</v>
      </c>
      <c r="G949" s="11">
        <v>46122.708333333336</v>
      </c>
      <c r="H949" s="10" t="s">
        <v>1026</v>
      </c>
      <c r="I949" s="6" t="s">
        <v>1027</v>
      </c>
      <c r="J949" s="12">
        <v>46120.639594907407</v>
      </c>
      <c r="K949" s="6" t="e" cm="1">
        <f t="array" ref="K949">LOOKUP(2^15,SEARCH(Tabela2[Palavras-Chave],Boletim[[#This Row],[Objeto]],1),Tabela2[Palavras-Chave])</f>
        <v>#N/A</v>
      </c>
    </row>
    <row r="950" spans="1:11" hidden="1" x14ac:dyDescent="0.3">
      <c r="A950" s="5">
        <v>18801761</v>
      </c>
      <c r="B950" s="6" t="s">
        <v>300</v>
      </c>
      <c r="C950" s="6" t="s">
        <v>79</v>
      </c>
      <c r="D950" s="8" t="s">
        <v>80</v>
      </c>
      <c r="E950" s="6" t="s">
        <v>1028</v>
      </c>
      <c r="F950" s="6" t="s">
        <v>51</v>
      </c>
      <c r="G950" s="11" t="s">
        <v>56</v>
      </c>
      <c r="H950" s="10" t="s">
        <v>1029</v>
      </c>
      <c r="I950" s="6" t="s">
        <v>1030</v>
      </c>
      <c r="J950" s="12">
        <v>46120.700995370367</v>
      </c>
      <c r="K950" s="6" t="e" cm="1">
        <f t="array" ref="K950">LOOKUP(2^15,SEARCH(Tabela2[Palavras-Chave],Boletim[[#This Row],[Objeto]],1),Tabela2[Palavras-Chave])</f>
        <v>#N/A</v>
      </c>
    </row>
    <row r="951" spans="1:11" hidden="1" x14ac:dyDescent="0.3">
      <c r="A951" s="5">
        <v>18804570</v>
      </c>
      <c r="B951" s="6" t="s">
        <v>1031</v>
      </c>
      <c r="C951" s="6" t="s">
        <v>79</v>
      </c>
      <c r="D951" s="8" t="s">
        <v>80</v>
      </c>
      <c r="E951" s="6" t="s">
        <v>137</v>
      </c>
      <c r="F951" s="6" t="s">
        <v>51</v>
      </c>
      <c r="G951" s="11">
        <v>46125.333333333336</v>
      </c>
      <c r="H951" s="10" t="s">
        <v>1032</v>
      </c>
      <c r="I951" s="6" t="s">
        <v>1033</v>
      </c>
      <c r="J951" s="12">
        <v>46120.731180555558</v>
      </c>
      <c r="K951" s="6" t="e" cm="1">
        <f t="array" ref="K951">LOOKUP(2^15,SEARCH(Tabela2[Palavras-Chave],Boletim[[#This Row],[Objeto]],1),Tabela2[Palavras-Chave])</f>
        <v>#N/A</v>
      </c>
    </row>
    <row r="952" spans="1:11" hidden="1" x14ac:dyDescent="0.3">
      <c r="A952" s="5">
        <v>18804603</v>
      </c>
      <c r="B952" s="6" t="s">
        <v>1031</v>
      </c>
      <c r="C952" s="6" t="s">
        <v>79</v>
      </c>
      <c r="D952" s="8" t="s">
        <v>80</v>
      </c>
      <c r="E952" s="6" t="s">
        <v>342</v>
      </c>
      <c r="F952" s="6" t="s">
        <v>51</v>
      </c>
      <c r="G952" s="11">
        <v>46125.333333333336</v>
      </c>
      <c r="H952" s="10" t="s">
        <v>1034</v>
      </c>
      <c r="I952" s="6" t="s">
        <v>1035</v>
      </c>
      <c r="J952" s="12">
        <v>46120.731990740744</v>
      </c>
      <c r="K952" s="6" t="e" cm="1">
        <f t="array" ref="K952">LOOKUP(2^15,SEARCH(Tabela2[Palavras-Chave],Boletim[[#This Row],[Objeto]],1),Tabela2[Palavras-Chave])</f>
        <v>#N/A</v>
      </c>
    </row>
    <row r="953" spans="1:11" ht="57.6" x14ac:dyDescent="0.3">
      <c r="A953" s="5">
        <v>18801762</v>
      </c>
      <c r="B953" s="6" t="s">
        <v>300</v>
      </c>
      <c r="C953" s="6" t="s">
        <v>79</v>
      </c>
      <c r="D953" s="8" t="s">
        <v>80</v>
      </c>
      <c r="E953" s="6" t="s">
        <v>1036</v>
      </c>
      <c r="F953" s="6" t="s">
        <v>51</v>
      </c>
      <c r="G953" s="11" t="s">
        <v>56</v>
      </c>
      <c r="H953" s="21" t="s">
        <v>1037</v>
      </c>
      <c r="I953" s="6" t="s">
        <v>1038</v>
      </c>
      <c r="J953" s="12">
        <v>46120.749351851853</v>
      </c>
      <c r="K953" s="6" t="str" cm="1">
        <f t="array" ref="K953">LOOKUP(2^15,SEARCH(Tabela2[Palavras-Chave],Boletim[[#This Row],[Objeto]],1),Tabela2[Palavras-Chave])</f>
        <v>MEDIÇÃO</v>
      </c>
    </row>
    <row r="954" spans="1:11" hidden="1" x14ac:dyDescent="0.3">
      <c r="A954" s="5">
        <v>18801031</v>
      </c>
      <c r="B954" s="6" t="s">
        <v>2884</v>
      </c>
      <c r="C954" s="6" t="s">
        <v>1013</v>
      </c>
      <c r="D954" s="8" t="s">
        <v>80</v>
      </c>
      <c r="E954" s="6" t="s">
        <v>342</v>
      </c>
      <c r="F954" s="6" t="s">
        <v>51</v>
      </c>
      <c r="G954" s="11">
        <v>46125.540972222225</v>
      </c>
      <c r="H954" s="10" t="s">
        <v>2885</v>
      </c>
      <c r="I954" s="6" t="s">
        <v>2886</v>
      </c>
      <c r="J954" s="12">
        <v>46120.822928240741</v>
      </c>
      <c r="K954" s="6" t="e" cm="1">
        <f t="array" ref="K954">LOOKUP(2^15,SEARCH(Tabela2[Palavras-Chave],Boletim[[#This Row],[Objeto]],1),Tabela2[Palavras-Chave])</f>
        <v>#N/A</v>
      </c>
    </row>
    <row r="955" spans="1:11" hidden="1" x14ac:dyDescent="0.3">
      <c r="A955" s="5">
        <v>18805863</v>
      </c>
      <c r="B955" s="6" t="s">
        <v>1039</v>
      </c>
      <c r="C955" s="6" t="s">
        <v>1040</v>
      </c>
      <c r="D955" s="8" t="s">
        <v>80</v>
      </c>
      <c r="E955" s="6" t="s">
        <v>137</v>
      </c>
      <c r="F955" s="6" t="s">
        <v>51</v>
      </c>
      <c r="G955" s="11">
        <v>46127.375</v>
      </c>
      <c r="H955" s="10" t="s">
        <v>1041</v>
      </c>
      <c r="I955" s="6" t="s">
        <v>1042</v>
      </c>
      <c r="J955" s="12">
        <v>46120.852858796294</v>
      </c>
      <c r="K955" s="6" t="e" cm="1">
        <f t="array" ref="K955">LOOKUP(2^15,SEARCH(Tabela2[Palavras-Chave],Boletim[[#This Row],[Objeto]],1),Tabela2[Palavras-Chave])</f>
        <v>#N/A</v>
      </c>
    </row>
    <row r="956" spans="1:11" hidden="1" x14ac:dyDescent="0.3">
      <c r="A956" s="5">
        <v>18806439</v>
      </c>
      <c r="B956" s="6" t="s">
        <v>280</v>
      </c>
      <c r="C956" s="6" t="s">
        <v>281</v>
      </c>
      <c r="D956" s="8" t="s">
        <v>80</v>
      </c>
      <c r="E956" s="6" t="s">
        <v>2887</v>
      </c>
      <c r="F956" s="6" t="s">
        <v>51</v>
      </c>
      <c r="G956" s="11" t="s">
        <v>56</v>
      </c>
      <c r="H956" s="10" t="s">
        <v>2888</v>
      </c>
      <c r="I956" s="6" t="s">
        <v>2889</v>
      </c>
      <c r="J956" s="12">
        <v>46120.867754629631</v>
      </c>
      <c r="K956" s="6" t="e" cm="1">
        <f t="array" ref="K956">LOOKUP(2^15,SEARCH(Tabela2[Palavras-Chave],Boletim[[#This Row],[Objeto]],1),Tabela2[Palavras-Chave])</f>
        <v>#N/A</v>
      </c>
    </row>
    <row r="957" spans="1:11" hidden="1" x14ac:dyDescent="0.3">
      <c r="A957" s="5">
        <v>18727978</v>
      </c>
      <c r="B957" s="6" t="s">
        <v>177</v>
      </c>
      <c r="C957" s="6" t="s">
        <v>104</v>
      </c>
      <c r="D957" s="8" t="s">
        <v>81</v>
      </c>
      <c r="E957" s="6" t="s">
        <v>333</v>
      </c>
      <c r="F957" s="6" t="s">
        <v>51</v>
      </c>
      <c r="G957" s="11" t="s">
        <v>56</v>
      </c>
      <c r="H957" s="10" t="s">
        <v>334</v>
      </c>
      <c r="I957" s="6" t="s">
        <v>2851</v>
      </c>
      <c r="J957" s="12">
        <v>46120.468124999999</v>
      </c>
      <c r="K957" s="6" t="e" cm="1">
        <f t="array" ref="K957">LOOKUP(2^15,SEARCH(Tabela2[Palavras-Chave],Boletim[[#This Row],[Objeto]],1),Tabela2[Palavras-Chave])</f>
        <v>#N/A</v>
      </c>
    </row>
    <row r="958" spans="1:11" hidden="1" x14ac:dyDescent="0.3">
      <c r="A958" s="5">
        <v>18802074</v>
      </c>
      <c r="B958" s="6" t="s">
        <v>2890</v>
      </c>
      <c r="C958" s="6" t="s">
        <v>104</v>
      </c>
      <c r="D958" s="8" t="s">
        <v>81</v>
      </c>
      <c r="E958" s="6" t="s">
        <v>2891</v>
      </c>
      <c r="F958" s="6" t="s">
        <v>51</v>
      </c>
      <c r="G958" s="11" t="s">
        <v>56</v>
      </c>
      <c r="H958" s="10" t="s">
        <v>2892</v>
      </c>
      <c r="I958" s="6" t="s">
        <v>90</v>
      </c>
      <c r="J958" s="12">
        <v>46120.555324074077</v>
      </c>
      <c r="K958" s="6" t="e" cm="1">
        <f t="array" ref="K958">LOOKUP(2^15,SEARCH(Tabela2[Palavras-Chave],Boletim[[#This Row],[Objeto]],1),Tabela2[Palavras-Chave])</f>
        <v>#N/A</v>
      </c>
    </row>
    <row r="959" spans="1:11" hidden="1" x14ac:dyDescent="0.3">
      <c r="A959" s="5">
        <v>18801311</v>
      </c>
      <c r="B959" s="6" t="s">
        <v>1043</v>
      </c>
      <c r="C959" s="6" t="s">
        <v>1044</v>
      </c>
      <c r="D959" s="8" t="s">
        <v>81</v>
      </c>
      <c r="E959" s="6" t="s">
        <v>1045</v>
      </c>
      <c r="F959" s="6" t="s">
        <v>51</v>
      </c>
      <c r="G959" s="11">
        <v>46122.625</v>
      </c>
      <c r="H959" s="10" t="s">
        <v>1046</v>
      </c>
      <c r="I959" s="6" t="s">
        <v>1047</v>
      </c>
      <c r="J959" s="12">
        <v>46120.576412037037</v>
      </c>
      <c r="K959" s="6" t="e" cm="1">
        <f t="array" ref="K959">LOOKUP(2^15,SEARCH(Tabela2[Palavras-Chave],Boletim[[#This Row],[Objeto]],1),Tabela2[Palavras-Chave])</f>
        <v>#N/A</v>
      </c>
    </row>
    <row r="960" spans="1:11" hidden="1" x14ac:dyDescent="0.3">
      <c r="A960" s="5">
        <v>18795093</v>
      </c>
      <c r="B960" s="6" t="s">
        <v>1048</v>
      </c>
      <c r="C960" s="6" t="s">
        <v>1049</v>
      </c>
      <c r="D960" s="8" t="s">
        <v>81</v>
      </c>
      <c r="E960" s="6" t="s">
        <v>161</v>
      </c>
      <c r="F960" s="6" t="s">
        <v>51</v>
      </c>
      <c r="G960" s="11">
        <v>46126.333333333336</v>
      </c>
      <c r="H960" s="10" t="s">
        <v>1050</v>
      </c>
      <c r="I960" s="6" t="s">
        <v>1051</v>
      </c>
      <c r="J960" s="12">
        <v>46120.58761574074</v>
      </c>
      <c r="K960" s="6" t="e" cm="1">
        <f t="array" ref="K960">LOOKUP(2^15,SEARCH(Tabela2[Palavras-Chave],Boletim[[#This Row],[Objeto]],1),Tabela2[Palavras-Chave])</f>
        <v>#N/A</v>
      </c>
    </row>
    <row r="961" spans="1:11" hidden="1" x14ac:dyDescent="0.3">
      <c r="A961" s="5">
        <v>18804244</v>
      </c>
      <c r="B961" s="6" t="s">
        <v>1052</v>
      </c>
      <c r="C961" s="6" t="s">
        <v>1053</v>
      </c>
      <c r="D961" s="8" t="s">
        <v>81</v>
      </c>
      <c r="E961" s="6" t="s">
        <v>145</v>
      </c>
      <c r="F961" s="6" t="s">
        <v>51</v>
      </c>
      <c r="G961" s="11" t="s">
        <v>56</v>
      </c>
      <c r="H961" s="10" t="s">
        <v>1054</v>
      </c>
      <c r="I961" s="6" t="s">
        <v>1055</v>
      </c>
      <c r="J961" s="12">
        <v>46120.621388888889</v>
      </c>
      <c r="K961" s="6" t="e" cm="1">
        <f t="array" ref="K961">LOOKUP(2^15,SEARCH(Tabela2[Palavras-Chave],Boletim[[#This Row],[Objeto]],1),Tabela2[Palavras-Chave])</f>
        <v>#N/A</v>
      </c>
    </row>
    <row r="962" spans="1:11" hidden="1" x14ac:dyDescent="0.3">
      <c r="A962" s="5">
        <v>18805874</v>
      </c>
      <c r="B962" s="6" t="s">
        <v>1056</v>
      </c>
      <c r="C962" s="6" t="s">
        <v>1057</v>
      </c>
      <c r="D962" s="8" t="s">
        <v>81</v>
      </c>
      <c r="E962" s="6" t="s">
        <v>1058</v>
      </c>
      <c r="F962" s="6" t="s">
        <v>51</v>
      </c>
      <c r="G962" s="11">
        <v>46125.59375</v>
      </c>
      <c r="H962" s="10" t="s">
        <v>1059</v>
      </c>
      <c r="I962" s="6" t="s">
        <v>1060</v>
      </c>
      <c r="J962" s="12">
        <v>46120.782708333332</v>
      </c>
      <c r="K962" s="6" t="e" cm="1">
        <f t="array" ref="K962">LOOKUP(2^15,SEARCH(Tabela2[Palavras-Chave],Boletim[[#This Row],[Objeto]],1),Tabela2[Palavras-Chave])</f>
        <v>#N/A</v>
      </c>
    </row>
    <row r="963" spans="1:11" hidden="1" x14ac:dyDescent="0.3">
      <c r="A963" s="5">
        <v>18806170</v>
      </c>
      <c r="B963" s="6" t="s">
        <v>201</v>
      </c>
      <c r="C963" s="6" t="s">
        <v>202</v>
      </c>
      <c r="D963" s="8" t="s">
        <v>81</v>
      </c>
      <c r="E963" s="6" t="s">
        <v>359</v>
      </c>
      <c r="F963" s="6" t="s">
        <v>51</v>
      </c>
      <c r="G963" s="11" t="s">
        <v>56</v>
      </c>
      <c r="H963" s="10" t="s">
        <v>2893</v>
      </c>
      <c r="I963" s="6" t="s">
        <v>2894</v>
      </c>
      <c r="J963" s="12">
        <v>46120.823761574073</v>
      </c>
      <c r="K963" s="6" t="e" cm="1">
        <f t="array" ref="K963">LOOKUP(2^15,SEARCH(Tabela2[Palavras-Chave],Boletim[[#This Row],[Objeto]],1),Tabela2[Palavras-Chave])</f>
        <v>#N/A</v>
      </c>
    </row>
    <row r="964" spans="1:11" ht="28.8" x14ac:dyDescent="0.3">
      <c r="A964" s="5">
        <v>18806216</v>
      </c>
      <c r="B964" s="6" t="s">
        <v>1061</v>
      </c>
      <c r="C964" s="6" t="s">
        <v>1062</v>
      </c>
      <c r="D964" s="8" t="s">
        <v>81</v>
      </c>
      <c r="E964" s="6" t="s">
        <v>342</v>
      </c>
      <c r="F964" s="6" t="s">
        <v>51</v>
      </c>
      <c r="G964" s="11" t="s">
        <v>56</v>
      </c>
      <c r="H964" s="21" t="s">
        <v>1063</v>
      </c>
      <c r="I964" s="6" t="s">
        <v>1064</v>
      </c>
      <c r="J964" s="12">
        <v>46120.835127314815</v>
      </c>
      <c r="K964" s="6" t="str" cm="1">
        <f t="array" ref="K964">LOOKUP(2^15,SEARCH(Tabela2[Palavras-Chave],Boletim[[#This Row],[Objeto]],1),Tabela2[Palavras-Chave])</f>
        <v>INOX</v>
      </c>
    </row>
    <row r="965" spans="1:11" hidden="1" x14ac:dyDescent="0.3">
      <c r="A965" s="5">
        <v>18806310</v>
      </c>
      <c r="B965" s="6" t="s">
        <v>2895</v>
      </c>
      <c r="C965" s="6" t="s">
        <v>2896</v>
      </c>
      <c r="D965" s="8" t="s">
        <v>81</v>
      </c>
      <c r="E965" s="6" t="s">
        <v>125</v>
      </c>
      <c r="F965" s="6" t="s">
        <v>51</v>
      </c>
      <c r="G965" s="11">
        <v>46121.75</v>
      </c>
      <c r="H965" s="10" t="s">
        <v>2897</v>
      </c>
      <c r="I965" s="6" t="s">
        <v>2898</v>
      </c>
      <c r="J965" s="12">
        <v>46120.842453703706</v>
      </c>
      <c r="K965" s="6" t="e" cm="1">
        <f t="array" ref="K965">LOOKUP(2^15,SEARCH(Tabela2[Palavras-Chave],Boletim[[#This Row],[Objeto]],1),Tabela2[Palavras-Chave])</f>
        <v>#N/A</v>
      </c>
    </row>
    <row r="966" spans="1:11" hidden="1" x14ac:dyDescent="0.3">
      <c r="A966" s="5">
        <v>18804374</v>
      </c>
      <c r="B966" s="6" t="s">
        <v>282</v>
      </c>
      <c r="C966" s="6" t="s">
        <v>160</v>
      </c>
      <c r="D966" s="8" t="s">
        <v>93</v>
      </c>
      <c r="E966" s="6" t="s">
        <v>1065</v>
      </c>
      <c r="F966" s="6" t="s">
        <v>51</v>
      </c>
      <c r="G966" s="11" t="s">
        <v>56</v>
      </c>
      <c r="H966" s="10" t="s">
        <v>1066</v>
      </c>
      <c r="I966" s="6" t="s">
        <v>1067</v>
      </c>
      <c r="J966" s="12">
        <v>46120.695648148147</v>
      </c>
      <c r="K966" s="6" t="e" cm="1">
        <f t="array" ref="K966">LOOKUP(2^15,SEARCH(Tabela2[Palavras-Chave],Boletim[[#This Row],[Objeto]],1),Tabela2[Palavras-Chave])</f>
        <v>#N/A</v>
      </c>
    </row>
    <row r="967" spans="1:11" hidden="1" x14ac:dyDescent="0.3">
      <c r="A967" s="5">
        <v>18801409</v>
      </c>
      <c r="B967" s="6" t="s">
        <v>282</v>
      </c>
      <c r="C967" s="6" t="s">
        <v>160</v>
      </c>
      <c r="D967" s="8" t="s">
        <v>93</v>
      </c>
      <c r="E967" s="6" t="s">
        <v>1068</v>
      </c>
      <c r="F967" s="6" t="s">
        <v>51</v>
      </c>
      <c r="G967" s="11" t="s">
        <v>56</v>
      </c>
      <c r="H967" s="10" t="s">
        <v>1069</v>
      </c>
      <c r="I967" s="6" t="s">
        <v>1070</v>
      </c>
      <c r="J967" s="12">
        <v>46120.755682870367</v>
      </c>
      <c r="K967" s="6" t="e" cm="1">
        <f t="array" ref="K967">LOOKUP(2^15,SEARCH(Tabela2[Palavras-Chave],Boletim[[#This Row],[Objeto]],1),Tabela2[Palavras-Chave])</f>
        <v>#N/A</v>
      </c>
    </row>
    <row r="968" spans="1:11" hidden="1" x14ac:dyDescent="0.3">
      <c r="A968" s="5">
        <v>18804373</v>
      </c>
      <c r="B968" s="6" t="s">
        <v>282</v>
      </c>
      <c r="C968" s="6" t="s">
        <v>160</v>
      </c>
      <c r="D968" s="8" t="s">
        <v>93</v>
      </c>
      <c r="E968" s="6" t="s">
        <v>1071</v>
      </c>
      <c r="F968" s="6" t="s">
        <v>51</v>
      </c>
      <c r="G968" s="11" t="s">
        <v>56</v>
      </c>
      <c r="H968" s="10" t="s">
        <v>1072</v>
      </c>
      <c r="I968" s="6" t="s">
        <v>1073</v>
      </c>
      <c r="J968" s="12">
        <v>46120.879305555558</v>
      </c>
      <c r="K968" s="6" t="e" cm="1">
        <f t="array" ref="K968">LOOKUP(2^15,SEARCH(Tabela2[Palavras-Chave],Boletim[[#This Row],[Objeto]],1),Tabela2[Palavras-Chave])</f>
        <v>#N/A</v>
      </c>
    </row>
    <row r="969" spans="1:11" hidden="1" x14ac:dyDescent="0.3">
      <c r="A969" s="5">
        <v>18804375</v>
      </c>
      <c r="B969" s="6" t="s">
        <v>282</v>
      </c>
      <c r="C969" s="6" t="s">
        <v>160</v>
      </c>
      <c r="D969" s="8" t="s">
        <v>93</v>
      </c>
      <c r="E969" s="6" t="s">
        <v>1074</v>
      </c>
      <c r="F969" s="6" t="s">
        <v>51</v>
      </c>
      <c r="G969" s="11" t="s">
        <v>56</v>
      </c>
      <c r="H969" s="10" t="s">
        <v>1075</v>
      </c>
      <c r="I969" s="6" t="s">
        <v>1076</v>
      </c>
      <c r="J969" s="12">
        <v>46120.879560185182</v>
      </c>
      <c r="K969" s="6" t="e" cm="1">
        <f t="array" ref="K969">LOOKUP(2^15,SEARCH(Tabela2[Palavras-Chave],Boletim[[#This Row],[Objeto]],1),Tabela2[Palavras-Chave])</f>
        <v>#N/A</v>
      </c>
    </row>
    <row r="970" spans="1:11" ht="273.60000000000002" x14ac:dyDescent="0.3">
      <c r="A970" s="5">
        <v>18742063</v>
      </c>
      <c r="B970" s="6" t="s">
        <v>1077</v>
      </c>
      <c r="C970" s="6" t="s">
        <v>1078</v>
      </c>
      <c r="D970" s="8" t="s">
        <v>82</v>
      </c>
      <c r="E970" s="6" t="s">
        <v>1079</v>
      </c>
      <c r="F970" s="6" t="s">
        <v>51</v>
      </c>
      <c r="G970" s="11">
        <v>46125.375</v>
      </c>
      <c r="H970" s="21" t="s">
        <v>1080</v>
      </c>
      <c r="I970" s="6" t="s">
        <v>1081</v>
      </c>
      <c r="J970" s="12">
        <v>46120.419525462959</v>
      </c>
      <c r="K970" s="6" t="str" cm="1">
        <f t="array" ref="K970">LOOKUP(2^15,SEARCH(Tabela2[Palavras-Chave],Boletim[[#This Row],[Objeto]],1),Tabela2[Palavras-Chave])</f>
        <v>BOMBEAMENTO</v>
      </c>
    </row>
    <row r="971" spans="1:11" hidden="1" x14ac:dyDescent="0.3">
      <c r="A971" s="5">
        <v>18801325</v>
      </c>
      <c r="B971" s="6" t="s">
        <v>1082</v>
      </c>
      <c r="C971" s="6" t="s">
        <v>393</v>
      </c>
      <c r="D971" s="8" t="s">
        <v>82</v>
      </c>
      <c r="E971" s="6" t="s">
        <v>1083</v>
      </c>
      <c r="F971" s="6" t="s">
        <v>51</v>
      </c>
      <c r="G971" s="11">
        <v>46125.5</v>
      </c>
      <c r="H971" s="10" t="s">
        <v>1084</v>
      </c>
      <c r="I971" s="6" t="s">
        <v>1085</v>
      </c>
      <c r="J971" s="12">
        <v>46120.452060185184</v>
      </c>
      <c r="K971" s="6" t="e" cm="1">
        <f t="array" ref="K971">LOOKUP(2^15,SEARCH(Tabela2[Palavras-Chave],Boletim[[#This Row],[Objeto]],1),Tabela2[Palavras-Chave])</f>
        <v>#N/A</v>
      </c>
    </row>
    <row r="972" spans="1:11" hidden="1" x14ac:dyDescent="0.3">
      <c r="A972" s="5">
        <v>18802275</v>
      </c>
      <c r="B972" s="6" t="s">
        <v>74</v>
      </c>
      <c r="C972" s="6" t="s">
        <v>83</v>
      </c>
      <c r="D972" s="8" t="s">
        <v>82</v>
      </c>
      <c r="E972" s="6" t="s">
        <v>939</v>
      </c>
      <c r="F972" s="6" t="s">
        <v>51</v>
      </c>
      <c r="G972" s="11" t="s">
        <v>56</v>
      </c>
      <c r="H972" s="10" t="s">
        <v>940</v>
      </c>
      <c r="I972" s="6" t="s">
        <v>941</v>
      </c>
      <c r="J972" s="12">
        <v>46120.46947916667</v>
      </c>
      <c r="K972" s="6" t="e" cm="1">
        <f t="array" ref="K972">LOOKUP(2^15,SEARCH(Tabela2[Palavras-Chave],Boletim[[#This Row],[Objeto]],1),Tabela2[Palavras-Chave])</f>
        <v>#N/A</v>
      </c>
    </row>
    <row r="973" spans="1:11" hidden="1" x14ac:dyDescent="0.3">
      <c r="A973" s="5">
        <v>18801815</v>
      </c>
      <c r="B973" s="6" t="s">
        <v>1086</v>
      </c>
      <c r="C973" s="6" t="s">
        <v>348</v>
      </c>
      <c r="D973" s="8" t="s">
        <v>82</v>
      </c>
      <c r="E973" s="6" t="s">
        <v>1087</v>
      </c>
      <c r="F973" s="6" t="s">
        <v>51</v>
      </c>
      <c r="G973" s="11">
        <v>46125.374305555553</v>
      </c>
      <c r="H973" s="10" t="s">
        <v>1088</v>
      </c>
      <c r="I973" s="6" t="s">
        <v>1089</v>
      </c>
      <c r="J973" s="12">
        <v>46120.473275462966</v>
      </c>
      <c r="K973" s="6" t="e" cm="1">
        <f t="array" ref="K973">LOOKUP(2^15,SEARCH(Tabela2[Palavras-Chave],Boletim[[#This Row],[Objeto]],1),Tabela2[Palavras-Chave])</f>
        <v>#N/A</v>
      </c>
    </row>
    <row r="974" spans="1:11" hidden="1" x14ac:dyDescent="0.3">
      <c r="A974" s="5">
        <v>18802360</v>
      </c>
      <c r="B974" s="6" t="s">
        <v>181</v>
      </c>
      <c r="C974" s="6" t="s">
        <v>182</v>
      </c>
      <c r="D974" s="8" t="s">
        <v>82</v>
      </c>
      <c r="E974" s="6" t="s">
        <v>1090</v>
      </c>
      <c r="F974" s="6" t="s">
        <v>51</v>
      </c>
      <c r="G974" s="11" t="s">
        <v>56</v>
      </c>
      <c r="H974" s="10" t="s">
        <v>1091</v>
      </c>
      <c r="I974" s="6" t="s">
        <v>1092</v>
      </c>
      <c r="J974" s="12">
        <v>46120.477650462963</v>
      </c>
      <c r="K974" s="6" t="e" cm="1">
        <f t="array" ref="K974">LOOKUP(2^15,SEARCH(Tabela2[Palavras-Chave],Boletim[[#This Row],[Objeto]],1),Tabela2[Palavras-Chave])</f>
        <v>#N/A</v>
      </c>
    </row>
    <row r="975" spans="1:11" hidden="1" x14ac:dyDescent="0.3">
      <c r="A975" s="5">
        <v>18802356</v>
      </c>
      <c r="B975" s="6" t="s">
        <v>181</v>
      </c>
      <c r="C975" s="6" t="s">
        <v>182</v>
      </c>
      <c r="D975" s="8" t="s">
        <v>82</v>
      </c>
      <c r="E975" s="6" t="s">
        <v>1090</v>
      </c>
      <c r="F975" s="6" t="s">
        <v>51</v>
      </c>
      <c r="G975" s="11" t="s">
        <v>56</v>
      </c>
      <c r="H975" s="10" t="s">
        <v>1091</v>
      </c>
      <c r="I975" s="6" t="s">
        <v>1092</v>
      </c>
      <c r="J975" s="12">
        <v>46120.477685185186</v>
      </c>
      <c r="K975" s="6" t="e" cm="1">
        <f t="array" ref="K975">LOOKUP(2^15,SEARCH(Tabela2[Palavras-Chave],Boletim[[#This Row],[Objeto]],1),Tabela2[Palavras-Chave])</f>
        <v>#N/A</v>
      </c>
    </row>
    <row r="976" spans="1:11" hidden="1" x14ac:dyDescent="0.3">
      <c r="A976" s="5">
        <v>18801395</v>
      </c>
      <c r="B976" s="6" t="s">
        <v>1093</v>
      </c>
      <c r="C976" s="6" t="s">
        <v>83</v>
      </c>
      <c r="D976" s="8" t="s">
        <v>82</v>
      </c>
      <c r="E976" s="6" t="s">
        <v>1094</v>
      </c>
      <c r="F976" s="6" t="s">
        <v>51</v>
      </c>
      <c r="G976" s="11">
        <v>46127.333333333336</v>
      </c>
      <c r="H976" s="10" t="s">
        <v>1095</v>
      </c>
      <c r="I976" s="6" t="s">
        <v>1096</v>
      </c>
      <c r="J976" s="12">
        <v>46120.516342592593</v>
      </c>
      <c r="K976" s="6" t="e" cm="1">
        <f t="array" ref="K976">LOOKUP(2^15,SEARCH(Tabela2[Palavras-Chave],Boletim[[#This Row],[Objeto]],1),Tabela2[Palavras-Chave])</f>
        <v>#N/A</v>
      </c>
    </row>
    <row r="977" spans="1:11" hidden="1" x14ac:dyDescent="0.3">
      <c r="A977" s="5">
        <v>18801329</v>
      </c>
      <c r="B977" s="6" t="s">
        <v>1097</v>
      </c>
      <c r="C977" s="6" t="s">
        <v>1098</v>
      </c>
      <c r="D977" s="8" t="s">
        <v>82</v>
      </c>
      <c r="E977" s="6" t="s">
        <v>734</v>
      </c>
      <c r="F977" s="6" t="s">
        <v>51</v>
      </c>
      <c r="G977" s="11">
        <v>46125.375</v>
      </c>
      <c r="H977" s="10" t="s">
        <v>1099</v>
      </c>
      <c r="I977" s="6" t="s">
        <v>1100</v>
      </c>
      <c r="J977" s="12">
        <v>46120.519872685189</v>
      </c>
      <c r="K977" s="6" t="e" cm="1">
        <f t="array" ref="K977">LOOKUP(2^15,SEARCH(Tabela2[Palavras-Chave],Boletim[[#This Row],[Objeto]],1),Tabela2[Palavras-Chave])</f>
        <v>#N/A</v>
      </c>
    </row>
    <row r="978" spans="1:11" hidden="1" x14ac:dyDescent="0.3">
      <c r="A978" s="5">
        <v>18801319</v>
      </c>
      <c r="B978" s="6" t="s">
        <v>2899</v>
      </c>
      <c r="C978" s="6" t="s">
        <v>2900</v>
      </c>
      <c r="D978" s="8" t="s">
        <v>82</v>
      </c>
      <c r="E978" s="6" t="s">
        <v>2901</v>
      </c>
      <c r="F978" s="6" t="s">
        <v>51</v>
      </c>
      <c r="G978" s="11">
        <v>46122.999305555553</v>
      </c>
      <c r="H978" s="10" t="s">
        <v>2902</v>
      </c>
      <c r="I978" s="6" t="s">
        <v>2903</v>
      </c>
      <c r="J978" s="12">
        <v>46120.523287037038</v>
      </c>
      <c r="K978" s="6" t="e" cm="1">
        <f t="array" ref="K978">LOOKUP(2^15,SEARCH(Tabela2[Palavras-Chave],Boletim[[#This Row],[Objeto]],1),Tabela2[Palavras-Chave])</f>
        <v>#N/A</v>
      </c>
    </row>
    <row r="979" spans="1:11" hidden="1" x14ac:dyDescent="0.3">
      <c r="A979" s="5">
        <v>18801521</v>
      </c>
      <c r="B979" s="6" t="s">
        <v>1101</v>
      </c>
      <c r="C979" s="6" t="s">
        <v>1102</v>
      </c>
      <c r="D979" s="8" t="s">
        <v>82</v>
      </c>
      <c r="E979" s="6" t="s">
        <v>443</v>
      </c>
      <c r="F979" s="6" t="s">
        <v>51</v>
      </c>
      <c r="G979" s="11">
        <v>46122.708333333336</v>
      </c>
      <c r="H979" s="10" t="s">
        <v>1103</v>
      </c>
      <c r="I979" s="6" t="s">
        <v>1104</v>
      </c>
      <c r="J979" s="12">
        <v>46120.526400462964</v>
      </c>
      <c r="K979" s="6" t="e" cm="1">
        <f t="array" ref="K979">LOOKUP(2^15,SEARCH(Tabela2[Palavras-Chave],Boletim[[#This Row],[Objeto]],1),Tabela2[Palavras-Chave])</f>
        <v>#N/A</v>
      </c>
    </row>
    <row r="980" spans="1:11" hidden="1" x14ac:dyDescent="0.3">
      <c r="A980" s="5">
        <v>18802165</v>
      </c>
      <c r="B980" s="6" t="s">
        <v>1105</v>
      </c>
      <c r="C980" s="6" t="s">
        <v>83</v>
      </c>
      <c r="D980" s="8" t="s">
        <v>82</v>
      </c>
      <c r="E980" s="6" t="s">
        <v>105</v>
      </c>
      <c r="F980" s="6" t="s">
        <v>51</v>
      </c>
      <c r="G980" s="11">
        <v>46125.333333333336</v>
      </c>
      <c r="H980" s="10" t="s">
        <v>1106</v>
      </c>
      <c r="I980" s="6" t="s">
        <v>1107</v>
      </c>
      <c r="J980" s="12">
        <v>46120.530624999999</v>
      </c>
      <c r="K980" s="6" t="e" cm="1">
        <f t="array" ref="K980">LOOKUP(2^15,SEARCH(Tabela2[Palavras-Chave],Boletim[[#This Row],[Objeto]],1),Tabela2[Palavras-Chave])</f>
        <v>#N/A</v>
      </c>
    </row>
    <row r="981" spans="1:11" hidden="1" x14ac:dyDescent="0.3">
      <c r="A981" s="5">
        <v>18802166</v>
      </c>
      <c r="B981" s="6" t="s">
        <v>1105</v>
      </c>
      <c r="C981" s="6" t="s">
        <v>83</v>
      </c>
      <c r="D981" s="8" t="s">
        <v>82</v>
      </c>
      <c r="E981" s="6" t="s">
        <v>110</v>
      </c>
      <c r="F981" s="6" t="s">
        <v>51</v>
      </c>
      <c r="G981" s="11">
        <v>46125.333333333336</v>
      </c>
      <c r="H981" s="10" t="s">
        <v>1106</v>
      </c>
      <c r="I981" s="6" t="s">
        <v>1108</v>
      </c>
      <c r="J981" s="12">
        <v>46120.530729166669</v>
      </c>
      <c r="K981" s="6" t="e" cm="1">
        <f t="array" ref="K981">LOOKUP(2^15,SEARCH(Tabela2[Palavras-Chave],Boletim[[#This Row],[Objeto]],1),Tabela2[Palavras-Chave])</f>
        <v>#N/A</v>
      </c>
    </row>
    <row r="982" spans="1:11" hidden="1" x14ac:dyDescent="0.3">
      <c r="A982" s="5">
        <v>18801650</v>
      </c>
      <c r="B982" s="6" t="s">
        <v>1109</v>
      </c>
      <c r="C982" s="6" t="s">
        <v>1110</v>
      </c>
      <c r="D982" s="8" t="s">
        <v>82</v>
      </c>
      <c r="E982" s="6" t="s">
        <v>1111</v>
      </c>
      <c r="F982" s="6" t="s">
        <v>51</v>
      </c>
      <c r="G982" s="11" t="s">
        <v>56</v>
      </c>
      <c r="H982" s="10" t="s">
        <v>1112</v>
      </c>
      <c r="I982" s="6" t="s">
        <v>1113</v>
      </c>
      <c r="J982" s="12">
        <v>46120.576550925929</v>
      </c>
      <c r="K982" s="6" t="e" cm="1">
        <f t="array" ref="K982">LOOKUP(2^15,SEARCH(Tabela2[Palavras-Chave],Boletim[[#This Row],[Objeto]],1),Tabela2[Palavras-Chave])</f>
        <v>#N/A</v>
      </c>
    </row>
    <row r="983" spans="1:11" x14ac:dyDescent="0.3">
      <c r="A983" s="5">
        <v>18801515</v>
      </c>
      <c r="B983" s="6" t="s">
        <v>1101</v>
      </c>
      <c r="C983" s="6" t="s">
        <v>1102</v>
      </c>
      <c r="D983" s="8" t="s">
        <v>82</v>
      </c>
      <c r="E983" s="6" t="s">
        <v>1114</v>
      </c>
      <c r="F983" s="6" t="s">
        <v>51</v>
      </c>
      <c r="G983" s="11">
        <v>46122.725694444445</v>
      </c>
      <c r="H983" s="21" t="s">
        <v>1115</v>
      </c>
      <c r="I983" s="6" t="s">
        <v>1116</v>
      </c>
      <c r="J983" s="12">
        <v>46120.589837962965</v>
      </c>
      <c r="K983" s="6" t="str" cm="1">
        <f t="array" ref="K983">LOOKUP(2^15,SEARCH(Tabela2[Palavras-Chave],Boletim[[#This Row],[Objeto]],1),Tabela2[Palavras-Chave])</f>
        <v>RESERVAT</v>
      </c>
    </row>
    <row r="984" spans="1:11" hidden="1" x14ac:dyDescent="0.3">
      <c r="A984" s="5">
        <v>18804234</v>
      </c>
      <c r="B984" s="6" t="s">
        <v>447</v>
      </c>
      <c r="C984" s="6" t="s">
        <v>448</v>
      </c>
      <c r="D984" s="8" t="s">
        <v>82</v>
      </c>
      <c r="E984" s="6" t="s">
        <v>2904</v>
      </c>
      <c r="F984" s="6" t="s">
        <v>51</v>
      </c>
      <c r="G984" s="11" t="s">
        <v>56</v>
      </c>
      <c r="H984" s="10" t="s">
        <v>2905</v>
      </c>
      <c r="I984" s="6" t="s">
        <v>2906</v>
      </c>
      <c r="J984" s="12">
        <v>46120.617349537039</v>
      </c>
      <c r="K984" s="6" t="e" cm="1">
        <f t="array" ref="K984">LOOKUP(2^15,SEARCH(Tabela2[Palavras-Chave],Boletim[[#This Row],[Objeto]],1),Tabela2[Palavras-Chave])</f>
        <v>#N/A</v>
      </c>
    </row>
    <row r="985" spans="1:11" hidden="1" x14ac:dyDescent="0.3">
      <c r="A985" s="5">
        <v>18804261</v>
      </c>
      <c r="B985" s="6" t="s">
        <v>2907</v>
      </c>
      <c r="C985" s="6" t="s">
        <v>448</v>
      </c>
      <c r="D985" s="8" t="s">
        <v>82</v>
      </c>
      <c r="E985" s="6" t="s">
        <v>2908</v>
      </c>
      <c r="F985" s="6" t="s">
        <v>51</v>
      </c>
      <c r="G985" s="11" t="s">
        <v>56</v>
      </c>
      <c r="H985" s="10" t="s">
        <v>2909</v>
      </c>
      <c r="I985" s="6" t="s">
        <v>2910</v>
      </c>
      <c r="J985" s="12">
        <v>46120.620300925926</v>
      </c>
      <c r="K985" s="6" t="e" cm="1">
        <f t="array" ref="K985">LOOKUP(2^15,SEARCH(Tabela2[Palavras-Chave],Boletim[[#This Row],[Objeto]],1),Tabela2[Palavras-Chave])</f>
        <v>#N/A</v>
      </c>
    </row>
    <row r="986" spans="1:11" hidden="1" x14ac:dyDescent="0.3">
      <c r="A986" s="5">
        <v>18802415</v>
      </c>
      <c r="B986" s="6" t="s">
        <v>2274</v>
      </c>
      <c r="C986" s="6" t="s">
        <v>2275</v>
      </c>
      <c r="D986" s="8" t="s">
        <v>82</v>
      </c>
      <c r="E986" s="6" t="s">
        <v>2911</v>
      </c>
      <c r="F986" s="6" t="s">
        <v>51</v>
      </c>
      <c r="G986" s="11" t="s">
        <v>56</v>
      </c>
      <c r="H986" s="10" t="s">
        <v>2912</v>
      </c>
      <c r="I986" s="6" t="s">
        <v>169</v>
      </c>
      <c r="J986" s="12">
        <v>46120.643090277779</v>
      </c>
      <c r="K986" s="6" t="e" cm="1">
        <f t="array" ref="K986">LOOKUP(2^15,SEARCH(Tabela2[Palavras-Chave],Boletim[[#This Row],[Objeto]],1),Tabela2[Palavras-Chave])</f>
        <v>#N/A</v>
      </c>
    </row>
    <row r="987" spans="1:11" hidden="1" x14ac:dyDescent="0.3">
      <c r="A987" s="5">
        <v>18804335</v>
      </c>
      <c r="B987" s="6" t="s">
        <v>2913</v>
      </c>
      <c r="C987" s="6" t="s">
        <v>242</v>
      </c>
      <c r="D987" s="8" t="s">
        <v>82</v>
      </c>
      <c r="E987" s="6" t="s">
        <v>116</v>
      </c>
      <c r="F987" s="6" t="s">
        <v>51</v>
      </c>
      <c r="G987" s="11" t="s">
        <v>56</v>
      </c>
      <c r="H987" s="10" t="s">
        <v>2914</v>
      </c>
      <c r="I987" s="6" t="s">
        <v>2915</v>
      </c>
      <c r="J987" s="12">
        <v>46120.647326388891</v>
      </c>
      <c r="K987" s="6" t="e" cm="1">
        <f t="array" ref="K987">LOOKUP(2^15,SEARCH(Tabela2[Palavras-Chave],Boletim[[#This Row],[Objeto]],1),Tabela2[Palavras-Chave])</f>
        <v>#N/A</v>
      </c>
    </row>
    <row r="988" spans="1:11" hidden="1" x14ac:dyDescent="0.3">
      <c r="A988" s="5">
        <v>18786072</v>
      </c>
      <c r="B988" s="6" t="s">
        <v>229</v>
      </c>
      <c r="C988" s="6" t="s">
        <v>228</v>
      </c>
      <c r="D988" s="8" t="s">
        <v>82</v>
      </c>
      <c r="E988" s="6" t="s">
        <v>1117</v>
      </c>
      <c r="F988" s="6" t="s">
        <v>51</v>
      </c>
      <c r="G988" s="11">
        <v>46125.332638888889</v>
      </c>
      <c r="H988" s="10" t="s">
        <v>1118</v>
      </c>
      <c r="I988" s="6" t="s">
        <v>1119</v>
      </c>
      <c r="J988" s="12">
        <v>46120.654606481483</v>
      </c>
      <c r="K988" s="6" t="e" cm="1">
        <f t="array" ref="K988">LOOKUP(2^15,SEARCH(Tabela2[Palavras-Chave],Boletim[[#This Row],[Objeto]],1),Tabela2[Palavras-Chave])</f>
        <v>#N/A</v>
      </c>
    </row>
    <row r="989" spans="1:11" hidden="1" x14ac:dyDescent="0.3">
      <c r="A989" s="5">
        <v>18803310</v>
      </c>
      <c r="B989" s="6" t="s">
        <v>1120</v>
      </c>
      <c r="C989" s="6" t="s">
        <v>1121</v>
      </c>
      <c r="D989" s="8" t="s">
        <v>82</v>
      </c>
      <c r="E989" s="6" t="s">
        <v>304</v>
      </c>
      <c r="F989" s="6" t="s">
        <v>51</v>
      </c>
      <c r="G989" s="11">
        <v>46125.999305555553</v>
      </c>
      <c r="H989" s="10" t="s">
        <v>1122</v>
      </c>
      <c r="I989" s="6" t="s">
        <v>1123</v>
      </c>
      <c r="J989" s="12">
        <v>46120.659525462965</v>
      </c>
      <c r="K989" s="6" t="e" cm="1">
        <f t="array" ref="K989">LOOKUP(2^15,SEARCH(Tabela2[Palavras-Chave],Boletim[[#This Row],[Objeto]],1),Tabela2[Palavras-Chave])</f>
        <v>#N/A</v>
      </c>
    </row>
    <row r="990" spans="1:11" hidden="1" x14ac:dyDescent="0.3">
      <c r="A990" s="5">
        <v>18803291</v>
      </c>
      <c r="B990" s="6" t="s">
        <v>259</v>
      </c>
      <c r="C990" s="6" t="s">
        <v>83</v>
      </c>
      <c r="D990" s="8" t="s">
        <v>82</v>
      </c>
      <c r="E990" s="6" t="s">
        <v>1124</v>
      </c>
      <c r="F990" s="6" t="s">
        <v>51</v>
      </c>
      <c r="G990" s="11">
        <v>46126.333333333336</v>
      </c>
      <c r="H990" s="10" t="s">
        <v>1125</v>
      </c>
      <c r="I990" s="6" t="s">
        <v>1126</v>
      </c>
      <c r="J990" s="12">
        <v>46120.663969907408</v>
      </c>
      <c r="K990" s="6" t="e" cm="1">
        <f t="array" ref="K990">LOOKUP(2^15,SEARCH(Tabela2[Palavras-Chave],Boletim[[#This Row],[Objeto]],1),Tabela2[Palavras-Chave])</f>
        <v>#N/A</v>
      </c>
    </row>
    <row r="991" spans="1:11" hidden="1" x14ac:dyDescent="0.3">
      <c r="A991" s="5">
        <v>18805080</v>
      </c>
      <c r="B991" s="6" t="s">
        <v>1127</v>
      </c>
      <c r="C991" s="6" t="s">
        <v>1128</v>
      </c>
      <c r="D991" s="8" t="s">
        <v>82</v>
      </c>
      <c r="E991" s="6" t="s">
        <v>1129</v>
      </c>
      <c r="F991" s="6" t="s">
        <v>51</v>
      </c>
      <c r="G991" s="11" t="s">
        <v>56</v>
      </c>
      <c r="H991" s="10" t="s">
        <v>1130</v>
      </c>
      <c r="I991" s="6" t="s">
        <v>169</v>
      </c>
      <c r="J991" s="12">
        <v>46120.709791666668</v>
      </c>
      <c r="K991" s="6" t="e" cm="1">
        <f t="array" ref="K991">LOOKUP(2^15,SEARCH(Tabela2[Palavras-Chave],Boletim[[#This Row],[Objeto]],1),Tabela2[Palavras-Chave])</f>
        <v>#N/A</v>
      </c>
    </row>
    <row r="992" spans="1:11" hidden="1" x14ac:dyDescent="0.3">
      <c r="A992" s="5">
        <v>18805264</v>
      </c>
      <c r="B992" s="6" t="s">
        <v>1131</v>
      </c>
      <c r="C992" s="6" t="s">
        <v>285</v>
      </c>
      <c r="D992" s="8" t="s">
        <v>82</v>
      </c>
      <c r="E992" s="6" t="s">
        <v>116</v>
      </c>
      <c r="F992" s="6" t="s">
        <v>51</v>
      </c>
      <c r="G992" s="11" t="s">
        <v>56</v>
      </c>
      <c r="H992" s="10" t="s">
        <v>1132</v>
      </c>
      <c r="I992" s="6" t="s">
        <v>1133</v>
      </c>
      <c r="J992" s="12">
        <v>46120.713159722225</v>
      </c>
      <c r="K992" s="6" t="e" cm="1">
        <f t="array" ref="K992">LOOKUP(2^15,SEARCH(Tabela2[Palavras-Chave],Boletim[[#This Row],[Objeto]],1),Tabela2[Palavras-Chave])</f>
        <v>#N/A</v>
      </c>
    </row>
    <row r="993" spans="1:11" hidden="1" x14ac:dyDescent="0.3">
      <c r="A993" s="5">
        <v>18805260</v>
      </c>
      <c r="B993" s="6" t="s">
        <v>1131</v>
      </c>
      <c r="C993" s="6" t="s">
        <v>285</v>
      </c>
      <c r="D993" s="8" t="s">
        <v>82</v>
      </c>
      <c r="E993" s="6" t="s">
        <v>116</v>
      </c>
      <c r="F993" s="6" t="s">
        <v>51</v>
      </c>
      <c r="G993" s="11" t="s">
        <v>56</v>
      </c>
      <c r="H993" s="10" t="s">
        <v>1134</v>
      </c>
      <c r="I993" s="6" t="s">
        <v>1133</v>
      </c>
      <c r="J993" s="12">
        <v>46120.713252314818</v>
      </c>
      <c r="K993" s="6" t="e" cm="1">
        <f t="array" ref="K993">LOOKUP(2^15,SEARCH(Tabela2[Palavras-Chave],Boletim[[#This Row],[Objeto]],1),Tabela2[Palavras-Chave])</f>
        <v>#N/A</v>
      </c>
    </row>
    <row r="994" spans="1:11" hidden="1" x14ac:dyDescent="0.3">
      <c r="A994" s="5">
        <v>18805254</v>
      </c>
      <c r="B994" s="6" t="s">
        <v>1131</v>
      </c>
      <c r="C994" s="6" t="s">
        <v>285</v>
      </c>
      <c r="D994" s="8" t="s">
        <v>82</v>
      </c>
      <c r="E994" s="6" t="s">
        <v>116</v>
      </c>
      <c r="F994" s="6" t="s">
        <v>51</v>
      </c>
      <c r="G994" s="11" t="s">
        <v>56</v>
      </c>
      <c r="H994" s="10" t="s">
        <v>1135</v>
      </c>
      <c r="I994" s="6" t="s">
        <v>1136</v>
      </c>
      <c r="J994" s="12">
        <v>46120.713483796295</v>
      </c>
      <c r="K994" s="6" t="e" cm="1">
        <f t="array" ref="K994">LOOKUP(2^15,SEARCH(Tabela2[Palavras-Chave],Boletim[[#This Row],[Objeto]],1),Tabela2[Palavras-Chave])</f>
        <v>#N/A</v>
      </c>
    </row>
    <row r="995" spans="1:11" hidden="1" x14ac:dyDescent="0.3">
      <c r="A995" s="5">
        <v>18795872</v>
      </c>
      <c r="B995" s="6" t="s">
        <v>449</v>
      </c>
      <c r="C995" s="6" t="s">
        <v>258</v>
      </c>
      <c r="D995" s="8" t="s">
        <v>82</v>
      </c>
      <c r="E995" s="6" t="s">
        <v>974</v>
      </c>
      <c r="F995" s="6" t="s">
        <v>51</v>
      </c>
      <c r="G995" s="11">
        <v>46126.333333333336</v>
      </c>
      <c r="H995" s="10" t="s">
        <v>1137</v>
      </c>
      <c r="I995" s="6" t="s">
        <v>90</v>
      </c>
      <c r="J995" s="12">
        <v>46120.717395833337</v>
      </c>
      <c r="K995" s="6" t="e" cm="1">
        <f t="array" ref="K995">LOOKUP(2^15,SEARCH(Tabela2[Palavras-Chave],Boletim[[#This Row],[Objeto]],1),Tabela2[Palavras-Chave])</f>
        <v>#N/A</v>
      </c>
    </row>
    <row r="996" spans="1:11" hidden="1" x14ac:dyDescent="0.3">
      <c r="A996" s="5">
        <v>18805293</v>
      </c>
      <c r="B996" s="6" t="s">
        <v>1131</v>
      </c>
      <c r="C996" s="6" t="s">
        <v>285</v>
      </c>
      <c r="D996" s="8" t="s">
        <v>82</v>
      </c>
      <c r="E996" s="6" t="s">
        <v>116</v>
      </c>
      <c r="F996" s="6" t="s">
        <v>51</v>
      </c>
      <c r="G996" s="11" t="s">
        <v>56</v>
      </c>
      <c r="H996" s="10" t="s">
        <v>1134</v>
      </c>
      <c r="I996" s="6" t="s">
        <v>2916</v>
      </c>
      <c r="J996" s="12">
        <v>46120.727465277778</v>
      </c>
      <c r="K996" s="6" t="e" cm="1">
        <f t="array" ref="K996">LOOKUP(2^15,SEARCH(Tabela2[Palavras-Chave],Boletim[[#This Row],[Objeto]],1),Tabela2[Palavras-Chave])</f>
        <v>#N/A</v>
      </c>
    </row>
    <row r="997" spans="1:11" hidden="1" x14ac:dyDescent="0.3">
      <c r="A997" s="5">
        <v>18805298</v>
      </c>
      <c r="B997" s="6" t="s">
        <v>1131</v>
      </c>
      <c r="C997" s="6" t="s">
        <v>285</v>
      </c>
      <c r="D997" s="8" t="s">
        <v>82</v>
      </c>
      <c r="E997" s="6" t="s">
        <v>116</v>
      </c>
      <c r="F997" s="6" t="s">
        <v>51</v>
      </c>
      <c r="G997" s="11" t="s">
        <v>56</v>
      </c>
      <c r="H997" s="10" t="s">
        <v>1132</v>
      </c>
      <c r="I997" s="6" t="s">
        <v>2916</v>
      </c>
      <c r="J997" s="12">
        <v>46120.72755787037</v>
      </c>
      <c r="K997" s="6" t="e" cm="1">
        <f t="array" ref="K997">LOOKUP(2^15,SEARCH(Tabela2[Palavras-Chave],Boletim[[#This Row],[Objeto]],1),Tabela2[Palavras-Chave])</f>
        <v>#N/A</v>
      </c>
    </row>
    <row r="998" spans="1:11" hidden="1" x14ac:dyDescent="0.3">
      <c r="A998" s="5">
        <v>18804704</v>
      </c>
      <c r="B998" s="6" t="s">
        <v>1138</v>
      </c>
      <c r="C998" s="6" t="s">
        <v>1139</v>
      </c>
      <c r="D998" s="8" t="s">
        <v>82</v>
      </c>
      <c r="E998" s="6" t="s">
        <v>1140</v>
      </c>
      <c r="F998" s="6" t="s">
        <v>51</v>
      </c>
      <c r="G998" s="11" t="s">
        <v>56</v>
      </c>
      <c r="H998" s="10" t="s">
        <v>1141</v>
      </c>
      <c r="I998" s="6" t="s">
        <v>190</v>
      </c>
      <c r="J998" s="12">
        <v>46120.730381944442</v>
      </c>
      <c r="K998" s="6" t="e" cm="1">
        <f t="array" ref="K998">LOOKUP(2^15,SEARCH(Tabela2[Palavras-Chave],Boletim[[#This Row],[Objeto]],1),Tabela2[Palavras-Chave])</f>
        <v>#N/A</v>
      </c>
    </row>
    <row r="999" spans="1:11" hidden="1" x14ac:dyDescent="0.3">
      <c r="A999" s="5">
        <v>18804494</v>
      </c>
      <c r="B999" s="6" t="s">
        <v>1142</v>
      </c>
      <c r="C999" s="6" t="s">
        <v>83</v>
      </c>
      <c r="D999" s="8" t="s">
        <v>82</v>
      </c>
      <c r="E999" s="6" t="s">
        <v>244</v>
      </c>
      <c r="F999" s="6" t="s">
        <v>51</v>
      </c>
      <c r="G999" s="11">
        <v>46128.333333333336</v>
      </c>
      <c r="H999" s="10" t="s">
        <v>1143</v>
      </c>
      <c r="I999" s="6" t="s">
        <v>1144</v>
      </c>
      <c r="J999" s="12">
        <v>46120.731226851851</v>
      </c>
      <c r="K999" s="6" t="e" cm="1">
        <f t="array" ref="K999">LOOKUP(2^15,SEARCH(Tabela2[Palavras-Chave],Boletim[[#This Row],[Objeto]],1),Tabela2[Palavras-Chave])</f>
        <v>#N/A</v>
      </c>
    </row>
    <row r="1000" spans="1:11" hidden="1" x14ac:dyDescent="0.3">
      <c r="A1000" s="5">
        <v>18805268</v>
      </c>
      <c r="B1000" s="6" t="s">
        <v>1131</v>
      </c>
      <c r="C1000" s="6" t="s">
        <v>285</v>
      </c>
      <c r="D1000" s="8" t="s">
        <v>82</v>
      </c>
      <c r="E1000" s="6" t="s">
        <v>116</v>
      </c>
      <c r="F1000" s="6" t="s">
        <v>51</v>
      </c>
      <c r="G1000" s="11" t="s">
        <v>56</v>
      </c>
      <c r="H1000" s="10" t="s">
        <v>1132</v>
      </c>
      <c r="I1000" s="6" t="s">
        <v>1145</v>
      </c>
      <c r="J1000" s="12">
        <v>46120.732546296298</v>
      </c>
      <c r="K1000" s="6" t="e" cm="1">
        <f t="array" ref="K1000">LOOKUP(2^15,SEARCH(Tabela2[Palavras-Chave],Boletim[[#This Row],[Objeto]],1),Tabela2[Palavras-Chave])</f>
        <v>#N/A</v>
      </c>
    </row>
    <row r="1001" spans="1:11" hidden="1" x14ac:dyDescent="0.3">
      <c r="A1001" s="5">
        <v>18804481</v>
      </c>
      <c r="B1001" s="6" t="s">
        <v>1146</v>
      </c>
      <c r="C1001" s="6" t="s">
        <v>1147</v>
      </c>
      <c r="D1001" s="8" t="s">
        <v>82</v>
      </c>
      <c r="E1001" s="6" t="s">
        <v>1148</v>
      </c>
      <c r="F1001" s="6" t="s">
        <v>51</v>
      </c>
      <c r="G1001" s="11">
        <v>46126.333333333336</v>
      </c>
      <c r="H1001" s="10" t="s">
        <v>1149</v>
      </c>
      <c r="I1001" s="6" t="s">
        <v>1150</v>
      </c>
      <c r="J1001" s="12">
        <v>46120.73296296296</v>
      </c>
      <c r="K1001" s="6" t="e" cm="1">
        <f t="array" ref="K1001">LOOKUP(2^15,SEARCH(Tabela2[Palavras-Chave],Boletim[[#This Row],[Objeto]],1),Tabela2[Palavras-Chave])</f>
        <v>#N/A</v>
      </c>
    </row>
    <row r="1002" spans="1:11" hidden="1" x14ac:dyDescent="0.3">
      <c r="A1002" s="5">
        <v>18804487</v>
      </c>
      <c r="B1002" s="6" t="s">
        <v>1151</v>
      </c>
      <c r="C1002" s="6" t="s">
        <v>1152</v>
      </c>
      <c r="D1002" s="8" t="s">
        <v>82</v>
      </c>
      <c r="E1002" s="6" t="s">
        <v>349</v>
      </c>
      <c r="F1002" s="6" t="s">
        <v>51</v>
      </c>
      <c r="G1002" s="11">
        <v>46127.333333333336</v>
      </c>
      <c r="H1002" s="10" t="s">
        <v>1153</v>
      </c>
      <c r="I1002" s="6" t="s">
        <v>1154</v>
      </c>
      <c r="J1002" s="12">
        <v>46120.73710648148</v>
      </c>
      <c r="K1002" s="6" t="e" cm="1">
        <f t="array" ref="K1002">LOOKUP(2^15,SEARCH(Tabela2[Palavras-Chave],Boletim[[#This Row],[Objeto]],1),Tabela2[Palavras-Chave])</f>
        <v>#N/A</v>
      </c>
    </row>
    <row r="1003" spans="1:11" hidden="1" x14ac:dyDescent="0.3">
      <c r="A1003" s="5">
        <v>18802089</v>
      </c>
      <c r="B1003" s="6" t="s">
        <v>218</v>
      </c>
      <c r="C1003" s="6" t="s">
        <v>154</v>
      </c>
      <c r="D1003" s="8" t="s">
        <v>82</v>
      </c>
      <c r="E1003" s="6" t="s">
        <v>1155</v>
      </c>
      <c r="F1003" s="6" t="s">
        <v>51</v>
      </c>
      <c r="G1003" s="11" t="s">
        <v>56</v>
      </c>
      <c r="H1003" s="10" t="s">
        <v>1156</v>
      </c>
      <c r="I1003" s="6" t="s">
        <v>219</v>
      </c>
      <c r="J1003" s="12">
        <v>46120.742673611108</v>
      </c>
      <c r="K1003" s="6" t="e" cm="1">
        <f t="array" ref="K1003">LOOKUP(2^15,SEARCH(Tabela2[Palavras-Chave],Boletim[[#This Row],[Objeto]],1),Tabela2[Palavras-Chave])</f>
        <v>#N/A</v>
      </c>
    </row>
    <row r="1004" spans="1:11" hidden="1" x14ac:dyDescent="0.3">
      <c r="A1004" s="5">
        <v>18805599</v>
      </c>
      <c r="B1004" s="6" t="s">
        <v>1157</v>
      </c>
      <c r="C1004" s="6" t="s">
        <v>1110</v>
      </c>
      <c r="D1004" s="8" t="s">
        <v>82</v>
      </c>
      <c r="E1004" s="6" t="s">
        <v>196</v>
      </c>
      <c r="F1004" s="6" t="s">
        <v>51</v>
      </c>
      <c r="G1004" s="11" t="s">
        <v>56</v>
      </c>
      <c r="H1004" s="10" t="s">
        <v>1158</v>
      </c>
      <c r="I1004" s="6" t="s">
        <v>1159</v>
      </c>
      <c r="J1004" s="12">
        <v>46120.745625000003</v>
      </c>
      <c r="K1004" s="6" t="e" cm="1">
        <f t="array" ref="K1004">LOOKUP(2^15,SEARCH(Tabela2[Palavras-Chave],Boletim[[#This Row],[Objeto]],1),Tabela2[Palavras-Chave])</f>
        <v>#N/A</v>
      </c>
    </row>
    <row r="1005" spans="1:11" hidden="1" x14ac:dyDescent="0.3">
      <c r="A1005" s="5">
        <v>18803439</v>
      </c>
      <c r="B1005" s="6" t="s">
        <v>414</v>
      </c>
      <c r="C1005" s="6" t="s">
        <v>415</v>
      </c>
      <c r="D1005" s="8" t="s">
        <v>82</v>
      </c>
      <c r="E1005" s="6" t="s">
        <v>1124</v>
      </c>
      <c r="F1005" s="6" t="s">
        <v>51</v>
      </c>
      <c r="G1005" s="11">
        <v>46134.333333333336</v>
      </c>
      <c r="H1005" s="10" t="s">
        <v>1160</v>
      </c>
      <c r="I1005" s="6" t="s">
        <v>1161</v>
      </c>
      <c r="J1005" s="12">
        <v>46120.754918981482</v>
      </c>
      <c r="K1005" s="6" t="e" cm="1">
        <f t="array" ref="K1005">LOOKUP(2^15,SEARCH(Tabela2[Palavras-Chave],Boletim[[#This Row],[Objeto]],1),Tabela2[Palavras-Chave])</f>
        <v>#N/A</v>
      </c>
    </row>
    <row r="1006" spans="1:11" x14ac:dyDescent="0.3">
      <c r="A1006" s="5">
        <v>18803516</v>
      </c>
      <c r="B1006" s="6" t="s">
        <v>1101</v>
      </c>
      <c r="C1006" s="6" t="s">
        <v>1102</v>
      </c>
      <c r="D1006" s="8" t="s">
        <v>82</v>
      </c>
      <c r="E1006" s="6" t="s">
        <v>341</v>
      </c>
      <c r="F1006" s="6" t="s">
        <v>51</v>
      </c>
      <c r="G1006" s="11">
        <v>46125.708333333336</v>
      </c>
      <c r="H1006" s="21" t="s">
        <v>1162</v>
      </c>
      <c r="I1006" s="6" t="s">
        <v>1163</v>
      </c>
      <c r="J1006" s="12">
        <v>46120.756145833337</v>
      </c>
      <c r="K1006" s="6" t="str" cm="1">
        <f t="array" ref="K1006">LOOKUP(2^15,SEARCH(Tabela2[Palavras-Chave],Boletim[[#This Row],[Objeto]],1),Tabela2[Palavras-Chave])</f>
        <v>ELEVATÓRIA</v>
      </c>
    </row>
    <row r="1007" spans="1:11" hidden="1" x14ac:dyDescent="0.3">
      <c r="A1007" s="5">
        <v>18803294</v>
      </c>
      <c r="B1007" s="6" t="s">
        <v>1120</v>
      </c>
      <c r="C1007" s="6" t="s">
        <v>1121</v>
      </c>
      <c r="D1007" s="8" t="s">
        <v>82</v>
      </c>
      <c r="E1007" s="6" t="s">
        <v>260</v>
      </c>
      <c r="F1007" s="6" t="s">
        <v>51</v>
      </c>
      <c r="G1007" s="11">
        <v>46125.999305555553</v>
      </c>
      <c r="H1007" s="10" t="s">
        <v>1164</v>
      </c>
      <c r="I1007" s="6" t="s">
        <v>1165</v>
      </c>
      <c r="J1007" s="12">
        <v>46120.759363425925</v>
      </c>
      <c r="K1007" s="6" t="e" cm="1">
        <f t="array" ref="K1007">LOOKUP(2^15,SEARCH(Tabela2[Palavras-Chave],Boletim[[#This Row],[Objeto]],1),Tabela2[Palavras-Chave])</f>
        <v>#N/A</v>
      </c>
    </row>
    <row r="1008" spans="1:11" hidden="1" x14ac:dyDescent="0.3">
      <c r="A1008" s="5">
        <v>18803306</v>
      </c>
      <c r="B1008" s="6" t="s">
        <v>343</v>
      </c>
      <c r="C1008" s="6" t="s">
        <v>344</v>
      </c>
      <c r="D1008" s="8" t="s">
        <v>82</v>
      </c>
      <c r="E1008" s="6" t="s">
        <v>1166</v>
      </c>
      <c r="F1008" s="6" t="s">
        <v>51</v>
      </c>
      <c r="G1008" s="11">
        <v>46125.354166666664</v>
      </c>
      <c r="H1008" s="10" t="s">
        <v>1167</v>
      </c>
      <c r="I1008" s="6" t="s">
        <v>1168</v>
      </c>
      <c r="J1008" s="12">
        <v>46120.761412037034</v>
      </c>
      <c r="K1008" s="6" t="e" cm="1">
        <f t="array" ref="K1008">LOOKUP(2^15,SEARCH(Tabela2[Palavras-Chave],Boletim[[#This Row],[Objeto]],1),Tabela2[Palavras-Chave])</f>
        <v>#N/A</v>
      </c>
    </row>
    <row r="1009" spans="1:11" hidden="1" x14ac:dyDescent="0.3">
      <c r="A1009" s="5">
        <v>18643219</v>
      </c>
      <c r="B1009" s="6" t="s">
        <v>445</v>
      </c>
      <c r="C1009" s="6" t="s">
        <v>446</v>
      </c>
      <c r="D1009" s="8" t="s">
        <v>82</v>
      </c>
      <c r="E1009" s="6" t="s">
        <v>108</v>
      </c>
      <c r="F1009" s="6" t="s">
        <v>51</v>
      </c>
      <c r="G1009" s="11" t="s">
        <v>56</v>
      </c>
      <c r="H1009" s="10" t="s">
        <v>1169</v>
      </c>
      <c r="I1009" s="6" t="s">
        <v>1170</v>
      </c>
      <c r="J1009" s="12">
        <v>46120.773796296293</v>
      </c>
      <c r="K1009" s="6" t="e" cm="1">
        <f t="array" ref="K1009">LOOKUP(2^15,SEARCH(Tabela2[Palavras-Chave],Boletim[[#This Row],[Objeto]],1),Tabela2[Palavras-Chave])</f>
        <v>#N/A</v>
      </c>
    </row>
    <row r="1010" spans="1:11" hidden="1" x14ac:dyDescent="0.3">
      <c r="A1010" s="5">
        <v>18805853</v>
      </c>
      <c r="B1010" s="6" t="s">
        <v>350</v>
      </c>
      <c r="C1010" s="6" t="s">
        <v>83</v>
      </c>
      <c r="D1010" s="8" t="s">
        <v>82</v>
      </c>
      <c r="E1010" s="6" t="s">
        <v>1171</v>
      </c>
      <c r="F1010" s="6" t="s">
        <v>51</v>
      </c>
      <c r="G1010" s="11">
        <v>46126.333333333336</v>
      </c>
      <c r="H1010" s="10" t="s">
        <v>1172</v>
      </c>
      <c r="I1010" s="6" t="s">
        <v>1173</v>
      </c>
      <c r="J1010" s="12">
        <v>46120.785636574074</v>
      </c>
      <c r="K1010" s="6" t="e" cm="1">
        <f t="array" ref="K1010">LOOKUP(2^15,SEARCH(Tabela2[Palavras-Chave],Boletim[[#This Row],[Objeto]],1),Tabela2[Palavras-Chave])</f>
        <v>#N/A</v>
      </c>
    </row>
    <row r="1011" spans="1:11" hidden="1" x14ac:dyDescent="0.3">
      <c r="A1011" s="5">
        <v>18805951</v>
      </c>
      <c r="B1011" s="6" t="s">
        <v>1174</v>
      </c>
      <c r="C1011" s="6" t="s">
        <v>83</v>
      </c>
      <c r="D1011" s="8" t="s">
        <v>82</v>
      </c>
      <c r="E1011" s="6" t="s">
        <v>1175</v>
      </c>
      <c r="F1011" s="6" t="s">
        <v>51</v>
      </c>
      <c r="G1011" s="11">
        <v>46129.333333333336</v>
      </c>
      <c r="H1011" s="10" t="s">
        <v>1176</v>
      </c>
      <c r="I1011" s="6" t="s">
        <v>1177</v>
      </c>
      <c r="J1011" s="12">
        <v>46120.785925925928</v>
      </c>
      <c r="K1011" s="6" t="e" cm="1">
        <f t="array" ref="K1011">LOOKUP(2^15,SEARCH(Tabela2[Palavras-Chave],Boletim[[#This Row],[Objeto]],1),Tabela2[Palavras-Chave])</f>
        <v>#N/A</v>
      </c>
    </row>
    <row r="1012" spans="1:11" hidden="1" x14ac:dyDescent="0.3">
      <c r="A1012" s="5">
        <v>18805882</v>
      </c>
      <c r="B1012" s="6" t="s">
        <v>1178</v>
      </c>
      <c r="C1012" s="6" t="s">
        <v>1179</v>
      </c>
      <c r="D1012" s="8" t="s">
        <v>82</v>
      </c>
      <c r="E1012" s="6" t="s">
        <v>263</v>
      </c>
      <c r="F1012" s="6" t="s">
        <v>51</v>
      </c>
      <c r="G1012" s="11">
        <v>46127.333333333336</v>
      </c>
      <c r="H1012" s="10" t="s">
        <v>1180</v>
      </c>
      <c r="I1012" s="6" t="s">
        <v>1181</v>
      </c>
      <c r="J1012" s="12">
        <v>46120.789976851855</v>
      </c>
      <c r="K1012" s="6" t="e" cm="1">
        <f t="array" ref="K1012">LOOKUP(2^15,SEARCH(Tabela2[Palavras-Chave],Boletim[[#This Row],[Objeto]],1),Tabela2[Palavras-Chave])</f>
        <v>#N/A</v>
      </c>
    </row>
    <row r="1013" spans="1:11" hidden="1" x14ac:dyDescent="0.3">
      <c r="A1013" s="5">
        <v>18805889</v>
      </c>
      <c r="B1013" s="6" t="s">
        <v>1182</v>
      </c>
      <c r="C1013" s="6" t="s">
        <v>1183</v>
      </c>
      <c r="D1013" s="8" t="s">
        <v>82</v>
      </c>
      <c r="E1013" s="6" t="s">
        <v>189</v>
      </c>
      <c r="F1013" s="6" t="s">
        <v>51</v>
      </c>
      <c r="G1013" s="11">
        <v>46126.334027777775</v>
      </c>
      <c r="H1013" s="10" t="s">
        <v>1184</v>
      </c>
      <c r="I1013" s="6" t="s">
        <v>1185</v>
      </c>
      <c r="J1013" s="12">
        <v>46120.802662037036</v>
      </c>
      <c r="K1013" s="6" t="e" cm="1">
        <f t="array" ref="K1013">LOOKUP(2^15,SEARCH(Tabela2[Palavras-Chave],Boletim[[#This Row],[Objeto]],1),Tabela2[Palavras-Chave])</f>
        <v>#N/A</v>
      </c>
    </row>
    <row r="1014" spans="1:11" hidden="1" x14ac:dyDescent="0.3">
      <c r="A1014" s="5">
        <v>18805924</v>
      </c>
      <c r="B1014" s="6" t="s">
        <v>181</v>
      </c>
      <c r="C1014" s="6" t="s">
        <v>182</v>
      </c>
      <c r="D1014" s="8" t="s">
        <v>82</v>
      </c>
      <c r="E1014" s="6" t="s">
        <v>1186</v>
      </c>
      <c r="F1014" s="6" t="s">
        <v>51</v>
      </c>
      <c r="G1014" s="11">
        <v>46127.340277777781</v>
      </c>
      <c r="H1014" s="10" t="s">
        <v>1187</v>
      </c>
      <c r="I1014" s="6" t="s">
        <v>1188</v>
      </c>
      <c r="J1014" s="12">
        <v>46120.816770833335</v>
      </c>
      <c r="K1014" s="6" t="e" cm="1">
        <f t="array" ref="K1014">LOOKUP(2^15,SEARCH(Tabela2[Palavras-Chave],Boletim[[#This Row],[Objeto]],1),Tabela2[Palavras-Chave])</f>
        <v>#N/A</v>
      </c>
    </row>
    <row r="1015" spans="1:11" hidden="1" x14ac:dyDescent="0.3">
      <c r="A1015" s="5">
        <v>18802391</v>
      </c>
      <c r="B1015" s="6" t="s">
        <v>2917</v>
      </c>
      <c r="C1015" s="6" t="s">
        <v>2918</v>
      </c>
      <c r="D1015" s="8" t="s">
        <v>82</v>
      </c>
      <c r="E1015" s="6" t="s">
        <v>2919</v>
      </c>
      <c r="F1015" s="6" t="s">
        <v>51</v>
      </c>
      <c r="G1015" s="11" t="s">
        <v>56</v>
      </c>
      <c r="H1015" s="10" t="s">
        <v>2920</v>
      </c>
      <c r="I1015" s="6" t="s">
        <v>2921</v>
      </c>
      <c r="J1015" s="12">
        <v>46120.821689814817</v>
      </c>
      <c r="K1015" s="6" t="e" cm="1">
        <f t="array" ref="K1015">LOOKUP(2^15,SEARCH(Tabela2[Palavras-Chave],Boletim[[#This Row],[Objeto]],1),Tabela2[Palavras-Chave])</f>
        <v>#N/A</v>
      </c>
    </row>
    <row r="1016" spans="1:11" hidden="1" x14ac:dyDescent="0.3">
      <c r="A1016" s="5">
        <v>18802302</v>
      </c>
      <c r="B1016" s="6" t="s">
        <v>2917</v>
      </c>
      <c r="C1016" s="6" t="s">
        <v>2918</v>
      </c>
      <c r="D1016" s="8" t="s">
        <v>82</v>
      </c>
      <c r="E1016" s="6" t="s">
        <v>2922</v>
      </c>
      <c r="F1016" s="6" t="s">
        <v>51</v>
      </c>
      <c r="G1016" s="11" t="s">
        <v>56</v>
      </c>
      <c r="H1016" s="10" t="s">
        <v>2923</v>
      </c>
      <c r="I1016" s="6" t="s">
        <v>2924</v>
      </c>
      <c r="J1016" s="12">
        <v>46120.82172453704</v>
      </c>
      <c r="K1016" s="6" t="e" cm="1">
        <f t="array" ref="K1016">LOOKUP(2^15,SEARCH(Tabela2[Palavras-Chave],Boletim[[#This Row],[Objeto]],1),Tabela2[Palavras-Chave])</f>
        <v>#N/A</v>
      </c>
    </row>
    <row r="1017" spans="1:11" hidden="1" x14ac:dyDescent="0.3">
      <c r="A1017" s="5">
        <v>18802287</v>
      </c>
      <c r="B1017" s="6" t="s">
        <v>2917</v>
      </c>
      <c r="C1017" s="6" t="s">
        <v>2918</v>
      </c>
      <c r="D1017" s="8" t="s">
        <v>82</v>
      </c>
      <c r="E1017" s="6" t="s">
        <v>2925</v>
      </c>
      <c r="F1017" s="6" t="s">
        <v>51</v>
      </c>
      <c r="G1017" s="11" t="s">
        <v>56</v>
      </c>
      <c r="H1017" s="10" t="s">
        <v>2926</v>
      </c>
      <c r="I1017" s="6" t="s">
        <v>2927</v>
      </c>
      <c r="J1017" s="12">
        <v>46120.821759259263</v>
      </c>
      <c r="K1017" s="6" t="e" cm="1">
        <f t="array" ref="K1017">LOOKUP(2^15,SEARCH(Tabela2[Palavras-Chave],Boletim[[#This Row],[Objeto]],1),Tabela2[Palavras-Chave])</f>
        <v>#N/A</v>
      </c>
    </row>
    <row r="1018" spans="1:11" hidden="1" x14ac:dyDescent="0.3">
      <c r="A1018" s="5">
        <v>18806294</v>
      </c>
      <c r="B1018" s="6" t="s">
        <v>1189</v>
      </c>
      <c r="C1018" s="6" t="s">
        <v>1190</v>
      </c>
      <c r="D1018" s="8" t="s">
        <v>82</v>
      </c>
      <c r="E1018" s="6" t="s">
        <v>246</v>
      </c>
      <c r="F1018" s="6" t="s">
        <v>51</v>
      </c>
      <c r="G1018" s="11">
        <v>46126.416666666664</v>
      </c>
      <c r="H1018" s="10" t="s">
        <v>1191</v>
      </c>
      <c r="I1018" s="6" t="s">
        <v>1192</v>
      </c>
      <c r="J1018" s="12">
        <v>46120.839606481481</v>
      </c>
      <c r="K1018" s="6" t="e" cm="1">
        <f t="array" ref="K1018">LOOKUP(2^15,SEARCH(Tabela2[Palavras-Chave],Boletim[[#This Row],[Objeto]],1),Tabela2[Palavras-Chave])</f>
        <v>#N/A</v>
      </c>
    </row>
    <row r="1019" spans="1:11" hidden="1" x14ac:dyDescent="0.3">
      <c r="A1019" s="5">
        <v>18806301</v>
      </c>
      <c r="B1019" s="6" t="s">
        <v>287</v>
      </c>
      <c r="C1019" s="6" t="s">
        <v>288</v>
      </c>
      <c r="D1019" s="8" t="s">
        <v>82</v>
      </c>
      <c r="E1019" s="6" t="s">
        <v>108</v>
      </c>
      <c r="F1019" s="6" t="s">
        <v>51</v>
      </c>
      <c r="G1019" s="11">
        <v>46122.333333333336</v>
      </c>
      <c r="H1019" s="10" t="s">
        <v>1193</v>
      </c>
      <c r="I1019" s="6" t="s">
        <v>1194</v>
      </c>
      <c r="J1019" s="12">
        <v>46120.841585648152</v>
      </c>
      <c r="K1019" s="6" t="e" cm="1">
        <f t="array" ref="K1019">LOOKUP(2^15,SEARCH(Tabela2[Palavras-Chave],Boletim[[#This Row],[Objeto]],1),Tabela2[Palavras-Chave])</f>
        <v>#N/A</v>
      </c>
    </row>
    <row r="1020" spans="1:11" hidden="1" x14ac:dyDescent="0.3">
      <c r="A1020" s="5">
        <v>18804098</v>
      </c>
      <c r="B1020" s="6" t="s">
        <v>229</v>
      </c>
      <c r="C1020" s="6" t="s">
        <v>228</v>
      </c>
      <c r="D1020" s="8" t="s">
        <v>82</v>
      </c>
      <c r="E1020" s="6" t="s">
        <v>1195</v>
      </c>
      <c r="F1020" s="6" t="s">
        <v>51</v>
      </c>
      <c r="G1020" s="11">
        <v>46125.332638888889</v>
      </c>
      <c r="H1020" s="10" t="s">
        <v>1196</v>
      </c>
      <c r="I1020" s="6" t="s">
        <v>1197</v>
      </c>
      <c r="J1020" s="12">
        <v>46120.875671296293</v>
      </c>
      <c r="K1020" s="6" t="e" cm="1">
        <f t="array" ref="K1020">LOOKUP(2^15,SEARCH(Tabela2[Palavras-Chave],Boletim[[#This Row],[Objeto]],1),Tabela2[Palavras-Chave])</f>
        <v>#N/A</v>
      </c>
    </row>
    <row r="1021" spans="1:11" hidden="1" x14ac:dyDescent="0.3">
      <c r="A1021" s="5">
        <v>18804608</v>
      </c>
      <c r="B1021" s="6" t="s">
        <v>343</v>
      </c>
      <c r="C1021" s="6" t="s">
        <v>344</v>
      </c>
      <c r="D1021" s="8" t="s">
        <v>82</v>
      </c>
      <c r="E1021" s="6" t="s">
        <v>1198</v>
      </c>
      <c r="F1021" s="6" t="s">
        <v>51</v>
      </c>
      <c r="G1021" s="11">
        <v>46125.381944444445</v>
      </c>
      <c r="H1021" s="10" t="s">
        <v>1199</v>
      </c>
      <c r="I1021" s="6" t="s">
        <v>1200</v>
      </c>
      <c r="J1021" s="12">
        <v>46120.876481481479</v>
      </c>
      <c r="K1021" s="6" t="e" cm="1">
        <f t="array" ref="K1021">LOOKUP(2^15,SEARCH(Tabela2[Palavras-Chave],Boletim[[#This Row],[Objeto]],1),Tabela2[Palavras-Chave])</f>
        <v>#N/A</v>
      </c>
    </row>
    <row r="1022" spans="1:11" hidden="1" x14ac:dyDescent="0.3">
      <c r="A1022" s="5">
        <v>18804569</v>
      </c>
      <c r="B1022" s="6" t="s">
        <v>259</v>
      </c>
      <c r="C1022" s="6" t="s">
        <v>83</v>
      </c>
      <c r="D1022" s="8" t="s">
        <v>82</v>
      </c>
      <c r="E1022" s="6" t="s">
        <v>1201</v>
      </c>
      <c r="F1022" s="6" t="s">
        <v>51</v>
      </c>
      <c r="G1022" s="11">
        <v>46128.333333333336</v>
      </c>
      <c r="H1022" s="10" t="s">
        <v>1202</v>
      </c>
      <c r="I1022" s="6" t="s">
        <v>1203</v>
      </c>
      <c r="J1022" s="12">
        <v>46120.876898148148</v>
      </c>
      <c r="K1022" s="6" t="e" cm="1">
        <f t="array" ref="K1022">LOOKUP(2^15,SEARCH(Tabela2[Palavras-Chave],Boletim[[#This Row],[Objeto]],1),Tabela2[Palavras-Chave])</f>
        <v>#N/A</v>
      </c>
    </row>
    <row r="1023" spans="1:11" hidden="1" x14ac:dyDescent="0.3">
      <c r="A1023" s="5">
        <v>18804525</v>
      </c>
      <c r="B1023" s="6" t="s">
        <v>1204</v>
      </c>
      <c r="C1023" s="6" t="s">
        <v>83</v>
      </c>
      <c r="D1023" s="8" t="s">
        <v>82</v>
      </c>
      <c r="E1023" s="6" t="s">
        <v>1205</v>
      </c>
      <c r="F1023" s="6" t="s">
        <v>51</v>
      </c>
      <c r="G1023" s="11">
        <v>46126.333333333336</v>
      </c>
      <c r="H1023" s="10" t="s">
        <v>1206</v>
      </c>
      <c r="I1023" s="6" t="s">
        <v>1207</v>
      </c>
      <c r="J1023" s="12">
        <v>46120.878854166665</v>
      </c>
      <c r="K1023" s="6" t="e" cm="1">
        <f t="array" ref="K1023">LOOKUP(2^15,SEARCH(Tabela2[Palavras-Chave],Boletim[[#This Row],[Objeto]],1),Tabela2[Palavras-Chave])</f>
        <v>#N/A</v>
      </c>
    </row>
    <row r="1024" spans="1:11" ht="273.60000000000002" x14ac:dyDescent="0.3">
      <c r="A1024" s="5">
        <v>18803147</v>
      </c>
      <c r="B1024" s="6" t="s">
        <v>261</v>
      </c>
      <c r="C1024" s="6" t="s">
        <v>262</v>
      </c>
      <c r="D1024" s="8" t="s">
        <v>82</v>
      </c>
      <c r="E1024" s="6" t="s">
        <v>180</v>
      </c>
      <c r="F1024" s="6" t="s">
        <v>51</v>
      </c>
      <c r="G1024" s="11" t="s">
        <v>56</v>
      </c>
      <c r="H1024" s="21" t="s">
        <v>1208</v>
      </c>
      <c r="I1024" s="6" t="s">
        <v>1209</v>
      </c>
      <c r="J1024" s="12">
        <v>46120.887962962966</v>
      </c>
      <c r="K1024" s="6" t="str" cm="1">
        <f t="array" ref="K1024">LOOKUP(2^15,SEARCH(Tabela2[Palavras-Chave],Boletim[[#This Row],[Objeto]],1),Tabela2[Palavras-Chave])</f>
        <v>DIAGNÓSTICO</v>
      </c>
    </row>
    <row r="1025" spans="1:11" ht="57.6" x14ac:dyDescent="0.3">
      <c r="A1025" s="5">
        <v>18801206</v>
      </c>
      <c r="B1025" s="6" t="s">
        <v>1210</v>
      </c>
      <c r="C1025" s="6" t="s">
        <v>1211</v>
      </c>
      <c r="D1025" s="8" t="s">
        <v>84</v>
      </c>
      <c r="E1025" s="6" t="s">
        <v>125</v>
      </c>
      <c r="F1025" s="6" t="s">
        <v>51</v>
      </c>
      <c r="G1025" s="11">
        <v>46121.354166666664</v>
      </c>
      <c r="H1025" s="21" t="s">
        <v>1212</v>
      </c>
      <c r="I1025" s="6" t="s">
        <v>1213</v>
      </c>
      <c r="J1025" s="12">
        <v>46120.736192129632</v>
      </c>
      <c r="K1025" s="6" t="str" cm="1">
        <f t="array" ref="K1025">LOOKUP(2^15,SEARCH(Tabela2[Palavras-Chave],Boletim[[#This Row],[Objeto]],1),Tabela2[Palavras-Chave])</f>
        <v>RESERVAT</v>
      </c>
    </row>
    <row r="1026" spans="1:11" hidden="1" x14ac:dyDescent="0.3">
      <c r="A1026" s="5">
        <v>18790976</v>
      </c>
      <c r="B1026" s="6" t="s">
        <v>1214</v>
      </c>
      <c r="C1026" s="6" t="s">
        <v>1215</v>
      </c>
      <c r="D1026" s="8" t="s">
        <v>72</v>
      </c>
      <c r="E1026" s="6" t="s">
        <v>126</v>
      </c>
      <c r="F1026" s="6" t="s">
        <v>85</v>
      </c>
      <c r="G1026" s="11">
        <v>46129.375</v>
      </c>
      <c r="H1026" s="10" t="s">
        <v>1216</v>
      </c>
      <c r="I1026" s="6" t="s">
        <v>1217</v>
      </c>
      <c r="J1026" s="12">
        <v>46120.618379629632</v>
      </c>
      <c r="K1026" s="6" t="e" cm="1">
        <f t="array" ref="K1026">LOOKUP(2^15,SEARCH(Tabela2[Palavras-Chave],Boletim[[#This Row],[Objeto]],1),Tabela2[Palavras-Chave])</f>
        <v>#N/A</v>
      </c>
    </row>
    <row r="1027" spans="1:11" hidden="1" x14ac:dyDescent="0.3">
      <c r="A1027" s="5">
        <v>18800794</v>
      </c>
      <c r="B1027" s="6" t="s">
        <v>1218</v>
      </c>
      <c r="C1027" s="6" t="s">
        <v>1219</v>
      </c>
      <c r="D1027" s="8" t="s">
        <v>86</v>
      </c>
      <c r="E1027" s="6" t="s">
        <v>274</v>
      </c>
      <c r="F1027" s="6" t="s">
        <v>85</v>
      </c>
      <c r="G1027" s="11">
        <v>46136.416666666664</v>
      </c>
      <c r="H1027" s="10" t="s">
        <v>1220</v>
      </c>
      <c r="I1027" s="6" t="s">
        <v>1221</v>
      </c>
      <c r="J1027" s="12">
        <v>46120.596574074072</v>
      </c>
      <c r="K1027" s="6" t="e" cm="1">
        <f t="array" ref="K1027">LOOKUP(2^15,SEARCH(Tabela2[Palavras-Chave],Boletim[[#This Row],[Objeto]],1),Tabela2[Palavras-Chave])</f>
        <v>#N/A</v>
      </c>
    </row>
    <row r="1028" spans="1:11" hidden="1" x14ac:dyDescent="0.3">
      <c r="A1028" s="5">
        <v>18803861</v>
      </c>
      <c r="B1028" s="6" t="s">
        <v>1218</v>
      </c>
      <c r="C1028" s="6" t="s">
        <v>1219</v>
      </c>
      <c r="D1028" s="8" t="s">
        <v>86</v>
      </c>
      <c r="E1028" s="6" t="s">
        <v>1222</v>
      </c>
      <c r="F1028" s="6" t="s">
        <v>85</v>
      </c>
      <c r="G1028" s="11" t="s">
        <v>56</v>
      </c>
      <c r="H1028" s="10" t="s">
        <v>1223</v>
      </c>
      <c r="I1028" s="6" t="s">
        <v>1224</v>
      </c>
      <c r="J1028" s="12">
        <v>46120.605104166665</v>
      </c>
      <c r="K1028" s="6" t="e" cm="1">
        <f t="array" ref="K1028">LOOKUP(2^15,SEARCH(Tabela2[Palavras-Chave],Boletim[[#This Row],[Objeto]],1),Tabela2[Palavras-Chave])</f>
        <v>#N/A</v>
      </c>
    </row>
    <row r="1029" spans="1:11" hidden="1" x14ac:dyDescent="0.3">
      <c r="A1029" s="5">
        <v>18802916</v>
      </c>
      <c r="B1029" s="6" t="s">
        <v>2928</v>
      </c>
      <c r="C1029" s="6" t="s">
        <v>87</v>
      </c>
      <c r="D1029" s="8" t="s">
        <v>86</v>
      </c>
      <c r="E1029" s="6" t="s">
        <v>173</v>
      </c>
      <c r="F1029" s="6" t="s">
        <v>85</v>
      </c>
      <c r="G1029" s="11" t="s">
        <v>56</v>
      </c>
      <c r="H1029" s="10" t="s">
        <v>2929</v>
      </c>
      <c r="I1029" s="6" t="s">
        <v>2930</v>
      </c>
      <c r="J1029" s="12">
        <v>46120.700960648152</v>
      </c>
      <c r="K1029" s="6" t="e" cm="1">
        <f t="array" ref="K1029">LOOKUP(2^15,SEARCH(Tabela2[Palavras-Chave],Boletim[[#This Row],[Objeto]],1),Tabela2[Palavras-Chave])</f>
        <v>#N/A</v>
      </c>
    </row>
    <row r="1030" spans="1:11" hidden="1" x14ac:dyDescent="0.3">
      <c r="A1030" s="5">
        <v>18787659</v>
      </c>
      <c r="B1030" s="6" t="s">
        <v>1225</v>
      </c>
      <c r="C1030" s="6" t="s">
        <v>1226</v>
      </c>
      <c r="D1030" s="8" t="s">
        <v>86</v>
      </c>
      <c r="E1030" s="6" t="s">
        <v>135</v>
      </c>
      <c r="F1030" s="6" t="s">
        <v>85</v>
      </c>
      <c r="G1030" s="11">
        <v>46129.375</v>
      </c>
      <c r="H1030" s="10" t="s">
        <v>1227</v>
      </c>
      <c r="I1030" s="6" t="s">
        <v>1228</v>
      </c>
      <c r="J1030" s="12">
        <v>46120.862858796296</v>
      </c>
      <c r="K1030" s="6" t="e" cm="1">
        <f t="array" ref="K1030">LOOKUP(2^15,SEARCH(Tabela2[Palavras-Chave],Boletim[[#This Row],[Objeto]],1),Tabela2[Palavras-Chave])</f>
        <v>#N/A</v>
      </c>
    </row>
    <row r="1031" spans="1:11" hidden="1" x14ac:dyDescent="0.3">
      <c r="A1031" s="5">
        <v>18806402</v>
      </c>
      <c r="B1031" s="6" t="s">
        <v>2931</v>
      </c>
      <c r="C1031" s="6" t="s">
        <v>2932</v>
      </c>
      <c r="D1031" s="8" t="s">
        <v>86</v>
      </c>
      <c r="E1031" s="6" t="s">
        <v>173</v>
      </c>
      <c r="F1031" s="6" t="s">
        <v>85</v>
      </c>
      <c r="G1031" s="11" t="s">
        <v>56</v>
      </c>
      <c r="H1031" s="10" t="s">
        <v>2933</v>
      </c>
      <c r="I1031" s="6" t="s">
        <v>2934</v>
      </c>
      <c r="J1031" s="12">
        <v>46120.887071759258</v>
      </c>
      <c r="K1031" s="6" t="e" cm="1">
        <f t="array" ref="K1031">LOOKUP(2^15,SEARCH(Tabela2[Palavras-Chave],Boletim[[#This Row],[Objeto]],1),Tabela2[Palavras-Chave])</f>
        <v>#N/A</v>
      </c>
    </row>
    <row r="1032" spans="1:11" hidden="1" x14ac:dyDescent="0.3">
      <c r="A1032" s="5">
        <v>18802251</v>
      </c>
      <c r="B1032" s="6" t="s">
        <v>74</v>
      </c>
      <c r="C1032" s="6" t="s">
        <v>52</v>
      </c>
      <c r="D1032" s="8" t="s">
        <v>50</v>
      </c>
      <c r="E1032" s="6" t="s">
        <v>1229</v>
      </c>
      <c r="F1032" s="6" t="s">
        <v>85</v>
      </c>
      <c r="G1032" s="11" t="s">
        <v>56</v>
      </c>
      <c r="H1032" s="10" t="s">
        <v>1230</v>
      </c>
      <c r="I1032" s="6" t="s">
        <v>1231</v>
      </c>
      <c r="J1032" s="12">
        <v>46120.503530092596</v>
      </c>
      <c r="K1032" s="6" t="e" cm="1">
        <f t="array" ref="K1032">LOOKUP(2^15,SEARCH(Tabela2[Palavras-Chave],Boletim[[#This Row],[Objeto]],1),Tabela2[Palavras-Chave])</f>
        <v>#N/A</v>
      </c>
    </row>
    <row r="1033" spans="1:11" hidden="1" x14ac:dyDescent="0.3">
      <c r="A1033" s="5">
        <v>18802237</v>
      </c>
      <c r="B1033" s="6" t="s">
        <v>74</v>
      </c>
      <c r="C1033" s="6" t="s">
        <v>52</v>
      </c>
      <c r="D1033" s="8" t="s">
        <v>50</v>
      </c>
      <c r="E1033" s="6" t="s">
        <v>1232</v>
      </c>
      <c r="F1033" s="6" t="s">
        <v>85</v>
      </c>
      <c r="G1033" s="11" t="s">
        <v>56</v>
      </c>
      <c r="H1033" s="10" t="s">
        <v>1233</v>
      </c>
      <c r="I1033" s="6" t="s">
        <v>1234</v>
      </c>
      <c r="J1033" s="12">
        <v>46120.529895833337</v>
      </c>
      <c r="K1033" s="6" t="e" cm="1">
        <f t="array" ref="K1033">LOOKUP(2^15,SEARCH(Tabela2[Palavras-Chave],Boletim[[#This Row],[Objeto]],1),Tabela2[Palavras-Chave])</f>
        <v>#N/A</v>
      </c>
    </row>
    <row r="1034" spans="1:11" hidden="1" x14ac:dyDescent="0.3">
      <c r="A1034" s="5">
        <v>18804112</v>
      </c>
      <c r="B1034" s="6" t="s">
        <v>2935</v>
      </c>
      <c r="C1034" s="6" t="s">
        <v>2936</v>
      </c>
      <c r="D1034" s="8" t="s">
        <v>50</v>
      </c>
      <c r="E1034" s="6" t="s">
        <v>207</v>
      </c>
      <c r="F1034" s="6" t="s">
        <v>85</v>
      </c>
      <c r="G1034" s="11">
        <v>46163.333333333336</v>
      </c>
      <c r="H1034" s="10" t="s">
        <v>2937</v>
      </c>
      <c r="I1034" s="6" t="s">
        <v>2938</v>
      </c>
      <c r="J1034" s="12">
        <v>46120.631539351853</v>
      </c>
      <c r="K1034" s="6" t="e" cm="1">
        <f t="array" ref="K1034">LOOKUP(2^15,SEARCH(Tabela2[Palavras-Chave],Boletim[[#This Row],[Objeto]],1),Tabela2[Palavras-Chave])</f>
        <v>#N/A</v>
      </c>
    </row>
    <row r="1035" spans="1:11" hidden="1" x14ac:dyDescent="0.3">
      <c r="A1035" s="5">
        <v>18806048</v>
      </c>
      <c r="B1035" s="6" t="s">
        <v>1235</v>
      </c>
      <c r="C1035" s="6" t="s">
        <v>52</v>
      </c>
      <c r="D1035" s="8" t="s">
        <v>50</v>
      </c>
      <c r="E1035" s="6" t="s">
        <v>1236</v>
      </c>
      <c r="F1035" s="6" t="s">
        <v>85</v>
      </c>
      <c r="G1035" s="11" t="s">
        <v>56</v>
      </c>
      <c r="H1035" s="10" t="s">
        <v>1237</v>
      </c>
      <c r="I1035" s="6" t="s">
        <v>1238</v>
      </c>
      <c r="J1035" s="12">
        <v>46120.817407407405</v>
      </c>
      <c r="K1035" s="6" t="e" cm="1">
        <f t="array" ref="K1035">LOOKUP(2^15,SEARCH(Tabela2[Palavras-Chave],Boletim[[#This Row],[Objeto]],1),Tabela2[Palavras-Chave])</f>
        <v>#N/A</v>
      </c>
    </row>
    <row r="1036" spans="1:11" hidden="1" x14ac:dyDescent="0.3">
      <c r="A1036" s="5">
        <v>18798178</v>
      </c>
      <c r="B1036" s="6" t="s">
        <v>1239</v>
      </c>
      <c r="C1036" s="6" t="s">
        <v>53</v>
      </c>
      <c r="D1036" s="8" t="s">
        <v>54</v>
      </c>
      <c r="E1036" s="6" t="s">
        <v>115</v>
      </c>
      <c r="F1036" s="6" t="s">
        <v>85</v>
      </c>
      <c r="G1036" s="11">
        <v>46136.416666666664</v>
      </c>
      <c r="H1036" s="10" t="s">
        <v>1240</v>
      </c>
      <c r="I1036" s="6" t="s">
        <v>1241</v>
      </c>
      <c r="J1036" s="12">
        <v>46120.389618055553</v>
      </c>
      <c r="K1036" s="6" t="e" cm="1">
        <f t="array" ref="K1036">LOOKUP(2^15,SEARCH(Tabela2[Palavras-Chave],Boletim[[#This Row],[Objeto]],1),Tabela2[Palavras-Chave])</f>
        <v>#N/A</v>
      </c>
    </row>
    <row r="1037" spans="1:11" hidden="1" x14ac:dyDescent="0.3">
      <c r="A1037" s="5">
        <v>18799579</v>
      </c>
      <c r="B1037" s="6" t="s">
        <v>1242</v>
      </c>
      <c r="C1037" s="6" t="s">
        <v>1243</v>
      </c>
      <c r="D1037" s="8" t="s">
        <v>54</v>
      </c>
      <c r="E1037" s="6" t="s">
        <v>223</v>
      </c>
      <c r="F1037" s="6" t="s">
        <v>85</v>
      </c>
      <c r="G1037" s="11">
        <v>46142.416666666664</v>
      </c>
      <c r="H1037" s="10" t="s">
        <v>1244</v>
      </c>
      <c r="I1037" s="6" t="s">
        <v>1245</v>
      </c>
      <c r="J1037" s="12">
        <v>46120.389618055553</v>
      </c>
      <c r="K1037" s="6" t="e" cm="1">
        <f t="array" ref="K1037">LOOKUP(2^15,SEARCH(Tabela2[Palavras-Chave],Boletim[[#This Row],[Objeto]],1),Tabela2[Palavras-Chave])</f>
        <v>#N/A</v>
      </c>
    </row>
    <row r="1038" spans="1:11" hidden="1" x14ac:dyDescent="0.3">
      <c r="A1038" s="5">
        <v>18799858</v>
      </c>
      <c r="B1038" s="6" t="s">
        <v>1242</v>
      </c>
      <c r="C1038" s="6" t="s">
        <v>1243</v>
      </c>
      <c r="D1038" s="8" t="s">
        <v>54</v>
      </c>
      <c r="E1038" s="6" t="s">
        <v>381</v>
      </c>
      <c r="F1038" s="6" t="s">
        <v>85</v>
      </c>
      <c r="G1038" s="11">
        <v>46135.416666666664</v>
      </c>
      <c r="H1038" s="10" t="s">
        <v>1246</v>
      </c>
      <c r="I1038" s="6" t="s">
        <v>1247</v>
      </c>
      <c r="J1038" s="12">
        <v>46120.38962962963</v>
      </c>
      <c r="K1038" s="6" t="e" cm="1">
        <f t="array" ref="K1038">LOOKUP(2^15,SEARCH(Tabela2[Palavras-Chave],Boletim[[#This Row],[Objeto]],1),Tabela2[Palavras-Chave])</f>
        <v>#N/A</v>
      </c>
    </row>
    <row r="1039" spans="1:11" hidden="1" x14ac:dyDescent="0.3">
      <c r="A1039" s="5">
        <v>18798425</v>
      </c>
      <c r="B1039" s="6" t="s">
        <v>1248</v>
      </c>
      <c r="C1039" s="6" t="s">
        <v>1249</v>
      </c>
      <c r="D1039" s="8" t="s">
        <v>54</v>
      </c>
      <c r="E1039" s="6" t="s">
        <v>120</v>
      </c>
      <c r="F1039" s="6" t="s">
        <v>85</v>
      </c>
      <c r="G1039" s="11" t="s">
        <v>56</v>
      </c>
      <c r="H1039" s="10" t="s">
        <v>1250</v>
      </c>
      <c r="I1039" s="6" t="s">
        <v>1251</v>
      </c>
      <c r="J1039" s="12">
        <v>46120.38962962963</v>
      </c>
      <c r="K1039" s="6" t="e" cm="1">
        <f t="array" ref="K1039">LOOKUP(2^15,SEARCH(Tabela2[Palavras-Chave],Boletim[[#This Row],[Objeto]],1),Tabela2[Palavras-Chave])</f>
        <v>#N/A</v>
      </c>
    </row>
    <row r="1040" spans="1:11" hidden="1" x14ac:dyDescent="0.3">
      <c r="A1040" s="5">
        <v>18793681</v>
      </c>
      <c r="B1040" s="6" t="s">
        <v>1252</v>
      </c>
      <c r="C1040" s="6" t="s">
        <v>53</v>
      </c>
      <c r="D1040" s="8" t="s">
        <v>54</v>
      </c>
      <c r="E1040" s="6" t="s">
        <v>124</v>
      </c>
      <c r="F1040" s="6" t="s">
        <v>85</v>
      </c>
      <c r="G1040" s="11">
        <v>46128.4375</v>
      </c>
      <c r="H1040" s="10" t="s">
        <v>1253</v>
      </c>
      <c r="I1040" s="6" t="s">
        <v>1254</v>
      </c>
      <c r="J1040" s="12">
        <v>46120.469456018516</v>
      </c>
      <c r="K1040" s="6" t="e" cm="1">
        <f t="array" ref="K1040">LOOKUP(2^15,SEARCH(Tabela2[Palavras-Chave],Boletim[[#This Row],[Objeto]],1),Tabela2[Palavras-Chave])</f>
        <v>#N/A</v>
      </c>
    </row>
    <row r="1041" spans="1:11" hidden="1" x14ac:dyDescent="0.3">
      <c r="A1041" s="5">
        <v>18790136</v>
      </c>
      <c r="B1041" s="6" t="s">
        <v>2939</v>
      </c>
      <c r="C1041" s="6" t="s">
        <v>2940</v>
      </c>
      <c r="D1041" s="8" t="s">
        <v>54</v>
      </c>
      <c r="E1041" s="6" t="s">
        <v>108</v>
      </c>
      <c r="F1041" s="6" t="s">
        <v>85</v>
      </c>
      <c r="G1041" s="11" t="s">
        <v>56</v>
      </c>
      <c r="H1041" s="10" t="s">
        <v>2941</v>
      </c>
      <c r="I1041" s="6" t="s">
        <v>2942</v>
      </c>
      <c r="J1041" s="12">
        <v>46120.452118055553</v>
      </c>
      <c r="K1041" s="6" t="e" cm="1">
        <f t="array" ref="K1041">LOOKUP(2^15,SEARCH(Tabela2[Palavras-Chave],Boletim[[#This Row],[Objeto]],1),Tabela2[Palavras-Chave])</f>
        <v>#N/A</v>
      </c>
    </row>
    <row r="1042" spans="1:11" ht="273.60000000000002" x14ac:dyDescent="0.3">
      <c r="A1042" s="5">
        <v>18802450</v>
      </c>
      <c r="B1042" s="6" t="s">
        <v>1255</v>
      </c>
      <c r="C1042" s="6" t="s">
        <v>53</v>
      </c>
      <c r="D1042" s="8" t="s">
        <v>54</v>
      </c>
      <c r="E1042" s="6" t="s">
        <v>107</v>
      </c>
      <c r="F1042" s="6" t="s">
        <v>85</v>
      </c>
      <c r="G1042" s="11">
        <v>46139.416666666664</v>
      </c>
      <c r="H1042" s="21" t="s">
        <v>1256</v>
      </c>
      <c r="I1042" s="6" t="s">
        <v>1257</v>
      </c>
      <c r="J1042" s="12">
        <v>46120.50037037037</v>
      </c>
      <c r="K1042" s="6" t="str" cm="1">
        <f t="array" ref="K1042">LOOKUP(2^15,SEARCH(Tabela2[Palavras-Chave],Boletim[[#This Row],[Objeto]],1),Tabela2[Palavras-Chave])</f>
        <v>TANQUE</v>
      </c>
    </row>
    <row r="1043" spans="1:11" hidden="1" x14ac:dyDescent="0.3">
      <c r="A1043" s="5">
        <v>18802418</v>
      </c>
      <c r="B1043" s="6" t="s">
        <v>2943</v>
      </c>
      <c r="C1043" s="6" t="s">
        <v>2944</v>
      </c>
      <c r="D1043" s="8" t="s">
        <v>54</v>
      </c>
      <c r="E1043" s="6" t="s">
        <v>113</v>
      </c>
      <c r="F1043" s="6" t="s">
        <v>85</v>
      </c>
      <c r="G1043" s="11" t="s">
        <v>56</v>
      </c>
      <c r="H1043" s="10" t="s">
        <v>2945</v>
      </c>
      <c r="I1043" s="6" t="s">
        <v>2946</v>
      </c>
      <c r="J1043" s="12">
        <v>46120.514120370368</v>
      </c>
      <c r="K1043" s="6" t="e" cm="1">
        <f t="array" ref="K1043">LOOKUP(2^15,SEARCH(Tabela2[Palavras-Chave],Boletim[[#This Row],[Objeto]],1),Tabela2[Palavras-Chave])</f>
        <v>#N/A</v>
      </c>
    </row>
    <row r="1044" spans="1:11" hidden="1" x14ac:dyDescent="0.3">
      <c r="A1044" s="5">
        <v>18801432</v>
      </c>
      <c r="B1044" s="6" t="s">
        <v>1258</v>
      </c>
      <c r="C1044" s="6" t="s">
        <v>53</v>
      </c>
      <c r="D1044" s="8" t="s">
        <v>54</v>
      </c>
      <c r="E1044" s="6" t="s">
        <v>1259</v>
      </c>
      <c r="F1044" s="6" t="s">
        <v>85</v>
      </c>
      <c r="G1044" s="11" t="s">
        <v>56</v>
      </c>
      <c r="H1044" s="10" t="s">
        <v>1260</v>
      </c>
      <c r="I1044" s="6" t="s">
        <v>1261</v>
      </c>
      <c r="J1044" s="12">
        <v>46120.522407407407</v>
      </c>
      <c r="K1044" s="6" t="e" cm="1">
        <f t="array" ref="K1044">LOOKUP(2^15,SEARCH(Tabela2[Palavras-Chave],Boletim[[#This Row],[Objeto]],1),Tabela2[Palavras-Chave])</f>
        <v>#N/A</v>
      </c>
    </row>
    <row r="1045" spans="1:11" hidden="1" x14ac:dyDescent="0.3">
      <c r="A1045" s="5">
        <v>18802541</v>
      </c>
      <c r="B1045" s="6" t="s">
        <v>2947</v>
      </c>
      <c r="C1045" s="6" t="s">
        <v>2948</v>
      </c>
      <c r="D1045" s="8" t="s">
        <v>54</v>
      </c>
      <c r="E1045" s="6" t="s">
        <v>224</v>
      </c>
      <c r="F1045" s="6" t="s">
        <v>85</v>
      </c>
      <c r="G1045" s="11" t="s">
        <v>56</v>
      </c>
      <c r="H1045" s="10" t="s">
        <v>2949</v>
      </c>
      <c r="I1045" s="6" t="s">
        <v>2950</v>
      </c>
      <c r="J1045" s="12">
        <v>46120.523194444446</v>
      </c>
      <c r="K1045" s="6" t="e" cm="1">
        <f t="array" ref="K1045">LOOKUP(2^15,SEARCH(Tabela2[Palavras-Chave],Boletim[[#This Row],[Objeto]],1),Tabela2[Palavras-Chave])</f>
        <v>#N/A</v>
      </c>
    </row>
    <row r="1046" spans="1:11" hidden="1" x14ac:dyDescent="0.3">
      <c r="A1046" s="5">
        <v>18802546</v>
      </c>
      <c r="B1046" s="6" t="s">
        <v>1262</v>
      </c>
      <c r="C1046" s="6" t="s">
        <v>1263</v>
      </c>
      <c r="D1046" s="8" t="s">
        <v>54</v>
      </c>
      <c r="E1046" s="6" t="s">
        <v>176</v>
      </c>
      <c r="F1046" s="6" t="s">
        <v>85</v>
      </c>
      <c r="G1046" s="11" t="s">
        <v>56</v>
      </c>
      <c r="H1046" s="10" t="s">
        <v>1264</v>
      </c>
      <c r="I1046" s="6" t="s">
        <v>1265</v>
      </c>
      <c r="J1046" s="12">
        <v>46120.52511574074</v>
      </c>
      <c r="K1046" s="6" t="e" cm="1">
        <f t="array" ref="K1046">LOOKUP(2^15,SEARCH(Tabela2[Palavras-Chave],Boletim[[#This Row],[Objeto]],1),Tabela2[Palavras-Chave])</f>
        <v>#N/A</v>
      </c>
    </row>
    <row r="1047" spans="1:11" hidden="1" x14ac:dyDescent="0.3">
      <c r="A1047" s="5">
        <v>18802550</v>
      </c>
      <c r="B1047" s="6" t="s">
        <v>1266</v>
      </c>
      <c r="C1047" s="6" t="s">
        <v>53</v>
      </c>
      <c r="D1047" s="8" t="s">
        <v>54</v>
      </c>
      <c r="E1047" s="6" t="s">
        <v>1267</v>
      </c>
      <c r="F1047" s="6" t="s">
        <v>85</v>
      </c>
      <c r="G1047" s="11" t="s">
        <v>56</v>
      </c>
      <c r="H1047" s="10" t="s">
        <v>1268</v>
      </c>
      <c r="I1047" s="6" t="s">
        <v>1269</v>
      </c>
      <c r="J1047" s="12">
        <v>46120.525520833333</v>
      </c>
      <c r="K1047" s="6" t="e" cm="1">
        <f t="array" ref="K1047">LOOKUP(2^15,SEARCH(Tabela2[Palavras-Chave],Boletim[[#This Row],[Objeto]],1),Tabela2[Palavras-Chave])</f>
        <v>#N/A</v>
      </c>
    </row>
    <row r="1048" spans="1:11" hidden="1" x14ac:dyDescent="0.3">
      <c r="A1048" s="5">
        <v>18802563</v>
      </c>
      <c r="B1048" s="6" t="s">
        <v>1270</v>
      </c>
      <c r="C1048" s="6" t="s">
        <v>1271</v>
      </c>
      <c r="D1048" s="8" t="s">
        <v>54</v>
      </c>
      <c r="E1048" s="6" t="s">
        <v>176</v>
      </c>
      <c r="F1048" s="6" t="s">
        <v>85</v>
      </c>
      <c r="G1048" s="11" t="s">
        <v>56</v>
      </c>
      <c r="H1048" s="10" t="s">
        <v>1272</v>
      </c>
      <c r="I1048" s="6" t="s">
        <v>1273</v>
      </c>
      <c r="J1048" s="12">
        <v>46120.525833333333</v>
      </c>
      <c r="K1048" s="6" t="e" cm="1">
        <f t="array" ref="K1048">LOOKUP(2^15,SEARCH(Tabela2[Palavras-Chave],Boletim[[#This Row],[Objeto]],1),Tabela2[Palavras-Chave])</f>
        <v>#N/A</v>
      </c>
    </row>
    <row r="1049" spans="1:11" hidden="1" x14ac:dyDescent="0.3">
      <c r="A1049" s="5">
        <v>18802511</v>
      </c>
      <c r="B1049" s="6" t="s">
        <v>163</v>
      </c>
      <c r="C1049" s="6" t="s">
        <v>53</v>
      </c>
      <c r="D1049" s="8" t="s">
        <v>54</v>
      </c>
      <c r="E1049" s="6" t="s">
        <v>388</v>
      </c>
      <c r="F1049" s="6" t="s">
        <v>85</v>
      </c>
      <c r="G1049" s="11" t="s">
        <v>56</v>
      </c>
      <c r="H1049" s="10" t="s">
        <v>1274</v>
      </c>
      <c r="I1049" s="6" t="s">
        <v>1275</v>
      </c>
      <c r="J1049" s="12">
        <v>46120.666018518517</v>
      </c>
      <c r="K1049" s="6" t="e" cm="1">
        <f t="array" ref="K1049">LOOKUP(2^15,SEARCH(Tabela2[Palavras-Chave],Boletim[[#This Row],[Objeto]],1),Tabela2[Palavras-Chave])</f>
        <v>#N/A</v>
      </c>
    </row>
    <row r="1050" spans="1:11" hidden="1" x14ac:dyDescent="0.3">
      <c r="A1050" s="5">
        <v>18802509</v>
      </c>
      <c r="B1050" s="6" t="s">
        <v>163</v>
      </c>
      <c r="C1050" s="6" t="s">
        <v>53</v>
      </c>
      <c r="D1050" s="8" t="s">
        <v>54</v>
      </c>
      <c r="E1050" s="6" t="s">
        <v>1276</v>
      </c>
      <c r="F1050" s="6" t="s">
        <v>85</v>
      </c>
      <c r="G1050" s="11" t="s">
        <v>56</v>
      </c>
      <c r="H1050" s="10" t="s">
        <v>1277</v>
      </c>
      <c r="I1050" s="6" t="s">
        <v>1278</v>
      </c>
      <c r="J1050" s="12">
        <v>46120.66673611111</v>
      </c>
      <c r="K1050" s="6" t="e" cm="1">
        <f t="array" ref="K1050">LOOKUP(2^15,SEARCH(Tabela2[Palavras-Chave],Boletim[[#This Row],[Objeto]],1),Tabela2[Palavras-Chave])</f>
        <v>#N/A</v>
      </c>
    </row>
    <row r="1051" spans="1:11" hidden="1" x14ac:dyDescent="0.3">
      <c r="A1051" s="5">
        <v>18802564</v>
      </c>
      <c r="B1051" s="6" t="s">
        <v>1279</v>
      </c>
      <c r="C1051" s="6" t="s">
        <v>1280</v>
      </c>
      <c r="D1051" s="8" t="s">
        <v>54</v>
      </c>
      <c r="E1051" s="6" t="s">
        <v>268</v>
      </c>
      <c r="F1051" s="6" t="s">
        <v>85</v>
      </c>
      <c r="G1051" s="11" t="s">
        <v>56</v>
      </c>
      <c r="H1051" s="10" t="s">
        <v>1281</v>
      </c>
      <c r="I1051" s="6" t="s">
        <v>1282</v>
      </c>
      <c r="J1051" s="12">
        <v>46120.556180555555</v>
      </c>
      <c r="K1051" s="6" t="e" cm="1">
        <f t="array" ref="K1051">LOOKUP(2^15,SEARCH(Tabela2[Palavras-Chave],Boletim[[#This Row],[Objeto]],1),Tabela2[Palavras-Chave])</f>
        <v>#N/A</v>
      </c>
    </row>
    <row r="1052" spans="1:11" hidden="1" x14ac:dyDescent="0.3">
      <c r="A1052" s="5">
        <v>18802565</v>
      </c>
      <c r="B1052" s="6" t="s">
        <v>1283</v>
      </c>
      <c r="C1052" s="6" t="s">
        <v>53</v>
      </c>
      <c r="D1052" s="8" t="s">
        <v>54</v>
      </c>
      <c r="E1052" s="6" t="s">
        <v>1284</v>
      </c>
      <c r="F1052" s="6" t="s">
        <v>85</v>
      </c>
      <c r="G1052" s="11" t="s">
        <v>56</v>
      </c>
      <c r="H1052" s="10" t="s">
        <v>1285</v>
      </c>
      <c r="I1052" s="6" t="s">
        <v>1286</v>
      </c>
      <c r="J1052" s="12">
        <v>46120.567754629628</v>
      </c>
      <c r="K1052" s="6" t="e" cm="1">
        <f t="array" ref="K1052">LOOKUP(2^15,SEARCH(Tabela2[Palavras-Chave],Boletim[[#This Row],[Objeto]],1),Tabela2[Palavras-Chave])</f>
        <v>#N/A</v>
      </c>
    </row>
    <row r="1053" spans="1:11" hidden="1" x14ac:dyDescent="0.3">
      <c r="A1053" s="5">
        <v>18801878</v>
      </c>
      <c r="B1053" s="6" t="s">
        <v>1287</v>
      </c>
      <c r="C1053" s="6" t="s">
        <v>1288</v>
      </c>
      <c r="D1053" s="8" t="s">
        <v>54</v>
      </c>
      <c r="E1053" s="6" t="s">
        <v>1289</v>
      </c>
      <c r="F1053" s="6" t="s">
        <v>85</v>
      </c>
      <c r="G1053" s="11">
        <v>46161</v>
      </c>
      <c r="H1053" s="10" t="s">
        <v>1290</v>
      </c>
      <c r="I1053" s="6" t="s">
        <v>1291</v>
      </c>
      <c r="J1053" s="12">
        <v>46120.569363425922</v>
      </c>
      <c r="K1053" s="6" t="e" cm="1">
        <f t="array" ref="K1053">LOOKUP(2^15,SEARCH(Tabela2[Palavras-Chave],Boletim[[#This Row],[Objeto]],1),Tabela2[Palavras-Chave])</f>
        <v>#N/A</v>
      </c>
    </row>
    <row r="1054" spans="1:11" hidden="1" x14ac:dyDescent="0.3">
      <c r="A1054" s="5">
        <v>18801412</v>
      </c>
      <c r="B1054" s="6" t="s">
        <v>1242</v>
      </c>
      <c r="C1054" s="6" t="s">
        <v>1243</v>
      </c>
      <c r="D1054" s="8" t="s">
        <v>54</v>
      </c>
      <c r="E1054" s="6" t="s">
        <v>148</v>
      </c>
      <c r="F1054" s="6" t="s">
        <v>85</v>
      </c>
      <c r="G1054" s="11" t="s">
        <v>56</v>
      </c>
      <c r="H1054" s="10" t="s">
        <v>2951</v>
      </c>
      <c r="I1054" s="6" t="s">
        <v>2952</v>
      </c>
      <c r="J1054" s="12">
        <v>46120.588206018518</v>
      </c>
      <c r="K1054" s="6" t="e" cm="1">
        <f t="array" ref="K1054">LOOKUP(2^15,SEARCH(Tabela2[Palavras-Chave],Boletim[[#This Row],[Objeto]],1),Tabela2[Palavras-Chave])</f>
        <v>#N/A</v>
      </c>
    </row>
    <row r="1055" spans="1:11" hidden="1" x14ac:dyDescent="0.3">
      <c r="A1055" s="5">
        <v>18801609</v>
      </c>
      <c r="B1055" s="6" t="s">
        <v>1292</v>
      </c>
      <c r="C1055" s="6" t="s">
        <v>1293</v>
      </c>
      <c r="D1055" s="8" t="s">
        <v>54</v>
      </c>
      <c r="E1055" s="6" t="s">
        <v>124</v>
      </c>
      <c r="F1055" s="6" t="s">
        <v>85</v>
      </c>
      <c r="G1055" s="11" t="s">
        <v>56</v>
      </c>
      <c r="H1055" s="10" t="s">
        <v>1294</v>
      </c>
      <c r="I1055" s="6" t="s">
        <v>1295</v>
      </c>
      <c r="J1055" s="12">
        <v>46120.623229166667</v>
      </c>
      <c r="K1055" s="6" t="e" cm="1">
        <f t="array" ref="K1055">LOOKUP(2^15,SEARCH(Tabela2[Palavras-Chave],Boletim[[#This Row],[Objeto]],1),Tabela2[Palavras-Chave])</f>
        <v>#N/A</v>
      </c>
    </row>
    <row r="1056" spans="1:11" hidden="1" x14ac:dyDescent="0.3">
      <c r="A1056" s="5">
        <v>18803816</v>
      </c>
      <c r="B1056" s="6" t="s">
        <v>1296</v>
      </c>
      <c r="C1056" s="6" t="s">
        <v>1297</v>
      </c>
      <c r="D1056" s="8" t="s">
        <v>54</v>
      </c>
      <c r="E1056" s="6" t="s">
        <v>117</v>
      </c>
      <c r="F1056" s="6" t="s">
        <v>85</v>
      </c>
      <c r="G1056" s="11" t="s">
        <v>56</v>
      </c>
      <c r="H1056" s="10" t="s">
        <v>1298</v>
      </c>
      <c r="I1056" s="6" t="s">
        <v>1299</v>
      </c>
      <c r="J1056" s="12">
        <v>46120.635567129626</v>
      </c>
      <c r="K1056" s="6" t="e" cm="1">
        <f t="array" ref="K1056">LOOKUP(2^15,SEARCH(Tabela2[Palavras-Chave],Boletim[[#This Row],[Objeto]],1),Tabela2[Palavras-Chave])</f>
        <v>#N/A</v>
      </c>
    </row>
    <row r="1057" spans="1:11" hidden="1" x14ac:dyDescent="0.3">
      <c r="A1057" s="5">
        <v>18803435</v>
      </c>
      <c r="B1057" s="6" t="s">
        <v>163</v>
      </c>
      <c r="C1057" s="6" t="s">
        <v>53</v>
      </c>
      <c r="D1057" s="8" t="s">
        <v>54</v>
      </c>
      <c r="E1057" s="6" t="s">
        <v>2067</v>
      </c>
      <c r="F1057" s="6" t="s">
        <v>85</v>
      </c>
      <c r="G1057" s="11" t="s">
        <v>56</v>
      </c>
      <c r="H1057" s="10" t="s">
        <v>2953</v>
      </c>
      <c r="I1057" s="6" t="s">
        <v>2954</v>
      </c>
      <c r="J1057" s="12">
        <v>46120.640497685185</v>
      </c>
      <c r="K1057" s="6" t="e" cm="1">
        <f t="array" ref="K1057">LOOKUP(2^15,SEARCH(Tabela2[Palavras-Chave],Boletim[[#This Row],[Objeto]],1),Tabela2[Palavras-Chave])</f>
        <v>#N/A</v>
      </c>
    </row>
    <row r="1058" spans="1:11" hidden="1" x14ac:dyDescent="0.3">
      <c r="A1058" s="5">
        <v>18803938</v>
      </c>
      <c r="B1058" s="6" t="s">
        <v>1300</v>
      </c>
      <c r="C1058" s="6" t="s">
        <v>1301</v>
      </c>
      <c r="D1058" s="8" t="s">
        <v>54</v>
      </c>
      <c r="E1058" s="6" t="s">
        <v>122</v>
      </c>
      <c r="F1058" s="6" t="s">
        <v>85</v>
      </c>
      <c r="G1058" s="11" t="s">
        <v>56</v>
      </c>
      <c r="H1058" s="10" t="s">
        <v>1302</v>
      </c>
      <c r="I1058" s="6" t="s">
        <v>1303</v>
      </c>
      <c r="J1058" s="12">
        <v>46120.640625</v>
      </c>
      <c r="K1058" s="6" t="e" cm="1">
        <f t="array" ref="K1058">LOOKUP(2^15,SEARCH(Tabela2[Palavras-Chave],Boletim[[#This Row],[Objeto]],1),Tabela2[Palavras-Chave])</f>
        <v>#N/A</v>
      </c>
    </row>
    <row r="1059" spans="1:11" hidden="1" x14ac:dyDescent="0.3">
      <c r="A1059" s="5">
        <v>18801416</v>
      </c>
      <c r="B1059" s="6" t="s">
        <v>2955</v>
      </c>
      <c r="C1059" s="6" t="s">
        <v>53</v>
      </c>
      <c r="D1059" s="8" t="s">
        <v>54</v>
      </c>
      <c r="E1059" s="6" t="s">
        <v>2956</v>
      </c>
      <c r="F1059" s="6" t="s">
        <v>85</v>
      </c>
      <c r="G1059" s="11" t="s">
        <v>56</v>
      </c>
      <c r="H1059" s="10" t="s">
        <v>2957</v>
      </c>
      <c r="I1059" s="6" t="s">
        <v>2958</v>
      </c>
      <c r="J1059" s="12">
        <v>46120.64329861111</v>
      </c>
      <c r="K1059" s="6" t="e" cm="1">
        <f t="array" ref="K1059">LOOKUP(2^15,SEARCH(Tabela2[Palavras-Chave],Boletim[[#This Row],[Objeto]],1),Tabela2[Palavras-Chave])</f>
        <v>#N/A</v>
      </c>
    </row>
    <row r="1060" spans="1:11" hidden="1" x14ac:dyDescent="0.3">
      <c r="A1060" s="5">
        <v>18803496</v>
      </c>
      <c r="B1060" s="6" t="s">
        <v>1304</v>
      </c>
      <c r="C1060" s="6" t="s">
        <v>1305</v>
      </c>
      <c r="D1060" s="8" t="s">
        <v>54</v>
      </c>
      <c r="E1060" s="6" t="s">
        <v>122</v>
      </c>
      <c r="F1060" s="6" t="s">
        <v>85</v>
      </c>
      <c r="G1060" s="11" t="s">
        <v>56</v>
      </c>
      <c r="H1060" s="10" t="s">
        <v>1306</v>
      </c>
      <c r="I1060" s="6" t="s">
        <v>1307</v>
      </c>
      <c r="J1060" s="12">
        <v>46120.662222222221</v>
      </c>
      <c r="K1060" s="6" t="e" cm="1">
        <f t="array" ref="K1060">LOOKUP(2^15,SEARCH(Tabela2[Palavras-Chave],Boletim[[#This Row],[Objeto]],1),Tabela2[Palavras-Chave])</f>
        <v>#N/A</v>
      </c>
    </row>
    <row r="1061" spans="1:11" hidden="1" x14ac:dyDescent="0.3">
      <c r="A1061" s="5">
        <v>18802505</v>
      </c>
      <c r="B1061" s="6" t="s">
        <v>163</v>
      </c>
      <c r="C1061" s="6" t="s">
        <v>53</v>
      </c>
      <c r="D1061" s="8" t="s">
        <v>54</v>
      </c>
      <c r="E1061" s="6" t="s">
        <v>1308</v>
      </c>
      <c r="F1061" s="6" t="s">
        <v>85</v>
      </c>
      <c r="G1061" s="11" t="s">
        <v>56</v>
      </c>
      <c r="H1061" s="10" t="s">
        <v>1309</v>
      </c>
      <c r="I1061" s="6" t="s">
        <v>1310</v>
      </c>
      <c r="J1061" s="12">
        <v>46120.666018518517</v>
      </c>
      <c r="K1061" s="6" t="e" cm="1">
        <f t="array" ref="K1061">LOOKUP(2^15,SEARCH(Tabela2[Palavras-Chave],Boletim[[#This Row],[Objeto]],1),Tabela2[Palavras-Chave])</f>
        <v>#N/A</v>
      </c>
    </row>
    <row r="1062" spans="1:11" hidden="1" x14ac:dyDescent="0.3">
      <c r="A1062" s="5">
        <v>18802512</v>
      </c>
      <c r="B1062" s="6" t="s">
        <v>163</v>
      </c>
      <c r="C1062" s="6" t="s">
        <v>53</v>
      </c>
      <c r="D1062" s="8" t="s">
        <v>54</v>
      </c>
      <c r="E1062" s="6" t="s">
        <v>1311</v>
      </c>
      <c r="F1062" s="6" t="s">
        <v>85</v>
      </c>
      <c r="G1062" s="11">
        <v>46146.583333333336</v>
      </c>
      <c r="H1062" s="10" t="s">
        <v>1312</v>
      </c>
      <c r="I1062" s="6" t="s">
        <v>1313</v>
      </c>
      <c r="J1062" s="12">
        <v>46120.671956018516</v>
      </c>
      <c r="K1062" s="6" t="e" cm="1">
        <f t="array" ref="K1062">LOOKUP(2^15,SEARCH(Tabela2[Palavras-Chave],Boletim[[#This Row],[Objeto]],1),Tabela2[Palavras-Chave])</f>
        <v>#N/A</v>
      </c>
    </row>
    <row r="1063" spans="1:11" hidden="1" x14ac:dyDescent="0.3">
      <c r="A1063" s="5">
        <v>18804174</v>
      </c>
      <c r="B1063" s="6" t="s">
        <v>1314</v>
      </c>
      <c r="C1063" s="6" t="s">
        <v>1315</v>
      </c>
      <c r="D1063" s="8" t="s">
        <v>54</v>
      </c>
      <c r="E1063" s="6" t="s">
        <v>121</v>
      </c>
      <c r="F1063" s="6" t="s">
        <v>85</v>
      </c>
      <c r="G1063" s="11">
        <v>46132.354166666664</v>
      </c>
      <c r="H1063" s="10" t="s">
        <v>1316</v>
      </c>
      <c r="I1063" s="6" t="s">
        <v>1317</v>
      </c>
      <c r="J1063" s="12">
        <v>46120.722280092596</v>
      </c>
      <c r="K1063" s="6" t="e" cm="1">
        <f t="array" ref="K1063">LOOKUP(2^15,SEARCH(Tabela2[Palavras-Chave],Boletim[[#This Row],[Objeto]],1),Tabela2[Palavras-Chave])</f>
        <v>#N/A</v>
      </c>
    </row>
    <row r="1064" spans="1:11" x14ac:dyDescent="0.3">
      <c r="A1064" s="5">
        <v>18804960</v>
      </c>
      <c r="B1064" s="6" t="s">
        <v>293</v>
      </c>
      <c r="C1064" s="6" t="s">
        <v>53</v>
      </c>
      <c r="D1064" s="8" t="s">
        <v>54</v>
      </c>
      <c r="E1064" s="6" t="s">
        <v>456</v>
      </c>
      <c r="F1064" s="6" t="s">
        <v>85</v>
      </c>
      <c r="G1064" s="11" t="s">
        <v>56</v>
      </c>
      <c r="H1064" s="21" t="s">
        <v>1318</v>
      </c>
      <c r="I1064" s="6" t="s">
        <v>169</v>
      </c>
      <c r="J1064" s="12">
        <v>46120.72923611111</v>
      </c>
      <c r="K1064" s="6" t="str" cm="1">
        <f t="array" ref="K1064">LOOKUP(2^15,SEARCH(Tabela2[Palavras-Chave],Boletim[[#This Row],[Objeto]],1),Tabela2[Palavras-Chave])</f>
        <v>RESERVAT</v>
      </c>
    </row>
    <row r="1065" spans="1:11" hidden="1" x14ac:dyDescent="0.3">
      <c r="A1065" s="5">
        <v>18805203</v>
      </c>
      <c r="B1065" s="6" t="s">
        <v>1319</v>
      </c>
      <c r="C1065" s="6" t="s">
        <v>1320</v>
      </c>
      <c r="D1065" s="8" t="s">
        <v>54</v>
      </c>
      <c r="E1065" s="6" t="s">
        <v>128</v>
      </c>
      <c r="F1065" s="6" t="s">
        <v>85</v>
      </c>
      <c r="G1065" s="11" t="s">
        <v>56</v>
      </c>
      <c r="H1065" s="10" t="s">
        <v>1321</v>
      </c>
      <c r="I1065" s="6" t="s">
        <v>1322</v>
      </c>
      <c r="J1065" s="12">
        <v>46120.730949074074</v>
      </c>
      <c r="K1065" s="6" t="e" cm="1">
        <f t="array" ref="K1065">LOOKUP(2^15,SEARCH(Tabela2[Palavras-Chave],Boletim[[#This Row],[Objeto]],1),Tabela2[Palavras-Chave])</f>
        <v>#N/A</v>
      </c>
    </row>
    <row r="1066" spans="1:11" hidden="1" x14ac:dyDescent="0.3">
      <c r="A1066" s="5">
        <v>18805516</v>
      </c>
      <c r="B1066" s="6" t="s">
        <v>1323</v>
      </c>
      <c r="C1066" s="6" t="s">
        <v>1324</v>
      </c>
      <c r="D1066" s="8" t="s">
        <v>54</v>
      </c>
      <c r="E1066" s="6" t="s">
        <v>114</v>
      </c>
      <c r="F1066" s="6" t="s">
        <v>85</v>
      </c>
      <c r="G1066" s="11">
        <v>46139.375</v>
      </c>
      <c r="H1066" s="10" t="s">
        <v>1325</v>
      </c>
      <c r="I1066" s="6" t="s">
        <v>1326</v>
      </c>
      <c r="J1066" s="12">
        <v>46120.809884259259</v>
      </c>
      <c r="K1066" s="6" t="e" cm="1">
        <f t="array" ref="K1066">LOOKUP(2^15,SEARCH(Tabela2[Palavras-Chave],Boletim[[#This Row],[Objeto]],1),Tabela2[Palavras-Chave])</f>
        <v>#N/A</v>
      </c>
    </row>
    <row r="1067" spans="1:11" hidden="1" x14ac:dyDescent="0.3">
      <c r="A1067" s="5">
        <v>18801558</v>
      </c>
      <c r="B1067" s="6" t="s">
        <v>1292</v>
      </c>
      <c r="C1067" s="6" t="s">
        <v>1293</v>
      </c>
      <c r="D1067" s="8" t="s">
        <v>54</v>
      </c>
      <c r="E1067" s="6" t="s">
        <v>135</v>
      </c>
      <c r="F1067" s="6" t="s">
        <v>85</v>
      </c>
      <c r="G1067" s="11" t="s">
        <v>56</v>
      </c>
      <c r="H1067" s="10" t="s">
        <v>2959</v>
      </c>
      <c r="I1067" s="6" t="s">
        <v>2960</v>
      </c>
      <c r="J1067" s="12">
        <v>46120.74145833333</v>
      </c>
      <c r="K1067" s="6" t="e" cm="1">
        <f t="array" ref="K1067">LOOKUP(2^15,SEARCH(Tabela2[Palavras-Chave],Boletim[[#This Row],[Objeto]],1),Tabela2[Palavras-Chave])</f>
        <v>#N/A</v>
      </c>
    </row>
    <row r="1068" spans="1:11" hidden="1" x14ac:dyDescent="0.3">
      <c r="A1068" s="5">
        <v>18805609</v>
      </c>
      <c r="B1068" s="6" t="s">
        <v>2961</v>
      </c>
      <c r="C1068" s="6" t="s">
        <v>2962</v>
      </c>
      <c r="D1068" s="8" t="s">
        <v>54</v>
      </c>
      <c r="E1068" s="6" t="s">
        <v>110</v>
      </c>
      <c r="F1068" s="6" t="s">
        <v>85</v>
      </c>
      <c r="G1068" s="11" t="s">
        <v>56</v>
      </c>
      <c r="H1068" s="10" t="s">
        <v>2963</v>
      </c>
      <c r="I1068" s="6" t="s">
        <v>2964</v>
      </c>
      <c r="J1068" s="12">
        <v>46120.744513888887</v>
      </c>
      <c r="K1068" s="6" t="e" cm="1">
        <f t="array" ref="K1068">LOOKUP(2^15,SEARCH(Tabela2[Palavras-Chave],Boletim[[#This Row],[Objeto]],1),Tabela2[Palavras-Chave])</f>
        <v>#N/A</v>
      </c>
    </row>
    <row r="1069" spans="1:11" hidden="1" x14ac:dyDescent="0.3">
      <c r="A1069" s="5">
        <v>18805619</v>
      </c>
      <c r="B1069" s="6" t="s">
        <v>2965</v>
      </c>
      <c r="C1069" s="6" t="s">
        <v>2966</v>
      </c>
      <c r="D1069" s="8" t="s">
        <v>54</v>
      </c>
      <c r="E1069" s="6" t="s">
        <v>113</v>
      </c>
      <c r="F1069" s="6" t="s">
        <v>85</v>
      </c>
      <c r="G1069" s="11">
        <v>46135.416666666664</v>
      </c>
      <c r="H1069" s="10" t="s">
        <v>2967</v>
      </c>
      <c r="I1069" s="6" t="s">
        <v>2968</v>
      </c>
      <c r="J1069" s="12">
        <v>46120.745416666665</v>
      </c>
      <c r="K1069" s="6" t="e" cm="1">
        <f t="array" ref="K1069">LOOKUP(2^15,SEARCH(Tabela2[Palavras-Chave],Boletim[[#This Row],[Objeto]],1),Tabela2[Palavras-Chave])</f>
        <v>#N/A</v>
      </c>
    </row>
    <row r="1070" spans="1:11" hidden="1" x14ac:dyDescent="0.3">
      <c r="A1070" s="5">
        <v>18798504</v>
      </c>
      <c r="B1070" s="6" t="s">
        <v>1327</v>
      </c>
      <c r="C1070" s="6" t="s">
        <v>1328</v>
      </c>
      <c r="D1070" s="8" t="s">
        <v>54</v>
      </c>
      <c r="E1070" s="6" t="s">
        <v>124</v>
      </c>
      <c r="F1070" s="6" t="s">
        <v>85</v>
      </c>
      <c r="G1070" s="11">
        <v>46129.416666666664</v>
      </c>
      <c r="H1070" s="10" t="s">
        <v>1329</v>
      </c>
      <c r="I1070" s="6" t="s">
        <v>1330</v>
      </c>
      <c r="J1070" s="12">
        <v>46120.763206018521</v>
      </c>
      <c r="K1070" s="6" t="e" cm="1">
        <f t="array" ref="K1070">LOOKUP(2^15,SEARCH(Tabela2[Palavras-Chave],Boletim[[#This Row],[Objeto]],1),Tabela2[Palavras-Chave])</f>
        <v>#N/A</v>
      </c>
    </row>
    <row r="1071" spans="1:11" hidden="1" x14ac:dyDescent="0.3">
      <c r="A1071" s="5">
        <v>18803237</v>
      </c>
      <c r="B1071" s="6" t="s">
        <v>1331</v>
      </c>
      <c r="C1071" s="6" t="s">
        <v>1332</v>
      </c>
      <c r="D1071" s="8" t="s">
        <v>54</v>
      </c>
      <c r="E1071" s="6" t="s">
        <v>108</v>
      </c>
      <c r="F1071" s="6" t="s">
        <v>85</v>
      </c>
      <c r="G1071" s="11" t="s">
        <v>56</v>
      </c>
      <c r="H1071" s="10" t="s">
        <v>1333</v>
      </c>
      <c r="I1071" s="6" t="s">
        <v>1334</v>
      </c>
      <c r="J1071" s="12">
        <v>46120.815347222226</v>
      </c>
      <c r="K1071" s="6" t="e" cm="1">
        <f t="array" ref="K1071">LOOKUP(2^15,SEARCH(Tabela2[Palavras-Chave],Boletim[[#This Row],[Objeto]],1),Tabela2[Palavras-Chave])</f>
        <v>#N/A</v>
      </c>
    </row>
    <row r="1072" spans="1:11" hidden="1" x14ac:dyDescent="0.3">
      <c r="A1072" s="5">
        <v>18806142</v>
      </c>
      <c r="B1072" s="6" t="s">
        <v>354</v>
      </c>
      <c r="C1072" s="6" t="s">
        <v>355</v>
      </c>
      <c r="D1072" s="8" t="s">
        <v>54</v>
      </c>
      <c r="E1072" s="6" t="s">
        <v>155</v>
      </c>
      <c r="F1072" s="6" t="s">
        <v>85</v>
      </c>
      <c r="G1072" s="11" t="s">
        <v>56</v>
      </c>
      <c r="H1072" s="10" t="s">
        <v>1335</v>
      </c>
      <c r="I1072" s="6" t="s">
        <v>1336</v>
      </c>
      <c r="J1072" s="12">
        <v>46120.825729166667</v>
      </c>
      <c r="K1072" s="6" t="e" cm="1">
        <f t="array" ref="K1072">LOOKUP(2^15,SEARCH(Tabela2[Palavras-Chave],Boletim[[#This Row],[Objeto]],1),Tabela2[Palavras-Chave])</f>
        <v>#N/A</v>
      </c>
    </row>
    <row r="1073" spans="1:11" hidden="1" x14ac:dyDescent="0.3">
      <c r="A1073" s="5">
        <v>18806015</v>
      </c>
      <c r="B1073" s="6" t="s">
        <v>2969</v>
      </c>
      <c r="C1073" s="6" t="s">
        <v>2970</v>
      </c>
      <c r="D1073" s="8" t="s">
        <v>54</v>
      </c>
      <c r="E1073" s="6" t="s">
        <v>2971</v>
      </c>
      <c r="F1073" s="6" t="s">
        <v>85</v>
      </c>
      <c r="G1073" s="11" t="s">
        <v>56</v>
      </c>
      <c r="H1073" s="10" t="s">
        <v>2972</v>
      </c>
      <c r="I1073" s="6" t="s">
        <v>2973</v>
      </c>
      <c r="J1073" s="12">
        <v>46120.849236111113</v>
      </c>
      <c r="K1073" s="6" t="e" cm="1">
        <f t="array" ref="K1073">LOOKUP(2^15,SEARCH(Tabela2[Palavras-Chave],Boletim[[#This Row],[Objeto]],1),Tabela2[Palavras-Chave])</f>
        <v>#N/A</v>
      </c>
    </row>
    <row r="1074" spans="1:11" hidden="1" x14ac:dyDescent="0.3">
      <c r="A1074" s="5">
        <v>18793570</v>
      </c>
      <c r="B1074" s="6" t="s">
        <v>1337</v>
      </c>
      <c r="C1074" s="6" t="s">
        <v>1338</v>
      </c>
      <c r="D1074" s="8" t="s">
        <v>60</v>
      </c>
      <c r="E1074" s="6" t="s">
        <v>113</v>
      </c>
      <c r="F1074" s="6" t="s">
        <v>85</v>
      </c>
      <c r="G1074" s="11">
        <v>46134.375</v>
      </c>
      <c r="H1074" s="10" t="s">
        <v>1339</v>
      </c>
      <c r="I1074" s="6" t="s">
        <v>1340</v>
      </c>
      <c r="J1074" s="12">
        <v>46120.45076388889</v>
      </c>
      <c r="K1074" s="6" t="e" cm="1">
        <f t="array" ref="K1074">LOOKUP(2^15,SEARCH(Tabela2[Palavras-Chave],Boletim[[#This Row],[Objeto]],1),Tabela2[Palavras-Chave])</f>
        <v>#N/A</v>
      </c>
    </row>
    <row r="1075" spans="1:11" hidden="1" x14ac:dyDescent="0.3">
      <c r="A1075" s="5">
        <v>18802425</v>
      </c>
      <c r="B1075" s="6" t="s">
        <v>1341</v>
      </c>
      <c r="C1075" s="6" t="s">
        <v>1342</v>
      </c>
      <c r="D1075" s="8" t="s">
        <v>60</v>
      </c>
      <c r="E1075" s="6" t="s">
        <v>1343</v>
      </c>
      <c r="F1075" s="6" t="s">
        <v>85</v>
      </c>
      <c r="G1075" s="11">
        <v>46135.375</v>
      </c>
      <c r="H1075" s="10" t="s">
        <v>1344</v>
      </c>
      <c r="I1075" s="6" t="s">
        <v>1345</v>
      </c>
      <c r="J1075" s="12">
        <v>46120.505289351851</v>
      </c>
      <c r="K1075" s="6" t="e" cm="1">
        <f t="array" ref="K1075">LOOKUP(2^15,SEARCH(Tabela2[Palavras-Chave],Boletim[[#This Row],[Objeto]],1),Tabela2[Palavras-Chave])</f>
        <v>#N/A</v>
      </c>
    </row>
    <row r="1076" spans="1:11" hidden="1" x14ac:dyDescent="0.3">
      <c r="A1076" s="5">
        <v>18803538</v>
      </c>
      <c r="B1076" s="6" t="s">
        <v>1346</v>
      </c>
      <c r="C1076" s="6" t="s">
        <v>1347</v>
      </c>
      <c r="D1076" s="8" t="s">
        <v>60</v>
      </c>
      <c r="E1076" s="6" t="s">
        <v>1348</v>
      </c>
      <c r="F1076" s="6" t="s">
        <v>85</v>
      </c>
      <c r="G1076" s="11" t="s">
        <v>56</v>
      </c>
      <c r="H1076" s="10" t="s">
        <v>1349</v>
      </c>
      <c r="I1076" s="6" t="s">
        <v>1350</v>
      </c>
      <c r="J1076" s="12">
        <v>46120.585439814815</v>
      </c>
      <c r="K1076" s="6" t="e" cm="1">
        <f t="array" ref="K1076">LOOKUP(2^15,SEARCH(Tabela2[Palavras-Chave],Boletim[[#This Row],[Objeto]],1),Tabela2[Palavras-Chave])</f>
        <v>#N/A</v>
      </c>
    </row>
    <row r="1077" spans="1:11" hidden="1" x14ac:dyDescent="0.3">
      <c r="A1077" s="5">
        <v>18803493</v>
      </c>
      <c r="B1077" s="6" t="s">
        <v>151</v>
      </c>
      <c r="C1077" s="6" t="s">
        <v>59</v>
      </c>
      <c r="D1077" s="8" t="s">
        <v>60</v>
      </c>
      <c r="E1077" s="6" t="s">
        <v>1351</v>
      </c>
      <c r="F1077" s="6" t="s">
        <v>85</v>
      </c>
      <c r="G1077" s="11" t="s">
        <v>56</v>
      </c>
      <c r="H1077" s="10" t="s">
        <v>1352</v>
      </c>
      <c r="I1077" s="6" t="s">
        <v>1353</v>
      </c>
      <c r="J1077" s="12">
        <v>46120.662754629629</v>
      </c>
      <c r="K1077" s="6" t="e" cm="1">
        <f t="array" ref="K1077">LOOKUP(2^15,SEARCH(Tabela2[Palavras-Chave],Boletim[[#This Row],[Objeto]],1),Tabela2[Palavras-Chave])</f>
        <v>#N/A</v>
      </c>
    </row>
    <row r="1078" spans="1:11" hidden="1" x14ac:dyDescent="0.3">
      <c r="A1078" s="5">
        <v>18801775</v>
      </c>
      <c r="B1078" s="6" t="s">
        <v>1354</v>
      </c>
      <c r="C1078" s="6" t="s">
        <v>1355</v>
      </c>
      <c r="D1078" s="8" t="s">
        <v>60</v>
      </c>
      <c r="E1078" s="6" t="s">
        <v>1356</v>
      </c>
      <c r="F1078" s="6" t="s">
        <v>85</v>
      </c>
      <c r="G1078" s="11" t="s">
        <v>56</v>
      </c>
      <c r="H1078" s="10" t="s">
        <v>1357</v>
      </c>
      <c r="I1078" s="6" t="s">
        <v>1358</v>
      </c>
      <c r="J1078" s="12">
        <v>46120.70212962963</v>
      </c>
      <c r="K1078" s="6" t="e" cm="1">
        <f t="array" ref="K1078">LOOKUP(2^15,SEARCH(Tabela2[Palavras-Chave],Boletim[[#This Row],[Objeto]],1),Tabela2[Palavras-Chave])</f>
        <v>#N/A</v>
      </c>
    </row>
    <row r="1079" spans="1:11" hidden="1" x14ac:dyDescent="0.3">
      <c r="A1079" s="5">
        <v>18805208</v>
      </c>
      <c r="B1079" s="6" t="s">
        <v>1359</v>
      </c>
      <c r="C1079" s="6" t="s">
        <v>59</v>
      </c>
      <c r="D1079" s="8" t="s">
        <v>60</v>
      </c>
      <c r="E1079" s="6" t="s">
        <v>1360</v>
      </c>
      <c r="F1079" s="6" t="s">
        <v>85</v>
      </c>
      <c r="G1079" s="11" t="s">
        <v>56</v>
      </c>
      <c r="H1079" s="10" t="s">
        <v>1361</v>
      </c>
      <c r="I1079" s="6" t="s">
        <v>1362</v>
      </c>
      <c r="J1079" s="12">
        <v>46120.711863425924</v>
      </c>
      <c r="K1079" s="6" t="e" cm="1">
        <f t="array" ref="K1079">LOOKUP(2^15,SEARCH(Tabela2[Palavras-Chave],Boletim[[#This Row],[Objeto]],1),Tabela2[Palavras-Chave])</f>
        <v>#N/A</v>
      </c>
    </row>
    <row r="1080" spans="1:11" hidden="1" x14ac:dyDescent="0.3">
      <c r="A1080" s="5">
        <v>18806079</v>
      </c>
      <c r="B1080" s="6" t="s">
        <v>1363</v>
      </c>
      <c r="C1080" s="6" t="s">
        <v>320</v>
      </c>
      <c r="D1080" s="8" t="s">
        <v>60</v>
      </c>
      <c r="E1080" s="6" t="s">
        <v>1364</v>
      </c>
      <c r="F1080" s="6" t="s">
        <v>85</v>
      </c>
      <c r="G1080" s="11" t="s">
        <v>56</v>
      </c>
      <c r="H1080" s="10" t="s">
        <v>1365</v>
      </c>
      <c r="I1080" s="6" t="s">
        <v>1366</v>
      </c>
      <c r="J1080" s="12">
        <v>46120.831122685187</v>
      </c>
      <c r="K1080" s="6" t="e" cm="1">
        <f t="array" ref="K1080">LOOKUP(2^15,SEARCH(Tabela2[Palavras-Chave],Boletim[[#This Row],[Objeto]],1),Tabela2[Palavras-Chave])</f>
        <v>#N/A</v>
      </c>
    </row>
    <row r="1081" spans="1:11" hidden="1" x14ac:dyDescent="0.3">
      <c r="A1081" s="5">
        <v>18806315</v>
      </c>
      <c r="B1081" s="6" t="s">
        <v>1367</v>
      </c>
      <c r="C1081" s="6" t="s">
        <v>1368</v>
      </c>
      <c r="D1081" s="8" t="s">
        <v>60</v>
      </c>
      <c r="E1081" s="6" t="s">
        <v>1369</v>
      </c>
      <c r="F1081" s="6" t="s">
        <v>85</v>
      </c>
      <c r="G1081" s="11">
        <v>46135.354166666664</v>
      </c>
      <c r="H1081" s="10" t="s">
        <v>1370</v>
      </c>
      <c r="I1081" s="6" t="s">
        <v>1192</v>
      </c>
      <c r="J1081" s="12">
        <v>46120.8437962963</v>
      </c>
      <c r="K1081" s="6" t="e" cm="1">
        <f t="array" ref="K1081">LOOKUP(2^15,SEARCH(Tabela2[Palavras-Chave],Boletim[[#This Row],[Objeto]],1),Tabela2[Palavras-Chave])</f>
        <v>#N/A</v>
      </c>
    </row>
    <row r="1082" spans="1:11" hidden="1" x14ac:dyDescent="0.3">
      <c r="A1082" s="5">
        <v>18804345</v>
      </c>
      <c r="B1082" s="6" t="s">
        <v>2974</v>
      </c>
      <c r="C1082" s="6" t="s">
        <v>2975</v>
      </c>
      <c r="D1082" s="8" t="s">
        <v>60</v>
      </c>
      <c r="E1082" s="6" t="s">
        <v>127</v>
      </c>
      <c r="F1082" s="6" t="s">
        <v>85</v>
      </c>
      <c r="G1082" s="11" t="s">
        <v>56</v>
      </c>
      <c r="H1082" s="10" t="s">
        <v>2976</v>
      </c>
      <c r="I1082" s="6" t="s">
        <v>2977</v>
      </c>
      <c r="J1082" s="12">
        <v>46120.878831018519</v>
      </c>
      <c r="K1082" s="6" t="e" cm="1">
        <f t="array" ref="K1082">LOOKUP(2^15,SEARCH(Tabela2[Palavras-Chave],Boletim[[#This Row],[Objeto]],1),Tabela2[Palavras-Chave])</f>
        <v>#N/A</v>
      </c>
    </row>
    <row r="1083" spans="1:11" hidden="1" x14ac:dyDescent="0.3">
      <c r="A1083" s="5">
        <v>18802609</v>
      </c>
      <c r="B1083" s="6" t="s">
        <v>1371</v>
      </c>
      <c r="C1083" s="6" t="s">
        <v>61</v>
      </c>
      <c r="D1083" s="8" t="s">
        <v>62</v>
      </c>
      <c r="E1083" s="6" t="s">
        <v>286</v>
      </c>
      <c r="F1083" s="6" t="s">
        <v>85</v>
      </c>
      <c r="G1083" s="11" t="s">
        <v>56</v>
      </c>
      <c r="H1083" s="10" t="s">
        <v>1372</v>
      </c>
      <c r="I1083" s="6" t="s">
        <v>1373</v>
      </c>
      <c r="J1083" s="12">
        <v>46120.556712962964</v>
      </c>
      <c r="K1083" s="6" t="e" cm="1">
        <f t="array" ref="K1083">LOOKUP(2^15,SEARCH(Tabela2[Palavras-Chave],Boletim[[#This Row],[Objeto]],1),Tabela2[Palavras-Chave])</f>
        <v>#N/A</v>
      </c>
    </row>
    <row r="1084" spans="1:11" hidden="1" x14ac:dyDescent="0.3">
      <c r="A1084" s="5">
        <v>18802599</v>
      </c>
      <c r="B1084" s="6" t="s">
        <v>1374</v>
      </c>
      <c r="C1084" s="6" t="s">
        <v>61</v>
      </c>
      <c r="D1084" s="8" t="s">
        <v>62</v>
      </c>
      <c r="E1084" s="6" t="s">
        <v>1375</v>
      </c>
      <c r="F1084" s="6" t="s">
        <v>85</v>
      </c>
      <c r="G1084" s="11" t="s">
        <v>56</v>
      </c>
      <c r="H1084" s="10" t="s">
        <v>1376</v>
      </c>
      <c r="I1084" s="6" t="s">
        <v>1377</v>
      </c>
      <c r="J1084" s="12">
        <v>46120.60837962963</v>
      </c>
      <c r="K1084" s="6" t="e" cm="1">
        <f t="array" ref="K1084">LOOKUP(2^15,SEARCH(Tabela2[Palavras-Chave],Boletim[[#This Row],[Objeto]],1),Tabela2[Palavras-Chave])</f>
        <v>#N/A</v>
      </c>
    </row>
    <row r="1085" spans="1:11" hidden="1" x14ac:dyDescent="0.3">
      <c r="A1085" s="5">
        <v>18802603</v>
      </c>
      <c r="B1085" s="6" t="s">
        <v>1378</v>
      </c>
      <c r="C1085" s="6" t="s">
        <v>61</v>
      </c>
      <c r="D1085" s="8" t="s">
        <v>62</v>
      </c>
      <c r="E1085" s="6" t="s">
        <v>1379</v>
      </c>
      <c r="F1085" s="6" t="s">
        <v>85</v>
      </c>
      <c r="G1085" s="11" t="s">
        <v>56</v>
      </c>
      <c r="H1085" s="10" t="s">
        <v>1380</v>
      </c>
      <c r="I1085" s="6" t="s">
        <v>1381</v>
      </c>
      <c r="J1085" s="12">
        <v>46120.772303240738</v>
      </c>
      <c r="K1085" s="6" t="e" cm="1">
        <f t="array" ref="K1085">LOOKUP(2^15,SEARCH(Tabela2[Palavras-Chave],Boletim[[#This Row],[Objeto]],1),Tabela2[Palavras-Chave])</f>
        <v>#N/A</v>
      </c>
    </row>
    <row r="1086" spans="1:11" hidden="1" x14ac:dyDescent="0.3">
      <c r="A1086" s="5">
        <v>18805717</v>
      </c>
      <c r="B1086" s="6" t="s">
        <v>302</v>
      </c>
      <c r="C1086" s="6" t="s">
        <v>61</v>
      </c>
      <c r="D1086" s="8" t="s">
        <v>62</v>
      </c>
      <c r="E1086" s="6" t="s">
        <v>2978</v>
      </c>
      <c r="F1086" s="6" t="s">
        <v>85</v>
      </c>
      <c r="G1086" s="11" t="s">
        <v>56</v>
      </c>
      <c r="H1086" s="10" t="s">
        <v>2979</v>
      </c>
      <c r="I1086" s="6" t="s">
        <v>2980</v>
      </c>
      <c r="J1086" s="12">
        <v>46120.779027777775</v>
      </c>
      <c r="K1086" s="6" t="e" cm="1">
        <f t="array" ref="K1086">LOOKUP(2^15,SEARCH(Tabela2[Palavras-Chave],Boletim[[#This Row],[Objeto]],1),Tabela2[Palavras-Chave])</f>
        <v>#N/A</v>
      </c>
    </row>
    <row r="1087" spans="1:11" hidden="1" x14ac:dyDescent="0.3">
      <c r="A1087" s="5">
        <v>18804292</v>
      </c>
      <c r="B1087" s="6" t="s">
        <v>1382</v>
      </c>
      <c r="C1087" s="6" t="s">
        <v>61</v>
      </c>
      <c r="D1087" s="8" t="s">
        <v>62</v>
      </c>
      <c r="E1087" s="6" t="s">
        <v>387</v>
      </c>
      <c r="F1087" s="6" t="s">
        <v>85</v>
      </c>
      <c r="G1087" s="11">
        <v>46139.374305555553</v>
      </c>
      <c r="H1087" s="10" t="s">
        <v>1383</v>
      </c>
      <c r="I1087" s="6" t="s">
        <v>1384</v>
      </c>
      <c r="J1087" s="12">
        <v>46120.878645833334</v>
      </c>
      <c r="K1087" s="6" t="e" cm="1">
        <f t="array" ref="K1087">LOOKUP(2^15,SEARCH(Tabela2[Palavras-Chave],Boletim[[#This Row],[Objeto]],1),Tabela2[Palavras-Chave])</f>
        <v>#N/A</v>
      </c>
    </row>
    <row r="1088" spans="1:11" hidden="1" x14ac:dyDescent="0.3">
      <c r="A1088" s="5">
        <v>18791290</v>
      </c>
      <c r="B1088" s="6" t="s">
        <v>1385</v>
      </c>
      <c r="C1088" s="6" t="s">
        <v>1386</v>
      </c>
      <c r="D1088" s="8" t="s">
        <v>63</v>
      </c>
      <c r="E1088" s="6" t="s">
        <v>124</v>
      </c>
      <c r="F1088" s="6" t="s">
        <v>85</v>
      </c>
      <c r="G1088" s="11">
        <v>46134.540972222225</v>
      </c>
      <c r="H1088" s="10" t="s">
        <v>1387</v>
      </c>
      <c r="I1088" s="6" t="s">
        <v>1388</v>
      </c>
      <c r="J1088" s="12">
        <v>46120.389641203707</v>
      </c>
      <c r="K1088" s="6" t="e" cm="1">
        <f t="array" ref="K1088">LOOKUP(2^15,SEARCH(Tabela2[Palavras-Chave],Boletim[[#This Row],[Objeto]],1),Tabela2[Palavras-Chave])</f>
        <v>#N/A</v>
      </c>
    </row>
    <row r="1089" spans="1:11" hidden="1" x14ac:dyDescent="0.3">
      <c r="A1089" s="5">
        <v>18802244</v>
      </c>
      <c r="B1089" s="6" t="s">
        <v>74</v>
      </c>
      <c r="C1089" s="6" t="s">
        <v>88</v>
      </c>
      <c r="D1089" s="8" t="s">
        <v>63</v>
      </c>
      <c r="E1089" s="6" t="s">
        <v>2981</v>
      </c>
      <c r="F1089" s="6" t="s">
        <v>85</v>
      </c>
      <c r="G1089" s="11" t="s">
        <v>56</v>
      </c>
      <c r="H1089" s="10" t="s">
        <v>2982</v>
      </c>
      <c r="I1089" s="6" t="s">
        <v>2983</v>
      </c>
      <c r="J1089" s="12">
        <v>46120.468124999999</v>
      </c>
      <c r="K1089" s="6" t="e" cm="1">
        <f t="array" ref="K1089">LOOKUP(2^15,SEARCH(Tabela2[Palavras-Chave],Boletim[[#This Row],[Objeto]],1),Tabela2[Palavras-Chave])</f>
        <v>#N/A</v>
      </c>
    </row>
    <row r="1090" spans="1:11" hidden="1" x14ac:dyDescent="0.3">
      <c r="A1090" s="5">
        <v>18802038</v>
      </c>
      <c r="B1090" s="6" t="s">
        <v>1389</v>
      </c>
      <c r="C1090" s="6" t="s">
        <v>1390</v>
      </c>
      <c r="D1090" s="8" t="s">
        <v>63</v>
      </c>
      <c r="E1090" s="6" t="s">
        <v>1391</v>
      </c>
      <c r="F1090" s="6" t="s">
        <v>85</v>
      </c>
      <c r="G1090" s="11">
        <v>46126.333333333336</v>
      </c>
      <c r="H1090" s="10" t="s">
        <v>1392</v>
      </c>
      <c r="I1090" s="6" t="s">
        <v>1393</v>
      </c>
      <c r="J1090" s="12">
        <v>46120.516840277778</v>
      </c>
      <c r="K1090" s="6" t="e" cm="1">
        <f t="array" ref="K1090">LOOKUP(2^15,SEARCH(Tabela2[Palavras-Chave],Boletim[[#This Row],[Objeto]],1),Tabela2[Palavras-Chave])</f>
        <v>#N/A</v>
      </c>
    </row>
    <row r="1091" spans="1:11" hidden="1" x14ac:dyDescent="0.3">
      <c r="A1091" s="5">
        <v>18802524</v>
      </c>
      <c r="B1091" s="6" t="s">
        <v>2984</v>
      </c>
      <c r="C1091" s="6" t="s">
        <v>88</v>
      </c>
      <c r="D1091" s="8" t="s">
        <v>63</v>
      </c>
      <c r="E1091" s="6" t="s">
        <v>274</v>
      </c>
      <c r="F1091" s="6" t="s">
        <v>85</v>
      </c>
      <c r="G1091" s="11">
        <v>46127.583333333336</v>
      </c>
      <c r="H1091" s="10" t="s">
        <v>2985</v>
      </c>
      <c r="I1091" s="6" t="s">
        <v>2986</v>
      </c>
      <c r="J1091" s="12">
        <v>46120.521793981483</v>
      </c>
      <c r="K1091" s="6" t="e" cm="1">
        <f t="array" ref="K1091">LOOKUP(2^15,SEARCH(Tabela2[Palavras-Chave],Boletim[[#This Row],[Objeto]],1),Tabela2[Palavras-Chave])</f>
        <v>#N/A</v>
      </c>
    </row>
    <row r="1092" spans="1:11" hidden="1" x14ac:dyDescent="0.3">
      <c r="A1092" s="5">
        <v>18802231</v>
      </c>
      <c r="B1092" s="6" t="s">
        <v>74</v>
      </c>
      <c r="C1092" s="6" t="s">
        <v>88</v>
      </c>
      <c r="D1092" s="8" t="s">
        <v>63</v>
      </c>
      <c r="E1092" s="6" t="s">
        <v>1394</v>
      </c>
      <c r="F1092" s="6" t="s">
        <v>85</v>
      </c>
      <c r="G1092" s="11" t="s">
        <v>56</v>
      </c>
      <c r="H1092" s="10" t="s">
        <v>1395</v>
      </c>
      <c r="I1092" s="6" t="s">
        <v>1396</v>
      </c>
      <c r="J1092" s="12">
        <v>46120.529224537036</v>
      </c>
      <c r="K1092" s="6" t="e" cm="1">
        <f t="array" ref="K1092">LOOKUP(2^15,SEARCH(Tabela2[Palavras-Chave],Boletim[[#This Row],[Objeto]],1),Tabela2[Palavras-Chave])</f>
        <v>#N/A</v>
      </c>
    </row>
    <row r="1093" spans="1:11" hidden="1" x14ac:dyDescent="0.3">
      <c r="A1093" s="5">
        <v>18803760</v>
      </c>
      <c r="B1093" s="6" t="s">
        <v>2987</v>
      </c>
      <c r="C1093" s="6" t="s">
        <v>2988</v>
      </c>
      <c r="D1093" s="8" t="s">
        <v>63</v>
      </c>
      <c r="E1093" s="6" t="s">
        <v>2989</v>
      </c>
      <c r="F1093" s="6" t="s">
        <v>85</v>
      </c>
      <c r="G1093" s="11">
        <v>46136.354166666664</v>
      </c>
      <c r="H1093" s="10" t="s">
        <v>2990</v>
      </c>
      <c r="I1093" s="6" t="s">
        <v>2991</v>
      </c>
      <c r="J1093" s="12">
        <v>46120.588692129626</v>
      </c>
      <c r="K1093" s="6" t="e" cm="1">
        <f t="array" ref="K1093">LOOKUP(2^15,SEARCH(Tabela2[Palavras-Chave],Boletim[[#This Row],[Objeto]],1),Tabela2[Palavras-Chave])</f>
        <v>#N/A</v>
      </c>
    </row>
    <row r="1094" spans="1:11" hidden="1" x14ac:dyDescent="0.3">
      <c r="A1094" s="5">
        <v>18803896</v>
      </c>
      <c r="B1094" s="6" t="s">
        <v>1397</v>
      </c>
      <c r="C1094" s="6" t="s">
        <v>1398</v>
      </c>
      <c r="D1094" s="8" t="s">
        <v>63</v>
      </c>
      <c r="E1094" s="6" t="s">
        <v>125</v>
      </c>
      <c r="F1094" s="6" t="s">
        <v>85</v>
      </c>
      <c r="G1094" s="11" t="s">
        <v>56</v>
      </c>
      <c r="H1094" s="10" t="s">
        <v>1399</v>
      </c>
      <c r="I1094" s="6" t="s">
        <v>1400</v>
      </c>
      <c r="J1094" s="12">
        <v>46120.672731481478</v>
      </c>
      <c r="K1094" s="6" t="e" cm="1">
        <f t="array" ref="K1094">LOOKUP(2^15,SEARCH(Tabela2[Palavras-Chave],Boletim[[#This Row],[Objeto]],1),Tabela2[Palavras-Chave])</f>
        <v>#N/A</v>
      </c>
    </row>
    <row r="1095" spans="1:11" hidden="1" x14ac:dyDescent="0.3">
      <c r="A1095" s="5">
        <v>18805212</v>
      </c>
      <c r="B1095" s="6" t="s">
        <v>1401</v>
      </c>
      <c r="C1095" s="6" t="s">
        <v>1398</v>
      </c>
      <c r="D1095" s="8" t="s">
        <v>63</v>
      </c>
      <c r="E1095" s="6" t="s">
        <v>1402</v>
      </c>
      <c r="F1095" s="6" t="s">
        <v>85</v>
      </c>
      <c r="G1095" s="11" t="s">
        <v>56</v>
      </c>
      <c r="H1095" s="10" t="s">
        <v>1403</v>
      </c>
      <c r="I1095" s="6" t="s">
        <v>1404</v>
      </c>
      <c r="J1095" s="12">
        <v>46120.721574074072</v>
      </c>
      <c r="K1095" s="6" t="e" cm="1">
        <f t="array" ref="K1095">LOOKUP(2^15,SEARCH(Tabela2[Palavras-Chave],Boletim[[#This Row],[Objeto]],1),Tabela2[Palavras-Chave])</f>
        <v>#N/A</v>
      </c>
    </row>
    <row r="1096" spans="1:11" hidden="1" x14ac:dyDescent="0.3">
      <c r="A1096" s="5">
        <v>18805211</v>
      </c>
      <c r="B1096" s="6" t="s">
        <v>357</v>
      </c>
      <c r="C1096" s="6" t="s">
        <v>358</v>
      </c>
      <c r="D1096" s="8" t="s">
        <v>63</v>
      </c>
      <c r="E1096" s="6" t="s">
        <v>1402</v>
      </c>
      <c r="F1096" s="6" t="s">
        <v>85</v>
      </c>
      <c r="G1096" s="11" t="s">
        <v>56</v>
      </c>
      <c r="H1096" s="10" t="s">
        <v>1405</v>
      </c>
      <c r="I1096" s="6" t="s">
        <v>1406</v>
      </c>
      <c r="J1096" s="12">
        <v>46120.711863425924</v>
      </c>
      <c r="K1096" s="6" t="e" cm="1">
        <f t="array" ref="K1096">LOOKUP(2^15,SEARCH(Tabela2[Palavras-Chave],Boletim[[#This Row],[Objeto]],1),Tabela2[Palavras-Chave])</f>
        <v>#N/A</v>
      </c>
    </row>
    <row r="1097" spans="1:11" hidden="1" x14ac:dyDescent="0.3">
      <c r="A1097" s="5">
        <v>18804743</v>
      </c>
      <c r="B1097" s="6" t="s">
        <v>1407</v>
      </c>
      <c r="C1097" s="6" t="s">
        <v>1408</v>
      </c>
      <c r="D1097" s="8" t="s">
        <v>63</v>
      </c>
      <c r="E1097" s="6" t="s">
        <v>128</v>
      </c>
      <c r="F1097" s="6" t="s">
        <v>85</v>
      </c>
      <c r="G1097" s="11">
        <v>46136.375</v>
      </c>
      <c r="H1097" s="10" t="s">
        <v>1409</v>
      </c>
      <c r="I1097" s="6" t="s">
        <v>1410</v>
      </c>
      <c r="J1097" s="12">
        <v>46120.733969907407</v>
      </c>
      <c r="K1097" s="6" t="e" cm="1">
        <f t="array" ref="K1097">LOOKUP(2^15,SEARCH(Tabela2[Palavras-Chave],Boletim[[#This Row],[Objeto]],1),Tabela2[Palavras-Chave])</f>
        <v>#N/A</v>
      </c>
    </row>
    <row r="1098" spans="1:11" hidden="1" x14ac:dyDescent="0.3">
      <c r="A1098" s="5">
        <v>18805216</v>
      </c>
      <c r="B1098" s="6" t="s">
        <v>1411</v>
      </c>
      <c r="C1098" s="6" t="s">
        <v>1412</v>
      </c>
      <c r="D1098" s="8" t="s">
        <v>63</v>
      </c>
      <c r="E1098" s="6" t="s">
        <v>377</v>
      </c>
      <c r="F1098" s="6" t="s">
        <v>85</v>
      </c>
      <c r="G1098" s="11" t="s">
        <v>56</v>
      </c>
      <c r="H1098" s="10" t="s">
        <v>1413</v>
      </c>
      <c r="I1098" s="6" t="s">
        <v>1414</v>
      </c>
      <c r="J1098" s="12">
        <v>46120.742303240739</v>
      </c>
      <c r="K1098" s="6" t="e" cm="1">
        <f t="array" ref="K1098">LOOKUP(2^15,SEARCH(Tabela2[Palavras-Chave],Boletim[[#This Row],[Objeto]],1),Tabela2[Palavras-Chave])</f>
        <v>#N/A</v>
      </c>
    </row>
    <row r="1099" spans="1:11" hidden="1" x14ac:dyDescent="0.3">
      <c r="A1099" s="5">
        <v>18803472</v>
      </c>
      <c r="B1099" s="6" t="s">
        <v>1415</v>
      </c>
      <c r="C1099" s="6" t="s">
        <v>1416</v>
      </c>
      <c r="D1099" s="8" t="s">
        <v>63</v>
      </c>
      <c r="E1099" s="6" t="s">
        <v>121</v>
      </c>
      <c r="F1099" s="6" t="s">
        <v>85</v>
      </c>
      <c r="G1099" s="11" t="s">
        <v>56</v>
      </c>
      <c r="H1099" s="10" t="s">
        <v>1417</v>
      </c>
      <c r="I1099" s="6" t="s">
        <v>1418</v>
      </c>
      <c r="J1099" s="12">
        <v>46120.75440972222</v>
      </c>
      <c r="K1099" s="6" t="e" cm="1">
        <f t="array" ref="K1099">LOOKUP(2^15,SEARCH(Tabela2[Palavras-Chave],Boletim[[#This Row],[Objeto]],1),Tabela2[Palavras-Chave])</f>
        <v>#N/A</v>
      </c>
    </row>
    <row r="1100" spans="1:11" hidden="1" x14ac:dyDescent="0.3">
      <c r="A1100" s="5">
        <v>18803470</v>
      </c>
      <c r="B1100" s="6" t="s">
        <v>1401</v>
      </c>
      <c r="C1100" s="6" t="s">
        <v>1398</v>
      </c>
      <c r="D1100" s="8" t="s">
        <v>63</v>
      </c>
      <c r="E1100" s="6" t="s">
        <v>1222</v>
      </c>
      <c r="F1100" s="6" t="s">
        <v>85</v>
      </c>
      <c r="G1100" s="11" t="s">
        <v>56</v>
      </c>
      <c r="H1100" s="10" t="s">
        <v>2992</v>
      </c>
      <c r="I1100" s="6" t="s">
        <v>2993</v>
      </c>
      <c r="J1100" s="12">
        <v>46120.853587962964</v>
      </c>
      <c r="K1100" s="6" t="e" cm="1">
        <f t="array" ref="K1100">LOOKUP(2^15,SEARCH(Tabela2[Palavras-Chave],Boletim[[#This Row],[Objeto]],1),Tabela2[Palavras-Chave])</f>
        <v>#N/A</v>
      </c>
    </row>
    <row r="1101" spans="1:11" hidden="1" x14ac:dyDescent="0.3">
      <c r="A1101" s="5">
        <v>18798049</v>
      </c>
      <c r="B1101" s="6" t="s">
        <v>452</v>
      </c>
      <c r="C1101" s="6" t="s">
        <v>101</v>
      </c>
      <c r="D1101" s="8" t="s">
        <v>64</v>
      </c>
      <c r="E1101" s="6" t="s">
        <v>1419</v>
      </c>
      <c r="F1101" s="6" t="s">
        <v>85</v>
      </c>
      <c r="G1101" s="11">
        <v>46127.395833333336</v>
      </c>
      <c r="H1101" s="10" t="s">
        <v>1420</v>
      </c>
      <c r="I1101" s="6" t="s">
        <v>1421</v>
      </c>
      <c r="J1101" s="12">
        <v>46120.215474537035</v>
      </c>
      <c r="K1101" s="6" t="e" cm="1">
        <f t="array" ref="K1101">LOOKUP(2^15,SEARCH(Tabela2[Palavras-Chave],Boletim[[#This Row],[Objeto]],1),Tabela2[Palavras-Chave])</f>
        <v>#N/A</v>
      </c>
    </row>
    <row r="1102" spans="1:11" hidden="1" x14ac:dyDescent="0.3">
      <c r="A1102" s="5">
        <v>18801441</v>
      </c>
      <c r="B1102" s="6" t="s">
        <v>1422</v>
      </c>
      <c r="C1102" s="6" t="s">
        <v>1423</v>
      </c>
      <c r="D1102" s="8" t="s">
        <v>64</v>
      </c>
      <c r="E1102" s="6" t="s">
        <v>106</v>
      </c>
      <c r="F1102" s="6" t="s">
        <v>85</v>
      </c>
      <c r="G1102" s="11" t="s">
        <v>56</v>
      </c>
      <c r="H1102" s="10" t="s">
        <v>1424</v>
      </c>
      <c r="I1102" s="6" t="s">
        <v>1425</v>
      </c>
      <c r="J1102" s="12">
        <v>46120.457175925927</v>
      </c>
      <c r="K1102" s="6" t="e" cm="1">
        <f t="array" ref="K1102">LOOKUP(2^15,SEARCH(Tabela2[Palavras-Chave],Boletim[[#This Row],[Objeto]],1),Tabela2[Palavras-Chave])</f>
        <v>#N/A</v>
      </c>
    </row>
    <row r="1103" spans="1:11" hidden="1" x14ac:dyDescent="0.3">
      <c r="A1103" s="5">
        <v>18801686</v>
      </c>
      <c r="B1103" s="6" t="s">
        <v>1426</v>
      </c>
      <c r="C1103" s="6" t="s">
        <v>1427</v>
      </c>
      <c r="D1103" s="8" t="s">
        <v>64</v>
      </c>
      <c r="E1103" s="6" t="s">
        <v>134</v>
      </c>
      <c r="F1103" s="6" t="s">
        <v>85</v>
      </c>
      <c r="G1103" s="11" t="s">
        <v>56</v>
      </c>
      <c r="H1103" s="10" t="s">
        <v>1428</v>
      </c>
      <c r="I1103" s="6" t="s">
        <v>1429</v>
      </c>
      <c r="J1103" s="12">
        <v>46120.501469907409</v>
      </c>
      <c r="K1103" s="6" t="e" cm="1">
        <f t="array" ref="K1103">LOOKUP(2^15,SEARCH(Tabela2[Palavras-Chave],Boletim[[#This Row],[Objeto]],1),Tabela2[Palavras-Chave])</f>
        <v>#N/A</v>
      </c>
    </row>
    <row r="1104" spans="1:11" hidden="1" x14ac:dyDescent="0.3">
      <c r="A1104" s="5">
        <v>18801691</v>
      </c>
      <c r="B1104" s="6" t="s">
        <v>327</v>
      </c>
      <c r="C1104" s="6" t="s">
        <v>326</v>
      </c>
      <c r="D1104" s="8" t="s">
        <v>64</v>
      </c>
      <c r="E1104" s="6" t="s">
        <v>165</v>
      </c>
      <c r="F1104" s="6" t="s">
        <v>85</v>
      </c>
      <c r="G1104" s="11" t="s">
        <v>56</v>
      </c>
      <c r="H1104" s="10" t="s">
        <v>1430</v>
      </c>
      <c r="I1104" s="6" t="s">
        <v>1431</v>
      </c>
      <c r="J1104" s="12">
        <v>46120.52134259259</v>
      </c>
      <c r="K1104" s="6" t="e" cm="1">
        <f t="array" ref="K1104">LOOKUP(2^15,SEARCH(Tabela2[Palavras-Chave],Boletim[[#This Row],[Objeto]],1),Tabela2[Palavras-Chave])</f>
        <v>#N/A</v>
      </c>
    </row>
    <row r="1105" spans="1:11" hidden="1" x14ac:dyDescent="0.3">
      <c r="A1105" s="5">
        <v>18801587</v>
      </c>
      <c r="B1105" s="6" t="s">
        <v>1432</v>
      </c>
      <c r="C1105" s="6" t="s">
        <v>1433</v>
      </c>
      <c r="D1105" s="8" t="s">
        <v>64</v>
      </c>
      <c r="E1105" s="6" t="s">
        <v>124</v>
      </c>
      <c r="F1105" s="6" t="s">
        <v>85</v>
      </c>
      <c r="G1105" s="11" t="s">
        <v>56</v>
      </c>
      <c r="H1105" s="10" t="s">
        <v>1434</v>
      </c>
      <c r="I1105" s="6" t="s">
        <v>1435</v>
      </c>
      <c r="J1105" s="12">
        <v>46120.531122685185</v>
      </c>
      <c r="K1105" s="6" t="e" cm="1">
        <f t="array" ref="K1105">LOOKUP(2^15,SEARCH(Tabela2[Palavras-Chave],Boletim[[#This Row],[Objeto]],1),Tabela2[Palavras-Chave])</f>
        <v>#N/A</v>
      </c>
    </row>
    <row r="1106" spans="1:11" hidden="1" x14ac:dyDescent="0.3">
      <c r="A1106" s="5">
        <v>18803163</v>
      </c>
      <c r="B1106" s="6" t="s">
        <v>1436</v>
      </c>
      <c r="C1106" s="6" t="s">
        <v>1437</v>
      </c>
      <c r="D1106" s="8" t="s">
        <v>64</v>
      </c>
      <c r="E1106" s="6" t="s">
        <v>113</v>
      </c>
      <c r="F1106" s="6" t="s">
        <v>85</v>
      </c>
      <c r="G1106" s="11" t="s">
        <v>56</v>
      </c>
      <c r="H1106" s="10" t="s">
        <v>1438</v>
      </c>
      <c r="I1106" s="6" t="s">
        <v>1439</v>
      </c>
      <c r="J1106" s="12">
        <v>46120.532187500001</v>
      </c>
      <c r="K1106" s="6" t="e" cm="1">
        <f t="array" ref="K1106">LOOKUP(2^15,SEARCH(Tabela2[Palavras-Chave],Boletim[[#This Row],[Objeto]],1),Tabela2[Palavras-Chave])</f>
        <v>#N/A</v>
      </c>
    </row>
    <row r="1107" spans="1:11" hidden="1" x14ac:dyDescent="0.3">
      <c r="A1107" s="5">
        <v>18801215</v>
      </c>
      <c r="B1107" s="6" t="s">
        <v>175</v>
      </c>
      <c r="C1107" s="6" t="s">
        <v>101</v>
      </c>
      <c r="D1107" s="8" t="s">
        <v>64</v>
      </c>
      <c r="E1107" s="6" t="s">
        <v>106</v>
      </c>
      <c r="F1107" s="6" t="s">
        <v>85</v>
      </c>
      <c r="G1107" s="11">
        <v>46134.375</v>
      </c>
      <c r="H1107" s="10" t="s">
        <v>1440</v>
      </c>
      <c r="I1107" s="6" t="s">
        <v>1441</v>
      </c>
      <c r="J1107" s="12">
        <v>46120.540601851855</v>
      </c>
      <c r="K1107" s="6" t="e" cm="1">
        <f t="array" ref="K1107">LOOKUP(2^15,SEARCH(Tabela2[Palavras-Chave],Boletim[[#This Row],[Objeto]],1),Tabela2[Palavras-Chave])</f>
        <v>#N/A</v>
      </c>
    </row>
    <row r="1108" spans="1:11" hidden="1" x14ac:dyDescent="0.3">
      <c r="A1108" s="5">
        <v>18802639</v>
      </c>
      <c r="B1108" s="6" t="s">
        <v>1442</v>
      </c>
      <c r="C1108" s="6" t="s">
        <v>213</v>
      </c>
      <c r="D1108" s="8" t="s">
        <v>64</v>
      </c>
      <c r="E1108" s="6" t="s">
        <v>184</v>
      </c>
      <c r="F1108" s="6" t="s">
        <v>85</v>
      </c>
      <c r="G1108" s="11" t="s">
        <v>56</v>
      </c>
      <c r="H1108" s="10" t="s">
        <v>1443</v>
      </c>
      <c r="I1108" s="6" t="s">
        <v>1444</v>
      </c>
      <c r="J1108" s="12">
        <v>46120.60224537037</v>
      </c>
      <c r="K1108" s="6" t="e" cm="1">
        <f t="array" ref="K1108">LOOKUP(2^15,SEARCH(Tabela2[Palavras-Chave],Boletim[[#This Row],[Objeto]],1),Tabela2[Palavras-Chave])</f>
        <v>#N/A</v>
      </c>
    </row>
    <row r="1109" spans="1:11" hidden="1" x14ac:dyDescent="0.3">
      <c r="A1109" s="5">
        <v>18804238</v>
      </c>
      <c r="B1109" s="6" t="s">
        <v>1445</v>
      </c>
      <c r="C1109" s="6" t="s">
        <v>1446</v>
      </c>
      <c r="D1109" s="8" t="s">
        <v>64</v>
      </c>
      <c r="E1109" s="6" t="s">
        <v>126</v>
      </c>
      <c r="F1109" s="6" t="s">
        <v>85</v>
      </c>
      <c r="G1109" s="11" t="s">
        <v>56</v>
      </c>
      <c r="H1109" s="10" t="s">
        <v>1447</v>
      </c>
      <c r="I1109" s="6" t="s">
        <v>1448</v>
      </c>
      <c r="J1109" s="12">
        <v>46120.621863425928</v>
      </c>
      <c r="K1109" s="6" t="e" cm="1">
        <f t="array" ref="K1109">LOOKUP(2^15,SEARCH(Tabela2[Palavras-Chave],Boletim[[#This Row],[Objeto]],1),Tabela2[Palavras-Chave])</f>
        <v>#N/A</v>
      </c>
    </row>
    <row r="1110" spans="1:11" hidden="1" x14ac:dyDescent="0.3">
      <c r="A1110" s="5">
        <v>18803446</v>
      </c>
      <c r="B1110" s="6" t="s">
        <v>2994</v>
      </c>
      <c r="C1110" s="6" t="s">
        <v>2995</v>
      </c>
      <c r="D1110" s="8" t="s">
        <v>64</v>
      </c>
      <c r="E1110" s="6" t="s">
        <v>143</v>
      </c>
      <c r="F1110" s="6" t="s">
        <v>85</v>
      </c>
      <c r="G1110" s="11">
        <v>46134.375</v>
      </c>
      <c r="H1110" s="10" t="s">
        <v>2996</v>
      </c>
      <c r="I1110" s="6" t="s">
        <v>2997</v>
      </c>
      <c r="J1110" s="12">
        <v>46120.639409722222</v>
      </c>
      <c r="K1110" s="6" t="e" cm="1">
        <f t="array" ref="K1110">LOOKUP(2^15,SEARCH(Tabela2[Palavras-Chave],Boletim[[#This Row],[Objeto]],1),Tabela2[Palavras-Chave])</f>
        <v>#N/A</v>
      </c>
    </row>
    <row r="1111" spans="1:11" hidden="1" x14ac:dyDescent="0.3">
      <c r="A1111" s="5">
        <v>18801442</v>
      </c>
      <c r="B1111" s="6" t="s">
        <v>1445</v>
      </c>
      <c r="C1111" s="6" t="s">
        <v>1446</v>
      </c>
      <c r="D1111" s="8" t="s">
        <v>64</v>
      </c>
      <c r="E1111" s="6" t="s">
        <v>1449</v>
      </c>
      <c r="F1111" s="6" t="s">
        <v>85</v>
      </c>
      <c r="G1111" s="11" t="s">
        <v>56</v>
      </c>
      <c r="H1111" s="10" t="s">
        <v>1450</v>
      </c>
      <c r="I1111" s="6" t="s">
        <v>1451</v>
      </c>
      <c r="J1111" s="12">
        <v>46120.664479166669</v>
      </c>
      <c r="K1111" s="6" t="e" cm="1">
        <f t="array" ref="K1111">LOOKUP(2^15,SEARCH(Tabela2[Palavras-Chave],Boletim[[#This Row],[Objeto]],1),Tabela2[Palavras-Chave])</f>
        <v>#N/A</v>
      </c>
    </row>
    <row r="1112" spans="1:11" hidden="1" x14ac:dyDescent="0.3">
      <c r="A1112" s="5">
        <v>18804738</v>
      </c>
      <c r="B1112" s="6" t="s">
        <v>2998</v>
      </c>
      <c r="C1112" s="6" t="s">
        <v>2999</v>
      </c>
      <c r="D1112" s="8" t="s">
        <v>64</v>
      </c>
      <c r="E1112" s="6" t="s">
        <v>205</v>
      </c>
      <c r="F1112" s="6" t="s">
        <v>85</v>
      </c>
      <c r="G1112" s="11">
        <v>46142.354166666664</v>
      </c>
      <c r="H1112" s="10" t="s">
        <v>3000</v>
      </c>
      <c r="I1112" s="6" t="s">
        <v>3001</v>
      </c>
      <c r="J1112" s="12">
        <v>46120.72797453704</v>
      </c>
      <c r="K1112" s="6" t="e" cm="1">
        <f t="array" ref="K1112">LOOKUP(2^15,SEARCH(Tabela2[Palavras-Chave],Boletim[[#This Row],[Objeto]],1),Tabela2[Palavras-Chave])</f>
        <v>#N/A</v>
      </c>
    </row>
    <row r="1113" spans="1:11" hidden="1" x14ac:dyDescent="0.3">
      <c r="A1113" s="5">
        <v>18803904</v>
      </c>
      <c r="B1113" s="6" t="s">
        <v>1452</v>
      </c>
      <c r="C1113" s="6" t="s">
        <v>1453</v>
      </c>
      <c r="D1113" s="8" t="s">
        <v>64</v>
      </c>
      <c r="E1113" s="6" t="s">
        <v>155</v>
      </c>
      <c r="F1113" s="6" t="s">
        <v>85</v>
      </c>
      <c r="G1113" s="11" t="s">
        <v>56</v>
      </c>
      <c r="H1113" s="10" t="s">
        <v>1454</v>
      </c>
      <c r="I1113" s="6" t="s">
        <v>1455</v>
      </c>
      <c r="J1113" s="12">
        <v>46120.728888888887</v>
      </c>
      <c r="K1113" s="6" t="e" cm="1">
        <f t="array" ref="K1113">LOOKUP(2^15,SEARCH(Tabela2[Palavras-Chave],Boletim[[#This Row],[Objeto]],1),Tabela2[Palavras-Chave])</f>
        <v>#N/A</v>
      </c>
    </row>
    <row r="1114" spans="1:11" hidden="1" x14ac:dyDescent="0.3">
      <c r="A1114" s="5">
        <v>18804200</v>
      </c>
      <c r="B1114" s="6" t="s">
        <v>1456</v>
      </c>
      <c r="C1114" s="6" t="s">
        <v>1457</v>
      </c>
      <c r="D1114" s="8" t="s">
        <v>64</v>
      </c>
      <c r="E1114" s="6" t="s">
        <v>126</v>
      </c>
      <c r="F1114" s="6" t="s">
        <v>85</v>
      </c>
      <c r="G1114" s="11" t="s">
        <v>56</v>
      </c>
      <c r="H1114" s="10" t="s">
        <v>1458</v>
      </c>
      <c r="I1114" s="6" t="s">
        <v>1459</v>
      </c>
      <c r="J1114" s="12">
        <v>46120.73474537037</v>
      </c>
      <c r="K1114" s="6" t="e" cm="1">
        <f t="array" ref="K1114">LOOKUP(2^15,SEARCH(Tabela2[Palavras-Chave],Boletim[[#This Row],[Objeto]],1),Tabela2[Palavras-Chave])</f>
        <v>#N/A</v>
      </c>
    </row>
    <row r="1115" spans="1:11" hidden="1" x14ac:dyDescent="0.3">
      <c r="A1115" s="5">
        <v>18805194</v>
      </c>
      <c r="B1115" s="6" t="s">
        <v>1460</v>
      </c>
      <c r="C1115" s="6" t="s">
        <v>1461</v>
      </c>
      <c r="D1115" s="8" t="s">
        <v>64</v>
      </c>
      <c r="E1115" s="6" t="s">
        <v>453</v>
      </c>
      <c r="F1115" s="6" t="s">
        <v>85</v>
      </c>
      <c r="G1115" s="11" t="s">
        <v>56</v>
      </c>
      <c r="H1115" s="10" t="s">
        <v>1462</v>
      </c>
      <c r="I1115" s="6" t="s">
        <v>1463</v>
      </c>
      <c r="J1115" s="12">
        <v>46120.755856481483</v>
      </c>
      <c r="K1115" s="6" t="e" cm="1">
        <f t="array" ref="K1115">LOOKUP(2^15,SEARCH(Tabela2[Palavras-Chave],Boletim[[#This Row],[Objeto]],1),Tabela2[Palavras-Chave])</f>
        <v>#N/A</v>
      </c>
    </row>
    <row r="1116" spans="1:11" hidden="1" x14ac:dyDescent="0.3">
      <c r="A1116" s="5">
        <v>18806382</v>
      </c>
      <c r="B1116" s="6" t="s">
        <v>2994</v>
      </c>
      <c r="C1116" s="6" t="s">
        <v>2995</v>
      </c>
      <c r="D1116" s="8" t="s">
        <v>64</v>
      </c>
      <c r="E1116" s="6" t="s">
        <v>142</v>
      </c>
      <c r="F1116" s="6" t="s">
        <v>85</v>
      </c>
      <c r="G1116" s="11">
        <v>46134.416666666664</v>
      </c>
      <c r="H1116" s="10" t="s">
        <v>3002</v>
      </c>
      <c r="I1116" s="6" t="s">
        <v>3003</v>
      </c>
      <c r="J1116" s="12">
        <v>46120.857835648145</v>
      </c>
      <c r="K1116" s="6" t="e" cm="1">
        <f t="array" ref="K1116">LOOKUP(2^15,SEARCH(Tabela2[Palavras-Chave],Boletim[[#This Row],[Objeto]],1),Tabela2[Palavras-Chave])</f>
        <v>#N/A</v>
      </c>
    </row>
    <row r="1117" spans="1:11" hidden="1" x14ac:dyDescent="0.3">
      <c r="A1117" s="5">
        <v>18798900</v>
      </c>
      <c r="B1117" s="6" t="s">
        <v>1464</v>
      </c>
      <c r="C1117" s="6" t="s">
        <v>1465</v>
      </c>
      <c r="D1117" s="8" t="s">
        <v>64</v>
      </c>
      <c r="E1117" s="6" t="s">
        <v>366</v>
      </c>
      <c r="F1117" s="6" t="s">
        <v>85</v>
      </c>
      <c r="G1117" s="11">
        <v>46129.375</v>
      </c>
      <c r="H1117" s="10" t="s">
        <v>1466</v>
      </c>
      <c r="I1117" s="6" t="s">
        <v>1467</v>
      </c>
      <c r="J1117" s="12">
        <v>46120.871481481481</v>
      </c>
      <c r="K1117" s="6" t="e" cm="1">
        <f t="array" ref="K1117">LOOKUP(2^15,SEARCH(Tabela2[Palavras-Chave],Boletim[[#This Row],[Objeto]],1),Tabela2[Palavras-Chave])</f>
        <v>#N/A</v>
      </c>
    </row>
    <row r="1118" spans="1:11" hidden="1" x14ac:dyDescent="0.3">
      <c r="A1118" s="5">
        <v>18786484</v>
      </c>
      <c r="B1118" s="6" t="s">
        <v>3004</v>
      </c>
      <c r="C1118" s="6" t="s">
        <v>3005</v>
      </c>
      <c r="D1118" s="8" t="s">
        <v>89</v>
      </c>
      <c r="E1118" s="6" t="s">
        <v>127</v>
      </c>
      <c r="F1118" s="6" t="s">
        <v>85</v>
      </c>
      <c r="G1118" s="11" t="s">
        <v>56</v>
      </c>
      <c r="H1118" s="10" t="s">
        <v>3006</v>
      </c>
      <c r="I1118" s="6" t="s">
        <v>3007</v>
      </c>
      <c r="J1118" s="12">
        <v>46120.450775462959</v>
      </c>
      <c r="K1118" s="6" t="e" cm="1">
        <f t="array" ref="K1118">LOOKUP(2^15,SEARCH(Tabela2[Palavras-Chave],Boletim[[#This Row],[Objeto]],1),Tabela2[Palavras-Chave])</f>
        <v>#N/A</v>
      </c>
    </row>
    <row r="1119" spans="1:11" hidden="1" x14ac:dyDescent="0.3">
      <c r="A1119" s="5">
        <v>18787960</v>
      </c>
      <c r="B1119" s="6" t="s">
        <v>3008</v>
      </c>
      <c r="C1119" s="6" t="s">
        <v>3009</v>
      </c>
      <c r="D1119" s="8" t="s">
        <v>89</v>
      </c>
      <c r="E1119" s="6" t="s">
        <v>1402</v>
      </c>
      <c r="F1119" s="6" t="s">
        <v>85</v>
      </c>
      <c r="G1119" s="11" t="s">
        <v>56</v>
      </c>
      <c r="H1119" s="10" t="s">
        <v>3010</v>
      </c>
      <c r="I1119" s="6" t="s">
        <v>3011</v>
      </c>
      <c r="J1119" s="12">
        <v>46120.450787037036</v>
      </c>
      <c r="K1119" s="6" t="e" cm="1">
        <f t="array" ref="K1119">LOOKUP(2^15,SEARCH(Tabela2[Palavras-Chave],Boletim[[#This Row],[Objeto]],1),Tabela2[Palavras-Chave])</f>
        <v>#N/A</v>
      </c>
    </row>
    <row r="1120" spans="1:11" hidden="1" x14ac:dyDescent="0.3">
      <c r="A1120" s="5">
        <v>18794601</v>
      </c>
      <c r="B1120" s="6" t="s">
        <v>3012</v>
      </c>
      <c r="C1120" s="6" t="s">
        <v>3013</v>
      </c>
      <c r="D1120" s="8" t="s">
        <v>89</v>
      </c>
      <c r="E1120" s="6" t="s">
        <v>114</v>
      </c>
      <c r="F1120" s="6" t="s">
        <v>85</v>
      </c>
      <c r="G1120" s="11">
        <v>46134.416666666664</v>
      </c>
      <c r="H1120" s="10" t="s">
        <v>3014</v>
      </c>
      <c r="I1120" s="6" t="s">
        <v>3015</v>
      </c>
      <c r="J1120" s="12">
        <v>46120.450787037036</v>
      </c>
      <c r="K1120" s="6" t="e" cm="1">
        <f t="array" ref="K1120">LOOKUP(2^15,SEARCH(Tabela2[Palavras-Chave],Boletim[[#This Row],[Objeto]],1),Tabela2[Palavras-Chave])</f>
        <v>#N/A</v>
      </c>
    </row>
    <row r="1121" spans="1:11" hidden="1" x14ac:dyDescent="0.3">
      <c r="A1121" s="5">
        <v>18802324</v>
      </c>
      <c r="B1121" s="6" t="s">
        <v>3016</v>
      </c>
      <c r="C1121" s="6" t="s">
        <v>3017</v>
      </c>
      <c r="D1121" s="8" t="s">
        <v>89</v>
      </c>
      <c r="E1121" s="6" t="s">
        <v>135</v>
      </c>
      <c r="F1121" s="6" t="s">
        <v>85</v>
      </c>
      <c r="G1121" s="11">
        <v>46129.583333333336</v>
      </c>
      <c r="H1121" s="10" t="s">
        <v>3018</v>
      </c>
      <c r="I1121" s="6" t="s">
        <v>3019</v>
      </c>
      <c r="J1121" s="12">
        <v>46120.51667824074</v>
      </c>
      <c r="K1121" s="6" t="e" cm="1">
        <f t="array" ref="K1121">LOOKUP(2^15,SEARCH(Tabela2[Palavras-Chave],Boletim[[#This Row],[Objeto]],1),Tabela2[Palavras-Chave])</f>
        <v>#N/A</v>
      </c>
    </row>
    <row r="1122" spans="1:11" hidden="1" x14ac:dyDescent="0.3">
      <c r="A1122" s="5">
        <v>18802600</v>
      </c>
      <c r="B1122" s="6" t="s">
        <v>1468</v>
      </c>
      <c r="C1122" s="6" t="s">
        <v>159</v>
      </c>
      <c r="D1122" s="8" t="s">
        <v>89</v>
      </c>
      <c r="E1122" s="6" t="s">
        <v>230</v>
      </c>
      <c r="F1122" s="6" t="s">
        <v>85</v>
      </c>
      <c r="G1122" s="11" t="s">
        <v>56</v>
      </c>
      <c r="H1122" s="10" t="s">
        <v>1469</v>
      </c>
      <c r="I1122" s="6" t="s">
        <v>1470</v>
      </c>
      <c r="J1122" s="12">
        <v>46120.587233796294</v>
      </c>
      <c r="K1122" s="6" t="e" cm="1">
        <f t="array" ref="K1122">LOOKUP(2^15,SEARCH(Tabela2[Palavras-Chave],Boletim[[#This Row],[Objeto]],1),Tabela2[Palavras-Chave])</f>
        <v>#N/A</v>
      </c>
    </row>
    <row r="1123" spans="1:11" hidden="1" x14ac:dyDescent="0.3">
      <c r="A1123" s="5">
        <v>18802616</v>
      </c>
      <c r="B1123" s="6" t="s">
        <v>266</v>
      </c>
      <c r="C1123" s="6" t="s">
        <v>159</v>
      </c>
      <c r="D1123" s="8" t="s">
        <v>89</v>
      </c>
      <c r="E1123" s="6" t="s">
        <v>1471</v>
      </c>
      <c r="F1123" s="6" t="s">
        <v>85</v>
      </c>
      <c r="G1123" s="11" t="s">
        <v>56</v>
      </c>
      <c r="H1123" s="10" t="s">
        <v>1472</v>
      </c>
      <c r="I1123" s="6" t="s">
        <v>1473</v>
      </c>
      <c r="J1123" s="12">
        <v>46120.726203703707</v>
      </c>
      <c r="K1123" s="6" t="e" cm="1">
        <f t="array" ref="K1123">LOOKUP(2^15,SEARCH(Tabela2[Palavras-Chave],Boletim[[#This Row],[Objeto]],1),Tabela2[Palavras-Chave])</f>
        <v>#N/A</v>
      </c>
    </row>
    <row r="1124" spans="1:11" hidden="1" x14ac:dyDescent="0.3">
      <c r="A1124" s="5">
        <v>18804624</v>
      </c>
      <c r="B1124" s="6" t="s">
        <v>3020</v>
      </c>
      <c r="C1124" s="6" t="s">
        <v>159</v>
      </c>
      <c r="D1124" s="8" t="s">
        <v>89</v>
      </c>
      <c r="E1124" s="6" t="s">
        <v>3021</v>
      </c>
      <c r="F1124" s="6" t="s">
        <v>85</v>
      </c>
      <c r="G1124" s="11">
        <v>46135.385416666664</v>
      </c>
      <c r="H1124" s="10" t="s">
        <v>3022</v>
      </c>
      <c r="I1124" s="6" t="s">
        <v>3023</v>
      </c>
      <c r="J1124" s="12">
        <v>46120.732615740744</v>
      </c>
      <c r="K1124" s="6" t="e" cm="1">
        <f t="array" ref="K1124">LOOKUP(2^15,SEARCH(Tabela2[Palavras-Chave],Boletim[[#This Row],[Objeto]],1),Tabela2[Palavras-Chave])</f>
        <v>#N/A</v>
      </c>
    </row>
    <row r="1125" spans="1:11" hidden="1" x14ac:dyDescent="0.3">
      <c r="A1125" s="5">
        <v>18804625</v>
      </c>
      <c r="B1125" s="6" t="s">
        <v>3020</v>
      </c>
      <c r="C1125" s="6" t="s">
        <v>159</v>
      </c>
      <c r="D1125" s="8" t="s">
        <v>89</v>
      </c>
      <c r="E1125" s="6" t="s">
        <v>3024</v>
      </c>
      <c r="F1125" s="6" t="s">
        <v>85</v>
      </c>
      <c r="G1125" s="11">
        <v>46146.385416666664</v>
      </c>
      <c r="H1125" s="10" t="s">
        <v>3025</v>
      </c>
      <c r="I1125" s="6" t="s">
        <v>3026</v>
      </c>
      <c r="J1125" s="12">
        <v>46120.739872685182</v>
      </c>
      <c r="K1125" s="6" t="e" cm="1">
        <f t="array" ref="K1125">LOOKUP(2^15,SEARCH(Tabela2[Palavras-Chave],Boletim[[#This Row],[Objeto]],1),Tabela2[Palavras-Chave])</f>
        <v>#N/A</v>
      </c>
    </row>
    <row r="1126" spans="1:11" hidden="1" x14ac:dyDescent="0.3">
      <c r="A1126" s="5">
        <v>18805706</v>
      </c>
      <c r="B1126" s="6" t="s">
        <v>3027</v>
      </c>
      <c r="C1126" s="6" t="s">
        <v>3028</v>
      </c>
      <c r="D1126" s="8" t="s">
        <v>89</v>
      </c>
      <c r="E1126" s="6" t="s">
        <v>149</v>
      </c>
      <c r="F1126" s="6" t="s">
        <v>85</v>
      </c>
      <c r="G1126" s="11">
        <v>46136.333333333336</v>
      </c>
      <c r="H1126" s="10" t="s">
        <v>3029</v>
      </c>
      <c r="I1126" s="6" t="s">
        <v>3030</v>
      </c>
      <c r="J1126" s="12">
        <v>46120.765763888892</v>
      </c>
      <c r="K1126" s="6" t="e" cm="1">
        <f t="array" ref="K1126">LOOKUP(2^15,SEARCH(Tabela2[Palavras-Chave],Boletim[[#This Row],[Objeto]],1),Tabela2[Palavras-Chave])</f>
        <v>#N/A</v>
      </c>
    </row>
    <row r="1127" spans="1:11" hidden="1" x14ac:dyDescent="0.3">
      <c r="A1127" s="5">
        <v>18806039</v>
      </c>
      <c r="B1127" s="6" t="s">
        <v>1474</v>
      </c>
      <c r="C1127" s="6" t="s">
        <v>1475</v>
      </c>
      <c r="D1127" s="8" t="s">
        <v>89</v>
      </c>
      <c r="E1127" s="6" t="s">
        <v>134</v>
      </c>
      <c r="F1127" s="6" t="s">
        <v>85</v>
      </c>
      <c r="G1127" s="11" t="s">
        <v>56</v>
      </c>
      <c r="H1127" s="10" t="s">
        <v>1476</v>
      </c>
      <c r="I1127" s="6" t="s">
        <v>1477</v>
      </c>
      <c r="J1127" s="12">
        <v>46120.807673611111</v>
      </c>
      <c r="K1127" s="6" t="e" cm="1">
        <f t="array" ref="K1127">LOOKUP(2^15,SEARCH(Tabela2[Palavras-Chave],Boletim[[#This Row],[Objeto]],1),Tabela2[Palavras-Chave])</f>
        <v>#N/A</v>
      </c>
    </row>
    <row r="1128" spans="1:11" hidden="1" x14ac:dyDescent="0.3">
      <c r="A1128" s="5">
        <v>18806220</v>
      </c>
      <c r="B1128" s="6" t="s">
        <v>3031</v>
      </c>
      <c r="C1128" s="6" t="s">
        <v>3032</v>
      </c>
      <c r="D1128" s="8" t="s">
        <v>89</v>
      </c>
      <c r="E1128" s="6" t="s">
        <v>148</v>
      </c>
      <c r="F1128" s="6" t="s">
        <v>85</v>
      </c>
      <c r="G1128" s="11" t="s">
        <v>56</v>
      </c>
      <c r="H1128" s="10" t="s">
        <v>3033</v>
      </c>
      <c r="I1128" s="6" t="s">
        <v>3034</v>
      </c>
      <c r="J1128" s="12">
        <v>46120.837511574071</v>
      </c>
      <c r="K1128" s="6" t="e" cm="1">
        <f t="array" ref="K1128">LOOKUP(2^15,SEARCH(Tabela2[Palavras-Chave],Boletim[[#This Row],[Objeto]],1),Tabela2[Palavras-Chave])</f>
        <v>#N/A</v>
      </c>
    </row>
    <row r="1129" spans="1:11" hidden="1" x14ac:dyDescent="0.3">
      <c r="A1129" s="5">
        <v>18806225</v>
      </c>
      <c r="B1129" s="6" t="s">
        <v>3031</v>
      </c>
      <c r="C1129" s="6" t="s">
        <v>3032</v>
      </c>
      <c r="D1129" s="8" t="s">
        <v>89</v>
      </c>
      <c r="E1129" s="6" t="s">
        <v>149</v>
      </c>
      <c r="F1129" s="6" t="s">
        <v>85</v>
      </c>
      <c r="G1129" s="11" t="s">
        <v>56</v>
      </c>
      <c r="H1129" s="10" t="s">
        <v>3035</v>
      </c>
      <c r="I1129" s="6" t="s">
        <v>3036</v>
      </c>
      <c r="J1129" s="12">
        <v>46120.837569444448</v>
      </c>
      <c r="K1129" s="6" t="e" cm="1">
        <f t="array" ref="K1129">LOOKUP(2^15,SEARCH(Tabela2[Palavras-Chave],Boletim[[#This Row],[Objeto]],1),Tabela2[Palavras-Chave])</f>
        <v>#N/A</v>
      </c>
    </row>
    <row r="1130" spans="1:11" hidden="1" x14ac:dyDescent="0.3">
      <c r="A1130" s="5">
        <v>18797753</v>
      </c>
      <c r="B1130" s="6" t="s">
        <v>1478</v>
      </c>
      <c r="C1130" s="6" t="s">
        <v>1479</v>
      </c>
      <c r="D1130" s="8" t="s">
        <v>66</v>
      </c>
      <c r="E1130" s="6" t="s">
        <v>117</v>
      </c>
      <c r="F1130" s="6" t="s">
        <v>85</v>
      </c>
      <c r="G1130" s="11">
        <v>46135.583333333336</v>
      </c>
      <c r="H1130" s="10" t="s">
        <v>1480</v>
      </c>
      <c r="I1130" s="6" t="s">
        <v>1481</v>
      </c>
      <c r="J1130" s="12">
        <v>46120.389004629629</v>
      </c>
      <c r="K1130" s="6" t="e" cm="1">
        <f t="array" ref="K1130">LOOKUP(2^15,SEARCH(Tabela2[Palavras-Chave],Boletim[[#This Row],[Objeto]],1),Tabela2[Palavras-Chave])</f>
        <v>#N/A</v>
      </c>
    </row>
    <row r="1131" spans="1:11" hidden="1" x14ac:dyDescent="0.3">
      <c r="A1131" s="5">
        <v>18797479</v>
      </c>
      <c r="B1131" s="6" t="s">
        <v>1478</v>
      </c>
      <c r="C1131" s="6" t="s">
        <v>1479</v>
      </c>
      <c r="D1131" s="8" t="s">
        <v>66</v>
      </c>
      <c r="E1131" s="6" t="s">
        <v>120</v>
      </c>
      <c r="F1131" s="6" t="s">
        <v>85</v>
      </c>
      <c r="G1131" s="11">
        <v>46134.541666666664</v>
      </c>
      <c r="H1131" s="10" t="s">
        <v>1482</v>
      </c>
      <c r="I1131" s="6" t="s">
        <v>1483</v>
      </c>
      <c r="J1131" s="12">
        <v>46120.389004629629</v>
      </c>
      <c r="K1131" s="6" t="e" cm="1">
        <f t="array" ref="K1131">LOOKUP(2^15,SEARCH(Tabela2[Palavras-Chave],Boletim[[#This Row],[Objeto]],1),Tabela2[Palavras-Chave])</f>
        <v>#N/A</v>
      </c>
    </row>
    <row r="1132" spans="1:11" hidden="1" x14ac:dyDescent="0.3">
      <c r="A1132" s="5">
        <v>18802012</v>
      </c>
      <c r="B1132" s="6" t="s">
        <v>1484</v>
      </c>
      <c r="C1132" s="6" t="s">
        <v>1485</v>
      </c>
      <c r="D1132" s="8" t="s">
        <v>66</v>
      </c>
      <c r="E1132" s="6" t="s">
        <v>122</v>
      </c>
      <c r="F1132" s="6" t="s">
        <v>85</v>
      </c>
      <c r="G1132" s="11">
        <v>46134.374305555553</v>
      </c>
      <c r="H1132" s="10" t="s">
        <v>1486</v>
      </c>
      <c r="I1132" s="6" t="s">
        <v>1487</v>
      </c>
      <c r="J1132" s="12">
        <v>46120.445752314816</v>
      </c>
      <c r="K1132" s="6" t="e" cm="1">
        <f t="array" ref="K1132">LOOKUP(2^15,SEARCH(Tabela2[Palavras-Chave],Boletim[[#This Row],[Objeto]],1),Tabela2[Palavras-Chave])</f>
        <v>#N/A</v>
      </c>
    </row>
    <row r="1133" spans="1:11" hidden="1" x14ac:dyDescent="0.3">
      <c r="A1133" s="5">
        <v>18797404</v>
      </c>
      <c r="B1133" s="6" t="s">
        <v>1488</v>
      </c>
      <c r="C1133" s="6" t="s">
        <v>1489</v>
      </c>
      <c r="D1133" s="8" t="s">
        <v>66</v>
      </c>
      <c r="E1133" s="6" t="s">
        <v>110</v>
      </c>
      <c r="F1133" s="6" t="s">
        <v>85</v>
      </c>
      <c r="G1133" s="11">
        <v>46126.334027777775</v>
      </c>
      <c r="H1133" s="10" t="s">
        <v>1490</v>
      </c>
      <c r="I1133" s="6" t="s">
        <v>1491</v>
      </c>
      <c r="J1133" s="12">
        <v>46120.450798611113</v>
      </c>
      <c r="K1133" s="6" t="e" cm="1">
        <f t="array" ref="K1133">LOOKUP(2^15,SEARCH(Tabela2[Palavras-Chave],Boletim[[#This Row],[Objeto]],1),Tabela2[Palavras-Chave])</f>
        <v>#N/A</v>
      </c>
    </row>
    <row r="1134" spans="1:11" hidden="1" x14ac:dyDescent="0.3">
      <c r="A1134" s="5">
        <v>18802245</v>
      </c>
      <c r="B1134" s="6" t="s">
        <v>74</v>
      </c>
      <c r="C1134" s="6" t="s">
        <v>65</v>
      </c>
      <c r="D1134" s="8" t="s">
        <v>66</v>
      </c>
      <c r="E1134" s="6" t="s">
        <v>2981</v>
      </c>
      <c r="F1134" s="6" t="s">
        <v>85</v>
      </c>
      <c r="G1134" s="11" t="s">
        <v>56</v>
      </c>
      <c r="H1134" s="10" t="s">
        <v>2982</v>
      </c>
      <c r="I1134" s="6" t="s">
        <v>2983</v>
      </c>
      <c r="J1134" s="12">
        <v>46120.468124999999</v>
      </c>
      <c r="K1134" s="6" t="e" cm="1">
        <f t="array" ref="K1134">LOOKUP(2^15,SEARCH(Tabela2[Palavras-Chave],Boletim[[#This Row],[Objeto]],1),Tabela2[Palavras-Chave])</f>
        <v>#N/A</v>
      </c>
    </row>
    <row r="1135" spans="1:11" hidden="1" x14ac:dyDescent="0.3">
      <c r="A1135" s="5">
        <v>18801477</v>
      </c>
      <c r="B1135" s="6" t="s">
        <v>1492</v>
      </c>
      <c r="C1135" s="6" t="s">
        <v>1493</v>
      </c>
      <c r="D1135" s="8" t="s">
        <v>66</v>
      </c>
      <c r="E1135" s="6" t="s">
        <v>1494</v>
      </c>
      <c r="F1135" s="6" t="s">
        <v>85</v>
      </c>
      <c r="G1135" s="11" t="s">
        <v>56</v>
      </c>
      <c r="H1135" s="10" t="s">
        <v>1495</v>
      </c>
      <c r="I1135" s="6" t="s">
        <v>1496</v>
      </c>
      <c r="J1135" s="12">
        <v>46120.475405092591</v>
      </c>
      <c r="K1135" s="6" t="e" cm="1">
        <f t="array" ref="K1135">LOOKUP(2^15,SEARCH(Tabela2[Palavras-Chave],Boletim[[#This Row],[Objeto]],1),Tabela2[Palavras-Chave])</f>
        <v>#N/A</v>
      </c>
    </row>
    <row r="1136" spans="1:11" hidden="1" x14ac:dyDescent="0.3">
      <c r="A1136" s="5">
        <v>18801597</v>
      </c>
      <c r="B1136" s="6" t="s">
        <v>1497</v>
      </c>
      <c r="C1136" s="6" t="s">
        <v>1498</v>
      </c>
      <c r="D1136" s="8" t="s">
        <v>66</v>
      </c>
      <c r="E1136" s="6" t="s">
        <v>1499</v>
      </c>
      <c r="F1136" s="6" t="s">
        <v>85</v>
      </c>
      <c r="G1136" s="11" t="s">
        <v>56</v>
      </c>
      <c r="H1136" s="10" t="s">
        <v>1500</v>
      </c>
      <c r="I1136" s="6" t="s">
        <v>1501</v>
      </c>
      <c r="J1136" s="12">
        <v>46120.49181712963</v>
      </c>
      <c r="K1136" s="6" t="e" cm="1">
        <f t="array" ref="K1136">LOOKUP(2^15,SEARCH(Tabela2[Palavras-Chave],Boletim[[#This Row],[Objeto]],1),Tabela2[Palavras-Chave])</f>
        <v>#N/A</v>
      </c>
    </row>
    <row r="1137" spans="1:11" hidden="1" x14ac:dyDescent="0.3">
      <c r="A1137" s="5">
        <v>18802301</v>
      </c>
      <c r="B1137" s="6" t="s">
        <v>3037</v>
      </c>
      <c r="C1137" s="6" t="s">
        <v>3038</v>
      </c>
      <c r="D1137" s="8" t="s">
        <v>66</v>
      </c>
      <c r="E1137" s="6" t="s">
        <v>145</v>
      </c>
      <c r="F1137" s="6" t="s">
        <v>85</v>
      </c>
      <c r="G1137" s="11">
        <v>46127.333333333336</v>
      </c>
      <c r="H1137" s="10" t="s">
        <v>3039</v>
      </c>
      <c r="I1137" s="6" t="s">
        <v>3040</v>
      </c>
      <c r="J1137" s="12">
        <v>46120.501886574071</v>
      </c>
      <c r="K1137" s="6" t="e" cm="1">
        <f t="array" ref="K1137">LOOKUP(2^15,SEARCH(Tabela2[Palavras-Chave],Boletim[[#This Row],[Objeto]],1),Tabela2[Palavras-Chave])</f>
        <v>#N/A</v>
      </c>
    </row>
    <row r="1138" spans="1:11" hidden="1" x14ac:dyDescent="0.3">
      <c r="A1138" s="5">
        <v>18801460</v>
      </c>
      <c r="B1138" s="6" t="s">
        <v>2430</v>
      </c>
      <c r="C1138" s="6" t="s">
        <v>2431</v>
      </c>
      <c r="D1138" s="8" t="s">
        <v>66</v>
      </c>
      <c r="E1138" s="6" t="s">
        <v>3041</v>
      </c>
      <c r="F1138" s="6" t="s">
        <v>85</v>
      </c>
      <c r="G1138" s="11" t="s">
        <v>56</v>
      </c>
      <c r="H1138" s="10" t="s">
        <v>3042</v>
      </c>
      <c r="I1138" s="6" t="s">
        <v>3043</v>
      </c>
      <c r="J1138" s="12">
        <v>46120.518865740742</v>
      </c>
      <c r="K1138" s="6" t="e" cm="1">
        <f t="array" ref="K1138">LOOKUP(2^15,SEARCH(Tabela2[Palavras-Chave],Boletim[[#This Row],[Objeto]],1),Tabela2[Palavras-Chave])</f>
        <v>#N/A</v>
      </c>
    </row>
    <row r="1139" spans="1:11" hidden="1" x14ac:dyDescent="0.3">
      <c r="A1139" s="5">
        <v>18802805</v>
      </c>
      <c r="B1139" s="6" t="s">
        <v>1502</v>
      </c>
      <c r="C1139" s="6" t="s">
        <v>65</v>
      </c>
      <c r="D1139" s="8" t="s">
        <v>66</v>
      </c>
      <c r="E1139" s="6" t="s">
        <v>268</v>
      </c>
      <c r="F1139" s="6" t="s">
        <v>85</v>
      </c>
      <c r="G1139" s="11" t="s">
        <v>56</v>
      </c>
      <c r="H1139" s="10" t="s">
        <v>1503</v>
      </c>
      <c r="I1139" s="6" t="s">
        <v>1504</v>
      </c>
      <c r="J1139" s="12">
        <v>46120.519675925927</v>
      </c>
      <c r="K1139" s="6" t="e" cm="1">
        <f t="array" ref="K1139">LOOKUP(2^15,SEARCH(Tabela2[Palavras-Chave],Boletim[[#This Row],[Objeto]],1),Tabela2[Palavras-Chave])</f>
        <v>#N/A</v>
      </c>
    </row>
    <row r="1140" spans="1:11" hidden="1" x14ac:dyDescent="0.3">
      <c r="A1140" s="5">
        <v>18801459</v>
      </c>
      <c r="B1140" s="6" t="s">
        <v>1505</v>
      </c>
      <c r="C1140" s="6" t="s">
        <v>1506</v>
      </c>
      <c r="D1140" s="8" t="s">
        <v>66</v>
      </c>
      <c r="E1140" s="6" t="s">
        <v>121</v>
      </c>
      <c r="F1140" s="6" t="s">
        <v>85</v>
      </c>
      <c r="G1140" s="11" t="s">
        <v>56</v>
      </c>
      <c r="H1140" s="10" t="s">
        <v>1507</v>
      </c>
      <c r="I1140" s="6" t="s">
        <v>1508</v>
      </c>
      <c r="J1140" s="12">
        <v>46120.526458333334</v>
      </c>
      <c r="K1140" s="6" t="e" cm="1">
        <f t="array" ref="K1140">LOOKUP(2^15,SEARCH(Tabela2[Palavras-Chave],Boletim[[#This Row],[Objeto]],1),Tabela2[Palavras-Chave])</f>
        <v>#N/A</v>
      </c>
    </row>
    <row r="1141" spans="1:11" hidden="1" x14ac:dyDescent="0.3">
      <c r="A1141" s="5">
        <v>18802806</v>
      </c>
      <c r="B1141" s="6" t="s">
        <v>364</v>
      </c>
      <c r="C1141" s="6" t="s">
        <v>365</v>
      </c>
      <c r="D1141" s="8" t="s">
        <v>66</v>
      </c>
      <c r="E1141" s="6" t="s">
        <v>392</v>
      </c>
      <c r="F1141" s="6" t="s">
        <v>85</v>
      </c>
      <c r="G1141" s="11" t="s">
        <v>56</v>
      </c>
      <c r="H1141" s="10" t="s">
        <v>1509</v>
      </c>
      <c r="I1141" s="6" t="s">
        <v>1510</v>
      </c>
      <c r="J1141" s="12">
        <v>46120.528136574074</v>
      </c>
      <c r="K1141" s="6" t="e" cm="1">
        <f t="array" ref="K1141">LOOKUP(2^15,SEARCH(Tabela2[Palavras-Chave],Boletim[[#This Row],[Objeto]],1),Tabela2[Palavras-Chave])</f>
        <v>#N/A</v>
      </c>
    </row>
    <row r="1142" spans="1:11" hidden="1" x14ac:dyDescent="0.3">
      <c r="A1142" s="5">
        <v>18802229</v>
      </c>
      <c r="B1142" s="6" t="s">
        <v>1511</v>
      </c>
      <c r="C1142" s="6" t="s">
        <v>1512</v>
      </c>
      <c r="D1142" s="8" t="s">
        <v>66</v>
      </c>
      <c r="E1142" s="6" t="s">
        <v>166</v>
      </c>
      <c r="F1142" s="6" t="s">
        <v>85</v>
      </c>
      <c r="G1142" s="11">
        <v>46134.333333333336</v>
      </c>
      <c r="H1142" s="10" t="s">
        <v>1513</v>
      </c>
      <c r="I1142" s="6" t="s">
        <v>1514</v>
      </c>
      <c r="J1142" s="12">
        <v>46120.618159722224</v>
      </c>
      <c r="K1142" s="6" t="e" cm="1">
        <f t="array" ref="K1142">LOOKUP(2^15,SEARCH(Tabela2[Palavras-Chave],Boletim[[#This Row],[Objeto]],1),Tabela2[Palavras-Chave])</f>
        <v>#N/A</v>
      </c>
    </row>
    <row r="1143" spans="1:11" hidden="1" x14ac:dyDescent="0.3">
      <c r="A1143" s="5">
        <v>18801998</v>
      </c>
      <c r="B1143" s="6" t="s">
        <v>1484</v>
      </c>
      <c r="C1143" s="6" t="s">
        <v>1485</v>
      </c>
      <c r="D1143" s="8" t="s">
        <v>66</v>
      </c>
      <c r="E1143" s="6" t="s">
        <v>117</v>
      </c>
      <c r="F1143" s="6" t="s">
        <v>85</v>
      </c>
      <c r="G1143" s="11">
        <v>46135.374305555553</v>
      </c>
      <c r="H1143" s="10" t="s">
        <v>1515</v>
      </c>
      <c r="I1143" s="6" t="s">
        <v>1516</v>
      </c>
      <c r="J1143" s="12">
        <v>46120.556759259256</v>
      </c>
      <c r="K1143" s="6" t="e" cm="1">
        <f t="array" ref="K1143">LOOKUP(2^15,SEARCH(Tabela2[Palavras-Chave],Boletim[[#This Row],[Objeto]],1),Tabela2[Palavras-Chave])</f>
        <v>#N/A</v>
      </c>
    </row>
    <row r="1144" spans="1:11" hidden="1" x14ac:dyDescent="0.3">
      <c r="A1144" s="5">
        <v>18802471</v>
      </c>
      <c r="B1144" s="6" t="s">
        <v>1517</v>
      </c>
      <c r="C1144" s="6" t="s">
        <v>1518</v>
      </c>
      <c r="D1144" s="8" t="s">
        <v>66</v>
      </c>
      <c r="E1144" s="6" t="s">
        <v>108</v>
      </c>
      <c r="F1144" s="6" t="s">
        <v>85</v>
      </c>
      <c r="G1144" s="11">
        <v>46140.375</v>
      </c>
      <c r="H1144" s="10" t="s">
        <v>1519</v>
      </c>
      <c r="I1144" s="6" t="s">
        <v>1520</v>
      </c>
      <c r="J1144" s="12">
        <v>46120.618148148147</v>
      </c>
      <c r="K1144" s="6" t="e" cm="1">
        <f t="array" ref="K1144">LOOKUP(2^15,SEARCH(Tabela2[Palavras-Chave],Boletim[[#This Row],[Objeto]],1),Tabela2[Palavras-Chave])</f>
        <v>#N/A</v>
      </c>
    </row>
    <row r="1145" spans="1:11" hidden="1" x14ac:dyDescent="0.3">
      <c r="A1145" s="5">
        <v>18760948</v>
      </c>
      <c r="B1145" s="6" t="s">
        <v>2584</v>
      </c>
      <c r="C1145" s="6" t="s">
        <v>2585</v>
      </c>
      <c r="D1145" s="8" t="s">
        <v>66</v>
      </c>
      <c r="E1145" s="6" t="s">
        <v>108</v>
      </c>
      <c r="F1145" s="6" t="s">
        <v>85</v>
      </c>
      <c r="G1145" s="11" t="s">
        <v>56</v>
      </c>
      <c r="H1145" s="10" t="s">
        <v>3044</v>
      </c>
      <c r="I1145" s="6" t="s">
        <v>3045</v>
      </c>
      <c r="J1145" s="12">
        <v>46120.567997685182</v>
      </c>
      <c r="K1145" s="6" t="e" cm="1">
        <f t="array" ref="K1145">LOOKUP(2^15,SEARCH(Tabela2[Palavras-Chave],Boletim[[#This Row],[Objeto]],1),Tabela2[Palavras-Chave])</f>
        <v>#N/A</v>
      </c>
    </row>
    <row r="1146" spans="1:11" hidden="1" x14ac:dyDescent="0.3">
      <c r="A1146" s="5">
        <v>18803486</v>
      </c>
      <c r="B1146" s="6" t="s">
        <v>1521</v>
      </c>
      <c r="C1146" s="6" t="s">
        <v>1522</v>
      </c>
      <c r="D1146" s="8" t="s">
        <v>66</v>
      </c>
      <c r="E1146" s="6" t="s">
        <v>1499</v>
      </c>
      <c r="F1146" s="6" t="s">
        <v>85</v>
      </c>
      <c r="G1146" s="11" t="s">
        <v>56</v>
      </c>
      <c r="H1146" s="10" t="s">
        <v>1523</v>
      </c>
      <c r="I1146" s="6" t="s">
        <v>1524</v>
      </c>
      <c r="J1146" s="12">
        <v>46120.6174537037</v>
      </c>
      <c r="K1146" s="6" t="e" cm="1">
        <f t="array" ref="K1146">LOOKUP(2^15,SEARCH(Tabela2[Palavras-Chave],Boletim[[#This Row],[Objeto]],1),Tabela2[Palavras-Chave])</f>
        <v>#N/A</v>
      </c>
    </row>
    <row r="1147" spans="1:11" hidden="1" x14ac:dyDescent="0.3">
      <c r="A1147" s="5">
        <v>18676524</v>
      </c>
      <c r="B1147" s="6" t="s">
        <v>2471</v>
      </c>
      <c r="C1147" s="6" t="s">
        <v>2472</v>
      </c>
      <c r="D1147" s="8" t="s">
        <v>66</v>
      </c>
      <c r="E1147" s="6" t="s">
        <v>146</v>
      </c>
      <c r="F1147" s="6" t="s">
        <v>85</v>
      </c>
      <c r="G1147" s="11" t="s">
        <v>56</v>
      </c>
      <c r="H1147" s="10" t="s">
        <v>3046</v>
      </c>
      <c r="I1147" s="6" t="s">
        <v>3047</v>
      </c>
      <c r="J1147" s="12">
        <v>46120.568599537037</v>
      </c>
      <c r="K1147" s="6" t="e" cm="1">
        <f t="array" ref="K1147">LOOKUP(2^15,SEARCH(Tabela2[Palavras-Chave],Boletim[[#This Row],[Objeto]],1),Tabela2[Palavras-Chave])</f>
        <v>#N/A</v>
      </c>
    </row>
    <row r="1148" spans="1:11" hidden="1" x14ac:dyDescent="0.3">
      <c r="A1148" s="5">
        <v>18803143</v>
      </c>
      <c r="B1148" s="6" t="s">
        <v>3048</v>
      </c>
      <c r="C1148" s="6" t="s">
        <v>3049</v>
      </c>
      <c r="D1148" s="8" t="s">
        <v>66</v>
      </c>
      <c r="E1148" s="6" t="s">
        <v>454</v>
      </c>
      <c r="F1148" s="6" t="s">
        <v>85</v>
      </c>
      <c r="G1148" s="11" t="s">
        <v>56</v>
      </c>
      <c r="H1148" s="10" t="s">
        <v>3050</v>
      </c>
      <c r="I1148" s="6" t="s">
        <v>3051</v>
      </c>
      <c r="J1148" s="12">
        <v>46120.569432870368</v>
      </c>
      <c r="K1148" s="6" t="e" cm="1">
        <f t="array" ref="K1148">LOOKUP(2^15,SEARCH(Tabela2[Palavras-Chave],Boletim[[#This Row],[Objeto]],1),Tabela2[Palavras-Chave])</f>
        <v>#N/A</v>
      </c>
    </row>
    <row r="1149" spans="1:11" hidden="1" x14ac:dyDescent="0.3">
      <c r="A1149" s="5">
        <v>18796639</v>
      </c>
      <c r="B1149" s="6" t="s">
        <v>1525</v>
      </c>
      <c r="C1149" s="6" t="s">
        <v>1526</v>
      </c>
      <c r="D1149" s="8" t="s">
        <v>66</v>
      </c>
      <c r="E1149" s="6" t="s">
        <v>114</v>
      </c>
      <c r="F1149" s="6" t="s">
        <v>85</v>
      </c>
      <c r="G1149" s="11">
        <v>46140.374305555553</v>
      </c>
      <c r="H1149" s="10" t="s">
        <v>1527</v>
      </c>
      <c r="I1149" s="6" t="s">
        <v>1528</v>
      </c>
      <c r="J1149" s="12">
        <v>46120.586898148147</v>
      </c>
      <c r="K1149" s="6" t="e" cm="1">
        <f t="array" ref="K1149">LOOKUP(2^15,SEARCH(Tabela2[Palavras-Chave],Boletim[[#This Row],[Objeto]],1),Tabela2[Palavras-Chave])</f>
        <v>#N/A</v>
      </c>
    </row>
    <row r="1150" spans="1:11" hidden="1" x14ac:dyDescent="0.3">
      <c r="A1150" s="5">
        <v>18803116</v>
      </c>
      <c r="B1150" s="6" t="s">
        <v>3052</v>
      </c>
      <c r="C1150" s="6" t="s">
        <v>3053</v>
      </c>
      <c r="D1150" s="8" t="s">
        <v>66</v>
      </c>
      <c r="E1150" s="6" t="s">
        <v>3054</v>
      </c>
      <c r="F1150" s="6" t="s">
        <v>85</v>
      </c>
      <c r="G1150" s="11" t="s">
        <v>56</v>
      </c>
      <c r="H1150" s="10" t="s">
        <v>3055</v>
      </c>
      <c r="I1150" s="6" t="s">
        <v>3056</v>
      </c>
      <c r="J1150" s="12">
        <v>46120.60497685185</v>
      </c>
      <c r="K1150" s="6" t="e" cm="1">
        <f t="array" ref="K1150">LOOKUP(2^15,SEARCH(Tabela2[Palavras-Chave],Boletim[[#This Row],[Objeto]],1),Tabela2[Palavras-Chave])</f>
        <v>#N/A</v>
      </c>
    </row>
    <row r="1151" spans="1:11" hidden="1" x14ac:dyDescent="0.3">
      <c r="A1151" s="5">
        <v>18802788</v>
      </c>
      <c r="B1151" s="6" t="s">
        <v>1529</v>
      </c>
      <c r="C1151" s="6" t="s">
        <v>1530</v>
      </c>
      <c r="D1151" s="8" t="s">
        <v>66</v>
      </c>
      <c r="E1151" s="6" t="s">
        <v>157</v>
      </c>
      <c r="F1151" s="6" t="s">
        <v>85</v>
      </c>
      <c r="G1151" s="11" t="s">
        <v>56</v>
      </c>
      <c r="H1151" s="10" t="s">
        <v>1531</v>
      </c>
      <c r="I1151" s="6" t="s">
        <v>1532</v>
      </c>
      <c r="J1151" s="12">
        <v>46120.606932870367</v>
      </c>
      <c r="K1151" s="6" t="e" cm="1">
        <f t="array" ref="K1151">LOOKUP(2^15,SEARCH(Tabela2[Palavras-Chave],Boletim[[#This Row],[Objeto]],1),Tabela2[Palavras-Chave])</f>
        <v>#N/A</v>
      </c>
    </row>
    <row r="1152" spans="1:11" hidden="1" x14ac:dyDescent="0.3">
      <c r="A1152" s="5">
        <v>18804014</v>
      </c>
      <c r="B1152" s="6" t="s">
        <v>1533</v>
      </c>
      <c r="C1152" s="6" t="s">
        <v>1534</v>
      </c>
      <c r="D1152" s="8" t="s">
        <v>66</v>
      </c>
      <c r="E1152" s="6" t="s">
        <v>127</v>
      </c>
      <c r="F1152" s="6" t="s">
        <v>85</v>
      </c>
      <c r="G1152" s="11">
        <v>46139.333333333336</v>
      </c>
      <c r="H1152" s="10" t="s">
        <v>1535</v>
      </c>
      <c r="I1152" s="6" t="s">
        <v>1536</v>
      </c>
      <c r="J1152" s="12">
        <v>46120.611793981479</v>
      </c>
      <c r="K1152" s="6" t="e" cm="1">
        <f t="array" ref="K1152">LOOKUP(2^15,SEARCH(Tabela2[Palavras-Chave],Boletim[[#This Row],[Objeto]],1),Tabela2[Palavras-Chave])</f>
        <v>#N/A</v>
      </c>
    </row>
    <row r="1153" spans="1:11" hidden="1" x14ac:dyDescent="0.3">
      <c r="A1153" s="5">
        <v>18804172</v>
      </c>
      <c r="B1153" s="6" t="s">
        <v>1537</v>
      </c>
      <c r="C1153" s="6" t="s">
        <v>1538</v>
      </c>
      <c r="D1153" s="8" t="s">
        <v>66</v>
      </c>
      <c r="E1153" s="6" t="s">
        <v>1499</v>
      </c>
      <c r="F1153" s="6" t="s">
        <v>85</v>
      </c>
      <c r="G1153" s="11">
        <v>46134.334027777775</v>
      </c>
      <c r="H1153" s="10" t="s">
        <v>1539</v>
      </c>
      <c r="I1153" s="6" t="s">
        <v>1540</v>
      </c>
      <c r="J1153" s="12">
        <v>46120.624768518515</v>
      </c>
      <c r="K1153" s="6" t="e" cm="1">
        <f t="array" ref="K1153">LOOKUP(2^15,SEARCH(Tabela2[Palavras-Chave],Boletim[[#This Row],[Objeto]],1),Tabela2[Palavras-Chave])</f>
        <v>#N/A</v>
      </c>
    </row>
    <row r="1154" spans="1:11" hidden="1" x14ac:dyDescent="0.3">
      <c r="A1154" s="5">
        <v>18804074</v>
      </c>
      <c r="B1154" s="6" t="s">
        <v>1541</v>
      </c>
      <c r="C1154" s="6" t="s">
        <v>1542</v>
      </c>
      <c r="D1154" s="8" t="s">
        <v>66</v>
      </c>
      <c r="E1154" s="6" t="s">
        <v>165</v>
      </c>
      <c r="F1154" s="6" t="s">
        <v>85</v>
      </c>
      <c r="G1154" s="11">
        <v>46134.415972222225</v>
      </c>
      <c r="H1154" s="10" t="s">
        <v>1543</v>
      </c>
      <c r="I1154" s="6" t="s">
        <v>1544</v>
      </c>
      <c r="J1154" s="12">
        <v>46120.62736111111</v>
      </c>
      <c r="K1154" s="6" t="e" cm="1">
        <f t="array" ref="K1154">LOOKUP(2^15,SEARCH(Tabela2[Palavras-Chave],Boletim[[#This Row],[Objeto]],1),Tabela2[Palavras-Chave])</f>
        <v>#N/A</v>
      </c>
    </row>
    <row r="1155" spans="1:11" hidden="1" x14ac:dyDescent="0.3">
      <c r="A1155" s="5">
        <v>18804039</v>
      </c>
      <c r="B1155" s="6" t="s">
        <v>1545</v>
      </c>
      <c r="C1155" s="6" t="s">
        <v>1546</v>
      </c>
      <c r="D1155" s="8" t="s">
        <v>66</v>
      </c>
      <c r="E1155" s="6" t="s">
        <v>155</v>
      </c>
      <c r="F1155" s="6" t="s">
        <v>85</v>
      </c>
      <c r="G1155" s="11">
        <v>46134.333333333336</v>
      </c>
      <c r="H1155" s="10" t="s">
        <v>1547</v>
      </c>
      <c r="I1155" s="6" t="s">
        <v>1548</v>
      </c>
      <c r="J1155" s="12">
        <v>46120.634189814817</v>
      </c>
      <c r="K1155" s="6" t="e" cm="1">
        <f t="array" ref="K1155">LOOKUP(2^15,SEARCH(Tabela2[Palavras-Chave],Boletim[[#This Row],[Objeto]],1),Tabela2[Palavras-Chave])</f>
        <v>#N/A</v>
      </c>
    </row>
    <row r="1156" spans="1:11" hidden="1" x14ac:dyDescent="0.3">
      <c r="A1156" s="5">
        <v>18803865</v>
      </c>
      <c r="B1156" s="6" t="s">
        <v>1484</v>
      </c>
      <c r="C1156" s="6" t="s">
        <v>1485</v>
      </c>
      <c r="D1156" s="8" t="s">
        <v>66</v>
      </c>
      <c r="E1156" s="6" t="s">
        <v>115</v>
      </c>
      <c r="F1156" s="6" t="s">
        <v>85</v>
      </c>
      <c r="G1156" s="11">
        <v>46132.374305555553</v>
      </c>
      <c r="H1156" s="10" t="s">
        <v>1549</v>
      </c>
      <c r="I1156" s="6" t="s">
        <v>1550</v>
      </c>
      <c r="J1156" s="12">
        <v>46120.64025462963</v>
      </c>
      <c r="K1156" s="6" t="e" cm="1">
        <f t="array" ref="K1156">LOOKUP(2^15,SEARCH(Tabela2[Palavras-Chave],Boletim[[#This Row],[Objeto]],1),Tabela2[Palavras-Chave])</f>
        <v>#N/A</v>
      </c>
    </row>
    <row r="1157" spans="1:11" hidden="1" x14ac:dyDescent="0.3">
      <c r="A1157" s="5">
        <v>18802348</v>
      </c>
      <c r="B1157" s="6" t="s">
        <v>1551</v>
      </c>
      <c r="C1157" s="6" t="s">
        <v>65</v>
      </c>
      <c r="D1157" s="8" t="s">
        <v>66</v>
      </c>
      <c r="E1157" s="6" t="s">
        <v>1552</v>
      </c>
      <c r="F1157" s="6" t="s">
        <v>85</v>
      </c>
      <c r="G1157" s="11" t="s">
        <v>56</v>
      </c>
      <c r="H1157" s="10" t="s">
        <v>1553</v>
      </c>
      <c r="I1157" s="6" t="s">
        <v>1554</v>
      </c>
      <c r="J1157" s="12">
        <v>46120.64298611111</v>
      </c>
      <c r="K1157" s="6" t="e" cm="1">
        <f t="array" ref="K1157">LOOKUP(2^15,SEARCH(Tabela2[Palavras-Chave],Boletim[[#This Row],[Objeto]],1),Tabela2[Palavras-Chave])</f>
        <v>#N/A</v>
      </c>
    </row>
    <row r="1158" spans="1:11" hidden="1" x14ac:dyDescent="0.3">
      <c r="A1158" s="5">
        <v>18802786</v>
      </c>
      <c r="B1158" s="6" t="s">
        <v>1555</v>
      </c>
      <c r="C1158" s="6" t="s">
        <v>65</v>
      </c>
      <c r="D1158" s="8" t="s">
        <v>66</v>
      </c>
      <c r="E1158" s="6" t="s">
        <v>157</v>
      </c>
      <c r="F1158" s="6" t="s">
        <v>85</v>
      </c>
      <c r="G1158" s="11" t="s">
        <v>56</v>
      </c>
      <c r="H1158" s="10" t="s">
        <v>1556</v>
      </c>
      <c r="I1158" s="6" t="s">
        <v>1557</v>
      </c>
      <c r="J1158" s="12">
        <v>46120.656851851854</v>
      </c>
      <c r="K1158" s="6" t="e" cm="1">
        <f t="array" ref="K1158">LOOKUP(2^15,SEARCH(Tabela2[Palavras-Chave],Boletim[[#This Row],[Objeto]],1),Tabela2[Palavras-Chave])</f>
        <v>#N/A</v>
      </c>
    </row>
    <row r="1159" spans="1:11" hidden="1" x14ac:dyDescent="0.3">
      <c r="A1159" s="5">
        <v>18802807</v>
      </c>
      <c r="B1159" s="6" t="s">
        <v>1558</v>
      </c>
      <c r="C1159" s="6" t="s">
        <v>1559</v>
      </c>
      <c r="D1159" s="8" t="s">
        <v>66</v>
      </c>
      <c r="E1159" s="6" t="s">
        <v>284</v>
      </c>
      <c r="F1159" s="6" t="s">
        <v>85</v>
      </c>
      <c r="G1159" s="11" t="s">
        <v>56</v>
      </c>
      <c r="H1159" s="10" t="s">
        <v>1560</v>
      </c>
      <c r="I1159" s="6" t="s">
        <v>1561</v>
      </c>
      <c r="J1159" s="12">
        <v>46120.661041666666</v>
      </c>
      <c r="K1159" s="6" t="e" cm="1">
        <f t="array" ref="K1159">LOOKUP(2^15,SEARCH(Tabela2[Palavras-Chave],Boletim[[#This Row],[Objeto]],1),Tabela2[Palavras-Chave])</f>
        <v>#N/A</v>
      </c>
    </row>
    <row r="1160" spans="1:11" hidden="1" x14ac:dyDescent="0.3">
      <c r="A1160" s="5">
        <v>18802768</v>
      </c>
      <c r="B1160" s="6" t="s">
        <v>1562</v>
      </c>
      <c r="C1160" s="6" t="s">
        <v>233</v>
      </c>
      <c r="D1160" s="8" t="s">
        <v>66</v>
      </c>
      <c r="E1160" s="6" t="s">
        <v>140</v>
      </c>
      <c r="F1160" s="6" t="s">
        <v>85</v>
      </c>
      <c r="G1160" s="11" t="s">
        <v>56</v>
      </c>
      <c r="H1160" s="10" t="s">
        <v>1563</v>
      </c>
      <c r="I1160" s="6" t="s">
        <v>1564</v>
      </c>
      <c r="J1160" s="12">
        <v>46120.66265046296</v>
      </c>
      <c r="K1160" s="6" t="e" cm="1">
        <f t="array" ref="K1160">LOOKUP(2^15,SEARCH(Tabela2[Palavras-Chave],Boletim[[#This Row],[Objeto]],1),Tabela2[Palavras-Chave])</f>
        <v>#N/A</v>
      </c>
    </row>
    <row r="1161" spans="1:11" ht="86.4" x14ac:dyDescent="0.3">
      <c r="A1161" s="5">
        <v>18803693</v>
      </c>
      <c r="B1161" s="6" t="s">
        <v>1565</v>
      </c>
      <c r="C1161" s="6" t="s">
        <v>1566</v>
      </c>
      <c r="D1161" s="8" t="s">
        <v>66</v>
      </c>
      <c r="E1161" s="6" t="s">
        <v>1567</v>
      </c>
      <c r="F1161" s="6" t="s">
        <v>85</v>
      </c>
      <c r="G1161" s="11" t="s">
        <v>56</v>
      </c>
      <c r="H1161" s="21" t="s">
        <v>1568</v>
      </c>
      <c r="I1161" s="6" t="s">
        <v>1569</v>
      </c>
      <c r="J1161" s="12">
        <v>46120.662870370368</v>
      </c>
      <c r="K1161" s="6" t="str" cm="1">
        <f t="array" ref="K1161">LOOKUP(2^15,SEARCH(Tabela2[Palavras-Chave],Boletim[[#This Row],[Objeto]],1),Tabela2[Palavras-Chave])</f>
        <v>JUNTA</v>
      </c>
    </row>
    <row r="1162" spans="1:11" hidden="1" x14ac:dyDescent="0.3">
      <c r="A1162" s="5">
        <v>18804736</v>
      </c>
      <c r="B1162" s="6" t="s">
        <v>866</v>
      </c>
      <c r="C1162" s="6" t="s">
        <v>299</v>
      </c>
      <c r="D1162" s="8" t="s">
        <v>66</v>
      </c>
      <c r="E1162" s="6" t="s">
        <v>402</v>
      </c>
      <c r="F1162" s="6" t="s">
        <v>85</v>
      </c>
      <c r="G1162" s="11">
        <v>46140.552083333336</v>
      </c>
      <c r="H1162" s="10" t="s">
        <v>1570</v>
      </c>
      <c r="I1162" s="6" t="s">
        <v>1571</v>
      </c>
      <c r="J1162" s="12">
        <v>46120.695949074077</v>
      </c>
      <c r="K1162" s="6" t="e" cm="1">
        <f t="array" ref="K1162">LOOKUP(2^15,SEARCH(Tabela2[Palavras-Chave],Boletim[[#This Row],[Objeto]],1),Tabela2[Palavras-Chave])</f>
        <v>#N/A</v>
      </c>
    </row>
    <row r="1163" spans="1:11" hidden="1" x14ac:dyDescent="0.3">
      <c r="A1163" s="5">
        <v>18805210</v>
      </c>
      <c r="B1163" s="6" t="s">
        <v>3057</v>
      </c>
      <c r="C1163" s="6" t="s">
        <v>3058</v>
      </c>
      <c r="D1163" s="8" t="s">
        <v>66</v>
      </c>
      <c r="E1163" s="6" t="s">
        <v>108</v>
      </c>
      <c r="F1163" s="6" t="s">
        <v>85</v>
      </c>
      <c r="G1163" s="11" t="s">
        <v>56</v>
      </c>
      <c r="H1163" s="10" t="s">
        <v>3059</v>
      </c>
      <c r="I1163" s="6" t="s">
        <v>3060</v>
      </c>
      <c r="J1163" s="12">
        <v>46120.742395833331</v>
      </c>
      <c r="K1163" s="6" t="e" cm="1">
        <f t="array" ref="K1163">LOOKUP(2^15,SEARCH(Tabela2[Palavras-Chave],Boletim[[#This Row],[Objeto]],1),Tabela2[Palavras-Chave])</f>
        <v>#N/A</v>
      </c>
    </row>
    <row r="1164" spans="1:11" hidden="1" x14ac:dyDescent="0.3">
      <c r="A1164" s="5">
        <v>18804298</v>
      </c>
      <c r="B1164" s="6" t="s">
        <v>367</v>
      </c>
      <c r="C1164" s="6" t="s">
        <v>368</v>
      </c>
      <c r="D1164" s="8" t="s">
        <v>66</v>
      </c>
      <c r="E1164" s="6" t="s">
        <v>148</v>
      </c>
      <c r="F1164" s="6" t="s">
        <v>85</v>
      </c>
      <c r="G1164" s="11">
        <v>46136.354166666664</v>
      </c>
      <c r="H1164" s="10" t="s">
        <v>1572</v>
      </c>
      <c r="I1164" s="6" t="s">
        <v>1573</v>
      </c>
      <c r="J1164" s="12">
        <v>46120.722268518519</v>
      </c>
      <c r="K1164" s="6" t="e" cm="1">
        <f t="array" ref="K1164">LOOKUP(2^15,SEARCH(Tabela2[Palavras-Chave],Boletim[[#This Row],[Objeto]],1),Tabela2[Palavras-Chave])</f>
        <v>#N/A</v>
      </c>
    </row>
    <row r="1165" spans="1:11" hidden="1" x14ac:dyDescent="0.3">
      <c r="A1165" s="5">
        <v>18804683</v>
      </c>
      <c r="B1165" s="6" t="s">
        <v>99</v>
      </c>
      <c r="C1165" s="6" t="s">
        <v>65</v>
      </c>
      <c r="D1165" s="8" t="s">
        <v>66</v>
      </c>
      <c r="E1165" s="6" t="s">
        <v>3061</v>
      </c>
      <c r="F1165" s="6" t="s">
        <v>85</v>
      </c>
      <c r="G1165" s="11">
        <v>46147.604166666664</v>
      </c>
      <c r="H1165" s="10" t="s">
        <v>3062</v>
      </c>
      <c r="I1165" s="6" t="s">
        <v>3063</v>
      </c>
      <c r="J1165" s="12">
        <v>46120.729664351849</v>
      </c>
      <c r="K1165" s="6" t="e" cm="1">
        <f t="array" ref="K1165">LOOKUP(2^15,SEARCH(Tabela2[Palavras-Chave],Boletim[[#This Row],[Objeto]],1),Tabela2[Palavras-Chave])</f>
        <v>#N/A</v>
      </c>
    </row>
    <row r="1166" spans="1:11" hidden="1" x14ac:dyDescent="0.3">
      <c r="A1166" s="5">
        <v>18804682</v>
      </c>
      <c r="B1166" s="6" t="s">
        <v>99</v>
      </c>
      <c r="C1166" s="6" t="s">
        <v>65</v>
      </c>
      <c r="D1166" s="8" t="s">
        <v>66</v>
      </c>
      <c r="E1166" s="6" t="s">
        <v>3064</v>
      </c>
      <c r="F1166" s="6" t="s">
        <v>85</v>
      </c>
      <c r="G1166" s="11">
        <v>46147.354166666664</v>
      </c>
      <c r="H1166" s="10" t="s">
        <v>3065</v>
      </c>
      <c r="I1166" s="6" t="s">
        <v>3066</v>
      </c>
      <c r="J1166" s="12">
        <v>46120.729699074072</v>
      </c>
      <c r="K1166" s="6" t="e" cm="1">
        <f t="array" ref="K1166">LOOKUP(2^15,SEARCH(Tabela2[Palavras-Chave],Boletim[[#This Row],[Objeto]],1),Tabela2[Palavras-Chave])</f>
        <v>#N/A</v>
      </c>
    </row>
    <row r="1167" spans="1:11" hidden="1" x14ac:dyDescent="0.3">
      <c r="A1167" s="5">
        <v>18802796</v>
      </c>
      <c r="B1167" s="6" t="s">
        <v>1555</v>
      </c>
      <c r="C1167" s="6" t="s">
        <v>65</v>
      </c>
      <c r="D1167" s="8" t="s">
        <v>66</v>
      </c>
      <c r="E1167" s="6" t="s">
        <v>112</v>
      </c>
      <c r="F1167" s="6" t="s">
        <v>85</v>
      </c>
      <c r="G1167" s="11" t="s">
        <v>56</v>
      </c>
      <c r="H1167" s="10" t="s">
        <v>1574</v>
      </c>
      <c r="I1167" s="6" t="s">
        <v>1575</v>
      </c>
      <c r="J1167" s="12">
        <v>46120.733981481484</v>
      </c>
      <c r="K1167" s="6" t="e" cm="1">
        <f t="array" ref="K1167">LOOKUP(2^15,SEARCH(Tabela2[Palavras-Chave],Boletim[[#This Row],[Objeto]],1),Tabela2[Palavras-Chave])</f>
        <v>#N/A</v>
      </c>
    </row>
    <row r="1168" spans="1:11" hidden="1" x14ac:dyDescent="0.3">
      <c r="A1168" s="5">
        <v>18802730</v>
      </c>
      <c r="B1168" s="6" t="s">
        <v>1576</v>
      </c>
      <c r="C1168" s="6" t="s">
        <v>233</v>
      </c>
      <c r="D1168" s="8" t="s">
        <v>66</v>
      </c>
      <c r="E1168" s="6" t="s">
        <v>157</v>
      </c>
      <c r="F1168" s="6" t="s">
        <v>85</v>
      </c>
      <c r="G1168" s="11" t="s">
        <v>56</v>
      </c>
      <c r="H1168" s="10" t="s">
        <v>1577</v>
      </c>
      <c r="I1168" s="6" t="s">
        <v>1578</v>
      </c>
      <c r="J1168" s="12">
        <v>46120.734756944446</v>
      </c>
      <c r="K1168" s="6" t="e" cm="1">
        <f t="array" ref="K1168">LOOKUP(2^15,SEARCH(Tabela2[Palavras-Chave],Boletim[[#This Row],[Objeto]],1),Tabela2[Palavras-Chave])</f>
        <v>#N/A</v>
      </c>
    </row>
    <row r="1169" spans="1:11" hidden="1" x14ac:dyDescent="0.3">
      <c r="A1169" s="5">
        <v>18801643</v>
      </c>
      <c r="B1169" s="6" t="s">
        <v>3067</v>
      </c>
      <c r="C1169" s="6" t="s">
        <v>3068</v>
      </c>
      <c r="D1169" s="8" t="s">
        <v>66</v>
      </c>
      <c r="E1169" s="6" t="s">
        <v>381</v>
      </c>
      <c r="F1169" s="6" t="s">
        <v>85</v>
      </c>
      <c r="G1169" s="11" t="s">
        <v>56</v>
      </c>
      <c r="H1169" s="10" t="s">
        <v>3069</v>
      </c>
      <c r="I1169" s="6" t="s">
        <v>3070</v>
      </c>
      <c r="J1169" s="12">
        <v>46120.735439814816</v>
      </c>
      <c r="K1169" s="6" t="e" cm="1">
        <f t="array" ref="K1169">LOOKUP(2^15,SEARCH(Tabela2[Palavras-Chave],Boletim[[#This Row],[Objeto]],1),Tabela2[Palavras-Chave])</f>
        <v>#N/A</v>
      </c>
    </row>
    <row r="1170" spans="1:11" hidden="1" x14ac:dyDescent="0.3">
      <c r="A1170" s="5">
        <v>18802785</v>
      </c>
      <c r="B1170" s="6" t="s">
        <v>363</v>
      </c>
      <c r="C1170" s="6" t="s">
        <v>328</v>
      </c>
      <c r="D1170" s="8" t="s">
        <v>66</v>
      </c>
      <c r="E1170" s="6" t="s">
        <v>152</v>
      </c>
      <c r="F1170" s="6" t="s">
        <v>85</v>
      </c>
      <c r="G1170" s="11" t="s">
        <v>56</v>
      </c>
      <c r="H1170" s="10" t="s">
        <v>1579</v>
      </c>
      <c r="I1170" s="6" t="s">
        <v>1580</v>
      </c>
      <c r="J1170" s="12">
        <v>46120.735925925925</v>
      </c>
      <c r="K1170" s="6" t="e" cm="1">
        <f t="array" ref="K1170">LOOKUP(2^15,SEARCH(Tabela2[Palavras-Chave],Boletim[[#This Row],[Objeto]],1),Tabela2[Palavras-Chave])</f>
        <v>#N/A</v>
      </c>
    </row>
    <row r="1171" spans="1:11" hidden="1" x14ac:dyDescent="0.3">
      <c r="A1171" s="5">
        <v>18802770</v>
      </c>
      <c r="B1171" s="6" t="s">
        <v>1581</v>
      </c>
      <c r="C1171" s="6" t="s">
        <v>1566</v>
      </c>
      <c r="D1171" s="8" t="s">
        <v>66</v>
      </c>
      <c r="E1171" s="6" t="s">
        <v>238</v>
      </c>
      <c r="F1171" s="6" t="s">
        <v>85</v>
      </c>
      <c r="G1171" s="11" t="s">
        <v>56</v>
      </c>
      <c r="H1171" s="10" t="s">
        <v>1582</v>
      </c>
      <c r="I1171" s="6" t="s">
        <v>1583</v>
      </c>
      <c r="J1171" s="12">
        <v>46120.736087962963</v>
      </c>
      <c r="K1171" s="6" t="e" cm="1">
        <f t="array" ref="K1171">LOOKUP(2^15,SEARCH(Tabela2[Palavras-Chave],Boletim[[#This Row],[Objeto]],1),Tabela2[Palavras-Chave])</f>
        <v>#N/A</v>
      </c>
    </row>
    <row r="1172" spans="1:11" hidden="1" x14ac:dyDescent="0.3">
      <c r="A1172" s="5">
        <v>18805514</v>
      </c>
      <c r="B1172" s="6" t="s">
        <v>361</v>
      </c>
      <c r="C1172" s="6" t="s">
        <v>362</v>
      </c>
      <c r="D1172" s="8" t="s">
        <v>66</v>
      </c>
      <c r="E1172" s="6" t="s">
        <v>128</v>
      </c>
      <c r="F1172" s="6" t="s">
        <v>85</v>
      </c>
      <c r="G1172" s="11">
        <v>46135.333333333336</v>
      </c>
      <c r="H1172" s="10" t="s">
        <v>1584</v>
      </c>
      <c r="I1172" s="6" t="s">
        <v>1585</v>
      </c>
      <c r="J1172" s="12">
        <v>46120.82571759259</v>
      </c>
      <c r="K1172" s="6" t="e" cm="1">
        <f t="array" ref="K1172">LOOKUP(2^15,SEARCH(Tabela2[Palavras-Chave],Boletim[[#This Row],[Objeto]],1),Tabela2[Palavras-Chave])</f>
        <v>#N/A</v>
      </c>
    </row>
    <row r="1173" spans="1:11" hidden="1" x14ac:dyDescent="0.3">
      <c r="A1173" s="5">
        <v>18804225</v>
      </c>
      <c r="B1173" s="6" t="s">
        <v>1586</v>
      </c>
      <c r="C1173" s="6" t="s">
        <v>1587</v>
      </c>
      <c r="D1173" s="8" t="s">
        <v>66</v>
      </c>
      <c r="E1173" s="6" t="s">
        <v>223</v>
      </c>
      <c r="F1173" s="6" t="s">
        <v>85</v>
      </c>
      <c r="G1173" s="11">
        <v>46132.395833333336</v>
      </c>
      <c r="H1173" s="10" t="s">
        <v>1588</v>
      </c>
      <c r="I1173" s="6" t="s">
        <v>1589</v>
      </c>
      <c r="J1173" s="12">
        <v>46120.738252314812</v>
      </c>
      <c r="K1173" s="6" t="e" cm="1">
        <f t="array" ref="K1173">LOOKUP(2^15,SEARCH(Tabela2[Palavras-Chave],Boletim[[#This Row],[Objeto]],1),Tabela2[Palavras-Chave])</f>
        <v>#N/A</v>
      </c>
    </row>
    <row r="1174" spans="1:11" hidden="1" x14ac:dyDescent="0.3">
      <c r="A1174" s="5">
        <v>18804462</v>
      </c>
      <c r="B1174" s="6" t="s">
        <v>3071</v>
      </c>
      <c r="C1174" s="6" t="s">
        <v>65</v>
      </c>
      <c r="D1174" s="8" t="s">
        <v>66</v>
      </c>
      <c r="E1174" s="6" t="s">
        <v>3072</v>
      </c>
      <c r="F1174" s="6" t="s">
        <v>85</v>
      </c>
      <c r="G1174" s="11" t="s">
        <v>56</v>
      </c>
      <c r="H1174" s="10" t="s">
        <v>3073</v>
      </c>
      <c r="I1174" s="6" t="s">
        <v>3074</v>
      </c>
      <c r="J1174" s="12">
        <v>46120.746782407405</v>
      </c>
      <c r="K1174" s="6" t="e" cm="1">
        <f t="array" ref="K1174">LOOKUP(2^15,SEARCH(Tabela2[Palavras-Chave],Boletim[[#This Row],[Objeto]],1),Tabela2[Palavras-Chave])</f>
        <v>#N/A</v>
      </c>
    </row>
    <row r="1175" spans="1:11" hidden="1" x14ac:dyDescent="0.3">
      <c r="A1175" s="5">
        <v>18804818</v>
      </c>
      <c r="B1175" s="6" t="s">
        <v>3071</v>
      </c>
      <c r="C1175" s="6" t="s">
        <v>65</v>
      </c>
      <c r="D1175" s="8" t="s">
        <v>66</v>
      </c>
      <c r="E1175" s="6" t="s">
        <v>404</v>
      </c>
      <c r="F1175" s="6" t="s">
        <v>85</v>
      </c>
      <c r="G1175" s="11">
        <v>46147.375</v>
      </c>
      <c r="H1175" s="10" t="s">
        <v>3075</v>
      </c>
      <c r="I1175" s="6" t="s">
        <v>3076</v>
      </c>
      <c r="J1175" s="12">
        <v>46120.747187499997</v>
      </c>
      <c r="K1175" s="6" t="e" cm="1">
        <f t="array" ref="K1175">LOOKUP(2^15,SEARCH(Tabela2[Palavras-Chave],Boletim[[#This Row],[Objeto]],1),Tabela2[Palavras-Chave])</f>
        <v>#N/A</v>
      </c>
    </row>
    <row r="1176" spans="1:11" hidden="1" x14ac:dyDescent="0.3">
      <c r="A1176" s="5">
        <v>18804667</v>
      </c>
      <c r="B1176" s="6" t="s">
        <v>1590</v>
      </c>
      <c r="C1176" s="6" t="s">
        <v>1591</v>
      </c>
      <c r="D1176" s="8" t="s">
        <v>66</v>
      </c>
      <c r="E1176" s="6" t="s">
        <v>1499</v>
      </c>
      <c r="F1176" s="6" t="s">
        <v>85</v>
      </c>
      <c r="G1176" s="11">
        <v>46134.375</v>
      </c>
      <c r="H1176" s="10" t="s">
        <v>1592</v>
      </c>
      <c r="I1176" s="6" t="s">
        <v>1593</v>
      </c>
      <c r="J1176" s="12">
        <v>46120.753495370373</v>
      </c>
      <c r="K1176" s="6" t="e" cm="1">
        <f t="array" ref="K1176">LOOKUP(2^15,SEARCH(Tabela2[Palavras-Chave],Boletim[[#This Row],[Objeto]],1),Tabela2[Palavras-Chave])</f>
        <v>#N/A</v>
      </c>
    </row>
    <row r="1177" spans="1:11" hidden="1" x14ac:dyDescent="0.3">
      <c r="A1177" s="5">
        <v>18805640</v>
      </c>
      <c r="B1177" s="6" t="s">
        <v>1594</v>
      </c>
      <c r="C1177" s="6" t="s">
        <v>1595</v>
      </c>
      <c r="D1177" s="8" t="s">
        <v>66</v>
      </c>
      <c r="E1177" s="6" t="s">
        <v>435</v>
      </c>
      <c r="F1177" s="6" t="s">
        <v>85</v>
      </c>
      <c r="G1177" s="11">
        <v>46129.333333333336</v>
      </c>
      <c r="H1177" s="10" t="s">
        <v>1596</v>
      </c>
      <c r="I1177" s="6" t="s">
        <v>1597</v>
      </c>
      <c r="J1177" s="12">
        <v>46120.758958333332</v>
      </c>
      <c r="K1177" s="6" t="e" cm="1">
        <f t="array" ref="K1177">LOOKUP(2^15,SEARCH(Tabela2[Palavras-Chave],Boletim[[#This Row],[Objeto]],1),Tabela2[Palavras-Chave])</f>
        <v>#N/A</v>
      </c>
    </row>
    <row r="1178" spans="1:11" hidden="1" x14ac:dyDescent="0.3">
      <c r="A1178" s="5">
        <v>18804651</v>
      </c>
      <c r="B1178" s="6" t="s">
        <v>1598</v>
      </c>
      <c r="C1178" s="6" t="s">
        <v>1599</v>
      </c>
      <c r="D1178" s="8" t="s">
        <v>66</v>
      </c>
      <c r="E1178" s="6" t="s">
        <v>120</v>
      </c>
      <c r="F1178" s="6" t="s">
        <v>85</v>
      </c>
      <c r="G1178" s="11">
        <v>46135.375</v>
      </c>
      <c r="H1178" s="10" t="s">
        <v>1600</v>
      </c>
      <c r="I1178" s="6" t="s">
        <v>1601</v>
      </c>
      <c r="J1178" s="12">
        <v>46120.759780092594</v>
      </c>
      <c r="K1178" s="6" t="e" cm="1">
        <f t="array" ref="K1178">LOOKUP(2^15,SEARCH(Tabela2[Palavras-Chave],Boletim[[#This Row],[Objeto]],1),Tabela2[Palavras-Chave])</f>
        <v>#N/A</v>
      </c>
    </row>
    <row r="1179" spans="1:11" hidden="1" x14ac:dyDescent="0.3">
      <c r="A1179" s="5">
        <v>18805656</v>
      </c>
      <c r="B1179" s="6" t="s">
        <v>1602</v>
      </c>
      <c r="C1179" s="6" t="s">
        <v>1603</v>
      </c>
      <c r="D1179" s="8" t="s">
        <v>66</v>
      </c>
      <c r="E1179" s="6" t="s">
        <v>134</v>
      </c>
      <c r="F1179" s="6" t="s">
        <v>85</v>
      </c>
      <c r="G1179" s="11" t="s">
        <v>56</v>
      </c>
      <c r="H1179" s="10" t="s">
        <v>1604</v>
      </c>
      <c r="I1179" s="6" t="s">
        <v>1605</v>
      </c>
      <c r="J1179" s="12">
        <v>46120.762048611112</v>
      </c>
      <c r="K1179" s="6" t="e" cm="1">
        <f t="array" ref="K1179">LOOKUP(2^15,SEARCH(Tabela2[Palavras-Chave],Boletim[[#This Row],[Objeto]],1),Tabela2[Palavras-Chave])</f>
        <v>#N/A</v>
      </c>
    </row>
    <row r="1180" spans="1:11" ht="43.2" x14ac:dyDescent="0.3">
      <c r="A1180" s="5">
        <v>18805757</v>
      </c>
      <c r="B1180" s="6" t="s">
        <v>1606</v>
      </c>
      <c r="C1180" s="6" t="s">
        <v>1607</v>
      </c>
      <c r="D1180" s="8" t="s">
        <v>66</v>
      </c>
      <c r="E1180" s="6" t="s">
        <v>143</v>
      </c>
      <c r="F1180" s="6" t="s">
        <v>85</v>
      </c>
      <c r="G1180" s="11">
        <v>46146.354166666664</v>
      </c>
      <c r="H1180" s="21" t="s">
        <v>1608</v>
      </c>
      <c r="I1180" s="6" t="s">
        <v>1609</v>
      </c>
      <c r="J1180" s="12">
        <v>46120.80976851852</v>
      </c>
      <c r="K1180" s="6" t="str" cm="1">
        <f t="array" ref="K1180">LOOKUP(2^15,SEARCH(Tabela2[Palavras-Chave],Boletim[[#This Row],[Objeto]],1),Tabela2[Palavras-Chave])</f>
        <v>BOMBEAMENTO</v>
      </c>
    </row>
    <row r="1181" spans="1:11" hidden="1" x14ac:dyDescent="0.3">
      <c r="A1181" s="5">
        <v>18805756</v>
      </c>
      <c r="B1181" s="6" t="s">
        <v>373</v>
      </c>
      <c r="C1181" s="6" t="s">
        <v>233</v>
      </c>
      <c r="D1181" s="8" t="s">
        <v>66</v>
      </c>
      <c r="E1181" s="6" t="s">
        <v>265</v>
      </c>
      <c r="F1181" s="6" t="s">
        <v>85</v>
      </c>
      <c r="G1181" s="11">
        <v>46139.354166666664</v>
      </c>
      <c r="H1181" s="10" t="s">
        <v>1610</v>
      </c>
      <c r="I1181" s="6" t="s">
        <v>1611</v>
      </c>
      <c r="J1181" s="12">
        <v>46120.829039351855</v>
      </c>
      <c r="K1181" s="6" t="e" cm="1">
        <f t="array" ref="K1181">LOOKUP(2^15,SEARCH(Tabela2[Palavras-Chave],Boletim[[#This Row],[Objeto]],1),Tabela2[Palavras-Chave])</f>
        <v>#N/A</v>
      </c>
    </row>
    <row r="1182" spans="1:11" hidden="1" x14ac:dyDescent="0.3">
      <c r="A1182" s="5">
        <v>18804688</v>
      </c>
      <c r="B1182" s="6" t="s">
        <v>99</v>
      </c>
      <c r="C1182" s="6" t="s">
        <v>65</v>
      </c>
      <c r="D1182" s="8" t="s">
        <v>66</v>
      </c>
      <c r="E1182" s="6" t="s">
        <v>3077</v>
      </c>
      <c r="F1182" s="6" t="s">
        <v>85</v>
      </c>
      <c r="G1182" s="11">
        <v>46140.375</v>
      </c>
      <c r="H1182" s="10" t="s">
        <v>3078</v>
      </c>
      <c r="I1182" s="6" t="s">
        <v>3079</v>
      </c>
      <c r="J1182" s="12">
        <v>46120.767685185187</v>
      </c>
      <c r="K1182" s="6" t="e" cm="1">
        <f t="array" ref="K1182">LOOKUP(2^15,SEARCH(Tabela2[Palavras-Chave],Boletim[[#This Row],[Objeto]],1),Tabela2[Palavras-Chave])</f>
        <v>#N/A</v>
      </c>
    </row>
    <row r="1183" spans="1:11" hidden="1" x14ac:dyDescent="0.3">
      <c r="A1183" s="5">
        <v>18803928</v>
      </c>
      <c r="B1183" s="6" t="s">
        <v>1612</v>
      </c>
      <c r="C1183" s="6" t="s">
        <v>1613</v>
      </c>
      <c r="D1183" s="8" t="s">
        <v>66</v>
      </c>
      <c r="E1183" s="6" t="s">
        <v>142</v>
      </c>
      <c r="F1183" s="6" t="s">
        <v>85</v>
      </c>
      <c r="G1183" s="11">
        <v>46136.332638888889</v>
      </c>
      <c r="H1183" s="10" t="s">
        <v>1614</v>
      </c>
      <c r="I1183" s="6" t="s">
        <v>1615</v>
      </c>
      <c r="J1183" s="12">
        <v>46120.777592592596</v>
      </c>
      <c r="K1183" s="6" t="e" cm="1">
        <f t="array" ref="K1183">LOOKUP(2^15,SEARCH(Tabela2[Palavras-Chave],Boletim[[#This Row],[Objeto]],1),Tabela2[Palavras-Chave])</f>
        <v>#N/A</v>
      </c>
    </row>
    <row r="1184" spans="1:11" hidden="1" x14ac:dyDescent="0.3">
      <c r="A1184" s="5">
        <v>18805729</v>
      </c>
      <c r="B1184" s="6" t="s">
        <v>3080</v>
      </c>
      <c r="C1184" s="6" t="s">
        <v>3081</v>
      </c>
      <c r="D1184" s="8" t="s">
        <v>66</v>
      </c>
      <c r="E1184" s="6" t="s">
        <v>244</v>
      </c>
      <c r="F1184" s="6" t="s">
        <v>85</v>
      </c>
      <c r="G1184" s="11" t="s">
        <v>56</v>
      </c>
      <c r="H1184" s="10" t="s">
        <v>3082</v>
      </c>
      <c r="I1184" s="6" t="s">
        <v>3083</v>
      </c>
      <c r="J1184" s="12">
        <v>46120.805219907408</v>
      </c>
      <c r="K1184" s="6" t="e" cm="1">
        <f t="array" ref="K1184">LOOKUP(2^15,SEARCH(Tabela2[Palavras-Chave],Boletim[[#This Row],[Objeto]],1),Tabela2[Palavras-Chave])</f>
        <v>#N/A</v>
      </c>
    </row>
    <row r="1185" spans="1:11" hidden="1" x14ac:dyDescent="0.3">
      <c r="A1185" s="5">
        <v>18806068</v>
      </c>
      <c r="B1185" s="6" t="s">
        <v>1616</v>
      </c>
      <c r="C1185" s="6" t="s">
        <v>1617</v>
      </c>
      <c r="D1185" s="8" t="s">
        <v>66</v>
      </c>
      <c r="E1185" s="6" t="s">
        <v>374</v>
      </c>
      <c r="F1185" s="6" t="s">
        <v>85</v>
      </c>
      <c r="G1185" s="11" t="s">
        <v>56</v>
      </c>
      <c r="H1185" s="10" t="s">
        <v>1618</v>
      </c>
      <c r="I1185" s="6" t="s">
        <v>1619</v>
      </c>
      <c r="J1185" s="12">
        <v>46120.813935185186</v>
      </c>
      <c r="K1185" s="6" t="e" cm="1">
        <f t="array" ref="K1185">LOOKUP(2^15,SEARCH(Tabela2[Palavras-Chave],Boletim[[#This Row],[Objeto]],1),Tabela2[Palavras-Chave])</f>
        <v>#N/A</v>
      </c>
    </row>
    <row r="1186" spans="1:11" hidden="1" x14ac:dyDescent="0.3">
      <c r="A1186" s="5">
        <v>18798064</v>
      </c>
      <c r="B1186" s="6" t="s">
        <v>1620</v>
      </c>
      <c r="C1186" s="6" t="s">
        <v>1542</v>
      </c>
      <c r="D1186" s="8" t="s">
        <v>66</v>
      </c>
      <c r="E1186" s="6" t="s">
        <v>114</v>
      </c>
      <c r="F1186" s="6" t="s">
        <v>85</v>
      </c>
      <c r="G1186" s="11">
        <v>46162.395833333336</v>
      </c>
      <c r="H1186" s="10" t="s">
        <v>1621</v>
      </c>
      <c r="I1186" s="6" t="s">
        <v>1622</v>
      </c>
      <c r="J1186" s="12">
        <v>46120.816724537035</v>
      </c>
      <c r="K1186" s="6" t="e" cm="1">
        <f t="array" ref="K1186">LOOKUP(2^15,SEARCH(Tabela2[Palavras-Chave],Boletim[[#This Row],[Objeto]],1),Tabela2[Palavras-Chave])</f>
        <v>#N/A</v>
      </c>
    </row>
    <row r="1187" spans="1:11" hidden="1" x14ac:dyDescent="0.3">
      <c r="A1187" s="5">
        <v>18806178</v>
      </c>
      <c r="B1187" s="6" t="s">
        <v>1623</v>
      </c>
      <c r="C1187" s="6" t="s">
        <v>1624</v>
      </c>
      <c r="D1187" s="8" t="s">
        <v>66</v>
      </c>
      <c r="E1187" s="6" t="s">
        <v>1625</v>
      </c>
      <c r="F1187" s="6" t="s">
        <v>85</v>
      </c>
      <c r="G1187" s="11" t="s">
        <v>56</v>
      </c>
      <c r="H1187" s="10" t="s">
        <v>1626</v>
      </c>
      <c r="I1187" s="6" t="s">
        <v>1627</v>
      </c>
      <c r="J1187" s="12">
        <v>46120.823541666665</v>
      </c>
      <c r="K1187" s="6" t="e" cm="1">
        <f t="array" ref="K1187">LOOKUP(2^15,SEARCH(Tabela2[Palavras-Chave],Boletim[[#This Row],[Objeto]],1),Tabela2[Palavras-Chave])</f>
        <v>#N/A</v>
      </c>
    </row>
    <row r="1188" spans="1:11" hidden="1" x14ac:dyDescent="0.3">
      <c r="A1188" s="5">
        <v>18806195</v>
      </c>
      <c r="B1188" s="6" t="s">
        <v>3084</v>
      </c>
      <c r="C1188" s="6" t="s">
        <v>3085</v>
      </c>
      <c r="D1188" s="8" t="s">
        <v>66</v>
      </c>
      <c r="E1188" s="6" t="s">
        <v>148</v>
      </c>
      <c r="F1188" s="6" t="s">
        <v>85</v>
      </c>
      <c r="G1188" s="11" t="s">
        <v>56</v>
      </c>
      <c r="H1188" s="10" t="s">
        <v>3086</v>
      </c>
      <c r="I1188" s="6" t="s">
        <v>3087</v>
      </c>
      <c r="J1188" s="12">
        <v>46120.837326388886</v>
      </c>
      <c r="K1188" s="6" t="e" cm="1">
        <f t="array" ref="K1188">LOOKUP(2^15,SEARCH(Tabela2[Palavras-Chave],Boletim[[#This Row],[Objeto]],1),Tabela2[Palavras-Chave])</f>
        <v>#N/A</v>
      </c>
    </row>
    <row r="1189" spans="1:11" hidden="1" x14ac:dyDescent="0.3">
      <c r="A1189" s="5">
        <v>18806236</v>
      </c>
      <c r="B1189" s="6" t="s">
        <v>1616</v>
      </c>
      <c r="C1189" s="6" t="s">
        <v>1617</v>
      </c>
      <c r="D1189" s="8" t="s">
        <v>66</v>
      </c>
      <c r="E1189" s="6" t="s">
        <v>155</v>
      </c>
      <c r="F1189" s="6" t="s">
        <v>85</v>
      </c>
      <c r="G1189" s="11">
        <v>46136.333333333336</v>
      </c>
      <c r="H1189" s="10" t="s">
        <v>3088</v>
      </c>
      <c r="I1189" s="6" t="s">
        <v>3089</v>
      </c>
      <c r="J1189" s="12">
        <v>46120.837997685187</v>
      </c>
      <c r="K1189" s="6" t="e" cm="1">
        <f t="array" ref="K1189">LOOKUP(2^15,SEARCH(Tabela2[Palavras-Chave],Boletim[[#This Row],[Objeto]],1),Tabela2[Palavras-Chave])</f>
        <v>#N/A</v>
      </c>
    </row>
    <row r="1190" spans="1:11" hidden="1" x14ac:dyDescent="0.3">
      <c r="A1190" s="5">
        <v>18781869</v>
      </c>
      <c r="B1190" s="6" t="s">
        <v>416</v>
      </c>
      <c r="C1190" s="6" t="s">
        <v>65</v>
      </c>
      <c r="D1190" s="8" t="s">
        <v>66</v>
      </c>
      <c r="E1190" s="6" t="s">
        <v>1628</v>
      </c>
      <c r="F1190" s="6" t="s">
        <v>85</v>
      </c>
      <c r="G1190" s="11" t="s">
        <v>56</v>
      </c>
      <c r="H1190" s="10" t="s">
        <v>1629</v>
      </c>
      <c r="I1190" s="6" t="s">
        <v>1630</v>
      </c>
      <c r="J1190" s="12">
        <v>46120.839930555558</v>
      </c>
      <c r="K1190" s="6" t="e" cm="1">
        <f t="array" ref="K1190">LOOKUP(2^15,SEARCH(Tabela2[Palavras-Chave],Boletim[[#This Row],[Objeto]],1),Tabela2[Palavras-Chave])</f>
        <v>#N/A</v>
      </c>
    </row>
    <row r="1191" spans="1:11" hidden="1" x14ac:dyDescent="0.3">
      <c r="A1191" s="5">
        <v>18805364</v>
      </c>
      <c r="B1191" s="6" t="s">
        <v>371</v>
      </c>
      <c r="C1191" s="6" t="s">
        <v>231</v>
      </c>
      <c r="D1191" s="8" t="s">
        <v>66</v>
      </c>
      <c r="E1191" s="6" t="s">
        <v>106</v>
      </c>
      <c r="F1191" s="6" t="s">
        <v>85</v>
      </c>
      <c r="G1191" s="11" t="s">
        <v>56</v>
      </c>
      <c r="H1191" s="10" t="s">
        <v>1631</v>
      </c>
      <c r="I1191" s="6" t="s">
        <v>1632</v>
      </c>
      <c r="J1191" s="12">
        <v>46120.871122685188</v>
      </c>
      <c r="K1191" s="6" t="e" cm="1">
        <f t="array" ref="K1191">LOOKUP(2^15,SEARCH(Tabela2[Palavras-Chave],Boletim[[#This Row],[Objeto]],1),Tabela2[Palavras-Chave])</f>
        <v>#N/A</v>
      </c>
    </row>
    <row r="1192" spans="1:11" hidden="1" x14ac:dyDescent="0.3">
      <c r="A1192" s="5">
        <v>18804643</v>
      </c>
      <c r="B1192" s="6" t="s">
        <v>248</v>
      </c>
      <c r="C1192" s="6" t="s">
        <v>65</v>
      </c>
      <c r="D1192" s="8" t="s">
        <v>66</v>
      </c>
      <c r="E1192" s="6" t="s">
        <v>1633</v>
      </c>
      <c r="F1192" s="6" t="s">
        <v>85</v>
      </c>
      <c r="G1192" s="11" t="s">
        <v>56</v>
      </c>
      <c r="H1192" s="10" t="s">
        <v>1634</v>
      </c>
      <c r="I1192" s="6" t="s">
        <v>1635</v>
      </c>
      <c r="J1192" s="12">
        <v>46120.875659722224</v>
      </c>
      <c r="K1192" s="6" t="e" cm="1">
        <f t="array" ref="K1192">LOOKUP(2^15,SEARCH(Tabela2[Palavras-Chave],Boletim[[#This Row],[Objeto]],1),Tabela2[Palavras-Chave])</f>
        <v>#N/A</v>
      </c>
    </row>
    <row r="1193" spans="1:11" hidden="1" x14ac:dyDescent="0.3">
      <c r="A1193" s="5">
        <v>18804640</v>
      </c>
      <c r="B1193" s="6" t="s">
        <v>3090</v>
      </c>
      <c r="C1193" s="6" t="s">
        <v>65</v>
      </c>
      <c r="D1193" s="8" t="s">
        <v>66</v>
      </c>
      <c r="E1193" s="6" t="s">
        <v>3091</v>
      </c>
      <c r="F1193" s="6" t="s">
        <v>85</v>
      </c>
      <c r="G1193" s="11" t="s">
        <v>56</v>
      </c>
      <c r="H1193" s="10" t="s">
        <v>3092</v>
      </c>
      <c r="I1193" s="6" t="s">
        <v>3093</v>
      </c>
      <c r="J1193" s="12">
        <v>46120.875983796293</v>
      </c>
      <c r="K1193" s="6" t="e" cm="1">
        <f t="array" ref="K1193">LOOKUP(2^15,SEARCH(Tabela2[Palavras-Chave],Boletim[[#This Row],[Objeto]],1),Tabela2[Palavras-Chave])</f>
        <v>#N/A</v>
      </c>
    </row>
    <row r="1194" spans="1:11" hidden="1" x14ac:dyDescent="0.3">
      <c r="A1194" s="5">
        <v>18804203</v>
      </c>
      <c r="B1194" s="6" t="s">
        <v>3094</v>
      </c>
      <c r="C1194" s="6" t="s">
        <v>3095</v>
      </c>
      <c r="D1194" s="8" t="s">
        <v>66</v>
      </c>
      <c r="E1194" s="6" t="s">
        <v>134</v>
      </c>
      <c r="F1194" s="6" t="s">
        <v>85</v>
      </c>
      <c r="G1194" s="11">
        <v>46140.364583333336</v>
      </c>
      <c r="H1194" s="10" t="s">
        <v>3096</v>
      </c>
      <c r="I1194" s="6" t="s">
        <v>3097</v>
      </c>
      <c r="J1194" s="12">
        <v>46120.883402777778</v>
      </c>
      <c r="K1194" s="6" t="e" cm="1">
        <f t="array" ref="K1194">LOOKUP(2^15,SEARCH(Tabela2[Palavras-Chave],Boletim[[#This Row],[Objeto]],1),Tabela2[Palavras-Chave])</f>
        <v>#N/A</v>
      </c>
    </row>
    <row r="1195" spans="1:11" hidden="1" x14ac:dyDescent="0.3">
      <c r="A1195" s="5">
        <v>18804220</v>
      </c>
      <c r="B1195" s="6" t="s">
        <v>3098</v>
      </c>
      <c r="C1195" s="6" t="s">
        <v>3099</v>
      </c>
      <c r="D1195" s="8" t="s">
        <v>66</v>
      </c>
      <c r="E1195" s="6" t="s">
        <v>126</v>
      </c>
      <c r="F1195" s="6" t="s">
        <v>85</v>
      </c>
      <c r="G1195" s="11">
        <v>46139.354166666664</v>
      </c>
      <c r="H1195" s="10" t="s">
        <v>3100</v>
      </c>
      <c r="I1195" s="6" t="s">
        <v>3101</v>
      </c>
      <c r="J1195" s="12">
        <v>46120.884143518517</v>
      </c>
      <c r="K1195" s="6" t="e" cm="1">
        <f t="array" ref="K1195">LOOKUP(2^15,SEARCH(Tabela2[Palavras-Chave],Boletim[[#This Row],[Objeto]],1),Tabela2[Palavras-Chave])</f>
        <v>#N/A</v>
      </c>
    </row>
    <row r="1196" spans="1:11" hidden="1" x14ac:dyDescent="0.3">
      <c r="A1196" s="5">
        <v>18804768</v>
      </c>
      <c r="B1196" s="6" t="s">
        <v>1636</v>
      </c>
      <c r="C1196" s="6" t="s">
        <v>200</v>
      </c>
      <c r="D1196" s="8" t="s">
        <v>66</v>
      </c>
      <c r="E1196" s="6" t="s">
        <v>117</v>
      </c>
      <c r="F1196" s="6" t="s">
        <v>85</v>
      </c>
      <c r="G1196" s="11">
        <v>46135.354166666664</v>
      </c>
      <c r="H1196" s="10" t="s">
        <v>1637</v>
      </c>
      <c r="I1196" s="6" t="s">
        <v>1638</v>
      </c>
      <c r="J1196" s="12">
        <v>46120.888877314814</v>
      </c>
      <c r="K1196" s="6" t="e" cm="1">
        <f t="array" ref="K1196">LOOKUP(2^15,SEARCH(Tabela2[Palavras-Chave],Boletim[[#This Row],[Objeto]],1),Tabela2[Palavras-Chave])</f>
        <v>#N/A</v>
      </c>
    </row>
    <row r="1197" spans="1:11" hidden="1" x14ac:dyDescent="0.3">
      <c r="A1197" s="5">
        <v>18804050</v>
      </c>
      <c r="B1197" s="6" t="s">
        <v>1639</v>
      </c>
      <c r="C1197" s="6" t="s">
        <v>1640</v>
      </c>
      <c r="D1197" s="8" t="s">
        <v>66</v>
      </c>
      <c r="E1197" s="6" t="s">
        <v>128</v>
      </c>
      <c r="F1197" s="6" t="s">
        <v>85</v>
      </c>
      <c r="G1197" s="11">
        <v>46134.364583333336</v>
      </c>
      <c r="H1197" s="10" t="s">
        <v>1641</v>
      </c>
      <c r="I1197" s="6" t="s">
        <v>1642</v>
      </c>
      <c r="J1197" s="12">
        <v>46120.889027777775</v>
      </c>
      <c r="K1197" s="6" t="e" cm="1">
        <f t="array" ref="K1197">LOOKUP(2^15,SEARCH(Tabela2[Palavras-Chave],Boletim[[#This Row],[Objeto]],1),Tabela2[Palavras-Chave])</f>
        <v>#N/A</v>
      </c>
    </row>
    <row r="1198" spans="1:11" ht="172.8" x14ac:dyDescent="0.3">
      <c r="A1198" s="5">
        <v>18802631</v>
      </c>
      <c r="B1198" s="6" t="s">
        <v>1643</v>
      </c>
      <c r="C1198" s="6" t="s">
        <v>1644</v>
      </c>
      <c r="D1198" s="8" t="s">
        <v>67</v>
      </c>
      <c r="E1198" s="6" t="s">
        <v>157</v>
      </c>
      <c r="F1198" s="6" t="s">
        <v>85</v>
      </c>
      <c r="G1198" s="11" t="s">
        <v>56</v>
      </c>
      <c r="H1198" s="21" t="s">
        <v>1645</v>
      </c>
      <c r="I1198" s="6" t="s">
        <v>1646</v>
      </c>
      <c r="J1198" s="12">
        <v>46120.546805555554</v>
      </c>
      <c r="K1198" s="6" t="str" cm="1">
        <f t="array" ref="K1198">LOOKUP(2^15,SEARCH(Tabela2[Palavras-Chave],Boletim[[#This Row],[Objeto]],1),Tabela2[Palavras-Chave])</f>
        <v>TANQUE</v>
      </c>
    </row>
    <row r="1199" spans="1:11" hidden="1" x14ac:dyDescent="0.3">
      <c r="A1199" s="5">
        <v>18802638</v>
      </c>
      <c r="B1199" s="6" t="s">
        <v>1647</v>
      </c>
      <c r="C1199" s="6" t="s">
        <v>123</v>
      </c>
      <c r="D1199" s="8" t="s">
        <v>67</v>
      </c>
      <c r="E1199" s="6" t="s">
        <v>286</v>
      </c>
      <c r="F1199" s="6" t="s">
        <v>85</v>
      </c>
      <c r="G1199" s="11" t="s">
        <v>56</v>
      </c>
      <c r="H1199" s="10" t="s">
        <v>1648</v>
      </c>
      <c r="I1199" s="6" t="s">
        <v>1649</v>
      </c>
      <c r="J1199" s="12">
        <v>46120.596087962964</v>
      </c>
      <c r="K1199" s="6" t="e" cm="1">
        <f t="array" ref="K1199">LOOKUP(2^15,SEARCH(Tabela2[Palavras-Chave],Boletim[[#This Row],[Objeto]],1),Tabela2[Palavras-Chave])</f>
        <v>#N/A</v>
      </c>
    </row>
    <row r="1200" spans="1:11" hidden="1" x14ac:dyDescent="0.3">
      <c r="A1200" s="5">
        <v>18803927</v>
      </c>
      <c r="B1200" s="6" t="s">
        <v>3102</v>
      </c>
      <c r="C1200" s="6" t="s">
        <v>3103</v>
      </c>
      <c r="D1200" s="8" t="s">
        <v>67</v>
      </c>
      <c r="E1200" s="6" t="s">
        <v>426</v>
      </c>
      <c r="F1200" s="6" t="s">
        <v>85</v>
      </c>
      <c r="G1200" s="11" t="s">
        <v>56</v>
      </c>
      <c r="H1200" s="10" t="s">
        <v>3104</v>
      </c>
      <c r="I1200" s="6" t="s">
        <v>3105</v>
      </c>
      <c r="J1200" s="12">
        <v>46120.60434027778</v>
      </c>
      <c r="K1200" s="6" t="e" cm="1">
        <f t="array" ref="K1200">LOOKUP(2^15,SEARCH(Tabela2[Palavras-Chave],Boletim[[#This Row],[Objeto]],1),Tabela2[Palavras-Chave])</f>
        <v>#N/A</v>
      </c>
    </row>
    <row r="1201" spans="1:11" hidden="1" x14ac:dyDescent="0.3">
      <c r="A1201" s="5">
        <v>18804152</v>
      </c>
      <c r="B1201" s="6" t="s">
        <v>1650</v>
      </c>
      <c r="C1201" s="6" t="s">
        <v>1651</v>
      </c>
      <c r="D1201" s="8" t="s">
        <v>67</v>
      </c>
      <c r="E1201" s="6" t="s">
        <v>128</v>
      </c>
      <c r="F1201" s="6" t="s">
        <v>85</v>
      </c>
      <c r="G1201" s="11">
        <v>46134.375</v>
      </c>
      <c r="H1201" s="10" t="s">
        <v>1652</v>
      </c>
      <c r="I1201" s="6" t="s">
        <v>90</v>
      </c>
      <c r="J1201" s="12">
        <v>46120.612835648149</v>
      </c>
      <c r="K1201" s="6" t="e" cm="1">
        <f t="array" ref="K1201">LOOKUP(2^15,SEARCH(Tabela2[Palavras-Chave],Boletim[[#This Row],[Objeto]],1),Tabela2[Palavras-Chave])</f>
        <v>#N/A</v>
      </c>
    </row>
    <row r="1202" spans="1:11" hidden="1" x14ac:dyDescent="0.3">
      <c r="A1202" s="5">
        <v>18804020</v>
      </c>
      <c r="B1202" s="6" t="s">
        <v>1653</v>
      </c>
      <c r="C1202" s="6" t="s">
        <v>1654</v>
      </c>
      <c r="D1202" s="8" t="s">
        <v>67</v>
      </c>
      <c r="E1202" s="6" t="s">
        <v>117</v>
      </c>
      <c r="F1202" s="6" t="s">
        <v>85</v>
      </c>
      <c r="G1202" s="11">
        <v>46140.375</v>
      </c>
      <c r="H1202" s="10" t="s">
        <v>1655</v>
      </c>
      <c r="I1202" s="6" t="s">
        <v>1656</v>
      </c>
      <c r="J1202" s="12">
        <v>46120.639351851853</v>
      </c>
      <c r="K1202" s="6" t="e" cm="1">
        <f t="array" ref="K1202">LOOKUP(2^15,SEARCH(Tabela2[Palavras-Chave],Boletim[[#This Row],[Objeto]],1),Tabela2[Palavras-Chave])</f>
        <v>#N/A</v>
      </c>
    </row>
    <row r="1203" spans="1:11" hidden="1" x14ac:dyDescent="0.3">
      <c r="A1203" s="5">
        <v>18803944</v>
      </c>
      <c r="B1203" s="6" t="s">
        <v>1657</v>
      </c>
      <c r="C1203" s="6" t="s">
        <v>1658</v>
      </c>
      <c r="D1203" s="8" t="s">
        <v>67</v>
      </c>
      <c r="E1203" s="6" t="s">
        <v>135</v>
      </c>
      <c r="F1203" s="6" t="s">
        <v>85</v>
      </c>
      <c r="G1203" s="11" t="s">
        <v>56</v>
      </c>
      <c r="H1203" s="10" t="s">
        <v>1659</v>
      </c>
      <c r="I1203" s="6" t="s">
        <v>1660</v>
      </c>
      <c r="J1203" s="12">
        <v>46120.661400462966</v>
      </c>
      <c r="K1203" s="6" t="e" cm="1">
        <f t="array" ref="K1203">LOOKUP(2^15,SEARCH(Tabela2[Palavras-Chave],Boletim[[#This Row],[Objeto]],1),Tabela2[Palavras-Chave])</f>
        <v>#N/A</v>
      </c>
    </row>
    <row r="1204" spans="1:11" hidden="1" x14ac:dyDescent="0.3">
      <c r="A1204" s="5">
        <v>18805355</v>
      </c>
      <c r="B1204" s="6" t="s">
        <v>1661</v>
      </c>
      <c r="C1204" s="6" t="s">
        <v>123</v>
      </c>
      <c r="D1204" s="8" t="s">
        <v>67</v>
      </c>
      <c r="E1204" s="6" t="s">
        <v>117</v>
      </c>
      <c r="F1204" s="6" t="s">
        <v>85</v>
      </c>
      <c r="G1204" s="11">
        <v>46140.375</v>
      </c>
      <c r="H1204" s="10" t="s">
        <v>1662</v>
      </c>
      <c r="I1204" s="6" t="s">
        <v>190</v>
      </c>
      <c r="J1204" s="12">
        <v>46120.72016203704</v>
      </c>
      <c r="K1204" s="6" t="e" cm="1">
        <f t="array" ref="K1204">LOOKUP(2^15,SEARCH(Tabela2[Palavras-Chave],Boletim[[#This Row],[Objeto]],1),Tabela2[Palavras-Chave])</f>
        <v>#N/A</v>
      </c>
    </row>
    <row r="1205" spans="1:11" hidden="1" x14ac:dyDescent="0.3">
      <c r="A1205" s="5">
        <v>18803842</v>
      </c>
      <c r="B1205" s="6" t="s">
        <v>1663</v>
      </c>
      <c r="C1205" s="6" t="s">
        <v>1664</v>
      </c>
      <c r="D1205" s="8" t="s">
        <v>67</v>
      </c>
      <c r="E1205" s="6" t="s">
        <v>134</v>
      </c>
      <c r="F1205" s="6" t="s">
        <v>85</v>
      </c>
      <c r="G1205" s="11" t="s">
        <v>56</v>
      </c>
      <c r="H1205" s="10" t="s">
        <v>1665</v>
      </c>
      <c r="I1205" s="6" t="s">
        <v>1666</v>
      </c>
      <c r="J1205" s="12">
        <v>46120.761712962965</v>
      </c>
      <c r="K1205" s="6" t="e" cm="1">
        <f t="array" ref="K1205">LOOKUP(2^15,SEARCH(Tabela2[Palavras-Chave],Boletim[[#This Row],[Objeto]],1),Tabela2[Palavras-Chave])</f>
        <v>#N/A</v>
      </c>
    </row>
    <row r="1206" spans="1:11" hidden="1" x14ac:dyDescent="0.3">
      <c r="A1206" s="5">
        <v>18805367</v>
      </c>
      <c r="B1206" s="6" t="s">
        <v>1667</v>
      </c>
      <c r="C1206" s="6" t="s">
        <v>1668</v>
      </c>
      <c r="D1206" s="8" t="s">
        <v>67</v>
      </c>
      <c r="E1206" s="6" t="s">
        <v>1669</v>
      </c>
      <c r="F1206" s="6" t="s">
        <v>85</v>
      </c>
      <c r="G1206" s="11" t="s">
        <v>56</v>
      </c>
      <c r="H1206" s="10" t="s">
        <v>1670</v>
      </c>
      <c r="I1206" s="6" t="s">
        <v>1671</v>
      </c>
      <c r="J1206" s="12">
        <v>46120.771655092591</v>
      </c>
      <c r="K1206" s="6" t="e" cm="1">
        <f t="array" ref="K1206">LOOKUP(2^15,SEARCH(Tabela2[Palavras-Chave],Boletim[[#This Row],[Objeto]],1),Tabela2[Palavras-Chave])</f>
        <v>#N/A</v>
      </c>
    </row>
    <row r="1207" spans="1:11" hidden="1" x14ac:dyDescent="0.3">
      <c r="A1207" s="5">
        <v>18805334</v>
      </c>
      <c r="B1207" s="6" t="s">
        <v>375</v>
      </c>
      <c r="C1207" s="6" t="s">
        <v>376</v>
      </c>
      <c r="D1207" s="8" t="s">
        <v>67</v>
      </c>
      <c r="E1207" s="6" t="s">
        <v>128</v>
      </c>
      <c r="F1207" s="6" t="s">
        <v>85</v>
      </c>
      <c r="G1207" s="11" t="s">
        <v>56</v>
      </c>
      <c r="H1207" s="10" t="s">
        <v>1672</v>
      </c>
      <c r="I1207" s="6" t="s">
        <v>1673</v>
      </c>
      <c r="J1207" s="12">
        <v>46120.773680555554</v>
      </c>
      <c r="K1207" s="6" t="e" cm="1">
        <f t="array" ref="K1207">LOOKUP(2^15,SEARCH(Tabela2[Palavras-Chave],Boletim[[#This Row],[Objeto]],1),Tabela2[Palavras-Chave])</f>
        <v>#N/A</v>
      </c>
    </row>
    <row r="1208" spans="1:11" hidden="1" x14ac:dyDescent="0.3">
      <c r="A1208" s="5">
        <v>18802110</v>
      </c>
      <c r="B1208" s="6" t="s">
        <v>234</v>
      </c>
      <c r="C1208" s="6" t="s">
        <v>227</v>
      </c>
      <c r="D1208" s="8" t="s">
        <v>91</v>
      </c>
      <c r="E1208" s="6" t="s">
        <v>121</v>
      </c>
      <c r="F1208" s="6" t="s">
        <v>85</v>
      </c>
      <c r="G1208" s="11" t="s">
        <v>56</v>
      </c>
      <c r="H1208" s="10" t="s">
        <v>1674</v>
      </c>
      <c r="I1208" s="6" t="s">
        <v>1675</v>
      </c>
      <c r="J1208" s="12">
        <v>46120.458368055559</v>
      </c>
      <c r="K1208" s="6" t="e" cm="1">
        <f t="array" ref="K1208">LOOKUP(2^15,SEARCH(Tabela2[Palavras-Chave],Boletim[[#This Row],[Objeto]],1),Tabela2[Palavras-Chave])</f>
        <v>#N/A</v>
      </c>
    </row>
    <row r="1209" spans="1:11" hidden="1" x14ac:dyDescent="0.3">
      <c r="A1209" s="5">
        <v>18802834</v>
      </c>
      <c r="B1209" s="6" t="s">
        <v>1676</v>
      </c>
      <c r="C1209" s="6" t="s">
        <v>111</v>
      </c>
      <c r="D1209" s="8" t="s">
        <v>91</v>
      </c>
      <c r="E1209" s="6" t="s">
        <v>1677</v>
      </c>
      <c r="F1209" s="6" t="s">
        <v>85</v>
      </c>
      <c r="G1209" s="11" t="s">
        <v>56</v>
      </c>
      <c r="H1209" s="10" t="s">
        <v>1678</v>
      </c>
      <c r="I1209" s="6" t="s">
        <v>1679</v>
      </c>
      <c r="J1209" s="12">
        <v>46120.519456018519</v>
      </c>
      <c r="K1209" s="6" t="e" cm="1">
        <f t="array" ref="K1209">LOOKUP(2^15,SEARCH(Tabela2[Palavras-Chave],Boletim[[#This Row],[Objeto]],1),Tabela2[Palavras-Chave])</f>
        <v>#N/A</v>
      </c>
    </row>
    <row r="1210" spans="1:11" hidden="1" x14ac:dyDescent="0.3">
      <c r="A1210" s="5">
        <v>18794267</v>
      </c>
      <c r="B1210" s="6" t="s">
        <v>3106</v>
      </c>
      <c r="C1210" s="6" t="s">
        <v>111</v>
      </c>
      <c r="D1210" s="8" t="s">
        <v>91</v>
      </c>
      <c r="E1210" s="6" t="s">
        <v>3107</v>
      </c>
      <c r="F1210" s="6" t="s">
        <v>85</v>
      </c>
      <c r="G1210" s="11">
        <v>46148.375</v>
      </c>
      <c r="H1210" s="10" t="s">
        <v>3108</v>
      </c>
      <c r="I1210" s="6" t="s">
        <v>3109</v>
      </c>
      <c r="J1210" s="12">
        <v>46120.587581018517</v>
      </c>
      <c r="K1210" s="6" t="e" cm="1">
        <f t="array" ref="K1210">LOOKUP(2^15,SEARCH(Tabela2[Palavras-Chave],Boletim[[#This Row],[Objeto]],1),Tabela2[Palavras-Chave])</f>
        <v>#N/A</v>
      </c>
    </row>
    <row r="1211" spans="1:11" hidden="1" x14ac:dyDescent="0.3">
      <c r="A1211" s="5">
        <v>18801577</v>
      </c>
      <c r="B1211" s="6" t="s">
        <v>1680</v>
      </c>
      <c r="C1211" s="6" t="s">
        <v>1681</v>
      </c>
      <c r="D1211" s="8" t="s">
        <v>91</v>
      </c>
      <c r="E1211" s="6" t="s">
        <v>148</v>
      </c>
      <c r="F1211" s="6" t="s">
        <v>85</v>
      </c>
      <c r="G1211" s="11" t="s">
        <v>56</v>
      </c>
      <c r="H1211" s="10" t="s">
        <v>1682</v>
      </c>
      <c r="I1211" s="6" t="s">
        <v>1683</v>
      </c>
      <c r="J1211" s="12">
        <v>46120.588472222225</v>
      </c>
      <c r="K1211" s="6" t="e" cm="1">
        <f t="array" ref="K1211">LOOKUP(2^15,SEARCH(Tabela2[Palavras-Chave],Boletim[[#This Row],[Objeto]],1),Tabela2[Palavras-Chave])</f>
        <v>#N/A</v>
      </c>
    </row>
    <row r="1212" spans="1:11" hidden="1" x14ac:dyDescent="0.3">
      <c r="A1212" s="5">
        <v>18801567</v>
      </c>
      <c r="B1212" s="6" t="s">
        <v>1684</v>
      </c>
      <c r="C1212" s="6" t="s">
        <v>1685</v>
      </c>
      <c r="D1212" s="8" t="s">
        <v>91</v>
      </c>
      <c r="E1212" s="6" t="s">
        <v>109</v>
      </c>
      <c r="F1212" s="6" t="s">
        <v>85</v>
      </c>
      <c r="G1212" s="11" t="s">
        <v>56</v>
      </c>
      <c r="H1212" s="10" t="s">
        <v>1686</v>
      </c>
      <c r="I1212" s="6" t="s">
        <v>1687</v>
      </c>
      <c r="J1212" s="12">
        <v>46120.625925925924</v>
      </c>
      <c r="K1212" s="6" t="e" cm="1">
        <f t="array" ref="K1212">LOOKUP(2^15,SEARCH(Tabela2[Palavras-Chave],Boletim[[#This Row],[Objeto]],1),Tabela2[Palavras-Chave])</f>
        <v>#N/A</v>
      </c>
    </row>
    <row r="1213" spans="1:11" hidden="1" x14ac:dyDescent="0.3">
      <c r="A1213" s="5">
        <v>18789416</v>
      </c>
      <c r="B1213" s="6" t="s">
        <v>439</v>
      </c>
      <c r="C1213" s="6" t="s">
        <v>227</v>
      </c>
      <c r="D1213" s="8" t="s">
        <v>91</v>
      </c>
      <c r="E1213" s="6" t="s">
        <v>207</v>
      </c>
      <c r="F1213" s="6" t="s">
        <v>85</v>
      </c>
      <c r="G1213" s="11" t="s">
        <v>56</v>
      </c>
      <c r="H1213" s="10" t="s">
        <v>3110</v>
      </c>
      <c r="I1213" s="6" t="s">
        <v>3111</v>
      </c>
      <c r="J1213" s="12">
        <v>46120.721620370372</v>
      </c>
      <c r="K1213" s="6" t="e" cm="1">
        <f t="array" ref="K1213">LOOKUP(2^15,SEARCH(Tabela2[Palavras-Chave],Boletim[[#This Row],[Objeto]],1),Tabela2[Palavras-Chave])</f>
        <v>#N/A</v>
      </c>
    </row>
    <row r="1214" spans="1:11" hidden="1" x14ac:dyDescent="0.3">
      <c r="A1214" s="5">
        <v>18801612</v>
      </c>
      <c r="B1214" s="6" t="s">
        <v>1688</v>
      </c>
      <c r="C1214" s="6" t="s">
        <v>269</v>
      </c>
      <c r="D1214" s="8" t="s">
        <v>91</v>
      </c>
      <c r="E1214" s="6" t="s">
        <v>1222</v>
      </c>
      <c r="F1214" s="6" t="s">
        <v>85</v>
      </c>
      <c r="G1214" s="11" t="s">
        <v>56</v>
      </c>
      <c r="H1214" s="10" t="s">
        <v>1689</v>
      </c>
      <c r="I1214" s="6" t="s">
        <v>1690</v>
      </c>
      <c r="J1214" s="12">
        <v>46120.723692129628</v>
      </c>
      <c r="K1214" s="6" t="e" cm="1">
        <f t="array" ref="K1214">LOOKUP(2^15,SEARCH(Tabela2[Palavras-Chave],Boletim[[#This Row],[Objeto]],1),Tabela2[Palavras-Chave])</f>
        <v>#N/A</v>
      </c>
    </row>
    <row r="1215" spans="1:11" ht="115.2" x14ac:dyDescent="0.3">
      <c r="A1215" s="5">
        <v>18804619</v>
      </c>
      <c r="B1215" s="6" t="s">
        <v>1691</v>
      </c>
      <c r="C1215" s="6" t="s">
        <v>1692</v>
      </c>
      <c r="D1215" s="8" t="s">
        <v>91</v>
      </c>
      <c r="E1215" s="6" t="s">
        <v>143</v>
      </c>
      <c r="F1215" s="6" t="s">
        <v>85</v>
      </c>
      <c r="G1215" s="11">
        <v>46134.354166666664</v>
      </c>
      <c r="H1215" s="21" t="s">
        <v>1693</v>
      </c>
      <c r="I1215" s="6" t="s">
        <v>1694</v>
      </c>
      <c r="J1215" s="12">
        <v>46120.753055555557</v>
      </c>
      <c r="K1215" s="6" t="str" cm="1">
        <f t="array" ref="K1215">LOOKUP(2^15,SEARCH(Tabela2[Palavras-Chave],Boletim[[#This Row],[Objeto]],1),Tabela2[Palavras-Chave])</f>
        <v>DIAGNÓSTICO</v>
      </c>
    </row>
    <row r="1216" spans="1:11" hidden="1" x14ac:dyDescent="0.3">
      <c r="A1216" s="5">
        <v>18798635</v>
      </c>
      <c r="B1216" s="6" t="s">
        <v>1695</v>
      </c>
      <c r="C1216" s="6" t="s">
        <v>1696</v>
      </c>
      <c r="D1216" s="8" t="s">
        <v>68</v>
      </c>
      <c r="E1216" s="6" t="s">
        <v>124</v>
      </c>
      <c r="F1216" s="6" t="s">
        <v>85</v>
      </c>
      <c r="G1216" s="11">
        <v>46135.374305555553</v>
      </c>
      <c r="H1216" s="10" t="s">
        <v>1697</v>
      </c>
      <c r="I1216" s="6" t="s">
        <v>1698</v>
      </c>
      <c r="J1216" s="12">
        <v>46120.388252314813</v>
      </c>
      <c r="K1216" s="6" t="e" cm="1">
        <f t="array" ref="K1216">LOOKUP(2^15,SEARCH(Tabela2[Palavras-Chave],Boletim[[#This Row],[Objeto]],1),Tabela2[Palavras-Chave])</f>
        <v>#N/A</v>
      </c>
    </row>
    <row r="1217" spans="1:11" hidden="1" x14ac:dyDescent="0.3">
      <c r="A1217" s="5">
        <v>18802016</v>
      </c>
      <c r="B1217" s="6" t="s">
        <v>1699</v>
      </c>
      <c r="C1217" s="6" t="s">
        <v>1696</v>
      </c>
      <c r="D1217" s="8" t="s">
        <v>68</v>
      </c>
      <c r="E1217" s="6" t="s">
        <v>117</v>
      </c>
      <c r="F1217" s="6" t="s">
        <v>85</v>
      </c>
      <c r="G1217" s="11">
        <v>46134.374305555553</v>
      </c>
      <c r="H1217" s="10" t="s">
        <v>1700</v>
      </c>
      <c r="I1217" s="6" t="s">
        <v>1701</v>
      </c>
      <c r="J1217" s="12">
        <v>46120.445196759261</v>
      </c>
      <c r="K1217" s="6" t="e" cm="1">
        <f t="array" ref="K1217">LOOKUP(2^15,SEARCH(Tabela2[Palavras-Chave],Boletim[[#This Row],[Objeto]],1),Tabela2[Palavras-Chave])</f>
        <v>#N/A</v>
      </c>
    </row>
    <row r="1218" spans="1:11" hidden="1" x14ac:dyDescent="0.3">
      <c r="A1218" s="5">
        <v>18802011</v>
      </c>
      <c r="B1218" s="6" t="s">
        <v>1702</v>
      </c>
      <c r="C1218" s="6" t="s">
        <v>1703</v>
      </c>
      <c r="D1218" s="8" t="s">
        <v>68</v>
      </c>
      <c r="E1218" s="6" t="s">
        <v>106</v>
      </c>
      <c r="F1218" s="6" t="s">
        <v>85</v>
      </c>
      <c r="G1218" s="11">
        <v>46134.4375</v>
      </c>
      <c r="H1218" s="10" t="s">
        <v>1704</v>
      </c>
      <c r="I1218" s="6" t="s">
        <v>1705</v>
      </c>
      <c r="J1218" s="12">
        <v>46120.446817129632</v>
      </c>
      <c r="K1218" s="6" t="e" cm="1">
        <f t="array" ref="K1218">LOOKUP(2^15,SEARCH(Tabela2[Palavras-Chave],Boletim[[#This Row],[Objeto]],1),Tabela2[Palavras-Chave])</f>
        <v>#N/A</v>
      </c>
    </row>
    <row r="1219" spans="1:11" hidden="1" x14ac:dyDescent="0.3">
      <c r="A1219" s="5">
        <v>18803427</v>
      </c>
      <c r="B1219" s="6" t="s">
        <v>3112</v>
      </c>
      <c r="C1219" s="6" t="s">
        <v>3113</v>
      </c>
      <c r="D1219" s="8" t="s">
        <v>68</v>
      </c>
      <c r="E1219" s="6" t="s">
        <v>114</v>
      </c>
      <c r="F1219" s="6" t="s">
        <v>85</v>
      </c>
      <c r="G1219" s="11">
        <v>46139.361111111109</v>
      </c>
      <c r="H1219" s="10" t="s">
        <v>3114</v>
      </c>
      <c r="I1219" s="6" t="s">
        <v>3115</v>
      </c>
      <c r="J1219" s="12">
        <v>46120.588136574072</v>
      </c>
      <c r="K1219" s="6" t="e" cm="1">
        <f t="array" ref="K1219">LOOKUP(2^15,SEARCH(Tabela2[Palavras-Chave],Boletim[[#This Row],[Objeto]],1),Tabela2[Palavras-Chave])</f>
        <v>#N/A</v>
      </c>
    </row>
    <row r="1220" spans="1:11" hidden="1" x14ac:dyDescent="0.3">
      <c r="A1220" s="5">
        <v>18804755</v>
      </c>
      <c r="B1220" s="6" t="s">
        <v>1706</v>
      </c>
      <c r="C1220" s="6" t="s">
        <v>1707</v>
      </c>
      <c r="D1220" s="8" t="s">
        <v>68</v>
      </c>
      <c r="E1220" s="6" t="s">
        <v>407</v>
      </c>
      <c r="F1220" s="6" t="s">
        <v>85</v>
      </c>
      <c r="G1220" s="11">
        <v>46134.332638888889</v>
      </c>
      <c r="H1220" s="10" t="s">
        <v>1708</v>
      </c>
      <c r="I1220" s="6" t="s">
        <v>1709</v>
      </c>
      <c r="J1220" s="12">
        <v>46120.724699074075</v>
      </c>
      <c r="K1220" s="6" t="e" cm="1">
        <f t="array" ref="K1220">LOOKUP(2^15,SEARCH(Tabela2[Palavras-Chave],Boletim[[#This Row],[Objeto]],1),Tabela2[Palavras-Chave])</f>
        <v>#N/A</v>
      </c>
    </row>
    <row r="1221" spans="1:11" hidden="1" x14ac:dyDescent="0.3">
      <c r="A1221" s="5">
        <v>18805829</v>
      </c>
      <c r="B1221" s="6" t="s">
        <v>3116</v>
      </c>
      <c r="C1221" s="6" t="s">
        <v>3117</v>
      </c>
      <c r="D1221" s="8" t="s">
        <v>68</v>
      </c>
      <c r="E1221" s="6" t="s">
        <v>232</v>
      </c>
      <c r="F1221" s="6" t="s">
        <v>85</v>
      </c>
      <c r="G1221" s="11" t="s">
        <v>56</v>
      </c>
      <c r="H1221" s="10" t="s">
        <v>3118</v>
      </c>
      <c r="I1221" s="6" t="s">
        <v>3119</v>
      </c>
      <c r="J1221" s="12">
        <v>46120.77851851852</v>
      </c>
      <c r="K1221" s="6" t="e" cm="1">
        <f t="array" ref="K1221">LOOKUP(2^15,SEARCH(Tabela2[Palavras-Chave],Boletim[[#This Row],[Objeto]],1),Tabela2[Palavras-Chave])</f>
        <v>#N/A</v>
      </c>
    </row>
    <row r="1222" spans="1:11" hidden="1" x14ac:dyDescent="0.3">
      <c r="A1222" s="5">
        <v>18806394</v>
      </c>
      <c r="B1222" s="6" t="s">
        <v>3120</v>
      </c>
      <c r="C1222" s="6" t="s">
        <v>3121</v>
      </c>
      <c r="D1222" s="8" t="s">
        <v>68</v>
      </c>
      <c r="E1222" s="6" t="s">
        <v>135</v>
      </c>
      <c r="F1222" s="6" t="s">
        <v>85</v>
      </c>
      <c r="G1222" s="11">
        <v>46132.416666666664</v>
      </c>
      <c r="H1222" s="10" t="s">
        <v>3122</v>
      </c>
      <c r="I1222" s="6" t="s">
        <v>3123</v>
      </c>
      <c r="J1222" s="12">
        <v>46120.886018518519</v>
      </c>
      <c r="K1222" s="6" t="e" cm="1">
        <f t="array" ref="K1222">LOOKUP(2^15,SEARCH(Tabela2[Palavras-Chave],Boletim[[#This Row],[Objeto]],1),Tabela2[Palavras-Chave])</f>
        <v>#N/A</v>
      </c>
    </row>
    <row r="1223" spans="1:11" hidden="1" x14ac:dyDescent="0.3">
      <c r="A1223" s="5">
        <v>18802020</v>
      </c>
      <c r="B1223" s="6" t="s">
        <v>290</v>
      </c>
      <c r="C1223" s="6" t="s">
        <v>283</v>
      </c>
      <c r="D1223" s="8" t="s">
        <v>92</v>
      </c>
      <c r="E1223" s="6" t="s">
        <v>117</v>
      </c>
      <c r="F1223" s="6" t="s">
        <v>85</v>
      </c>
      <c r="G1223" s="11">
        <v>46134</v>
      </c>
      <c r="H1223" s="10" t="s">
        <v>1710</v>
      </c>
      <c r="I1223" s="6" t="s">
        <v>1711</v>
      </c>
      <c r="J1223" s="12">
        <v>46120.445208333331</v>
      </c>
      <c r="K1223" s="6" t="e" cm="1">
        <f t="array" ref="K1223">LOOKUP(2^15,SEARCH(Tabela2[Palavras-Chave],Boletim[[#This Row],[Objeto]],1),Tabela2[Palavras-Chave])</f>
        <v>#N/A</v>
      </c>
    </row>
    <row r="1224" spans="1:11" hidden="1" x14ac:dyDescent="0.3">
      <c r="A1224" s="5">
        <v>18791357</v>
      </c>
      <c r="B1224" s="6" t="s">
        <v>1712</v>
      </c>
      <c r="C1224" s="6" t="s">
        <v>1713</v>
      </c>
      <c r="D1224" s="8" t="s">
        <v>92</v>
      </c>
      <c r="E1224" s="6" t="s">
        <v>114</v>
      </c>
      <c r="F1224" s="6" t="s">
        <v>85</v>
      </c>
      <c r="G1224" s="11">
        <v>46211.375</v>
      </c>
      <c r="H1224" s="10" t="s">
        <v>1714</v>
      </c>
      <c r="I1224" s="6" t="s">
        <v>1715</v>
      </c>
      <c r="J1224" s="12">
        <v>46120.450775462959</v>
      </c>
      <c r="K1224" s="6" t="e" cm="1">
        <f t="array" ref="K1224">LOOKUP(2^15,SEARCH(Tabela2[Palavras-Chave],Boletim[[#This Row],[Objeto]],1),Tabela2[Palavras-Chave])</f>
        <v>#N/A</v>
      </c>
    </row>
    <row r="1225" spans="1:11" hidden="1" x14ac:dyDescent="0.3">
      <c r="A1225" s="5">
        <v>18793274</v>
      </c>
      <c r="B1225" s="6" t="s">
        <v>1716</v>
      </c>
      <c r="C1225" s="6" t="s">
        <v>1717</v>
      </c>
      <c r="D1225" s="8" t="s">
        <v>92</v>
      </c>
      <c r="E1225" s="6" t="s">
        <v>172</v>
      </c>
      <c r="F1225" s="6" t="s">
        <v>85</v>
      </c>
      <c r="G1225" s="11">
        <v>46127.374305555553</v>
      </c>
      <c r="H1225" s="10" t="s">
        <v>1718</v>
      </c>
      <c r="I1225" s="6" t="s">
        <v>1719</v>
      </c>
      <c r="J1225" s="12">
        <v>46120.502812500003</v>
      </c>
      <c r="K1225" s="6" t="e" cm="1">
        <f t="array" ref="K1225">LOOKUP(2^15,SEARCH(Tabela2[Palavras-Chave],Boletim[[#This Row],[Objeto]],1),Tabela2[Palavras-Chave])</f>
        <v>#N/A</v>
      </c>
    </row>
    <row r="1226" spans="1:11" hidden="1" x14ac:dyDescent="0.3">
      <c r="A1226" s="5">
        <v>18789825</v>
      </c>
      <c r="B1226" s="6" t="s">
        <v>1716</v>
      </c>
      <c r="C1226" s="6" t="s">
        <v>1717</v>
      </c>
      <c r="D1226" s="8" t="s">
        <v>92</v>
      </c>
      <c r="E1226" s="6" t="s">
        <v>212</v>
      </c>
      <c r="F1226" s="6" t="s">
        <v>85</v>
      </c>
      <c r="G1226" s="11">
        <v>46126.561805555553</v>
      </c>
      <c r="H1226" s="10" t="s">
        <v>1720</v>
      </c>
      <c r="I1226" s="6" t="s">
        <v>1721</v>
      </c>
      <c r="J1226" s="12">
        <v>46120.502824074072</v>
      </c>
      <c r="K1226" s="6" t="e" cm="1">
        <f t="array" ref="K1226">LOOKUP(2^15,SEARCH(Tabela2[Palavras-Chave],Boletim[[#This Row],[Objeto]],1),Tabela2[Palavras-Chave])</f>
        <v>#N/A</v>
      </c>
    </row>
    <row r="1227" spans="1:11" hidden="1" x14ac:dyDescent="0.3">
      <c r="A1227" s="5">
        <v>18799776</v>
      </c>
      <c r="B1227" s="6" t="s">
        <v>1722</v>
      </c>
      <c r="C1227" s="6" t="s">
        <v>1723</v>
      </c>
      <c r="D1227" s="8" t="s">
        <v>92</v>
      </c>
      <c r="E1227" s="6" t="s">
        <v>134</v>
      </c>
      <c r="F1227" s="6" t="s">
        <v>85</v>
      </c>
      <c r="G1227" s="11">
        <v>46135.374305555553</v>
      </c>
      <c r="H1227" s="10" t="s">
        <v>1724</v>
      </c>
      <c r="I1227" s="6" t="s">
        <v>1725</v>
      </c>
      <c r="J1227" s="12">
        <v>46120.502835648149</v>
      </c>
      <c r="K1227" s="6" t="e" cm="1">
        <f t="array" ref="K1227">LOOKUP(2^15,SEARCH(Tabela2[Palavras-Chave],Boletim[[#This Row],[Objeto]],1),Tabela2[Palavras-Chave])</f>
        <v>#N/A</v>
      </c>
    </row>
    <row r="1228" spans="1:11" hidden="1" x14ac:dyDescent="0.3">
      <c r="A1228" s="5">
        <v>18804276</v>
      </c>
      <c r="B1228" s="6" t="s">
        <v>3124</v>
      </c>
      <c r="C1228" s="6" t="s">
        <v>3125</v>
      </c>
      <c r="D1228" s="8" t="s">
        <v>92</v>
      </c>
      <c r="E1228" s="6" t="s">
        <v>120</v>
      </c>
      <c r="F1228" s="6" t="s">
        <v>85</v>
      </c>
      <c r="G1228" s="11" t="s">
        <v>56</v>
      </c>
      <c r="H1228" s="10" t="s">
        <v>3126</v>
      </c>
      <c r="I1228" s="6" t="s">
        <v>3127</v>
      </c>
      <c r="J1228" s="12">
        <v>46120.625393518516</v>
      </c>
      <c r="K1228" s="6" t="e" cm="1">
        <f t="array" ref="K1228">LOOKUP(2^15,SEARCH(Tabela2[Palavras-Chave],Boletim[[#This Row],[Objeto]],1),Tabela2[Palavras-Chave])</f>
        <v>#N/A</v>
      </c>
    </row>
    <row r="1229" spans="1:11" hidden="1" x14ac:dyDescent="0.3">
      <c r="A1229" s="5">
        <v>18804042</v>
      </c>
      <c r="B1229" s="6" t="s">
        <v>1726</v>
      </c>
      <c r="C1229" s="6" t="s">
        <v>1727</v>
      </c>
      <c r="D1229" s="8" t="s">
        <v>92</v>
      </c>
      <c r="E1229" s="6" t="s">
        <v>381</v>
      </c>
      <c r="F1229" s="6" t="s">
        <v>85</v>
      </c>
      <c r="G1229" s="11">
        <v>46134.374305555553</v>
      </c>
      <c r="H1229" s="10" t="s">
        <v>1728</v>
      </c>
      <c r="I1229" s="6" t="s">
        <v>1729</v>
      </c>
      <c r="J1229" s="12">
        <v>46120.634062500001</v>
      </c>
      <c r="K1229" s="6" t="e" cm="1">
        <f t="array" ref="K1229">LOOKUP(2^15,SEARCH(Tabela2[Palavras-Chave],Boletim[[#This Row],[Objeto]],1),Tabela2[Palavras-Chave])</f>
        <v>#N/A</v>
      </c>
    </row>
    <row r="1230" spans="1:11" hidden="1" x14ac:dyDescent="0.3">
      <c r="A1230" s="5">
        <v>18804751</v>
      </c>
      <c r="B1230" s="6" t="s">
        <v>1730</v>
      </c>
      <c r="C1230" s="6" t="s">
        <v>1731</v>
      </c>
      <c r="D1230" s="8" t="s">
        <v>92</v>
      </c>
      <c r="E1230" s="6" t="s">
        <v>120</v>
      </c>
      <c r="F1230" s="6" t="s">
        <v>85</v>
      </c>
      <c r="G1230" s="11">
        <v>46134.353472222225</v>
      </c>
      <c r="H1230" s="10" t="s">
        <v>1732</v>
      </c>
      <c r="I1230" s="6" t="s">
        <v>1733</v>
      </c>
      <c r="J1230" s="12">
        <v>46120.731608796297</v>
      </c>
      <c r="K1230" s="6" t="e" cm="1">
        <f t="array" ref="K1230">LOOKUP(2^15,SEARCH(Tabela2[Palavras-Chave],Boletim[[#This Row],[Objeto]],1),Tabela2[Palavras-Chave])</f>
        <v>#N/A</v>
      </c>
    </row>
    <row r="1231" spans="1:11" hidden="1" x14ac:dyDescent="0.3">
      <c r="A1231" s="5">
        <v>18806363</v>
      </c>
      <c r="B1231" s="6" t="s">
        <v>250</v>
      </c>
      <c r="C1231" s="6" t="s">
        <v>100</v>
      </c>
      <c r="D1231" s="8" t="s">
        <v>92</v>
      </c>
      <c r="E1231" s="6" t="s">
        <v>1868</v>
      </c>
      <c r="F1231" s="6" t="s">
        <v>85</v>
      </c>
      <c r="G1231" s="11">
        <v>46146.416666666664</v>
      </c>
      <c r="H1231" s="10" t="s">
        <v>3128</v>
      </c>
      <c r="I1231" s="6" t="s">
        <v>3129</v>
      </c>
      <c r="J1231" s="12">
        <v>46120.88722222222</v>
      </c>
      <c r="K1231" s="6" t="e" cm="1">
        <f t="array" ref="K1231">LOOKUP(2^15,SEARCH(Tabela2[Palavras-Chave],Boletim[[#This Row],[Objeto]],1),Tabela2[Palavras-Chave])</f>
        <v>#N/A</v>
      </c>
    </row>
    <row r="1232" spans="1:11" hidden="1" x14ac:dyDescent="0.3">
      <c r="A1232" s="5">
        <v>18802246</v>
      </c>
      <c r="B1232" s="6" t="s">
        <v>74</v>
      </c>
      <c r="C1232" s="6" t="s">
        <v>69</v>
      </c>
      <c r="D1232" s="8" t="s">
        <v>70</v>
      </c>
      <c r="E1232" s="6" t="s">
        <v>2981</v>
      </c>
      <c r="F1232" s="6" t="s">
        <v>85</v>
      </c>
      <c r="G1232" s="11" t="s">
        <v>56</v>
      </c>
      <c r="H1232" s="10" t="s">
        <v>2982</v>
      </c>
      <c r="I1232" s="6" t="s">
        <v>2983</v>
      </c>
      <c r="J1232" s="12">
        <v>46120.468136574076</v>
      </c>
      <c r="K1232" s="6" t="e" cm="1">
        <f t="array" ref="K1232">LOOKUP(2^15,SEARCH(Tabela2[Palavras-Chave],Boletim[[#This Row],[Objeto]],1),Tabela2[Palavras-Chave])</f>
        <v>#N/A</v>
      </c>
    </row>
    <row r="1233" spans="1:11" hidden="1" x14ac:dyDescent="0.3">
      <c r="A1233" s="5">
        <v>18802002</v>
      </c>
      <c r="B1233" s="6" t="s">
        <v>1734</v>
      </c>
      <c r="C1233" s="6" t="s">
        <v>1735</v>
      </c>
      <c r="D1233" s="8" t="s">
        <v>70</v>
      </c>
      <c r="E1233" s="6" t="s">
        <v>135</v>
      </c>
      <c r="F1233" s="6" t="s">
        <v>85</v>
      </c>
      <c r="G1233" s="11">
        <v>46134.375</v>
      </c>
      <c r="H1233" s="10" t="s">
        <v>1736</v>
      </c>
      <c r="I1233" s="6" t="s">
        <v>1737</v>
      </c>
      <c r="J1233" s="12">
        <v>46120.475486111114</v>
      </c>
      <c r="K1233" s="6" t="e" cm="1">
        <f t="array" ref="K1233">LOOKUP(2^15,SEARCH(Tabela2[Palavras-Chave],Boletim[[#This Row],[Objeto]],1),Tabela2[Palavras-Chave])</f>
        <v>#N/A</v>
      </c>
    </row>
    <row r="1234" spans="1:11" hidden="1" x14ac:dyDescent="0.3">
      <c r="A1234" s="5">
        <v>18802238</v>
      </c>
      <c r="B1234" s="6" t="s">
        <v>74</v>
      </c>
      <c r="C1234" s="6" t="s">
        <v>69</v>
      </c>
      <c r="D1234" s="8" t="s">
        <v>70</v>
      </c>
      <c r="E1234" s="6" t="s">
        <v>1232</v>
      </c>
      <c r="F1234" s="6" t="s">
        <v>85</v>
      </c>
      <c r="G1234" s="11" t="s">
        <v>56</v>
      </c>
      <c r="H1234" s="10" t="s">
        <v>1233</v>
      </c>
      <c r="I1234" s="6" t="s">
        <v>1234</v>
      </c>
      <c r="J1234" s="12">
        <v>46120.529907407406</v>
      </c>
      <c r="K1234" s="6" t="e" cm="1">
        <f t="array" ref="K1234">LOOKUP(2^15,SEARCH(Tabela2[Palavras-Chave],Boletim[[#This Row],[Objeto]],1),Tabela2[Palavras-Chave])</f>
        <v>#N/A</v>
      </c>
    </row>
    <row r="1235" spans="1:11" hidden="1" x14ac:dyDescent="0.3">
      <c r="A1235" s="5">
        <v>18803431</v>
      </c>
      <c r="B1235" s="6" t="s">
        <v>331</v>
      </c>
      <c r="C1235" s="6" t="s">
        <v>69</v>
      </c>
      <c r="D1235" s="8" t="s">
        <v>70</v>
      </c>
      <c r="E1235" s="6" t="s">
        <v>171</v>
      </c>
      <c r="F1235" s="6" t="s">
        <v>85</v>
      </c>
      <c r="G1235" s="11">
        <v>46156.458333333336</v>
      </c>
      <c r="H1235" s="10" t="s">
        <v>3130</v>
      </c>
      <c r="I1235" s="6" t="s">
        <v>3131</v>
      </c>
      <c r="J1235" s="12">
        <v>46120.567233796297</v>
      </c>
      <c r="K1235" s="6" t="e" cm="1">
        <f t="array" ref="K1235">LOOKUP(2^15,SEARCH(Tabela2[Palavras-Chave],Boletim[[#This Row],[Objeto]],1),Tabela2[Palavras-Chave])</f>
        <v>#N/A</v>
      </c>
    </row>
    <row r="1236" spans="1:11" hidden="1" x14ac:dyDescent="0.3">
      <c r="A1236" s="5">
        <v>18802447</v>
      </c>
      <c r="B1236" s="6" t="s">
        <v>1762</v>
      </c>
      <c r="C1236" s="6" t="s">
        <v>69</v>
      </c>
      <c r="D1236" s="8" t="s">
        <v>70</v>
      </c>
      <c r="E1236" s="6" t="s">
        <v>3132</v>
      </c>
      <c r="F1236" s="6" t="s">
        <v>85</v>
      </c>
      <c r="G1236" s="11">
        <v>46139.375</v>
      </c>
      <c r="H1236" s="10" t="s">
        <v>3133</v>
      </c>
      <c r="I1236" s="6" t="s">
        <v>3134</v>
      </c>
      <c r="J1236" s="12">
        <v>46120.57372685185</v>
      </c>
      <c r="K1236" s="6" t="e" cm="1">
        <f t="array" ref="K1236">LOOKUP(2^15,SEARCH(Tabela2[Palavras-Chave],Boletim[[#This Row],[Objeto]],1),Tabela2[Palavras-Chave])</f>
        <v>#N/A</v>
      </c>
    </row>
    <row r="1237" spans="1:11" hidden="1" x14ac:dyDescent="0.3">
      <c r="A1237" s="5">
        <v>18803423</v>
      </c>
      <c r="B1237" s="6" t="s">
        <v>331</v>
      </c>
      <c r="C1237" s="6" t="s">
        <v>69</v>
      </c>
      <c r="D1237" s="8" t="s">
        <v>70</v>
      </c>
      <c r="E1237" s="6" t="s">
        <v>158</v>
      </c>
      <c r="F1237" s="6" t="s">
        <v>85</v>
      </c>
      <c r="G1237" s="11">
        <v>46155.458333333336</v>
      </c>
      <c r="H1237" s="10" t="s">
        <v>3135</v>
      </c>
      <c r="I1237" s="6" t="s">
        <v>3136</v>
      </c>
      <c r="J1237" s="12">
        <v>46120.579247685186</v>
      </c>
      <c r="K1237" s="6" t="e" cm="1">
        <f t="array" ref="K1237">LOOKUP(2^15,SEARCH(Tabela2[Palavras-Chave],Boletim[[#This Row],[Objeto]],1),Tabela2[Palavras-Chave])</f>
        <v>#N/A</v>
      </c>
    </row>
    <row r="1238" spans="1:11" hidden="1" x14ac:dyDescent="0.3">
      <c r="A1238" s="5">
        <v>18803438</v>
      </c>
      <c r="B1238" s="6" t="s">
        <v>331</v>
      </c>
      <c r="C1238" s="6" t="s">
        <v>69</v>
      </c>
      <c r="D1238" s="8" t="s">
        <v>70</v>
      </c>
      <c r="E1238" s="6" t="s">
        <v>301</v>
      </c>
      <c r="F1238" s="6" t="s">
        <v>85</v>
      </c>
      <c r="G1238" s="11">
        <v>46162.458333333336</v>
      </c>
      <c r="H1238" s="10" t="s">
        <v>3137</v>
      </c>
      <c r="I1238" s="6" t="s">
        <v>3138</v>
      </c>
      <c r="J1238" s="12">
        <v>46120.579421296294</v>
      </c>
      <c r="K1238" s="6" t="e" cm="1">
        <f t="array" ref="K1238">LOOKUP(2^15,SEARCH(Tabela2[Palavras-Chave],Boletim[[#This Row],[Objeto]],1),Tabela2[Palavras-Chave])</f>
        <v>#N/A</v>
      </c>
    </row>
    <row r="1239" spans="1:11" hidden="1" x14ac:dyDescent="0.3">
      <c r="A1239" s="5">
        <v>18803788</v>
      </c>
      <c r="B1239" s="6" t="s">
        <v>1738</v>
      </c>
      <c r="C1239" s="6" t="s">
        <v>69</v>
      </c>
      <c r="D1239" s="8" t="s">
        <v>70</v>
      </c>
      <c r="E1239" s="6" t="s">
        <v>1739</v>
      </c>
      <c r="F1239" s="6" t="s">
        <v>85</v>
      </c>
      <c r="G1239" s="11" t="s">
        <v>56</v>
      </c>
      <c r="H1239" s="10" t="s">
        <v>1740</v>
      </c>
      <c r="I1239" s="6" t="s">
        <v>1741</v>
      </c>
      <c r="J1239" s="12">
        <v>46120.617430555554</v>
      </c>
      <c r="K1239" s="6" t="e" cm="1">
        <f t="array" ref="K1239">LOOKUP(2^15,SEARCH(Tabela2[Palavras-Chave],Boletim[[#This Row],[Objeto]],1),Tabela2[Palavras-Chave])</f>
        <v>#N/A</v>
      </c>
    </row>
    <row r="1240" spans="1:11" hidden="1" x14ac:dyDescent="0.3">
      <c r="A1240" s="5">
        <v>18803857</v>
      </c>
      <c r="B1240" s="6" t="s">
        <v>1742</v>
      </c>
      <c r="C1240" s="6" t="s">
        <v>1743</v>
      </c>
      <c r="D1240" s="8" t="s">
        <v>70</v>
      </c>
      <c r="E1240" s="6" t="s">
        <v>135</v>
      </c>
      <c r="F1240" s="6" t="s">
        <v>85</v>
      </c>
      <c r="G1240" s="11" t="s">
        <v>56</v>
      </c>
      <c r="H1240" s="10" t="s">
        <v>1744</v>
      </c>
      <c r="I1240" s="6" t="s">
        <v>1745</v>
      </c>
      <c r="J1240" s="12">
        <v>46120.604826388888</v>
      </c>
      <c r="K1240" s="6" t="e" cm="1">
        <f t="array" ref="K1240">LOOKUP(2^15,SEARCH(Tabela2[Palavras-Chave],Boletim[[#This Row],[Objeto]],1),Tabela2[Palavras-Chave])</f>
        <v>#N/A</v>
      </c>
    </row>
    <row r="1241" spans="1:11" hidden="1" x14ac:dyDescent="0.3">
      <c r="A1241" s="5">
        <v>18802833</v>
      </c>
      <c r="B1241" s="6" t="s">
        <v>1746</v>
      </c>
      <c r="C1241" s="6" t="s">
        <v>1747</v>
      </c>
      <c r="D1241" s="8" t="s">
        <v>70</v>
      </c>
      <c r="E1241" s="6" t="s">
        <v>230</v>
      </c>
      <c r="F1241" s="6" t="s">
        <v>85</v>
      </c>
      <c r="G1241" s="11" t="s">
        <v>56</v>
      </c>
      <c r="H1241" s="10" t="s">
        <v>1748</v>
      </c>
      <c r="I1241" s="6" t="s">
        <v>1749</v>
      </c>
      <c r="J1241" s="12">
        <v>46120.628842592596</v>
      </c>
      <c r="K1241" s="6" t="e" cm="1">
        <f t="array" ref="K1241">LOOKUP(2^15,SEARCH(Tabela2[Palavras-Chave],Boletim[[#This Row],[Objeto]],1),Tabela2[Palavras-Chave])</f>
        <v>#N/A</v>
      </c>
    </row>
    <row r="1242" spans="1:11" hidden="1" x14ac:dyDescent="0.3">
      <c r="A1242" s="5">
        <v>18805343</v>
      </c>
      <c r="B1242" s="6" t="s">
        <v>1750</v>
      </c>
      <c r="C1242" s="6" t="s">
        <v>1751</v>
      </c>
      <c r="D1242" s="8" t="s">
        <v>70</v>
      </c>
      <c r="E1242" s="6" t="s">
        <v>117</v>
      </c>
      <c r="F1242" s="6" t="s">
        <v>85</v>
      </c>
      <c r="G1242" s="11" t="s">
        <v>56</v>
      </c>
      <c r="H1242" s="10" t="s">
        <v>1752</v>
      </c>
      <c r="I1242" s="6" t="s">
        <v>1753</v>
      </c>
      <c r="J1242" s="12">
        <v>46120.721562500003</v>
      </c>
      <c r="K1242" s="6" t="e" cm="1">
        <f t="array" ref="K1242">LOOKUP(2^15,SEARCH(Tabela2[Palavras-Chave],Boletim[[#This Row],[Objeto]],1),Tabela2[Palavras-Chave])</f>
        <v>#N/A</v>
      </c>
    </row>
    <row r="1243" spans="1:11" hidden="1" x14ac:dyDescent="0.3">
      <c r="A1243" s="5">
        <v>18805326</v>
      </c>
      <c r="B1243" s="6" t="s">
        <v>1754</v>
      </c>
      <c r="C1243" s="6" t="s">
        <v>1755</v>
      </c>
      <c r="D1243" s="8" t="s">
        <v>70</v>
      </c>
      <c r="E1243" s="6" t="s">
        <v>127</v>
      </c>
      <c r="F1243" s="6" t="s">
        <v>85</v>
      </c>
      <c r="G1243" s="11" t="s">
        <v>56</v>
      </c>
      <c r="H1243" s="10" t="s">
        <v>1756</v>
      </c>
      <c r="I1243" s="6" t="s">
        <v>1757</v>
      </c>
      <c r="J1243" s="12">
        <v>46120.72693287037</v>
      </c>
      <c r="K1243" s="6" t="e" cm="1">
        <f t="array" ref="K1243">LOOKUP(2^15,SEARCH(Tabela2[Palavras-Chave],Boletim[[#This Row],[Objeto]],1),Tabela2[Palavras-Chave])</f>
        <v>#N/A</v>
      </c>
    </row>
    <row r="1244" spans="1:11" hidden="1" x14ac:dyDescent="0.3">
      <c r="A1244" s="5">
        <v>18805616</v>
      </c>
      <c r="B1244" s="6" t="s">
        <v>1758</v>
      </c>
      <c r="C1244" s="6" t="s">
        <v>1759</v>
      </c>
      <c r="D1244" s="8" t="s">
        <v>70</v>
      </c>
      <c r="E1244" s="6" t="s">
        <v>128</v>
      </c>
      <c r="F1244" s="6" t="s">
        <v>85</v>
      </c>
      <c r="G1244" s="11" t="s">
        <v>56</v>
      </c>
      <c r="H1244" s="10" t="s">
        <v>1760</v>
      </c>
      <c r="I1244" s="6" t="s">
        <v>1761</v>
      </c>
      <c r="J1244" s="12">
        <v>46120.759108796294</v>
      </c>
      <c r="K1244" s="6" t="e" cm="1">
        <f t="array" ref="K1244">LOOKUP(2^15,SEARCH(Tabela2[Palavras-Chave],Boletim[[#This Row],[Objeto]],1),Tabela2[Palavras-Chave])</f>
        <v>#N/A</v>
      </c>
    </row>
    <row r="1245" spans="1:11" ht="144" x14ac:dyDescent="0.3">
      <c r="A1245" s="5">
        <v>18802437</v>
      </c>
      <c r="B1245" s="6" t="s">
        <v>1762</v>
      </c>
      <c r="C1245" s="6" t="s">
        <v>69</v>
      </c>
      <c r="D1245" s="8" t="s">
        <v>70</v>
      </c>
      <c r="E1245" s="6" t="s">
        <v>1763</v>
      </c>
      <c r="F1245" s="6" t="s">
        <v>85</v>
      </c>
      <c r="G1245" s="11">
        <v>46128.375</v>
      </c>
      <c r="H1245" s="21" t="s">
        <v>1764</v>
      </c>
      <c r="I1245" s="6" t="s">
        <v>1765</v>
      </c>
      <c r="J1245" s="12">
        <v>46120.759918981479</v>
      </c>
      <c r="K1245" s="6" t="str" cm="1">
        <f t="array" ref="K1245">LOOKUP(2^15,SEARCH(Tabela2[Palavras-Chave],Boletim[[#This Row],[Objeto]],1),Tabela2[Palavras-Chave])</f>
        <v>BOOSTER</v>
      </c>
    </row>
    <row r="1246" spans="1:11" hidden="1" x14ac:dyDescent="0.3">
      <c r="A1246" s="5">
        <v>18804248</v>
      </c>
      <c r="B1246" s="6" t="s">
        <v>1766</v>
      </c>
      <c r="C1246" s="6" t="s">
        <v>378</v>
      </c>
      <c r="D1246" s="8" t="s">
        <v>70</v>
      </c>
      <c r="E1246" s="6" t="s">
        <v>134</v>
      </c>
      <c r="F1246" s="6" t="s">
        <v>85</v>
      </c>
      <c r="G1246" s="11" t="s">
        <v>56</v>
      </c>
      <c r="H1246" s="10" t="s">
        <v>1767</v>
      </c>
      <c r="I1246" s="6" t="s">
        <v>1768</v>
      </c>
      <c r="J1246" s="12">
        <v>46120.760451388887</v>
      </c>
      <c r="K1246" s="6" t="e" cm="1">
        <f t="array" ref="K1246">LOOKUP(2^15,SEARCH(Tabela2[Palavras-Chave],Boletim[[#This Row],[Objeto]],1),Tabela2[Palavras-Chave])</f>
        <v>#N/A</v>
      </c>
    </row>
    <row r="1247" spans="1:11" hidden="1" x14ac:dyDescent="0.3">
      <c r="A1247" s="5">
        <v>18805673</v>
      </c>
      <c r="B1247" s="6" t="s">
        <v>331</v>
      </c>
      <c r="C1247" s="6" t="s">
        <v>69</v>
      </c>
      <c r="D1247" s="8" t="s">
        <v>70</v>
      </c>
      <c r="E1247" s="6" t="s">
        <v>127</v>
      </c>
      <c r="F1247" s="6" t="s">
        <v>85</v>
      </c>
      <c r="G1247" s="11" t="s">
        <v>56</v>
      </c>
      <c r="H1247" s="10" t="s">
        <v>3139</v>
      </c>
      <c r="I1247" s="6" t="s">
        <v>3140</v>
      </c>
      <c r="J1247" s="12">
        <v>46120.76116898148</v>
      </c>
      <c r="K1247" s="6" t="e" cm="1">
        <f t="array" ref="K1247">LOOKUP(2^15,SEARCH(Tabela2[Palavras-Chave],Boletim[[#This Row],[Objeto]],1),Tabela2[Palavras-Chave])</f>
        <v>#N/A</v>
      </c>
    </row>
    <row r="1248" spans="1:11" hidden="1" x14ac:dyDescent="0.3">
      <c r="A1248" s="5">
        <v>18802842</v>
      </c>
      <c r="B1248" s="6" t="s">
        <v>1769</v>
      </c>
      <c r="C1248" s="6" t="s">
        <v>69</v>
      </c>
      <c r="D1248" s="8" t="s">
        <v>70</v>
      </c>
      <c r="E1248" s="6" t="s">
        <v>232</v>
      </c>
      <c r="F1248" s="6" t="s">
        <v>85</v>
      </c>
      <c r="G1248" s="11" t="s">
        <v>56</v>
      </c>
      <c r="H1248" s="10" t="s">
        <v>1770</v>
      </c>
      <c r="I1248" s="6" t="s">
        <v>1771</v>
      </c>
      <c r="J1248" s="12">
        <v>46120.858680555553</v>
      </c>
      <c r="K1248" s="6" t="e" cm="1">
        <f t="array" ref="K1248">LOOKUP(2^15,SEARCH(Tabela2[Palavras-Chave],Boletim[[#This Row],[Objeto]],1),Tabela2[Palavras-Chave])</f>
        <v>#N/A</v>
      </c>
    </row>
    <row r="1249" spans="1:11" hidden="1" x14ac:dyDescent="0.3">
      <c r="A1249" s="5">
        <v>18803456</v>
      </c>
      <c r="B1249" s="6" t="s">
        <v>331</v>
      </c>
      <c r="C1249" s="6" t="s">
        <v>69</v>
      </c>
      <c r="D1249" s="8" t="s">
        <v>70</v>
      </c>
      <c r="E1249" s="6" t="s">
        <v>1772</v>
      </c>
      <c r="F1249" s="6" t="s">
        <v>85</v>
      </c>
      <c r="G1249" s="11">
        <v>46160.458333333336</v>
      </c>
      <c r="H1249" s="10" t="s">
        <v>1773</v>
      </c>
      <c r="I1249" s="6" t="s">
        <v>1774</v>
      </c>
      <c r="J1249" s="12">
        <v>46120.901296296295</v>
      </c>
      <c r="K1249" s="6" t="e" cm="1">
        <f t="array" ref="K1249">LOOKUP(2^15,SEARCH(Tabela2[Palavras-Chave],Boletim[[#This Row],[Objeto]],1),Tabela2[Palavras-Chave])</f>
        <v>#N/A</v>
      </c>
    </row>
    <row r="1250" spans="1:11" hidden="1" x14ac:dyDescent="0.3">
      <c r="A1250" s="5">
        <v>18800926</v>
      </c>
      <c r="B1250" s="6" t="s">
        <v>1775</v>
      </c>
      <c r="C1250" s="6" t="s">
        <v>1776</v>
      </c>
      <c r="D1250" s="8" t="s">
        <v>71</v>
      </c>
      <c r="E1250" s="6" t="s">
        <v>113</v>
      </c>
      <c r="F1250" s="6" t="s">
        <v>85</v>
      </c>
      <c r="G1250" s="11">
        <v>46132.354166666664</v>
      </c>
      <c r="H1250" s="10" t="s">
        <v>1777</v>
      </c>
      <c r="I1250" s="6" t="s">
        <v>1778</v>
      </c>
      <c r="J1250" s="12">
        <v>46120.388356481482</v>
      </c>
      <c r="K1250" s="6" t="e" cm="1">
        <f t="array" ref="K1250">LOOKUP(2^15,SEARCH(Tabela2[Palavras-Chave],Boletim[[#This Row],[Objeto]],1),Tabela2[Palavras-Chave])</f>
        <v>#N/A</v>
      </c>
    </row>
    <row r="1251" spans="1:11" hidden="1" x14ac:dyDescent="0.3">
      <c r="A1251" s="5">
        <v>18803426</v>
      </c>
      <c r="B1251" s="6" t="s">
        <v>3141</v>
      </c>
      <c r="C1251" s="6" t="s">
        <v>3142</v>
      </c>
      <c r="D1251" s="8" t="s">
        <v>71</v>
      </c>
      <c r="E1251" s="6" t="s">
        <v>207</v>
      </c>
      <c r="F1251" s="6" t="s">
        <v>85</v>
      </c>
      <c r="G1251" s="11">
        <v>46136.416666666664</v>
      </c>
      <c r="H1251" s="10" t="s">
        <v>3143</v>
      </c>
      <c r="I1251" s="6" t="s">
        <v>3144</v>
      </c>
      <c r="J1251" s="12">
        <v>46120.562534722223</v>
      </c>
      <c r="K1251" s="6" t="e" cm="1">
        <f t="array" ref="K1251">LOOKUP(2^15,SEARCH(Tabela2[Palavras-Chave],Boletim[[#This Row],[Objeto]],1),Tabela2[Palavras-Chave])</f>
        <v>#N/A</v>
      </c>
    </row>
    <row r="1252" spans="1:11" hidden="1" x14ac:dyDescent="0.3">
      <c r="A1252" s="5">
        <v>18802870</v>
      </c>
      <c r="B1252" s="6" t="s">
        <v>1779</v>
      </c>
      <c r="C1252" s="6" t="s">
        <v>133</v>
      </c>
      <c r="D1252" s="8" t="s">
        <v>71</v>
      </c>
      <c r="E1252" s="6" t="s">
        <v>1780</v>
      </c>
      <c r="F1252" s="6" t="s">
        <v>85</v>
      </c>
      <c r="G1252" s="11" t="s">
        <v>56</v>
      </c>
      <c r="H1252" s="10" t="s">
        <v>1781</v>
      </c>
      <c r="I1252" s="6" t="s">
        <v>1782</v>
      </c>
      <c r="J1252" s="12">
        <v>46120.588356481479</v>
      </c>
      <c r="K1252" s="6" t="e" cm="1">
        <f t="array" ref="K1252">LOOKUP(2^15,SEARCH(Tabela2[Palavras-Chave],Boletim[[#This Row],[Objeto]],1),Tabela2[Palavras-Chave])</f>
        <v>#N/A</v>
      </c>
    </row>
    <row r="1253" spans="1:11" hidden="1" x14ac:dyDescent="0.3">
      <c r="A1253" s="5">
        <v>18802854</v>
      </c>
      <c r="B1253" s="6" t="s">
        <v>1779</v>
      </c>
      <c r="C1253" s="6" t="s">
        <v>133</v>
      </c>
      <c r="D1253" s="8" t="s">
        <v>71</v>
      </c>
      <c r="E1253" s="6" t="s">
        <v>1783</v>
      </c>
      <c r="F1253" s="6" t="s">
        <v>85</v>
      </c>
      <c r="G1253" s="11" t="s">
        <v>56</v>
      </c>
      <c r="H1253" s="10" t="s">
        <v>1784</v>
      </c>
      <c r="I1253" s="6" t="s">
        <v>1785</v>
      </c>
      <c r="J1253" s="12">
        <v>46120.588391203702</v>
      </c>
      <c r="K1253" s="6" t="e" cm="1">
        <f t="array" ref="K1253">LOOKUP(2^15,SEARCH(Tabela2[Palavras-Chave],Boletim[[#This Row],[Objeto]],1),Tabela2[Palavras-Chave])</f>
        <v>#N/A</v>
      </c>
    </row>
    <row r="1254" spans="1:11" hidden="1" x14ac:dyDescent="0.3">
      <c r="A1254" s="5">
        <v>18801481</v>
      </c>
      <c r="B1254" s="6" t="s">
        <v>379</v>
      </c>
      <c r="C1254" s="6" t="s">
        <v>380</v>
      </c>
      <c r="D1254" s="8" t="s">
        <v>71</v>
      </c>
      <c r="E1254" s="6" t="s">
        <v>461</v>
      </c>
      <c r="F1254" s="6" t="s">
        <v>85</v>
      </c>
      <c r="G1254" s="11" t="s">
        <v>56</v>
      </c>
      <c r="H1254" s="10" t="s">
        <v>3145</v>
      </c>
      <c r="I1254" s="6" t="s">
        <v>3146</v>
      </c>
      <c r="J1254" s="12">
        <v>46120.743055555555</v>
      </c>
      <c r="K1254" s="6" t="e" cm="1">
        <f t="array" ref="K1254">LOOKUP(2^15,SEARCH(Tabela2[Palavras-Chave],Boletim[[#This Row],[Objeto]],1),Tabela2[Palavras-Chave])</f>
        <v>#N/A</v>
      </c>
    </row>
    <row r="1255" spans="1:11" hidden="1" x14ac:dyDescent="0.3">
      <c r="A1255" s="5">
        <v>18805629</v>
      </c>
      <c r="B1255" s="6" t="s">
        <v>1786</v>
      </c>
      <c r="C1255" s="6" t="s">
        <v>1787</v>
      </c>
      <c r="D1255" s="8" t="s">
        <v>71</v>
      </c>
      <c r="E1255" s="6" t="s">
        <v>115</v>
      </c>
      <c r="F1255" s="6" t="s">
        <v>85</v>
      </c>
      <c r="G1255" s="11">
        <v>46134.375</v>
      </c>
      <c r="H1255" s="10" t="s">
        <v>1788</v>
      </c>
      <c r="I1255" s="6" t="s">
        <v>1789</v>
      </c>
      <c r="J1255" s="12">
        <v>46120.746990740743</v>
      </c>
      <c r="K1255" s="6" t="e" cm="1">
        <f t="array" ref="K1255">LOOKUP(2^15,SEARCH(Tabela2[Palavras-Chave],Boletim[[#This Row],[Objeto]],1),Tabela2[Palavras-Chave])</f>
        <v>#N/A</v>
      </c>
    </row>
    <row r="1256" spans="1:11" hidden="1" x14ac:dyDescent="0.3">
      <c r="A1256" s="5">
        <v>18804453</v>
      </c>
      <c r="B1256" s="6" t="s">
        <v>3147</v>
      </c>
      <c r="C1256" s="6" t="s">
        <v>133</v>
      </c>
      <c r="D1256" s="8" t="s">
        <v>71</v>
      </c>
      <c r="E1256" s="6" t="s">
        <v>3148</v>
      </c>
      <c r="F1256" s="6" t="s">
        <v>85</v>
      </c>
      <c r="G1256" s="11">
        <v>46136.416666666664</v>
      </c>
      <c r="H1256" s="10" t="s">
        <v>3149</v>
      </c>
      <c r="I1256" s="6" t="s">
        <v>3150</v>
      </c>
      <c r="J1256" s="12">
        <v>46120.8828587963</v>
      </c>
      <c r="K1256" s="6" t="e" cm="1">
        <f t="array" ref="K1256">LOOKUP(2^15,SEARCH(Tabela2[Palavras-Chave],Boletim[[#This Row],[Objeto]],1),Tabela2[Palavras-Chave])</f>
        <v>#N/A</v>
      </c>
    </row>
    <row r="1257" spans="1:11" hidden="1" x14ac:dyDescent="0.3">
      <c r="A1257" s="5">
        <v>18800615</v>
      </c>
      <c r="B1257" s="6" t="s">
        <v>1790</v>
      </c>
      <c r="C1257" s="6" t="s">
        <v>1791</v>
      </c>
      <c r="D1257" s="8" t="s">
        <v>72</v>
      </c>
      <c r="E1257" s="6" t="s">
        <v>134</v>
      </c>
      <c r="F1257" s="6" t="s">
        <v>85</v>
      </c>
      <c r="G1257" s="11" t="s">
        <v>56</v>
      </c>
      <c r="H1257" s="10" t="s">
        <v>1792</v>
      </c>
      <c r="I1257" s="6" t="s">
        <v>1793</v>
      </c>
      <c r="J1257" s="12">
        <v>46120.388356481482</v>
      </c>
      <c r="K1257" s="6" t="e" cm="1">
        <f t="array" ref="K1257">LOOKUP(2^15,SEARCH(Tabela2[Palavras-Chave],Boletim[[#This Row],[Objeto]],1),Tabela2[Palavras-Chave])</f>
        <v>#N/A</v>
      </c>
    </row>
    <row r="1258" spans="1:11" hidden="1" x14ac:dyDescent="0.3">
      <c r="A1258" s="5">
        <v>18795164</v>
      </c>
      <c r="B1258" s="6" t="s">
        <v>1794</v>
      </c>
      <c r="C1258" s="6" t="s">
        <v>1795</v>
      </c>
      <c r="D1258" s="8" t="s">
        <v>72</v>
      </c>
      <c r="E1258" s="6" t="s">
        <v>381</v>
      </c>
      <c r="F1258" s="6" t="s">
        <v>85</v>
      </c>
      <c r="G1258" s="11" t="s">
        <v>56</v>
      </c>
      <c r="H1258" s="10" t="s">
        <v>1796</v>
      </c>
      <c r="I1258" s="6" t="s">
        <v>1797</v>
      </c>
      <c r="J1258" s="12">
        <v>46120.388935185183</v>
      </c>
      <c r="K1258" s="6" t="e" cm="1">
        <f t="array" ref="K1258">LOOKUP(2^15,SEARCH(Tabela2[Palavras-Chave],Boletim[[#This Row],[Objeto]],1),Tabela2[Palavras-Chave])</f>
        <v>#N/A</v>
      </c>
    </row>
    <row r="1259" spans="1:11" hidden="1" x14ac:dyDescent="0.3">
      <c r="A1259" s="5">
        <v>18800924</v>
      </c>
      <c r="B1259" s="6" t="s">
        <v>1798</v>
      </c>
      <c r="C1259" s="6" t="s">
        <v>1799</v>
      </c>
      <c r="D1259" s="8" t="s">
        <v>72</v>
      </c>
      <c r="E1259" s="6" t="s">
        <v>141</v>
      </c>
      <c r="F1259" s="6" t="s">
        <v>85</v>
      </c>
      <c r="G1259" s="11">
        <v>46125.333333333336</v>
      </c>
      <c r="H1259" s="10" t="s">
        <v>1800</v>
      </c>
      <c r="I1259" s="6" t="s">
        <v>1801</v>
      </c>
      <c r="J1259" s="12">
        <v>46120.388969907406</v>
      </c>
      <c r="K1259" s="6" t="e" cm="1">
        <f t="array" ref="K1259">LOOKUP(2^15,SEARCH(Tabela2[Palavras-Chave],Boletim[[#This Row],[Objeto]],1),Tabela2[Palavras-Chave])</f>
        <v>#N/A</v>
      </c>
    </row>
    <row r="1260" spans="1:11" hidden="1" x14ac:dyDescent="0.3">
      <c r="A1260" s="5">
        <v>18798439</v>
      </c>
      <c r="B1260" s="6" t="s">
        <v>1802</v>
      </c>
      <c r="C1260" s="6" t="s">
        <v>1803</v>
      </c>
      <c r="D1260" s="8" t="s">
        <v>72</v>
      </c>
      <c r="E1260" s="6" t="s">
        <v>148</v>
      </c>
      <c r="F1260" s="6" t="s">
        <v>85</v>
      </c>
      <c r="G1260" s="11" t="s">
        <v>56</v>
      </c>
      <c r="H1260" s="10" t="s">
        <v>1804</v>
      </c>
      <c r="I1260" s="6" t="s">
        <v>1805</v>
      </c>
      <c r="J1260" s="12">
        <v>46120.388981481483</v>
      </c>
      <c r="K1260" s="6" t="e" cm="1">
        <f t="array" ref="K1260">LOOKUP(2^15,SEARCH(Tabela2[Palavras-Chave],Boletim[[#This Row],[Objeto]],1),Tabela2[Palavras-Chave])</f>
        <v>#N/A</v>
      </c>
    </row>
    <row r="1261" spans="1:11" hidden="1" x14ac:dyDescent="0.3">
      <c r="A1261" s="5">
        <v>18801592</v>
      </c>
      <c r="B1261" s="6" t="s">
        <v>1806</v>
      </c>
      <c r="C1261" s="6" t="s">
        <v>1807</v>
      </c>
      <c r="D1261" s="8" t="s">
        <v>72</v>
      </c>
      <c r="E1261" s="6" t="s">
        <v>120</v>
      </c>
      <c r="F1261" s="6" t="s">
        <v>85</v>
      </c>
      <c r="G1261" s="11" t="s">
        <v>56</v>
      </c>
      <c r="H1261" s="10" t="s">
        <v>1808</v>
      </c>
      <c r="I1261" s="6" t="s">
        <v>1809</v>
      </c>
      <c r="J1261" s="12">
        <v>46120.456736111111</v>
      </c>
      <c r="K1261" s="6" t="e" cm="1">
        <f t="array" ref="K1261">LOOKUP(2^15,SEARCH(Tabela2[Palavras-Chave],Boletim[[#This Row],[Objeto]],1),Tabela2[Palavras-Chave])</f>
        <v>#N/A</v>
      </c>
    </row>
    <row r="1262" spans="1:11" hidden="1" x14ac:dyDescent="0.3">
      <c r="A1262" s="5">
        <v>18801599</v>
      </c>
      <c r="B1262" s="6" t="s">
        <v>1810</v>
      </c>
      <c r="C1262" s="6" t="s">
        <v>1811</v>
      </c>
      <c r="D1262" s="8" t="s">
        <v>72</v>
      </c>
      <c r="E1262" s="6" t="s">
        <v>456</v>
      </c>
      <c r="F1262" s="6" t="s">
        <v>85</v>
      </c>
      <c r="G1262" s="11" t="s">
        <v>56</v>
      </c>
      <c r="H1262" s="10" t="s">
        <v>1812</v>
      </c>
      <c r="I1262" s="6" t="s">
        <v>1813</v>
      </c>
      <c r="J1262" s="12">
        <v>46120.491944444446</v>
      </c>
      <c r="K1262" s="6" t="e" cm="1">
        <f t="array" ref="K1262">LOOKUP(2^15,SEARCH(Tabela2[Palavras-Chave],Boletim[[#This Row],[Objeto]],1),Tabela2[Palavras-Chave])</f>
        <v>#N/A</v>
      </c>
    </row>
    <row r="1263" spans="1:11" hidden="1" x14ac:dyDescent="0.3">
      <c r="A1263" s="5">
        <v>18801669</v>
      </c>
      <c r="B1263" s="6" t="s">
        <v>1814</v>
      </c>
      <c r="C1263" s="6" t="s">
        <v>1815</v>
      </c>
      <c r="D1263" s="8" t="s">
        <v>72</v>
      </c>
      <c r="E1263" s="6" t="s">
        <v>143</v>
      </c>
      <c r="F1263" s="6" t="s">
        <v>85</v>
      </c>
      <c r="G1263" s="11" t="s">
        <v>56</v>
      </c>
      <c r="H1263" s="10" t="s">
        <v>1816</v>
      </c>
      <c r="I1263" s="6" t="s">
        <v>1817</v>
      </c>
      <c r="J1263" s="12">
        <v>46120.493738425925</v>
      </c>
      <c r="K1263" s="6" t="e" cm="1">
        <f t="array" ref="K1263">LOOKUP(2^15,SEARCH(Tabela2[Palavras-Chave],Boletim[[#This Row],[Objeto]],1),Tabela2[Palavras-Chave])</f>
        <v>#N/A</v>
      </c>
    </row>
    <row r="1264" spans="1:11" hidden="1" x14ac:dyDescent="0.3">
      <c r="A1264" s="5">
        <v>18802711</v>
      </c>
      <c r="B1264" s="6" t="s">
        <v>384</v>
      </c>
      <c r="C1264" s="6" t="s">
        <v>206</v>
      </c>
      <c r="D1264" s="8" t="s">
        <v>72</v>
      </c>
      <c r="E1264" s="6" t="s">
        <v>1818</v>
      </c>
      <c r="F1264" s="6" t="s">
        <v>85</v>
      </c>
      <c r="G1264" s="11" t="s">
        <v>56</v>
      </c>
      <c r="H1264" s="10" t="s">
        <v>1819</v>
      </c>
      <c r="I1264" s="6" t="s">
        <v>1820</v>
      </c>
      <c r="J1264" s="12">
        <v>46120.516493055555</v>
      </c>
      <c r="K1264" s="6" t="e" cm="1">
        <f t="array" ref="K1264">LOOKUP(2^15,SEARCH(Tabela2[Palavras-Chave],Boletim[[#This Row],[Objeto]],1),Tabela2[Palavras-Chave])</f>
        <v>#N/A</v>
      </c>
    </row>
    <row r="1265" spans="1:11" hidden="1" x14ac:dyDescent="0.3">
      <c r="A1265" s="5">
        <v>18801632</v>
      </c>
      <c r="B1265" s="6" t="s">
        <v>235</v>
      </c>
      <c r="C1265" s="6" t="s">
        <v>236</v>
      </c>
      <c r="D1265" s="8" t="s">
        <v>72</v>
      </c>
      <c r="E1265" s="6" t="s">
        <v>143</v>
      </c>
      <c r="F1265" s="6" t="s">
        <v>85</v>
      </c>
      <c r="G1265" s="11" t="s">
        <v>56</v>
      </c>
      <c r="H1265" s="10" t="s">
        <v>1821</v>
      </c>
      <c r="I1265" s="6" t="s">
        <v>1822</v>
      </c>
      <c r="J1265" s="12">
        <v>46120.517847222225</v>
      </c>
      <c r="K1265" s="6" t="e" cm="1">
        <f t="array" ref="K1265">LOOKUP(2^15,SEARCH(Tabela2[Palavras-Chave],Boletim[[#This Row],[Objeto]],1),Tabela2[Palavras-Chave])</f>
        <v>#N/A</v>
      </c>
    </row>
    <row r="1266" spans="1:11" hidden="1" x14ac:dyDescent="0.3">
      <c r="A1266" s="5">
        <v>18802706</v>
      </c>
      <c r="B1266" s="6" t="s">
        <v>1823</v>
      </c>
      <c r="C1266" s="6" t="s">
        <v>1824</v>
      </c>
      <c r="D1266" s="8" t="s">
        <v>72</v>
      </c>
      <c r="E1266" s="6" t="s">
        <v>184</v>
      </c>
      <c r="F1266" s="6" t="s">
        <v>85</v>
      </c>
      <c r="G1266" s="11" t="s">
        <v>56</v>
      </c>
      <c r="H1266" s="10" t="s">
        <v>1825</v>
      </c>
      <c r="I1266" s="6" t="s">
        <v>1826</v>
      </c>
      <c r="J1266" s="12">
        <v>46120.525682870371</v>
      </c>
      <c r="K1266" s="6" t="e" cm="1">
        <f t="array" ref="K1266">LOOKUP(2^15,SEARCH(Tabela2[Palavras-Chave],Boletim[[#This Row],[Objeto]],1),Tabela2[Palavras-Chave])</f>
        <v>#N/A</v>
      </c>
    </row>
    <row r="1267" spans="1:11" hidden="1" x14ac:dyDescent="0.3">
      <c r="A1267" s="5">
        <v>18802232</v>
      </c>
      <c r="B1267" s="6" t="s">
        <v>74</v>
      </c>
      <c r="C1267" s="6" t="s">
        <v>73</v>
      </c>
      <c r="D1267" s="8" t="s">
        <v>72</v>
      </c>
      <c r="E1267" s="6" t="s">
        <v>1394</v>
      </c>
      <c r="F1267" s="6" t="s">
        <v>85</v>
      </c>
      <c r="G1267" s="11" t="s">
        <v>56</v>
      </c>
      <c r="H1267" s="10" t="s">
        <v>1395</v>
      </c>
      <c r="I1267" s="6" t="s">
        <v>1396</v>
      </c>
      <c r="J1267" s="12">
        <v>46120.529236111113</v>
      </c>
      <c r="K1267" s="6" t="e" cm="1">
        <f t="array" ref="K1267">LOOKUP(2^15,SEARCH(Tabela2[Palavras-Chave],Boletim[[#This Row],[Objeto]],1),Tabela2[Palavras-Chave])</f>
        <v>#N/A</v>
      </c>
    </row>
    <row r="1268" spans="1:11" hidden="1" x14ac:dyDescent="0.3">
      <c r="A1268" s="5">
        <v>18802762</v>
      </c>
      <c r="B1268" s="6" t="s">
        <v>1827</v>
      </c>
      <c r="C1268" s="6" t="s">
        <v>1828</v>
      </c>
      <c r="D1268" s="8" t="s">
        <v>72</v>
      </c>
      <c r="E1268" s="6" t="s">
        <v>1677</v>
      </c>
      <c r="F1268" s="6" t="s">
        <v>85</v>
      </c>
      <c r="G1268" s="11" t="s">
        <v>56</v>
      </c>
      <c r="H1268" s="10" t="s">
        <v>1829</v>
      </c>
      <c r="I1268" s="6" t="s">
        <v>1830</v>
      </c>
      <c r="J1268" s="12">
        <v>46120.527129629627</v>
      </c>
      <c r="K1268" s="6" t="e" cm="1">
        <f t="array" ref="K1268">LOOKUP(2^15,SEARCH(Tabela2[Palavras-Chave],Boletim[[#This Row],[Objeto]],1),Tabela2[Palavras-Chave])</f>
        <v>#N/A</v>
      </c>
    </row>
    <row r="1269" spans="1:11" hidden="1" x14ac:dyDescent="0.3">
      <c r="A1269" s="5">
        <v>18802239</v>
      </c>
      <c r="B1269" s="6" t="s">
        <v>74</v>
      </c>
      <c r="C1269" s="6" t="s">
        <v>73</v>
      </c>
      <c r="D1269" s="8" t="s">
        <v>72</v>
      </c>
      <c r="E1269" s="6" t="s">
        <v>1232</v>
      </c>
      <c r="F1269" s="6" t="s">
        <v>85</v>
      </c>
      <c r="G1269" s="11" t="s">
        <v>56</v>
      </c>
      <c r="H1269" s="10" t="s">
        <v>1233</v>
      </c>
      <c r="I1269" s="6" t="s">
        <v>1234</v>
      </c>
      <c r="J1269" s="12">
        <v>46120.529907407406</v>
      </c>
      <c r="K1269" s="6" t="e" cm="1">
        <f t="array" ref="K1269">LOOKUP(2^15,SEARCH(Tabela2[Palavras-Chave],Boletim[[#This Row],[Objeto]],1),Tabela2[Palavras-Chave])</f>
        <v>#N/A</v>
      </c>
    </row>
    <row r="1270" spans="1:11" hidden="1" x14ac:dyDescent="0.3">
      <c r="A1270" s="5">
        <v>18802744</v>
      </c>
      <c r="B1270" s="6" t="s">
        <v>457</v>
      </c>
      <c r="C1270" s="6" t="s">
        <v>385</v>
      </c>
      <c r="D1270" s="8" t="s">
        <v>72</v>
      </c>
      <c r="E1270" s="6" t="s">
        <v>1471</v>
      </c>
      <c r="F1270" s="6" t="s">
        <v>85</v>
      </c>
      <c r="G1270" s="11" t="s">
        <v>56</v>
      </c>
      <c r="H1270" s="10" t="s">
        <v>1831</v>
      </c>
      <c r="I1270" s="6" t="s">
        <v>1832</v>
      </c>
      <c r="J1270" s="12">
        <v>46120.542523148149</v>
      </c>
      <c r="K1270" s="6" t="e" cm="1">
        <f t="array" ref="K1270">LOOKUP(2^15,SEARCH(Tabela2[Palavras-Chave],Boletim[[#This Row],[Objeto]],1),Tabela2[Palavras-Chave])</f>
        <v>#N/A</v>
      </c>
    </row>
    <row r="1271" spans="1:11" hidden="1" x14ac:dyDescent="0.3">
      <c r="A1271" s="5">
        <v>18801569</v>
      </c>
      <c r="B1271" s="6" t="s">
        <v>1833</v>
      </c>
      <c r="C1271" s="6" t="s">
        <v>1834</v>
      </c>
      <c r="D1271" s="8" t="s">
        <v>72</v>
      </c>
      <c r="E1271" s="6" t="s">
        <v>223</v>
      </c>
      <c r="F1271" s="6" t="s">
        <v>85</v>
      </c>
      <c r="G1271" s="11" t="s">
        <v>56</v>
      </c>
      <c r="H1271" s="10" t="s">
        <v>1835</v>
      </c>
      <c r="I1271" s="6" t="s">
        <v>1836</v>
      </c>
      <c r="J1271" s="12">
        <v>46120.563032407408</v>
      </c>
      <c r="K1271" s="6" t="e" cm="1">
        <f t="array" ref="K1271">LOOKUP(2^15,SEARCH(Tabela2[Palavras-Chave],Boletim[[#This Row],[Objeto]],1),Tabela2[Palavras-Chave])</f>
        <v>#N/A</v>
      </c>
    </row>
    <row r="1272" spans="1:11" hidden="1" x14ac:dyDescent="0.3">
      <c r="A1272" s="5">
        <v>18801571</v>
      </c>
      <c r="B1272" s="6" t="s">
        <v>424</v>
      </c>
      <c r="C1272" s="6" t="s">
        <v>425</v>
      </c>
      <c r="D1272" s="8" t="s">
        <v>72</v>
      </c>
      <c r="E1272" s="6" t="s">
        <v>1669</v>
      </c>
      <c r="F1272" s="6" t="s">
        <v>85</v>
      </c>
      <c r="G1272" s="11" t="s">
        <v>56</v>
      </c>
      <c r="H1272" s="10" t="s">
        <v>1837</v>
      </c>
      <c r="I1272" s="6" t="s">
        <v>1838</v>
      </c>
      <c r="J1272" s="12">
        <v>46120.564212962963</v>
      </c>
      <c r="K1272" s="6" t="e" cm="1">
        <f t="array" ref="K1272">LOOKUP(2^15,SEARCH(Tabela2[Palavras-Chave],Boletim[[#This Row],[Objeto]],1),Tabela2[Palavras-Chave])</f>
        <v>#N/A</v>
      </c>
    </row>
    <row r="1273" spans="1:11" hidden="1" x14ac:dyDescent="0.3">
      <c r="A1273" s="5">
        <v>18800365</v>
      </c>
      <c r="B1273" s="6" t="s">
        <v>1839</v>
      </c>
      <c r="C1273" s="6" t="s">
        <v>1840</v>
      </c>
      <c r="D1273" s="8" t="s">
        <v>72</v>
      </c>
      <c r="E1273" s="6" t="s">
        <v>125</v>
      </c>
      <c r="F1273" s="6" t="s">
        <v>85</v>
      </c>
      <c r="G1273" s="11" t="s">
        <v>56</v>
      </c>
      <c r="H1273" s="10" t="s">
        <v>1841</v>
      </c>
      <c r="I1273" s="6" t="s">
        <v>1842</v>
      </c>
      <c r="J1273" s="12">
        <v>46120.586863425924</v>
      </c>
      <c r="K1273" s="6" t="e" cm="1">
        <f t="array" ref="K1273">LOOKUP(2^15,SEARCH(Tabela2[Palavras-Chave],Boletim[[#This Row],[Objeto]],1),Tabela2[Palavras-Chave])</f>
        <v>#N/A</v>
      </c>
    </row>
    <row r="1274" spans="1:11" hidden="1" x14ac:dyDescent="0.3">
      <c r="A1274" s="5">
        <v>18802691</v>
      </c>
      <c r="B1274" s="6" t="s">
        <v>239</v>
      </c>
      <c r="C1274" s="6" t="s">
        <v>240</v>
      </c>
      <c r="D1274" s="8" t="s">
        <v>72</v>
      </c>
      <c r="E1274" s="6" t="s">
        <v>267</v>
      </c>
      <c r="F1274" s="6" t="s">
        <v>85</v>
      </c>
      <c r="G1274" s="11" t="s">
        <v>56</v>
      </c>
      <c r="H1274" s="10" t="s">
        <v>1843</v>
      </c>
      <c r="I1274" s="6" t="s">
        <v>1844</v>
      </c>
      <c r="J1274" s="12">
        <v>46120.586840277778</v>
      </c>
      <c r="K1274" s="6" t="e" cm="1">
        <f t="array" ref="K1274">LOOKUP(2^15,SEARCH(Tabela2[Palavras-Chave],Boletim[[#This Row],[Objeto]],1),Tabela2[Palavras-Chave])</f>
        <v>#N/A</v>
      </c>
    </row>
    <row r="1275" spans="1:11" hidden="1" x14ac:dyDescent="0.3">
      <c r="A1275" s="5">
        <v>18803826</v>
      </c>
      <c r="B1275" s="6" t="s">
        <v>3151</v>
      </c>
      <c r="C1275" s="6" t="s">
        <v>3152</v>
      </c>
      <c r="D1275" s="8" t="s">
        <v>72</v>
      </c>
      <c r="E1275" s="6" t="s">
        <v>127</v>
      </c>
      <c r="F1275" s="6" t="s">
        <v>85</v>
      </c>
      <c r="G1275" s="11" t="s">
        <v>56</v>
      </c>
      <c r="H1275" s="10" t="s">
        <v>3153</v>
      </c>
      <c r="I1275" s="6" t="s">
        <v>3154</v>
      </c>
      <c r="J1275" s="12">
        <v>46120.598680555559</v>
      </c>
      <c r="K1275" s="6" t="e" cm="1">
        <f t="array" ref="K1275">LOOKUP(2^15,SEARCH(Tabela2[Palavras-Chave],Boletim[[#This Row],[Objeto]],1),Tabela2[Palavras-Chave])</f>
        <v>#N/A</v>
      </c>
    </row>
    <row r="1276" spans="1:11" hidden="1" x14ac:dyDescent="0.3">
      <c r="A1276" s="5">
        <v>18803234</v>
      </c>
      <c r="B1276" s="6" t="s">
        <v>3155</v>
      </c>
      <c r="C1276" s="6" t="s">
        <v>3156</v>
      </c>
      <c r="D1276" s="8" t="s">
        <v>72</v>
      </c>
      <c r="E1276" s="6" t="s">
        <v>221</v>
      </c>
      <c r="F1276" s="6" t="s">
        <v>85</v>
      </c>
      <c r="G1276" s="11" t="s">
        <v>56</v>
      </c>
      <c r="H1276" s="10" t="s">
        <v>3157</v>
      </c>
      <c r="I1276" s="6" t="s">
        <v>3158</v>
      </c>
      <c r="J1276" s="12">
        <v>46120.598819444444</v>
      </c>
      <c r="K1276" s="6" t="e" cm="1">
        <f t="array" ref="K1276">LOOKUP(2^15,SEARCH(Tabela2[Palavras-Chave],Boletim[[#This Row],[Objeto]],1),Tabela2[Palavras-Chave])</f>
        <v>#N/A</v>
      </c>
    </row>
    <row r="1277" spans="1:11" hidden="1" x14ac:dyDescent="0.3">
      <c r="A1277" s="5">
        <v>18803964</v>
      </c>
      <c r="B1277" s="6" t="s">
        <v>421</v>
      </c>
      <c r="C1277" s="6" t="s">
        <v>422</v>
      </c>
      <c r="D1277" s="8" t="s">
        <v>72</v>
      </c>
      <c r="E1277" s="6" t="s">
        <v>134</v>
      </c>
      <c r="F1277" s="6" t="s">
        <v>85</v>
      </c>
      <c r="G1277" s="11" t="s">
        <v>56</v>
      </c>
      <c r="H1277" s="10" t="s">
        <v>1845</v>
      </c>
      <c r="I1277" s="6" t="s">
        <v>1846</v>
      </c>
      <c r="J1277" s="12">
        <v>46120.608067129629</v>
      </c>
      <c r="K1277" s="6" t="e" cm="1">
        <f t="array" ref="K1277">LOOKUP(2^15,SEARCH(Tabela2[Palavras-Chave],Boletim[[#This Row],[Objeto]],1),Tabela2[Palavras-Chave])</f>
        <v>#N/A</v>
      </c>
    </row>
    <row r="1278" spans="1:11" hidden="1" x14ac:dyDescent="0.3">
      <c r="A1278" s="5">
        <v>18804008</v>
      </c>
      <c r="B1278" s="6" t="s">
        <v>1847</v>
      </c>
      <c r="C1278" s="6" t="s">
        <v>1848</v>
      </c>
      <c r="D1278" s="8" t="s">
        <v>72</v>
      </c>
      <c r="E1278" s="6" t="s">
        <v>1849</v>
      </c>
      <c r="F1278" s="6" t="s">
        <v>85</v>
      </c>
      <c r="G1278" s="11">
        <v>46146.374305555553</v>
      </c>
      <c r="H1278" s="10" t="s">
        <v>1850</v>
      </c>
      <c r="I1278" s="6" t="s">
        <v>1851</v>
      </c>
      <c r="J1278" s="12">
        <v>46120.61041666667</v>
      </c>
      <c r="K1278" s="6" t="e" cm="1">
        <f t="array" ref="K1278">LOOKUP(2^15,SEARCH(Tabela2[Palavras-Chave],Boletim[[#This Row],[Objeto]],1),Tabela2[Palavras-Chave])</f>
        <v>#N/A</v>
      </c>
    </row>
    <row r="1279" spans="1:11" hidden="1" x14ac:dyDescent="0.3">
      <c r="A1279" s="5">
        <v>18803991</v>
      </c>
      <c r="B1279" s="6" t="s">
        <v>3159</v>
      </c>
      <c r="C1279" s="6" t="s">
        <v>3160</v>
      </c>
      <c r="D1279" s="8" t="s">
        <v>72</v>
      </c>
      <c r="E1279" s="6" t="s">
        <v>128</v>
      </c>
      <c r="F1279" s="6" t="s">
        <v>85</v>
      </c>
      <c r="G1279" s="11">
        <v>46135.375</v>
      </c>
      <c r="H1279" s="10" t="s">
        <v>3161</v>
      </c>
      <c r="I1279" s="6" t="s">
        <v>3162</v>
      </c>
      <c r="J1279" s="12">
        <v>46120.636979166666</v>
      </c>
      <c r="K1279" s="6" t="e" cm="1">
        <f t="array" ref="K1279">LOOKUP(2^15,SEARCH(Tabela2[Palavras-Chave],Boletim[[#This Row],[Objeto]],1),Tabela2[Palavras-Chave])</f>
        <v>#N/A</v>
      </c>
    </row>
    <row r="1280" spans="1:11" ht="244.8" x14ac:dyDescent="0.3">
      <c r="A1280" s="5">
        <v>18803811</v>
      </c>
      <c r="B1280" s="6" t="s">
        <v>1852</v>
      </c>
      <c r="C1280" s="6" t="s">
        <v>1853</v>
      </c>
      <c r="D1280" s="8" t="s">
        <v>72</v>
      </c>
      <c r="E1280" s="6" t="s">
        <v>166</v>
      </c>
      <c r="F1280" s="6" t="s">
        <v>85</v>
      </c>
      <c r="G1280" s="11" t="s">
        <v>56</v>
      </c>
      <c r="H1280" s="21" t="s">
        <v>1854</v>
      </c>
      <c r="I1280" s="6" t="s">
        <v>1855</v>
      </c>
      <c r="J1280" s="12">
        <v>46120.64199074074</v>
      </c>
      <c r="K1280" s="6" t="str" cm="1">
        <f t="array" ref="K1280">LOOKUP(2^15,SEARCH(Tabela2[Palavras-Chave],Boletim[[#This Row],[Objeto]],1),Tabela2[Palavras-Chave])</f>
        <v>BOMBEAMENTO</v>
      </c>
    </row>
    <row r="1281" spans="1:11" hidden="1" x14ac:dyDescent="0.3">
      <c r="A1281" s="5">
        <v>18802759</v>
      </c>
      <c r="B1281" s="6" t="s">
        <v>1856</v>
      </c>
      <c r="C1281" s="6" t="s">
        <v>1857</v>
      </c>
      <c r="D1281" s="8" t="s">
        <v>72</v>
      </c>
      <c r="E1281" s="6" t="s">
        <v>1858</v>
      </c>
      <c r="F1281" s="6" t="s">
        <v>85</v>
      </c>
      <c r="G1281" s="11" t="s">
        <v>56</v>
      </c>
      <c r="H1281" s="10" t="s">
        <v>1859</v>
      </c>
      <c r="I1281" s="6" t="s">
        <v>1860</v>
      </c>
      <c r="J1281" s="12">
        <v>46120.664120370369</v>
      </c>
      <c r="K1281" s="6" t="e" cm="1">
        <f t="array" ref="K1281">LOOKUP(2^15,SEARCH(Tabela2[Palavras-Chave],Boletim[[#This Row],[Objeto]],1),Tabela2[Palavras-Chave])</f>
        <v>#N/A</v>
      </c>
    </row>
    <row r="1282" spans="1:11" hidden="1" x14ac:dyDescent="0.3">
      <c r="A1282" s="5">
        <v>18802718</v>
      </c>
      <c r="B1282" s="6" t="s">
        <v>1856</v>
      </c>
      <c r="C1282" s="6" t="s">
        <v>1857</v>
      </c>
      <c r="D1282" s="8" t="s">
        <v>72</v>
      </c>
      <c r="E1282" s="6" t="s">
        <v>1861</v>
      </c>
      <c r="F1282" s="6" t="s">
        <v>85</v>
      </c>
      <c r="G1282" s="11" t="s">
        <v>56</v>
      </c>
      <c r="H1282" s="10" t="s">
        <v>1862</v>
      </c>
      <c r="I1282" s="6" t="s">
        <v>1863</v>
      </c>
      <c r="J1282" s="12">
        <v>46120.664236111108</v>
      </c>
      <c r="K1282" s="6" t="e" cm="1">
        <f t="array" ref="K1282">LOOKUP(2^15,SEARCH(Tabela2[Palavras-Chave],Boletim[[#This Row],[Objeto]],1),Tabela2[Palavras-Chave])</f>
        <v>#N/A</v>
      </c>
    </row>
    <row r="1283" spans="1:11" hidden="1" x14ac:dyDescent="0.3">
      <c r="A1283" s="5">
        <v>18802709</v>
      </c>
      <c r="B1283" s="6" t="s">
        <v>1864</v>
      </c>
      <c r="C1283" s="6" t="s">
        <v>1865</v>
      </c>
      <c r="D1283" s="8" t="s">
        <v>72</v>
      </c>
      <c r="E1283" s="6" t="s">
        <v>394</v>
      </c>
      <c r="F1283" s="6" t="s">
        <v>85</v>
      </c>
      <c r="G1283" s="11" t="s">
        <v>56</v>
      </c>
      <c r="H1283" s="10" t="s">
        <v>1866</v>
      </c>
      <c r="I1283" s="6" t="s">
        <v>1867</v>
      </c>
      <c r="J1283" s="12">
        <v>46120.664768518516</v>
      </c>
      <c r="K1283" s="6" t="e" cm="1">
        <f t="array" ref="K1283">LOOKUP(2^15,SEARCH(Tabela2[Palavras-Chave],Boletim[[#This Row],[Objeto]],1),Tabela2[Palavras-Chave])</f>
        <v>#N/A</v>
      </c>
    </row>
    <row r="1284" spans="1:11" hidden="1" x14ac:dyDescent="0.3">
      <c r="A1284" s="5">
        <v>18805219</v>
      </c>
      <c r="B1284" s="6" t="s">
        <v>272</v>
      </c>
      <c r="C1284" s="6" t="s">
        <v>273</v>
      </c>
      <c r="D1284" s="8" t="s">
        <v>72</v>
      </c>
      <c r="E1284" s="6" t="s">
        <v>1868</v>
      </c>
      <c r="F1284" s="6" t="s">
        <v>85</v>
      </c>
      <c r="G1284" s="11" t="s">
        <v>56</v>
      </c>
      <c r="H1284" s="10" t="s">
        <v>1869</v>
      </c>
      <c r="I1284" s="6" t="s">
        <v>1870</v>
      </c>
      <c r="J1284" s="12">
        <v>46120.712916666664</v>
      </c>
      <c r="K1284" s="6" t="e" cm="1">
        <f t="array" ref="K1284">LOOKUP(2^15,SEARCH(Tabela2[Palavras-Chave],Boletim[[#This Row],[Objeto]],1),Tabela2[Palavras-Chave])</f>
        <v>#N/A</v>
      </c>
    </row>
    <row r="1285" spans="1:11" hidden="1" x14ac:dyDescent="0.3">
      <c r="A1285" s="5">
        <v>18790282</v>
      </c>
      <c r="B1285" s="6" t="s">
        <v>1871</v>
      </c>
      <c r="C1285" s="6" t="s">
        <v>1872</v>
      </c>
      <c r="D1285" s="8" t="s">
        <v>72</v>
      </c>
      <c r="E1285" s="6" t="s">
        <v>126</v>
      </c>
      <c r="F1285" s="6" t="s">
        <v>85</v>
      </c>
      <c r="G1285" s="11">
        <v>46134.625</v>
      </c>
      <c r="H1285" s="10" t="s">
        <v>1873</v>
      </c>
      <c r="I1285" s="6" t="s">
        <v>1874</v>
      </c>
      <c r="J1285" s="12">
        <v>46120.721620370372</v>
      </c>
      <c r="K1285" s="6" t="e" cm="1">
        <f t="array" ref="K1285">LOOKUP(2^15,SEARCH(Tabela2[Palavras-Chave],Boletim[[#This Row],[Objeto]],1),Tabela2[Palavras-Chave])</f>
        <v>#N/A</v>
      </c>
    </row>
    <row r="1286" spans="1:11" hidden="1" x14ac:dyDescent="0.3">
      <c r="A1286" s="5">
        <v>18801637</v>
      </c>
      <c r="B1286" s="6" t="s">
        <v>3163</v>
      </c>
      <c r="C1286" s="6" t="s">
        <v>3164</v>
      </c>
      <c r="D1286" s="8" t="s">
        <v>72</v>
      </c>
      <c r="E1286" s="6" t="s">
        <v>146</v>
      </c>
      <c r="F1286" s="6" t="s">
        <v>85</v>
      </c>
      <c r="G1286" s="11" t="s">
        <v>56</v>
      </c>
      <c r="H1286" s="10" t="s">
        <v>3165</v>
      </c>
      <c r="I1286" s="6" t="s">
        <v>3166</v>
      </c>
      <c r="J1286" s="12">
        <v>46120.720196759263</v>
      </c>
      <c r="K1286" s="6" t="e" cm="1">
        <f t="array" ref="K1286">LOOKUP(2^15,SEARCH(Tabela2[Palavras-Chave],Boletim[[#This Row],[Objeto]],1),Tabela2[Palavras-Chave])</f>
        <v>#N/A</v>
      </c>
    </row>
    <row r="1287" spans="1:11" hidden="1" x14ac:dyDescent="0.3">
      <c r="A1287" s="5">
        <v>18802698</v>
      </c>
      <c r="B1287" s="6" t="s">
        <v>1823</v>
      </c>
      <c r="C1287" s="6" t="s">
        <v>1824</v>
      </c>
      <c r="D1287" s="8" t="s">
        <v>72</v>
      </c>
      <c r="E1287" s="6" t="s">
        <v>157</v>
      </c>
      <c r="F1287" s="6" t="s">
        <v>85</v>
      </c>
      <c r="G1287" s="11" t="s">
        <v>56</v>
      </c>
      <c r="H1287" s="10" t="s">
        <v>1875</v>
      </c>
      <c r="I1287" s="6" t="s">
        <v>1876</v>
      </c>
      <c r="J1287" s="12">
        <v>46120.731979166667</v>
      </c>
      <c r="K1287" s="6" t="e" cm="1">
        <f t="array" ref="K1287">LOOKUP(2^15,SEARCH(Tabela2[Palavras-Chave],Boletim[[#This Row],[Objeto]],1),Tabela2[Palavras-Chave])</f>
        <v>#N/A</v>
      </c>
    </row>
    <row r="1288" spans="1:11" hidden="1" x14ac:dyDescent="0.3">
      <c r="A1288" s="5">
        <v>18802708</v>
      </c>
      <c r="B1288" s="6" t="s">
        <v>1877</v>
      </c>
      <c r="C1288" s="6" t="s">
        <v>1878</v>
      </c>
      <c r="D1288" s="8" t="s">
        <v>72</v>
      </c>
      <c r="E1288" s="6" t="s">
        <v>230</v>
      </c>
      <c r="F1288" s="6" t="s">
        <v>85</v>
      </c>
      <c r="G1288" s="11" t="s">
        <v>56</v>
      </c>
      <c r="H1288" s="10" t="s">
        <v>1879</v>
      </c>
      <c r="I1288" s="6" t="s">
        <v>1880</v>
      </c>
      <c r="J1288" s="12">
        <v>46120.732268518521</v>
      </c>
      <c r="K1288" s="6" t="e" cm="1">
        <f t="array" ref="K1288">LOOKUP(2^15,SEARCH(Tabela2[Palavras-Chave],Boletim[[#This Row],[Objeto]],1),Tabela2[Palavras-Chave])</f>
        <v>#N/A</v>
      </c>
    </row>
    <row r="1289" spans="1:11" hidden="1" x14ac:dyDescent="0.3">
      <c r="A1289" s="5">
        <v>18802731</v>
      </c>
      <c r="B1289" s="6" t="s">
        <v>1881</v>
      </c>
      <c r="C1289" s="6" t="s">
        <v>1882</v>
      </c>
      <c r="D1289" s="8" t="s">
        <v>72</v>
      </c>
      <c r="E1289" s="6" t="s">
        <v>224</v>
      </c>
      <c r="F1289" s="6" t="s">
        <v>85</v>
      </c>
      <c r="G1289" s="11" t="s">
        <v>56</v>
      </c>
      <c r="H1289" s="10" t="s">
        <v>1883</v>
      </c>
      <c r="I1289" s="6" t="s">
        <v>1884</v>
      </c>
      <c r="J1289" s="12">
        <v>46120.733043981483</v>
      </c>
      <c r="K1289" s="6" t="e" cm="1">
        <f t="array" ref="K1289">LOOKUP(2^15,SEARCH(Tabela2[Palavras-Chave],Boletim[[#This Row],[Objeto]],1),Tabela2[Palavras-Chave])</f>
        <v>#N/A</v>
      </c>
    </row>
    <row r="1290" spans="1:11" hidden="1" x14ac:dyDescent="0.3">
      <c r="A1290" s="5">
        <v>18805538</v>
      </c>
      <c r="B1290" s="6" t="s">
        <v>3167</v>
      </c>
      <c r="C1290" s="6" t="s">
        <v>3168</v>
      </c>
      <c r="D1290" s="8" t="s">
        <v>72</v>
      </c>
      <c r="E1290" s="6" t="s">
        <v>149</v>
      </c>
      <c r="F1290" s="6" t="s">
        <v>85</v>
      </c>
      <c r="G1290" s="11" t="s">
        <v>56</v>
      </c>
      <c r="H1290" s="10" t="s">
        <v>3169</v>
      </c>
      <c r="I1290" s="6" t="s">
        <v>3170</v>
      </c>
      <c r="J1290" s="12">
        <v>46120.73777777778</v>
      </c>
      <c r="K1290" s="6" t="e" cm="1">
        <f t="array" ref="K1290">LOOKUP(2^15,SEARCH(Tabela2[Palavras-Chave],Boletim[[#This Row],[Objeto]],1),Tabela2[Palavras-Chave])</f>
        <v>#N/A</v>
      </c>
    </row>
    <row r="1291" spans="1:11" hidden="1" x14ac:dyDescent="0.3">
      <c r="A1291" s="5">
        <v>18804287</v>
      </c>
      <c r="B1291" s="6" t="s">
        <v>156</v>
      </c>
      <c r="C1291" s="6" t="s">
        <v>73</v>
      </c>
      <c r="D1291" s="8" t="s">
        <v>72</v>
      </c>
      <c r="E1291" s="6" t="s">
        <v>1885</v>
      </c>
      <c r="F1291" s="6" t="s">
        <v>85</v>
      </c>
      <c r="G1291" s="11">
        <v>46196.416666666664</v>
      </c>
      <c r="H1291" s="10" t="s">
        <v>1886</v>
      </c>
      <c r="I1291" s="6" t="s">
        <v>1887</v>
      </c>
      <c r="J1291" s="12">
        <v>46120.743159722224</v>
      </c>
      <c r="K1291" s="6" t="e" cm="1">
        <f t="array" ref="K1291">LOOKUP(2^15,SEARCH(Tabela2[Palavras-Chave],Boletim[[#This Row],[Objeto]],1),Tabela2[Palavras-Chave])</f>
        <v>#N/A</v>
      </c>
    </row>
    <row r="1292" spans="1:11" hidden="1" x14ac:dyDescent="0.3">
      <c r="A1292" s="5">
        <v>18805374</v>
      </c>
      <c r="B1292" s="6" t="s">
        <v>1888</v>
      </c>
      <c r="C1292" s="6" t="s">
        <v>1889</v>
      </c>
      <c r="D1292" s="8" t="s">
        <v>72</v>
      </c>
      <c r="E1292" s="6" t="s">
        <v>139</v>
      </c>
      <c r="F1292" s="6" t="s">
        <v>85</v>
      </c>
      <c r="G1292" s="11" t="s">
        <v>56</v>
      </c>
      <c r="H1292" s="10" t="s">
        <v>1890</v>
      </c>
      <c r="I1292" s="6" t="s">
        <v>1891</v>
      </c>
      <c r="J1292" s="12">
        <v>46120.74422453704</v>
      </c>
      <c r="K1292" s="6" t="e" cm="1">
        <f t="array" ref="K1292">LOOKUP(2^15,SEARCH(Tabela2[Palavras-Chave],Boletim[[#This Row],[Objeto]],1),Tabela2[Palavras-Chave])</f>
        <v>#N/A</v>
      </c>
    </row>
    <row r="1293" spans="1:11" hidden="1" x14ac:dyDescent="0.3">
      <c r="A1293" s="5">
        <v>18801651</v>
      </c>
      <c r="B1293" s="6" t="s">
        <v>1892</v>
      </c>
      <c r="C1293" s="6" t="s">
        <v>1893</v>
      </c>
      <c r="D1293" s="8" t="s">
        <v>72</v>
      </c>
      <c r="E1293" s="6" t="s">
        <v>198</v>
      </c>
      <c r="F1293" s="6" t="s">
        <v>85</v>
      </c>
      <c r="G1293" s="11" t="s">
        <v>56</v>
      </c>
      <c r="H1293" s="10" t="s">
        <v>1894</v>
      </c>
      <c r="I1293" s="6" t="s">
        <v>1895</v>
      </c>
      <c r="J1293" s="12">
        <v>46120.755509259259</v>
      </c>
      <c r="K1293" s="6" t="e" cm="1">
        <f t="array" ref="K1293">LOOKUP(2^15,SEARCH(Tabela2[Palavras-Chave],Boletim[[#This Row],[Objeto]],1),Tabela2[Palavras-Chave])</f>
        <v>#N/A</v>
      </c>
    </row>
    <row r="1294" spans="1:11" hidden="1" x14ac:dyDescent="0.3">
      <c r="A1294" s="5">
        <v>18805371</v>
      </c>
      <c r="B1294" s="6" t="s">
        <v>1896</v>
      </c>
      <c r="C1294" s="6" t="s">
        <v>1897</v>
      </c>
      <c r="D1294" s="8" t="s">
        <v>72</v>
      </c>
      <c r="E1294" s="6" t="s">
        <v>377</v>
      </c>
      <c r="F1294" s="6" t="s">
        <v>85</v>
      </c>
      <c r="G1294" s="11" t="s">
        <v>56</v>
      </c>
      <c r="H1294" s="10" t="s">
        <v>1898</v>
      </c>
      <c r="I1294" s="6" t="s">
        <v>1899</v>
      </c>
      <c r="J1294" s="12">
        <v>46120.755891203706</v>
      </c>
      <c r="K1294" s="6" t="e" cm="1">
        <f t="array" ref="K1294">LOOKUP(2^15,SEARCH(Tabela2[Palavras-Chave],Boletim[[#This Row],[Objeto]],1),Tabela2[Palavras-Chave])</f>
        <v>#N/A</v>
      </c>
    </row>
    <row r="1295" spans="1:11" hidden="1" x14ac:dyDescent="0.3">
      <c r="A1295" s="5">
        <v>18804123</v>
      </c>
      <c r="B1295" s="6" t="s">
        <v>156</v>
      </c>
      <c r="C1295" s="6" t="s">
        <v>73</v>
      </c>
      <c r="D1295" s="8" t="s">
        <v>72</v>
      </c>
      <c r="E1295" s="6" t="s">
        <v>1900</v>
      </c>
      <c r="F1295" s="6" t="s">
        <v>85</v>
      </c>
      <c r="G1295" s="11">
        <v>46136.375</v>
      </c>
      <c r="H1295" s="10" t="s">
        <v>1901</v>
      </c>
      <c r="I1295" s="6" t="s">
        <v>1902</v>
      </c>
      <c r="J1295" s="12">
        <v>46120.760243055556</v>
      </c>
      <c r="K1295" s="6" t="e" cm="1">
        <f t="array" ref="K1295">LOOKUP(2^15,SEARCH(Tabela2[Palavras-Chave],Boletim[[#This Row],[Objeto]],1),Tabela2[Palavras-Chave])</f>
        <v>#N/A</v>
      </c>
    </row>
    <row r="1296" spans="1:11" hidden="1" x14ac:dyDescent="0.3">
      <c r="A1296" s="5">
        <v>18803498</v>
      </c>
      <c r="B1296" s="6" t="s">
        <v>1903</v>
      </c>
      <c r="C1296" s="6" t="s">
        <v>1904</v>
      </c>
      <c r="D1296" s="8" t="s">
        <v>72</v>
      </c>
      <c r="E1296" s="6" t="s">
        <v>461</v>
      </c>
      <c r="F1296" s="6" t="s">
        <v>85</v>
      </c>
      <c r="G1296" s="11">
        <v>46135.375</v>
      </c>
      <c r="H1296" s="10" t="s">
        <v>1905</v>
      </c>
      <c r="I1296" s="6" t="s">
        <v>1906</v>
      </c>
      <c r="J1296" s="12">
        <v>46120.773148148146</v>
      </c>
      <c r="K1296" s="6" t="e" cm="1">
        <f t="array" ref="K1296">LOOKUP(2^15,SEARCH(Tabela2[Palavras-Chave],Boletim[[#This Row],[Objeto]],1),Tabela2[Palavras-Chave])</f>
        <v>#N/A</v>
      </c>
    </row>
    <row r="1297" spans="1:11" ht="86.4" x14ac:dyDescent="0.3">
      <c r="A1297" s="5">
        <v>18801423</v>
      </c>
      <c r="B1297" s="6" t="s">
        <v>1907</v>
      </c>
      <c r="C1297" s="6" t="s">
        <v>73</v>
      </c>
      <c r="D1297" s="8" t="s">
        <v>72</v>
      </c>
      <c r="E1297" s="6" t="s">
        <v>1908</v>
      </c>
      <c r="F1297" s="6" t="s">
        <v>85</v>
      </c>
      <c r="G1297" s="11" t="s">
        <v>56</v>
      </c>
      <c r="H1297" s="21" t="s">
        <v>1909</v>
      </c>
      <c r="I1297" s="6" t="s">
        <v>1910</v>
      </c>
      <c r="J1297" s="12">
        <v>46120.781828703701</v>
      </c>
      <c r="K1297" s="6" t="str" cm="1">
        <f t="array" ref="K1297">LOOKUP(2^15,SEARCH(Tabela2[Palavras-Chave],Boletim[[#This Row],[Objeto]],1),Tabela2[Palavras-Chave])</f>
        <v>MEDIÇÃO</v>
      </c>
    </row>
    <row r="1298" spans="1:11" hidden="1" x14ac:dyDescent="0.3">
      <c r="A1298" s="5">
        <v>18804689</v>
      </c>
      <c r="B1298" s="6" t="s">
        <v>3171</v>
      </c>
      <c r="C1298" s="6" t="s">
        <v>3172</v>
      </c>
      <c r="D1298" s="8" t="s">
        <v>72</v>
      </c>
      <c r="E1298" s="6" t="s">
        <v>113</v>
      </c>
      <c r="F1298" s="6" t="s">
        <v>85</v>
      </c>
      <c r="G1298" s="11">
        <v>46141.375694444447</v>
      </c>
      <c r="H1298" s="10" t="s">
        <v>3173</v>
      </c>
      <c r="I1298" s="6" t="s">
        <v>90</v>
      </c>
      <c r="J1298" s="12">
        <v>46120.869687500002</v>
      </c>
      <c r="K1298" s="6" t="e" cm="1">
        <f t="array" ref="K1298">LOOKUP(2^15,SEARCH(Tabela2[Palavras-Chave],Boletim[[#This Row],[Objeto]],1),Tabela2[Palavras-Chave])</f>
        <v>#N/A</v>
      </c>
    </row>
    <row r="1299" spans="1:11" hidden="1" x14ac:dyDescent="0.3">
      <c r="A1299" s="5">
        <v>18804126</v>
      </c>
      <c r="B1299" s="6" t="s">
        <v>156</v>
      </c>
      <c r="C1299" s="6" t="s">
        <v>73</v>
      </c>
      <c r="D1299" s="8" t="s">
        <v>72</v>
      </c>
      <c r="E1299" s="6" t="s">
        <v>1911</v>
      </c>
      <c r="F1299" s="6" t="s">
        <v>85</v>
      </c>
      <c r="G1299" s="11">
        <v>46136.375</v>
      </c>
      <c r="H1299" s="10" t="s">
        <v>1912</v>
      </c>
      <c r="I1299" s="6" t="s">
        <v>1902</v>
      </c>
      <c r="J1299" s="12">
        <v>46120.882314814815</v>
      </c>
      <c r="K1299" s="6" t="e" cm="1">
        <f t="array" ref="K1299">LOOKUP(2^15,SEARCH(Tabela2[Palavras-Chave],Boletim[[#This Row],[Objeto]],1),Tabela2[Palavras-Chave])</f>
        <v>#N/A</v>
      </c>
    </row>
    <row r="1300" spans="1:11" hidden="1" x14ac:dyDescent="0.3">
      <c r="A1300" s="5">
        <v>18804127</v>
      </c>
      <c r="B1300" s="6" t="s">
        <v>156</v>
      </c>
      <c r="C1300" s="6" t="s">
        <v>73</v>
      </c>
      <c r="D1300" s="8" t="s">
        <v>72</v>
      </c>
      <c r="E1300" s="6" t="s">
        <v>1913</v>
      </c>
      <c r="F1300" s="6" t="s">
        <v>85</v>
      </c>
      <c r="G1300" s="11">
        <v>46135.375</v>
      </c>
      <c r="H1300" s="10" t="s">
        <v>1914</v>
      </c>
      <c r="I1300" s="6" t="s">
        <v>1915</v>
      </c>
      <c r="J1300" s="12">
        <v>46120.882361111115</v>
      </c>
      <c r="K1300" s="6" t="e" cm="1">
        <f t="array" ref="K1300">LOOKUP(2^15,SEARCH(Tabela2[Palavras-Chave],Boletim[[#This Row],[Objeto]],1),Tabela2[Palavras-Chave])</f>
        <v>#N/A</v>
      </c>
    </row>
    <row r="1301" spans="1:11" hidden="1" x14ac:dyDescent="0.3">
      <c r="A1301" s="5">
        <v>18804142</v>
      </c>
      <c r="B1301" s="6" t="s">
        <v>1916</v>
      </c>
      <c r="C1301" s="6" t="s">
        <v>1917</v>
      </c>
      <c r="D1301" s="8" t="s">
        <v>72</v>
      </c>
      <c r="E1301" s="6" t="s">
        <v>142</v>
      </c>
      <c r="F1301" s="6" t="s">
        <v>85</v>
      </c>
      <c r="G1301" s="11">
        <v>46135.375</v>
      </c>
      <c r="H1301" s="10" t="s">
        <v>1918</v>
      </c>
      <c r="I1301" s="6" t="s">
        <v>90</v>
      </c>
      <c r="J1301" s="12">
        <v>46120.885254629633</v>
      </c>
      <c r="K1301" s="6" t="e" cm="1">
        <f t="array" ref="K1301">LOOKUP(2^15,SEARCH(Tabela2[Palavras-Chave],Boletim[[#This Row],[Objeto]],1),Tabela2[Palavras-Chave])</f>
        <v>#N/A</v>
      </c>
    </row>
    <row r="1302" spans="1:11" hidden="1" x14ac:dyDescent="0.3">
      <c r="A1302" s="5">
        <v>18803087</v>
      </c>
      <c r="B1302" s="6" t="s">
        <v>1919</v>
      </c>
      <c r="C1302" s="6" t="s">
        <v>1920</v>
      </c>
      <c r="D1302" s="8" t="s">
        <v>72</v>
      </c>
      <c r="E1302" s="6" t="s">
        <v>110</v>
      </c>
      <c r="F1302" s="6" t="s">
        <v>85</v>
      </c>
      <c r="G1302" s="11">
        <v>46126.375</v>
      </c>
      <c r="H1302" s="10" t="s">
        <v>1921</v>
      </c>
      <c r="I1302" s="6" t="s">
        <v>1922</v>
      </c>
      <c r="J1302" s="12">
        <v>46120.891944444447</v>
      </c>
      <c r="K1302" s="6" t="e" cm="1">
        <f t="array" ref="K1302">LOOKUP(2^15,SEARCH(Tabela2[Palavras-Chave],Boletim[[#This Row],[Objeto]],1),Tabela2[Palavras-Chave])</f>
        <v>#N/A</v>
      </c>
    </row>
    <row r="1303" spans="1:11" hidden="1" x14ac:dyDescent="0.3">
      <c r="A1303" s="5">
        <v>18802243</v>
      </c>
      <c r="B1303" s="6" t="s">
        <v>74</v>
      </c>
      <c r="C1303" s="6" t="s">
        <v>75</v>
      </c>
      <c r="D1303" s="8" t="s">
        <v>76</v>
      </c>
      <c r="E1303" s="6" t="s">
        <v>2981</v>
      </c>
      <c r="F1303" s="6" t="s">
        <v>85</v>
      </c>
      <c r="G1303" s="11" t="s">
        <v>56</v>
      </c>
      <c r="H1303" s="10" t="s">
        <v>2982</v>
      </c>
      <c r="I1303" s="6" t="s">
        <v>2983</v>
      </c>
      <c r="J1303" s="12">
        <v>46120.46601851852</v>
      </c>
      <c r="K1303" s="6" t="e" cm="1">
        <f t="array" ref="K1303">LOOKUP(2^15,SEARCH(Tabela2[Palavras-Chave],Boletim[[#This Row],[Objeto]],1),Tabela2[Palavras-Chave])</f>
        <v>#N/A</v>
      </c>
    </row>
    <row r="1304" spans="1:11" hidden="1" x14ac:dyDescent="0.3">
      <c r="A1304" s="5">
        <v>18802250</v>
      </c>
      <c r="B1304" s="6" t="s">
        <v>74</v>
      </c>
      <c r="C1304" s="6" t="s">
        <v>75</v>
      </c>
      <c r="D1304" s="8" t="s">
        <v>76</v>
      </c>
      <c r="E1304" s="6" t="s">
        <v>1229</v>
      </c>
      <c r="F1304" s="6" t="s">
        <v>85</v>
      </c>
      <c r="G1304" s="11" t="s">
        <v>56</v>
      </c>
      <c r="H1304" s="10" t="s">
        <v>1230</v>
      </c>
      <c r="I1304" s="6" t="s">
        <v>1231</v>
      </c>
      <c r="J1304" s="12">
        <v>46120.501273148147</v>
      </c>
      <c r="K1304" s="6" t="e" cm="1">
        <f t="array" ref="K1304">LOOKUP(2^15,SEARCH(Tabela2[Palavras-Chave],Boletim[[#This Row],[Objeto]],1),Tabela2[Palavras-Chave])</f>
        <v>#N/A</v>
      </c>
    </row>
    <row r="1305" spans="1:11" hidden="1" x14ac:dyDescent="0.3">
      <c r="A1305" s="5">
        <v>18802248</v>
      </c>
      <c r="B1305" s="6" t="s">
        <v>74</v>
      </c>
      <c r="C1305" s="6" t="s">
        <v>75</v>
      </c>
      <c r="D1305" s="8" t="s">
        <v>76</v>
      </c>
      <c r="E1305" s="6" t="s">
        <v>1923</v>
      </c>
      <c r="F1305" s="6" t="s">
        <v>85</v>
      </c>
      <c r="G1305" s="11" t="s">
        <v>56</v>
      </c>
      <c r="H1305" s="10" t="s">
        <v>1924</v>
      </c>
      <c r="I1305" s="6" t="s">
        <v>1925</v>
      </c>
      <c r="J1305" s="12">
        <v>46120.50136574074</v>
      </c>
      <c r="K1305" s="6" t="e" cm="1">
        <f t="array" ref="K1305">LOOKUP(2^15,SEARCH(Tabela2[Palavras-Chave],Boletim[[#This Row],[Objeto]],1),Tabela2[Palavras-Chave])</f>
        <v>#N/A</v>
      </c>
    </row>
    <row r="1306" spans="1:11" hidden="1" x14ac:dyDescent="0.3">
      <c r="A1306" s="5">
        <v>18802224</v>
      </c>
      <c r="B1306" s="6" t="s">
        <v>74</v>
      </c>
      <c r="C1306" s="6" t="s">
        <v>75</v>
      </c>
      <c r="D1306" s="8" t="s">
        <v>76</v>
      </c>
      <c r="E1306" s="6" t="s">
        <v>1926</v>
      </c>
      <c r="F1306" s="6" t="s">
        <v>85</v>
      </c>
      <c r="G1306" s="11" t="s">
        <v>56</v>
      </c>
      <c r="H1306" s="10" t="s">
        <v>353</v>
      </c>
      <c r="I1306" s="6" t="s">
        <v>1927</v>
      </c>
      <c r="J1306" s="12">
        <v>46120.525613425925</v>
      </c>
      <c r="K1306" s="6" t="e" cm="1">
        <f t="array" ref="K1306">LOOKUP(2^15,SEARCH(Tabela2[Palavras-Chave],Boletim[[#This Row],[Objeto]],1),Tabela2[Palavras-Chave])</f>
        <v>#N/A</v>
      </c>
    </row>
    <row r="1307" spans="1:11" hidden="1" x14ac:dyDescent="0.3">
      <c r="A1307" s="5">
        <v>18802227</v>
      </c>
      <c r="B1307" s="6" t="s">
        <v>74</v>
      </c>
      <c r="C1307" s="6" t="s">
        <v>75</v>
      </c>
      <c r="D1307" s="8" t="s">
        <v>76</v>
      </c>
      <c r="E1307" s="6" t="s">
        <v>1394</v>
      </c>
      <c r="F1307" s="6" t="s">
        <v>85</v>
      </c>
      <c r="G1307" s="11" t="s">
        <v>56</v>
      </c>
      <c r="H1307" s="10" t="s">
        <v>1395</v>
      </c>
      <c r="I1307" s="6" t="s">
        <v>1396</v>
      </c>
      <c r="J1307" s="12">
        <v>46120.526921296296</v>
      </c>
      <c r="K1307" s="6" t="e" cm="1">
        <f t="array" ref="K1307">LOOKUP(2^15,SEARCH(Tabela2[Palavras-Chave],Boletim[[#This Row],[Objeto]],1),Tabela2[Palavras-Chave])</f>
        <v>#N/A</v>
      </c>
    </row>
    <row r="1308" spans="1:11" hidden="1" x14ac:dyDescent="0.3">
      <c r="A1308" s="5">
        <v>18802234</v>
      </c>
      <c r="B1308" s="6" t="s">
        <v>74</v>
      </c>
      <c r="C1308" s="6" t="s">
        <v>75</v>
      </c>
      <c r="D1308" s="8" t="s">
        <v>76</v>
      </c>
      <c r="E1308" s="6" t="s">
        <v>1232</v>
      </c>
      <c r="F1308" s="6" t="s">
        <v>85</v>
      </c>
      <c r="G1308" s="11" t="s">
        <v>56</v>
      </c>
      <c r="H1308" s="10" t="s">
        <v>1233</v>
      </c>
      <c r="I1308" s="6" t="s">
        <v>1234</v>
      </c>
      <c r="J1308" s="12">
        <v>46120.527349537035</v>
      </c>
      <c r="K1308" s="6" t="e" cm="1">
        <f t="array" ref="K1308">LOOKUP(2^15,SEARCH(Tabela2[Palavras-Chave],Boletim[[#This Row],[Objeto]],1),Tabela2[Palavras-Chave])</f>
        <v>#N/A</v>
      </c>
    </row>
    <row r="1309" spans="1:11" hidden="1" x14ac:dyDescent="0.3">
      <c r="A1309" s="5">
        <v>18801783</v>
      </c>
      <c r="B1309" s="6" t="s">
        <v>1928</v>
      </c>
      <c r="C1309" s="6" t="s">
        <v>440</v>
      </c>
      <c r="D1309" s="8" t="s">
        <v>76</v>
      </c>
      <c r="E1309" s="6" t="s">
        <v>324</v>
      </c>
      <c r="F1309" s="6" t="s">
        <v>85</v>
      </c>
      <c r="G1309" s="11" t="s">
        <v>56</v>
      </c>
      <c r="H1309" s="10" t="s">
        <v>1929</v>
      </c>
      <c r="I1309" s="6" t="s">
        <v>1930</v>
      </c>
      <c r="J1309" s="12">
        <v>46120.576747685183</v>
      </c>
      <c r="K1309" s="6" t="e" cm="1">
        <f t="array" ref="K1309">LOOKUP(2^15,SEARCH(Tabela2[Palavras-Chave],Boletim[[#This Row],[Objeto]],1),Tabela2[Palavras-Chave])</f>
        <v>#N/A</v>
      </c>
    </row>
    <row r="1310" spans="1:11" ht="28.8" x14ac:dyDescent="0.3">
      <c r="A1310" s="5">
        <v>18801147</v>
      </c>
      <c r="B1310" s="6" t="s">
        <v>1931</v>
      </c>
      <c r="C1310" s="6" t="s">
        <v>1932</v>
      </c>
      <c r="D1310" s="8" t="s">
        <v>76</v>
      </c>
      <c r="E1310" s="6" t="s">
        <v>1499</v>
      </c>
      <c r="F1310" s="6" t="s">
        <v>85</v>
      </c>
      <c r="G1310" s="11">
        <v>46141.374305555553</v>
      </c>
      <c r="H1310" s="21" t="s">
        <v>1933</v>
      </c>
      <c r="I1310" s="6" t="s">
        <v>1934</v>
      </c>
      <c r="J1310" s="12">
        <v>46120.586898148147</v>
      </c>
      <c r="K1310" s="6" t="str" cm="1">
        <f t="array" ref="K1310">LOOKUP(2^15,SEARCH(Tabela2[Palavras-Chave],Boletim[[#This Row],[Objeto]],1),Tabela2[Palavras-Chave])</f>
        <v>RESERVAT</v>
      </c>
    </row>
    <row r="1311" spans="1:11" hidden="1" x14ac:dyDescent="0.3">
      <c r="A1311" s="5">
        <v>18803492</v>
      </c>
      <c r="B1311" s="6" t="s">
        <v>1935</v>
      </c>
      <c r="C1311" s="6" t="s">
        <v>1936</v>
      </c>
      <c r="D1311" s="8" t="s">
        <v>76</v>
      </c>
      <c r="E1311" s="6" t="s">
        <v>142</v>
      </c>
      <c r="F1311" s="6" t="s">
        <v>85</v>
      </c>
      <c r="G1311" s="11" t="s">
        <v>56</v>
      </c>
      <c r="H1311" s="10" t="s">
        <v>1937</v>
      </c>
      <c r="I1311" s="6" t="s">
        <v>1938</v>
      </c>
      <c r="J1311" s="12">
        <v>46120.617418981485</v>
      </c>
      <c r="K1311" s="6" t="e" cm="1">
        <f t="array" ref="K1311">LOOKUP(2^15,SEARCH(Tabela2[Palavras-Chave],Boletim[[#This Row],[Objeto]],1),Tabela2[Palavras-Chave])</f>
        <v>#N/A</v>
      </c>
    </row>
    <row r="1312" spans="1:11" hidden="1" x14ac:dyDescent="0.3">
      <c r="A1312" s="5">
        <v>18801679</v>
      </c>
      <c r="B1312" s="6" t="s">
        <v>1939</v>
      </c>
      <c r="C1312" s="6" t="s">
        <v>225</v>
      </c>
      <c r="D1312" s="8" t="s">
        <v>76</v>
      </c>
      <c r="E1312" s="6" t="s">
        <v>1940</v>
      </c>
      <c r="F1312" s="6" t="s">
        <v>85</v>
      </c>
      <c r="G1312" s="11" t="s">
        <v>56</v>
      </c>
      <c r="H1312" s="10" t="s">
        <v>1941</v>
      </c>
      <c r="I1312" s="6" t="s">
        <v>1942</v>
      </c>
      <c r="J1312" s="12">
        <v>46120.589432870373</v>
      </c>
      <c r="K1312" s="6" t="e" cm="1">
        <f t="array" ref="K1312">LOOKUP(2^15,SEARCH(Tabela2[Palavras-Chave],Boletim[[#This Row],[Objeto]],1),Tabela2[Palavras-Chave])</f>
        <v>#N/A</v>
      </c>
    </row>
    <row r="1313" spans="1:11" hidden="1" x14ac:dyDescent="0.3">
      <c r="A1313" s="5">
        <v>18803691</v>
      </c>
      <c r="B1313" s="6" t="s">
        <v>1943</v>
      </c>
      <c r="C1313" s="6" t="s">
        <v>983</v>
      </c>
      <c r="D1313" s="8" t="s">
        <v>76</v>
      </c>
      <c r="E1313" s="6" t="s">
        <v>192</v>
      </c>
      <c r="F1313" s="6" t="s">
        <v>85</v>
      </c>
      <c r="G1313" s="11" t="s">
        <v>56</v>
      </c>
      <c r="H1313" s="10" t="s">
        <v>1944</v>
      </c>
      <c r="I1313" s="6" t="s">
        <v>1945</v>
      </c>
      <c r="J1313" s="12">
        <v>46120.599270833336</v>
      </c>
      <c r="K1313" s="6" t="e" cm="1">
        <f t="array" ref="K1313">LOOKUP(2^15,SEARCH(Tabela2[Palavras-Chave],Boletim[[#This Row],[Objeto]],1),Tabela2[Palavras-Chave])</f>
        <v>#N/A</v>
      </c>
    </row>
    <row r="1314" spans="1:11" hidden="1" x14ac:dyDescent="0.3">
      <c r="A1314" s="5">
        <v>18805322</v>
      </c>
      <c r="B1314" s="6" t="s">
        <v>455</v>
      </c>
      <c r="C1314" s="6" t="s">
        <v>75</v>
      </c>
      <c r="D1314" s="8" t="s">
        <v>76</v>
      </c>
      <c r="E1314" s="6" t="s">
        <v>2364</v>
      </c>
      <c r="F1314" s="6" t="s">
        <v>85</v>
      </c>
      <c r="G1314" s="11">
        <v>46141</v>
      </c>
      <c r="H1314" s="10" t="s">
        <v>3174</v>
      </c>
      <c r="I1314" s="6" t="s">
        <v>3175</v>
      </c>
      <c r="J1314" s="12">
        <v>46120.744988425926</v>
      </c>
      <c r="K1314" s="6" t="e" cm="1">
        <f t="array" ref="K1314">LOOKUP(2^15,SEARCH(Tabela2[Palavras-Chave],Boletim[[#This Row],[Objeto]],1),Tabela2[Palavras-Chave])</f>
        <v>#N/A</v>
      </c>
    </row>
    <row r="1315" spans="1:11" hidden="1" x14ac:dyDescent="0.3">
      <c r="A1315" s="5">
        <v>18805375</v>
      </c>
      <c r="B1315" s="6" t="s">
        <v>455</v>
      </c>
      <c r="C1315" s="6" t="s">
        <v>75</v>
      </c>
      <c r="D1315" s="8" t="s">
        <v>76</v>
      </c>
      <c r="E1315" s="6" t="s">
        <v>386</v>
      </c>
      <c r="F1315" s="6" t="s">
        <v>85</v>
      </c>
      <c r="G1315" s="11">
        <v>46141</v>
      </c>
      <c r="H1315" s="10" t="s">
        <v>3176</v>
      </c>
      <c r="I1315" s="6" t="s">
        <v>3175</v>
      </c>
      <c r="J1315" s="12">
        <v>46120.745023148149</v>
      </c>
      <c r="K1315" s="6" t="e" cm="1">
        <f t="array" ref="K1315">LOOKUP(2^15,SEARCH(Tabela2[Palavras-Chave],Boletim[[#This Row],[Objeto]],1),Tabela2[Palavras-Chave])</f>
        <v>#N/A</v>
      </c>
    </row>
    <row r="1316" spans="1:11" hidden="1" x14ac:dyDescent="0.3">
      <c r="A1316" s="5">
        <v>18805403</v>
      </c>
      <c r="B1316" s="6" t="s">
        <v>455</v>
      </c>
      <c r="C1316" s="6" t="s">
        <v>75</v>
      </c>
      <c r="D1316" s="8" t="s">
        <v>76</v>
      </c>
      <c r="E1316" s="6" t="s">
        <v>3177</v>
      </c>
      <c r="F1316" s="6" t="s">
        <v>85</v>
      </c>
      <c r="G1316" s="11">
        <v>46141</v>
      </c>
      <c r="H1316" s="10" t="s">
        <v>3178</v>
      </c>
      <c r="I1316" s="6" t="s">
        <v>3179</v>
      </c>
      <c r="J1316" s="12">
        <v>46120.745069444441</v>
      </c>
      <c r="K1316" s="6" t="e" cm="1">
        <f t="array" ref="K1316">LOOKUP(2^15,SEARCH(Tabela2[Palavras-Chave],Boletim[[#This Row],[Objeto]],1),Tabela2[Palavras-Chave])</f>
        <v>#N/A</v>
      </c>
    </row>
    <row r="1317" spans="1:11" hidden="1" x14ac:dyDescent="0.3">
      <c r="A1317" s="5">
        <v>18802657</v>
      </c>
      <c r="B1317" s="6" t="s">
        <v>1946</v>
      </c>
      <c r="C1317" s="6" t="s">
        <v>195</v>
      </c>
      <c r="D1317" s="8" t="s">
        <v>76</v>
      </c>
      <c r="E1317" s="6" t="s">
        <v>1947</v>
      </c>
      <c r="F1317" s="6" t="s">
        <v>85</v>
      </c>
      <c r="G1317" s="11" t="s">
        <v>56</v>
      </c>
      <c r="H1317" s="10" t="s">
        <v>1948</v>
      </c>
      <c r="I1317" s="6" t="s">
        <v>1949</v>
      </c>
      <c r="J1317" s="12">
        <v>46120.755358796298</v>
      </c>
      <c r="K1317" s="6" t="e" cm="1">
        <f t="array" ref="K1317">LOOKUP(2^15,SEARCH(Tabela2[Palavras-Chave],Boletim[[#This Row],[Objeto]],1),Tabela2[Palavras-Chave])</f>
        <v>#N/A</v>
      </c>
    </row>
    <row r="1318" spans="1:11" hidden="1" x14ac:dyDescent="0.3">
      <c r="A1318" s="5">
        <v>18805300</v>
      </c>
      <c r="B1318" s="6" t="s">
        <v>455</v>
      </c>
      <c r="C1318" s="6" t="s">
        <v>75</v>
      </c>
      <c r="D1318" s="8" t="s">
        <v>76</v>
      </c>
      <c r="E1318" s="6" t="s">
        <v>404</v>
      </c>
      <c r="F1318" s="6" t="s">
        <v>85</v>
      </c>
      <c r="G1318" s="11">
        <v>46141</v>
      </c>
      <c r="H1318" s="10" t="s">
        <v>3180</v>
      </c>
      <c r="I1318" s="6" t="s">
        <v>3181</v>
      </c>
      <c r="J1318" s="12">
        <v>46120.789270833331</v>
      </c>
      <c r="K1318" s="6" t="e" cm="1">
        <f t="array" ref="K1318">LOOKUP(2^15,SEARCH(Tabela2[Palavras-Chave],Boletim[[#This Row],[Objeto]],1),Tabela2[Palavras-Chave])</f>
        <v>#N/A</v>
      </c>
    </row>
    <row r="1319" spans="1:11" hidden="1" x14ac:dyDescent="0.3">
      <c r="A1319" s="5">
        <v>18805398</v>
      </c>
      <c r="B1319" s="6" t="s">
        <v>455</v>
      </c>
      <c r="C1319" s="6" t="s">
        <v>75</v>
      </c>
      <c r="D1319" s="8" t="s">
        <v>76</v>
      </c>
      <c r="E1319" s="6" t="s">
        <v>3182</v>
      </c>
      <c r="F1319" s="6" t="s">
        <v>85</v>
      </c>
      <c r="G1319" s="11">
        <v>46141</v>
      </c>
      <c r="H1319" s="10" t="s">
        <v>3183</v>
      </c>
      <c r="I1319" s="6" t="s">
        <v>3175</v>
      </c>
      <c r="J1319" s="12">
        <v>46120.820277777777</v>
      </c>
      <c r="K1319" s="6" t="e" cm="1">
        <f t="array" ref="K1319">LOOKUP(2^15,SEARCH(Tabela2[Palavras-Chave],Boletim[[#This Row],[Objeto]],1),Tabela2[Palavras-Chave])</f>
        <v>#N/A</v>
      </c>
    </row>
    <row r="1320" spans="1:11" hidden="1" x14ac:dyDescent="0.3">
      <c r="A1320" s="5">
        <v>18805357</v>
      </c>
      <c r="B1320" s="6" t="s">
        <v>455</v>
      </c>
      <c r="C1320" s="6" t="s">
        <v>75</v>
      </c>
      <c r="D1320" s="8" t="s">
        <v>76</v>
      </c>
      <c r="E1320" s="6" t="s">
        <v>3184</v>
      </c>
      <c r="F1320" s="6" t="s">
        <v>85</v>
      </c>
      <c r="G1320" s="11">
        <v>46141</v>
      </c>
      <c r="H1320" s="10" t="s">
        <v>3185</v>
      </c>
      <c r="I1320" s="6" t="s">
        <v>3186</v>
      </c>
      <c r="J1320" s="12">
        <v>46120.820694444446</v>
      </c>
      <c r="K1320" s="6" t="e" cm="1">
        <f t="array" ref="K1320">LOOKUP(2^15,SEARCH(Tabela2[Palavras-Chave],Boletim[[#This Row],[Objeto]],1),Tabela2[Palavras-Chave])</f>
        <v>#N/A</v>
      </c>
    </row>
    <row r="1321" spans="1:11" hidden="1" x14ac:dyDescent="0.3">
      <c r="A1321" s="5">
        <v>18802681</v>
      </c>
      <c r="B1321" s="6" t="s">
        <v>1950</v>
      </c>
      <c r="C1321" s="6" t="s">
        <v>75</v>
      </c>
      <c r="D1321" s="8" t="s">
        <v>76</v>
      </c>
      <c r="E1321" s="6" t="s">
        <v>157</v>
      </c>
      <c r="F1321" s="6" t="s">
        <v>85</v>
      </c>
      <c r="G1321" s="11" t="s">
        <v>56</v>
      </c>
      <c r="H1321" s="10" t="s">
        <v>1951</v>
      </c>
      <c r="I1321" s="6" t="s">
        <v>1952</v>
      </c>
      <c r="J1321" s="12">
        <v>46120.826493055552</v>
      </c>
      <c r="K1321" s="6" t="e" cm="1">
        <f t="array" ref="K1321">LOOKUP(2^15,SEARCH(Tabela2[Palavras-Chave],Boletim[[#This Row],[Objeto]],1),Tabela2[Palavras-Chave])</f>
        <v>#N/A</v>
      </c>
    </row>
    <row r="1322" spans="1:11" hidden="1" x14ac:dyDescent="0.3">
      <c r="A1322" s="5">
        <v>18802656</v>
      </c>
      <c r="B1322" s="6" t="s">
        <v>1953</v>
      </c>
      <c r="C1322" s="6" t="s">
        <v>75</v>
      </c>
      <c r="D1322" s="8" t="s">
        <v>76</v>
      </c>
      <c r="E1322" s="6" t="s">
        <v>1954</v>
      </c>
      <c r="F1322" s="6" t="s">
        <v>85</v>
      </c>
      <c r="G1322" s="11" t="s">
        <v>56</v>
      </c>
      <c r="H1322" s="10" t="s">
        <v>1955</v>
      </c>
      <c r="I1322" s="6" t="s">
        <v>1956</v>
      </c>
      <c r="J1322" s="12">
        <v>46120.855995370373</v>
      </c>
      <c r="K1322" s="6" t="e" cm="1">
        <f t="array" ref="K1322">LOOKUP(2^15,SEARCH(Tabela2[Palavras-Chave],Boletim[[#This Row],[Objeto]],1),Tabela2[Palavras-Chave])</f>
        <v>#N/A</v>
      </c>
    </row>
    <row r="1323" spans="1:11" hidden="1" x14ac:dyDescent="0.3">
      <c r="A1323" s="5">
        <v>18805317</v>
      </c>
      <c r="B1323" s="6" t="s">
        <v>455</v>
      </c>
      <c r="C1323" s="6" t="s">
        <v>75</v>
      </c>
      <c r="D1323" s="8" t="s">
        <v>76</v>
      </c>
      <c r="E1323" s="6" t="s">
        <v>3187</v>
      </c>
      <c r="F1323" s="6" t="s">
        <v>85</v>
      </c>
      <c r="G1323" s="11">
        <v>46141</v>
      </c>
      <c r="H1323" s="10" t="s">
        <v>3188</v>
      </c>
      <c r="I1323" s="6" t="s">
        <v>3189</v>
      </c>
      <c r="J1323" s="12">
        <v>46120.871655092589</v>
      </c>
      <c r="K1323" s="6" t="e" cm="1">
        <f t="array" ref="K1323">LOOKUP(2^15,SEARCH(Tabela2[Palavras-Chave],Boletim[[#This Row],[Objeto]],1),Tabela2[Palavras-Chave])</f>
        <v>#N/A</v>
      </c>
    </row>
    <row r="1324" spans="1:11" hidden="1" x14ac:dyDescent="0.3">
      <c r="A1324" s="5">
        <v>18805315</v>
      </c>
      <c r="B1324" s="6" t="s">
        <v>455</v>
      </c>
      <c r="C1324" s="6" t="s">
        <v>75</v>
      </c>
      <c r="D1324" s="8" t="s">
        <v>76</v>
      </c>
      <c r="E1324" s="6" t="s">
        <v>3190</v>
      </c>
      <c r="F1324" s="6" t="s">
        <v>85</v>
      </c>
      <c r="G1324" s="11">
        <v>46141</v>
      </c>
      <c r="H1324" s="10" t="s">
        <v>3191</v>
      </c>
      <c r="I1324" s="6" t="s">
        <v>3192</v>
      </c>
      <c r="J1324" s="12">
        <v>46120.871701388889</v>
      </c>
      <c r="K1324" s="6" t="e" cm="1">
        <f t="array" ref="K1324">LOOKUP(2^15,SEARCH(Tabela2[Palavras-Chave],Boletim[[#This Row],[Objeto]],1),Tabela2[Palavras-Chave])</f>
        <v>#N/A</v>
      </c>
    </row>
    <row r="1325" spans="1:11" hidden="1" x14ac:dyDescent="0.3">
      <c r="A1325" s="5">
        <v>18804062</v>
      </c>
      <c r="B1325" s="6" t="s">
        <v>3193</v>
      </c>
      <c r="C1325" s="6" t="s">
        <v>3194</v>
      </c>
      <c r="D1325" s="8" t="s">
        <v>77</v>
      </c>
      <c r="E1325" s="6" t="s">
        <v>108</v>
      </c>
      <c r="F1325" s="6" t="s">
        <v>85</v>
      </c>
      <c r="G1325" s="11">
        <v>46135.374305555553</v>
      </c>
      <c r="H1325" s="10" t="s">
        <v>3195</v>
      </c>
      <c r="I1325" s="6" t="s">
        <v>3196</v>
      </c>
      <c r="J1325" s="12">
        <v>46120.610011574077</v>
      </c>
      <c r="K1325" s="6" t="e" cm="1">
        <f t="array" ref="K1325">LOOKUP(2^15,SEARCH(Tabela2[Palavras-Chave],Boletim[[#This Row],[Objeto]],1),Tabela2[Palavras-Chave])</f>
        <v>#N/A</v>
      </c>
    </row>
    <row r="1326" spans="1:11" hidden="1" x14ac:dyDescent="0.3">
      <c r="A1326" s="5">
        <v>18804002</v>
      </c>
      <c r="B1326" s="6" t="s">
        <v>1957</v>
      </c>
      <c r="C1326" s="6" t="s">
        <v>1958</v>
      </c>
      <c r="D1326" s="8" t="s">
        <v>77</v>
      </c>
      <c r="E1326" s="6" t="s">
        <v>115</v>
      </c>
      <c r="F1326" s="6" t="s">
        <v>85</v>
      </c>
      <c r="G1326" s="11">
        <v>46139.395138888889</v>
      </c>
      <c r="H1326" s="10" t="s">
        <v>1959</v>
      </c>
      <c r="I1326" s="6" t="s">
        <v>1960</v>
      </c>
      <c r="J1326" s="12">
        <v>46120.611006944448</v>
      </c>
      <c r="K1326" s="6" t="e" cm="1">
        <f t="array" ref="K1326">LOOKUP(2^15,SEARCH(Tabela2[Palavras-Chave],Boletim[[#This Row],[Objeto]],1),Tabela2[Palavras-Chave])</f>
        <v>#N/A</v>
      </c>
    </row>
    <row r="1327" spans="1:11" hidden="1" x14ac:dyDescent="0.3">
      <c r="A1327" s="5">
        <v>18802864</v>
      </c>
      <c r="B1327" s="6" t="s">
        <v>1961</v>
      </c>
      <c r="C1327" s="6" t="s">
        <v>1962</v>
      </c>
      <c r="D1327" s="8" t="s">
        <v>77</v>
      </c>
      <c r="E1327" s="6" t="s">
        <v>238</v>
      </c>
      <c r="F1327" s="6" t="s">
        <v>85</v>
      </c>
      <c r="G1327" s="11" t="s">
        <v>56</v>
      </c>
      <c r="H1327" s="10" t="s">
        <v>1963</v>
      </c>
      <c r="I1327" s="6" t="s">
        <v>1964</v>
      </c>
      <c r="J1327" s="12">
        <v>46120.660312499997</v>
      </c>
      <c r="K1327" s="6" t="e" cm="1">
        <f t="array" ref="K1327">LOOKUP(2^15,SEARCH(Tabela2[Palavras-Chave],Boletim[[#This Row],[Objeto]],1),Tabela2[Palavras-Chave])</f>
        <v>#N/A</v>
      </c>
    </row>
    <row r="1328" spans="1:11" hidden="1" x14ac:dyDescent="0.3">
      <c r="A1328" s="5">
        <v>18803100</v>
      </c>
      <c r="B1328" s="6" t="s">
        <v>1961</v>
      </c>
      <c r="C1328" s="6" t="s">
        <v>1962</v>
      </c>
      <c r="D1328" s="8" t="s">
        <v>77</v>
      </c>
      <c r="E1328" s="6" t="s">
        <v>140</v>
      </c>
      <c r="F1328" s="6" t="s">
        <v>85</v>
      </c>
      <c r="G1328" s="11" t="s">
        <v>56</v>
      </c>
      <c r="H1328" s="10" t="s">
        <v>1965</v>
      </c>
      <c r="I1328" s="6" t="s">
        <v>1966</v>
      </c>
      <c r="J1328" s="12">
        <v>46120.660740740743</v>
      </c>
      <c r="K1328" s="6" t="e" cm="1">
        <f t="array" ref="K1328">LOOKUP(2^15,SEARCH(Tabela2[Palavras-Chave],Boletim[[#This Row],[Objeto]],1),Tabela2[Palavras-Chave])</f>
        <v>#N/A</v>
      </c>
    </row>
    <row r="1329" spans="1:11" hidden="1" x14ac:dyDescent="0.3">
      <c r="A1329" s="5">
        <v>18803515</v>
      </c>
      <c r="B1329" s="6" t="s">
        <v>1967</v>
      </c>
      <c r="C1329" s="6" t="s">
        <v>1968</v>
      </c>
      <c r="D1329" s="8" t="s">
        <v>77</v>
      </c>
      <c r="E1329" s="6" t="s">
        <v>117</v>
      </c>
      <c r="F1329" s="6" t="s">
        <v>85</v>
      </c>
      <c r="G1329" s="11">
        <v>46132.354166666664</v>
      </c>
      <c r="H1329" s="10" t="s">
        <v>1969</v>
      </c>
      <c r="I1329" s="6" t="s">
        <v>1104</v>
      </c>
      <c r="J1329" s="12">
        <v>46120.663275462961</v>
      </c>
      <c r="K1329" s="6" t="e" cm="1">
        <f t="array" ref="K1329">LOOKUP(2^15,SEARCH(Tabela2[Palavras-Chave],Boletim[[#This Row],[Objeto]],1),Tabela2[Palavras-Chave])</f>
        <v>#N/A</v>
      </c>
    </row>
    <row r="1330" spans="1:11" hidden="1" x14ac:dyDescent="0.3">
      <c r="A1330" s="5">
        <v>18800007</v>
      </c>
      <c r="B1330" s="6" t="s">
        <v>1970</v>
      </c>
      <c r="C1330" s="6" t="s">
        <v>1971</v>
      </c>
      <c r="D1330" s="8" t="s">
        <v>77</v>
      </c>
      <c r="E1330" s="6" t="s">
        <v>121</v>
      </c>
      <c r="F1330" s="6" t="s">
        <v>85</v>
      </c>
      <c r="G1330" s="11" t="s">
        <v>56</v>
      </c>
      <c r="H1330" s="10" t="s">
        <v>1972</v>
      </c>
      <c r="I1330" s="6" t="s">
        <v>1973</v>
      </c>
      <c r="J1330" s="12">
        <v>46120.690335648149</v>
      </c>
      <c r="K1330" s="6" t="e" cm="1">
        <f t="array" ref="K1330">LOOKUP(2^15,SEARCH(Tabela2[Palavras-Chave],Boletim[[#This Row],[Objeto]],1),Tabela2[Palavras-Chave])</f>
        <v>#N/A</v>
      </c>
    </row>
    <row r="1331" spans="1:11" hidden="1" x14ac:dyDescent="0.3">
      <c r="A1331" s="5">
        <v>18794358</v>
      </c>
      <c r="B1331" s="6" t="s">
        <v>3197</v>
      </c>
      <c r="C1331" s="6" t="s">
        <v>3198</v>
      </c>
      <c r="D1331" s="8" t="s">
        <v>77</v>
      </c>
      <c r="E1331" s="6" t="s">
        <v>126</v>
      </c>
      <c r="F1331" s="6" t="s">
        <v>85</v>
      </c>
      <c r="G1331" s="11" t="s">
        <v>56</v>
      </c>
      <c r="H1331" s="10" t="s">
        <v>3199</v>
      </c>
      <c r="I1331" s="6" t="s">
        <v>3200</v>
      </c>
      <c r="J1331" s="12">
        <v>46120.721562500003</v>
      </c>
      <c r="K1331" s="6" t="e" cm="1">
        <f t="array" ref="K1331">LOOKUP(2^15,SEARCH(Tabela2[Palavras-Chave],Boletim[[#This Row],[Objeto]],1),Tabela2[Palavras-Chave])</f>
        <v>#N/A</v>
      </c>
    </row>
    <row r="1332" spans="1:11" hidden="1" x14ac:dyDescent="0.3">
      <c r="A1332" s="5">
        <v>18804735</v>
      </c>
      <c r="B1332" s="6" t="s">
        <v>1974</v>
      </c>
      <c r="C1332" s="6" t="s">
        <v>1975</v>
      </c>
      <c r="D1332" s="8" t="s">
        <v>77</v>
      </c>
      <c r="E1332" s="6" t="s">
        <v>127</v>
      </c>
      <c r="F1332" s="6" t="s">
        <v>85</v>
      </c>
      <c r="G1332" s="11">
        <v>46142.375</v>
      </c>
      <c r="H1332" s="10" t="s">
        <v>1976</v>
      </c>
      <c r="I1332" s="6" t="s">
        <v>1977</v>
      </c>
      <c r="J1332" s="12">
        <v>46120.809340277781</v>
      </c>
      <c r="K1332" s="6" t="e" cm="1">
        <f t="array" ref="K1332">LOOKUP(2^15,SEARCH(Tabela2[Palavras-Chave],Boletim[[#This Row],[Objeto]],1),Tabela2[Palavras-Chave])</f>
        <v>#N/A</v>
      </c>
    </row>
    <row r="1333" spans="1:11" hidden="1" x14ac:dyDescent="0.3">
      <c r="A1333" s="5">
        <v>18805699</v>
      </c>
      <c r="B1333" s="6" t="s">
        <v>275</v>
      </c>
      <c r="C1333" s="6" t="s">
        <v>102</v>
      </c>
      <c r="D1333" s="8" t="s">
        <v>77</v>
      </c>
      <c r="E1333" s="6" t="s">
        <v>3201</v>
      </c>
      <c r="F1333" s="6" t="s">
        <v>85</v>
      </c>
      <c r="G1333" s="11" t="s">
        <v>56</v>
      </c>
      <c r="H1333" s="10" t="s">
        <v>3202</v>
      </c>
      <c r="I1333" s="6" t="s">
        <v>3203</v>
      </c>
      <c r="J1333" s="12">
        <v>46120.759502314817</v>
      </c>
      <c r="K1333" s="6" t="e" cm="1">
        <f t="array" ref="K1333">LOOKUP(2^15,SEARCH(Tabela2[Palavras-Chave],Boletim[[#This Row],[Objeto]],1),Tabela2[Palavras-Chave])</f>
        <v>#N/A</v>
      </c>
    </row>
    <row r="1334" spans="1:11" hidden="1" x14ac:dyDescent="0.3">
      <c r="A1334" s="5">
        <v>18802873</v>
      </c>
      <c r="B1334" s="6" t="s">
        <v>1978</v>
      </c>
      <c r="C1334" s="6" t="s">
        <v>441</v>
      </c>
      <c r="D1334" s="8" t="s">
        <v>78</v>
      </c>
      <c r="E1334" s="6" t="s">
        <v>1858</v>
      </c>
      <c r="F1334" s="6" t="s">
        <v>85</v>
      </c>
      <c r="G1334" s="11" t="s">
        <v>56</v>
      </c>
      <c r="H1334" s="10" t="s">
        <v>1979</v>
      </c>
      <c r="I1334" s="6" t="s">
        <v>1980</v>
      </c>
      <c r="J1334" s="12">
        <v>46120.514861111114</v>
      </c>
      <c r="K1334" s="6" t="e" cm="1">
        <f t="array" ref="K1334">LOOKUP(2^15,SEARCH(Tabela2[Palavras-Chave],Boletim[[#This Row],[Objeto]],1),Tabela2[Palavras-Chave])</f>
        <v>#N/A</v>
      </c>
    </row>
    <row r="1335" spans="1:11" hidden="1" x14ac:dyDescent="0.3">
      <c r="A1335" s="5">
        <v>18802823</v>
      </c>
      <c r="B1335" s="6" t="s">
        <v>1978</v>
      </c>
      <c r="C1335" s="6" t="s">
        <v>441</v>
      </c>
      <c r="D1335" s="8" t="s">
        <v>78</v>
      </c>
      <c r="E1335" s="6" t="s">
        <v>1981</v>
      </c>
      <c r="F1335" s="6" t="s">
        <v>85</v>
      </c>
      <c r="G1335" s="11" t="s">
        <v>56</v>
      </c>
      <c r="H1335" s="10" t="s">
        <v>1982</v>
      </c>
      <c r="I1335" s="6" t="s">
        <v>1983</v>
      </c>
      <c r="J1335" s="12">
        <v>46120.5153125</v>
      </c>
      <c r="K1335" s="6" t="e" cm="1">
        <f t="array" ref="K1335">LOOKUP(2^15,SEARCH(Tabela2[Palavras-Chave],Boletim[[#This Row],[Objeto]],1),Tabela2[Palavras-Chave])</f>
        <v>#N/A</v>
      </c>
    </row>
    <row r="1336" spans="1:11" hidden="1" x14ac:dyDescent="0.3">
      <c r="A1336" s="5">
        <v>18802892</v>
      </c>
      <c r="B1336" s="6" t="s">
        <v>1984</v>
      </c>
      <c r="C1336" s="6" t="s">
        <v>136</v>
      </c>
      <c r="D1336" s="8" t="s">
        <v>78</v>
      </c>
      <c r="E1336" s="6" t="s">
        <v>1985</v>
      </c>
      <c r="F1336" s="6" t="s">
        <v>85</v>
      </c>
      <c r="G1336" s="11" t="s">
        <v>56</v>
      </c>
      <c r="H1336" s="10" t="s">
        <v>1986</v>
      </c>
      <c r="I1336" s="6" t="s">
        <v>1987</v>
      </c>
      <c r="J1336" s="12">
        <v>46120.588310185187</v>
      </c>
      <c r="K1336" s="6" t="e" cm="1">
        <f t="array" ref="K1336">LOOKUP(2^15,SEARCH(Tabela2[Palavras-Chave],Boletim[[#This Row],[Objeto]],1),Tabela2[Palavras-Chave])</f>
        <v>#N/A</v>
      </c>
    </row>
    <row r="1337" spans="1:11" hidden="1" x14ac:dyDescent="0.3">
      <c r="A1337" s="5">
        <v>18802879</v>
      </c>
      <c r="B1337" s="6" t="s">
        <v>1978</v>
      </c>
      <c r="C1337" s="6" t="s">
        <v>441</v>
      </c>
      <c r="D1337" s="8" t="s">
        <v>78</v>
      </c>
      <c r="E1337" s="6" t="s">
        <v>1988</v>
      </c>
      <c r="F1337" s="6" t="s">
        <v>85</v>
      </c>
      <c r="G1337" s="11" t="s">
        <v>56</v>
      </c>
      <c r="H1337" s="10" t="s">
        <v>1989</v>
      </c>
      <c r="I1337" s="6" t="s">
        <v>1990</v>
      </c>
      <c r="J1337" s="12">
        <v>46120.660983796297</v>
      </c>
      <c r="K1337" s="6" t="e" cm="1">
        <f t="array" ref="K1337">LOOKUP(2^15,SEARCH(Tabela2[Palavras-Chave],Boletim[[#This Row],[Objeto]],1),Tabela2[Palavras-Chave])</f>
        <v>#N/A</v>
      </c>
    </row>
    <row r="1338" spans="1:11" hidden="1" x14ac:dyDescent="0.3">
      <c r="A1338" s="5">
        <v>18805505</v>
      </c>
      <c r="B1338" s="6" t="s">
        <v>3204</v>
      </c>
      <c r="C1338" s="6" t="s">
        <v>3205</v>
      </c>
      <c r="D1338" s="8" t="s">
        <v>78</v>
      </c>
      <c r="E1338" s="6" t="s">
        <v>113</v>
      </c>
      <c r="F1338" s="6" t="s">
        <v>85</v>
      </c>
      <c r="G1338" s="11">
        <v>46136.375</v>
      </c>
      <c r="H1338" s="10" t="s">
        <v>3206</v>
      </c>
      <c r="I1338" s="6" t="s">
        <v>3207</v>
      </c>
      <c r="J1338" s="12">
        <v>46120.809201388889</v>
      </c>
      <c r="K1338" s="6" t="e" cm="1">
        <f t="array" ref="K1338">LOOKUP(2^15,SEARCH(Tabela2[Palavras-Chave],Boletim[[#This Row],[Objeto]],1),Tabela2[Palavras-Chave])</f>
        <v>#N/A</v>
      </c>
    </row>
    <row r="1339" spans="1:11" hidden="1" x14ac:dyDescent="0.3">
      <c r="A1339" s="5">
        <v>18804237</v>
      </c>
      <c r="B1339" s="6" t="s">
        <v>3208</v>
      </c>
      <c r="C1339" s="6" t="s">
        <v>3209</v>
      </c>
      <c r="D1339" s="8" t="s">
        <v>294</v>
      </c>
      <c r="E1339" s="6" t="s">
        <v>113</v>
      </c>
      <c r="F1339" s="6" t="s">
        <v>85</v>
      </c>
      <c r="G1339" s="11">
        <v>46140.333333333336</v>
      </c>
      <c r="H1339" s="10" t="s">
        <v>3210</v>
      </c>
      <c r="I1339" s="6" t="s">
        <v>3211</v>
      </c>
      <c r="J1339" s="12">
        <v>46120.62222222222</v>
      </c>
      <c r="K1339" s="6" t="e" cm="1">
        <f t="array" ref="K1339">LOOKUP(2^15,SEARCH(Tabela2[Palavras-Chave],Boletim[[#This Row],[Objeto]],1),Tabela2[Palavras-Chave])</f>
        <v>#N/A</v>
      </c>
    </row>
    <row r="1340" spans="1:11" hidden="1" x14ac:dyDescent="0.3">
      <c r="A1340" s="5">
        <v>18797234</v>
      </c>
      <c r="B1340" s="6" t="s">
        <v>396</v>
      </c>
      <c r="C1340" s="6" t="s">
        <v>397</v>
      </c>
      <c r="D1340" s="8" t="s">
        <v>80</v>
      </c>
      <c r="E1340" s="6" t="s">
        <v>134</v>
      </c>
      <c r="F1340" s="6" t="s">
        <v>85</v>
      </c>
      <c r="G1340" s="11">
        <v>46139</v>
      </c>
      <c r="H1340" s="10" t="s">
        <v>1991</v>
      </c>
      <c r="I1340" s="6" t="s">
        <v>1992</v>
      </c>
      <c r="J1340" s="12">
        <v>46120.388969907406</v>
      </c>
      <c r="K1340" s="6" t="e" cm="1">
        <f t="array" ref="K1340">LOOKUP(2^15,SEARCH(Tabela2[Palavras-Chave],Boletim[[#This Row],[Objeto]],1),Tabela2[Palavras-Chave])</f>
        <v>#N/A</v>
      </c>
    </row>
    <row r="1341" spans="1:11" hidden="1" x14ac:dyDescent="0.3">
      <c r="A1341" s="5">
        <v>18798658</v>
      </c>
      <c r="B1341" s="6" t="s">
        <v>1993</v>
      </c>
      <c r="C1341" s="6" t="s">
        <v>1994</v>
      </c>
      <c r="D1341" s="8" t="s">
        <v>80</v>
      </c>
      <c r="E1341" s="6" t="s">
        <v>117</v>
      </c>
      <c r="F1341" s="6" t="s">
        <v>85</v>
      </c>
      <c r="G1341" s="11">
        <v>46134.364583333336</v>
      </c>
      <c r="H1341" s="10" t="s">
        <v>1995</v>
      </c>
      <c r="I1341" s="6" t="s">
        <v>1996</v>
      </c>
      <c r="J1341" s="12">
        <v>46120.409155092595</v>
      </c>
      <c r="K1341" s="6" t="e" cm="1">
        <f t="array" ref="K1341">LOOKUP(2^15,SEARCH(Tabela2[Palavras-Chave],Boletim[[#This Row],[Objeto]],1),Tabela2[Palavras-Chave])</f>
        <v>#N/A</v>
      </c>
    </row>
    <row r="1342" spans="1:11" hidden="1" x14ac:dyDescent="0.3">
      <c r="A1342" s="5">
        <v>18802021</v>
      </c>
      <c r="B1342" s="6" t="s">
        <v>1997</v>
      </c>
      <c r="C1342" s="6" t="s">
        <v>1998</v>
      </c>
      <c r="D1342" s="8" t="s">
        <v>80</v>
      </c>
      <c r="E1342" s="6" t="s">
        <v>126</v>
      </c>
      <c r="F1342" s="6" t="s">
        <v>85</v>
      </c>
      <c r="G1342" s="11">
        <v>46129.652777777781</v>
      </c>
      <c r="H1342" s="10" t="s">
        <v>1999</v>
      </c>
      <c r="I1342" s="6" t="s">
        <v>2000</v>
      </c>
      <c r="J1342" s="12">
        <v>46120.445208333331</v>
      </c>
      <c r="K1342" s="6" t="e" cm="1">
        <f t="array" ref="K1342">LOOKUP(2^15,SEARCH(Tabela2[Palavras-Chave],Boletim[[#This Row],[Objeto]],1),Tabela2[Palavras-Chave])</f>
        <v>#N/A</v>
      </c>
    </row>
    <row r="1343" spans="1:11" hidden="1" x14ac:dyDescent="0.3">
      <c r="A1343" s="5">
        <v>18802006</v>
      </c>
      <c r="B1343" s="6" t="s">
        <v>2001</v>
      </c>
      <c r="C1343" s="6" t="s">
        <v>2002</v>
      </c>
      <c r="D1343" s="8" t="s">
        <v>80</v>
      </c>
      <c r="E1343" s="6" t="s">
        <v>115</v>
      </c>
      <c r="F1343" s="6" t="s">
        <v>85</v>
      </c>
      <c r="G1343" s="11">
        <v>46134.354166666664</v>
      </c>
      <c r="H1343" s="10" t="s">
        <v>2003</v>
      </c>
      <c r="I1343" s="6" t="s">
        <v>2004</v>
      </c>
      <c r="J1343" s="12">
        <v>46120.447870370372</v>
      </c>
      <c r="K1343" s="6" t="e" cm="1">
        <f t="array" ref="K1343">LOOKUP(2^15,SEARCH(Tabela2[Palavras-Chave],Boletim[[#This Row],[Objeto]],1),Tabela2[Palavras-Chave])</f>
        <v>#N/A</v>
      </c>
    </row>
    <row r="1344" spans="1:11" hidden="1" x14ac:dyDescent="0.3">
      <c r="A1344" s="5">
        <v>18800020</v>
      </c>
      <c r="B1344" s="6" t="s">
        <v>398</v>
      </c>
      <c r="C1344" s="6" t="s">
        <v>399</v>
      </c>
      <c r="D1344" s="8" t="s">
        <v>80</v>
      </c>
      <c r="E1344" s="6" t="s">
        <v>2005</v>
      </c>
      <c r="F1344" s="6" t="s">
        <v>85</v>
      </c>
      <c r="G1344" s="11" t="s">
        <v>56</v>
      </c>
      <c r="H1344" s="10" t="s">
        <v>2006</v>
      </c>
      <c r="I1344" s="6" t="s">
        <v>2007</v>
      </c>
      <c r="J1344" s="12">
        <v>46120.45144675926</v>
      </c>
      <c r="K1344" s="6" t="e" cm="1">
        <f t="array" ref="K1344">LOOKUP(2^15,SEARCH(Tabela2[Palavras-Chave],Boletim[[#This Row],[Objeto]],1),Tabela2[Palavras-Chave])</f>
        <v>#N/A</v>
      </c>
    </row>
    <row r="1345" spans="1:11" hidden="1" x14ac:dyDescent="0.3">
      <c r="A1345" s="5">
        <v>18800620</v>
      </c>
      <c r="B1345" s="6" t="s">
        <v>2008</v>
      </c>
      <c r="C1345" s="6" t="s">
        <v>2009</v>
      </c>
      <c r="D1345" s="8" t="s">
        <v>80</v>
      </c>
      <c r="E1345" s="6" t="s">
        <v>135</v>
      </c>
      <c r="F1345" s="6" t="s">
        <v>85</v>
      </c>
      <c r="G1345" s="11" t="s">
        <v>56</v>
      </c>
      <c r="H1345" s="10" t="s">
        <v>2010</v>
      </c>
      <c r="I1345" s="6" t="s">
        <v>2011</v>
      </c>
      <c r="J1345" s="12">
        <v>46120.451516203706</v>
      </c>
      <c r="K1345" s="6" t="e" cm="1">
        <f t="array" ref="K1345">LOOKUP(2^15,SEARCH(Tabela2[Palavras-Chave],Boletim[[#This Row],[Objeto]],1),Tabela2[Palavras-Chave])</f>
        <v>#N/A</v>
      </c>
    </row>
    <row r="1346" spans="1:11" hidden="1" x14ac:dyDescent="0.3">
      <c r="A1346" s="5">
        <v>18797238</v>
      </c>
      <c r="B1346" s="6" t="s">
        <v>2012</v>
      </c>
      <c r="C1346" s="6" t="s">
        <v>2013</v>
      </c>
      <c r="D1346" s="8" t="s">
        <v>80</v>
      </c>
      <c r="E1346" s="6" t="s">
        <v>127</v>
      </c>
      <c r="F1346" s="6" t="s">
        <v>85</v>
      </c>
      <c r="G1346" s="11">
        <v>46139</v>
      </c>
      <c r="H1346" s="10" t="s">
        <v>2014</v>
      </c>
      <c r="I1346" s="6" t="s">
        <v>2015</v>
      </c>
      <c r="J1346" s="12">
        <v>46120.451516203706</v>
      </c>
      <c r="K1346" s="6" t="e" cm="1">
        <f t="array" ref="K1346">LOOKUP(2^15,SEARCH(Tabela2[Palavras-Chave],Boletim[[#This Row],[Objeto]],1),Tabela2[Palavras-Chave])</f>
        <v>#N/A</v>
      </c>
    </row>
    <row r="1347" spans="1:11" hidden="1" x14ac:dyDescent="0.3">
      <c r="A1347" s="5">
        <v>18801972</v>
      </c>
      <c r="B1347" s="6" t="s">
        <v>2016</v>
      </c>
      <c r="C1347" s="6" t="s">
        <v>2017</v>
      </c>
      <c r="D1347" s="8" t="s">
        <v>80</v>
      </c>
      <c r="E1347" s="6" t="s">
        <v>114</v>
      </c>
      <c r="F1347" s="6" t="s">
        <v>85</v>
      </c>
      <c r="G1347" s="11">
        <v>46135.332638888889</v>
      </c>
      <c r="H1347" s="10" t="s">
        <v>2018</v>
      </c>
      <c r="I1347" s="6" t="s">
        <v>2019</v>
      </c>
      <c r="J1347" s="12">
        <v>46120.455312500002</v>
      </c>
      <c r="K1347" s="6" t="e" cm="1">
        <f t="array" ref="K1347">LOOKUP(2^15,SEARCH(Tabela2[Palavras-Chave],Boletim[[#This Row],[Objeto]],1),Tabela2[Palavras-Chave])</f>
        <v>#N/A</v>
      </c>
    </row>
    <row r="1348" spans="1:11" hidden="1" x14ac:dyDescent="0.3">
      <c r="A1348" s="5">
        <v>18801544</v>
      </c>
      <c r="B1348" s="6" t="s">
        <v>2020</v>
      </c>
      <c r="C1348" s="6" t="s">
        <v>2021</v>
      </c>
      <c r="D1348" s="8" t="s">
        <v>80</v>
      </c>
      <c r="E1348" s="6" t="s">
        <v>155</v>
      </c>
      <c r="F1348" s="6" t="s">
        <v>85</v>
      </c>
      <c r="G1348" s="11">
        <v>46136.395833333336</v>
      </c>
      <c r="H1348" s="10" t="s">
        <v>2022</v>
      </c>
      <c r="I1348" s="6" t="s">
        <v>2023</v>
      </c>
      <c r="J1348" s="12">
        <v>46120.474999999999</v>
      </c>
      <c r="K1348" s="6" t="e" cm="1">
        <f t="array" ref="K1348">LOOKUP(2^15,SEARCH(Tabela2[Palavras-Chave],Boletim[[#This Row],[Objeto]],1),Tabela2[Palavras-Chave])</f>
        <v>#N/A</v>
      </c>
    </row>
    <row r="1349" spans="1:11" hidden="1" x14ac:dyDescent="0.3">
      <c r="A1349" s="5">
        <v>18801957</v>
      </c>
      <c r="B1349" s="6" t="s">
        <v>2024</v>
      </c>
      <c r="C1349" s="6" t="s">
        <v>2025</v>
      </c>
      <c r="D1349" s="8" t="s">
        <v>80</v>
      </c>
      <c r="E1349" s="6" t="s">
        <v>107</v>
      </c>
      <c r="F1349" s="6" t="s">
        <v>85</v>
      </c>
      <c r="G1349" s="11">
        <v>46136.374305555553</v>
      </c>
      <c r="H1349" s="10" t="s">
        <v>2026</v>
      </c>
      <c r="I1349" s="6" t="s">
        <v>2027</v>
      </c>
      <c r="J1349" s="12">
        <v>46120.519606481481</v>
      </c>
      <c r="K1349" s="6" t="e" cm="1">
        <f t="array" ref="K1349">LOOKUP(2^15,SEARCH(Tabela2[Palavras-Chave],Boletim[[#This Row],[Objeto]],1),Tabela2[Palavras-Chave])</f>
        <v>#N/A</v>
      </c>
    </row>
    <row r="1350" spans="1:11" hidden="1" x14ac:dyDescent="0.3">
      <c r="A1350" s="5">
        <v>18801533</v>
      </c>
      <c r="B1350" s="6" t="s">
        <v>276</v>
      </c>
      <c r="C1350" s="6" t="s">
        <v>79</v>
      </c>
      <c r="D1350" s="8" t="s">
        <v>80</v>
      </c>
      <c r="E1350" s="6" t="s">
        <v>2028</v>
      </c>
      <c r="F1350" s="6" t="s">
        <v>85</v>
      </c>
      <c r="G1350" s="11">
        <v>46126.417361111111</v>
      </c>
      <c r="H1350" s="10" t="s">
        <v>338</v>
      </c>
      <c r="I1350" s="6" t="s">
        <v>2029</v>
      </c>
      <c r="J1350" s="12">
        <v>46120.521678240744</v>
      </c>
      <c r="K1350" s="6" t="e" cm="1">
        <f t="array" ref="K1350">LOOKUP(2^15,SEARCH(Tabela2[Palavras-Chave],Boletim[[#This Row],[Objeto]],1),Tabela2[Palavras-Chave])</f>
        <v>#N/A</v>
      </c>
    </row>
    <row r="1351" spans="1:11" hidden="1" x14ac:dyDescent="0.3">
      <c r="A1351" s="5">
        <v>18801904</v>
      </c>
      <c r="B1351" s="6" t="s">
        <v>2030</v>
      </c>
      <c r="C1351" s="6" t="s">
        <v>2031</v>
      </c>
      <c r="D1351" s="8" t="s">
        <v>80</v>
      </c>
      <c r="E1351" s="6" t="s">
        <v>1499</v>
      </c>
      <c r="F1351" s="6" t="s">
        <v>85</v>
      </c>
      <c r="G1351" s="11">
        <v>46132.344444444447</v>
      </c>
      <c r="H1351" s="10" t="s">
        <v>2032</v>
      </c>
      <c r="I1351" s="6" t="s">
        <v>2033</v>
      </c>
      <c r="J1351" s="12">
        <v>46120.527557870373</v>
      </c>
      <c r="K1351" s="6" t="e" cm="1">
        <f t="array" ref="K1351">LOOKUP(2^15,SEARCH(Tabela2[Palavras-Chave],Boletim[[#This Row],[Objeto]],1),Tabela2[Palavras-Chave])</f>
        <v>#N/A</v>
      </c>
    </row>
    <row r="1352" spans="1:11" ht="115.2" x14ac:dyDescent="0.3">
      <c r="A1352" s="5">
        <v>18802867</v>
      </c>
      <c r="B1352" s="6" t="s">
        <v>2034</v>
      </c>
      <c r="C1352" s="6" t="s">
        <v>2035</v>
      </c>
      <c r="D1352" s="8" t="s">
        <v>80</v>
      </c>
      <c r="E1352" s="6" t="s">
        <v>157</v>
      </c>
      <c r="F1352" s="6" t="s">
        <v>85</v>
      </c>
      <c r="G1352" s="11" t="s">
        <v>56</v>
      </c>
      <c r="H1352" s="21" t="s">
        <v>2036</v>
      </c>
      <c r="I1352" s="6" t="s">
        <v>2037</v>
      </c>
      <c r="J1352" s="12">
        <v>46120.542210648149</v>
      </c>
      <c r="K1352" s="6" t="str" cm="1">
        <f t="array" ref="K1352">LOOKUP(2^15,SEARCH(Tabela2[Palavras-Chave],Boletim[[#This Row],[Objeto]],1),Tabela2[Palavras-Chave])</f>
        <v>RESERVAT</v>
      </c>
    </row>
    <row r="1353" spans="1:11" hidden="1" x14ac:dyDescent="0.3">
      <c r="A1353" s="5">
        <v>18801542</v>
      </c>
      <c r="B1353" s="6" t="s">
        <v>395</v>
      </c>
      <c r="C1353" s="6" t="s">
        <v>257</v>
      </c>
      <c r="D1353" s="8" t="s">
        <v>80</v>
      </c>
      <c r="E1353" s="6" t="s">
        <v>265</v>
      </c>
      <c r="F1353" s="6" t="s">
        <v>85</v>
      </c>
      <c r="G1353" s="11">
        <v>46136.354166666664</v>
      </c>
      <c r="H1353" s="10" t="s">
        <v>2038</v>
      </c>
      <c r="I1353" s="6" t="s">
        <v>2039</v>
      </c>
      <c r="J1353" s="12">
        <v>46120.561354166668</v>
      </c>
      <c r="K1353" s="6" t="e" cm="1">
        <f t="array" ref="K1353">LOOKUP(2^15,SEARCH(Tabela2[Palavras-Chave],Boletim[[#This Row],[Objeto]],1),Tabela2[Palavras-Chave])</f>
        <v>#N/A</v>
      </c>
    </row>
    <row r="1354" spans="1:11" hidden="1" x14ac:dyDescent="0.3">
      <c r="A1354" s="5">
        <v>18802028</v>
      </c>
      <c r="B1354" s="6" t="s">
        <v>2040</v>
      </c>
      <c r="C1354" s="6" t="s">
        <v>79</v>
      </c>
      <c r="D1354" s="8" t="s">
        <v>80</v>
      </c>
      <c r="E1354" s="6" t="s">
        <v>212</v>
      </c>
      <c r="F1354" s="6" t="s">
        <v>85</v>
      </c>
      <c r="G1354" s="11">
        <v>46129.353472222225</v>
      </c>
      <c r="H1354" s="10" t="s">
        <v>2041</v>
      </c>
      <c r="I1354" s="6" t="s">
        <v>2042</v>
      </c>
      <c r="J1354" s="12">
        <v>46120.576840277776</v>
      </c>
      <c r="K1354" s="6" t="e" cm="1">
        <f t="array" ref="K1354">LOOKUP(2^15,SEARCH(Tabela2[Palavras-Chave],Boletim[[#This Row],[Objeto]],1),Tabela2[Palavras-Chave])</f>
        <v>#N/A</v>
      </c>
    </row>
    <row r="1355" spans="1:11" ht="100.8" x14ac:dyDescent="0.3">
      <c r="A1355" s="5">
        <v>18801961</v>
      </c>
      <c r="B1355" s="6" t="s">
        <v>2043</v>
      </c>
      <c r="C1355" s="6" t="s">
        <v>2044</v>
      </c>
      <c r="D1355" s="8" t="s">
        <v>80</v>
      </c>
      <c r="E1355" s="6" t="s">
        <v>115</v>
      </c>
      <c r="F1355" s="6" t="s">
        <v>85</v>
      </c>
      <c r="G1355" s="11">
        <v>46136.374305555553</v>
      </c>
      <c r="H1355" s="21" t="s">
        <v>2045</v>
      </c>
      <c r="I1355" s="6" t="s">
        <v>2046</v>
      </c>
      <c r="J1355" s="12">
        <v>46120.583275462966</v>
      </c>
      <c r="K1355" s="6" t="str" cm="1">
        <f t="array" ref="K1355">LOOKUP(2^15,SEARCH(Tabela2[Palavras-Chave],Boletim[[#This Row],[Objeto]],1),Tabela2[Palavras-Chave])</f>
        <v>RESERVAT</v>
      </c>
    </row>
    <row r="1356" spans="1:11" hidden="1" x14ac:dyDescent="0.3">
      <c r="A1356" s="5">
        <v>18796659</v>
      </c>
      <c r="B1356" s="6" t="s">
        <v>339</v>
      </c>
      <c r="C1356" s="6" t="s">
        <v>277</v>
      </c>
      <c r="D1356" s="8" t="s">
        <v>80</v>
      </c>
      <c r="E1356" s="6" t="s">
        <v>2047</v>
      </c>
      <c r="F1356" s="6" t="s">
        <v>85</v>
      </c>
      <c r="G1356" s="11">
        <v>46125.625</v>
      </c>
      <c r="H1356" s="10" t="s">
        <v>2048</v>
      </c>
      <c r="I1356" s="6" t="s">
        <v>2049</v>
      </c>
      <c r="J1356" s="12">
        <v>46120.586886574078</v>
      </c>
      <c r="K1356" s="6" t="e" cm="1">
        <f t="array" ref="K1356">LOOKUP(2^15,SEARCH(Tabela2[Palavras-Chave],Boletim[[#This Row],[Objeto]],1),Tabela2[Palavras-Chave])</f>
        <v>#N/A</v>
      </c>
    </row>
    <row r="1357" spans="1:11" hidden="1" x14ac:dyDescent="0.3">
      <c r="A1357" s="5">
        <v>18795687</v>
      </c>
      <c r="B1357" s="6" t="s">
        <v>2050</v>
      </c>
      <c r="C1357" s="6" t="s">
        <v>79</v>
      </c>
      <c r="D1357" s="8" t="s">
        <v>80</v>
      </c>
      <c r="E1357" s="6" t="s">
        <v>2051</v>
      </c>
      <c r="F1357" s="6" t="s">
        <v>85</v>
      </c>
      <c r="G1357" s="11">
        <v>46125.395833333336</v>
      </c>
      <c r="H1357" s="10" t="s">
        <v>340</v>
      </c>
      <c r="I1357" s="6" t="s">
        <v>2052</v>
      </c>
      <c r="J1357" s="12">
        <v>46120.586967592593</v>
      </c>
      <c r="K1357" s="6" t="e" cm="1">
        <f t="array" ref="K1357">LOOKUP(2^15,SEARCH(Tabela2[Palavras-Chave],Boletim[[#This Row],[Objeto]],1),Tabela2[Palavras-Chave])</f>
        <v>#N/A</v>
      </c>
    </row>
    <row r="1358" spans="1:11" hidden="1" x14ac:dyDescent="0.3">
      <c r="A1358" s="5">
        <v>18790826</v>
      </c>
      <c r="B1358" s="6" t="s">
        <v>2053</v>
      </c>
      <c r="C1358" s="6" t="s">
        <v>2054</v>
      </c>
      <c r="D1358" s="8" t="s">
        <v>80</v>
      </c>
      <c r="E1358" s="6" t="s">
        <v>120</v>
      </c>
      <c r="F1358" s="6" t="s">
        <v>85</v>
      </c>
      <c r="G1358" s="11">
        <v>46127.584027777775</v>
      </c>
      <c r="H1358" s="10" t="s">
        <v>2055</v>
      </c>
      <c r="I1358" s="6" t="s">
        <v>2056</v>
      </c>
      <c r="J1358" s="12">
        <v>46120.587627314817</v>
      </c>
      <c r="K1358" s="6" t="e" cm="1">
        <f t="array" ref="K1358">LOOKUP(2^15,SEARCH(Tabela2[Palavras-Chave],Boletim[[#This Row],[Objeto]],1),Tabela2[Palavras-Chave])</f>
        <v>#N/A</v>
      </c>
    </row>
    <row r="1359" spans="1:11" hidden="1" x14ac:dyDescent="0.3">
      <c r="A1359" s="5">
        <v>18803521</v>
      </c>
      <c r="B1359" s="6" t="s">
        <v>2057</v>
      </c>
      <c r="C1359" s="6" t="s">
        <v>464</v>
      </c>
      <c r="D1359" s="8" t="s">
        <v>80</v>
      </c>
      <c r="E1359" s="6" t="s">
        <v>2058</v>
      </c>
      <c r="F1359" s="6" t="s">
        <v>85</v>
      </c>
      <c r="G1359" s="11" t="s">
        <v>56</v>
      </c>
      <c r="H1359" s="10" t="s">
        <v>2059</v>
      </c>
      <c r="I1359" s="6" t="s">
        <v>2060</v>
      </c>
      <c r="J1359" s="12">
        <v>46120.588831018518</v>
      </c>
      <c r="K1359" s="6" t="e" cm="1">
        <f t="array" ref="K1359">LOOKUP(2^15,SEARCH(Tabela2[Palavras-Chave],Boletim[[#This Row],[Objeto]],1),Tabela2[Palavras-Chave])</f>
        <v>#N/A</v>
      </c>
    </row>
    <row r="1360" spans="1:11" hidden="1" x14ac:dyDescent="0.3">
      <c r="A1360" s="5">
        <v>18803894</v>
      </c>
      <c r="B1360" s="6" t="s">
        <v>3212</v>
      </c>
      <c r="C1360" s="6" t="s">
        <v>3213</v>
      </c>
      <c r="D1360" s="8" t="s">
        <v>80</v>
      </c>
      <c r="E1360" s="6" t="s">
        <v>108</v>
      </c>
      <c r="F1360" s="6" t="s">
        <v>85</v>
      </c>
      <c r="G1360" s="11" t="s">
        <v>56</v>
      </c>
      <c r="H1360" s="10" t="s">
        <v>3214</v>
      </c>
      <c r="I1360" s="6" t="s">
        <v>3215</v>
      </c>
      <c r="J1360" s="12">
        <v>46120.598067129627</v>
      </c>
      <c r="K1360" s="6" t="e" cm="1">
        <f t="array" ref="K1360">LOOKUP(2^15,SEARCH(Tabela2[Palavras-Chave],Boletim[[#This Row],[Objeto]],1),Tabela2[Palavras-Chave])</f>
        <v>#N/A</v>
      </c>
    </row>
    <row r="1361" spans="1:11" ht="302.39999999999998" x14ac:dyDescent="0.3">
      <c r="A1361" s="5">
        <v>18800131</v>
      </c>
      <c r="B1361" s="6" t="s">
        <v>2061</v>
      </c>
      <c r="C1361" s="6" t="s">
        <v>2062</v>
      </c>
      <c r="D1361" s="8" t="s">
        <v>80</v>
      </c>
      <c r="E1361" s="6" t="s">
        <v>135</v>
      </c>
      <c r="F1361" s="6" t="s">
        <v>85</v>
      </c>
      <c r="G1361" s="11" t="s">
        <v>56</v>
      </c>
      <c r="H1361" s="21" t="s">
        <v>2063</v>
      </c>
      <c r="I1361" s="6" t="s">
        <v>2064</v>
      </c>
      <c r="J1361" s="12">
        <v>46120.617430555554</v>
      </c>
      <c r="K1361" s="6" t="str" cm="1">
        <f t="array" ref="K1361">LOOKUP(2^15,SEARCH(Tabela2[Palavras-Chave],Boletim[[#This Row],[Objeto]],1),Tabela2[Palavras-Chave])</f>
        <v>RESERVAT</v>
      </c>
    </row>
    <row r="1362" spans="1:11" hidden="1" x14ac:dyDescent="0.3">
      <c r="A1362" s="5">
        <v>18801997</v>
      </c>
      <c r="B1362" s="6" t="s">
        <v>2065</v>
      </c>
      <c r="C1362" s="6" t="s">
        <v>2066</v>
      </c>
      <c r="D1362" s="8" t="s">
        <v>80</v>
      </c>
      <c r="E1362" s="6" t="s">
        <v>2067</v>
      </c>
      <c r="F1362" s="6" t="s">
        <v>85</v>
      </c>
      <c r="G1362" s="11">
        <v>46135.374305555553</v>
      </c>
      <c r="H1362" s="10" t="s">
        <v>2068</v>
      </c>
      <c r="I1362" s="6" t="s">
        <v>2069</v>
      </c>
      <c r="J1362" s="12">
        <v>46120.630277777775</v>
      </c>
      <c r="K1362" s="6" t="e" cm="1">
        <f t="array" ref="K1362">LOOKUP(2^15,SEARCH(Tabela2[Palavras-Chave],Boletim[[#This Row],[Objeto]],1),Tabela2[Palavras-Chave])</f>
        <v>#N/A</v>
      </c>
    </row>
    <row r="1363" spans="1:11" hidden="1" x14ac:dyDescent="0.3">
      <c r="A1363" s="5">
        <v>18804099</v>
      </c>
      <c r="B1363" s="6" t="s">
        <v>2070</v>
      </c>
      <c r="C1363" s="6" t="s">
        <v>2071</v>
      </c>
      <c r="D1363" s="8" t="s">
        <v>80</v>
      </c>
      <c r="E1363" s="6" t="s">
        <v>309</v>
      </c>
      <c r="F1363" s="6" t="s">
        <v>85</v>
      </c>
      <c r="G1363" s="11">
        <v>46126.374305555553</v>
      </c>
      <c r="H1363" s="10" t="s">
        <v>2072</v>
      </c>
      <c r="I1363" s="6" t="s">
        <v>2073</v>
      </c>
      <c r="J1363" s="12">
        <v>46120.632615740738</v>
      </c>
      <c r="K1363" s="6" t="e" cm="1">
        <f t="array" ref="K1363">LOOKUP(2^15,SEARCH(Tabela2[Palavras-Chave],Boletim[[#This Row],[Objeto]],1),Tabela2[Palavras-Chave])</f>
        <v>#N/A</v>
      </c>
    </row>
    <row r="1364" spans="1:11" hidden="1" x14ac:dyDescent="0.3">
      <c r="A1364" s="5">
        <v>18804113</v>
      </c>
      <c r="B1364" s="6" t="s">
        <v>2074</v>
      </c>
      <c r="C1364" s="6" t="s">
        <v>2075</v>
      </c>
      <c r="D1364" s="8" t="s">
        <v>80</v>
      </c>
      <c r="E1364" s="6" t="s">
        <v>114</v>
      </c>
      <c r="F1364" s="6" t="s">
        <v>85</v>
      </c>
      <c r="G1364" s="11">
        <v>46157.374305555553</v>
      </c>
      <c r="H1364" s="10" t="s">
        <v>2076</v>
      </c>
      <c r="I1364" s="6" t="s">
        <v>2077</v>
      </c>
      <c r="J1364" s="12">
        <v>46120.638101851851</v>
      </c>
      <c r="K1364" s="6" t="e" cm="1">
        <f t="array" ref="K1364">LOOKUP(2^15,SEARCH(Tabela2[Palavras-Chave],Boletim[[#This Row],[Objeto]],1),Tabela2[Palavras-Chave])</f>
        <v>#N/A</v>
      </c>
    </row>
    <row r="1365" spans="1:11" hidden="1" x14ac:dyDescent="0.3">
      <c r="A1365" s="5">
        <v>18801906</v>
      </c>
      <c r="B1365" s="6" t="s">
        <v>3216</v>
      </c>
      <c r="C1365" s="6" t="s">
        <v>3217</v>
      </c>
      <c r="D1365" s="8" t="s">
        <v>80</v>
      </c>
      <c r="E1365" s="6" t="s">
        <v>453</v>
      </c>
      <c r="F1365" s="6" t="s">
        <v>85</v>
      </c>
      <c r="G1365" s="11" t="s">
        <v>56</v>
      </c>
      <c r="H1365" s="10" t="s">
        <v>3218</v>
      </c>
      <c r="I1365" s="6" t="s">
        <v>3219</v>
      </c>
      <c r="J1365" s="12">
        <v>46120.642187500001</v>
      </c>
      <c r="K1365" s="6" t="e" cm="1">
        <f t="array" ref="K1365">LOOKUP(2^15,SEARCH(Tabela2[Palavras-Chave],Boletim[[#This Row],[Objeto]],1),Tabela2[Palavras-Chave])</f>
        <v>#N/A</v>
      </c>
    </row>
    <row r="1366" spans="1:11" hidden="1" x14ac:dyDescent="0.3">
      <c r="A1366" s="5">
        <v>18804458</v>
      </c>
      <c r="B1366" s="6" t="s">
        <v>2078</v>
      </c>
      <c r="C1366" s="6" t="s">
        <v>2079</v>
      </c>
      <c r="D1366" s="8" t="s">
        <v>80</v>
      </c>
      <c r="E1366" s="6" t="s">
        <v>117</v>
      </c>
      <c r="F1366" s="6" t="s">
        <v>85</v>
      </c>
      <c r="G1366" s="11">
        <v>46135.375</v>
      </c>
      <c r="H1366" s="10" t="s">
        <v>2080</v>
      </c>
      <c r="I1366" s="6" t="s">
        <v>2081</v>
      </c>
      <c r="J1366" s="12">
        <v>46120.666006944448</v>
      </c>
      <c r="K1366" s="6" t="e" cm="1">
        <f t="array" ref="K1366">LOOKUP(2^15,SEARCH(Tabela2[Palavras-Chave],Boletim[[#This Row],[Objeto]],1),Tabela2[Palavras-Chave])</f>
        <v>#N/A</v>
      </c>
    </row>
    <row r="1367" spans="1:11" hidden="1" x14ac:dyDescent="0.3">
      <c r="A1367" s="5">
        <v>18805224</v>
      </c>
      <c r="B1367" s="6" t="s">
        <v>2082</v>
      </c>
      <c r="C1367" s="6" t="s">
        <v>2083</v>
      </c>
      <c r="D1367" s="8" t="s">
        <v>80</v>
      </c>
      <c r="E1367" s="6" t="s">
        <v>366</v>
      </c>
      <c r="F1367" s="6" t="s">
        <v>85</v>
      </c>
      <c r="G1367" s="11" t="s">
        <v>56</v>
      </c>
      <c r="H1367" s="10" t="s">
        <v>2084</v>
      </c>
      <c r="I1367" s="6" t="s">
        <v>2085</v>
      </c>
      <c r="J1367" s="12">
        <v>46120.712546296294</v>
      </c>
      <c r="K1367" s="6" t="e" cm="1">
        <f t="array" ref="K1367">LOOKUP(2^15,SEARCH(Tabela2[Palavras-Chave],Boletim[[#This Row],[Objeto]],1),Tabela2[Palavras-Chave])</f>
        <v>#N/A</v>
      </c>
    </row>
    <row r="1368" spans="1:11" hidden="1" x14ac:dyDescent="0.3">
      <c r="A1368" s="5">
        <v>18803568</v>
      </c>
      <c r="B1368" s="6" t="s">
        <v>2086</v>
      </c>
      <c r="C1368" s="6" t="s">
        <v>2087</v>
      </c>
      <c r="D1368" s="8" t="s">
        <v>80</v>
      </c>
      <c r="E1368" s="6" t="s">
        <v>2088</v>
      </c>
      <c r="F1368" s="6" t="s">
        <v>85</v>
      </c>
      <c r="G1368" s="11" t="s">
        <v>56</v>
      </c>
      <c r="H1368" s="10" t="s">
        <v>2089</v>
      </c>
      <c r="I1368" s="6" t="s">
        <v>2090</v>
      </c>
      <c r="J1368" s="12">
        <v>46120.714930555558</v>
      </c>
      <c r="K1368" s="6" t="e" cm="1">
        <f t="array" ref="K1368">LOOKUP(2^15,SEARCH(Tabela2[Palavras-Chave],Boletim[[#This Row],[Objeto]],1),Tabela2[Palavras-Chave])</f>
        <v>#N/A</v>
      </c>
    </row>
    <row r="1369" spans="1:11" hidden="1" x14ac:dyDescent="0.3">
      <c r="A1369" s="5">
        <v>18801621</v>
      </c>
      <c r="B1369" s="6" t="s">
        <v>2091</v>
      </c>
      <c r="C1369" s="6" t="s">
        <v>2092</v>
      </c>
      <c r="D1369" s="8" t="s">
        <v>80</v>
      </c>
      <c r="E1369" s="6" t="s">
        <v>120</v>
      </c>
      <c r="F1369" s="6" t="s">
        <v>85</v>
      </c>
      <c r="G1369" s="11" t="s">
        <v>56</v>
      </c>
      <c r="H1369" s="10" t="s">
        <v>2093</v>
      </c>
      <c r="I1369" s="6" t="s">
        <v>2094</v>
      </c>
      <c r="J1369" s="12">
        <v>46120.734247685185</v>
      </c>
      <c r="K1369" s="6" t="e" cm="1">
        <f t="array" ref="K1369">LOOKUP(2^15,SEARCH(Tabela2[Palavras-Chave],Boletim[[#This Row],[Objeto]],1),Tabela2[Palavras-Chave])</f>
        <v>#N/A</v>
      </c>
    </row>
    <row r="1370" spans="1:11" hidden="1" x14ac:dyDescent="0.3">
      <c r="A1370" s="5">
        <v>18804061</v>
      </c>
      <c r="B1370" s="6" t="s">
        <v>2095</v>
      </c>
      <c r="C1370" s="6" t="s">
        <v>2096</v>
      </c>
      <c r="D1370" s="8" t="s">
        <v>80</v>
      </c>
      <c r="E1370" s="6" t="s">
        <v>2097</v>
      </c>
      <c r="F1370" s="6" t="s">
        <v>85</v>
      </c>
      <c r="G1370" s="11">
        <v>46135.374305555553</v>
      </c>
      <c r="H1370" s="10" t="s">
        <v>2098</v>
      </c>
      <c r="I1370" s="6" t="s">
        <v>2099</v>
      </c>
      <c r="J1370" s="12">
        <v>46120.735486111109</v>
      </c>
      <c r="K1370" s="6" t="e" cm="1">
        <f t="array" ref="K1370">LOOKUP(2^15,SEARCH(Tabela2[Palavras-Chave],Boletim[[#This Row],[Objeto]],1),Tabela2[Palavras-Chave])</f>
        <v>#N/A</v>
      </c>
    </row>
    <row r="1371" spans="1:11" hidden="1" x14ac:dyDescent="0.3">
      <c r="A1371" s="5">
        <v>18792595</v>
      </c>
      <c r="B1371" s="6" t="s">
        <v>2100</v>
      </c>
      <c r="C1371" s="6" t="s">
        <v>2101</v>
      </c>
      <c r="D1371" s="8" t="s">
        <v>80</v>
      </c>
      <c r="E1371" s="6" t="s">
        <v>149</v>
      </c>
      <c r="F1371" s="6" t="s">
        <v>85</v>
      </c>
      <c r="G1371" s="11">
        <v>46136.375</v>
      </c>
      <c r="H1371" s="10" t="s">
        <v>2102</v>
      </c>
      <c r="I1371" s="6" t="s">
        <v>2103</v>
      </c>
      <c r="J1371" s="12">
        <v>46120.745173611111</v>
      </c>
      <c r="K1371" s="6" t="e" cm="1">
        <f t="array" ref="K1371">LOOKUP(2^15,SEARCH(Tabela2[Palavras-Chave],Boletim[[#This Row],[Objeto]],1),Tabela2[Palavras-Chave])</f>
        <v>#N/A</v>
      </c>
    </row>
    <row r="1372" spans="1:11" hidden="1" x14ac:dyDescent="0.3">
      <c r="A1372" s="5">
        <v>18805586</v>
      </c>
      <c r="B1372" s="6" t="s">
        <v>2104</v>
      </c>
      <c r="C1372" s="6" t="s">
        <v>2105</v>
      </c>
      <c r="D1372" s="8" t="s">
        <v>80</v>
      </c>
      <c r="E1372" s="6" t="s">
        <v>2106</v>
      </c>
      <c r="F1372" s="6" t="s">
        <v>85</v>
      </c>
      <c r="G1372" s="11">
        <v>46126.5625</v>
      </c>
      <c r="H1372" s="10" t="s">
        <v>2107</v>
      </c>
      <c r="I1372" s="6" t="s">
        <v>2108</v>
      </c>
      <c r="J1372" s="12">
        <v>46120.747696759259</v>
      </c>
      <c r="K1372" s="6" t="e" cm="1">
        <f t="array" ref="K1372">LOOKUP(2^15,SEARCH(Tabela2[Palavras-Chave],Boletim[[#This Row],[Objeto]],1),Tabela2[Palavras-Chave])</f>
        <v>#N/A</v>
      </c>
    </row>
    <row r="1373" spans="1:11" hidden="1" x14ac:dyDescent="0.3">
      <c r="A1373" s="5">
        <v>18805613</v>
      </c>
      <c r="B1373" s="6" t="s">
        <v>2109</v>
      </c>
      <c r="C1373" s="6" t="s">
        <v>79</v>
      </c>
      <c r="D1373" s="8" t="s">
        <v>80</v>
      </c>
      <c r="E1373" s="6" t="s">
        <v>2106</v>
      </c>
      <c r="F1373" s="6" t="s">
        <v>85</v>
      </c>
      <c r="G1373" s="11">
        <v>46135.625694444447</v>
      </c>
      <c r="H1373" s="10" t="s">
        <v>2110</v>
      </c>
      <c r="I1373" s="6" t="s">
        <v>2111</v>
      </c>
      <c r="J1373" s="12">
        <v>46120.755069444444</v>
      </c>
      <c r="K1373" s="6" t="e" cm="1">
        <f t="array" ref="K1373">LOOKUP(2^15,SEARCH(Tabela2[Palavras-Chave],Boletim[[#This Row],[Objeto]],1),Tabela2[Palavras-Chave])</f>
        <v>#N/A</v>
      </c>
    </row>
    <row r="1374" spans="1:11" hidden="1" x14ac:dyDescent="0.3">
      <c r="A1374" s="5">
        <v>18803870</v>
      </c>
      <c r="B1374" s="6" t="s">
        <v>193</v>
      </c>
      <c r="C1374" s="6" t="s">
        <v>79</v>
      </c>
      <c r="D1374" s="8" t="s">
        <v>80</v>
      </c>
      <c r="E1374" s="6" t="s">
        <v>2112</v>
      </c>
      <c r="F1374" s="6" t="s">
        <v>85</v>
      </c>
      <c r="G1374" s="11">
        <v>46126.381944444445</v>
      </c>
      <c r="H1374" s="10" t="s">
        <v>2113</v>
      </c>
      <c r="I1374" s="6" t="s">
        <v>2114</v>
      </c>
      <c r="J1374" s="12">
        <v>46120.767465277779</v>
      </c>
      <c r="K1374" s="6" t="e" cm="1">
        <f t="array" ref="K1374">LOOKUP(2^15,SEARCH(Tabela2[Palavras-Chave],Boletim[[#This Row],[Objeto]],1),Tabela2[Palavras-Chave])</f>
        <v>#N/A</v>
      </c>
    </row>
    <row r="1375" spans="1:11" hidden="1" x14ac:dyDescent="0.3">
      <c r="A1375" s="5">
        <v>18804063</v>
      </c>
      <c r="B1375" s="6" t="s">
        <v>2115</v>
      </c>
      <c r="C1375" s="6" t="s">
        <v>2116</v>
      </c>
      <c r="D1375" s="8" t="s">
        <v>80</v>
      </c>
      <c r="E1375" s="6" t="s">
        <v>366</v>
      </c>
      <c r="F1375" s="6" t="s">
        <v>85</v>
      </c>
      <c r="G1375" s="11">
        <v>46141.375</v>
      </c>
      <c r="H1375" s="10" t="s">
        <v>2117</v>
      </c>
      <c r="I1375" s="6" t="s">
        <v>2118</v>
      </c>
      <c r="J1375" s="12">
        <v>46120.811840277776</v>
      </c>
      <c r="K1375" s="6" t="e" cm="1">
        <f t="array" ref="K1375">LOOKUP(2^15,SEARCH(Tabela2[Palavras-Chave],Boletim[[#This Row],[Objeto]],1),Tabela2[Palavras-Chave])</f>
        <v>#N/A</v>
      </c>
    </row>
    <row r="1376" spans="1:11" hidden="1" x14ac:dyDescent="0.3">
      <c r="A1376" s="5">
        <v>18806056</v>
      </c>
      <c r="B1376" s="6" t="s">
        <v>2119</v>
      </c>
      <c r="C1376" s="6" t="s">
        <v>2120</v>
      </c>
      <c r="D1376" s="8" t="s">
        <v>80</v>
      </c>
      <c r="E1376" s="6" t="s">
        <v>117</v>
      </c>
      <c r="F1376" s="6" t="s">
        <v>85</v>
      </c>
      <c r="G1376" s="11" t="s">
        <v>56</v>
      </c>
      <c r="H1376" s="10" t="s">
        <v>2121</v>
      </c>
      <c r="I1376" s="6" t="s">
        <v>2122</v>
      </c>
      <c r="J1376" s="12">
        <v>46120.812743055554</v>
      </c>
      <c r="K1376" s="6" t="e" cm="1">
        <f t="array" ref="K1376">LOOKUP(2^15,SEARCH(Tabela2[Palavras-Chave],Boletim[[#This Row],[Objeto]],1),Tabela2[Palavras-Chave])</f>
        <v>#N/A</v>
      </c>
    </row>
    <row r="1377" spans="1:11" hidden="1" x14ac:dyDescent="0.3">
      <c r="A1377" s="5">
        <v>18806122</v>
      </c>
      <c r="B1377" s="6" t="s">
        <v>2123</v>
      </c>
      <c r="C1377" s="6" t="s">
        <v>2124</v>
      </c>
      <c r="D1377" s="8" t="s">
        <v>80</v>
      </c>
      <c r="E1377" s="6" t="s">
        <v>2125</v>
      </c>
      <c r="F1377" s="6" t="s">
        <v>85</v>
      </c>
      <c r="G1377" s="11" t="s">
        <v>56</v>
      </c>
      <c r="H1377" s="10" t="s">
        <v>2126</v>
      </c>
      <c r="I1377" s="6" t="s">
        <v>2127</v>
      </c>
      <c r="J1377" s="12">
        <v>46120.814270833333</v>
      </c>
      <c r="K1377" s="6" t="e" cm="1">
        <f t="array" ref="K1377">LOOKUP(2^15,SEARCH(Tabela2[Palavras-Chave],Boletim[[#This Row],[Objeto]],1),Tabela2[Palavras-Chave])</f>
        <v>#N/A</v>
      </c>
    </row>
    <row r="1378" spans="1:11" hidden="1" x14ac:dyDescent="0.3">
      <c r="A1378" s="5">
        <v>18806303</v>
      </c>
      <c r="B1378" s="6" t="s">
        <v>3220</v>
      </c>
      <c r="C1378" s="6" t="s">
        <v>3221</v>
      </c>
      <c r="D1378" s="8" t="s">
        <v>80</v>
      </c>
      <c r="E1378" s="6" t="s">
        <v>108</v>
      </c>
      <c r="F1378" s="6" t="s">
        <v>85</v>
      </c>
      <c r="G1378" s="11" t="s">
        <v>56</v>
      </c>
      <c r="H1378" s="10" t="s">
        <v>3222</v>
      </c>
      <c r="I1378" s="6" t="s">
        <v>3223</v>
      </c>
      <c r="J1378" s="12">
        <v>46120.85119212963</v>
      </c>
      <c r="K1378" s="6" t="e" cm="1">
        <f t="array" ref="K1378">LOOKUP(2^15,SEARCH(Tabela2[Palavras-Chave],Boletim[[#This Row],[Objeto]],1),Tabela2[Palavras-Chave])</f>
        <v>#N/A</v>
      </c>
    </row>
    <row r="1379" spans="1:11" hidden="1" x14ac:dyDescent="0.3">
      <c r="A1379" s="5">
        <v>18806386</v>
      </c>
      <c r="B1379" s="6" t="s">
        <v>3224</v>
      </c>
      <c r="C1379" s="6" t="s">
        <v>3225</v>
      </c>
      <c r="D1379" s="8" t="s">
        <v>80</v>
      </c>
      <c r="E1379" s="6" t="s">
        <v>142</v>
      </c>
      <c r="F1379" s="6" t="s">
        <v>85</v>
      </c>
      <c r="G1379" s="11" t="s">
        <v>56</v>
      </c>
      <c r="H1379" s="10" t="s">
        <v>3226</v>
      </c>
      <c r="I1379" s="6" t="s">
        <v>3227</v>
      </c>
      <c r="J1379" s="12">
        <v>46120.860277777778</v>
      </c>
      <c r="K1379" s="6" t="e" cm="1">
        <f t="array" ref="K1379">LOOKUP(2^15,SEARCH(Tabela2[Palavras-Chave],Boletim[[#This Row],[Objeto]],1),Tabela2[Palavras-Chave])</f>
        <v>#N/A</v>
      </c>
    </row>
    <row r="1380" spans="1:11" hidden="1" x14ac:dyDescent="0.3">
      <c r="A1380" s="5">
        <v>18805320</v>
      </c>
      <c r="B1380" s="6" t="s">
        <v>3228</v>
      </c>
      <c r="C1380" s="6" t="s">
        <v>3229</v>
      </c>
      <c r="D1380" s="8" t="s">
        <v>80</v>
      </c>
      <c r="E1380" s="6" t="s">
        <v>3230</v>
      </c>
      <c r="F1380" s="6" t="s">
        <v>85</v>
      </c>
      <c r="G1380" s="11">
        <v>46136.375</v>
      </c>
      <c r="H1380" s="10" t="s">
        <v>3231</v>
      </c>
      <c r="I1380" s="6" t="s">
        <v>3232</v>
      </c>
      <c r="J1380" s="12">
        <v>46120.871516203704</v>
      </c>
      <c r="K1380" s="6" t="e" cm="1">
        <f t="array" ref="K1380">LOOKUP(2^15,SEARCH(Tabela2[Palavras-Chave],Boletim[[#This Row],[Objeto]],1),Tabela2[Palavras-Chave])</f>
        <v>#N/A</v>
      </c>
    </row>
    <row r="1381" spans="1:11" hidden="1" x14ac:dyDescent="0.3">
      <c r="A1381" s="5">
        <v>18793335</v>
      </c>
      <c r="B1381" s="6" t="s">
        <v>2128</v>
      </c>
      <c r="C1381" s="6" t="s">
        <v>245</v>
      </c>
      <c r="D1381" s="8" t="s">
        <v>81</v>
      </c>
      <c r="E1381" s="6" t="s">
        <v>122</v>
      </c>
      <c r="F1381" s="6" t="s">
        <v>85</v>
      </c>
      <c r="G1381" s="11" t="s">
        <v>56</v>
      </c>
      <c r="H1381" s="10" t="s">
        <v>2129</v>
      </c>
      <c r="I1381" s="6" t="s">
        <v>2130</v>
      </c>
      <c r="J1381" s="12">
        <v>46120.388935185183</v>
      </c>
      <c r="K1381" s="6" t="e" cm="1">
        <f t="array" ref="K1381">LOOKUP(2^15,SEARCH(Tabela2[Palavras-Chave],Boletim[[#This Row],[Objeto]],1),Tabela2[Palavras-Chave])</f>
        <v>#N/A</v>
      </c>
    </row>
    <row r="1382" spans="1:11" hidden="1" x14ac:dyDescent="0.3">
      <c r="A1382" s="5">
        <v>18802018</v>
      </c>
      <c r="B1382" s="6" t="s">
        <v>2131</v>
      </c>
      <c r="C1382" s="6" t="s">
        <v>2132</v>
      </c>
      <c r="D1382" s="8" t="s">
        <v>81</v>
      </c>
      <c r="E1382" s="6" t="s">
        <v>223</v>
      </c>
      <c r="F1382" s="6" t="s">
        <v>85</v>
      </c>
      <c r="G1382" s="11">
        <v>46134.322222222225</v>
      </c>
      <c r="H1382" s="10" t="s">
        <v>2133</v>
      </c>
      <c r="I1382" s="6" t="s">
        <v>2134</v>
      </c>
      <c r="J1382" s="12">
        <v>46120.445208333331</v>
      </c>
      <c r="K1382" s="6" t="e" cm="1">
        <f t="array" ref="K1382">LOOKUP(2^15,SEARCH(Tabela2[Palavras-Chave],Boletim[[#This Row],[Objeto]],1),Tabela2[Palavras-Chave])</f>
        <v>#N/A</v>
      </c>
    </row>
    <row r="1383" spans="1:11" hidden="1" x14ac:dyDescent="0.3">
      <c r="A1383" s="5">
        <v>18801503</v>
      </c>
      <c r="B1383" s="6" t="s">
        <v>2135</v>
      </c>
      <c r="C1383" s="6" t="s">
        <v>2136</v>
      </c>
      <c r="D1383" s="8" t="s">
        <v>81</v>
      </c>
      <c r="E1383" s="6" t="s">
        <v>122</v>
      </c>
      <c r="F1383" s="6" t="s">
        <v>85</v>
      </c>
      <c r="G1383" s="11" t="s">
        <v>56</v>
      </c>
      <c r="H1383" s="10" t="s">
        <v>2137</v>
      </c>
      <c r="I1383" s="6" t="s">
        <v>2138</v>
      </c>
      <c r="J1383" s="12">
        <v>46120.490682870368</v>
      </c>
      <c r="K1383" s="6" t="e" cm="1">
        <f t="array" ref="K1383">LOOKUP(2^15,SEARCH(Tabela2[Palavras-Chave],Boletim[[#This Row],[Objeto]],1),Tabela2[Palavras-Chave])</f>
        <v>#N/A</v>
      </c>
    </row>
    <row r="1384" spans="1:11" hidden="1" x14ac:dyDescent="0.3">
      <c r="A1384" s="5">
        <v>18801984</v>
      </c>
      <c r="B1384" s="6" t="s">
        <v>2139</v>
      </c>
      <c r="C1384" s="6" t="s">
        <v>2140</v>
      </c>
      <c r="D1384" s="8" t="s">
        <v>81</v>
      </c>
      <c r="E1384" s="6" t="s">
        <v>146</v>
      </c>
      <c r="F1384" s="6" t="s">
        <v>85</v>
      </c>
      <c r="G1384" s="11">
        <v>46135.333333333336</v>
      </c>
      <c r="H1384" s="10" t="s">
        <v>2141</v>
      </c>
      <c r="I1384" s="6" t="s">
        <v>2142</v>
      </c>
      <c r="J1384" s="12">
        <v>46120.492847222224</v>
      </c>
      <c r="K1384" s="6" t="e" cm="1">
        <f t="array" ref="K1384">LOOKUP(2^15,SEARCH(Tabela2[Palavras-Chave],Boletim[[#This Row],[Objeto]],1),Tabela2[Palavras-Chave])</f>
        <v>#N/A</v>
      </c>
    </row>
    <row r="1385" spans="1:11" hidden="1" x14ac:dyDescent="0.3">
      <c r="A1385" s="5">
        <v>18802299</v>
      </c>
      <c r="B1385" s="6" t="s">
        <v>170</v>
      </c>
      <c r="C1385" s="6" t="s">
        <v>104</v>
      </c>
      <c r="D1385" s="8" t="s">
        <v>81</v>
      </c>
      <c r="E1385" s="6" t="s">
        <v>3233</v>
      </c>
      <c r="F1385" s="6" t="s">
        <v>85</v>
      </c>
      <c r="G1385" s="11">
        <v>46132.375</v>
      </c>
      <c r="H1385" s="10" t="s">
        <v>3234</v>
      </c>
      <c r="I1385" s="6" t="s">
        <v>3235</v>
      </c>
      <c r="J1385" s="12">
        <v>46120.501979166664</v>
      </c>
      <c r="K1385" s="6" t="e" cm="1">
        <f t="array" ref="K1385">LOOKUP(2^15,SEARCH(Tabela2[Palavras-Chave],Boletim[[#This Row],[Objeto]],1),Tabela2[Palavras-Chave])</f>
        <v>#N/A</v>
      </c>
    </row>
    <row r="1386" spans="1:11" hidden="1" x14ac:dyDescent="0.3">
      <c r="A1386" s="5">
        <v>18697005</v>
      </c>
      <c r="B1386" s="6" t="s">
        <v>208</v>
      </c>
      <c r="C1386" s="6" t="s">
        <v>209</v>
      </c>
      <c r="D1386" s="8" t="s">
        <v>81</v>
      </c>
      <c r="E1386" s="6" t="s">
        <v>114</v>
      </c>
      <c r="F1386" s="6" t="s">
        <v>85</v>
      </c>
      <c r="G1386" s="11">
        <v>46126.357638888891</v>
      </c>
      <c r="H1386" s="10" t="s">
        <v>210</v>
      </c>
      <c r="I1386" s="6" t="s">
        <v>211</v>
      </c>
      <c r="J1386" s="12">
        <v>46120.523680555554</v>
      </c>
      <c r="K1386" s="6" t="e" cm="1">
        <f t="array" ref="K1386">LOOKUP(2^15,SEARCH(Tabela2[Palavras-Chave],Boletim[[#This Row],[Objeto]],1),Tabela2[Palavras-Chave])</f>
        <v>#N/A</v>
      </c>
    </row>
    <row r="1387" spans="1:11" hidden="1" x14ac:dyDescent="0.3">
      <c r="A1387" s="5">
        <v>18794644</v>
      </c>
      <c r="B1387" s="6" t="s">
        <v>201</v>
      </c>
      <c r="C1387" s="6" t="s">
        <v>202</v>
      </c>
      <c r="D1387" s="8" t="s">
        <v>81</v>
      </c>
      <c r="E1387" s="6" t="s">
        <v>2143</v>
      </c>
      <c r="F1387" s="6" t="s">
        <v>85</v>
      </c>
      <c r="G1387" s="11" t="s">
        <v>56</v>
      </c>
      <c r="H1387" s="10" t="s">
        <v>2144</v>
      </c>
      <c r="I1387" s="6" t="s">
        <v>2145</v>
      </c>
      <c r="J1387" s="12">
        <v>46120.523692129631</v>
      </c>
      <c r="K1387" s="6" t="e" cm="1">
        <f t="array" ref="K1387">LOOKUP(2^15,SEARCH(Tabela2[Palavras-Chave],Boletim[[#This Row],[Objeto]],1),Tabela2[Palavras-Chave])</f>
        <v>#N/A</v>
      </c>
    </row>
    <row r="1388" spans="1:11" hidden="1" x14ac:dyDescent="0.3">
      <c r="A1388" s="5">
        <v>18802898</v>
      </c>
      <c r="B1388" s="6" t="s">
        <v>408</v>
      </c>
      <c r="C1388" s="6" t="s">
        <v>199</v>
      </c>
      <c r="D1388" s="8" t="s">
        <v>81</v>
      </c>
      <c r="E1388" s="6" t="s">
        <v>2146</v>
      </c>
      <c r="F1388" s="6" t="s">
        <v>85</v>
      </c>
      <c r="G1388" s="11" t="s">
        <v>56</v>
      </c>
      <c r="H1388" s="10" t="s">
        <v>2147</v>
      </c>
      <c r="I1388" s="6" t="s">
        <v>2148</v>
      </c>
      <c r="J1388" s="12">
        <v>46120.523136574076</v>
      </c>
      <c r="K1388" s="6" t="e" cm="1">
        <f t="array" ref="K1388">LOOKUP(2^15,SEARCH(Tabela2[Palavras-Chave],Boletim[[#This Row],[Objeto]],1),Tabela2[Palavras-Chave])</f>
        <v>#N/A</v>
      </c>
    </row>
    <row r="1389" spans="1:11" hidden="1" x14ac:dyDescent="0.3">
      <c r="A1389" s="5">
        <v>18802024</v>
      </c>
      <c r="B1389" s="6" t="s">
        <v>2149</v>
      </c>
      <c r="C1389" s="6" t="s">
        <v>303</v>
      </c>
      <c r="D1389" s="8" t="s">
        <v>81</v>
      </c>
      <c r="E1389" s="6" t="s">
        <v>109</v>
      </c>
      <c r="F1389" s="6" t="s">
        <v>85</v>
      </c>
      <c r="G1389" s="11">
        <v>46132.329861111109</v>
      </c>
      <c r="H1389" s="10" t="s">
        <v>2150</v>
      </c>
      <c r="I1389" s="6" t="s">
        <v>2151</v>
      </c>
      <c r="J1389" s="12">
        <v>46120.526018518518</v>
      </c>
      <c r="K1389" s="6" t="e" cm="1">
        <f t="array" ref="K1389">LOOKUP(2^15,SEARCH(Tabela2[Palavras-Chave],Boletim[[#This Row],[Objeto]],1),Tabela2[Palavras-Chave])</f>
        <v>#N/A</v>
      </c>
    </row>
    <row r="1390" spans="1:11" hidden="1" x14ac:dyDescent="0.3">
      <c r="A1390" s="5">
        <v>18801502</v>
      </c>
      <c r="B1390" s="6" t="s">
        <v>2152</v>
      </c>
      <c r="C1390" s="6" t="s">
        <v>2153</v>
      </c>
      <c r="D1390" s="8" t="s">
        <v>81</v>
      </c>
      <c r="E1390" s="6" t="s">
        <v>121</v>
      </c>
      <c r="F1390" s="6" t="s">
        <v>85</v>
      </c>
      <c r="G1390" s="11" t="s">
        <v>56</v>
      </c>
      <c r="H1390" s="10" t="s">
        <v>2154</v>
      </c>
      <c r="I1390" s="6" t="s">
        <v>2155</v>
      </c>
      <c r="J1390" s="12">
        <v>46120.53429398148</v>
      </c>
      <c r="K1390" s="6" t="e" cm="1">
        <f t="array" ref="K1390">LOOKUP(2^15,SEARCH(Tabela2[Palavras-Chave],Boletim[[#This Row],[Objeto]],1),Tabela2[Palavras-Chave])</f>
        <v>#N/A</v>
      </c>
    </row>
    <row r="1391" spans="1:11" hidden="1" x14ac:dyDescent="0.3">
      <c r="A1391" s="5">
        <v>18801635</v>
      </c>
      <c r="B1391" s="6" t="s">
        <v>2156</v>
      </c>
      <c r="C1391" s="6" t="s">
        <v>2157</v>
      </c>
      <c r="D1391" s="8" t="s">
        <v>81</v>
      </c>
      <c r="E1391" s="6" t="s">
        <v>155</v>
      </c>
      <c r="F1391" s="6" t="s">
        <v>85</v>
      </c>
      <c r="G1391" s="11" t="s">
        <v>56</v>
      </c>
      <c r="H1391" s="10" t="s">
        <v>2158</v>
      </c>
      <c r="I1391" s="6" t="s">
        <v>2159</v>
      </c>
      <c r="J1391" s="12">
        <v>46120.536898148152</v>
      </c>
      <c r="K1391" s="6" t="e" cm="1">
        <f t="array" ref="K1391">LOOKUP(2^15,SEARCH(Tabela2[Palavras-Chave],Boletim[[#This Row],[Objeto]],1),Tabela2[Palavras-Chave])</f>
        <v>#N/A</v>
      </c>
    </row>
    <row r="1392" spans="1:11" hidden="1" x14ac:dyDescent="0.3">
      <c r="A1392" s="5">
        <v>18799620</v>
      </c>
      <c r="B1392" s="6" t="s">
        <v>2160</v>
      </c>
      <c r="C1392" s="6" t="s">
        <v>2161</v>
      </c>
      <c r="D1392" s="8" t="s">
        <v>81</v>
      </c>
      <c r="E1392" s="6" t="s">
        <v>108</v>
      </c>
      <c r="F1392" s="6" t="s">
        <v>85</v>
      </c>
      <c r="G1392" s="11">
        <v>46135.375</v>
      </c>
      <c r="H1392" s="10" t="s">
        <v>2162</v>
      </c>
      <c r="I1392" s="6" t="s">
        <v>2163</v>
      </c>
      <c r="J1392" s="12">
        <v>46120.572268518517</v>
      </c>
      <c r="K1392" s="6" t="e" cm="1">
        <f t="array" ref="K1392">LOOKUP(2^15,SEARCH(Tabela2[Palavras-Chave],Boletim[[#This Row],[Objeto]],1),Tabela2[Palavras-Chave])</f>
        <v>#N/A</v>
      </c>
    </row>
    <row r="1393" spans="1:11" hidden="1" x14ac:dyDescent="0.3">
      <c r="A1393" s="5">
        <v>18797081</v>
      </c>
      <c r="B1393" s="6" t="s">
        <v>2164</v>
      </c>
      <c r="C1393" s="6" t="s">
        <v>2165</v>
      </c>
      <c r="D1393" s="8" t="s">
        <v>81</v>
      </c>
      <c r="E1393" s="6" t="s">
        <v>2097</v>
      </c>
      <c r="F1393" s="6" t="s">
        <v>85</v>
      </c>
      <c r="G1393" s="11">
        <v>46135.291666666664</v>
      </c>
      <c r="H1393" s="10" t="s">
        <v>2166</v>
      </c>
      <c r="I1393" s="6" t="s">
        <v>2167</v>
      </c>
      <c r="J1393" s="12">
        <v>46120.586898148147</v>
      </c>
      <c r="K1393" s="6" t="e" cm="1">
        <f t="array" ref="K1393">LOOKUP(2^15,SEARCH(Tabela2[Palavras-Chave],Boletim[[#This Row],[Objeto]],1),Tabela2[Palavras-Chave])</f>
        <v>#N/A</v>
      </c>
    </row>
    <row r="1394" spans="1:11" hidden="1" x14ac:dyDescent="0.3">
      <c r="A1394" s="5">
        <v>18803840</v>
      </c>
      <c r="B1394" s="6" t="s">
        <v>2168</v>
      </c>
      <c r="C1394" s="6" t="s">
        <v>2169</v>
      </c>
      <c r="D1394" s="8" t="s">
        <v>81</v>
      </c>
      <c r="E1394" s="6" t="s">
        <v>3236</v>
      </c>
      <c r="F1394" s="6" t="s">
        <v>85</v>
      </c>
      <c r="G1394" s="11" t="s">
        <v>56</v>
      </c>
      <c r="H1394" s="10" t="s">
        <v>3237</v>
      </c>
      <c r="I1394" s="6" t="s">
        <v>3238</v>
      </c>
      <c r="J1394" s="12">
        <v>46120.592442129629</v>
      </c>
      <c r="K1394" s="6" t="e" cm="1">
        <f t="array" ref="K1394">LOOKUP(2^15,SEARCH(Tabela2[Palavras-Chave],Boletim[[#This Row],[Objeto]],1),Tabela2[Palavras-Chave])</f>
        <v>#N/A</v>
      </c>
    </row>
    <row r="1395" spans="1:11" ht="86.4" x14ac:dyDescent="0.3">
      <c r="A1395" s="5">
        <v>18793553</v>
      </c>
      <c r="B1395" s="6" t="s">
        <v>2168</v>
      </c>
      <c r="C1395" s="6" t="s">
        <v>2169</v>
      </c>
      <c r="D1395" s="8" t="s">
        <v>81</v>
      </c>
      <c r="E1395" s="6" t="s">
        <v>2170</v>
      </c>
      <c r="F1395" s="6" t="s">
        <v>85</v>
      </c>
      <c r="G1395" s="11" t="s">
        <v>56</v>
      </c>
      <c r="H1395" s="21" t="s">
        <v>2171</v>
      </c>
      <c r="I1395" s="6" t="s">
        <v>2172</v>
      </c>
      <c r="J1395" s="12">
        <v>46120.596597222226</v>
      </c>
      <c r="K1395" s="6" t="str" cm="1">
        <f t="array" ref="K1395">LOOKUP(2^15,SEARCH(Tabela2[Palavras-Chave],Boletim[[#This Row],[Objeto]],1),Tabela2[Palavras-Chave])</f>
        <v>JUNTA</v>
      </c>
    </row>
    <row r="1396" spans="1:11" hidden="1" x14ac:dyDescent="0.3">
      <c r="A1396" s="5">
        <v>18803576</v>
      </c>
      <c r="B1396" s="6" t="s">
        <v>2173</v>
      </c>
      <c r="C1396" s="6" t="s">
        <v>2174</v>
      </c>
      <c r="D1396" s="8" t="s">
        <v>81</v>
      </c>
      <c r="E1396" s="6" t="s">
        <v>2175</v>
      </c>
      <c r="F1396" s="6" t="s">
        <v>85</v>
      </c>
      <c r="G1396" s="11" t="s">
        <v>56</v>
      </c>
      <c r="H1396" s="10" t="s">
        <v>2176</v>
      </c>
      <c r="I1396" s="6" t="s">
        <v>2177</v>
      </c>
      <c r="J1396" s="12">
        <v>46120.603182870371</v>
      </c>
      <c r="K1396" s="6" t="e" cm="1">
        <f t="array" ref="K1396">LOOKUP(2^15,SEARCH(Tabela2[Palavras-Chave],Boletim[[#This Row],[Objeto]],1),Tabela2[Palavras-Chave])</f>
        <v>#N/A</v>
      </c>
    </row>
    <row r="1397" spans="1:11" hidden="1" x14ac:dyDescent="0.3">
      <c r="A1397" s="5">
        <v>18804149</v>
      </c>
      <c r="B1397" s="6" t="s">
        <v>3239</v>
      </c>
      <c r="C1397" s="6" t="s">
        <v>3240</v>
      </c>
      <c r="D1397" s="8" t="s">
        <v>81</v>
      </c>
      <c r="E1397" s="6" t="s">
        <v>3241</v>
      </c>
      <c r="F1397" s="6" t="s">
        <v>85</v>
      </c>
      <c r="G1397" s="11">
        <v>46136.334027777775</v>
      </c>
      <c r="H1397" s="10" t="s">
        <v>3242</v>
      </c>
      <c r="I1397" s="6" t="s">
        <v>90</v>
      </c>
      <c r="J1397" s="12">
        <v>46120.612893518519</v>
      </c>
      <c r="K1397" s="6" t="e" cm="1">
        <f t="array" ref="K1397">LOOKUP(2^15,SEARCH(Tabela2[Palavras-Chave],Boletim[[#This Row],[Objeto]],1),Tabela2[Palavras-Chave])</f>
        <v>#N/A</v>
      </c>
    </row>
    <row r="1398" spans="1:11" hidden="1" x14ac:dyDescent="0.3">
      <c r="A1398" s="5">
        <v>18793141</v>
      </c>
      <c r="B1398" s="6" t="s">
        <v>3243</v>
      </c>
      <c r="C1398" s="6" t="s">
        <v>3244</v>
      </c>
      <c r="D1398" s="8" t="s">
        <v>81</v>
      </c>
      <c r="E1398" s="6" t="s">
        <v>142</v>
      </c>
      <c r="F1398" s="6" t="s">
        <v>85</v>
      </c>
      <c r="G1398" s="11" t="s">
        <v>56</v>
      </c>
      <c r="H1398" s="10" t="s">
        <v>3245</v>
      </c>
      <c r="I1398" s="6" t="s">
        <v>3246</v>
      </c>
      <c r="J1398" s="12">
        <v>46120.617442129631</v>
      </c>
      <c r="K1398" s="6" t="e" cm="1">
        <f t="array" ref="K1398">LOOKUP(2^15,SEARCH(Tabela2[Palavras-Chave],Boletim[[#This Row],[Objeto]],1),Tabela2[Palavras-Chave])</f>
        <v>#N/A</v>
      </c>
    </row>
    <row r="1399" spans="1:11" hidden="1" x14ac:dyDescent="0.3">
      <c r="A1399" s="5">
        <v>18798927</v>
      </c>
      <c r="B1399" s="6" t="s">
        <v>2178</v>
      </c>
      <c r="C1399" s="6" t="s">
        <v>2179</v>
      </c>
      <c r="D1399" s="8" t="s">
        <v>81</v>
      </c>
      <c r="E1399" s="6" t="s">
        <v>106</v>
      </c>
      <c r="F1399" s="6" t="s">
        <v>85</v>
      </c>
      <c r="G1399" s="11">
        <v>46142.374305555553</v>
      </c>
      <c r="H1399" s="10" t="s">
        <v>2180</v>
      </c>
      <c r="I1399" s="6" t="s">
        <v>2181</v>
      </c>
      <c r="J1399" s="12">
        <v>46120.618125000001</v>
      </c>
      <c r="K1399" s="6" t="e" cm="1">
        <f t="array" ref="K1399">LOOKUP(2^15,SEARCH(Tabela2[Palavras-Chave],Boletim[[#This Row],[Objeto]],1),Tabela2[Palavras-Chave])</f>
        <v>#N/A</v>
      </c>
    </row>
    <row r="1400" spans="1:11" hidden="1" x14ac:dyDescent="0.3">
      <c r="A1400" s="5">
        <v>18801996</v>
      </c>
      <c r="B1400" s="6" t="s">
        <v>2182</v>
      </c>
      <c r="C1400" s="6" t="s">
        <v>2183</v>
      </c>
      <c r="D1400" s="8" t="s">
        <v>81</v>
      </c>
      <c r="E1400" s="6" t="s">
        <v>3247</v>
      </c>
      <c r="F1400" s="6" t="s">
        <v>85</v>
      </c>
      <c r="G1400" s="11">
        <v>46135.374305555553</v>
      </c>
      <c r="H1400" s="10" t="s">
        <v>3248</v>
      </c>
      <c r="I1400" s="6" t="s">
        <v>3249</v>
      </c>
      <c r="J1400" s="12">
        <v>46120.643796296295</v>
      </c>
      <c r="K1400" s="6" t="e" cm="1">
        <f t="array" ref="K1400">LOOKUP(2^15,SEARCH(Tabela2[Palavras-Chave],Boletim[[#This Row],[Objeto]],1),Tabela2[Palavras-Chave])</f>
        <v>#N/A</v>
      </c>
    </row>
    <row r="1401" spans="1:11" hidden="1" x14ac:dyDescent="0.3">
      <c r="A1401" s="5">
        <v>18804051</v>
      </c>
      <c r="B1401" s="6" t="s">
        <v>2182</v>
      </c>
      <c r="C1401" s="6" t="s">
        <v>2183</v>
      </c>
      <c r="D1401" s="8" t="s">
        <v>81</v>
      </c>
      <c r="E1401" s="6" t="s">
        <v>2184</v>
      </c>
      <c r="F1401" s="6" t="s">
        <v>85</v>
      </c>
      <c r="G1401" s="11">
        <v>46134.374305555553</v>
      </c>
      <c r="H1401" s="10" t="s">
        <v>2185</v>
      </c>
      <c r="I1401" s="6" t="s">
        <v>2186</v>
      </c>
      <c r="J1401" s="12">
        <v>46120.651053240741</v>
      </c>
      <c r="K1401" s="6" t="e" cm="1">
        <f t="array" ref="K1401">LOOKUP(2^15,SEARCH(Tabela2[Palavras-Chave],Boletim[[#This Row],[Objeto]],1),Tabela2[Palavras-Chave])</f>
        <v>#N/A</v>
      </c>
    </row>
    <row r="1402" spans="1:11" hidden="1" x14ac:dyDescent="0.3">
      <c r="A1402" s="5">
        <v>18801629</v>
      </c>
      <c r="B1402" s="6" t="s">
        <v>2187</v>
      </c>
      <c r="C1402" s="6" t="s">
        <v>2188</v>
      </c>
      <c r="D1402" s="8" t="s">
        <v>81</v>
      </c>
      <c r="E1402" s="6" t="s">
        <v>165</v>
      </c>
      <c r="F1402" s="6" t="s">
        <v>85</v>
      </c>
      <c r="G1402" s="11" t="s">
        <v>56</v>
      </c>
      <c r="H1402" s="10" t="s">
        <v>2189</v>
      </c>
      <c r="I1402" s="6" t="s">
        <v>2190</v>
      </c>
      <c r="J1402" s="12">
        <v>46120.659768518519</v>
      </c>
      <c r="K1402" s="6" t="e" cm="1">
        <f t="array" ref="K1402">LOOKUP(2^15,SEARCH(Tabela2[Palavras-Chave],Boletim[[#This Row],[Objeto]],1),Tabela2[Palavras-Chave])</f>
        <v>#N/A</v>
      </c>
    </row>
    <row r="1403" spans="1:11" hidden="1" x14ac:dyDescent="0.3">
      <c r="A1403" s="5">
        <v>18801655</v>
      </c>
      <c r="B1403" s="6" t="s">
        <v>2191</v>
      </c>
      <c r="C1403" s="6" t="s">
        <v>2192</v>
      </c>
      <c r="D1403" s="8" t="s">
        <v>81</v>
      </c>
      <c r="E1403" s="6" t="s">
        <v>192</v>
      </c>
      <c r="F1403" s="6" t="s">
        <v>85</v>
      </c>
      <c r="G1403" s="11" t="s">
        <v>56</v>
      </c>
      <c r="H1403" s="10" t="s">
        <v>2193</v>
      </c>
      <c r="I1403" s="6" t="s">
        <v>2194</v>
      </c>
      <c r="J1403" s="12">
        <v>46120.660891203705</v>
      </c>
      <c r="K1403" s="6" t="e" cm="1">
        <f t="array" ref="K1403">LOOKUP(2^15,SEARCH(Tabela2[Palavras-Chave],Boletim[[#This Row],[Objeto]],1),Tabela2[Palavras-Chave])</f>
        <v>#N/A</v>
      </c>
    </row>
    <row r="1404" spans="1:11" hidden="1" x14ac:dyDescent="0.3">
      <c r="A1404" s="5">
        <v>18798294</v>
      </c>
      <c r="B1404" s="6" t="s">
        <v>2195</v>
      </c>
      <c r="C1404" s="6" t="s">
        <v>2196</v>
      </c>
      <c r="D1404" s="8" t="s">
        <v>81</v>
      </c>
      <c r="E1404" s="6" t="s">
        <v>2197</v>
      </c>
      <c r="F1404" s="6" t="s">
        <v>85</v>
      </c>
      <c r="G1404" s="11">
        <v>46134.375</v>
      </c>
      <c r="H1404" s="10" t="s">
        <v>2198</v>
      </c>
      <c r="I1404" s="6" t="s">
        <v>2199</v>
      </c>
      <c r="J1404" s="12">
        <v>46120.690335648149</v>
      </c>
      <c r="K1404" s="6" t="e" cm="1">
        <f t="array" ref="K1404">LOOKUP(2^15,SEARCH(Tabela2[Palavras-Chave],Boletim[[#This Row],[Objeto]],1),Tabela2[Palavras-Chave])</f>
        <v>#N/A</v>
      </c>
    </row>
    <row r="1405" spans="1:11" hidden="1" x14ac:dyDescent="0.3">
      <c r="A1405" s="5">
        <v>18805233</v>
      </c>
      <c r="B1405" s="6" t="s">
        <v>2200</v>
      </c>
      <c r="C1405" s="6" t="s">
        <v>2201</v>
      </c>
      <c r="D1405" s="8" t="s">
        <v>81</v>
      </c>
      <c r="E1405" s="6" t="s">
        <v>2202</v>
      </c>
      <c r="F1405" s="6" t="s">
        <v>85</v>
      </c>
      <c r="G1405" s="11" t="s">
        <v>56</v>
      </c>
      <c r="H1405" s="10" t="s">
        <v>2203</v>
      </c>
      <c r="I1405" s="6" t="s">
        <v>2204</v>
      </c>
      <c r="J1405" s="12">
        <v>46120.721574074072</v>
      </c>
      <c r="K1405" s="6" t="e" cm="1">
        <f t="array" ref="K1405">LOOKUP(2^15,SEARCH(Tabela2[Palavras-Chave],Boletim[[#This Row],[Objeto]],1),Tabela2[Palavras-Chave])</f>
        <v>#N/A</v>
      </c>
    </row>
    <row r="1406" spans="1:11" hidden="1" x14ac:dyDescent="0.3">
      <c r="A1406" s="5">
        <v>18804193</v>
      </c>
      <c r="B1406" s="6" t="s">
        <v>2205</v>
      </c>
      <c r="C1406" s="6" t="s">
        <v>403</v>
      </c>
      <c r="D1406" s="8" t="s">
        <v>81</v>
      </c>
      <c r="E1406" s="6" t="s">
        <v>108</v>
      </c>
      <c r="F1406" s="6" t="s">
        <v>85</v>
      </c>
      <c r="G1406" s="11" t="s">
        <v>56</v>
      </c>
      <c r="H1406" s="10" t="s">
        <v>2206</v>
      </c>
      <c r="I1406" s="6" t="s">
        <v>2207</v>
      </c>
      <c r="J1406" s="12">
        <v>46120.711168981485</v>
      </c>
      <c r="K1406" s="6" t="e" cm="1">
        <f t="array" ref="K1406">LOOKUP(2^15,SEARCH(Tabela2[Palavras-Chave],Boletim[[#This Row],[Objeto]],1),Tabela2[Palavras-Chave])</f>
        <v>#N/A</v>
      </c>
    </row>
    <row r="1407" spans="1:11" hidden="1" x14ac:dyDescent="0.3">
      <c r="A1407" s="5">
        <v>18805329</v>
      </c>
      <c r="B1407" s="6" t="s">
        <v>3250</v>
      </c>
      <c r="C1407" s="6" t="s">
        <v>3251</v>
      </c>
      <c r="D1407" s="8" t="s">
        <v>81</v>
      </c>
      <c r="E1407" s="6" t="s">
        <v>3252</v>
      </c>
      <c r="F1407" s="6" t="s">
        <v>85</v>
      </c>
      <c r="G1407" s="11" t="s">
        <v>56</v>
      </c>
      <c r="H1407" s="10" t="s">
        <v>3253</v>
      </c>
      <c r="I1407" s="6" t="s">
        <v>3254</v>
      </c>
      <c r="J1407" s="12">
        <v>46120.728078703702</v>
      </c>
      <c r="K1407" s="6" t="e" cm="1">
        <f t="array" ref="K1407">LOOKUP(2^15,SEARCH(Tabela2[Palavras-Chave],Boletim[[#This Row],[Objeto]],1),Tabela2[Palavras-Chave])</f>
        <v>#N/A</v>
      </c>
    </row>
    <row r="1408" spans="1:11" hidden="1" x14ac:dyDescent="0.3">
      <c r="A1408" s="5">
        <v>18804690</v>
      </c>
      <c r="B1408" s="6" t="s">
        <v>2208</v>
      </c>
      <c r="C1408" s="6" t="s">
        <v>2209</v>
      </c>
      <c r="D1408" s="8" t="s">
        <v>81</v>
      </c>
      <c r="E1408" s="6" t="s">
        <v>108</v>
      </c>
      <c r="F1408" s="6" t="s">
        <v>85</v>
      </c>
      <c r="G1408" s="11">
        <v>46162.375</v>
      </c>
      <c r="H1408" s="10" t="s">
        <v>2210</v>
      </c>
      <c r="I1408" s="6" t="s">
        <v>90</v>
      </c>
      <c r="J1408" s="12">
        <v>46120.729120370372</v>
      </c>
      <c r="K1408" s="6" t="e" cm="1">
        <f t="array" ref="K1408">LOOKUP(2^15,SEARCH(Tabela2[Palavras-Chave],Boletim[[#This Row],[Objeto]],1),Tabela2[Palavras-Chave])</f>
        <v>#N/A</v>
      </c>
    </row>
    <row r="1409" spans="1:11" hidden="1" x14ac:dyDescent="0.3">
      <c r="A1409" s="5">
        <v>18804022</v>
      </c>
      <c r="B1409" s="6" t="s">
        <v>2211</v>
      </c>
      <c r="C1409" s="6" t="s">
        <v>2174</v>
      </c>
      <c r="D1409" s="8" t="s">
        <v>81</v>
      </c>
      <c r="E1409" s="6" t="s">
        <v>1499</v>
      </c>
      <c r="F1409" s="6" t="s">
        <v>85</v>
      </c>
      <c r="G1409" s="11">
        <v>46135.354166666664</v>
      </c>
      <c r="H1409" s="10" t="s">
        <v>2212</v>
      </c>
      <c r="I1409" s="6" t="s">
        <v>2213</v>
      </c>
      <c r="J1409" s="12">
        <v>46120.733368055553</v>
      </c>
      <c r="K1409" s="6" t="e" cm="1">
        <f t="array" ref="K1409">LOOKUP(2^15,SEARCH(Tabela2[Palavras-Chave],Boletim[[#This Row],[Objeto]],1),Tabela2[Palavras-Chave])</f>
        <v>#N/A</v>
      </c>
    </row>
    <row r="1410" spans="1:11" hidden="1" x14ac:dyDescent="0.3">
      <c r="A1410" s="5">
        <v>18805312</v>
      </c>
      <c r="B1410" s="6" t="s">
        <v>2214</v>
      </c>
      <c r="C1410" s="6" t="s">
        <v>2215</v>
      </c>
      <c r="D1410" s="8" t="s">
        <v>81</v>
      </c>
      <c r="E1410" s="6" t="s">
        <v>223</v>
      </c>
      <c r="F1410" s="6" t="s">
        <v>85</v>
      </c>
      <c r="G1410" s="11" t="s">
        <v>56</v>
      </c>
      <c r="H1410" s="10" t="s">
        <v>2216</v>
      </c>
      <c r="I1410" s="6" t="s">
        <v>2217</v>
      </c>
      <c r="J1410" s="12">
        <v>46120.733773148146</v>
      </c>
      <c r="K1410" s="6" t="e" cm="1">
        <f t="array" ref="K1410">LOOKUP(2^15,SEARCH(Tabela2[Palavras-Chave],Boletim[[#This Row],[Objeto]],1),Tabela2[Palavras-Chave])</f>
        <v>#N/A</v>
      </c>
    </row>
    <row r="1411" spans="1:11" hidden="1" x14ac:dyDescent="0.3">
      <c r="A1411" s="5">
        <v>18802063</v>
      </c>
      <c r="B1411" s="6" t="s">
        <v>2218</v>
      </c>
      <c r="C1411" s="6" t="s">
        <v>2219</v>
      </c>
      <c r="D1411" s="8" t="s">
        <v>81</v>
      </c>
      <c r="E1411" s="6" t="s">
        <v>205</v>
      </c>
      <c r="F1411" s="6" t="s">
        <v>85</v>
      </c>
      <c r="G1411" s="11">
        <v>46160.305555555555</v>
      </c>
      <c r="H1411" s="10" t="s">
        <v>2220</v>
      </c>
      <c r="I1411" s="6" t="s">
        <v>2221</v>
      </c>
      <c r="J1411" s="12">
        <v>46120.746354166666</v>
      </c>
      <c r="K1411" s="6" t="e" cm="1">
        <f t="array" ref="K1411">LOOKUP(2^15,SEARCH(Tabela2[Palavras-Chave],Boletim[[#This Row],[Objeto]],1),Tabela2[Palavras-Chave])</f>
        <v>#N/A</v>
      </c>
    </row>
    <row r="1412" spans="1:11" ht="244.8" x14ac:dyDescent="0.3">
      <c r="A1412" s="5">
        <v>18801675</v>
      </c>
      <c r="B1412" s="6" t="s">
        <v>2222</v>
      </c>
      <c r="C1412" s="6" t="s">
        <v>405</v>
      </c>
      <c r="D1412" s="8" t="s">
        <v>81</v>
      </c>
      <c r="E1412" s="6" t="s">
        <v>124</v>
      </c>
      <c r="F1412" s="6" t="s">
        <v>85</v>
      </c>
      <c r="G1412" s="11" t="s">
        <v>56</v>
      </c>
      <c r="H1412" s="21" t="s">
        <v>2223</v>
      </c>
      <c r="I1412" s="6" t="s">
        <v>2224</v>
      </c>
      <c r="J1412" s="12">
        <v>46120.761064814818</v>
      </c>
      <c r="K1412" s="6" t="str" cm="1">
        <f t="array" ref="K1412">LOOKUP(2^15,SEARCH(Tabela2[Palavras-Chave],Boletim[[#This Row],[Objeto]],1),Tabela2[Palavras-Chave])</f>
        <v>TANQUE</v>
      </c>
    </row>
    <row r="1413" spans="1:11" hidden="1" x14ac:dyDescent="0.3">
      <c r="A1413" s="5">
        <v>18801918</v>
      </c>
      <c r="B1413" s="6" t="s">
        <v>2225</v>
      </c>
      <c r="C1413" s="6" t="s">
        <v>2226</v>
      </c>
      <c r="D1413" s="8" t="s">
        <v>81</v>
      </c>
      <c r="E1413" s="6" t="s">
        <v>1849</v>
      </c>
      <c r="F1413" s="6" t="s">
        <v>85</v>
      </c>
      <c r="G1413" s="11">
        <v>46147.582638888889</v>
      </c>
      <c r="H1413" s="10" t="s">
        <v>2227</v>
      </c>
      <c r="I1413" s="6" t="s">
        <v>2228</v>
      </c>
      <c r="J1413" s="12">
        <v>46120.772662037038</v>
      </c>
      <c r="K1413" s="6" t="e" cm="1">
        <f t="array" ref="K1413">LOOKUP(2^15,SEARCH(Tabela2[Palavras-Chave],Boletim[[#This Row],[Objeto]],1),Tabela2[Palavras-Chave])</f>
        <v>#N/A</v>
      </c>
    </row>
    <row r="1414" spans="1:11" hidden="1" x14ac:dyDescent="0.3">
      <c r="A1414" s="5">
        <v>18805909</v>
      </c>
      <c r="B1414" s="6" t="s">
        <v>2229</v>
      </c>
      <c r="C1414" s="6" t="s">
        <v>2230</v>
      </c>
      <c r="D1414" s="8" t="s">
        <v>81</v>
      </c>
      <c r="E1414" s="6" t="s">
        <v>2231</v>
      </c>
      <c r="F1414" s="6" t="s">
        <v>85</v>
      </c>
      <c r="G1414" s="11" t="s">
        <v>56</v>
      </c>
      <c r="H1414" s="10" t="s">
        <v>2232</v>
      </c>
      <c r="I1414" s="6" t="s">
        <v>2233</v>
      </c>
      <c r="J1414" s="12">
        <v>46120.785000000003</v>
      </c>
      <c r="K1414" s="6" t="e" cm="1">
        <f t="array" ref="K1414">LOOKUP(2^15,SEARCH(Tabela2[Palavras-Chave],Boletim[[#This Row],[Objeto]],1),Tabela2[Palavras-Chave])</f>
        <v>#N/A</v>
      </c>
    </row>
    <row r="1415" spans="1:11" hidden="1" x14ac:dyDescent="0.3">
      <c r="A1415" s="5">
        <v>18766991</v>
      </c>
      <c r="B1415" s="6" t="s">
        <v>2234</v>
      </c>
      <c r="C1415" s="6" t="s">
        <v>2235</v>
      </c>
      <c r="D1415" s="8" t="s">
        <v>81</v>
      </c>
      <c r="E1415" s="6" t="s">
        <v>337</v>
      </c>
      <c r="F1415" s="6" t="s">
        <v>85</v>
      </c>
      <c r="G1415" s="11" t="s">
        <v>56</v>
      </c>
      <c r="H1415" s="10" t="s">
        <v>2236</v>
      </c>
      <c r="I1415" s="6" t="s">
        <v>2237</v>
      </c>
      <c r="J1415" s="12">
        <v>46120.789618055554</v>
      </c>
      <c r="K1415" s="6" t="e" cm="1">
        <f t="array" ref="K1415">LOOKUP(2^15,SEARCH(Tabela2[Palavras-Chave],Boletim[[#This Row],[Objeto]],1),Tabela2[Palavras-Chave])</f>
        <v>#N/A</v>
      </c>
    </row>
    <row r="1416" spans="1:11" hidden="1" x14ac:dyDescent="0.3">
      <c r="A1416" s="5">
        <v>18799617</v>
      </c>
      <c r="B1416" s="6" t="s">
        <v>2164</v>
      </c>
      <c r="C1416" s="6" t="s">
        <v>2165</v>
      </c>
      <c r="D1416" s="8" t="s">
        <v>81</v>
      </c>
      <c r="E1416" s="6" t="s">
        <v>146</v>
      </c>
      <c r="F1416" s="6" t="s">
        <v>85</v>
      </c>
      <c r="G1416" s="11">
        <v>46135.333333333336</v>
      </c>
      <c r="H1416" s="10" t="s">
        <v>2166</v>
      </c>
      <c r="I1416" s="6" t="s">
        <v>2238</v>
      </c>
      <c r="J1416" s="12">
        <v>46120.829895833333</v>
      </c>
      <c r="K1416" s="6" t="e" cm="1">
        <f t="array" ref="K1416">LOOKUP(2^15,SEARCH(Tabela2[Palavras-Chave],Boletim[[#This Row],[Objeto]],1),Tabela2[Palavras-Chave])</f>
        <v>#N/A</v>
      </c>
    </row>
    <row r="1417" spans="1:11" hidden="1" x14ac:dyDescent="0.3">
      <c r="A1417" s="5">
        <v>18806276</v>
      </c>
      <c r="B1417" s="6" t="s">
        <v>427</v>
      </c>
      <c r="C1417" s="6" t="s">
        <v>428</v>
      </c>
      <c r="D1417" s="8" t="s">
        <v>81</v>
      </c>
      <c r="E1417" s="6" t="s">
        <v>120</v>
      </c>
      <c r="F1417" s="6" t="s">
        <v>85</v>
      </c>
      <c r="G1417" s="11">
        <v>46134</v>
      </c>
      <c r="H1417" s="10" t="s">
        <v>2239</v>
      </c>
      <c r="I1417" s="6" t="s">
        <v>2240</v>
      </c>
      <c r="J1417" s="12">
        <v>46120.840312499997</v>
      </c>
      <c r="K1417" s="6" t="e" cm="1">
        <f t="array" ref="K1417">LOOKUP(2^15,SEARCH(Tabela2[Palavras-Chave],Boletim[[#This Row],[Objeto]],1),Tabela2[Palavras-Chave])</f>
        <v>#N/A</v>
      </c>
    </row>
    <row r="1418" spans="1:11" hidden="1" x14ac:dyDescent="0.3">
      <c r="A1418" s="5">
        <v>18803573</v>
      </c>
      <c r="B1418" s="6" t="s">
        <v>2211</v>
      </c>
      <c r="C1418" s="6" t="s">
        <v>2174</v>
      </c>
      <c r="D1418" s="8" t="s">
        <v>81</v>
      </c>
      <c r="E1418" s="6" t="s">
        <v>212</v>
      </c>
      <c r="F1418" s="6" t="s">
        <v>85</v>
      </c>
      <c r="G1418" s="11" t="s">
        <v>56</v>
      </c>
      <c r="H1418" s="10" t="s">
        <v>2241</v>
      </c>
      <c r="I1418" s="6" t="s">
        <v>2242</v>
      </c>
      <c r="J1418" s="12">
        <v>46120.863749999997</v>
      </c>
      <c r="K1418" s="6" t="e" cm="1">
        <f t="array" ref="K1418">LOOKUP(2^15,SEARCH(Tabela2[Palavras-Chave],Boletim[[#This Row],[Objeto]],1),Tabela2[Palavras-Chave])</f>
        <v>#N/A</v>
      </c>
    </row>
    <row r="1419" spans="1:11" hidden="1" x14ac:dyDescent="0.3">
      <c r="A1419" s="5">
        <v>18804700</v>
      </c>
      <c r="B1419" s="6" t="s">
        <v>2243</v>
      </c>
      <c r="C1419" s="6" t="s">
        <v>2244</v>
      </c>
      <c r="D1419" s="8" t="s">
        <v>81</v>
      </c>
      <c r="E1419" s="6" t="s">
        <v>2245</v>
      </c>
      <c r="F1419" s="6" t="s">
        <v>85</v>
      </c>
      <c r="G1419" s="11">
        <v>46136.334027777775</v>
      </c>
      <c r="H1419" s="10" t="s">
        <v>2246</v>
      </c>
      <c r="I1419" s="6" t="s">
        <v>90</v>
      </c>
      <c r="J1419" s="12">
        <v>46120.869386574072</v>
      </c>
      <c r="K1419" s="6" t="e" cm="1">
        <f t="array" ref="K1419">LOOKUP(2^15,SEARCH(Tabela2[Palavras-Chave],Boletim[[#This Row],[Objeto]],1),Tabela2[Palavras-Chave])</f>
        <v>#N/A</v>
      </c>
    </row>
    <row r="1420" spans="1:11" hidden="1" x14ac:dyDescent="0.3">
      <c r="A1420" s="5">
        <v>18804692</v>
      </c>
      <c r="B1420" s="6" t="s">
        <v>3255</v>
      </c>
      <c r="C1420" s="6" t="s">
        <v>3256</v>
      </c>
      <c r="D1420" s="8" t="s">
        <v>81</v>
      </c>
      <c r="E1420" s="6" t="s">
        <v>406</v>
      </c>
      <c r="F1420" s="6" t="s">
        <v>85</v>
      </c>
      <c r="G1420" s="11">
        <v>46139.354166666664</v>
      </c>
      <c r="H1420" s="10" t="s">
        <v>3257</v>
      </c>
      <c r="I1420" s="6" t="s">
        <v>90</v>
      </c>
      <c r="J1420" s="12">
        <v>46120.869560185187</v>
      </c>
      <c r="K1420" s="6" t="e" cm="1">
        <f t="array" ref="K1420">LOOKUP(2^15,SEARCH(Tabela2[Palavras-Chave],Boletim[[#This Row],[Objeto]],1),Tabela2[Palavras-Chave])</f>
        <v>#N/A</v>
      </c>
    </row>
    <row r="1421" spans="1:11" hidden="1" x14ac:dyDescent="0.3">
      <c r="A1421" s="5">
        <v>18804764</v>
      </c>
      <c r="B1421" s="6" t="s">
        <v>2178</v>
      </c>
      <c r="C1421" s="6" t="s">
        <v>2179</v>
      </c>
      <c r="D1421" s="8" t="s">
        <v>81</v>
      </c>
      <c r="E1421" s="6" t="s">
        <v>117</v>
      </c>
      <c r="F1421" s="6" t="s">
        <v>85</v>
      </c>
      <c r="G1421" s="11">
        <v>46132.374305555553</v>
      </c>
      <c r="H1421" s="10" t="s">
        <v>2247</v>
      </c>
      <c r="I1421" s="6" t="s">
        <v>2248</v>
      </c>
      <c r="J1421" s="12">
        <v>46120.873136574075</v>
      </c>
      <c r="K1421" s="6" t="e" cm="1">
        <f t="array" ref="K1421">LOOKUP(2^15,SEARCH(Tabela2[Palavras-Chave],Boletim[[#This Row],[Objeto]],1),Tabela2[Palavras-Chave])</f>
        <v>#N/A</v>
      </c>
    </row>
    <row r="1422" spans="1:11" hidden="1" x14ac:dyDescent="0.3">
      <c r="A1422" s="5">
        <v>18804153</v>
      </c>
      <c r="B1422" s="6" t="s">
        <v>2249</v>
      </c>
      <c r="C1422" s="6" t="s">
        <v>2250</v>
      </c>
      <c r="D1422" s="8" t="s">
        <v>81</v>
      </c>
      <c r="E1422" s="6" t="s">
        <v>109</v>
      </c>
      <c r="F1422" s="6" t="s">
        <v>85</v>
      </c>
      <c r="G1422" s="11">
        <v>46129.375</v>
      </c>
      <c r="H1422" s="10" t="s">
        <v>2251</v>
      </c>
      <c r="I1422" s="6" t="s">
        <v>90</v>
      </c>
      <c r="J1422" s="12">
        <v>46120.885462962964</v>
      </c>
      <c r="K1422" s="6" t="e" cm="1">
        <f t="array" ref="K1422">LOOKUP(2^15,SEARCH(Tabela2[Palavras-Chave],Boletim[[#This Row],[Objeto]],1),Tabela2[Palavras-Chave])</f>
        <v>#N/A</v>
      </c>
    </row>
    <row r="1423" spans="1:11" hidden="1" x14ac:dyDescent="0.3">
      <c r="A1423" s="5">
        <v>18804235</v>
      </c>
      <c r="B1423" s="6" t="s">
        <v>2252</v>
      </c>
      <c r="C1423" s="6" t="s">
        <v>2253</v>
      </c>
      <c r="D1423" s="8" t="s">
        <v>93</v>
      </c>
      <c r="E1423" s="6" t="s">
        <v>107</v>
      </c>
      <c r="F1423" s="6" t="s">
        <v>85</v>
      </c>
      <c r="G1423" s="11" t="s">
        <v>56</v>
      </c>
      <c r="H1423" s="10" t="s">
        <v>2254</v>
      </c>
      <c r="I1423" s="6" t="s">
        <v>2255</v>
      </c>
      <c r="J1423" s="12">
        <v>46120.622673611113</v>
      </c>
      <c r="K1423" s="6" t="e" cm="1">
        <f t="array" ref="K1423">LOOKUP(2^15,SEARCH(Tabela2[Palavras-Chave],Boletim[[#This Row],[Objeto]],1),Tabela2[Palavras-Chave])</f>
        <v>#N/A</v>
      </c>
    </row>
    <row r="1424" spans="1:11" hidden="1" x14ac:dyDescent="0.3">
      <c r="A1424" s="5">
        <v>18805327</v>
      </c>
      <c r="B1424" s="6" t="s">
        <v>2256</v>
      </c>
      <c r="C1424" s="6" t="s">
        <v>2257</v>
      </c>
      <c r="D1424" s="8" t="s">
        <v>93</v>
      </c>
      <c r="E1424" s="6" t="s">
        <v>114</v>
      </c>
      <c r="F1424" s="6" t="s">
        <v>85</v>
      </c>
      <c r="G1424" s="11" t="s">
        <v>56</v>
      </c>
      <c r="H1424" s="10" t="s">
        <v>2258</v>
      </c>
      <c r="I1424" s="6" t="s">
        <v>2259</v>
      </c>
      <c r="J1424" s="12">
        <v>46120.726770833331</v>
      </c>
      <c r="K1424" s="6" t="e" cm="1">
        <f t="array" ref="K1424">LOOKUP(2^15,SEARCH(Tabela2[Palavras-Chave],Boletim[[#This Row],[Objeto]],1),Tabela2[Palavras-Chave])</f>
        <v>#N/A</v>
      </c>
    </row>
    <row r="1425" spans="1:11" hidden="1" x14ac:dyDescent="0.3">
      <c r="A1425" s="5">
        <v>18800102</v>
      </c>
      <c r="B1425" s="6" t="s">
        <v>2260</v>
      </c>
      <c r="C1425" s="6" t="s">
        <v>2261</v>
      </c>
      <c r="D1425" s="8" t="s">
        <v>82</v>
      </c>
      <c r="E1425" s="6" t="s">
        <v>1567</v>
      </c>
      <c r="F1425" s="6" t="s">
        <v>85</v>
      </c>
      <c r="G1425" s="11" t="s">
        <v>56</v>
      </c>
      <c r="H1425" s="10" t="s">
        <v>2262</v>
      </c>
      <c r="I1425" s="6" t="s">
        <v>2263</v>
      </c>
      <c r="J1425" s="12">
        <v>46120.388298611113</v>
      </c>
      <c r="K1425" s="6" t="e" cm="1">
        <f t="array" ref="K1425">LOOKUP(2^15,SEARCH(Tabela2[Palavras-Chave],Boletim[[#This Row],[Objeto]],1),Tabela2[Palavras-Chave])</f>
        <v>#N/A</v>
      </c>
    </row>
    <row r="1426" spans="1:11" hidden="1" x14ac:dyDescent="0.3">
      <c r="A1426" s="5">
        <v>18800025</v>
      </c>
      <c r="B1426" s="6" t="s">
        <v>1101</v>
      </c>
      <c r="C1426" s="6" t="s">
        <v>1102</v>
      </c>
      <c r="D1426" s="8" t="s">
        <v>82</v>
      </c>
      <c r="E1426" s="6" t="s">
        <v>134</v>
      </c>
      <c r="F1426" s="6" t="s">
        <v>85</v>
      </c>
      <c r="G1426" s="11" t="s">
        <v>56</v>
      </c>
      <c r="H1426" s="10" t="s">
        <v>2264</v>
      </c>
      <c r="I1426" s="6" t="s">
        <v>2265</v>
      </c>
      <c r="J1426" s="12">
        <v>46120.388958333337</v>
      </c>
      <c r="K1426" s="6" t="e" cm="1">
        <f t="array" ref="K1426">LOOKUP(2^15,SEARCH(Tabela2[Palavras-Chave],Boletim[[#This Row],[Objeto]],1),Tabela2[Palavras-Chave])</f>
        <v>#N/A</v>
      </c>
    </row>
    <row r="1427" spans="1:11" hidden="1" x14ac:dyDescent="0.3">
      <c r="A1427" s="5">
        <v>18793105</v>
      </c>
      <c r="B1427" s="6" t="s">
        <v>2266</v>
      </c>
      <c r="C1427" s="6" t="s">
        <v>2267</v>
      </c>
      <c r="D1427" s="8" t="s">
        <v>82</v>
      </c>
      <c r="E1427" s="6" t="s">
        <v>2268</v>
      </c>
      <c r="F1427" s="6" t="s">
        <v>85</v>
      </c>
      <c r="G1427" s="11" t="s">
        <v>56</v>
      </c>
      <c r="H1427" s="10" t="s">
        <v>2269</v>
      </c>
      <c r="I1427" s="6" t="s">
        <v>2270</v>
      </c>
      <c r="J1427" s="12">
        <v>46120.388981481483</v>
      </c>
      <c r="K1427" s="6" t="e" cm="1">
        <f t="array" ref="K1427">LOOKUP(2^15,SEARCH(Tabela2[Palavras-Chave],Boletim[[#This Row],[Objeto]],1),Tabela2[Palavras-Chave])</f>
        <v>#N/A</v>
      </c>
    </row>
    <row r="1428" spans="1:11" hidden="1" x14ac:dyDescent="0.3">
      <c r="A1428" s="5">
        <v>18802247</v>
      </c>
      <c r="B1428" s="6" t="s">
        <v>74</v>
      </c>
      <c r="C1428" s="6" t="s">
        <v>83</v>
      </c>
      <c r="D1428" s="8" t="s">
        <v>82</v>
      </c>
      <c r="E1428" s="6" t="s">
        <v>2981</v>
      </c>
      <c r="F1428" s="6" t="s">
        <v>85</v>
      </c>
      <c r="G1428" s="11" t="s">
        <v>56</v>
      </c>
      <c r="H1428" s="10" t="s">
        <v>2982</v>
      </c>
      <c r="I1428" s="6" t="s">
        <v>2983</v>
      </c>
      <c r="J1428" s="12">
        <v>46120.468136574076</v>
      </c>
      <c r="K1428" s="6" t="e" cm="1">
        <f t="array" ref="K1428">LOOKUP(2^15,SEARCH(Tabela2[Palavras-Chave],Boletim[[#This Row],[Objeto]],1),Tabela2[Palavras-Chave])</f>
        <v>#N/A</v>
      </c>
    </row>
    <row r="1429" spans="1:11" hidden="1" x14ac:dyDescent="0.3">
      <c r="A1429" s="5">
        <v>18783825</v>
      </c>
      <c r="B1429" s="6" t="s">
        <v>2271</v>
      </c>
      <c r="C1429" s="6" t="s">
        <v>348</v>
      </c>
      <c r="D1429" s="8" t="s">
        <v>82</v>
      </c>
      <c r="E1429" s="6" t="s">
        <v>146</v>
      </c>
      <c r="F1429" s="6" t="s">
        <v>85</v>
      </c>
      <c r="G1429" s="11" t="s">
        <v>56</v>
      </c>
      <c r="H1429" s="10" t="s">
        <v>2272</v>
      </c>
      <c r="I1429" s="6" t="s">
        <v>2273</v>
      </c>
      <c r="J1429" s="12">
        <v>46120.48196759259</v>
      </c>
      <c r="K1429" s="6" t="e" cm="1">
        <f t="array" ref="K1429">LOOKUP(2^15,SEARCH(Tabela2[Palavras-Chave],Boletim[[#This Row],[Objeto]],1),Tabela2[Palavras-Chave])</f>
        <v>#N/A</v>
      </c>
    </row>
    <row r="1430" spans="1:11" hidden="1" x14ac:dyDescent="0.3">
      <c r="A1430" s="5">
        <v>18802249</v>
      </c>
      <c r="B1430" s="6" t="s">
        <v>74</v>
      </c>
      <c r="C1430" s="6" t="s">
        <v>83</v>
      </c>
      <c r="D1430" s="8" t="s">
        <v>82</v>
      </c>
      <c r="E1430" s="6" t="s">
        <v>1923</v>
      </c>
      <c r="F1430" s="6" t="s">
        <v>85</v>
      </c>
      <c r="G1430" s="11" t="s">
        <v>56</v>
      </c>
      <c r="H1430" s="10" t="s">
        <v>1924</v>
      </c>
      <c r="I1430" s="6" t="s">
        <v>1925</v>
      </c>
      <c r="J1430" s="12">
        <v>46120.503541666665</v>
      </c>
      <c r="K1430" s="6" t="e" cm="1">
        <f t="array" ref="K1430">LOOKUP(2^15,SEARCH(Tabela2[Palavras-Chave],Boletim[[#This Row],[Objeto]],1),Tabela2[Palavras-Chave])</f>
        <v>#N/A</v>
      </c>
    </row>
    <row r="1431" spans="1:11" hidden="1" x14ac:dyDescent="0.3">
      <c r="A1431" s="5">
        <v>18802933</v>
      </c>
      <c r="B1431" s="6" t="s">
        <v>2274</v>
      </c>
      <c r="C1431" s="6" t="s">
        <v>2275</v>
      </c>
      <c r="D1431" s="8" t="s">
        <v>82</v>
      </c>
      <c r="E1431" s="6" t="s">
        <v>2276</v>
      </c>
      <c r="F1431" s="6" t="s">
        <v>85</v>
      </c>
      <c r="G1431" s="11" t="s">
        <v>56</v>
      </c>
      <c r="H1431" s="10" t="s">
        <v>2277</v>
      </c>
      <c r="I1431" s="6" t="s">
        <v>2278</v>
      </c>
      <c r="J1431" s="12">
        <v>46120.51048611111</v>
      </c>
      <c r="K1431" s="6" t="e" cm="1">
        <f t="array" ref="K1431">LOOKUP(2^15,SEARCH(Tabela2[Palavras-Chave],Boletim[[#This Row],[Objeto]],1),Tabela2[Palavras-Chave])</f>
        <v>#N/A</v>
      </c>
    </row>
    <row r="1432" spans="1:11" ht="144" x14ac:dyDescent="0.3">
      <c r="A1432" s="5">
        <v>18802462</v>
      </c>
      <c r="B1432" s="6" t="s">
        <v>2279</v>
      </c>
      <c r="C1432" s="6" t="s">
        <v>2280</v>
      </c>
      <c r="D1432" s="8" t="s">
        <v>82</v>
      </c>
      <c r="E1432" s="6" t="s">
        <v>205</v>
      </c>
      <c r="F1432" s="6" t="s">
        <v>85</v>
      </c>
      <c r="G1432" s="11" t="s">
        <v>56</v>
      </c>
      <c r="H1432" s="21" t="s">
        <v>2281</v>
      </c>
      <c r="I1432" s="6" t="s">
        <v>2282</v>
      </c>
      <c r="J1432" s="12">
        <v>46120.51425925926</v>
      </c>
      <c r="K1432" s="6" t="str" cm="1">
        <f t="array" ref="K1432">LOOKUP(2^15,SEARCH(Tabela2[Palavras-Chave],Boletim[[#This Row],[Objeto]],1),Tabela2[Palavras-Chave])</f>
        <v>ELEVADO</v>
      </c>
    </row>
    <row r="1433" spans="1:11" hidden="1" x14ac:dyDescent="0.3">
      <c r="A1433" s="5">
        <v>18801626</v>
      </c>
      <c r="B1433" s="6" t="s">
        <v>3258</v>
      </c>
      <c r="C1433" s="6" t="s">
        <v>3259</v>
      </c>
      <c r="D1433" s="8" t="s">
        <v>82</v>
      </c>
      <c r="E1433" s="6" t="s">
        <v>113</v>
      </c>
      <c r="F1433" s="6" t="s">
        <v>85</v>
      </c>
      <c r="G1433" s="11" t="s">
        <v>56</v>
      </c>
      <c r="H1433" s="10" t="s">
        <v>3260</v>
      </c>
      <c r="I1433" s="6" t="s">
        <v>3261</v>
      </c>
      <c r="J1433" s="12">
        <v>46120.517592592594</v>
      </c>
      <c r="K1433" s="6" t="e" cm="1">
        <f t="array" ref="K1433">LOOKUP(2^15,SEARCH(Tabela2[Palavras-Chave],Boletim[[#This Row],[Objeto]],1),Tabela2[Palavras-Chave])</f>
        <v>#N/A</v>
      </c>
    </row>
    <row r="1434" spans="1:11" hidden="1" x14ac:dyDescent="0.3">
      <c r="A1434" s="5">
        <v>18802149</v>
      </c>
      <c r="B1434" s="6" t="s">
        <v>2283</v>
      </c>
      <c r="C1434" s="6" t="s">
        <v>344</v>
      </c>
      <c r="D1434" s="8" t="s">
        <v>82</v>
      </c>
      <c r="E1434" s="6" t="s">
        <v>270</v>
      </c>
      <c r="F1434" s="6" t="s">
        <v>85</v>
      </c>
      <c r="G1434" s="11" t="s">
        <v>56</v>
      </c>
      <c r="H1434" s="10" t="s">
        <v>2284</v>
      </c>
      <c r="I1434" s="6" t="s">
        <v>2285</v>
      </c>
      <c r="J1434" s="12">
        <v>46120.518043981479</v>
      </c>
      <c r="K1434" s="6" t="e" cm="1">
        <f t="array" ref="K1434">LOOKUP(2^15,SEARCH(Tabela2[Palavras-Chave],Boletim[[#This Row],[Objeto]],1),Tabela2[Palavras-Chave])</f>
        <v>#N/A</v>
      </c>
    </row>
    <row r="1435" spans="1:11" hidden="1" x14ac:dyDescent="0.3">
      <c r="A1435" s="5">
        <v>18801479</v>
      </c>
      <c r="B1435" s="6" t="s">
        <v>2286</v>
      </c>
      <c r="C1435" s="6" t="s">
        <v>2287</v>
      </c>
      <c r="D1435" s="8" t="s">
        <v>82</v>
      </c>
      <c r="E1435" s="6" t="s">
        <v>2097</v>
      </c>
      <c r="F1435" s="6" t="s">
        <v>85</v>
      </c>
      <c r="G1435" s="11" t="s">
        <v>56</v>
      </c>
      <c r="H1435" s="10" t="s">
        <v>2288</v>
      </c>
      <c r="I1435" s="6" t="s">
        <v>2289</v>
      </c>
      <c r="J1435" s="12">
        <v>46120.522337962961</v>
      </c>
      <c r="K1435" s="6" t="e" cm="1">
        <f t="array" ref="K1435">LOOKUP(2^15,SEARCH(Tabela2[Palavras-Chave],Boletim[[#This Row],[Objeto]],1),Tabela2[Palavras-Chave])</f>
        <v>#N/A</v>
      </c>
    </row>
    <row r="1436" spans="1:11" hidden="1" x14ac:dyDescent="0.3">
      <c r="A1436" s="5">
        <v>18801722</v>
      </c>
      <c r="B1436" s="6" t="s">
        <v>2290</v>
      </c>
      <c r="C1436" s="6" t="s">
        <v>2291</v>
      </c>
      <c r="D1436" s="8" t="s">
        <v>82</v>
      </c>
      <c r="E1436" s="6" t="s">
        <v>135</v>
      </c>
      <c r="F1436" s="6" t="s">
        <v>85</v>
      </c>
      <c r="G1436" s="11">
        <v>46135.333333333336</v>
      </c>
      <c r="H1436" s="10" t="s">
        <v>2292</v>
      </c>
      <c r="I1436" s="6" t="s">
        <v>2293</v>
      </c>
      <c r="J1436" s="12">
        <v>46120.523564814815</v>
      </c>
      <c r="K1436" s="6" t="e" cm="1">
        <f t="array" ref="K1436">LOOKUP(2^15,SEARCH(Tabela2[Palavras-Chave],Boletim[[#This Row],[Objeto]],1),Tabela2[Palavras-Chave])</f>
        <v>#N/A</v>
      </c>
    </row>
    <row r="1437" spans="1:11" hidden="1" x14ac:dyDescent="0.3">
      <c r="A1437" s="5">
        <v>18802226</v>
      </c>
      <c r="B1437" s="6" t="s">
        <v>74</v>
      </c>
      <c r="C1437" s="6" t="s">
        <v>83</v>
      </c>
      <c r="D1437" s="8" t="s">
        <v>82</v>
      </c>
      <c r="E1437" s="6" t="s">
        <v>1926</v>
      </c>
      <c r="F1437" s="6" t="s">
        <v>85</v>
      </c>
      <c r="G1437" s="11" t="s">
        <v>56</v>
      </c>
      <c r="H1437" s="10" t="s">
        <v>353</v>
      </c>
      <c r="I1437" s="6" t="s">
        <v>1927</v>
      </c>
      <c r="J1437" s="12">
        <v>46120.527824074074</v>
      </c>
      <c r="K1437" s="6" t="e" cm="1">
        <f t="array" ref="K1437">LOOKUP(2^15,SEARCH(Tabela2[Palavras-Chave],Boletim[[#This Row],[Objeto]],1),Tabela2[Palavras-Chave])</f>
        <v>#N/A</v>
      </c>
    </row>
    <row r="1438" spans="1:11" hidden="1" x14ac:dyDescent="0.3">
      <c r="A1438" s="5">
        <v>18801598</v>
      </c>
      <c r="B1438" s="6" t="s">
        <v>2294</v>
      </c>
      <c r="C1438" s="6" t="s">
        <v>283</v>
      </c>
      <c r="D1438" s="8" t="s">
        <v>82</v>
      </c>
      <c r="E1438" s="6" t="s">
        <v>212</v>
      </c>
      <c r="F1438" s="6" t="s">
        <v>85</v>
      </c>
      <c r="G1438" s="11" t="s">
        <v>56</v>
      </c>
      <c r="H1438" s="10" t="s">
        <v>2295</v>
      </c>
      <c r="I1438" s="6" t="s">
        <v>2296</v>
      </c>
      <c r="J1438" s="12">
        <v>46120.526365740741</v>
      </c>
      <c r="K1438" s="6" t="e" cm="1">
        <f t="array" ref="K1438">LOOKUP(2^15,SEARCH(Tabela2[Palavras-Chave],Boletim[[#This Row],[Objeto]],1),Tabela2[Palavras-Chave])</f>
        <v>#N/A</v>
      </c>
    </row>
    <row r="1439" spans="1:11" hidden="1" x14ac:dyDescent="0.3">
      <c r="A1439" s="5">
        <v>18802233</v>
      </c>
      <c r="B1439" s="6" t="s">
        <v>74</v>
      </c>
      <c r="C1439" s="6" t="s">
        <v>83</v>
      </c>
      <c r="D1439" s="8" t="s">
        <v>82</v>
      </c>
      <c r="E1439" s="6" t="s">
        <v>1394</v>
      </c>
      <c r="F1439" s="6" t="s">
        <v>85</v>
      </c>
      <c r="G1439" s="11" t="s">
        <v>56</v>
      </c>
      <c r="H1439" s="10" t="s">
        <v>1395</v>
      </c>
      <c r="I1439" s="6" t="s">
        <v>1396</v>
      </c>
      <c r="J1439" s="12">
        <v>46120.529236111113</v>
      </c>
      <c r="K1439" s="6" t="e" cm="1">
        <f t="array" ref="K1439">LOOKUP(2^15,SEARCH(Tabela2[Palavras-Chave],Boletim[[#This Row],[Objeto]],1),Tabela2[Palavras-Chave])</f>
        <v>#N/A</v>
      </c>
    </row>
    <row r="1440" spans="1:11" hidden="1" x14ac:dyDescent="0.3">
      <c r="A1440" s="5">
        <v>18802240</v>
      </c>
      <c r="B1440" s="6" t="s">
        <v>74</v>
      </c>
      <c r="C1440" s="6" t="s">
        <v>83</v>
      </c>
      <c r="D1440" s="8" t="s">
        <v>82</v>
      </c>
      <c r="E1440" s="6" t="s">
        <v>1232</v>
      </c>
      <c r="F1440" s="6" t="s">
        <v>85</v>
      </c>
      <c r="G1440" s="11" t="s">
        <v>56</v>
      </c>
      <c r="H1440" s="10" t="s">
        <v>1233</v>
      </c>
      <c r="I1440" s="6" t="s">
        <v>1234</v>
      </c>
      <c r="J1440" s="12">
        <v>46120.529907407406</v>
      </c>
      <c r="K1440" s="6" t="e" cm="1">
        <f t="array" ref="K1440">LOOKUP(2^15,SEARCH(Tabela2[Palavras-Chave],Boletim[[#This Row],[Objeto]],1),Tabela2[Palavras-Chave])</f>
        <v>#N/A</v>
      </c>
    </row>
    <row r="1441" spans="1:11" hidden="1" x14ac:dyDescent="0.3">
      <c r="A1441" s="5">
        <v>18801586</v>
      </c>
      <c r="B1441" s="6" t="s">
        <v>2297</v>
      </c>
      <c r="C1441" s="6" t="s">
        <v>2298</v>
      </c>
      <c r="D1441" s="8" t="s">
        <v>82</v>
      </c>
      <c r="E1441" s="6" t="s">
        <v>2097</v>
      </c>
      <c r="F1441" s="6" t="s">
        <v>85</v>
      </c>
      <c r="G1441" s="11" t="s">
        <v>56</v>
      </c>
      <c r="H1441" s="10" t="s">
        <v>2299</v>
      </c>
      <c r="I1441" s="6" t="s">
        <v>2300</v>
      </c>
      <c r="J1441" s="12">
        <v>46120.555578703701</v>
      </c>
      <c r="K1441" s="6" t="e" cm="1">
        <f t="array" ref="K1441">LOOKUP(2^15,SEARCH(Tabela2[Palavras-Chave],Boletim[[#This Row],[Objeto]],1),Tabela2[Palavras-Chave])</f>
        <v>#N/A</v>
      </c>
    </row>
    <row r="1442" spans="1:11" hidden="1" x14ac:dyDescent="0.3">
      <c r="A1442" s="5">
        <v>18801553</v>
      </c>
      <c r="B1442" s="6" t="s">
        <v>2301</v>
      </c>
      <c r="C1442" s="6" t="s">
        <v>2302</v>
      </c>
      <c r="D1442" s="8" t="s">
        <v>82</v>
      </c>
      <c r="E1442" s="6" t="s">
        <v>121</v>
      </c>
      <c r="F1442" s="6" t="s">
        <v>85</v>
      </c>
      <c r="G1442" s="11" t="s">
        <v>56</v>
      </c>
      <c r="H1442" s="10" t="s">
        <v>2303</v>
      </c>
      <c r="I1442" s="6" t="s">
        <v>2304</v>
      </c>
      <c r="J1442" s="12">
        <v>46120.555844907409</v>
      </c>
      <c r="K1442" s="6" t="e" cm="1">
        <f t="array" ref="K1442">LOOKUP(2^15,SEARCH(Tabela2[Palavras-Chave],Boletim[[#This Row],[Objeto]],1),Tabela2[Palavras-Chave])</f>
        <v>#N/A</v>
      </c>
    </row>
    <row r="1443" spans="1:11" hidden="1" x14ac:dyDescent="0.3">
      <c r="A1443" s="5">
        <v>18802396</v>
      </c>
      <c r="B1443" s="6" t="s">
        <v>261</v>
      </c>
      <c r="C1443" s="6" t="s">
        <v>262</v>
      </c>
      <c r="D1443" s="8" t="s">
        <v>82</v>
      </c>
      <c r="E1443" s="6" t="s">
        <v>461</v>
      </c>
      <c r="F1443" s="6" t="s">
        <v>85</v>
      </c>
      <c r="G1443" s="11" t="s">
        <v>56</v>
      </c>
      <c r="H1443" s="10" t="s">
        <v>2305</v>
      </c>
      <c r="I1443" s="6" t="s">
        <v>2306</v>
      </c>
      <c r="J1443" s="12">
        <v>46120.556921296295</v>
      </c>
      <c r="K1443" s="6" t="e" cm="1">
        <f t="array" ref="K1443">LOOKUP(2^15,SEARCH(Tabela2[Palavras-Chave],Boletim[[#This Row],[Objeto]],1),Tabela2[Palavras-Chave])</f>
        <v>#N/A</v>
      </c>
    </row>
    <row r="1444" spans="1:11" hidden="1" x14ac:dyDescent="0.3">
      <c r="A1444" s="5">
        <v>18801605</v>
      </c>
      <c r="B1444" s="6" t="s">
        <v>2307</v>
      </c>
      <c r="C1444" s="6" t="s">
        <v>2308</v>
      </c>
      <c r="D1444" s="8" t="s">
        <v>82</v>
      </c>
      <c r="E1444" s="6" t="s">
        <v>114</v>
      </c>
      <c r="F1444" s="6" t="s">
        <v>85</v>
      </c>
      <c r="G1444" s="11" t="s">
        <v>56</v>
      </c>
      <c r="H1444" s="10" t="s">
        <v>2309</v>
      </c>
      <c r="I1444" s="6" t="s">
        <v>2310</v>
      </c>
      <c r="J1444" s="12">
        <v>46120.569652777776</v>
      </c>
      <c r="K1444" s="6" t="e" cm="1">
        <f t="array" ref="K1444">LOOKUP(2^15,SEARCH(Tabela2[Palavras-Chave],Boletim[[#This Row],[Objeto]],1),Tabela2[Palavras-Chave])</f>
        <v>#N/A</v>
      </c>
    </row>
    <row r="1445" spans="1:11" hidden="1" x14ac:dyDescent="0.3">
      <c r="A1445" s="5">
        <v>18803528</v>
      </c>
      <c r="B1445" s="6" t="s">
        <v>3262</v>
      </c>
      <c r="C1445" s="6" t="s">
        <v>3263</v>
      </c>
      <c r="D1445" s="8" t="s">
        <v>82</v>
      </c>
      <c r="E1445" s="6" t="s">
        <v>108</v>
      </c>
      <c r="F1445" s="6" t="s">
        <v>85</v>
      </c>
      <c r="G1445" s="11">
        <v>46129.416666666664</v>
      </c>
      <c r="H1445" s="10" t="s">
        <v>3264</v>
      </c>
      <c r="I1445" s="6" t="s">
        <v>3265</v>
      </c>
      <c r="J1445" s="12">
        <v>46120.572280092594</v>
      </c>
      <c r="K1445" s="6" t="e" cm="1">
        <f t="array" ref="K1445">LOOKUP(2^15,SEARCH(Tabela2[Palavras-Chave],Boletim[[#This Row],[Objeto]],1),Tabela2[Palavras-Chave])</f>
        <v>#N/A</v>
      </c>
    </row>
    <row r="1446" spans="1:11" ht="129.6" x14ac:dyDescent="0.3">
      <c r="A1446" s="5">
        <v>18802801</v>
      </c>
      <c r="B1446" s="6" t="s">
        <v>2311</v>
      </c>
      <c r="C1446" s="6" t="s">
        <v>1183</v>
      </c>
      <c r="D1446" s="8" t="s">
        <v>82</v>
      </c>
      <c r="E1446" s="6" t="s">
        <v>2312</v>
      </c>
      <c r="F1446" s="6" t="s">
        <v>85</v>
      </c>
      <c r="G1446" s="11" t="s">
        <v>56</v>
      </c>
      <c r="H1446" s="21" t="s">
        <v>2313</v>
      </c>
      <c r="I1446" s="6" t="s">
        <v>2314</v>
      </c>
      <c r="J1446" s="12">
        <v>46120.586655092593</v>
      </c>
      <c r="K1446" s="6" t="str" cm="1">
        <f t="array" ref="K1446">LOOKUP(2^15,SEARCH(Tabela2[Palavras-Chave],Boletim[[#This Row],[Objeto]],1),Tabela2[Palavras-Chave])</f>
        <v>INOX</v>
      </c>
    </row>
    <row r="1447" spans="1:11" hidden="1" x14ac:dyDescent="0.3">
      <c r="A1447" s="5">
        <v>18798054</v>
      </c>
      <c r="B1447" s="6" t="s">
        <v>2315</v>
      </c>
      <c r="C1447" s="6" t="s">
        <v>2316</v>
      </c>
      <c r="D1447" s="8" t="s">
        <v>82</v>
      </c>
      <c r="E1447" s="6" t="s">
        <v>124</v>
      </c>
      <c r="F1447" s="6" t="s">
        <v>85</v>
      </c>
      <c r="G1447" s="11" t="s">
        <v>56</v>
      </c>
      <c r="H1447" s="10" t="s">
        <v>2317</v>
      </c>
      <c r="I1447" s="6" t="s">
        <v>2318</v>
      </c>
      <c r="J1447" s="12">
        <v>46120.600254629629</v>
      </c>
      <c r="K1447" s="6" t="e" cm="1">
        <f t="array" ref="K1447">LOOKUP(2^15,SEARCH(Tabela2[Palavras-Chave],Boletim[[#This Row],[Objeto]],1),Tabela2[Palavras-Chave])</f>
        <v>#N/A</v>
      </c>
    </row>
    <row r="1448" spans="1:11" hidden="1" x14ac:dyDescent="0.3">
      <c r="A1448" s="5">
        <v>18803089</v>
      </c>
      <c r="B1448" s="6" t="s">
        <v>3266</v>
      </c>
      <c r="C1448" s="6" t="s">
        <v>3267</v>
      </c>
      <c r="D1448" s="8" t="s">
        <v>82</v>
      </c>
      <c r="E1448" s="6" t="s">
        <v>207</v>
      </c>
      <c r="F1448" s="6" t="s">
        <v>85</v>
      </c>
      <c r="G1448" s="11" t="s">
        <v>56</v>
      </c>
      <c r="H1448" s="10" t="s">
        <v>3268</v>
      </c>
      <c r="I1448" s="6" t="s">
        <v>3269</v>
      </c>
      <c r="J1448" s="12">
        <v>46120.606990740744</v>
      </c>
      <c r="K1448" s="6" t="e" cm="1">
        <f t="array" ref="K1448">LOOKUP(2^15,SEARCH(Tabela2[Palavras-Chave],Boletim[[#This Row],[Objeto]],1),Tabela2[Palavras-Chave])</f>
        <v>#N/A</v>
      </c>
    </row>
    <row r="1449" spans="1:11" hidden="1" x14ac:dyDescent="0.3">
      <c r="A1449" s="5">
        <v>18803893</v>
      </c>
      <c r="B1449" s="6" t="s">
        <v>2319</v>
      </c>
      <c r="C1449" s="6" t="s">
        <v>2320</v>
      </c>
      <c r="D1449" s="8" t="s">
        <v>82</v>
      </c>
      <c r="E1449" s="6" t="s">
        <v>142</v>
      </c>
      <c r="F1449" s="6" t="s">
        <v>85</v>
      </c>
      <c r="G1449" s="11" t="s">
        <v>56</v>
      </c>
      <c r="H1449" s="10" t="s">
        <v>2321</v>
      </c>
      <c r="I1449" s="6" t="s">
        <v>2322</v>
      </c>
      <c r="J1449" s="12">
        <v>46120.604594907411</v>
      </c>
      <c r="K1449" s="6" t="e" cm="1">
        <f t="array" ref="K1449">LOOKUP(2^15,SEARCH(Tabela2[Palavras-Chave],Boletim[[#This Row],[Objeto]],1),Tabela2[Palavras-Chave])</f>
        <v>#N/A</v>
      </c>
    </row>
    <row r="1450" spans="1:11" hidden="1" x14ac:dyDescent="0.3">
      <c r="A1450" s="5">
        <v>18802158</v>
      </c>
      <c r="B1450" s="6" t="s">
        <v>2323</v>
      </c>
      <c r="C1450" s="6" t="s">
        <v>2324</v>
      </c>
      <c r="D1450" s="8" t="s">
        <v>82</v>
      </c>
      <c r="E1450" s="6" t="s">
        <v>120</v>
      </c>
      <c r="F1450" s="6" t="s">
        <v>85</v>
      </c>
      <c r="G1450" s="11" t="s">
        <v>56</v>
      </c>
      <c r="H1450" s="10" t="s">
        <v>2325</v>
      </c>
      <c r="I1450" s="6" t="s">
        <v>2326</v>
      </c>
      <c r="J1450" s="12">
        <v>46120.60491898148</v>
      </c>
      <c r="K1450" s="6" t="e" cm="1">
        <f t="array" ref="K1450">LOOKUP(2^15,SEARCH(Tabela2[Palavras-Chave],Boletim[[#This Row],[Objeto]],1),Tabela2[Palavras-Chave])</f>
        <v>#N/A</v>
      </c>
    </row>
    <row r="1451" spans="1:11" hidden="1" x14ac:dyDescent="0.3">
      <c r="A1451" s="5">
        <v>18802912</v>
      </c>
      <c r="B1451" s="6" t="s">
        <v>2327</v>
      </c>
      <c r="C1451" s="6" t="s">
        <v>2328</v>
      </c>
      <c r="D1451" s="8" t="s">
        <v>82</v>
      </c>
      <c r="E1451" s="6" t="s">
        <v>222</v>
      </c>
      <c r="F1451" s="6" t="s">
        <v>85</v>
      </c>
      <c r="G1451" s="11" t="s">
        <v>56</v>
      </c>
      <c r="H1451" s="10" t="s">
        <v>2329</v>
      </c>
      <c r="I1451" s="6" t="s">
        <v>2330</v>
      </c>
      <c r="J1451" s="12">
        <v>46120.605520833335</v>
      </c>
      <c r="K1451" s="6" t="e" cm="1">
        <f t="array" ref="K1451">LOOKUP(2^15,SEARCH(Tabela2[Palavras-Chave],Boletim[[#This Row],[Objeto]],1),Tabela2[Palavras-Chave])</f>
        <v>#N/A</v>
      </c>
    </row>
    <row r="1452" spans="1:11" hidden="1" x14ac:dyDescent="0.3">
      <c r="A1452" s="5">
        <v>18801179</v>
      </c>
      <c r="B1452" s="6" t="s">
        <v>3270</v>
      </c>
      <c r="C1452" s="6" t="s">
        <v>3271</v>
      </c>
      <c r="D1452" s="8" t="s">
        <v>82</v>
      </c>
      <c r="E1452" s="6" t="s">
        <v>205</v>
      </c>
      <c r="F1452" s="6" t="s">
        <v>85</v>
      </c>
      <c r="G1452" s="11" t="s">
        <v>56</v>
      </c>
      <c r="H1452" s="10" t="s">
        <v>3272</v>
      </c>
      <c r="I1452" s="6" t="s">
        <v>3273</v>
      </c>
      <c r="J1452" s="12">
        <v>46120.618113425924</v>
      </c>
      <c r="K1452" s="6" t="e" cm="1">
        <f t="array" ref="K1452">LOOKUP(2^15,SEARCH(Tabela2[Palavras-Chave],Boletim[[#This Row],[Objeto]],1),Tabela2[Palavras-Chave])</f>
        <v>#N/A</v>
      </c>
    </row>
    <row r="1453" spans="1:11" hidden="1" x14ac:dyDescent="0.3">
      <c r="A1453" s="5">
        <v>18801550</v>
      </c>
      <c r="B1453" s="6" t="s">
        <v>2331</v>
      </c>
      <c r="C1453" s="6" t="s">
        <v>2287</v>
      </c>
      <c r="D1453" s="8" t="s">
        <v>82</v>
      </c>
      <c r="E1453" s="6" t="s">
        <v>1849</v>
      </c>
      <c r="F1453" s="6" t="s">
        <v>85</v>
      </c>
      <c r="G1453" s="11">
        <v>46146.375</v>
      </c>
      <c r="H1453" s="10" t="s">
        <v>2332</v>
      </c>
      <c r="I1453" s="6" t="s">
        <v>90</v>
      </c>
      <c r="J1453" s="12">
        <v>46120.625081018516</v>
      </c>
      <c r="K1453" s="6" t="e" cm="1">
        <f t="array" ref="K1453">LOOKUP(2^15,SEARCH(Tabela2[Palavras-Chave],Boletim[[#This Row],[Objeto]],1),Tabela2[Palavras-Chave])</f>
        <v>#N/A</v>
      </c>
    </row>
    <row r="1454" spans="1:11" hidden="1" x14ac:dyDescent="0.3">
      <c r="A1454" s="5">
        <v>18801718</v>
      </c>
      <c r="B1454" s="6" t="s">
        <v>2333</v>
      </c>
      <c r="C1454" s="6" t="s">
        <v>2334</v>
      </c>
      <c r="D1454" s="8" t="s">
        <v>82</v>
      </c>
      <c r="E1454" s="6" t="s">
        <v>2335</v>
      </c>
      <c r="F1454" s="6" t="s">
        <v>85</v>
      </c>
      <c r="G1454" s="11">
        <v>46134.354166666664</v>
      </c>
      <c r="H1454" s="10" t="s">
        <v>2336</v>
      </c>
      <c r="I1454" s="6" t="s">
        <v>2337</v>
      </c>
      <c r="J1454" s="12">
        <v>46120.639479166668</v>
      </c>
      <c r="K1454" s="6" t="e" cm="1">
        <f t="array" ref="K1454">LOOKUP(2^15,SEARCH(Tabela2[Palavras-Chave],Boletim[[#This Row],[Objeto]],1),Tabela2[Palavras-Chave])</f>
        <v>#N/A</v>
      </c>
    </row>
    <row r="1455" spans="1:11" hidden="1" x14ac:dyDescent="0.3">
      <c r="A1455" s="5">
        <v>18803839</v>
      </c>
      <c r="B1455" s="6" t="s">
        <v>2338</v>
      </c>
      <c r="C1455" s="6" t="s">
        <v>2339</v>
      </c>
      <c r="D1455" s="8" t="s">
        <v>82</v>
      </c>
      <c r="E1455" s="6" t="s">
        <v>274</v>
      </c>
      <c r="F1455" s="6" t="s">
        <v>85</v>
      </c>
      <c r="G1455" s="11" t="s">
        <v>56</v>
      </c>
      <c r="H1455" s="10" t="s">
        <v>2340</v>
      </c>
      <c r="I1455" s="6" t="s">
        <v>2341</v>
      </c>
      <c r="J1455" s="12">
        <v>46120.640405092592</v>
      </c>
      <c r="K1455" s="6" t="e" cm="1">
        <f t="array" ref="K1455">LOOKUP(2^15,SEARCH(Tabela2[Palavras-Chave],Boletim[[#This Row],[Objeto]],1),Tabela2[Palavras-Chave])</f>
        <v>#N/A</v>
      </c>
    </row>
    <row r="1456" spans="1:11" hidden="1" x14ac:dyDescent="0.3">
      <c r="A1456" s="5">
        <v>18802517</v>
      </c>
      <c r="B1456" s="6" t="s">
        <v>3274</v>
      </c>
      <c r="C1456" s="6" t="s">
        <v>3275</v>
      </c>
      <c r="D1456" s="8" t="s">
        <v>82</v>
      </c>
      <c r="E1456" s="6" t="s">
        <v>107</v>
      </c>
      <c r="F1456" s="6" t="s">
        <v>85</v>
      </c>
      <c r="G1456" s="11" t="s">
        <v>56</v>
      </c>
      <c r="H1456" s="10" t="s">
        <v>3276</v>
      </c>
      <c r="I1456" s="6" t="s">
        <v>3277</v>
      </c>
      <c r="J1456" s="12">
        <v>46120.642106481479</v>
      </c>
      <c r="K1456" s="6" t="e" cm="1">
        <f t="array" ref="K1456">LOOKUP(2^15,SEARCH(Tabela2[Palavras-Chave],Boletim[[#This Row],[Objeto]],1),Tabela2[Palavras-Chave])</f>
        <v>#N/A</v>
      </c>
    </row>
    <row r="1457" spans="1:11" hidden="1" x14ac:dyDescent="0.3">
      <c r="A1457" s="5">
        <v>18804332</v>
      </c>
      <c r="B1457" s="6" t="s">
        <v>3278</v>
      </c>
      <c r="C1457" s="6" t="s">
        <v>83</v>
      </c>
      <c r="D1457" s="8" t="s">
        <v>82</v>
      </c>
      <c r="E1457" s="6" t="s">
        <v>674</v>
      </c>
      <c r="F1457" s="6" t="s">
        <v>85</v>
      </c>
      <c r="G1457" s="11">
        <v>46148.4375</v>
      </c>
      <c r="H1457" s="10" t="s">
        <v>3279</v>
      </c>
      <c r="I1457" s="6" t="s">
        <v>3280</v>
      </c>
      <c r="J1457" s="12">
        <v>46120.644861111112</v>
      </c>
      <c r="K1457" s="6" t="e" cm="1">
        <f t="array" ref="K1457">LOOKUP(2^15,SEARCH(Tabela2[Palavras-Chave],Boletim[[#This Row],[Objeto]],1),Tabela2[Palavras-Chave])</f>
        <v>#N/A</v>
      </c>
    </row>
    <row r="1458" spans="1:11" hidden="1" x14ac:dyDescent="0.3">
      <c r="A1458" s="5">
        <v>18801478</v>
      </c>
      <c r="B1458" s="6" t="s">
        <v>3281</v>
      </c>
      <c r="C1458" s="6" t="s">
        <v>3282</v>
      </c>
      <c r="D1458" s="8" t="s">
        <v>82</v>
      </c>
      <c r="E1458" s="6" t="s">
        <v>3283</v>
      </c>
      <c r="F1458" s="6" t="s">
        <v>85</v>
      </c>
      <c r="G1458" s="11" t="s">
        <v>56</v>
      </c>
      <c r="H1458" s="10" t="s">
        <v>3284</v>
      </c>
      <c r="I1458" s="6" t="s">
        <v>3285</v>
      </c>
      <c r="J1458" s="12">
        <v>46120.664606481485</v>
      </c>
      <c r="K1458" s="6" t="e" cm="1">
        <f t="array" ref="K1458">LOOKUP(2^15,SEARCH(Tabela2[Palavras-Chave],Boletim[[#This Row],[Objeto]],1),Tabela2[Palavras-Chave])</f>
        <v>#N/A</v>
      </c>
    </row>
    <row r="1459" spans="1:11" hidden="1" x14ac:dyDescent="0.3">
      <c r="A1459" s="5">
        <v>18802488</v>
      </c>
      <c r="B1459" s="6" t="s">
        <v>229</v>
      </c>
      <c r="C1459" s="6" t="s">
        <v>228</v>
      </c>
      <c r="D1459" s="8" t="s">
        <v>82</v>
      </c>
      <c r="E1459" s="6" t="s">
        <v>274</v>
      </c>
      <c r="F1459" s="6" t="s">
        <v>85</v>
      </c>
      <c r="G1459" s="11">
        <v>46136.375694444447</v>
      </c>
      <c r="H1459" s="10" t="s">
        <v>2342</v>
      </c>
      <c r="I1459" s="6" t="s">
        <v>2343</v>
      </c>
      <c r="J1459" s="12">
        <v>46120.690335648149</v>
      </c>
      <c r="K1459" s="6" t="e" cm="1">
        <f t="array" ref="K1459">LOOKUP(2^15,SEARCH(Tabela2[Palavras-Chave],Boletim[[#This Row],[Objeto]],1),Tabela2[Palavras-Chave])</f>
        <v>#N/A</v>
      </c>
    </row>
    <row r="1460" spans="1:11" hidden="1" x14ac:dyDescent="0.3">
      <c r="A1460" s="5">
        <v>18801719</v>
      </c>
      <c r="B1460" s="6" t="s">
        <v>2344</v>
      </c>
      <c r="C1460" s="6" t="s">
        <v>2345</v>
      </c>
      <c r="D1460" s="8" t="s">
        <v>82</v>
      </c>
      <c r="E1460" s="6" t="s">
        <v>113</v>
      </c>
      <c r="F1460" s="6" t="s">
        <v>85</v>
      </c>
      <c r="G1460" s="11">
        <v>46139.395833333336</v>
      </c>
      <c r="H1460" s="10" t="s">
        <v>2346</v>
      </c>
      <c r="I1460" s="6" t="s">
        <v>2347</v>
      </c>
      <c r="J1460" s="12">
        <v>46120.811840277776</v>
      </c>
      <c r="K1460" s="6" t="e" cm="1">
        <f t="array" ref="K1460">LOOKUP(2^15,SEARCH(Tabela2[Palavras-Chave],Boletim[[#This Row],[Objeto]],1),Tabela2[Palavras-Chave])</f>
        <v>#N/A</v>
      </c>
    </row>
    <row r="1461" spans="1:11" hidden="1" x14ac:dyDescent="0.3">
      <c r="A1461" s="5">
        <v>18804941</v>
      </c>
      <c r="B1461" s="6" t="s">
        <v>3286</v>
      </c>
      <c r="C1461" s="6" t="s">
        <v>3287</v>
      </c>
      <c r="D1461" s="8" t="s">
        <v>82</v>
      </c>
      <c r="E1461" s="6" t="s">
        <v>188</v>
      </c>
      <c r="F1461" s="6" t="s">
        <v>85</v>
      </c>
      <c r="G1461" s="11" t="s">
        <v>56</v>
      </c>
      <c r="H1461" s="10" t="s">
        <v>3288</v>
      </c>
      <c r="I1461" s="6" t="s">
        <v>3289</v>
      </c>
      <c r="J1461" s="12">
        <v>46120.705937500003</v>
      </c>
      <c r="K1461" s="6" t="e" cm="1">
        <f t="array" ref="K1461">LOOKUP(2^15,SEARCH(Tabela2[Palavras-Chave],Boletim[[#This Row],[Objeto]],1),Tabela2[Palavras-Chave])</f>
        <v>#N/A</v>
      </c>
    </row>
    <row r="1462" spans="1:11" hidden="1" x14ac:dyDescent="0.3">
      <c r="A1462" s="5">
        <v>18796341</v>
      </c>
      <c r="B1462" s="6" t="s">
        <v>2348</v>
      </c>
      <c r="C1462" s="6" t="s">
        <v>2349</v>
      </c>
      <c r="D1462" s="8" t="s">
        <v>82</v>
      </c>
      <c r="E1462" s="6" t="s">
        <v>122</v>
      </c>
      <c r="F1462" s="6" t="s">
        <v>85</v>
      </c>
      <c r="G1462" s="11" t="s">
        <v>56</v>
      </c>
      <c r="H1462" s="10" t="s">
        <v>2350</v>
      </c>
      <c r="I1462" s="6" t="s">
        <v>2351</v>
      </c>
      <c r="J1462" s="12">
        <v>46120.721574074072</v>
      </c>
      <c r="K1462" s="6" t="e" cm="1">
        <f t="array" ref="K1462">LOOKUP(2^15,SEARCH(Tabela2[Palavras-Chave],Boletim[[#This Row],[Objeto]],1),Tabela2[Palavras-Chave])</f>
        <v>#N/A</v>
      </c>
    </row>
    <row r="1463" spans="1:11" hidden="1" x14ac:dyDescent="0.3">
      <c r="A1463" s="5">
        <v>18804870</v>
      </c>
      <c r="B1463" s="6" t="s">
        <v>3290</v>
      </c>
      <c r="C1463" s="6" t="s">
        <v>3291</v>
      </c>
      <c r="D1463" s="8" t="s">
        <v>82</v>
      </c>
      <c r="E1463" s="6" t="s">
        <v>108</v>
      </c>
      <c r="F1463" s="6" t="s">
        <v>85</v>
      </c>
      <c r="G1463" s="11">
        <v>46136.375</v>
      </c>
      <c r="H1463" s="10" t="s">
        <v>3292</v>
      </c>
      <c r="I1463" s="6" t="s">
        <v>3293</v>
      </c>
      <c r="J1463" s="12">
        <v>46120.726967592593</v>
      </c>
      <c r="K1463" s="6" t="e" cm="1">
        <f t="array" ref="K1463">LOOKUP(2^15,SEARCH(Tabela2[Palavras-Chave],Boletim[[#This Row],[Objeto]],1),Tabela2[Palavras-Chave])</f>
        <v>#N/A</v>
      </c>
    </row>
    <row r="1464" spans="1:11" hidden="1" x14ac:dyDescent="0.3">
      <c r="A1464" s="5">
        <v>18805467</v>
      </c>
      <c r="B1464" s="6" t="s">
        <v>3294</v>
      </c>
      <c r="C1464" s="6" t="s">
        <v>3295</v>
      </c>
      <c r="D1464" s="8" t="s">
        <v>82</v>
      </c>
      <c r="E1464" s="6" t="s">
        <v>1222</v>
      </c>
      <c r="F1464" s="6" t="s">
        <v>85</v>
      </c>
      <c r="G1464" s="11">
        <v>46140.375</v>
      </c>
      <c r="H1464" s="10" t="s">
        <v>3296</v>
      </c>
      <c r="I1464" s="6" t="s">
        <v>3297</v>
      </c>
      <c r="J1464" s="12">
        <v>46120.727777777778</v>
      </c>
      <c r="K1464" s="6" t="e" cm="1">
        <f t="array" ref="K1464">LOOKUP(2^15,SEARCH(Tabela2[Palavras-Chave],Boletim[[#This Row],[Objeto]],1),Tabela2[Palavras-Chave])</f>
        <v>#N/A</v>
      </c>
    </row>
    <row r="1465" spans="1:11" hidden="1" x14ac:dyDescent="0.3">
      <c r="A1465" s="5">
        <v>18802985</v>
      </c>
      <c r="B1465" s="6" t="s">
        <v>2352</v>
      </c>
      <c r="C1465" s="6" t="s">
        <v>2353</v>
      </c>
      <c r="D1465" s="8" t="s">
        <v>82</v>
      </c>
      <c r="E1465" s="6" t="s">
        <v>184</v>
      </c>
      <c r="F1465" s="6" t="s">
        <v>85</v>
      </c>
      <c r="G1465" s="11" t="s">
        <v>56</v>
      </c>
      <c r="H1465" s="10" t="s">
        <v>2354</v>
      </c>
      <c r="I1465" s="6" t="s">
        <v>2355</v>
      </c>
      <c r="J1465" s="12">
        <v>46120.727812500001</v>
      </c>
      <c r="K1465" s="6" t="e" cm="1">
        <f t="array" ref="K1465">LOOKUP(2^15,SEARCH(Tabela2[Palavras-Chave],Boletim[[#This Row],[Objeto]],1),Tabela2[Palavras-Chave])</f>
        <v>#N/A</v>
      </c>
    </row>
    <row r="1466" spans="1:11" hidden="1" x14ac:dyDescent="0.3">
      <c r="A1466" s="5">
        <v>18804773</v>
      </c>
      <c r="B1466" s="6" t="s">
        <v>409</v>
      </c>
      <c r="C1466" s="6" t="s">
        <v>410</v>
      </c>
      <c r="D1466" s="8" t="s">
        <v>82</v>
      </c>
      <c r="E1466" s="6" t="s">
        <v>198</v>
      </c>
      <c r="F1466" s="6" t="s">
        <v>85</v>
      </c>
      <c r="G1466" s="11">
        <v>46126.374305555553</v>
      </c>
      <c r="H1466" s="10" t="s">
        <v>2356</v>
      </c>
      <c r="I1466" s="6" t="s">
        <v>2357</v>
      </c>
      <c r="J1466" s="12">
        <v>46120.784062500003</v>
      </c>
      <c r="K1466" s="6" t="e" cm="1">
        <f t="array" ref="K1466">LOOKUP(2^15,SEARCH(Tabela2[Palavras-Chave],Boletim[[#This Row],[Objeto]],1),Tabela2[Palavras-Chave])</f>
        <v>#N/A</v>
      </c>
    </row>
    <row r="1467" spans="1:11" hidden="1" x14ac:dyDescent="0.3">
      <c r="A1467" s="5">
        <v>18804733</v>
      </c>
      <c r="B1467" s="6" t="s">
        <v>411</v>
      </c>
      <c r="C1467" s="6" t="s">
        <v>412</v>
      </c>
      <c r="D1467" s="8" t="s">
        <v>82</v>
      </c>
      <c r="E1467" s="6" t="s">
        <v>2358</v>
      </c>
      <c r="F1467" s="6" t="s">
        <v>85</v>
      </c>
      <c r="G1467" s="11">
        <v>46147.395833333336</v>
      </c>
      <c r="H1467" s="10" t="s">
        <v>2359</v>
      </c>
      <c r="I1467" s="6" t="s">
        <v>2360</v>
      </c>
      <c r="J1467" s="12">
        <v>46120.731087962966</v>
      </c>
      <c r="K1467" s="6" t="e" cm="1">
        <f t="array" ref="K1467">LOOKUP(2^15,SEARCH(Tabela2[Palavras-Chave],Boletim[[#This Row],[Objeto]],1),Tabela2[Palavras-Chave])</f>
        <v>#N/A</v>
      </c>
    </row>
    <row r="1468" spans="1:11" hidden="1" x14ac:dyDescent="0.3">
      <c r="A1468" s="5">
        <v>18804621</v>
      </c>
      <c r="B1468" s="6" t="s">
        <v>289</v>
      </c>
      <c r="C1468" s="6" t="s">
        <v>164</v>
      </c>
      <c r="D1468" s="8" t="s">
        <v>82</v>
      </c>
      <c r="E1468" s="6" t="s">
        <v>2361</v>
      </c>
      <c r="F1468" s="6" t="s">
        <v>85</v>
      </c>
      <c r="G1468" s="11">
        <v>46136.333333333336</v>
      </c>
      <c r="H1468" s="10" t="s">
        <v>2362</v>
      </c>
      <c r="I1468" s="6" t="s">
        <v>2363</v>
      </c>
      <c r="J1468" s="12">
        <v>46120.73228009259</v>
      </c>
      <c r="K1468" s="6" t="e" cm="1">
        <f t="array" ref="K1468">LOOKUP(2^15,SEARCH(Tabela2[Palavras-Chave],Boletim[[#This Row],[Objeto]],1),Tabela2[Palavras-Chave])</f>
        <v>#N/A</v>
      </c>
    </row>
    <row r="1469" spans="1:11" hidden="1" x14ac:dyDescent="0.3">
      <c r="A1469" s="5">
        <v>18804686</v>
      </c>
      <c r="B1469" s="6" t="s">
        <v>289</v>
      </c>
      <c r="C1469" s="6" t="s">
        <v>164</v>
      </c>
      <c r="D1469" s="8" t="s">
        <v>82</v>
      </c>
      <c r="E1469" s="6" t="s">
        <v>386</v>
      </c>
      <c r="F1469" s="6" t="s">
        <v>85</v>
      </c>
      <c r="G1469" s="11">
        <v>46134.333333333336</v>
      </c>
      <c r="H1469" s="10" t="s">
        <v>3298</v>
      </c>
      <c r="I1469" s="6" t="s">
        <v>3299</v>
      </c>
      <c r="J1469" s="12">
        <v>46120.73232638889</v>
      </c>
      <c r="K1469" s="6" t="e" cm="1">
        <f t="array" ref="K1469">LOOKUP(2^15,SEARCH(Tabela2[Palavras-Chave],Boletim[[#This Row],[Objeto]],1),Tabela2[Palavras-Chave])</f>
        <v>#N/A</v>
      </c>
    </row>
    <row r="1470" spans="1:11" hidden="1" x14ac:dyDescent="0.3">
      <c r="A1470" s="5">
        <v>18804729</v>
      </c>
      <c r="B1470" s="6" t="s">
        <v>411</v>
      </c>
      <c r="C1470" s="6" t="s">
        <v>412</v>
      </c>
      <c r="D1470" s="8" t="s">
        <v>82</v>
      </c>
      <c r="E1470" s="6" t="s">
        <v>2364</v>
      </c>
      <c r="F1470" s="6" t="s">
        <v>85</v>
      </c>
      <c r="G1470" s="11">
        <v>46148.604166666664</v>
      </c>
      <c r="H1470" s="10" t="s">
        <v>2365</v>
      </c>
      <c r="I1470" s="6" t="s">
        <v>2366</v>
      </c>
      <c r="J1470" s="12">
        <v>46120.732453703706</v>
      </c>
      <c r="K1470" s="6" t="e" cm="1">
        <f t="array" ref="K1470">LOOKUP(2^15,SEARCH(Tabela2[Palavras-Chave],Boletim[[#This Row],[Objeto]],1),Tabela2[Palavras-Chave])</f>
        <v>#N/A</v>
      </c>
    </row>
    <row r="1471" spans="1:11" hidden="1" x14ac:dyDescent="0.3">
      <c r="A1471" s="5">
        <v>18804195</v>
      </c>
      <c r="B1471" s="6" t="s">
        <v>2367</v>
      </c>
      <c r="C1471" s="6" t="s">
        <v>2368</v>
      </c>
      <c r="D1471" s="8" t="s">
        <v>82</v>
      </c>
      <c r="E1471" s="6" t="s">
        <v>106</v>
      </c>
      <c r="F1471" s="6" t="s">
        <v>85</v>
      </c>
      <c r="G1471" s="11" t="s">
        <v>56</v>
      </c>
      <c r="H1471" s="10" t="s">
        <v>2369</v>
      </c>
      <c r="I1471" s="6" t="s">
        <v>2370</v>
      </c>
      <c r="J1471" s="12">
        <v>46120.735300925924</v>
      </c>
      <c r="K1471" s="6" t="e" cm="1">
        <f t="array" ref="K1471">LOOKUP(2^15,SEARCH(Tabela2[Palavras-Chave],Boletim[[#This Row],[Objeto]],1),Tabela2[Palavras-Chave])</f>
        <v>#N/A</v>
      </c>
    </row>
    <row r="1472" spans="1:11" hidden="1" x14ac:dyDescent="0.3">
      <c r="A1472" s="5">
        <v>18801487</v>
      </c>
      <c r="B1472" s="6" t="s">
        <v>2286</v>
      </c>
      <c r="C1472" s="6" t="s">
        <v>2287</v>
      </c>
      <c r="D1472" s="8" t="s">
        <v>82</v>
      </c>
      <c r="E1472" s="6" t="s">
        <v>2268</v>
      </c>
      <c r="F1472" s="6" t="s">
        <v>85</v>
      </c>
      <c r="G1472" s="11" t="s">
        <v>56</v>
      </c>
      <c r="H1472" s="10" t="s">
        <v>2371</v>
      </c>
      <c r="I1472" s="6" t="s">
        <v>2372</v>
      </c>
      <c r="J1472" s="12">
        <v>46120.736250000002</v>
      </c>
      <c r="K1472" s="6" t="e" cm="1">
        <f t="array" ref="K1472">LOOKUP(2^15,SEARCH(Tabela2[Palavras-Chave],Boletim[[#This Row],[Objeto]],1),Tabela2[Palavras-Chave])</f>
        <v>#N/A</v>
      </c>
    </row>
    <row r="1473" spans="1:11" hidden="1" x14ac:dyDescent="0.3">
      <c r="A1473" s="5">
        <v>18805488</v>
      </c>
      <c r="B1473" s="6" t="s">
        <v>2373</v>
      </c>
      <c r="C1473" s="6" t="s">
        <v>83</v>
      </c>
      <c r="D1473" s="8" t="s">
        <v>82</v>
      </c>
      <c r="E1473" s="6" t="s">
        <v>2374</v>
      </c>
      <c r="F1473" s="6" t="s">
        <v>85</v>
      </c>
      <c r="G1473" s="11">
        <v>46134.395833333336</v>
      </c>
      <c r="H1473" s="10" t="s">
        <v>2375</v>
      </c>
      <c r="I1473" s="6" t="s">
        <v>2376</v>
      </c>
      <c r="J1473" s="12">
        <v>46120.737893518519</v>
      </c>
      <c r="K1473" s="6" t="e" cm="1">
        <f t="array" ref="K1473">LOOKUP(2^15,SEARCH(Tabela2[Palavras-Chave],Boletim[[#This Row],[Objeto]],1),Tabela2[Palavras-Chave])</f>
        <v>#N/A</v>
      </c>
    </row>
    <row r="1474" spans="1:11" hidden="1" x14ac:dyDescent="0.3">
      <c r="A1474" s="5">
        <v>18805400</v>
      </c>
      <c r="B1474" s="6" t="s">
        <v>2377</v>
      </c>
      <c r="C1474" s="6" t="s">
        <v>2378</v>
      </c>
      <c r="D1474" s="8" t="s">
        <v>82</v>
      </c>
      <c r="E1474" s="6" t="s">
        <v>1849</v>
      </c>
      <c r="F1474" s="6" t="s">
        <v>85</v>
      </c>
      <c r="G1474" s="11" t="s">
        <v>56</v>
      </c>
      <c r="H1474" s="10" t="s">
        <v>2379</v>
      </c>
      <c r="I1474" s="6" t="s">
        <v>2380</v>
      </c>
      <c r="J1474" s="12">
        <v>46120.737974537034</v>
      </c>
      <c r="K1474" s="6" t="e" cm="1">
        <f t="array" ref="K1474">LOOKUP(2^15,SEARCH(Tabela2[Palavras-Chave],Boletim[[#This Row],[Objeto]],1),Tabela2[Palavras-Chave])</f>
        <v>#N/A</v>
      </c>
    </row>
    <row r="1475" spans="1:11" hidden="1" x14ac:dyDescent="0.3">
      <c r="A1475" s="5">
        <v>18805610</v>
      </c>
      <c r="B1475" s="6" t="s">
        <v>1157</v>
      </c>
      <c r="C1475" s="6" t="s">
        <v>1110</v>
      </c>
      <c r="D1475" s="8" t="s">
        <v>82</v>
      </c>
      <c r="E1475" s="6" t="s">
        <v>1222</v>
      </c>
      <c r="F1475" s="6" t="s">
        <v>85</v>
      </c>
      <c r="G1475" s="11" t="s">
        <v>56</v>
      </c>
      <c r="H1475" s="10" t="s">
        <v>2381</v>
      </c>
      <c r="I1475" s="6" t="s">
        <v>2382</v>
      </c>
      <c r="J1475" s="12">
        <v>46120.745740740742</v>
      </c>
      <c r="K1475" s="6" t="e" cm="1">
        <f t="array" ref="K1475">LOOKUP(2^15,SEARCH(Tabela2[Palavras-Chave],Boletim[[#This Row],[Objeto]],1),Tabela2[Palavras-Chave])</f>
        <v>#N/A</v>
      </c>
    </row>
    <row r="1476" spans="1:11" hidden="1" x14ac:dyDescent="0.3">
      <c r="A1476" s="5">
        <v>18805618</v>
      </c>
      <c r="B1476" s="6" t="s">
        <v>1157</v>
      </c>
      <c r="C1476" s="6" t="s">
        <v>1110</v>
      </c>
      <c r="D1476" s="8" t="s">
        <v>82</v>
      </c>
      <c r="E1476" s="6" t="s">
        <v>274</v>
      </c>
      <c r="F1476" s="6" t="s">
        <v>85</v>
      </c>
      <c r="G1476" s="11" t="s">
        <v>56</v>
      </c>
      <c r="H1476" s="10" t="s">
        <v>2383</v>
      </c>
      <c r="I1476" s="6" t="s">
        <v>2384</v>
      </c>
      <c r="J1476" s="12">
        <v>46120.754467592589</v>
      </c>
      <c r="K1476" s="6" t="e" cm="1">
        <f t="array" ref="K1476">LOOKUP(2^15,SEARCH(Tabela2[Palavras-Chave],Boletim[[#This Row],[Objeto]],1),Tabela2[Palavras-Chave])</f>
        <v>#N/A</v>
      </c>
    </row>
    <row r="1477" spans="1:11" hidden="1" x14ac:dyDescent="0.3">
      <c r="A1477" s="5">
        <v>18801872</v>
      </c>
      <c r="B1477" s="6" t="s">
        <v>345</v>
      </c>
      <c r="C1477" s="6" t="s">
        <v>346</v>
      </c>
      <c r="D1477" s="8" t="s">
        <v>82</v>
      </c>
      <c r="E1477" s="6" t="s">
        <v>205</v>
      </c>
      <c r="F1477" s="6" t="s">
        <v>85</v>
      </c>
      <c r="G1477" s="11">
        <v>46160.333333333336</v>
      </c>
      <c r="H1477" s="10" t="s">
        <v>2385</v>
      </c>
      <c r="I1477" s="6" t="s">
        <v>2386</v>
      </c>
      <c r="J1477" s="12">
        <v>46120.763935185183</v>
      </c>
      <c r="K1477" s="6" t="e" cm="1">
        <f t="array" ref="K1477">LOOKUP(2^15,SEARCH(Tabela2[Palavras-Chave],Boletim[[#This Row],[Objeto]],1),Tabela2[Palavras-Chave])</f>
        <v>#N/A</v>
      </c>
    </row>
    <row r="1478" spans="1:11" hidden="1" x14ac:dyDescent="0.3">
      <c r="A1478" s="5">
        <v>18805775</v>
      </c>
      <c r="B1478" s="6" t="s">
        <v>3300</v>
      </c>
      <c r="C1478" s="6" t="s">
        <v>3301</v>
      </c>
      <c r="D1478" s="8" t="s">
        <v>82</v>
      </c>
      <c r="E1478" s="6" t="s">
        <v>426</v>
      </c>
      <c r="F1478" s="6" t="s">
        <v>85</v>
      </c>
      <c r="G1478" s="11">
        <v>46136.354166666664</v>
      </c>
      <c r="H1478" s="10" t="s">
        <v>3302</v>
      </c>
      <c r="I1478" s="6" t="s">
        <v>3303</v>
      </c>
      <c r="J1478" s="12">
        <v>46120.770428240743</v>
      </c>
      <c r="K1478" s="6" t="e" cm="1">
        <f t="array" ref="K1478">LOOKUP(2^15,SEARCH(Tabela2[Palavras-Chave],Boletim[[#This Row],[Objeto]],1),Tabela2[Palavras-Chave])</f>
        <v>#N/A</v>
      </c>
    </row>
    <row r="1479" spans="1:11" hidden="1" x14ac:dyDescent="0.3">
      <c r="A1479" s="5">
        <v>18801581</v>
      </c>
      <c r="B1479" s="6" t="s">
        <v>2387</v>
      </c>
      <c r="C1479" s="6" t="s">
        <v>2388</v>
      </c>
      <c r="D1479" s="8" t="s">
        <v>82</v>
      </c>
      <c r="E1479" s="6" t="s">
        <v>143</v>
      </c>
      <c r="F1479" s="6" t="s">
        <v>85</v>
      </c>
      <c r="G1479" s="11" t="s">
        <v>56</v>
      </c>
      <c r="H1479" s="10" t="s">
        <v>2389</v>
      </c>
      <c r="I1479" s="6" t="s">
        <v>2390</v>
      </c>
      <c r="J1479" s="12">
        <v>46120.772928240738</v>
      </c>
      <c r="K1479" s="6" t="e" cm="1">
        <f t="array" ref="K1479">LOOKUP(2^15,SEARCH(Tabela2[Palavras-Chave],Boletim[[#This Row],[Objeto]],1),Tabela2[Palavras-Chave])</f>
        <v>#N/A</v>
      </c>
    </row>
    <row r="1480" spans="1:11" hidden="1" x14ac:dyDescent="0.3">
      <c r="A1480" s="5">
        <v>18805969</v>
      </c>
      <c r="B1480" s="6" t="s">
        <v>3294</v>
      </c>
      <c r="C1480" s="6" t="s">
        <v>3295</v>
      </c>
      <c r="D1480" s="8" t="s">
        <v>82</v>
      </c>
      <c r="E1480" s="6" t="s">
        <v>2268</v>
      </c>
      <c r="F1480" s="6" t="s">
        <v>85</v>
      </c>
      <c r="G1480" s="11">
        <v>46141.604166666664</v>
      </c>
      <c r="H1480" s="10" t="s">
        <v>3304</v>
      </c>
      <c r="I1480" s="6" t="s">
        <v>3305</v>
      </c>
      <c r="J1480" s="12">
        <v>46120.787083333336</v>
      </c>
      <c r="K1480" s="6" t="e" cm="1">
        <f t="array" ref="K1480">LOOKUP(2^15,SEARCH(Tabela2[Palavras-Chave],Boletim[[#This Row],[Objeto]],1),Tabela2[Palavras-Chave])</f>
        <v>#N/A</v>
      </c>
    </row>
    <row r="1481" spans="1:11" hidden="1" x14ac:dyDescent="0.3">
      <c r="A1481" s="5">
        <v>18806058</v>
      </c>
      <c r="B1481" s="6" t="s">
        <v>2391</v>
      </c>
      <c r="C1481" s="6" t="s">
        <v>2392</v>
      </c>
      <c r="D1481" s="8" t="s">
        <v>82</v>
      </c>
      <c r="E1481" s="6" t="s">
        <v>108</v>
      </c>
      <c r="F1481" s="6" t="s">
        <v>85</v>
      </c>
      <c r="G1481" s="11" t="s">
        <v>56</v>
      </c>
      <c r="H1481" s="10" t="s">
        <v>2393</v>
      </c>
      <c r="I1481" s="6" t="s">
        <v>2394</v>
      </c>
      <c r="J1481" s="12">
        <v>46120.812581018516</v>
      </c>
      <c r="K1481" s="6" t="e" cm="1">
        <f t="array" ref="K1481">LOOKUP(2^15,SEARCH(Tabela2[Palavras-Chave],Boletim[[#This Row],[Objeto]],1),Tabela2[Palavras-Chave])</f>
        <v>#N/A</v>
      </c>
    </row>
    <row r="1482" spans="1:11" hidden="1" x14ac:dyDescent="0.3">
      <c r="A1482" s="5">
        <v>18798461</v>
      </c>
      <c r="B1482" s="6" t="s">
        <v>3306</v>
      </c>
      <c r="C1482" s="6" t="s">
        <v>83</v>
      </c>
      <c r="D1482" s="8" t="s">
        <v>82</v>
      </c>
      <c r="E1482" s="6" t="s">
        <v>3307</v>
      </c>
      <c r="F1482" s="6" t="s">
        <v>85</v>
      </c>
      <c r="G1482" s="11">
        <v>46140</v>
      </c>
      <c r="H1482" s="10" t="s">
        <v>3308</v>
      </c>
      <c r="I1482" s="6" t="s">
        <v>3309</v>
      </c>
      <c r="J1482" s="12">
        <v>46120.824490740742</v>
      </c>
      <c r="K1482" s="6" t="e" cm="1">
        <f t="array" ref="K1482">LOOKUP(2^15,SEARCH(Tabela2[Palavras-Chave],Boletim[[#This Row],[Objeto]],1),Tabela2[Palavras-Chave])</f>
        <v>#N/A</v>
      </c>
    </row>
    <row r="1483" spans="1:11" hidden="1" x14ac:dyDescent="0.3">
      <c r="A1483" s="5">
        <v>18806198</v>
      </c>
      <c r="B1483" s="6" t="s">
        <v>2395</v>
      </c>
      <c r="C1483" s="6" t="s">
        <v>2396</v>
      </c>
      <c r="D1483" s="8" t="s">
        <v>82</v>
      </c>
      <c r="E1483" s="6" t="s">
        <v>247</v>
      </c>
      <c r="F1483" s="6" t="s">
        <v>85</v>
      </c>
      <c r="G1483" s="11" t="s">
        <v>56</v>
      </c>
      <c r="H1483" s="10" t="s">
        <v>2397</v>
      </c>
      <c r="I1483" s="6" t="s">
        <v>2398</v>
      </c>
      <c r="J1483" s="12">
        <v>46120.824861111112</v>
      </c>
      <c r="K1483" s="6" t="e" cm="1">
        <f t="array" ref="K1483">LOOKUP(2^15,SEARCH(Tabela2[Palavras-Chave],Boletim[[#This Row],[Objeto]],1),Tabela2[Palavras-Chave])</f>
        <v>#N/A</v>
      </c>
    </row>
    <row r="1484" spans="1:11" hidden="1" x14ac:dyDescent="0.3">
      <c r="A1484" s="5">
        <v>18806249</v>
      </c>
      <c r="B1484" s="6" t="s">
        <v>2399</v>
      </c>
      <c r="C1484" s="6" t="s">
        <v>2400</v>
      </c>
      <c r="D1484" s="8" t="s">
        <v>82</v>
      </c>
      <c r="E1484" s="6" t="s">
        <v>120</v>
      </c>
      <c r="F1484" s="6" t="s">
        <v>85</v>
      </c>
      <c r="G1484" s="11">
        <v>46135.375</v>
      </c>
      <c r="H1484" s="10" t="s">
        <v>2401</v>
      </c>
      <c r="I1484" s="6" t="s">
        <v>2402</v>
      </c>
      <c r="J1484" s="12">
        <v>46120.839745370373</v>
      </c>
      <c r="K1484" s="6" t="e" cm="1">
        <f t="array" ref="K1484">LOOKUP(2^15,SEARCH(Tabela2[Palavras-Chave],Boletim[[#This Row],[Objeto]],1),Tabela2[Palavras-Chave])</f>
        <v>#N/A</v>
      </c>
    </row>
    <row r="1485" spans="1:11" ht="28.8" x14ac:dyDescent="0.3">
      <c r="A1485" s="5">
        <v>18806254</v>
      </c>
      <c r="B1485" s="6" t="s">
        <v>287</v>
      </c>
      <c r="C1485" s="6" t="s">
        <v>288</v>
      </c>
      <c r="D1485" s="8" t="s">
        <v>82</v>
      </c>
      <c r="E1485" s="6" t="s">
        <v>134</v>
      </c>
      <c r="F1485" s="6" t="s">
        <v>85</v>
      </c>
      <c r="G1485" s="11">
        <v>46135.375</v>
      </c>
      <c r="H1485" s="21" t="s">
        <v>2403</v>
      </c>
      <c r="I1485" s="6" t="s">
        <v>2404</v>
      </c>
      <c r="J1485" s="12">
        <v>46120.841874999998</v>
      </c>
      <c r="K1485" s="6" t="str" cm="1">
        <f t="array" ref="K1485">LOOKUP(2^15,SEARCH(Tabela2[Palavras-Chave],Boletim[[#This Row],[Objeto]],1),Tabela2[Palavras-Chave])</f>
        <v>MEDIÇÃO</v>
      </c>
    </row>
    <row r="1486" spans="1:11" hidden="1" x14ac:dyDescent="0.3">
      <c r="A1486" s="5">
        <v>18806361</v>
      </c>
      <c r="B1486" s="6" t="s">
        <v>3310</v>
      </c>
      <c r="C1486" s="6" t="s">
        <v>83</v>
      </c>
      <c r="D1486" s="8" t="s">
        <v>82</v>
      </c>
      <c r="E1486" s="6" t="s">
        <v>3311</v>
      </c>
      <c r="F1486" s="6" t="s">
        <v>85</v>
      </c>
      <c r="G1486" s="11">
        <v>46134.666666666664</v>
      </c>
      <c r="H1486" s="10" t="s">
        <v>3312</v>
      </c>
      <c r="I1486" s="6" t="s">
        <v>3313</v>
      </c>
      <c r="J1486" s="12">
        <v>46120.857361111113</v>
      </c>
      <c r="K1486" s="6" t="e" cm="1">
        <f t="array" ref="K1486">LOOKUP(2^15,SEARCH(Tabela2[Palavras-Chave],Boletim[[#This Row],[Objeto]],1),Tabela2[Palavras-Chave])</f>
        <v>#N/A</v>
      </c>
    </row>
    <row r="1487" spans="1:11" hidden="1" x14ac:dyDescent="0.3">
      <c r="A1487" s="5">
        <v>18802965</v>
      </c>
      <c r="B1487" s="6" t="s">
        <v>2405</v>
      </c>
      <c r="C1487" s="6" t="s">
        <v>2406</v>
      </c>
      <c r="D1487" s="8" t="s">
        <v>82</v>
      </c>
      <c r="E1487" s="6" t="s">
        <v>1471</v>
      </c>
      <c r="F1487" s="6" t="s">
        <v>85</v>
      </c>
      <c r="G1487" s="11" t="s">
        <v>56</v>
      </c>
      <c r="H1487" s="10" t="s">
        <v>2407</v>
      </c>
      <c r="I1487" s="6" t="s">
        <v>2408</v>
      </c>
      <c r="J1487" s="12">
        <v>46120.859849537039</v>
      </c>
      <c r="K1487" s="6" t="e" cm="1">
        <f t="array" ref="K1487">LOOKUP(2^15,SEARCH(Tabela2[Palavras-Chave],Boletim[[#This Row],[Objeto]],1),Tabela2[Palavras-Chave])</f>
        <v>#N/A</v>
      </c>
    </row>
    <row r="1488" spans="1:11" hidden="1" x14ac:dyDescent="0.3">
      <c r="A1488" s="5">
        <v>18806342</v>
      </c>
      <c r="B1488" s="6" t="s">
        <v>3314</v>
      </c>
      <c r="C1488" s="6" t="s">
        <v>3315</v>
      </c>
      <c r="D1488" s="8" t="s">
        <v>82</v>
      </c>
      <c r="E1488" s="6" t="s">
        <v>3316</v>
      </c>
      <c r="F1488" s="6" t="s">
        <v>85</v>
      </c>
      <c r="G1488" s="11" t="s">
        <v>56</v>
      </c>
      <c r="H1488" s="10" t="s">
        <v>3317</v>
      </c>
      <c r="I1488" s="6" t="s">
        <v>3318</v>
      </c>
      <c r="J1488" s="12">
        <v>46120.865543981483</v>
      </c>
      <c r="K1488" s="6" t="e" cm="1">
        <f t="array" ref="K1488">LOOKUP(2^15,SEARCH(Tabela2[Palavras-Chave],Boletim[[#This Row],[Objeto]],1),Tabela2[Palavras-Chave])</f>
        <v>#N/A</v>
      </c>
    </row>
    <row r="1489" spans="1:11" hidden="1" x14ac:dyDescent="0.3">
      <c r="A1489" s="5">
        <v>18804711</v>
      </c>
      <c r="B1489" s="6" t="s">
        <v>2409</v>
      </c>
      <c r="C1489" s="6" t="s">
        <v>413</v>
      </c>
      <c r="D1489" s="8" t="s">
        <v>82</v>
      </c>
      <c r="E1489" s="6" t="s">
        <v>145</v>
      </c>
      <c r="F1489" s="6" t="s">
        <v>85</v>
      </c>
      <c r="G1489" s="11" t="s">
        <v>56</v>
      </c>
      <c r="H1489" s="10" t="s">
        <v>2410</v>
      </c>
      <c r="I1489" s="6" t="s">
        <v>190</v>
      </c>
      <c r="J1489" s="12">
        <v>46120.869050925925</v>
      </c>
      <c r="K1489" s="6" t="e" cm="1">
        <f t="array" ref="K1489">LOOKUP(2^15,SEARCH(Tabela2[Palavras-Chave],Boletim[[#This Row],[Objeto]],1),Tabela2[Palavras-Chave])</f>
        <v>#N/A</v>
      </c>
    </row>
    <row r="1490" spans="1:11" hidden="1" x14ac:dyDescent="0.3">
      <c r="A1490" s="5">
        <v>18803463</v>
      </c>
      <c r="B1490" s="6" t="s">
        <v>3319</v>
      </c>
      <c r="C1490" s="6" t="s">
        <v>182</v>
      </c>
      <c r="D1490" s="8" t="s">
        <v>82</v>
      </c>
      <c r="E1490" s="6" t="s">
        <v>171</v>
      </c>
      <c r="F1490" s="6" t="s">
        <v>85</v>
      </c>
      <c r="G1490" s="11" t="s">
        <v>56</v>
      </c>
      <c r="H1490" s="10" t="s">
        <v>3320</v>
      </c>
      <c r="I1490" s="6" t="s">
        <v>3321</v>
      </c>
      <c r="J1490" s="12">
        <v>46120.883553240739</v>
      </c>
      <c r="K1490" s="6" t="e" cm="1">
        <f t="array" ref="K1490">LOOKUP(2^15,SEARCH(Tabela2[Palavras-Chave],Boletim[[#This Row],[Objeto]],1),Tabela2[Palavras-Chave])</f>
        <v>#N/A</v>
      </c>
    </row>
    <row r="1491" spans="1:11" hidden="1" x14ac:dyDescent="0.3">
      <c r="A1491" s="5">
        <v>18806404</v>
      </c>
      <c r="B1491" s="6" t="s">
        <v>3322</v>
      </c>
      <c r="C1491" s="6" t="s">
        <v>3323</v>
      </c>
      <c r="D1491" s="8" t="s">
        <v>82</v>
      </c>
      <c r="E1491" s="6" t="s">
        <v>173</v>
      </c>
      <c r="F1491" s="6" t="s">
        <v>85</v>
      </c>
      <c r="G1491" s="11">
        <v>46122.708333333336</v>
      </c>
      <c r="H1491" s="10" t="s">
        <v>3324</v>
      </c>
      <c r="I1491" s="6" t="s">
        <v>3325</v>
      </c>
      <c r="J1491" s="12">
        <v>46120.886273148149</v>
      </c>
      <c r="K1491" s="6" t="e" cm="1">
        <f t="array" ref="K1491">LOOKUP(2^15,SEARCH(Tabela2[Palavras-Chave],Boletim[[#This Row],[Objeto]],1),Tabela2[Palavras-Chave])</f>
        <v>#N/A</v>
      </c>
    </row>
    <row r="1492" spans="1:11" hidden="1" x14ac:dyDescent="0.3">
      <c r="A1492" s="5">
        <v>18801485</v>
      </c>
      <c r="B1492" s="6" t="s">
        <v>3326</v>
      </c>
      <c r="C1492" s="6" t="s">
        <v>3327</v>
      </c>
      <c r="D1492" s="8" t="s">
        <v>82</v>
      </c>
      <c r="E1492" s="6" t="s">
        <v>265</v>
      </c>
      <c r="F1492" s="6" t="s">
        <v>85</v>
      </c>
      <c r="G1492" s="11" t="s">
        <v>56</v>
      </c>
      <c r="H1492" s="10" t="s">
        <v>3328</v>
      </c>
      <c r="I1492" s="6" t="s">
        <v>3329</v>
      </c>
      <c r="J1492" s="12">
        <v>46120.891180555554</v>
      </c>
      <c r="K1492" s="6" t="e" cm="1">
        <f t="array" ref="K1492">LOOKUP(2^15,SEARCH(Tabela2[Palavras-Chave],Boletim[[#This Row],[Objeto]],1),Tabela2[Palavras-Chave])</f>
        <v>#N/A</v>
      </c>
    </row>
    <row r="1493" spans="1:11" hidden="1" x14ac:dyDescent="0.3">
      <c r="A1493" s="5">
        <v>18803136</v>
      </c>
      <c r="B1493" s="6" t="s">
        <v>3330</v>
      </c>
      <c r="C1493" s="6" t="s">
        <v>3331</v>
      </c>
      <c r="D1493" s="8" t="s">
        <v>84</v>
      </c>
      <c r="E1493" s="6" t="s">
        <v>372</v>
      </c>
      <c r="F1493" s="6" t="s">
        <v>85</v>
      </c>
      <c r="G1493" s="11" t="s">
        <v>56</v>
      </c>
      <c r="H1493" s="10" t="s">
        <v>3332</v>
      </c>
      <c r="I1493" s="6" t="s">
        <v>3333</v>
      </c>
      <c r="J1493" s="12">
        <v>46120.573912037034</v>
      </c>
      <c r="K1493" s="6" t="e" cm="1">
        <f t="array" ref="K1493">LOOKUP(2^15,SEARCH(Tabela2[Palavras-Chave],Boletim[[#This Row],[Objeto]],1),Tabela2[Palavras-Chave])</f>
        <v>#N/A</v>
      </c>
    </row>
    <row r="1494" spans="1:11" hidden="1" x14ac:dyDescent="0.3">
      <c r="A1494" s="5">
        <v>18803858</v>
      </c>
      <c r="B1494" s="6" t="s">
        <v>3334</v>
      </c>
      <c r="C1494" s="6" t="s">
        <v>3335</v>
      </c>
      <c r="D1494" s="8" t="s">
        <v>84</v>
      </c>
      <c r="E1494" s="6" t="s">
        <v>148</v>
      </c>
      <c r="F1494" s="6" t="s">
        <v>85</v>
      </c>
      <c r="G1494" s="11" t="s">
        <v>56</v>
      </c>
      <c r="H1494" s="10" t="s">
        <v>3336</v>
      </c>
      <c r="I1494" s="6" t="s">
        <v>3337</v>
      </c>
      <c r="J1494" s="12">
        <v>46120.598587962966</v>
      </c>
      <c r="K1494" s="6" t="e" cm="1">
        <f t="array" ref="K1494">LOOKUP(2^15,SEARCH(Tabela2[Palavras-Chave],Boletim[[#This Row],[Objeto]],1),Tabela2[Palavras-Chave])</f>
        <v>#N/A</v>
      </c>
    </row>
    <row r="1495" spans="1:11" hidden="1" x14ac:dyDescent="0.3">
      <c r="A1495" s="5">
        <v>18804388</v>
      </c>
      <c r="B1495" s="6" t="s">
        <v>2411</v>
      </c>
      <c r="C1495" s="6" t="s">
        <v>2412</v>
      </c>
      <c r="D1495" s="8" t="s">
        <v>84</v>
      </c>
      <c r="E1495" s="6" t="s">
        <v>106</v>
      </c>
      <c r="F1495" s="6" t="s">
        <v>85</v>
      </c>
      <c r="G1495" s="11">
        <v>46136</v>
      </c>
      <c r="H1495" s="10" t="s">
        <v>2413</v>
      </c>
      <c r="I1495" s="6" t="s">
        <v>2414</v>
      </c>
      <c r="J1495" s="12">
        <v>46120.809791666667</v>
      </c>
      <c r="K1495" s="6" t="e" cm="1">
        <f t="array" ref="K1495">LOOKUP(2^15,SEARCH(Tabela2[Palavras-Chave],Boletim[[#This Row],[Objeto]],1),Tabela2[Palavras-Chave])</f>
        <v>#N/A</v>
      </c>
    </row>
    <row r="1496" spans="1:11" hidden="1" x14ac:dyDescent="0.3">
      <c r="A1496" s="5">
        <v>18805827</v>
      </c>
      <c r="B1496" s="6" t="s">
        <v>3338</v>
      </c>
      <c r="C1496" s="6" t="s">
        <v>3339</v>
      </c>
      <c r="D1496" s="8" t="s">
        <v>84</v>
      </c>
      <c r="E1496" s="6" t="s">
        <v>149</v>
      </c>
      <c r="F1496" s="6" t="s">
        <v>85</v>
      </c>
      <c r="G1496" s="11">
        <v>46136.583333333336</v>
      </c>
      <c r="H1496" s="10" t="s">
        <v>3340</v>
      </c>
      <c r="I1496" s="6" t="s">
        <v>3341</v>
      </c>
      <c r="J1496" s="12">
        <v>46120.785115740742</v>
      </c>
      <c r="K1496" s="6" t="e" cm="1">
        <f t="array" ref="K1496">LOOKUP(2^15,SEARCH(Tabela2[Palavras-Chave],Boletim[[#This Row],[Objeto]],1),Tabela2[Palavras-Chave])</f>
        <v>#N/A</v>
      </c>
    </row>
    <row r="1497" spans="1:11" hidden="1" x14ac:dyDescent="0.3">
      <c r="A1497" s="5">
        <v>18705885</v>
      </c>
      <c r="B1497" s="6" t="s">
        <v>3342</v>
      </c>
      <c r="C1497" s="6" t="s">
        <v>3343</v>
      </c>
      <c r="D1497" s="8" t="s">
        <v>144</v>
      </c>
      <c r="E1497" s="6" t="s">
        <v>158</v>
      </c>
      <c r="F1497" s="6" t="s">
        <v>94</v>
      </c>
      <c r="G1497" s="11" t="s">
        <v>56</v>
      </c>
      <c r="H1497" s="10" t="s">
        <v>3344</v>
      </c>
      <c r="I1497" s="6" t="s">
        <v>3345</v>
      </c>
      <c r="J1497" s="12">
        <v>46120.732175925928</v>
      </c>
      <c r="K1497" s="6" t="e" cm="1">
        <f t="array" ref="K1497">LOOKUP(2^15,SEARCH(Tabela2[Palavras-Chave],Boletim[[#This Row],[Objeto]],1),Tabela2[Palavras-Chave])</f>
        <v>#N/A</v>
      </c>
    </row>
    <row r="1498" spans="1:11" hidden="1" x14ac:dyDescent="0.3">
      <c r="A1498" s="5">
        <v>18568733</v>
      </c>
      <c r="B1498" s="6" t="s">
        <v>2415</v>
      </c>
      <c r="C1498" s="6" t="s">
        <v>2416</v>
      </c>
      <c r="D1498" s="8" t="s">
        <v>66</v>
      </c>
      <c r="E1498" s="6" t="s">
        <v>2417</v>
      </c>
      <c r="F1498" s="6" t="s">
        <v>94</v>
      </c>
      <c r="G1498" s="11">
        <v>46134.375</v>
      </c>
      <c r="H1498" s="10" t="s">
        <v>2418</v>
      </c>
      <c r="I1498" s="6" t="s">
        <v>2419</v>
      </c>
      <c r="J1498" s="12">
        <v>46120.492106481484</v>
      </c>
      <c r="K1498" s="6" t="e" cm="1">
        <f t="array" ref="K1498">LOOKUP(2^15,SEARCH(Tabela2[Palavras-Chave],Boletim[[#This Row],[Objeto]],1),Tabela2[Palavras-Chave])</f>
        <v>#N/A</v>
      </c>
    </row>
    <row r="1499" spans="1:11" hidden="1" x14ac:dyDescent="0.3">
      <c r="A1499" s="5">
        <v>18738871</v>
      </c>
      <c r="B1499" s="6" t="s">
        <v>458</v>
      </c>
      <c r="C1499" s="6" t="s">
        <v>459</v>
      </c>
      <c r="D1499" s="8" t="s">
        <v>66</v>
      </c>
      <c r="E1499" s="6" t="s">
        <v>114</v>
      </c>
      <c r="F1499" s="6" t="s">
        <v>94</v>
      </c>
      <c r="G1499" s="11">
        <v>46135.340277777781</v>
      </c>
      <c r="H1499" s="10" t="s">
        <v>460</v>
      </c>
      <c r="I1499" s="6" t="s">
        <v>2420</v>
      </c>
      <c r="J1499" s="12">
        <v>46120.587627314817</v>
      </c>
      <c r="K1499" s="6" t="e" cm="1">
        <f t="array" ref="K1499">LOOKUP(2^15,SEARCH(Tabela2[Palavras-Chave],Boletim[[#This Row],[Objeto]],1),Tabela2[Palavras-Chave])</f>
        <v>#N/A</v>
      </c>
    </row>
    <row r="1500" spans="1:11" hidden="1" x14ac:dyDescent="0.3">
      <c r="A1500" s="5">
        <v>18731492</v>
      </c>
      <c r="B1500" s="6" t="s">
        <v>2421</v>
      </c>
      <c r="C1500" s="6" t="s">
        <v>2422</v>
      </c>
      <c r="D1500" s="8" t="s">
        <v>66</v>
      </c>
      <c r="E1500" s="6" t="s">
        <v>117</v>
      </c>
      <c r="F1500" s="6" t="s">
        <v>94</v>
      </c>
      <c r="G1500" s="11" t="s">
        <v>56</v>
      </c>
      <c r="H1500" s="10" t="s">
        <v>2423</v>
      </c>
      <c r="I1500" s="6" t="s">
        <v>2424</v>
      </c>
      <c r="J1500" s="12">
        <v>46120.617418981485</v>
      </c>
      <c r="K1500" s="6" t="e" cm="1">
        <f t="array" ref="K1500">LOOKUP(2^15,SEARCH(Tabela2[Palavras-Chave],Boletim[[#This Row],[Objeto]],1),Tabela2[Palavras-Chave])</f>
        <v>#N/A</v>
      </c>
    </row>
    <row r="1501" spans="1:11" hidden="1" x14ac:dyDescent="0.3">
      <c r="A1501" s="5">
        <v>18803475</v>
      </c>
      <c r="B1501" s="6" t="s">
        <v>2430</v>
      </c>
      <c r="C1501" s="6" t="s">
        <v>2431</v>
      </c>
      <c r="D1501" s="8" t="s">
        <v>66</v>
      </c>
      <c r="E1501" s="6" t="s">
        <v>149</v>
      </c>
      <c r="F1501" s="6" t="s">
        <v>94</v>
      </c>
      <c r="G1501" s="11" t="s">
        <v>56</v>
      </c>
      <c r="H1501" s="10" t="s">
        <v>3346</v>
      </c>
      <c r="I1501" s="6" t="s">
        <v>3347</v>
      </c>
      <c r="J1501" s="12">
        <v>46120.834872685184</v>
      </c>
      <c r="K1501" s="6" t="e" cm="1">
        <f t="array" ref="K1501">LOOKUP(2^15,SEARCH(Tabela2[Palavras-Chave],Boletim[[#This Row],[Objeto]],1),Tabela2[Palavras-Chave])</f>
        <v>#N/A</v>
      </c>
    </row>
    <row r="1502" spans="1:11" hidden="1" x14ac:dyDescent="0.3">
      <c r="A1502" s="5">
        <v>18791197</v>
      </c>
      <c r="B1502" s="6" t="s">
        <v>1214</v>
      </c>
      <c r="C1502" s="6" t="s">
        <v>1215</v>
      </c>
      <c r="D1502" s="8" t="s">
        <v>72</v>
      </c>
      <c r="E1502" s="6" t="s">
        <v>126</v>
      </c>
      <c r="F1502" s="6" t="s">
        <v>94</v>
      </c>
      <c r="G1502" s="11" t="s">
        <v>56</v>
      </c>
      <c r="H1502" s="10" t="s">
        <v>2425</v>
      </c>
      <c r="I1502" s="6" t="s">
        <v>2426</v>
      </c>
      <c r="J1502" s="12">
        <v>46120.603043981479</v>
      </c>
      <c r="K1502" s="6" t="e" cm="1">
        <f t="array" ref="K1502">LOOKUP(2^15,SEARCH(Tabela2[Palavras-Chave],Boletim[[#This Row],[Objeto]],1),Tabela2[Palavras-Chave])</f>
        <v>#N/A</v>
      </c>
    </row>
    <row r="1503" spans="1:11" hidden="1" x14ac:dyDescent="0.3">
      <c r="A1503" s="5">
        <v>18796334</v>
      </c>
      <c r="B1503" s="6" t="s">
        <v>177</v>
      </c>
      <c r="C1503" s="6" t="s">
        <v>75</v>
      </c>
      <c r="D1503" s="8" t="s">
        <v>76</v>
      </c>
      <c r="E1503" s="6" t="s">
        <v>2427</v>
      </c>
      <c r="F1503" s="6" t="s">
        <v>94</v>
      </c>
      <c r="G1503" s="11">
        <v>46126.708333333336</v>
      </c>
      <c r="H1503" s="10" t="s">
        <v>2428</v>
      </c>
      <c r="I1503" s="6" t="s">
        <v>2429</v>
      </c>
      <c r="J1503" s="12">
        <v>46120.398657407408</v>
      </c>
      <c r="K1503" s="6" t="e" cm="1">
        <f t="array" ref="K1503">LOOKUP(2^15,SEARCH(Tabela2[Palavras-Chave],Boletim[[#This Row],[Objeto]],1),Tabela2[Palavras-Chave])</f>
        <v>#N/A</v>
      </c>
    </row>
    <row r="1504" spans="1:11" hidden="1" x14ac:dyDescent="0.3">
      <c r="A1504" s="5">
        <v>18777914</v>
      </c>
      <c r="B1504" s="6" t="s">
        <v>3348</v>
      </c>
      <c r="C1504" s="6" t="s">
        <v>3349</v>
      </c>
      <c r="D1504" s="8" t="s">
        <v>54</v>
      </c>
      <c r="E1504" s="6" t="s">
        <v>142</v>
      </c>
      <c r="F1504" s="6" t="s">
        <v>167</v>
      </c>
      <c r="G1504" s="11">
        <v>46134.378472222219</v>
      </c>
      <c r="H1504" s="10" t="s">
        <v>3350</v>
      </c>
      <c r="I1504" s="6" t="s">
        <v>3351</v>
      </c>
      <c r="J1504" s="12">
        <v>46120.782453703701</v>
      </c>
      <c r="K1504" s="6" t="e" cm="1">
        <f t="array" ref="K1504">LOOKUP(2^15,SEARCH(Tabela2[Palavras-Chave],Boletim[[#This Row],[Objeto]],1),Tabela2[Palavras-Chave])</f>
        <v>#N/A</v>
      </c>
    </row>
    <row r="1505" spans="1:11" hidden="1" x14ac:dyDescent="0.3">
      <c r="A1505" s="5">
        <v>18777336</v>
      </c>
      <c r="B1505" s="6" t="s">
        <v>2430</v>
      </c>
      <c r="C1505" s="6" t="s">
        <v>2431</v>
      </c>
      <c r="D1505" s="8" t="s">
        <v>66</v>
      </c>
      <c r="E1505" s="6" t="s">
        <v>114</v>
      </c>
      <c r="F1505" s="6" t="s">
        <v>167</v>
      </c>
      <c r="G1505" s="11" t="s">
        <v>56</v>
      </c>
      <c r="H1505" s="10" t="s">
        <v>2432</v>
      </c>
      <c r="I1505" s="6" t="s">
        <v>2433</v>
      </c>
      <c r="J1505" s="12">
        <v>46120.836145833331</v>
      </c>
      <c r="K1505" s="6" t="e" cm="1">
        <f t="array" ref="K1505">LOOKUP(2^15,SEARCH(Tabela2[Palavras-Chave],Boletim[[#This Row],[Objeto]],1),Tabela2[Palavras-Chave])</f>
        <v>#N/A</v>
      </c>
    </row>
    <row r="1506" spans="1:11" ht="129.6" x14ac:dyDescent="0.3">
      <c r="A1506" s="5">
        <v>18675488</v>
      </c>
      <c r="B1506" s="6" t="s">
        <v>2434</v>
      </c>
      <c r="C1506" s="6" t="s">
        <v>162</v>
      </c>
      <c r="D1506" s="8" t="s">
        <v>144</v>
      </c>
      <c r="E1506" s="6" t="s">
        <v>112</v>
      </c>
      <c r="F1506" s="6" t="s">
        <v>95</v>
      </c>
      <c r="G1506" s="11" t="s">
        <v>56</v>
      </c>
      <c r="H1506" s="21" t="s">
        <v>2435</v>
      </c>
      <c r="I1506" s="6" t="s">
        <v>2436</v>
      </c>
      <c r="J1506" s="12">
        <v>46120.560266203705</v>
      </c>
      <c r="K1506" s="6" t="str" cm="1">
        <f t="array" ref="K1506">LOOKUP(2^15,SEARCH(Tabela2[Palavras-Chave],Boletim[[#This Row],[Objeto]],1),Tabela2[Palavras-Chave])</f>
        <v>RESERVAT</v>
      </c>
    </row>
    <row r="1507" spans="1:11" hidden="1" x14ac:dyDescent="0.3">
      <c r="A1507" s="5">
        <v>18790238</v>
      </c>
      <c r="B1507" s="6" t="s">
        <v>2437</v>
      </c>
      <c r="C1507" s="6" t="s">
        <v>2438</v>
      </c>
      <c r="D1507" s="8" t="s">
        <v>144</v>
      </c>
      <c r="E1507" s="6" t="s">
        <v>222</v>
      </c>
      <c r="F1507" s="6" t="s">
        <v>95</v>
      </c>
      <c r="G1507" s="11" t="s">
        <v>56</v>
      </c>
      <c r="H1507" s="10" t="s">
        <v>2439</v>
      </c>
      <c r="I1507" s="6" t="s">
        <v>2440</v>
      </c>
      <c r="J1507" s="12">
        <v>46120.560648148145</v>
      </c>
      <c r="K1507" s="6" t="e" cm="1">
        <f t="array" ref="K1507">LOOKUP(2^15,SEARCH(Tabela2[Palavras-Chave],Boletim[[#This Row],[Objeto]],1),Tabela2[Palavras-Chave])</f>
        <v>#N/A</v>
      </c>
    </row>
    <row r="1508" spans="1:11" hidden="1" x14ac:dyDescent="0.3">
      <c r="A1508" s="5">
        <v>18803798</v>
      </c>
      <c r="B1508" s="6" t="s">
        <v>3352</v>
      </c>
      <c r="C1508" s="6" t="s">
        <v>3353</v>
      </c>
      <c r="D1508" s="8" t="s">
        <v>144</v>
      </c>
      <c r="E1508" s="6" t="s">
        <v>113</v>
      </c>
      <c r="F1508" s="6" t="s">
        <v>95</v>
      </c>
      <c r="G1508" s="11">
        <v>46156.375</v>
      </c>
      <c r="H1508" s="10" t="s">
        <v>3354</v>
      </c>
      <c r="I1508" s="6" t="s">
        <v>3355</v>
      </c>
      <c r="J1508" s="12">
        <v>46120.8044212963</v>
      </c>
      <c r="K1508" s="6" t="e" cm="1">
        <f t="array" ref="K1508">LOOKUP(2^15,SEARCH(Tabela2[Palavras-Chave],Boletim[[#This Row],[Objeto]],1),Tabela2[Palavras-Chave])</f>
        <v>#N/A</v>
      </c>
    </row>
    <row r="1509" spans="1:11" hidden="1" x14ac:dyDescent="0.3">
      <c r="A1509" s="5">
        <v>18357317</v>
      </c>
      <c r="B1509" s="6" t="s">
        <v>3356</v>
      </c>
      <c r="C1509" s="6" t="s">
        <v>87</v>
      </c>
      <c r="D1509" s="8" t="s">
        <v>86</v>
      </c>
      <c r="E1509" s="6" t="s">
        <v>3357</v>
      </c>
      <c r="F1509" s="6" t="s">
        <v>95</v>
      </c>
      <c r="G1509" s="11">
        <v>46142.333333333336</v>
      </c>
      <c r="H1509" s="10" t="s">
        <v>3358</v>
      </c>
      <c r="I1509" s="6" t="s">
        <v>3359</v>
      </c>
      <c r="J1509" s="12">
        <v>46120.493935185186</v>
      </c>
      <c r="K1509" s="6" t="e" cm="1">
        <f t="array" ref="K1509">LOOKUP(2^15,SEARCH(Tabela2[Palavras-Chave],Boletim[[#This Row],[Objeto]],1),Tabela2[Palavras-Chave])</f>
        <v>#N/A</v>
      </c>
    </row>
    <row r="1510" spans="1:11" hidden="1" x14ac:dyDescent="0.3">
      <c r="A1510" s="5">
        <v>18770009</v>
      </c>
      <c r="B1510" s="6" t="s">
        <v>74</v>
      </c>
      <c r="C1510" s="6" t="s">
        <v>52</v>
      </c>
      <c r="D1510" s="8" t="s">
        <v>50</v>
      </c>
      <c r="E1510" s="6" t="s">
        <v>2441</v>
      </c>
      <c r="F1510" s="6" t="s">
        <v>95</v>
      </c>
      <c r="G1510" s="11" t="s">
        <v>56</v>
      </c>
      <c r="H1510" s="10" t="s">
        <v>2442</v>
      </c>
      <c r="I1510" s="6" t="s">
        <v>2443</v>
      </c>
      <c r="J1510" s="12">
        <v>46120.468136574076</v>
      </c>
      <c r="K1510" s="6" t="e" cm="1">
        <f t="array" ref="K1510">LOOKUP(2^15,SEARCH(Tabela2[Palavras-Chave],Boletim[[#This Row],[Objeto]],1),Tabela2[Palavras-Chave])</f>
        <v>#N/A</v>
      </c>
    </row>
    <row r="1511" spans="1:11" hidden="1" x14ac:dyDescent="0.3">
      <c r="A1511" s="5">
        <v>18779359</v>
      </c>
      <c r="B1511" s="6" t="s">
        <v>3360</v>
      </c>
      <c r="C1511" s="6" t="s">
        <v>3361</v>
      </c>
      <c r="D1511" s="8" t="s">
        <v>50</v>
      </c>
      <c r="E1511" s="6" t="s">
        <v>127</v>
      </c>
      <c r="F1511" s="6" t="s">
        <v>95</v>
      </c>
      <c r="G1511" s="11" t="s">
        <v>56</v>
      </c>
      <c r="H1511" s="10" t="s">
        <v>3362</v>
      </c>
      <c r="I1511" s="6" t="s">
        <v>3363</v>
      </c>
      <c r="J1511" s="12">
        <v>46120.826631944445</v>
      </c>
      <c r="K1511" s="6" t="e" cm="1">
        <f t="array" ref="K1511">LOOKUP(2^15,SEARCH(Tabela2[Palavras-Chave],Boletim[[#This Row],[Objeto]],1),Tabela2[Palavras-Chave])</f>
        <v>#N/A</v>
      </c>
    </row>
    <row r="1512" spans="1:11" hidden="1" x14ac:dyDescent="0.3">
      <c r="A1512" s="5">
        <v>18770010</v>
      </c>
      <c r="B1512" s="6" t="s">
        <v>74</v>
      </c>
      <c r="C1512" s="6" t="s">
        <v>53</v>
      </c>
      <c r="D1512" s="8" t="s">
        <v>54</v>
      </c>
      <c r="E1512" s="6" t="s">
        <v>2441</v>
      </c>
      <c r="F1512" s="6" t="s">
        <v>95</v>
      </c>
      <c r="G1512" s="11" t="s">
        <v>56</v>
      </c>
      <c r="H1512" s="10" t="s">
        <v>2442</v>
      </c>
      <c r="I1512" s="6" t="s">
        <v>2443</v>
      </c>
      <c r="J1512" s="12">
        <v>46120.468136574076</v>
      </c>
      <c r="K1512" s="6" t="e" cm="1">
        <f t="array" ref="K1512">LOOKUP(2^15,SEARCH(Tabela2[Palavras-Chave],Boletim[[#This Row],[Objeto]],1),Tabela2[Palavras-Chave])</f>
        <v>#N/A</v>
      </c>
    </row>
    <row r="1513" spans="1:11" hidden="1" x14ac:dyDescent="0.3">
      <c r="A1513" s="5">
        <v>18719706</v>
      </c>
      <c r="B1513" s="6" t="s">
        <v>2444</v>
      </c>
      <c r="C1513" s="6" t="s">
        <v>2445</v>
      </c>
      <c r="D1513" s="8" t="s">
        <v>54</v>
      </c>
      <c r="E1513" s="6" t="s">
        <v>117</v>
      </c>
      <c r="F1513" s="6" t="s">
        <v>95</v>
      </c>
      <c r="G1513" s="11" t="s">
        <v>56</v>
      </c>
      <c r="H1513" s="10" t="s">
        <v>2446</v>
      </c>
      <c r="I1513" s="6" t="s">
        <v>2447</v>
      </c>
      <c r="J1513" s="12">
        <v>46120.579629629632</v>
      </c>
      <c r="K1513" s="6" t="e" cm="1">
        <f t="array" ref="K1513">LOOKUP(2^15,SEARCH(Tabela2[Palavras-Chave],Boletim[[#This Row],[Objeto]],1),Tabela2[Palavras-Chave])</f>
        <v>#N/A</v>
      </c>
    </row>
    <row r="1514" spans="1:11" hidden="1" x14ac:dyDescent="0.3">
      <c r="A1514" s="5">
        <v>18789461</v>
      </c>
      <c r="B1514" s="6" t="s">
        <v>2448</v>
      </c>
      <c r="C1514" s="6" t="s">
        <v>2449</v>
      </c>
      <c r="D1514" s="8" t="s">
        <v>54</v>
      </c>
      <c r="E1514" s="6" t="s">
        <v>2450</v>
      </c>
      <c r="F1514" s="6" t="s">
        <v>95</v>
      </c>
      <c r="G1514" s="11" t="s">
        <v>56</v>
      </c>
      <c r="H1514" s="10" t="s">
        <v>2451</v>
      </c>
      <c r="I1514" s="6" t="s">
        <v>2452</v>
      </c>
      <c r="J1514" s="12">
        <v>46120.776365740741</v>
      </c>
      <c r="K1514" s="6" t="e" cm="1">
        <f t="array" ref="K1514">LOOKUP(2^15,SEARCH(Tabela2[Palavras-Chave],Boletim[[#This Row],[Objeto]],1),Tabela2[Palavras-Chave])</f>
        <v>#N/A</v>
      </c>
    </row>
    <row r="1515" spans="1:11" hidden="1" x14ac:dyDescent="0.3">
      <c r="A1515" s="5">
        <v>18774678</v>
      </c>
      <c r="B1515" s="6" t="s">
        <v>151</v>
      </c>
      <c r="C1515" s="6" t="s">
        <v>59</v>
      </c>
      <c r="D1515" s="8" t="s">
        <v>60</v>
      </c>
      <c r="E1515" s="6" t="s">
        <v>2453</v>
      </c>
      <c r="F1515" s="6" t="s">
        <v>95</v>
      </c>
      <c r="G1515" s="11">
        <v>46126.479166666664</v>
      </c>
      <c r="H1515" s="10" t="s">
        <v>2454</v>
      </c>
      <c r="I1515" s="6" t="s">
        <v>2455</v>
      </c>
      <c r="J1515" s="12">
        <v>46120.863912037035</v>
      </c>
      <c r="K1515" s="6" t="e" cm="1">
        <f t="array" ref="K1515">LOOKUP(2^15,SEARCH(Tabela2[Palavras-Chave],Boletim[[#This Row],[Objeto]],1),Tabela2[Palavras-Chave])</f>
        <v>#N/A</v>
      </c>
    </row>
    <row r="1516" spans="1:11" hidden="1" x14ac:dyDescent="0.3">
      <c r="A1516" s="5">
        <v>18735548</v>
      </c>
      <c r="B1516" s="6" t="s">
        <v>74</v>
      </c>
      <c r="C1516" s="6" t="s">
        <v>88</v>
      </c>
      <c r="D1516" s="8" t="s">
        <v>63</v>
      </c>
      <c r="E1516" s="6" t="s">
        <v>2456</v>
      </c>
      <c r="F1516" s="6" t="s">
        <v>95</v>
      </c>
      <c r="G1516" s="11" t="s">
        <v>56</v>
      </c>
      <c r="H1516" s="10" t="s">
        <v>2457</v>
      </c>
      <c r="I1516" s="6" t="s">
        <v>2458</v>
      </c>
      <c r="J1516" s="12">
        <v>46120.468124999999</v>
      </c>
      <c r="K1516" s="6" t="e" cm="1">
        <f t="array" ref="K1516">LOOKUP(2^15,SEARCH(Tabela2[Palavras-Chave],Boletim[[#This Row],[Objeto]],1),Tabela2[Palavras-Chave])</f>
        <v>#N/A</v>
      </c>
    </row>
    <row r="1517" spans="1:11" hidden="1" x14ac:dyDescent="0.3">
      <c r="A1517" s="5">
        <v>18764975</v>
      </c>
      <c r="B1517" s="6" t="s">
        <v>2459</v>
      </c>
      <c r="C1517" s="6" t="s">
        <v>2460</v>
      </c>
      <c r="D1517" s="8" t="s">
        <v>63</v>
      </c>
      <c r="E1517" s="6" t="s">
        <v>117</v>
      </c>
      <c r="F1517" s="6" t="s">
        <v>95</v>
      </c>
      <c r="G1517" s="11">
        <v>46135.354166666664</v>
      </c>
      <c r="H1517" s="10" t="s">
        <v>2461</v>
      </c>
      <c r="I1517" s="6" t="s">
        <v>2462</v>
      </c>
      <c r="J1517" s="12">
        <v>46120.580590277779</v>
      </c>
      <c r="K1517" s="6" t="e" cm="1">
        <f t="array" ref="K1517">LOOKUP(2^15,SEARCH(Tabela2[Palavras-Chave],Boletim[[#This Row],[Objeto]],1),Tabela2[Palavras-Chave])</f>
        <v>#N/A</v>
      </c>
    </row>
    <row r="1518" spans="1:11" hidden="1" x14ac:dyDescent="0.3">
      <c r="A1518" s="5">
        <v>18716142</v>
      </c>
      <c r="B1518" s="6" t="s">
        <v>3364</v>
      </c>
      <c r="C1518" s="6" t="s">
        <v>3365</v>
      </c>
      <c r="D1518" s="8" t="s">
        <v>64</v>
      </c>
      <c r="E1518" s="6" t="s">
        <v>3366</v>
      </c>
      <c r="F1518" s="6" t="s">
        <v>95</v>
      </c>
      <c r="G1518" s="11">
        <v>46140.375</v>
      </c>
      <c r="H1518" s="10" t="s">
        <v>3367</v>
      </c>
      <c r="I1518" s="6" t="s">
        <v>3368</v>
      </c>
      <c r="J1518" s="12">
        <v>46120.575740740744</v>
      </c>
      <c r="K1518" s="6" t="e" cm="1">
        <f t="array" ref="K1518">LOOKUP(2^15,SEARCH(Tabela2[Palavras-Chave],Boletim[[#This Row],[Objeto]],1),Tabela2[Palavras-Chave])</f>
        <v>#N/A</v>
      </c>
    </row>
    <row r="1519" spans="1:11" hidden="1" x14ac:dyDescent="0.3">
      <c r="A1519" s="5">
        <v>18698834</v>
      </c>
      <c r="B1519" s="6" t="s">
        <v>2463</v>
      </c>
      <c r="C1519" s="6" t="s">
        <v>2464</v>
      </c>
      <c r="D1519" s="8" t="s">
        <v>64</v>
      </c>
      <c r="E1519" s="6" t="s">
        <v>115</v>
      </c>
      <c r="F1519" s="6" t="s">
        <v>95</v>
      </c>
      <c r="G1519" s="11" t="s">
        <v>56</v>
      </c>
      <c r="H1519" s="10" t="s">
        <v>2465</v>
      </c>
      <c r="I1519" s="6" t="s">
        <v>2466</v>
      </c>
      <c r="J1519" s="12">
        <v>46120.773946759262</v>
      </c>
      <c r="K1519" s="6" t="e" cm="1">
        <f t="array" ref="K1519">LOOKUP(2^15,SEARCH(Tabela2[Palavras-Chave],Boletim[[#This Row],[Objeto]],1),Tabela2[Palavras-Chave])</f>
        <v>#N/A</v>
      </c>
    </row>
    <row r="1520" spans="1:11" hidden="1" x14ac:dyDescent="0.3">
      <c r="A1520" s="5">
        <v>18792917</v>
      </c>
      <c r="B1520" s="6" t="s">
        <v>3369</v>
      </c>
      <c r="C1520" s="6" t="s">
        <v>3370</v>
      </c>
      <c r="D1520" s="8" t="s">
        <v>64</v>
      </c>
      <c r="E1520" s="6" t="s">
        <v>174</v>
      </c>
      <c r="F1520" s="6" t="s">
        <v>95</v>
      </c>
      <c r="G1520" s="11">
        <v>46135.354166666664</v>
      </c>
      <c r="H1520" s="10" t="s">
        <v>3371</v>
      </c>
      <c r="I1520" s="6" t="s">
        <v>3372</v>
      </c>
      <c r="J1520" s="12">
        <v>46120.844351851854</v>
      </c>
      <c r="K1520" s="6" t="e" cm="1">
        <f t="array" ref="K1520">LOOKUP(2^15,SEARCH(Tabela2[Palavras-Chave],Boletim[[#This Row],[Objeto]],1),Tabela2[Palavras-Chave])</f>
        <v>#N/A</v>
      </c>
    </row>
    <row r="1521" spans="1:11" hidden="1" x14ac:dyDescent="0.3">
      <c r="A1521" s="5">
        <v>18758968</v>
      </c>
      <c r="B1521" s="6" t="s">
        <v>2467</v>
      </c>
      <c r="C1521" s="6" t="s">
        <v>2468</v>
      </c>
      <c r="D1521" s="8" t="s">
        <v>89</v>
      </c>
      <c r="E1521" s="6" t="s">
        <v>115</v>
      </c>
      <c r="F1521" s="6" t="s">
        <v>95</v>
      </c>
      <c r="G1521" s="11" t="s">
        <v>56</v>
      </c>
      <c r="H1521" s="10" t="s">
        <v>2469</v>
      </c>
      <c r="I1521" s="6" t="s">
        <v>2470</v>
      </c>
      <c r="J1521" s="12">
        <v>46120.482673611114</v>
      </c>
      <c r="K1521" s="6" t="e" cm="1">
        <f t="array" ref="K1521">LOOKUP(2^15,SEARCH(Tabela2[Palavras-Chave],Boletim[[#This Row],[Objeto]],1),Tabela2[Palavras-Chave])</f>
        <v>#N/A</v>
      </c>
    </row>
    <row r="1522" spans="1:11" hidden="1" x14ac:dyDescent="0.3">
      <c r="A1522" s="5">
        <v>18674424</v>
      </c>
      <c r="B1522" s="6" t="s">
        <v>2471</v>
      </c>
      <c r="C1522" s="6" t="s">
        <v>2472</v>
      </c>
      <c r="D1522" s="8" t="s">
        <v>66</v>
      </c>
      <c r="E1522" s="6" t="s">
        <v>146</v>
      </c>
      <c r="F1522" s="6" t="s">
        <v>95</v>
      </c>
      <c r="G1522" s="11" t="s">
        <v>56</v>
      </c>
      <c r="H1522" s="10" t="s">
        <v>2473</v>
      </c>
      <c r="I1522" s="6" t="s">
        <v>2474</v>
      </c>
      <c r="J1522" s="12">
        <v>46120.449386574073</v>
      </c>
      <c r="K1522" s="6" t="e" cm="1">
        <f t="array" ref="K1522">LOOKUP(2^15,SEARCH(Tabela2[Palavras-Chave],Boletim[[#This Row],[Objeto]],1),Tabela2[Palavras-Chave])</f>
        <v>#N/A</v>
      </c>
    </row>
    <row r="1523" spans="1:11" hidden="1" x14ac:dyDescent="0.3">
      <c r="A1523" s="5">
        <v>18782337</v>
      </c>
      <c r="B1523" s="6" t="s">
        <v>2475</v>
      </c>
      <c r="C1523" s="6" t="s">
        <v>2476</v>
      </c>
      <c r="D1523" s="8" t="s">
        <v>66</v>
      </c>
      <c r="E1523" s="6" t="s">
        <v>125</v>
      </c>
      <c r="F1523" s="6" t="s">
        <v>95</v>
      </c>
      <c r="G1523" s="11">
        <v>46126.375</v>
      </c>
      <c r="H1523" s="10" t="s">
        <v>2477</v>
      </c>
      <c r="I1523" s="6" t="s">
        <v>2478</v>
      </c>
      <c r="J1523" s="12">
        <v>46120.519490740742</v>
      </c>
      <c r="K1523" s="6" t="e" cm="1">
        <f t="array" ref="K1523">LOOKUP(2^15,SEARCH(Tabela2[Palavras-Chave],Boletim[[#This Row],[Objeto]],1),Tabela2[Palavras-Chave])</f>
        <v>#N/A</v>
      </c>
    </row>
    <row r="1524" spans="1:11" hidden="1" x14ac:dyDescent="0.3">
      <c r="A1524" s="5">
        <v>18717691</v>
      </c>
      <c r="B1524" s="6" t="s">
        <v>369</v>
      </c>
      <c r="C1524" s="6" t="s">
        <v>370</v>
      </c>
      <c r="D1524" s="8" t="s">
        <v>66</v>
      </c>
      <c r="E1524" s="6" t="s">
        <v>124</v>
      </c>
      <c r="F1524" s="6" t="s">
        <v>95</v>
      </c>
      <c r="G1524" s="11">
        <v>46134.375</v>
      </c>
      <c r="H1524" s="10" t="s">
        <v>2479</v>
      </c>
      <c r="I1524" s="6" t="s">
        <v>2480</v>
      </c>
      <c r="J1524" s="12">
        <v>46120.669490740744</v>
      </c>
      <c r="K1524" s="6" t="e" cm="1">
        <f t="array" ref="K1524">LOOKUP(2^15,SEARCH(Tabela2[Palavras-Chave],Boletim[[#This Row],[Objeto]],1),Tabela2[Palavras-Chave])</f>
        <v>#N/A</v>
      </c>
    </row>
    <row r="1525" spans="1:11" hidden="1" x14ac:dyDescent="0.3">
      <c r="A1525" s="5">
        <v>18717012</v>
      </c>
      <c r="B1525" s="6" t="s">
        <v>417</v>
      </c>
      <c r="C1525" s="6" t="s">
        <v>418</v>
      </c>
      <c r="D1525" s="8" t="s">
        <v>66</v>
      </c>
      <c r="E1525" s="6" t="s">
        <v>108</v>
      </c>
      <c r="F1525" s="6" t="s">
        <v>95</v>
      </c>
      <c r="G1525" s="11">
        <v>46139.3125</v>
      </c>
      <c r="H1525" s="10" t="s">
        <v>419</v>
      </c>
      <c r="I1525" s="6" t="s">
        <v>420</v>
      </c>
      <c r="J1525" s="12">
        <v>46120.777824074074</v>
      </c>
      <c r="K1525" s="6" t="e" cm="1">
        <f t="array" ref="K1525">LOOKUP(2^15,SEARCH(Tabela2[Palavras-Chave],Boletim[[#This Row],[Objeto]],1),Tabela2[Palavras-Chave])</f>
        <v>#N/A</v>
      </c>
    </row>
    <row r="1526" spans="1:11" hidden="1" x14ac:dyDescent="0.3">
      <c r="A1526" s="5">
        <v>18724058</v>
      </c>
      <c r="B1526" s="6" t="s">
        <v>361</v>
      </c>
      <c r="C1526" s="6" t="s">
        <v>362</v>
      </c>
      <c r="D1526" s="8" t="s">
        <v>66</v>
      </c>
      <c r="E1526" s="6" t="s">
        <v>120</v>
      </c>
      <c r="F1526" s="6" t="s">
        <v>95</v>
      </c>
      <c r="G1526" s="11" t="s">
        <v>56</v>
      </c>
      <c r="H1526" s="10" t="s">
        <v>2481</v>
      </c>
      <c r="I1526" s="6" t="s">
        <v>2482</v>
      </c>
      <c r="J1526" s="12">
        <v>46120.807615740741</v>
      </c>
      <c r="K1526" s="6" t="e" cm="1">
        <f t="array" ref="K1526">LOOKUP(2^15,SEARCH(Tabela2[Palavras-Chave],Boletim[[#This Row],[Objeto]],1),Tabela2[Palavras-Chave])</f>
        <v>#N/A</v>
      </c>
    </row>
    <row r="1527" spans="1:11" hidden="1" x14ac:dyDescent="0.3">
      <c r="A1527" s="5">
        <v>18648336</v>
      </c>
      <c r="B1527" s="6" t="s">
        <v>2483</v>
      </c>
      <c r="C1527" s="6" t="s">
        <v>2484</v>
      </c>
      <c r="D1527" s="8" t="s">
        <v>91</v>
      </c>
      <c r="E1527" s="6" t="s">
        <v>121</v>
      </c>
      <c r="F1527" s="6" t="s">
        <v>95</v>
      </c>
      <c r="G1527" s="11" t="s">
        <v>56</v>
      </c>
      <c r="H1527" s="10" t="s">
        <v>2485</v>
      </c>
      <c r="I1527" s="6" t="s">
        <v>2486</v>
      </c>
      <c r="J1527" s="12">
        <v>46120.454884259256</v>
      </c>
      <c r="K1527" s="6" t="e" cm="1">
        <f t="array" ref="K1527">LOOKUP(2^15,SEARCH(Tabela2[Palavras-Chave],Boletim[[#This Row],[Objeto]],1),Tabela2[Palavras-Chave])</f>
        <v>#N/A</v>
      </c>
    </row>
    <row r="1528" spans="1:11" hidden="1" x14ac:dyDescent="0.3">
      <c r="A1528" s="5">
        <v>18781985</v>
      </c>
      <c r="B1528" s="6" t="s">
        <v>2487</v>
      </c>
      <c r="C1528" s="6" t="s">
        <v>2488</v>
      </c>
      <c r="D1528" s="8" t="s">
        <v>91</v>
      </c>
      <c r="E1528" s="6" t="s">
        <v>115</v>
      </c>
      <c r="F1528" s="6" t="s">
        <v>95</v>
      </c>
      <c r="G1528" s="11">
        <v>46134.541666666664</v>
      </c>
      <c r="H1528" s="10" t="s">
        <v>2489</v>
      </c>
      <c r="I1528" s="6" t="s">
        <v>138</v>
      </c>
      <c r="J1528" s="12">
        <v>46120.62296296296</v>
      </c>
      <c r="K1528" s="6" t="e" cm="1">
        <f t="array" ref="K1528">LOOKUP(2^15,SEARCH(Tabela2[Palavras-Chave],Boletim[[#This Row],[Objeto]],1),Tabela2[Palavras-Chave])</f>
        <v>#N/A</v>
      </c>
    </row>
    <row r="1529" spans="1:11" hidden="1" x14ac:dyDescent="0.3">
      <c r="A1529" s="5">
        <v>18779148</v>
      </c>
      <c r="B1529" s="6" t="s">
        <v>2490</v>
      </c>
      <c r="C1529" s="6" t="s">
        <v>2491</v>
      </c>
      <c r="D1529" s="8" t="s">
        <v>70</v>
      </c>
      <c r="E1529" s="6" t="s">
        <v>128</v>
      </c>
      <c r="F1529" s="6" t="s">
        <v>95</v>
      </c>
      <c r="G1529" s="11">
        <v>46134.479166666664</v>
      </c>
      <c r="H1529" s="10" t="s">
        <v>2492</v>
      </c>
      <c r="I1529" s="6" t="s">
        <v>2493</v>
      </c>
      <c r="J1529" s="12">
        <v>46120.861562500002</v>
      </c>
      <c r="K1529" s="6" t="e" cm="1">
        <f t="array" ref="K1529">LOOKUP(2^15,SEARCH(Tabela2[Palavras-Chave],Boletim[[#This Row],[Objeto]],1),Tabela2[Palavras-Chave])</f>
        <v>#N/A</v>
      </c>
    </row>
    <row r="1530" spans="1:11" hidden="1" x14ac:dyDescent="0.3">
      <c r="A1530" s="5">
        <v>18786495</v>
      </c>
      <c r="B1530" s="6" t="s">
        <v>3373</v>
      </c>
      <c r="C1530" s="6" t="s">
        <v>3374</v>
      </c>
      <c r="D1530" s="8" t="s">
        <v>71</v>
      </c>
      <c r="E1530" s="6" t="s">
        <v>148</v>
      </c>
      <c r="F1530" s="6" t="s">
        <v>95</v>
      </c>
      <c r="G1530" s="11">
        <v>46134.375</v>
      </c>
      <c r="H1530" s="10" t="s">
        <v>3375</v>
      </c>
      <c r="I1530" s="6" t="s">
        <v>3376</v>
      </c>
      <c r="J1530" s="12">
        <v>46120.550185185188</v>
      </c>
      <c r="K1530" s="6" t="e" cm="1">
        <f t="array" ref="K1530">LOOKUP(2^15,SEARCH(Tabela2[Palavras-Chave],Boletim[[#This Row],[Objeto]],1),Tabela2[Palavras-Chave])</f>
        <v>#N/A</v>
      </c>
    </row>
    <row r="1531" spans="1:11" hidden="1" x14ac:dyDescent="0.3">
      <c r="A1531" s="5">
        <v>18796755</v>
      </c>
      <c r="B1531" s="6" t="s">
        <v>3377</v>
      </c>
      <c r="C1531" s="6" t="s">
        <v>3378</v>
      </c>
      <c r="D1531" s="8" t="s">
        <v>71</v>
      </c>
      <c r="E1531" s="6" t="s">
        <v>113</v>
      </c>
      <c r="F1531" s="6" t="s">
        <v>95</v>
      </c>
      <c r="G1531" s="11" t="s">
        <v>56</v>
      </c>
      <c r="H1531" s="10" t="s">
        <v>3379</v>
      </c>
      <c r="I1531" s="6" t="s">
        <v>3380</v>
      </c>
      <c r="J1531" s="12">
        <v>46120.697083333333</v>
      </c>
      <c r="K1531" s="6" t="e" cm="1">
        <f t="array" ref="K1531">LOOKUP(2^15,SEARCH(Tabela2[Palavras-Chave],Boletim[[#This Row],[Objeto]],1),Tabela2[Palavras-Chave])</f>
        <v>#N/A</v>
      </c>
    </row>
    <row r="1532" spans="1:11" hidden="1" x14ac:dyDescent="0.3">
      <c r="A1532" s="5">
        <v>18730650</v>
      </c>
      <c r="B1532" s="6" t="s">
        <v>2494</v>
      </c>
      <c r="C1532" s="6" t="s">
        <v>2495</v>
      </c>
      <c r="D1532" s="8" t="s">
        <v>72</v>
      </c>
      <c r="E1532" s="6" t="s">
        <v>178</v>
      </c>
      <c r="F1532" s="6" t="s">
        <v>95</v>
      </c>
      <c r="G1532" s="11" t="s">
        <v>56</v>
      </c>
      <c r="H1532" s="10" t="s">
        <v>2496</v>
      </c>
      <c r="I1532" s="6" t="s">
        <v>2497</v>
      </c>
      <c r="J1532" s="12">
        <v>46120.554918981485</v>
      </c>
      <c r="K1532" s="6" t="e" cm="1">
        <f t="array" ref="K1532">LOOKUP(2^15,SEARCH(Tabela2[Palavras-Chave],Boletim[[#This Row],[Objeto]],1),Tabela2[Palavras-Chave])</f>
        <v>#N/A</v>
      </c>
    </row>
    <row r="1533" spans="1:11" hidden="1" x14ac:dyDescent="0.3">
      <c r="A1533" s="5">
        <v>18754902</v>
      </c>
      <c r="B1533" s="6" t="s">
        <v>3381</v>
      </c>
      <c r="C1533" s="6" t="s">
        <v>3382</v>
      </c>
      <c r="D1533" s="8" t="s">
        <v>72</v>
      </c>
      <c r="E1533" s="6" t="s">
        <v>108</v>
      </c>
      <c r="F1533" s="6" t="s">
        <v>95</v>
      </c>
      <c r="G1533" s="11" t="s">
        <v>56</v>
      </c>
      <c r="H1533" s="10" t="s">
        <v>3383</v>
      </c>
      <c r="I1533" s="6" t="s">
        <v>3384</v>
      </c>
      <c r="J1533" s="12">
        <v>46120.565324074072</v>
      </c>
      <c r="K1533" s="6" t="e" cm="1">
        <f t="array" ref="K1533">LOOKUP(2^15,SEARCH(Tabela2[Palavras-Chave],Boletim[[#This Row],[Objeto]],1),Tabela2[Palavras-Chave])</f>
        <v>#N/A</v>
      </c>
    </row>
    <row r="1534" spans="1:11" hidden="1" x14ac:dyDescent="0.3">
      <c r="A1534" s="5">
        <v>18521553</v>
      </c>
      <c r="B1534" s="6" t="s">
        <v>74</v>
      </c>
      <c r="C1534" s="6" t="s">
        <v>75</v>
      </c>
      <c r="D1534" s="8" t="s">
        <v>76</v>
      </c>
      <c r="E1534" s="6" t="s">
        <v>2566</v>
      </c>
      <c r="F1534" s="6" t="s">
        <v>95</v>
      </c>
      <c r="G1534" s="11" t="s">
        <v>56</v>
      </c>
      <c r="H1534" s="10" t="s">
        <v>2567</v>
      </c>
      <c r="I1534" s="6" t="s">
        <v>2568</v>
      </c>
      <c r="J1534" s="12">
        <v>46120.465451388889</v>
      </c>
      <c r="K1534" s="6" t="e" cm="1">
        <f t="array" ref="K1534">LOOKUP(2^15,SEARCH(Tabela2[Palavras-Chave],Boletim[[#This Row],[Objeto]],1),Tabela2[Palavras-Chave])</f>
        <v>#N/A</v>
      </c>
    </row>
    <row r="1535" spans="1:11" hidden="1" x14ac:dyDescent="0.3">
      <c r="A1535" s="5">
        <v>18735547</v>
      </c>
      <c r="B1535" s="6" t="s">
        <v>74</v>
      </c>
      <c r="C1535" s="6" t="s">
        <v>75</v>
      </c>
      <c r="D1535" s="8" t="s">
        <v>76</v>
      </c>
      <c r="E1535" s="6" t="s">
        <v>2456</v>
      </c>
      <c r="F1535" s="6" t="s">
        <v>95</v>
      </c>
      <c r="G1535" s="11" t="s">
        <v>56</v>
      </c>
      <c r="H1535" s="10" t="s">
        <v>2457</v>
      </c>
      <c r="I1535" s="6" t="s">
        <v>2458</v>
      </c>
      <c r="J1535" s="12">
        <v>46120.465810185182</v>
      </c>
      <c r="K1535" s="6" t="e" cm="1">
        <f t="array" ref="K1535">LOOKUP(2^15,SEARCH(Tabela2[Palavras-Chave],Boletim[[#This Row],[Objeto]],1),Tabela2[Palavras-Chave])</f>
        <v>#N/A</v>
      </c>
    </row>
    <row r="1536" spans="1:11" hidden="1" x14ac:dyDescent="0.3">
      <c r="A1536" s="5">
        <v>18770007</v>
      </c>
      <c r="B1536" s="6" t="s">
        <v>74</v>
      </c>
      <c r="C1536" s="6" t="s">
        <v>75</v>
      </c>
      <c r="D1536" s="8" t="s">
        <v>76</v>
      </c>
      <c r="E1536" s="6" t="s">
        <v>2441</v>
      </c>
      <c r="F1536" s="6" t="s">
        <v>95</v>
      </c>
      <c r="G1536" s="11" t="s">
        <v>56</v>
      </c>
      <c r="H1536" s="10" t="s">
        <v>2442</v>
      </c>
      <c r="I1536" s="6" t="s">
        <v>2443</v>
      </c>
      <c r="J1536" s="12">
        <v>46120.465902777774</v>
      </c>
      <c r="K1536" s="6" t="e" cm="1">
        <f t="array" ref="K1536">LOOKUP(2^15,SEARCH(Tabela2[Palavras-Chave],Boletim[[#This Row],[Objeto]],1),Tabela2[Palavras-Chave])</f>
        <v>#N/A</v>
      </c>
    </row>
    <row r="1537" spans="1:11" hidden="1" x14ac:dyDescent="0.3">
      <c r="A1537" s="5">
        <v>18796302</v>
      </c>
      <c r="B1537" s="6" t="s">
        <v>74</v>
      </c>
      <c r="C1537" s="6" t="s">
        <v>75</v>
      </c>
      <c r="D1537" s="8" t="s">
        <v>76</v>
      </c>
      <c r="E1537" s="6" t="s">
        <v>2498</v>
      </c>
      <c r="F1537" s="6" t="s">
        <v>95</v>
      </c>
      <c r="G1537" s="11" t="s">
        <v>56</v>
      </c>
      <c r="H1537" s="10" t="s">
        <v>2499</v>
      </c>
      <c r="I1537" s="6" t="s">
        <v>2500</v>
      </c>
      <c r="J1537" s="12">
        <v>46120.466898148145</v>
      </c>
      <c r="K1537" s="6" t="e" cm="1">
        <f t="array" ref="K1537">LOOKUP(2^15,SEARCH(Tabela2[Palavras-Chave],Boletim[[#This Row],[Objeto]],1),Tabela2[Palavras-Chave])</f>
        <v>#N/A</v>
      </c>
    </row>
    <row r="1538" spans="1:11" ht="72" x14ac:dyDescent="0.3">
      <c r="A1538" s="5">
        <v>18796307</v>
      </c>
      <c r="B1538" s="6" t="s">
        <v>74</v>
      </c>
      <c r="C1538" s="6" t="s">
        <v>75</v>
      </c>
      <c r="D1538" s="8" t="s">
        <v>76</v>
      </c>
      <c r="E1538" s="6" t="s">
        <v>2501</v>
      </c>
      <c r="F1538" s="6" t="s">
        <v>95</v>
      </c>
      <c r="G1538" s="11" t="s">
        <v>56</v>
      </c>
      <c r="H1538" s="21" t="s">
        <v>2502</v>
      </c>
      <c r="I1538" s="6" t="s">
        <v>2503</v>
      </c>
      <c r="J1538" s="12">
        <v>46120.467106481483</v>
      </c>
      <c r="K1538" s="6" t="str" cm="1">
        <f t="array" ref="K1538">LOOKUP(2^15,SEARCH(Tabela2[Palavras-Chave],Boletim[[#This Row],[Objeto]],1),Tabela2[Palavras-Chave])</f>
        <v>TANQUE</v>
      </c>
    </row>
    <row r="1539" spans="1:11" hidden="1" x14ac:dyDescent="0.3">
      <c r="A1539" s="5">
        <v>18597832</v>
      </c>
      <c r="B1539" s="6" t="s">
        <v>241</v>
      </c>
      <c r="C1539" s="6" t="s">
        <v>75</v>
      </c>
      <c r="D1539" s="8" t="s">
        <v>76</v>
      </c>
      <c r="E1539" s="6" t="s">
        <v>2504</v>
      </c>
      <c r="F1539" s="6" t="s">
        <v>95</v>
      </c>
      <c r="G1539" s="11" t="s">
        <v>56</v>
      </c>
      <c r="H1539" s="10" t="s">
        <v>2505</v>
      </c>
      <c r="I1539" s="6" t="s">
        <v>2506</v>
      </c>
      <c r="J1539" s="12">
        <v>46120.547974537039</v>
      </c>
      <c r="K1539" s="6" t="e" cm="1">
        <f t="array" ref="K1539">LOOKUP(2^15,SEARCH(Tabela2[Palavras-Chave],Boletim[[#This Row],[Objeto]],1),Tabela2[Palavras-Chave])</f>
        <v>#N/A</v>
      </c>
    </row>
    <row r="1540" spans="1:11" hidden="1" x14ac:dyDescent="0.3">
      <c r="A1540" s="5">
        <v>18725654</v>
      </c>
      <c r="B1540" s="6" t="s">
        <v>2507</v>
      </c>
      <c r="C1540" s="6" t="s">
        <v>2508</v>
      </c>
      <c r="D1540" s="8" t="s">
        <v>76</v>
      </c>
      <c r="E1540" s="6" t="s">
        <v>157</v>
      </c>
      <c r="F1540" s="6" t="s">
        <v>95</v>
      </c>
      <c r="G1540" s="11" t="s">
        <v>56</v>
      </c>
      <c r="H1540" s="10" t="s">
        <v>2509</v>
      </c>
      <c r="I1540" s="6" t="s">
        <v>2510</v>
      </c>
      <c r="J1540" s="12">
        <v>46120.560416666667</v>
      </c>
      <c r="K1540" s="6" t="e" cm="1">
        <f t="array" ref="K1540">LOOKUP(2^15,SEARCH(Tabela2[Palavras-Chave],Boletim[[#This Row],[Objeto]],1),Tabela2[Palavras-Chave])</f>
        <v>#N/A</v>
      </c>
    </row>
    <row r="1541" spans="1:11" hidden="1" x14ac:dyDescent="0.3">
      <c r="A1541" s="5">
        <v>18796315</v>
      </c>
      <c r="B1541" s="6" t="s">
        <v>74</v>
      </c>
      <c r="C1541" s="6" t="s">
        <v>75</v>
      </c>
      <c r="D1541" s="8" t="s">
        <v>76</v>
      </c>
      <c r="E1541" s="6" t="s">
        <v>2511</v>
      </c>
      <c r="F1541" s="6" t="s">
        <v>95</v>
      </c>
      <c r="G1541" s="11" t="s">
        <v>56</v>
      </c>
      <c r="H1541" s="10" t="s">
        <v>2512</v>
      </c>
      <c r="I1541" s="6" t="s">
        <v>2513</v>
      </c>
      <c r="J1541" s="12">
        <v>46120.652916666666</v>
      </c>
      <c r="K1541" s="6" t="e" cm="1">
        <f t="array" ref="K1541">LOOKUP(2^15,SEARCH(Tabela2[Palavras-Chave],Boletim[[#This Row],[Objeto]],1),Tabela2[Palavras-Chave])</f>
        <v>#N/A</v>
      </c>
    </row>
    <row r="1542" spans="1:11" hidden="1" x14ac:dyDescent="0.3">
      <c r="A1542" s="5">
        <v>18799021</v>
      </c>
      <c r="B1542" s="6" t="s">
        <v>2514</v>
      </c>
      <c r="C1542" s="6" t="s">
        <v>2515</v>
      </c>
      <c r="D1542" s="8" t="s">
        <v>77</v>
      </c>
      <c r="E1542" s="6" t="s">
        <v>127</v>
      </c>
      <c r="F1542" s="6" t="s">
        <v>95</v>
      </c>
      <c r="G1542" s="11" t="s">
        <v>56</v>
      </c>
      <c r="H1542" s="10" t="s">
        <v>2516</v>
      </c>
      <c r="I1542" s="6" t="s">
        <v>2517</v>
      </c>
      <c r="J1542" s="12">
        <v>46120.656354166669</v>
      </c>
      <c r="K1542" s="6" t="e" cm="1">
        <f t="array" ref="K1542">LOOKUP(2^15,SEARCH(Tabela2[Palavras-Chave],Boletim[[#This Row],[Objeto]],1),Tabela2[Palavras-Chave])</f>
        <v>#N/A</v>
      </c>
    </row>
    <row r="1543" spans="1:11" hidden="1" x14ac:dyDescent="0.3">
      <c r="A1543" s="5">
        <v>18801211</v>
      </c>
      <c r="B1543" s="6" t="s">
        <v>2514</v>
      </c>
      <c r="C1543" s="6" t="s">
        <v>2515</v>
      </c>
      <c r="D1543" s="8" t="s">
        <v>77</v>
      </c>
      <c r="E1543" s="6" t="s">
        <v>113</v>
      </c>
      <c r="F1543" s="6" t="s">
        <v>95</v>
      </c>
      <c r="G1543" s="11" t="s">
        <v>56</v>
      </c>
      <c r="H1543" s="10" t="s">
        <v>2518</v>
      </c>
      <c r="I1543" s="6" t="s">
        <v>2519</v>
      </c>
      <c r="J1543" s="12">
        <v>46120.658425925925</v>
      </c>
      <c r="K1543" s="6" t="e" cm="1">
        <f t="array" ref="K1543">LOOKUP(2^15,SEARCH(Tabela2[Palavras-Chave],Boletim[[#This Row],[Objeto]],1),Tabela2[Palavras-Chave])</f>
        <v>#N/A</v>
      </c>
    </row>
    <row r="1544" spans="1:11" hidden="1" x14ac:dyDescent="0.3">
      <c r="A1544" s="5">
        <v>18733017</v>
      </c>
      <c r="B1544" s="6" t="s">
        <v>1974</v>
      </c>
      <c r="C1544" s="6" t="s">
        <v>1975</v>
      </c>
      <c r="D1544" s="8" t="s">
        <v>77</v>
      </c>
      <c r="E1544" s="6" t="s">
        <v>106</v>
      </c>
      <c r="F1544" s="6" t="s">
        <v>95</v>
      </c>
      <c r="G1544" s="11">
        <v>46135.354166666664</v>
      </c>
      <c r="H1544" s="10" t="s">
        <v>2520</v>
      </c>
      <c r="I1544" s="6" t="s">
        <v>2521</v>
      </c>
      <c r="J1544" s="12">
        <v>46120.721608796295</v>
      </c>
      <c r="K1544" s="6" t="e" cm="1">
        <f t="array" ref="K1544">LOOKUP(2^15,SEARCH(Tabela2[Palavras-Chave],Boletim[[#This Row],[Objeto]],1),Tabela2[Palavras-Chave])</f>
        <v>#N/A</v>
      </c>
    </row>
    <row r="1545" spans="1:11" hidden="1" x14ac:dyDescent="0.3">
      <c r="A1545" s="5">
        <v>18793507</v>
      </c>
      <c r="B1545" s="6" t="s">
        <v>1984</v>
      </c>
      <c r="C1545" s="6" t="s">
        <v>136</v>
      </c>
      <c r="D1545" s="8" t="s">
        <v>78</v>
      </c>
      <c r="E1545" s="6" t="s">
        <v>2522</v>
      </c>
      <c r="F1545" s="6" t="s">
        <v>95</v>
      </c>
      <c r="G1545" s="11" t="s">
        <v>56</v>
      </c>
      <c r="H1545" s="10" t="s">
        <v>2523</v>
      </c>
      <c r="I1545" s="6" t="s">
        <v>2524</v>
      </c>
      <c r="J1545" s="12">
        <v>46120.554907407408</v>
      </c>
      <c r="K1545" s="6" t="e" cm="1">
        <f t="array" ref="K1545">LOOKUP(2^15,SEARCH(Tabela2[Palavras-Chave],Boletim[[#This Row],[Objeto]],1),Tabela2[Palavras-Chave])</f>
        <v>#N/A</v>
      </c>
    </row>
    <row r="1546" spans="1:11" hidden="1" x14ac:dyDescent="0.3">
      <c r="A1546" s="5">
        <v>18800863</v>
      </c>
      <c r="B1546" s="6" t="s">
        <v>2525</v>
      </c>
      <c r="C1546" s="6" t="s">
        <v>136</v>
      </c>
      <c r="D1546" s="8" t="s">
        <v>78</v>
      </c>
      <c r="E1546" s="6" t="s">
        <v>129</v>
      </c>
      <c r="F1546" s="6" t="s">
        <v>95</v>
      </c>
      <c r="G1546" s="11">
        <v>46126.375</v>
      </c>
      <c r="H1546" s="10" t="s">
        <v>2526</v>
      </c>
      <c r="I1546" s="6" t="s">
        <v>2527</v>
      </c>
      <c r="J1546" s="12">
        <v>46120.821562500001</v>
      </c>
      <c r="K1546" s="6" t="e" cm="1">
        <f t="array" ref="K1546">LOOKUP(2^15,SEARCH(Tabela2[Palavras-Chave],Boletim[[#This Row],[Objeto]],1),Tabela2[Palavras-Chave])</f>
        <v>#N/A</v>
      </c>
    </row>
    <row r="1547" spans="1:11" ht="72" x14ac:dyDescent="0.3">
      <c r="A1547" s="5">
        <v>18802282</v>
      </c>
      <c r="B1547" s="6" t="s">
        <v>74</v>
      </c>
      <c r="C1547" s="6" t="s">
        <v>79</v>
      </c>
      <c r="D1547" s="8" t="s">
        <v>80</v>
      </c>
      <c r="E1547" s="6" t="s">
        <v>2501</v>
      </c>
      <c r="F1547" s="6" t="s">
        <v>95</v>
      </c>
      <c r="G1547" s="11" t="s">
        <v>56</v>
      </c>
      <c r="H1547" s="21" t="s">
        <v>2502</v>
      </c>
      <c r="I1547" s="6" t="s">
        <v>2503</v>
      </c>
      <c r="J1547" s="12">
        <v>46120.469490740739</v>
      </c>
      <c r="K1547" s="6" t="str" cm="1">
        <f t="array" ref="K1547">LOOKUP(2^15,SEARCH(Tabela2[Palavras-Chave],Boletim[[#This Row],[Objeto]],1),Tabela2[Palavras-Chave])</f>
        <v>TANQUE</v>
      </c>
    </row>
    <row r="1548" spans="1:11" hidden="1" x14ac:dyDescent="0.3">
      <c r="A1548" s="5">
        <v>18785341</v>
      </c>
      <c r="B1548" s="6" t="s">
        <v>2528</v>
      </c>
      <c r="C1548" s="6" t="s">
        <v>442</v>
      </c>
      <c r="D1548" s="8" t="s">
        <v>80</v>
      </c>
      <c r="E1548" s="6" t="s">
        <v>224</v>
      </c>
      <c r="F1548" s="6" t="s">
        <v>95</v>
      </c>
      <c r="G1548" s="11">
        <v>46136.333333333336</v>
      </c>
      <c r="H1548" s="10" t="s">
        <v>2529</v>
      </c>
      <c r="I1548" s="6" t="s">
        <v>2530</v>
      </c>
      <c r="J1548" s="12">
        <v>46120.521319444444</v>
      </c>
      <c r="K1548" s="6" t="e" cm="1">
        <f t="array" ref="K1548">LOOKUP(2^15,SEARCH(Tabela2[Palavras-Chave],Boletim[[#This Row],[Objeto]],1),Tabela2[Palavras-Chave])</f>
        <v>#N/A</v>
      </c>
    </row>
    <row r="1549" spans="1:11" hidden="1" x14ac:dyDescent="0.3">
      <c r="A1549" s="5">
        <v>18722922</v>
      </c>
      <c r="B1549" s="6" t="s">
        <v>2531</v>
      </c>
      <c r="C1549" s="6" t="s">
        <v>2532</v>
      </c>
      <c r="D1549" s="8" t="s">
        <v>80</v>
      </c>
      <c r="E1549" s="6" t="s">
        <v>461</v>
      </c>
      <c r="F1549" s="6" t="s">
        <v>95</v>
      </c>
      <c r="G1549" s="11">
        <v>46139.340277777781</v>
      </c>
      <c r="H1549" s="10" t="s">
        <v>2533</v>
      </c>
      <c r="I1549" s="6" t="s">
        <v>2534</v>
      </c>
      <c r="J1549" s="12">
        <v>46120.579594907409</v>
      </c>
      <c r="K1549" s="6" t="e" cm="1">
        <f t="array" ref="K1549">LOOKUP(2^15,SEARCH(Tabela2[Palavras-Chave],Boletim[[#This Row],[Objeto]],1),Tabela2[Palavras-Chave])</f>
        <v>#N/A</v>
      </c>
    </row>
    <row r="1550" spans="1:11" hidden="1" x14ac:dyDescent="0.3">
      <c r="A1550" s="5">
        <v>18610831</v>
      </c>
      <c r="B1550" s="6" t="s">
        <v>2535</v>
      </c>
      <c r="C1550" s="6" t="s">
        <v>2536</v>
      </c>
      <c r="D1550" s="8" t="s">
        <v>80</v>
      </c>
      <c r="E1550" s="6" t="s">
        <v>120</v>
      </c>
      <c r="F1550" s="6" t="s">
        <v>95</v>
      </c>
      <c r="G1550" s="11">
        <v>46146.353472222225</v>
      </c>
      <c r="H1550" s="10" t="s">
        <v>2537</v>
      </c>
      <c r="I1550" s="6" t="s">
        <v>2538</v>
      </c>
      <c r="J1550" s="12">
        <v>46120.579710648148</v>
      </c>
      <c r="K1550" s="6" t="e" cm="1">
        <f t="array" ref="K1550">LOOKUP(2^15,SEARCH(Tabela2[Palavras-Chave],Boletim[[#This Row],[Objeto]],1),Tabela2[Palavras-Chave])</f>
        <v>#N/A</v>
      </c>
    </row>
    <row r="1551" spans="1:11" hidden="1" x14ac:dyDescent="0.3">
      <c r="A1551" s="5">
        <v>18755244</v>
      </c>
      <c r="B1551" s="6" t="s">
        <v>2539</v>
      </c>
      <c r="C1551" s="6" t="s">
        <v>2540</v>
      </c>
      <c r="D1551" s="8" t="s">
        <v>80</v>
      </c>
      <c r="E1551" s="6" t="s">
        <v>107</v>
      </c>
      <c r="F1551" s="6" t="s">
        <v>95</v>
      </c>
      <c r="G1551" s="11">
        <v>46141.353472222225</v>
      </c>
      <c r="H1551" s="10" t="s">
        <v>2541</v>
      </c>
      <c r="I1551" s="6" t="s">
        <v>2542</v>
      </c>
      <c r="J1551" s="12">
        <v>46120.654780092591</v>
      </c>
      <c r="K1551" s="6" t="e" cm="1">
        <f t="array" ref="K1551">LOOKUP(2^15,SEARCH(Tabela2[Palavras-Chave],Boletim[[#This Row],[Objeto]],1),Tabela2[Palavras-Chave])</f>
        <v>#N/A</v>
      </c>
    </row>
    <row r="1552" spans="1:11" hidden="1" x14ac:dyDescent="0.3">
      <c r="A1552" s="5">
        <v>18721738</v>
      </c>
      <c r="B1552" s="6" t="s">
        <v>2543</v>
      </c>
      <c r="C1552" s="6" t="s">
        <v>2544</v>
      </c>
      <c r="D1552" s="8" t="s">
        <v>80</v>
      </c>
      <c r="E1552" s="6" t="s">
        <v>114</v>
      </c>
      <c r="F1552" s="6" t="s">
        <v>95</v>
      </c>
      <c r="G1552" s="11">
        <v>46141.333333333336</v>
      </c>
      <c r="H1552" s="10" t="s">
        <v>2545</v>
      </c>
      <c r="I1552" s="6" t="s">
        <v>2546</v>
      </c>
      <c r="J1552" s="12">
        <v>46120.655439814815</v>
      </c>
      <c r="K1552" s="6" t="e" cm="1">
        <f t="array" ref="K1552">LOOKUP(2^15,SEARCH(Tabela2[Palavras-Chave],Boletim[[#This Row],[Objeto]],1),Tabela2[Palavras-Chave])</f>
        <v>#N/A</v>
      </c>
    </row>
    <row r="1553" spans="1:11" hidden="1" x14ac:dyDescent="0.3">
      <c r="A1553" s="5">
        <v>18759982</v>
      </c>
      <c r="B1553" s="6" t="s">
        <v>2547</v>
      </c>
      <c r="C1553" s="6" t="s">
        <v>2548</v>
      </c>
      <c r="D1553" s="8" t="s">
        <v>80</v>
      </c>
      <c r="E1553" s="6" t="s">
        <v>134</v>
      </c>
      <c r="F1553" s="6" t="s">
        <v>95</v>
      </c>
      <c r="G1553" s="11">
        <v>46135.561805555553</v>
      </c>
      <c r="H1553" s="10" t="s">
        <v>2549</v>
      </c>
      <c r="I1553" s="6" t="s">
        <v>2550</v>
      </c>
      <c r="J1553" s="12">
        <v>46120.863217592596</v>
      </c>
      <c r="K1553" s="6" t="e" cm="1">
        <f t="array" ref="K1553">LOOKUP(2^15,SEARCH(Tabela2[Palavras-Chave],Boletim[[#This Row],[Objeto]],1),Tabela2[Palavras-Chave])</f>
        <v>#N/A</v>
      </c>
    </row>
    <row r="1554" spans="1:11" hidden="1" x14ac:dyDescent="0.3">
      <c r="A1554" s="5">
        <v>18306381</v>
      </c>
      <c r="B1554" s="6" t="s">
        <v>2551</v>
      </c>
      <c r="C1554" s="6" t="s">
        <v>2552</v>
      </c>
      <c r="D1554" s="8" t="s">
        <v>81</v>
      </c>
      <c r="E1554" s="6" t="s">
        <v>2553</v>
      </c>
      <c r="F1554" s="6" t="s">
        <v>95</v>
      </c>
      <c r="G1554" s="11" t="s">
        <v>56</v>
      </c>
      <c r="H1554" s="10" t="s">
        <v>2554</v>
      </c>
      <c r="I1554" s="6" t="s">
        <v>2555</v>
      </c>
      <c r="J1554" s="12">
        <v>46120.731979166667</v>
      </c>
      <c r="K1554" s="6" t="e" cm="1">
        <f t="array" ref="K1554">LOOKUP(2^15,SEARCH(Tabela2[Palavras-Chave],Boletim[[#This Row],[Objeto]],1),Tabela2[Palavras-Chave])</f>
        <v>#N/A</v>
      </c>
    </row>
    <row r="1555" spans="1:11" hidden="1" x14ac:dyDescent="0.3">
      <c r="A1555" s="5">
        <v>18697455</v>
      </c>
      <c r="B1555" s="6" t="s">
        <v>291</v>
      </c>
      <c r="C1555" s="6" t="s">
        <v>292</v>
      </c>
      <c r="D1555" s="8" t="s">
        <v>81</v>
      </c>
      <c r="E1555" s="6" t="s">
        <v>117</v>
      </c>
      <c r="F1555" s="6" t="s">
        <v>95</v>
      </c>
      <c r="G1555" s="11">
        <v>46147.375</v>
      </c>
      <c r="H1555" s="10" t="s">
        <v>2556</v>
      </c>
      <c r="I1555" s="6" t="s">
        <v>2557</v>
      </c>
      <c r="J1555" s="12">
        <v>46120.73269675926</v>
      </c>
      <c r="K1555" s="6" t="e" cm="1">
        <f t="array" ref="K1555">LOOKUP(2^15,SEARCH(Tabela2[Palavras-Chave],Boletim[[#This Row],[Objeto]],1),Tabela2[Palavras-Chave])</f>
        <v>#N/A</v>
      </c>
    </row>
    <row r="1556" spans="1:11" hidden="1" x14ac:dyDescent="0.3">
      <c r="A1556" s="5">
        <v>18802542</v>
      </c>
      <c r="B1556" s="6" t="s">
        <v>175</v>
      </c>
      <c r="C1556" s="6" t="s">
        <v>104</v>
      </c>
      <c r="D1556" s="8" t="s">
        <v>81</v>
      </c>
      <c r="E1556" s="6" t="s">
        <v>3385</v>
      </c>
      <c r="F1556" s="6" t="s">
        <v>95</v>
      </c>
      <c r="G1556" s="11" t="s">
        <v>56</v>
      </c>
      <c r="H1556" s="10" t="s">
        <v>3386</v>
      </c>
      <c r="I1556" s="6" t="s">
        <v>3387</v>
      </c>
      <c r="J1556" s="12">
        <v>46120.847083333334</v>
      </c>
      <c r="K1556" s="6" t="e" cm="1">
        <f t="array" ref="K1556">LOOKUP(2^15,SEARCH(Tabela2[Palavras-Chave],Boletim[[#This Row],[Objeto]],1),Tabela2[Palavras-Chave])</f>
        <v>#N/A</v>
      </c>
    </row>
    <row r="1557" spans="1:11" hidden="1" x14ac:dyDescent="0.3">
      <c r="A1557" s="5">
        <v>18795523</v>
      </c>
      <c r="B1557" s="6" t="s">
        <v>2558</v>
      </c>
      <c r="C1557" s="6" t="s">
        <v>2559</v>
      </c>
      <c r="D1557" s="8" t="s">
        <v>93</v>
      </c>
      <c r="E1557" s="6" t="s">
        <v>115</v>
      </c>
      <c r="F1557" s="6" t="s">
        <v>95</v>
      </c>
      <c r="G1557" s="11" t="s">
        <v>56</v>
      </c>
      <c r="H1557" s="10" t="s">
        <v>2560</v>
      </c>
      <c r="I1557" s="6" t="s">
        <v>2561</v>
      </c>
      <c r="J1557" s="12">
        <v>46120.552673611113</v>
      </c>
      <c r="K1557" s="6" t="e" cm="1">
        <f t="array" ref="K1557">LOOKUP(2^15,SEARCH(Tabela2[Palavras-Chave],Boletim[[#This Row],[Objeto]],1),Tabela2[Palavras-Chave])</f>
        <v>#N/A</v>
      </c>
    </row>
    <row r="1558" spans="1:11" hidden="1" x14ac:dyDescent="0.3">
      <c r="A1558" s="5">
        <v>18724117</v>
      </c>
      <c r="B1558" s="6" t="s">
        <v>2562</v>
      </c>
      <c r="C1558" s="6" t="s">
        <v>2563</v>
      </c>
      <c r="D1558" s="8" t="s">
        <v>82</v>
      </c>
      <c r="E1558" s="6" t="s">
        <v>128</v>
      </c>
      <c r="F1558" s="6" t="s">
        <v>95</v>
      </c>
      <c r="G1558" s="11" t="s">
        <v>56</v>
      </c>
      <c r="H1558" s="10" t="s">
        <v>2564</v>
      </c>
      <c r="I1558" s="6" t="s">
        <v>2565</v>
      </c>
      <c r="J1558" s="12">
        <v>46120.388368055559</v>
      </c>
      <c r="K1558" s="6" t="e" cm="1">
        <f t="array" ref="K1558">LOOKUP(2^15,SEARCH(Tabela2[Palavras-Chave],Boletim[[#This Row],[Objeto]],1),Tabela2[Palavras-Chave])</f>
        <v>#N/A</v>
      </c>
    </row>
    <row r="1559" spans="1:11" hidden="1" x14ac:dyDescent="0.3">
      <c r="A1559" s="5">
        <v>18521554</v>
      </c>
      <c r="B1559" s="6" t="s">
        <v>74</v>
      </c>
      <c r="C1559" s="6" t="s">
        <v>83</v>
      </c>
      <c r="D1559" s="8" t="s">
        <v>82</v>
      </c>
      <c r="E1559" s="6" t="s">
        <v>2566</v>
      </c>
      <c r="F1559" s="6" t="s">
        <v>95</v>
      </c>
      <c r="G1559" s="11" t="s">
        <v>56</v>
      </c>
      <c r="H1559" s="10" t="s">
        <v>2567</v>
      </c>
      <c r="I1559" s="6" t="s">
        <v>2568</v>
      </c>
      <c r="J1559" s="12">
        <v>46120.468090277776</v>
      </c>
      <c r="K1559" s="6" t="e" cm="1">
        <f t="array" ref="K1559">LOOKUP(2^15,SEARCH(Tabela2[Palavras-Chave],Boletim[[#This Row],[Objeto]],1),Tabela2[Palavras-Chave])</f>
        <v>#N/A</v>
      </c>
    </row>
    <row r="1560" spans="1:11" hidden="1" x14ac:dyDescent="0.3">
      <c r="A1560" s="5">
        <v>18790480</v>
      </c>
      <c r="B1560" s="6" t="s">
        <v>2569</v>
      </c>
      <c r="C1560" s="6" t="s">
        <v>83</v>
      </c>
      <c r="D1560" s="8" t="s">
        <v>82</v>
      </c>
      <c r="E1560" s="6" t="s">
        <v>2570</v>
      </c>
      <c r="F1560" s="6" t="s">
        <v>95</v>
      </c>
      <c r="G1560" s="11" t="s">
        <v>56</v>
      </c>
      <c r="H1560" s="10" t="s">
        <v>2571</v>
      </c>
      <c r="I1560" s="6" t="s">
        <v>2572</v>
      </c>
      <c r="J1560" s="12">
        <v>46120.55023148148</v>
      </c>
      <c r="K1560" s="6" t="e" cm="1">
        <f t="array" ref="K1560">LOOKUP(2^15,SEARCH(Tabela2[Palavras-Chave],Boletim[[#This Row],[Objeto]],1),Tabela2[Palavras-Chave])</f>
        <v>#N/A</v>
      </c>
    </row>
    <row r="1561" spans="1:11" hidden="1" x14ac:dyDescent="0.3">
      <c r="A1561" s="5">
        <v>18804386</v>
      </c>
      <c r="B1561" s="6" t="s">
        <v>74</v>
      </c>
      <c r="C1561" s="6" t="s">
        <v>83</v>
      </c>
      <c r="D1561" s="8" t="s">
        <v>82</v>
      </c>
      <c r="E1561" s="6" t="s">
        <v>2511</v>
      </c>
      <c r="F1561" s="6" t="s">
        <v>95</v>
      </c>
      <c r="G1561" s="11" t="s">
        <v>56</v>
      </c>
      <c r="H1561" s="10" t="s">
        <v>2512</v>
      </c>
      <c r="I1561" s="6" t="s">
        <v>2513</v>
      </c>
      <c r="J1561" s="12">
        <v>46120.655590277776</v>
      </c>
      <c r="K1561" s="6" t="e" cm="1">
        <f t="array" ref="K1561">LOOKUP(2^15,SEARCH(Tabela2[Palavras-Chave],Boletim[[#This Row],[Objeto]],1),Tabela2[Palavras-Chave])</f>
        <v>#N/A</v>
      </c>
    </row>
    <row r="1562" spans="1:11" hidden="1" x14ac:dyDescent="0.3">
      <c r="A1562" s="5">
        <v>18798412</v>
      </c>
      <c r="B1562" s="6" t="s">
        <v>2573</v>
      </c>
      <c r="C1562" s="6" t="s">
        <v>2574</v>
      </c>
      <c r="D1562" s="8" t="s">
        <v>82</v>
      </c>
      <c r="E1562" s="6" t="s">
        <v>176</v>
      </c>
      <c r="F1562" s="6" t="s">
        <v>95</v>
      </c>
      <c r="G1562" s="11" t="s">
        <v>56</v>
      </c>
      <c r="H1562" s="10" t="s">
        <v>2575</v>
      </c>
      <c r="I1562" s="6" t="s">
        <v>2576</v>
      </c>
      <c r="J1562" s="12">
        <v>46120.824953703705</v>
      </c>
      <c r="K1562" s="6" t="e" cm="1">
        <f t="array" ref="K1562">LOOKUP(2^15,SEARCH(Tabela2[Palavras-Chave],Boletim[[#This Row],[Objeto]],1),Tabela2[Palavras-Chave])</f>
        <v>#N/A</v>
      </c>
    </row>
    <row r="1563" spans="1:11" hidden="1" x14ac:dyDescent="0.3">
      <c r="A1563" s="5">
        <v>18768043</v>
      </c>
      <c r="B1563" s="6" t="s">
        <v>450</v>
      </c>
      <c r="C1563" s="6" t="s">
        <v>451</v>
      </c>
      <c r="D1563" s="8" t="s">
        <v>82</v>
      </c>
      <c r="E1563" s="6" t="s">
        <v>124</v>
      </c>
      <c r="F1563" s="6" t="s">
        <v>95</v>
      </c>
      <c r="G1563" s="11" t="s">
        <v>56</v>
      </c>
      <c r="H1563" s="10" t="s">
        <v>2577</v>
      </c>
      <c r="I1563" s="6" t="s">
        <v>2578</v>
      </c>
      <c r="J1563" s="12">
        <v>46120.825983796298</v>
      </c>
      <c r="K1563" s="6" t="e" cm="1">
        <f t="array" ref="K1563">LOOKUP(2^15,SEARCH(Tabela2[Palavras-Chave],Boletim[[#This Row],[Objeto]],1),Tabela2[Palavras-Chave])</f>
        <v>#N/A</v>
      </c>
    </row>
    <row r="1564" spans="1:11" hidden="1" x14ac:dyDescent="0.3">
      <c r="A1564" s="5">
        <v>18693222</v>
      </c>
      <c r="B1564" s="6" t="s">
        <v>382</v>
      </c>
      <c r="C1564" s="6" t="s">
        <v>383</v>
      </c>
      <c r="D1564" s="8" t="s">
        <v>72</v>
      </c>
      <c r="E1564" s="6" t="s">
        <v>126</v>
      </c>
      <c r="F1564" s="6" t="s">
        <v>187</v>
      </c>
      <c r="G1564" s="11">
        <v>46139.375</v>
      </c>
      <c r="H1564" s="10" t="s">
        <v>2579</v>
      </c>
      <c r="I1564" s="6" t="s">
        <v>2580</v>
      </c>
      <c r="J1564" s="12">
        <v>46120.627812500003</v>
      </c>
      <c r="K1564" s="6" t="e" cm="1">
        <f t="array" ref="K1564">LOOKUP(2^15,SEARCH(Tabela2[Palavras-Chave],Boletim[[#This Row],[Objeto]],1),Tabela2[Palavras-Chave])</f>
        <v>#N/A</v>
      </c>
    </row>
    <row r="1565" spans="1:11" hidden="1" x14ac:dyDescent="0.3">
      <c r="A1565" s="5">
        <v>18122137</v>
      </c>
      <c r="B1565" s="6" t="s">
        <v>2274</v>
      </c>
      <c r="C1565" s="6" t="s">
        <v>2275</v>
      </c>
      <c r="D1565" s="8" t="s">
        <v>82</v>
      </c>
      <c r="E1565" s="6" t="s">
        <v>2581</v>
      </c>
      <c r="F1565" s="6" t="s">
        <v>187</v>
      </c>
      <c r="G1565" s="11" t="s">
        <v>56</v>
      </c>
      <c r="H1565" s="10" t="s">
        <v>2582</v>
      </c>
      <c r="I1565" s="6" t="s">
        <v>2583</v>
      </c>
      <c r="J1565" s="12">
        <v>46120.513240740744</v>
      </c>
      <c r="K1565" s="6" t="e" cm="1">
        <f t="array" ref="K1565">LOOKUP(2^15,SEARCH(Tabela2[Palavras-Chave],Boletim[[#This Row],[Objeto]],1),Tabela2[Palavras-Chave])</f>
        <v>#N/A</v>
      </c>
    </row>
    <row r="1566" spans="1:11" hidden="1" x14ac:dyDescent="0.3">
      <c r="A1566" s="5">
        <v>18642383</v>
      </c>
      <c r="B1566" s="6" t="s">
        <v>449</v>
      </c>
      <c r="C1566" s="6" t="s">
        <v>258</v>
      </c>
      <c r="D1566" s="8" t="s">
        <v>82</v>
      </c>
      <c r="E1566" s="6" t="s">
        <v>143</v>
      </c>
      <c r="F1566" s="6" t="s">
        <v>187</v>
      </c>
      <c r="G1566" s="11">
        <v>46129.375</v>
      </c>
      <c r="H1566" s="10" t="s">
        <v>3388</v>
      </c>
      <c r="I1566" s="6" t="s">
        <v>3389</v>
      </c>
      <c r="J1566" s="12">
        <v>46120.714618055557</v>
      </c>
      <c r="K1566" s="6" t="e" cm="1">
        <f t="array" ref="K1566">LOOKUP(2^15,SEARCH(Tabela2[Palavras-Chave],Boletim[[#This Row],[Objeto]],1),Tabela2[Palavras-Chave])</f>
        <v>#N/A</v>
      </c>
    </row>
    <row r="1567" spans="1:11" hidden="1" x14ac:dyDescent="0.3">
      <c r="A1567" s="5">
        <v>18705872</v>
      </c>
      <c r="B1567" s="6" t="s">
        <v>2584</v>
      </c>
      <c r="C1567" s="6" t="s">
        <v>2585</v>
      </c>
      <c r="D1567" s="8" t="s">
        <v>66</v>
      </c>
      <c r="E1567" s="6" t="s">
        <v>108</v>
      </c>
      <c r="F1567" s="6" t="s">
        <v>96</v>
      </c>
      <c r="G1567" s="11">
        <v>46163.354166666664</v>
      </c>
      <c r="H1567" s="10" t="s">
        <v>2586</v>
      </c>
      <c r="I1567" s="6" t="s">
        <v>2587</v>
      </c>
      <c r="J1567" s="12">
        <v>46120.705578703702</v>
      </c>
      <c r="K1567" s="6" t="e" cm="1">
        <f t="array" ref="K1567">LOOKUP(2^15,SEARCH(Tabela2[Palavras-Chave],Boletim[[#This Row],[Objeto]],1),Tabela2[Palavras-Chave])</f>
        <v>#N/A</v>
      </c>
    </row>
    <row r="1568" spans="1:11" hidden="1" x14ac:dyDescent="0.3">
      <c r="A1568" s="5">
        <v>18740602</v>
      </c>
      <c r="B1568" s="6" t="s">
        <v>2588</v>
      </c>
      <c r="C1568" s="6" t="s">
        <v>2589</v>
      </c>
      <c r="D1568" s="8" t="s">
        <v>82</v>
      </c>
      <c r="E1568" s="6" t="s">
        <v>192</v>
      </c>
      <c r="F1568" s="6" t="s">
        <v>168</v>
      </c>
      <c r="G1568" s="11" t="s">
        <v>56</v>
      </c>
      <c r="H1568" s="10" t="s">
        <v>2590</v>
      </c>
      <c r="I1568" s="6" t="s">
        <v>2591</v>
      </c>
      <c r="J1568" s="12">
        <v>46120.871053240742</v>
      </c>
      <c r="K1568" s="6" t="e" cm="1">
        <f t="array" ref="K1568">LOOKUP(2^15,SEARCH(Tabela2[Palavras-Chave],Boletim[[#This Row],[Objeto]],1),Tabela2[Palavras-Chave])</f>
        <v>#N/A</v>
      </c>
    </row>
    <row r="1569" spans="1:11" ht="144" x14ac:dyDescent="0.3">
      <c r="A1569" s="5">
        <v>18671059</v>
      </c>
      <c r="B1569" s="6" t="s">
        <v>2592</v>
      </c>
      <c r="C1569" s="6" t="s">
        <v>2593</v>
      </c>
      <c r="D1569" s="8" t="s">
        <v>82</v>
      </c>
      <c r="E1569" s="6" t="s">
        <v>108</v>
      </c>
      <c r="F1569" s="6" t="s">
        <v>2594</v>
      </c>
      <c r="G1569" s="11" t="s">
        <v>56</v>
      </c>
      <c r="H1569" s="21" t="s">
        <v>2595</v>
      </c>
      <c r="I1569" s="6" t="s">
        <v>2596</v>
      </c>
      <c r="J1569" s="12">
        <v>46120.801782407405</v>
      </c>
      <c r="K1569" s="6" t="str" cm="1">
        <f t="array" ref="K1569">LOOKUP(2^15,SEARCH(Tabela2[Palavras-Chave],Boletim[[#This Row],[Objeto]],1),Tabela2[Palavras-Chave])</f>
        <v>ELEVATÓRIA</v>
      </c>
    </row>
    <row r="1570" spans="1:11" hidden="1" x14ac:dyDescent="0.3">
      <c r="A1570" s="5">
        <v>18747088</v>
      </c>
      <c r="B1570" s="6" t="s">
        <v>2597</v>
      </c>
      <c r="C1570" s="6" t="s">
        <v>2598</v>
      </c>
      <c r="D1570" s="8" t="s">
        <v>54</v>
      </c>
      <c r="E1570" s="6" t="s">
        <v>108</v>
      </c>
      <c r="F1570" s="6" t="s">
        <v>97</v>
      </c>
      <c r="G1570" s="11" t="s">
        <v>56</v>
      </c>
      <c r="H1570" s="10" t="s">
        <v>2599</v>
      </c>
      <c r="I1570" s="6" t="s">
        <v>2600</v>
      </c>
      <c r="J1570" s="12">
        <v>46120.801168981481</v>
      </c>
      <c r="K1570" s="6" t="e" cm="1">
        <f t="array" ref="K1570">LOOKUP(2^15,SEARCH(Tabela2[Palavras-Chave],Boletim[[#This Row],[Objeto]],1),Tabela2[Palavras-Chave])</f>
        <v>#N/A</v>
      </c>
    </row>
    <row r="1571" spans="1:11" hidden="1" x14ac:dyDescent="0.3">
      <c r="A1571" s="5">
        <v>18761071</v>
      </c>
      <c r="B1571" s="6" t="s">
        <v>2601</v>
      </c>
      <c r="C1571" s="6" t="s">
        <v>59</v>
      </c>
      <c r="D1571" s="8" t="s">
        <v>60</v>
      </c>
      <c r="E1571" s="6" t="s">
        <v>222</v>
      </c>
      <c r="F1571" s="6" t="s">
        <v>97</v>
      </c>
      <c r="G1571" s="11" t="s">
        <v>56</v>
      </c>
      <c r="H1571" s="10" t="s">
        <v>2602</v>
      </c>
      <c r="I1571" s="6" t="s">
        <v>2603</v>
      </c>
      <c r="J1571" s="12">
        <v>46120.659571759257</v>
      </c>
      <c r="K1571" s="6" t="e" cm="1">
        <f t="array" ref="K1571">LOOKUP(2^15,SEARCH(Tabela2[Palavras-Chave],Boletim[[#This Row],[Objeto]],1),Tabela2[Palavras-Chave])</f>
        <v>#N/A</v>
      </c>
    </row>
    <row r="1572" spans="1:11" hidden="1" x14ac:dyDescent="0.3">
      <c r="A1572" s="5">
        <v>18759755</v>
      </c>
      <c r="B1572" s="6" t="s">
        <v>2604</v>
      </c>
      <c r="C1572" s="6" t="s">
        <v>2605</v>
      </c>
      <c r="D1572" s="8" t="s">
        <v>64</v>
      </c>
      <c r="E1572" s="6" t="s">
        <v>128</v>
      </c>
      <c r="F1572" s="6" t="s">
        <v>97</v>
      </c>
      <c r="G1572" s="11" t="s">
        <v>56</v>
      </c>
      <c r="H1572" s="10" t="s">
        <v>2606</v>
      </c>
      <c r="I1572" s="6" t="s">
        <v>2607</v>
      </c>
      <c r="J1572" s="12">
        <v>46120.827199074076</v>
      </c>
      <c r="K1572" s="6" t="e" cm="1">
        <f t="array" ref="K1572">LOOKUP(2^15,SEARCH(Tabela2[Palavras-Chave],Boletim[[#This Row],[Objeto]],1),Tabela2[Palavras-Chave])</f>
        <v>#N/A</v>
      </c>
    </row>
    <row r="1573" spans="1:11" hidden="1" x14ac:dyDescent="0.3">
      <c r="A1573" s="5">
        <v>18331036</v>
      </c>
      <c r="B1573" s="6" t="s">
        <v>2608</v>
      </c>
      <c r="C1573" s="6" t="s">
        <v>123</v>
      </c>
      <c r="D1573" s="8" t="s">
        <v>67</v>
      </c>
      <c r="E1573" s="6" t="s">
        <v>2609</v>
      </c>
      <c r="F1573" s="6" t="s">
        <v>97</v>
      </c>
      <c r="G1573" s="11" t="s">
        <v>56</v>
      </c>
      <c r="H1573" s="10" t="s">
        <v>2610</v>
      </c>
      <c r="I1573" s="6" t="s">
        <v>2611</v>
      </c>
      <c r="J1573" s="12">
        <v>46120.534247685187</v>
      </c>
      <c r="K1573" s="6" t="e" cm="1">
        <f t="array" ref="K1573">LOOKUP(2^15,SEARCH(Tabela2[Palavras-Chave],Boletim[[#This Row],[Objeto]],1),Tabela2[Palavras-Chave])</f>
        <v>#N/A</v>
      </c>
    </row>
    <row r="1574" spans="1:11" hidden="1" x14ac:dyDescent="0.3">
      <c r="A1574" s="5">
        <v>18757225</v>
      </c>
      <c r="B1574" s="6" t="s">
        <v>400</v>
      </c>
      <c r="C1574" s="6" t="s">
        <v>401</v>
      </c>
      <c r="D1574" s="8" t="s">
        <v>81</v>
      </c>
      <c r="E1574" s="6" t="s">
        <v>2175</v>
      </c>
      <c r="F1574" s="6" t="s">
        <v>97</v>
      </c>
      <c r="G1574" s="11" t="s">
        <v>56</v>
      </c>
      <c r="H1574" s="10" t="s">
        <v>2612</v>
      </c>
      <c r="I1574" s="6" t="s">
        <v>2613</v>
      </c>
      <c r="J1574" s="12">
        <v>46120.736307870371</v>
      </c>
      <c r="K1574" s="6" t="e" cm="1">
        <f t="array" ref="K1574">LOOKUP(2^15,SEARCH(Tabela2[Palavras-Chave],Boletim[[#This Row],[Objeto]],1),Tabela2[Palavras-Chave])</f>
        <v>#N/A</v>
      </c>
    </row>
    <row r="1575" spans="1:11" hidden="1" x14ac:dyDescent="0.3">
      <c r="A1575" s="5">
        <v>18561338</v>
      </c>
      <c r="B1575" s="6" t="s">
        <v>2614</v>
      </c>
      <c r="C1575" s="6" t="s">
        <v>2615</v>
      </c>
      <c r="D1575" s="8" t="s">
        <v>54</v>
      </c>
      <c r="E1575" s="6" t="s">
        <v>109</v>
      </c>
      <c r="F1575" s="6" t="s">
        <v>98</v>
      </c>
      <c r="G1575" s="11" t="s">
        <v>56</v>
      </c>
      <c r="H1575" s="10" t="s">
        <v>2616</v>
      </c>
      <c r="I1575" s="6" t="s">
        <v>2617</v>
      </c>
      <c r="J1575" s="12">
        <v>46120.773553240739</v>
      </c>
      <c r="K1575" s="6" t="e" cm="1">
        <f t="array" ref="K1575">LOOKUP(2^15,SEARCH(Tabela2[Palavras-Chave],Boletim[[#This Row],[Objeto]],1),Tabela2[Palavras-Chave])</f>
        <v>#N/A</v>
      </c>
    </row>
    <row r="1576" spans="1:11" hidden="1" x14ac:dyDescent="0.3">
      <c r="A1576" s="5">
        <v>18732561</v>
      </c>
      <c r="B1576" s="6" t="s">
        <v>3390</v>
      </c>
      <c r="C1576" s="6" t="s">
        <v>3391</v>
      </c>
      <c r="D1576" s="8" t="s">
        <v>60</v>
      </c>
      <c r="E1576" s="6" t="s">
        <v>3392</v>
      </c>
      <c r="F1576" s="6" t="s">
        <v>98</v>
      </c>
      <c r="G1576" s="11" t="s">
        <v>56</v>
      </c>
      <c r="H1576" s="10" t="s">
        <v>3393</v>
      </c>
      <c r="I1576" s="6" t="s">
        <v>3394</v>
      </c>
      <c r="J1576" s="12">
        <v>46120.574942129628</v>
      </c>
      <c r="K1576" s="6" t="e" cm="1">
        <f t="array" ref="K1576">LOOKUP(2^15,SEARCH(Tabela2[Palavras-Chave],Boletim[[#This Row],[Objeto]],1),Tabela2[Palavras-Chave])</f>
        <v>#N/A</v>
      </c>
    </row>
    <row r="1577" spans="1:11" hidden="1" x14ac:dyDescent="0.3">
      <c r="A1577" s="5">
        <v>18593205</v>
      </c>
      <c r="B1577" s="6" t="s">
        <v>2618</v>
      </c>
      <c r="C1577" s="6" t="s">
        <v>159</v>
      </c>
      <c r="D1577" s="8" t="s">
        <v>89</v>
      </c>
      <c r="E1577" s="6" t="s">
        <v>3395</v>
      </c>
      <c r="F1577" s="6" t="s">
        <v>98</v>
      </c>
      <c r="G1577" s="11" t="s">
        <v>56</v>
      </c>
      <c r="H1577" s="10" t="s">
        <v>3396</v>
      </c>
      <c r="I1577" s="6" t="s">
        <v>3397</v>
      </c>
      <c r="J1577" s="12">
        <v>46120.458912037036</v>
      </c>
      <c r="K1577" s="6" t="e" cm="1">
        <f t="array" ref="K1577">LOOKUP(2^15,SEARCH(Tabela2[Palavras-Chave],Boletim[[#This Row],[Objeto]],1),Tabela2[Palavras-Chave])</f>
        <v>#N/A</v>
      </c>
    </row>
    <row r="1578" spans="1:11" hidden="1" x14ac:dyDescent="0.3">
      <c r="A1578" s="5">
        <v>18593208</v>
      </c>
      <c r="B1578" s="6" t="s">
        <v>2618</v>
      </c>
      <c r="C1578" s="6" t="s">
        <v>159</v>
      </c>
      <c r="D1578" s="8" t="s">
        <v>89</v>
      </c>
      <c r="E1578" s="6" t="s">
        <v>3398</v>
      </c>
      <c r="F1578" s="6" t="s">
        <v>98</v>
      </c>
      <c r="G1578" s="11" t="s">
        <v>56</v>
      </c>
      <c r="H1578" s="10" t="s">
        <v>3399</v>
      </c>
      <c r="I1578" s="6" t="s">
        <v>3400</v>
      </c>
      <c r="J1578" s="12">
        <v>46120.459710648145</v>
      </c>
      <c r="K1578" s="6" t="e" cm="1">
        <f t="array" ref="K1578">LOOKUP(2^15,SEARCH(Tabela2[Palavras-Chave],Boletim[[#This Row],[Objeto]],1),Tabela2[Palavras-Chave])</f>
        <v>#N/A</v>
      </c>
    </row>
    <row r="1579" spans="1:11" hidden="1" x14ac:dyDescent="0.3">
      <c r="A1579" s="5">
        <v>18608657</v>
      </c>
      <c r="B1579" s="6" t="s">
        <v>2618</v>
      </c>
      <c r="C1579" s="6" t="s">
        <v>159</v>
      </c>
      <c r="D1579" s="8" t="s">
        <v>89</v>
      </c>
      <c r="E1579" s="6" t="s">
        <v>3107</v>
      </c>
      <c r="F1579" s="6" t="s">
        <v>98</v>
      </c>
      <c r="G1579" s="11" t="s">
        <v>56</v>
      </c>
      <c r="H1579" s="10" t="s">
        <v>3401</v>
      </c>
      <c r="I1579" s="6" t="s">
        <v>3402</v>
      </c>
      <c r="J1579" s="12">
        <v>46120.460509259261</v>
      </c>
      <c r="K1579" s="6" t="e" cm="1">
        <f t="array" ref="K1579">LOOKUP(2^15,SEARCH(Tabela2[Palavras-Chave],Boletim[[#This Row],[Objeto]],1),Tabela2[Palavras-Chave])</f>
        <v>#N/A</v>
      </c>
    </row>
    <row r="1580" spans="1:11" hidden="1" x14ac:dyDescent="0.3">
      <c r="A1580" s="5">
        <v>18593196</v>
      </c>
      <c r="B1580" s="6" t="s">
        <v>2618</v>
      </c>
      <c r="C1580" s="6" t="s">
        <v>159</v>
      </c>
      <c r="D1580" s="8" t="s">
        <v>89</v>
      </c>
      <c r="E1580" s="6" t="s">
        <v>3403</v>
      </c>
      <c r="F1580" s="6" t="s">
        <v>98</v>
      </c>
      <c r="G1580" s="11" t="s">
        <v>56</v>
      </c>
      <c r="H1580" s="10" t="s">
        <v>3404</v>
      </c>
      <c r="I1580" s="6" t="s">
        <v>3405</v>
      </c>
      <c r="J1580" s="12">
        <v>46120.460902777777</v>
      </c>
      <c r="K1580" s="6" t="e" cm="1">
        <f t="array" ref="K1580">LOOKUP(2^15,SEARCH(Tabela2[Palavras-Chave],Boletim[[#This Row],[Objeto]],1),Tabela2[Palavras-Chave])</f>
        <v>#N/A</v>
      </c>
    </row>
    <row r="1581" spans="1:11" hidden="1" x14ac:dyDescent="0.3">
      <c r="A1581" s="5">
        <v>18593195</v>
      </c>
      <c r="B1581" s="6" t="s">
        <v>2618</v>
      </c>
      <c r="C1581" s="6" t="s">
        <v>159</v>
      </c>
      <c r="D1581" s="8" t="s">
        <v>89</v>
      </c>
      <c r="E1581" s="6" t="s">
        <v>3406</v>
      </c>
      <c r="F1581" s="6" t="s">
        <v>98</v>
      </c>
      <c r="G1581" s="11" t="s">
        <v>56</v>
      </c>
      <c r="H1581" s="10" t="s">
        <v>3407</v>
      </c>
      <c r="I1581" s="6" t="s">
        <v>3408</v>
      </c>
      <c r="J1581" s="12">
        <v>46120.533379629633</v>
      </c>
      <c r="K1581" s="6" t="e" cm="1">
        <f t="array" ref="K1581">LOOKUP(2^15,SEARCH(Tabela2[Palavras-Chave],Boletim[[#This Row],[Objeto]],1),Tabela2[Palavras-Chave])</f>
        <v>#N/A</v>
      </c>
    </row>
    <row r="1582" spans="1:11" hidden="1" x14ac:dyDescent="0.3">
      <c r="A1582" s="5">
        <v>18593200</v>
      </c>
      <c r="B1582" s="6" t="s">
        <v>2618</v>
      </c>
      <c r="C1582" s="6" t="s">
        <v>159</v>
      </c>
      <c r="D1582" s="8" t="s">
        <v>89</v>
      </c>
      <c r="E1582" s="6" t="s">
        <v>3409</v>
      </c>
      <c r="F1582" s="6" t="s">
        <v>98</v>
      </c>
      <c r="G1582" s="11" t="s">
        <v>56</v>
      </c>
      <c r="H1582" s="10" t="s">
        <v>3410</v>
      </c>
      <c r="I1582" s="6" t="s">
        <v>3411</v>
      </c>
      <c r="J1582" s="12">
        <v>46120.588356481479</v>
      </c>
      <c r="K1582" s="6" t="e" cm="1">
        <f t="array" ref="K1582">LOOKUP(2^15,SEARCH(Tabela2[Palavras-Chave],Boletim[[#This Row],[Objeto]],1),Tabela2[Palavras-Chave])</f>
        <v>#N/A</v>
      </c>
    </row>
    <row r="1583" spans="1:11" hidden="1" x14ac:dyDescent="0.3">
      <c r="A1583" s="5">
        <v>18593197</v>
      </c>
      <c r="B1583" s="6" t="s">
        <v>2618</v>
      </c>
      <c r="C1583" s="6" t="s">
        <v>159</v>
      </c>
      <c r="D1583" s="8" t="s">
        <v>89</v>
      </c>
      <c r="E1583" s="6" t="s">
        <v>2619</v>
      </c>
      <c r="F1583" s="6" t="s">
        <v>98</v>
      </c>
      <c r="G1583" s="11" t="s">
        <v>56</v>
      </c>
      <c r="H1583" s="10" t="s">
        <v>2620</v>
      </c>
      <c r="I1583" s="6" t="s">
        <v>2621</v>
      </c>
      <c r="J1583" s="12">
        <v>46120.591053240743</v>
      </c>
      <c r="K1583" s="6" t="e" cm="1">
        <f t="array" ref="K1583">LOOKUP(2^15,SEARCH(Tabela2[Palavras-Chave],Boletim[[#This Row],[Objeto]],1),Tabela2[Palavras-Chave])</f>
        <v>#N/A</v>
      </c>
    </row>
    <row r="1584" spans="1:11" ht="172.8" x14ac:dyDescent="0.3">
      <c r="A1584" s="5">
        <v>18778818</v>
      </c>
      <c r="B1584" s="6" t="s">
        <v>2622</v>
      </c>
      <c r="C1584" s="6" t="s">
        <v>2623</v>
      </c>
      <c r="D1584" s="8" t="s">
        <v>66</v>
      </c>
      <c r="E1584" s="6" t="s">
        <v>139</v>
      </c>
      <c r="F1584" s="6" t="s">
        <v>98</v>
      </c>
      <c r="G1584" s="11" t="s">
        <v>56</v>
      </c>
      <c r="H1584" s="21" t="s">
        <v>2624</v>
      </c>
      <c r="I1584" s="6" t="s">
        <v>2625</v>
      </c>
      <c r="J1584" s="12">
        <v>46120.800173611111</v>
      </c>
      <c r="K1584" s="6" t="str" cm="1">
        <f t="array" ref="K1584">LOOKUP(2^15,SEARCH(Tabela2[Palavras-Chave],Boletim[[#This Row],[Objeto]],1),Tabela2[Palavras-Chave])</f>
        <v>EFICIÊNCIA</v>
      </c>
    </row>
    <row r="1585" spans="1:11" hidden="1" x14ac:dyDescent="0.3">
      <c r="A1585" s="5">
        <v>18255660</v>
      </c>
      <c r="B1585" s="6" t="s">
        <v>2626</v>
      </c>
      <c r="C1585" s="6" t="s">
        <v>2627</v>
      </c>
      <c r="D1585" s="8" t="s">
        <v>67</v>
      </c>
      <c r="E1585" s="6" t="s">
        <v>2628</v>
      </c>
      <c r="F1585" s="6" t="s">
        <v>98</v>
      </c>
      <c r="G1585" s="11" t="s">
        <v>56</v>
      </c>
      <c r="H1585" s="10" t="s">
        <v>2629</v>
      </c>
      <c r="I1585" s="6" t="s">
        <v>2630</v>
      </c>
      <c r="J1585" s="12">
        <v>46120.767696759256</v>
      </c>
      <c r="K1585" s="6" t="e" cm="1">
        <f t="array" ref="K1585">LOOKUP(2^15,SEARCH(Tabela2[Palavras-Chave],Boletim[[#This Row],[Objeto]],1),Tabela2[Palavras-Chave])</f>
        <v>#N/A</v>
      </c>
    </row>
    <row r="1586" spans="1:11" hidden="1" x14ac:dyDescent="0.3">
      <c r="A1586" s="5">
        <v>18650231</v>
      </c>
      <c r="B1586" s="6" t="s">
        <v>3412</v>
      </c>
      <c r="C1586" s="6" t="s">
        <v>3413</v>
      </c>
      <c r="D1586" s="8" t="s">
        <v>92</v>
      </c>
      <c r="E1586" s="6" t="s">
        <v>119</v>
      </c>
      <c r="F1586" s="6" t="s">
        <v>98</v>
      </c>
      <c r="G1586" s="11" t="s">
        <v>56</v>
      </c>
      <c r="H1586" s="10" t="s">
        <v>3414</v>
      </c>
      <c r="I1586" s="6" t="s">
        <v>3415</v>
      </c>
      <c r="J1586" s="12">
        <v>46120.706678240742</v>
      </c>
      <c r="K1586" s="6" t="e" cm="1">
        <f t="array" ref="K1586">LOOKUP(2^15,SEARCH(Tabela2[Palavras-Chave],Boletim[[#This Row],[Objeto]],1),Tabela2[Palavras-Chave])</f>
        <v>#N/A</v>
      </c>
    </row>
    <row r="1587" spans="1:11" hidden="1" x14ac:dyDescent="0.3">
      <c r="A1587" s="5">
        <v>18708106</v>
      </c>
      <c r="B1587" s="6" t="s">
        <v>3416</v>
      </c>
      <c r="C1587" s="6" t="s">
        <v>3417</v>
      </c>
      <c r="D1587" s="8" t="s">
        <v>92</v>
      </c>
      <c r="E1587" s="6" t="s">
        <v>146</v>
      </c>
      <c r="F1587" s="6" t="s">
        <v>98</v>
      </c>
      <c r="G1587" s="11" t="s">
        <v>56</v>
      </c>
      <c r="H1587" s="10" t="s">
        <v>3418</v>
      </c>
      <c r="I1587" s="6" t="s">
        <v>3419</v>
      </c>
      <c r="J1587" s="12">
        <v>46120.715682870374</v>
      </c>
      <c r="K1587" s="6" t="e" cm="1">
        <f t="array" ref="K1587">LOOKUP(2^15,SEARCH(Tabela2[Palavras-Chave],Boletim[[#This Row],[Objeto]],1),Tabela2[Palavras-Chave])</f>
        <v>#N/A</v>
      </c>
    </row>
    <row r="1588" spans="1:11" hidden="1" x14ac:dyDescent="0.3">
      <c r="A1588" s="5">
        <v>18724704</v>
      </c>
      <c r="B1588" s="6" t="s">
        <v>462</v>
      </c>
      <c r="C1588" s="6" t="s">
        <v>463</v>
      </c>
      <c r="D1588" s="8" t="s">
        <v>72</v>
      </c>
      <c r="E1588" s="6" t="s">
        <v>124</v>
      </c>
      <c r="F1588" s="6" t="s">
        <v>98</v>
      </c>
      <c r="G1588" s="11" t="s">
        <v>56</v>
      </c>
      <c r="H1588" s="10" t="s">
        <v>3420</v>
      </c>
      <c r="I1588" s="6" t="s">
        <v>3421</v>
      </c>
      <c r="J1588" s="12">
        <v>46120.543009259258</v>
      </c>
      <c r="K1588" s="6" t="e" cm="1">
        <f t="array" ref="K1588">LOOKUP(2^15,SEARCH(Tabela2[Palavras-Chave],Boletim[[#This Row],[Objeto]],1),Tabela2[Palavras-Chave])</f>
        <v>#N/A</v>
      </c>
    </row>
    <row r="1589" spans="1:11" ht="144" x14ac:dyDescent="0.3">
      <c r="A1589" s="5">
        <v>18452867</v>
      </c>
      <c r="B1589" s="6" t="s">
        <v>2631</v>
      </c>
      <c r="C1589" s="6" t="s">
        <v>2632</v>
      </c>
      <c r="D1589" s="8" t="s">
        <v>82</v>
      </c>
      <c r="E1589" s="6" t="s">
        <v>2633</v>
      </c>
      <c r="F1589" s="6" t="s">
        <v>98</v>
      </c>
      <c r="G1589" s="11" t="s">
        <v>56</v>
      </c>
      <c r="H1589" s="21" t="s">
        <v>2634</v>
      </c>
      <c r="I1589" s="6" t="s">
        <v>2635</v>
      </c>
      <c r="J1589" s="12">
        <v>46120.813946759263</v>
      </c>
      <c r="K1589" s="6" t="str" cm="1">
        <f t="array" ref="K1589">LOOKUP(2^15,SEARCH(Tabela2[Palavras-Chave],Boletim[[#This Row],[Objeto]],1),Tabela2[Palavras-Chave])</f>
        <v>TAÇA</v>
      </c>
    </row>
    <row r="1590" spans="1:11" hidden="1" x14ac:dyDescent="0.3">
      <c r="A1590" s="5">
        <v>18649960</v>
      </c>
      <c r="B1590" s="6" t="s">
        <v>3422</v>
      </c>
      <c r="C1590" s="6" t="s">
        <v>3423</v>
      </c>
      <c r="D1590" s="8" t="s">
        <v>84</v>
      </c>
      <c r="E1590" s="6" t="s">
        <v>180</v>
      </c>
      <c r="F1590" s="6" t="s">
        <v>98</v>
      </c>
      <c r="G1590" s="11" t="s">
        <v>56</v>
      </c>
      <c r="H1590" s="10" t="s">
        <v>3424</v>
      </c>
      <c r="I1590" s="6" t="s">
        <v>3425</v>
      </c>
      <c r="J1590" s="12">
        <v>46120.878148148149</v>
      </c>
      <c r="K1590" s="6" t="e" cm="1">
        <f t="array" ref="K1590">LOOKUP(2^15,SEARCH(Tabela2[Palavras-Chave],Boletim[[#This Row],[Objeto]],1),Tabela2[Palavras-Chave])</f>
        <v>#N/A</v>
      </c>
    </row>
    <row r="1591" spans="1:11" hidden="1" x14ac:dyDescent="0.3">
      <c r="A1591" s="5">
        <v>18567935</v>
      </c>
      <c r="B1591" s="6" t="s">
        <v>433</v>
      </c>
      <c r="C1591" s="6" t="s">
        <v>434</v>
      </c>
      <c r="D1591" s="8" t="s">
        <v>66</v>
      </c>
      <c r="E1591" s="6" t="s">
        <v>2636</v>
      </c>
      <c r="F1591" s="6" t="s">
        <v>295</v>
      </c>
      <c r="G1591" s="11" t="s">
        <v>56</v>
      </c>
      <c r="H1591" s="10" t="s">
        <v>2637</v>
      </c>
      <c r="I1591" s="6" t="s">
        <v>2638</v>
      </c>
      <c r="J1591" s="12">
        <v>46120.796701388892</v>
      </c>
      <c r="K1591" s="6" t="e" cm="1">
        <f t="array" ref="K1591">LOOKUP(2^15,SEARCH(Tabela2[Palavras-Chave],Boletim[[#This Row],[Objeto]],1),Tabela2[Palavras-Chave])</f>
        <v>#N/A</v>
      </c>
    </row>
    <row r="1592" spans="1:11" hidden="1" x14ac:dyDescent="0.3">
      <c r="A1592" s="5">
        <v>18761193</v>
      </c>
      <c r="B1592" s="6" t="s">
        <v>2639</v>
      </c>
      <c r="C1592" s="6" t="s">
        <v>2640</v>
      </c>
      <c r="D1592" s="8" t="s">
        <v>72</v>
      </c>
      <c r="E1592" s="6" t="s">
        <v>2641</v>
      </c>
      <c r="F1592" s="6" t="s">
        <v>295</v>
      </c>
      <c r="G1592" s="11" t="s">
        <v>56</v>
      </c>
      <c r="H1592" s="10" t="s">
        <v>2642</v>
      </c>
      <c r="I1592" s="6" t="s">
        <v>2643</v>
      </c>
      <c r="J1592" s="12">
        <v>46120.732418981483</v>
      </c>
      <c r="K1592" s="6" t="e" cm="1">
        <f t="array" ref="K1592">LOOKUP(2^15,SEARCH(Tabela2[Palavras-Chave],Boletim[[#This Row],[Objeto]],1),Tabela2[Palavras-Chave])</f>
        <v>#N/A</v>
      </c>
    </row>
    <row r="1593" spans="1:11" hidden="1" x14ac:dyDescent="0.3">
      <c r="A1593" s="5">
        <v>18693926</v>
      </c>
      <c r="B1593" s="6" t="s">
        <v>2644</v>
      </c>
      <c r="C1593" s="6" t="s">
        <v>1595</v>
      </c>
      <c r="D1593" s="8" t="s">
        <v>66</v>
      </c>
      <c r="E1593" s="6" t="s">
        <v>109</v>
      </c>
      <c r="F1593" s="6" t="s">
        <v>296</v>
      </c>
      <c r="G1593" s="11">
        <v>46148.541666666664</v>
      </c>
      <c r="H1593" s="10" t="s">
        <v>2645</v>
      </c>
      <c r="I1593" s="6" t="s">
        <v>2646</v>
      </c>
      <c r="J1593" s="12">
        <v>46120.522962962961</v>
      </c>
      <c r="K1593" s="6" t="e" cm="1">
        <f t="array" ref="K1593">LOOKUP(2^15,SEARCH(Tabela2[Palavras-Chave],Boletim[[#This Row],[Objeto]],1),Tabela2[Palavras-Chave])</f>
        <v>#N/A</v>
      </c>
    </row>
    <row r="1594" spans="1:11" hidden="1" x14ac:dyDescent="0.3">
      <c r="A1594" s="5">
        <v>18798936</v>
      </c>
      <c r="B1594" s="6" t="s">
        <v>2647</v>
      </c>
      <c r="C1594" s="6" t="s">
        <v>2648</v>
      </c>
      <c r="D1594" s="8" t="s">
        <v>81</v>
      </c>
      <c r="E1594" s="6" t="s">
        <v>106</v>
      </c>
      <c r="F1594" s="6" t="s">
        <v>296</v>
      </c>
      <c r="G1594" s="11">
        <v>46136.333333333336</v>
      </c>
      <c r="H1594" s="10" t="s">
        <v>2649</v>
      </c>
      <c r="I1594" s="6" t="s">
        <v>2650</v>
      </c>
      <c r="J1594" s="12">
        <v>46120.523668981485</v>
      </c>
      <c r="K1594" s="6" t="e" cm="1">
        <f t="array" ref="K1594">LOOKUP(2^15,SEARCH(Tabela2[Palavras-Chave],Boletim[[#This Row],[Objeto]],1),Tabela2[Palavras-Chave])</f>
        <v>#N/A</v>
      </c>
    </row>
    <row r="1595" spans="1:11" hidden="1" x14ac:dyDescent="0.3">
      <c r="A1595" s="5">
        <v>18795434</v>
      </c>
      <c r="B1595" s="6" t="s">
        <v>185</v>
      </c>
      <c r="C1595" s="6" t="s">
        <v>186</v>
      </c>
      <c r="D1595" s="8" t="s">
        <v>81</v>
      </c>
      <c r="E1595" s="6" t="s">
        <v>149</v>
      </c>
      <c r="F1595" s="6" t="s">
        <v>296</v>
      </c>
      <c r="G1595" s="11" t="s">
        <v>56</v>
      </c>
      <c r="H1595" s="10" t="s">
        <v>2651</v>
      </c>
      <c r="I1595" s="6" t="s">
        <v>2652</v>
      </c>
      <c r="J1595" s="12">
        <v>46120.523680555554</v>
      </c>
      <c r="K1595" s="6" t="e" cm="1">
        <f t="array" ref="K1595">LOOKUP(2^15,SEARCH(Tabela2[Palavras-Chave],Boletim[[#This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1028" r:id="rId5" name="Button 4">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D8891-2DD1-43EC-985B-1A9E7F2DAC23}">
  <sheetPr codeName="Planilha3"/>
  <dimension ref="A1:L1595"/>
  <sheetViews>
    <sheetView tabSelected="1" topLeftCell="D1" zoomScaleNormal="100" workbookViewId="0">
      <selection activeCell="H46" sqref="H46"/>
    </sheetView>
  </sheetViews>
  <sheetFormatPr defaultColWidth="9.109375" defaultRowHeight="14.4" x14ac:dyDescent="0.3"/>
  <cols>
    <col min="1" max="1" width="26.109375" style="5" bestFit="1" customWidth="1"/>
    <col min="2" max="2" width="80.88671875" style="7" bestFit="1" customWidth="1"/>
    <col min="3" max="3" width="26.88671875" style="7" bestFit="1" customWidth="1"/>
    <col min="4" max="4" width="13.109375" style="5" bestFit="1" customWidth="1"/>
    <col min="5" max="5" width="23" style="7" bestFit="1" customWidth="1"/>
    <col min="6" max="6" width="17.44140625" style="7" bestFit="1" customWidth="1"/>
    <col min="7" max="7" width="14.21875" style="9" bestFit="1" customWidth="1"/>
    <col min="8" max="8" width="14.21875" style="23" customWidth="1"/>
    <col min="9" max="9" width="79.44140625" style="14" customWidth="1"/>
    <col min="10" max="10" width="80.88671875" style="7" bestFit="1" customWidth="1"/>
    <col min="11" max="11" width="19.6640625" style="5" bestFit="1" customWidth="1"/>
    <col min="12" max="12" width="19.33203125" style="5" bestFit="1" customWidth="1"/>
    <col min="13" max="16384" width="9.109375" style="7"/>
  </cols>
  <sheetData>
    <row r="1" spans="1:12" s="19" customFormat="1" x14ac:dyDescent="0.3">
      <c r="A1" s="18" t="s">
        <v>35</v>
      </c>
      <c r="B1" s="18" t="s">
        <v>36</v>
      </c>
      <c r="C1" s="18" t="s">
        <v>37</v>
      </c>
      <c r="D1" s="18" t="s">
        <v>38</v>
      </c>
      <c r="E1" s="18" t="s">
        <v>39</v>
      </c>
      <c r="F1" s="18" t="s">
        <v>40</v>
      </c>
      <c r="G1" s="20" t="s">
        <v>41</v>
      </c>
      <c r="H1" s="22" t="s">
        <v>3426</v>
      </c>
      <c r="I1" s="18" t="s">
        <v>42</v>
      </c>
      <c r="J1" s="18" t="s">
        <v>44</v>
      </c>
      <c r="K1" s="18" t="s">
        <v>43</v>
      </c>
      <c r="L1" s="18" t="s">
        <v>45</v>
      </c>
    </row>
    <row r="2" spans="1:12" ht="216" hidden="1" x14ac:dyDescent="0.3">
      <c r="A2" s="5">
        <v>18777441</v>
      </c>
      <c r="B2" s="6" t="s">
        <v>305</v>
      </c>
      <c r="C2" s="6" t="s">
        <v>52</v>
      </c>
      <c r="D2" s="8" t="s">
        <v>50</v>
      </c>
      <c r="E2" s="6" t="s">
        <v>465</v>
      </c>
      <c r="F2" s="6" t="s">
        <v>51</v>
      </c>
      <c r="G2" s="11" t="s">
        <v>56</v>
      </c>
      <c r="I2" s="10" t="s">
        <v>466</v>
      </c>
      <c r="J2" s="6" t="s">
        <v>467</v>
      </c>
      <c r="K2" s="12">
        <v>46120.472094907411</v>
      </c>
      <c r="L2" s="6" t="e" cm="1">
        <f t="array" ref="L2">LOOKUP(2^15,SEARCH(Tabela2[Palavras-Chave],Boletim4[[#This Row],[Objeto]],1),Tabela2[Palavras-Chave])</f>
        <v>#N/A</v>
      </c>
    </row>
    <row r="3" spans="1:12" ht="100.8" hidden="1" x14ac:dyDescent="0.3">
      <c r="A3" s="5">
        <v>18801286</v>
      </c>
      <c r="B3" s="6" t="s">
        <v>468</v>
      </c>
      <c r="C3" s="6" t="s">
        <v>52</v>
      </c>
      <c r="D3" s="8" t="s">
        <v>50</v>
      </c>
      <c r="E3" s="6" t="s">
        <v>347</v>
      </c>
      <c r="F3" s="6" t="s">
        <v>51</v>
      </c>
      <c r="G3" s="11">
        <v>46125.333333333336</v>
      </c>
      <c r="I3" s="10" t="s">
        <v>469</v>
      </c>
      <c r="J3" s="6" t="s">
        <v>470</v>
      </c>
      <c r="K3" s="12">
        <v>46120.523009259261</v>
      </c>
      <c r="L3" s="6" t="e" cm="1">
        <f t="array" ref="L3">LOOKUP(2^15,SEARCH(Tabela2[Palavras-Chave],Boletim4[[#This Row],[Objeto]],1),Tabela2[Palavras-Chave])</f>
        <v>#N/A</v>
      </c>
    </row>
    <row r="4" spans="1:12" ht="72" hidden="1" x14ac:dyDescent="0.3">
      <c r="A4" s="5">
        <v>18770012</v>
      </c>
      <c r="B4" s="6" t="s">
        <v>74</v>
      </c>
      <c r="C4" s="6" t="s">
        <v>53</v>
      </c>
      <c r="D4" s="8" t="s">
        <v>54</v>
      </c>
      <c r="E4" s="6" t="s">
        <v>471</v>
      </c>
      <c r="F4" s="6" t="s">
        <v>51</v>
      </c>
      <c r="G4" s="11" t="s">
        <v>56</v>
      </c>
      <c r="I4" s="10" t="s">
        <v>472</v>
      </c>
      <c r="J4" s="6" t="s">
        <v>473</v>
      </c>
      <c r="K4" s="12">
        <v>46120.468136574076</v>
      </c>
      <c r="L4" s="6" t="e" cm="1">
        <f t="array" ref="L4">LOOKUP(2^15,SEARCH(Tabela2[Palavras-Chave],Boletim4[[#This Row],[Objeto]],1),Tabela2[Palavras-Chave])</f>
        <v>#N/A</v>
      </c>
    </row>
    <row r="5" spans="1:12" ht="28.8" hidden="1" x14ac:dyDescent="0.3">
      <c r="A5" s="5">
        <v>18699682</v>
      </c>
      <c r="B5" s="6" t="s">
        <v>474</v>
      </c>
      <c r="C5" s="6" t="s">
        <v>475</v>
      </c>
      <c r="D5" s="8" t="s">
        <v>54</v>
      </c>
      <c r="E5" s="6" t="s">
        <v>55</v>
      </c>
      <c r="F5" s="6" t="s">
        <v>51</v>
      </c>
      <c r="G5" s="11" t="s">
        <v>56</v>
      </c>
      <c r="I5" s="10" t="s">
        <v>476</v>
      </c>
      <c r="J5" s="6" t="s">
        <v>138</v>
      </c>
      <c r="K5" s="12">
        <v>46120.502847222226</v>
      </c>
      <c r="L5" s="6" t="e" cm="1">
        <f t="array" ref="L5">LOOKUP(2^15,SEARCH(Tabela2[Palavras-Chave],Boletim4[[#This Row],[Objeto]],1),Tabela2[Palavras-Chave])</f>
        <v>#N/A</v>
      </c>
    </row>
    <row r="6" spans="1:12" ht="172.8" hidden="1" x14ac:dyDescent="0.3">
      <c r="A6" s="5">
        <v>18802205</v>
      </c>
      <c r="B6" s="6" t="s">
        <v>226</v>
      </c>
      <c r="C6" s="6" t="s">
        <v>53</v>
      </c>
      <c r="D6" s="8" t="s">
        <v>54</v>
      </c>
      <c r="E6" s="6" t="s">
        <v>55</v>
      </c>
      <c r="F6" s="6" t="s">
        <v>51</v>
      </c>
      <c r="G6" s="11" t="s">
        <v>56</v>
      </c>
      <c r="I6" s="10" t="s">
        <v>477</v>
      </c>
      <c r="J6" s="6" t="s">
        <v>478</v>
      </c>
      <c r="K6" s="12">
        <v>46120.520532407405</v>
      </c>
      <c r="L6" s="6" t="e" cm="1">
        <f t="array" ref="L6">LOOKUP(2^15,SEARCH(Tabela2[Palavras-Chave],Boletim4[[#This Row],[Objeto]],1),Tabela2[Palavras-Chave])</f>
        <v>#N/A</v>
      </c>
    </row>
    <row r="7" spans="1:12" ht="172.8" hidden="1" x14ac:dyDescent="0.3">
      <c r="A7" s="5">
        <v>18802216</v>
      </c>
      <c r="B7" s="6" t="s">
        <v>226</v>
      </c>
      <c r="C7" s="6" t="s">
        <v>53</v>
      </c>
      <c r="D7" s="8" t="s">
        <v>54</v>
      </c>
      <c r="E7" s="6" t="s">
        <v>55</v>
      </c>
      <c r="F7" s="6" t="s">
        <v>51</v>
      </c>
      <c r="G7" s="11" t="s">
        <v>56</v>
      </c>
      <c r="I7" s="10" t="s">
        <v>479</v>
      </c>
      <c r="J7" s="6" t="s">
        <v>480</v>
      </c>
      <c r="K7" s="12">
        <v>46120.532604166663</v>
      </c>
      <c r="L7" s="6" t="e" cm="1">
        <f t="array" ref="L7">LOOKUP(2^15,SEARCH(Tabela2[Palavras-Chave],Boletim4[[#This Row],[Objeto]],1),Tabela2[Palavras-Chave])</f>
        <v>#N/A</v>
      </c>
    </row>
    <row r="8" spans="1:12" ht="409.6" hidden="1" x14ac:dyDescent="0.3">
      <c r="A8" s="5">
        <v>18802589</v>
      </c>
      <c r="B8" s="6" t="s">
        <v>481</v>
      </c>
      <c r="C8" s="6" t="s">
        <v>53</v>
      </c>
      <c r="D8" s="8" t="s">
        <v>54</v>
      </c>
      <c r="E8" s="6" t="s">
        <v>352</v>
      </c>
      <c r="F8" s="6" t="s">
        <v>51</v>
      </c>
      <c r="G8" s="11" t="s">
        <v>56</v>
      </c>
      <c r="I8" s="10" t="s">
        <v>482</v>
      </c>
      <c r="J8" s="6" t="s">
        <v>483</v>
      </c>
      <c r="K8" s="12">
        <v>46120.534618055557</v>
      </c>
      <c r="L8" s="6" t="e" cm="1">
        <f t="array" ref="L8">LOOKUP(2^15,SEARCH(Tabela2[Palavras-Chave],Boletim4[[#This Row],[Objeto]],1),Tabela2[Palavras-Chave])</f>
        <v>#N/A</v>
      </c>
    </row>
    <row r="9" spans="1:12" ht="28.8" hidden="1" x14ac:dyDescent="0.3">
      <c r="A9" s="5">
        <v>18789570</v>
      </c>
      <c r="B9" s="6" t="s">
        <v>484</v>
      </c>
      <c r="C9" s="6" t="s">
        <v>243</v>
      </c>
      <c r="D9" s="8" t="s">
        <v>54</v>
      </c>
      <c r="E9" s="6" t="s">
        <v>55</v>
      </c>
      <c r="F9" s="6" t="s">
        <v>51</v>
      </c>
      <c r="G9" s="11" t="s">
        <v>56</v>
      </c>
      <c r="I9" s="10" t="s">
        <v>485</v>
      </c>
      <c r="J9" s="6" t="s">
        <v>138</v>
      </c>
      <c r="K9" s="12">
        <v>46120.578518518516</v>
      </c>
      <c r="L9" s="6" t="e" cm="1">
        <f t="array" ref="L9">LOOKUP(2^15,SEARCH(Tabela2[Palavras-Chave],Boletim4[[#This Row],[Objeto]],1),Tabela2[Palavras-Chave])</f>
        <v>#N/A</v>
      </c>
    </row>
    <row r="10" spans="1:12" ht="43.2" hidden="1" x14ac:dyDescent="0.3">
      <c r="A10" s="5">
        <v>18769576</v>
      </c>
      <c r="B10" s="6" t="s">
        <v>474</v>
      </c>
      <c r="C10" s="6" t="s">
        <v>475</v>
      </c>
      <c r="D10" s="8" t="s">
        <v>54</v>
      </c>
      <c r="E10" s="6" t="s">
        <v>55</v>
      </c>
      <c r="F10" s="6" t="s">
        <v>51</v>
      </c>
      <c r="G10" s="11" t="s">
        <v>56</v>
      </c>
      <c r="I10" s="10" t="s">
        <v>486</v>
      </c>
      <c r="J10" s="6" t="s">
        <v>179</v>
      </c>
      <c r="K10" s="12">
        <v>46120.580509259256</v>
      </c>
      <c r="L10" s="6" t="e" cm="1">
        <f t="array" ref="L10">LOOKUP(2^15,SEARCH(Tabela2[Palavras-Chave],Boletim4[[#This Row],[Objeto]],1),Tabela2[Palavras-Chave])</f>
        <v>#N/A</v>
      </c>
    </row>
    <row r="11" spans="1:12" ht="72" hidden="1" x14ac:dyDescent="0.3">
      <c r="A11" s="5">
        <v>18803765</v>
      </c>
      <c r="B11" s="6" t="s">
        <v>58</v>
      </c>
      <c r="C11" s="6" t="s">
        <v>53</v>
      </c>
      <c r="D11" s="8" t="s">
        <v>54</v>
      </c>
      <c r="E11" s="6" t="s">
        <v>487</v>
      </c>
      <c r="F11" s="6" t="s">
        <v>51</v>
      </c>
      <c r="G11" s="11" t="s">
        <v>56</v>
      </c>
      <c r="I11" s="10" t="s">
        <v>488</v>
      </c>
      <c r="J11" s="6" t="s">
        <v>489</v>
      </c>
      <c r="K11" s="12">
        <v>46120.588240740741</v>
      </c>
      <c r="L11" s="6" t="e" cm="1">
        <f t="array" ref="L11">LOOKUP(2^15,SEARCH(Tabela2[Palavras-Chave],Boletim4[[#This Row],[Objeto]],1),Tabela2[Palavras-Chave])</f>
        <v>#N/A</v>
      </c>
    </row>
    <row r="12" spans="1:12" ht="72" hidden="1" x14ac:dyDescent="0.3">
      <c r="A12" s="5">
        <v>18803780</v>
      </c>
      <c r="B12" s="6" t="s">
        <v>431</v>
      </c>
      <c r="C12" s="6" t="s">
        <v>53</v>
      </c>
      <c r="D12" s="8" t="s">
        <v>54</v>
      </c>
      <c r="E12" s="6" t="s">
        <v>490</v>
      </c>
      <c r="F12" s="6" t="s">
        <v>51</v>
      </c>
      <c r="G12" s="11" t="s">
        <v>56</v>
      </c>
      <c r="I12" s="10" t="s">
        <v>491</v>
      </c>
      <c r="J12" s="6" t="s">
        <v>492</v>
      </c>
      <c r="K12" s="12">
        <v>46120.595381944448</v>
      </c>
      <c r="L12" s="6" t="e" cm="1">
        <f t="array" ref="L12">LOOKUP(2^15,SEARCH(Tabela2[Palavras-Chave],Boletim4[[#This Row],[Objeto]],1),Tabela2[Palavras-Chave])</f>
        <v>#N/A</v>
      </c>
    </row>
    <row r="13" spans="1:12" ht="72" hidden="1" x14ac:dyDescent="0.3">
      <c r="A13" s="5">
        <v>18803774</v>
      </c>
      <c r="B13" s="6" t="s">
        <v>150</v>
      </c>
      <c r="C13" s="6" t="s">
        <v>57</v>
      </c>
      <c r="D13" s="8" t="s">
        <v>54</v>
      </c>
      <c r="E13" s="6" t="s">
        <v>493</v>
      </c>
      <c r="F13" s="6" t="s">
        <v>51</v>
      </c>
      <c r="G13" s="11" t="s">
        <v>56</v>
      </c>
      <c r="I13" s="10" t="s">
        <v>494</v>
      </c>
      <c r="J13" s="6" t="s">
        <v>495</v>
      </c>
      <c r="K13" s="12">
        <v>46120.599560185183</v>
      </c>
      <c r="L13" s="6" t="e" cm="1">
        <f t="array" ref="L13">LOOKUP(2^15,SEARCH(Tabela2[Palavras-Chave],Boletim4[[#This Row],[Objeto]],1),Tabela2[Palavras-Chave])</f>
        <v>#N/A</v>
      </c>
    </row>
    <row r="14" spans="1:12" ht="86.4" hidden="1" x14ac:dyDescent="0.3">
      <c r="A14" s="5">
        <v>18656484</v>
      </c>
      <c r="B14" s="6" t="s">
        <v>150</v>
      </c>
      <c r="C14" s="6" t="s">
        <v>57</v>
      </c>
      <c r="D14" s="8" t="s">
        <v>54</v>
      </c>
      <c r="E14" s="6" t="s">
        <v>496</v>
      </c>
      <c r="F14" s="6" t="s">
        <v>51</v>
      </c>
      <c r="G14" s="11" t="s">
        <v>56</v>
      </c>
      <c r="I14" s="10" t="s">
        <v>497</v>
      </c>
      <c r="J14" s="6" t="s">
        <v>498</v>
      </c>
      <c r="K14" s="12">
        <v>46120.636157407411</v>
      </c>
      <c r="L14" s="6" t="e" cm="1">
        <f t="array" ref="L14">LOOKUP(2^15,SEARCH(Tabela2[Palavras-Chave],Boletim4[[#This Row],[Objeto]],1),Tabela2[Palavras-Chave])</f>
        <v>#N/A</v>
      </c>
    </row>
    <row r="15" spans="1:12" ht="86.4" hidden="1" x14ac:dyDescent="0.3">
      <c r="A15" s="5">
        <v>18712650</v>
      </c>
      <c r="B15" s="6" t="s">
        <v>150</v>
      </c>
      <c r="C15" s="6" t="s">
        <v>57</v>
      </c>
      <c r="D15" s="8" t="s">
        <v>54</v>
      </c>
      <c r="E15" s="6" t="s">
        <v>499</v>
      </c>
      <c r="F15" s="6" t="s">
        <v>51</v>
      </c>
      <c r="G15" s="11" t="s">
        <v>56</v>
      </c>
      <c r="I15" s="10" t="s">
        <v>500</v>
      </c>
      <c r="J15" s="6" t="s">
        <v>501</v>
      </c>
      <c r="K15" s="12">
        <v>46120.637557870374</v>
      </c>
      <c r="L15" s="6" t="e" cm="1">
        <f t="array" ref="L15">LOOKUP(2^15,SEARCH(Tabela2[Palavras-Chave],Boletim4[[#This Row],[Objeto]],1),Tabela2[Palavras-Chave])</f>
        <v>#N/A</v>
      </c>
    </row>
    <row r="16" spans="1:12" ht="86.4" hidden="1" x14ac:dyDescent="0.3">
      <c r="A16" s="5">
        <v>18761660</v>
      </c>
      <c r="B16" s="6" t="s">
        <v>150</v>
      </c>
      <c r="C16" s="6" t="s">
        <v>57</v>
      </c>
      <c r="D16" s="8" t="s">
        <v>54</v>
      </c>
      <c r="E16" s="6" t="s">
        <v>502</v>
      </c>
      <c r="F16" s="6" t="s">
        <v>51</v>
      </c>
      <c r="G16" s="11" t="s">
        <v>56</v>
      </c>
      <c r="I16" s="10" t="s">
        <v>312</v>
      </c>
      <c r="J16" s="6" t="s">
        <v>503</v>
      </c>
      <c r="K16" s="12">
        <v>46120.641724537039</v>
      </c>
      <c r="L16" s="6" t="e" cm="1">
        <f t="array" ref="L16">LOOKUP(2^15,SEARCH(Tabela2[Palavras-Chave],Boletim4[[#This Row],[Objeto]],1),Tabela2[Palavras-Chave])</f>
        <v>#N/A</v>
      </c>
    </row>
    <row r="17" spans="1:12" ht="86.4" hidden="1" x14ac:dyDescent="0.3">
      <c r="A17" s="5">
        <v>18767304</v>
      </c>
      <c r="B17" s="6" t="s">
        <v>150</v>
      </c>
      <c r="C17" s="6" t="s">
        <v>57</v>
      </c>
      <c r="D17" s="8" t="s">
        <v>54</v>
      </c>
      <c r="E17" s="6" t="s">
        <v>504</v>
      </c>
      <c r="F17" s="6" t="s">
        <v>51</v>
      </c>
      <c r="G17" s="11" t="s">
        <v>56</v>
      </c>
      <c r="I17" s="10" t="s">
        <v>505</v>
      </c>
      <c r="J17" s="6" t="s">
        <v>506</v>
      </c>
      <c r="K17" s="12">
        <v>46120.643113425926</v>
      </c>
      <c r="L17" s="6" t="e" cm="1">
        <f t="array" ref="L17">LOOKUP(2^15,SEARCH(Tabela2[Palavras-Chave],Boletim4[[#This Row],[Objeto]],1),Tabela2[Palavras-Chave])</f>
        <v>#N/A</v>
      </c>
    </row>
    <row r="18" spans="1:12" ht="86.4" hidden="1" x14ac:dyDescent="0.3">
      <c r="A18" s="5">
        <v>18776696</v>
      </c>
      <c r="B18" s="6" t="s">
        <v>150</v>
      </c>
      <c r="C18" s="6" t="s">
        <v>57</v>
      </c>
      <c r="D18" s="8" t="s">
        <v>54</v>
      </c>
      <c r="E18" s="6" t="s">
        <v>507</v>
      </c>
      <c r="F18" s="6" t="s">
        <v>51</v>
      </c>
      <c r="G18" s="11" t="s">
        <v>56</v>
      </c>
      <c r="I18" s="10" t="s">
        <v>508</v>
      </c>
      <c r="J18" s="6" t="s">
        <v>509</v>
      </c>
      <c r="K18" s="12">
        <v>46120.643125000002</v>
      </c>
      <c r="L18" s="6" t="e" cm="1">
        <f t="array" ref="L18">LOOKUP(2^15,SEARCH(Tabela2[Palavras-Chave],Boletim4[[#This Row],[Objeto]],1),Tabela2[Palavras-Chave])</f>
        <v>#N/A</v>
      </c>
    </row>
    <row r="19" spans="1:12" ht="86.4" hidden="1" x14ac:dyDescent="0.3">
      <c r="A19" s="5">
        <v>18712649</v>
      </c>
      <c r="B19" s="6" t="s">
        <v>150</v>
      </c>
      <c r="C19" s="6" t="s">
        <v>57</v>
      </c>
      <c r="D19" s="8" t="s">
        <v>54</v>
      </c>
      <c r="E19" s="6" t="s">
        <v>510</v>
      </c>
      <c r="F19" s="6" t="s">
        <v>51</v>
      </c>
      <c r="G19" s="11" t="s">
        <v>56</v>
      </c>
      <c r="I19" s="10" t="s">
        <v>511</v>
      </c>
      <c r="J19" s="6" t="s">
        <v>512</v>
      </c>
      <c r="K19" s="12">
        <v>46120.647951388892</v>
      </c>
      <c r="L19" s="6" t="e" cm="1">
        <f t="array" ref="L19">LOOKUP(2^15,SEARCH(Tabela2[Palavras-Chave],Boletim4[[#This Row],[Objeto]],1),Tabela2[Palavras-Chave])</f>
        <v>#N/A</v>
      </c>
    </row>
    <row r="20" spans="1:12" ht="86.4" hidden="1" x14ac:dyDescent="0.3">
      <c r="A20" s="5">
        <v>18767307</v>
      </c>
      <c r="B20" s="6" t="s">
        <v>150</v>
      </c>
      <c r="C20" s="6" t="s">
        <v>57</v>
      </c>
      <c r="D20" s="8" t="s">
        <v>54</v>
      </c>
      <c r="E20" s="6" t="s">
        <v>513</v>
      </c>
      <c r="F20" s="6" t="s">
        <v>51</v>
      </c>
      <c r="G20" s="11" t="s">
        <v>56</v>
      </c>
      <c r="I20" s="10" t="s">
        <v>514</v>
      </c>
      <c r="J20" s="6" t="s">
        <v>515</v>
      </c>
      <c r="K20" s="12">
        <v>46120.648634259262</v>
      </c>
      <c r="L20" s="6" t="e" cm="1">
        <f t="array" ref="L20">LOOKUP(2^15,SEARCH(Tabela2[Palavras-Chave],Boletim4[[#This Row],[Objeto]],1),Tabela2[Palavras-Chave])</f>
        <v>#N/A</v>
      </c>
    </row>
    <row r="21" spans="1:12" ht="86.4" hidden="1" x14ac:dyDescent="0.3">
      <c r="A21" s="5">
        <v>18767303</v>
      </c>
      <c r="B21" s="6" t="s">
        <v>150</v>
      </c>
      <c r="C21" s="6" t="s">
        <v>57</v>
      </c>
      <c r="D21" s="8" t="s">
        <v>54</v>
      </c>
      <c r="E21" s="6" t="s">
        <v>516</v>
      </c>
      <c r="F21" s="6" t="s">
        <v>51</v>
      </c>
      <c r="G21" s="11" t="s">
        <v>56</v>
      </c>
      <c r="I21" s="10" t="s">
        <v>517</v>
      </c>
      <c r="J21" s="6" t="s">
        <v>518</v>
      </c>
      <c r="K21" s="12">
        <v>46120.650069444448</v>
      </c>
      <c r="L21" s="6" t="e" cm="1">
        <f t="array" ref="L21">LOOKUP(2^15,SEARCH(Tabela2[Palavras-Chave],Boletim4[[#This Row],[Objeto]],1),Tabela2[Palavras-Chave])</f>
        <v>#N/A</v>
      </c>
    </row>
    <row r="22" spans="1:12" ht="86.4" hidden="1" x14ac:dyDescent="0.3">
      <c r="A22" s="5">
        <v>18782354</v>
      </c>
      <c r="B22" s="6" t="s">
        <v>58</v>
      </c>
      <c r="C22" s="6" t="s">
        <v>53</v>
      </c>
      <c r="D22" s="8" t="s">
        <v>54</v>
      </c>
      <c r="E22" s="6" t="s">
        <v>519</v>
      </c>
      <c r="F22" s="6" t="s">
        <v>51</v>
      </c>
      <c r="G22" s="11" t="s">
        <v>56</v>
      </c>
      <c r="I22" s="10" t="s">
        <v>520</v>
      </c>
      <c r="J22" s="6" t="s">
        <v>521</v>
      </c>
      <c r="K22" s="12">
        <v>46120.651423611111</v>
      </c>
      <c r="L22" s="6" t="e" cm="1">
        <f t="array" ref="L22">LOOKUP(2^15,SEARCH(Tabela2[Palavras-Chave],Boletim4[[#This Row],[Objeto]],1),Tabela2[Palavras-Chave])</f>
        <v>#N/A</v>
      </c>
    </row>
    <row r="23" spans="1:12" ht="100.8" hidden="1" x14ac:dyDescent="0.3">
      <c r="A23" s="5">
        <v>18762141</v>
      </c>
      <c r="B23" s="6" t="s">
        <v>522</v>
      </c>
      <c r="C23" s="6" t="s">
        <v>523</v>
      </c>
      <c r="D23" s="8" t="s">
        <v>54</v>
      </c>
      <c r="E23" s="6" t="s">
        <v>126</v>
      </c>
      <c r="F23" s="6" t="s">
        <v>51</v>
      </c>
      <c r="G23" s="11" t="s">
        <v>56</v>
      </c>
      <c r="I23" s="10" t="s">
        <v>524</v>
      </c>
      <c r="J23" s="6" t="s">
        <v>525</v>
      </c>
      <c r="K23" s="12">
        <v>46120.654803240737</v>
      </c>
      <c r="L23" s="6" t="e" cm="1">
        <f t="array" ref="L23">LOOKUP(2^15,SEARCH(Tabela2[Palavras-Chave],Boletim4[[#This Row],[Objeto]],1),Tabela2[Palavras-Chave])</f>
        <v>#N/A</v>
      </c>
    </row>
    <row r="24" spans="1:12" ht="86.4" hidden="1" x14ac:dyDescent="0.3">
      <c r="A24" s="5">
        <v>18779282</v>
      </c>
      <c r="B24" s="6" t="s">
        <v>150</v>
      </c>
      <c r="C24" s="6" t="s">
        <v>57</v>
      </c>
      <c r="D24" s="8" t="s">
        <v>54</v>
      </c>
      <c r="E24" s="6" t="s">
        <v>526</v>
      </c>
      <c r="F24" s="6" t="s">
        <v>51</v>
      </c>
      <c r="G24" s="11" t="s">
        <v>56</v>
      </c>
      <c r="I24" s="10" t="s">
        <v>527</v>
      </c>
      <c r="J24" s="6" t="s">
        <v>528</v>
      </c>
      <c r="K24" s="12">
        <v>46120.655081018522</v>
      </c>
      <c r="L24" s="6" t="e" cm="1">
        <f t="array" ref="L24">LOOKUP(2^15,SEARCH(Tabela2[Palavras-Chave],Boletim4[[#This Row],[Objeto]],1),Tabela2[Palavras-Chave])</f>
        <v>#N/A</v>
      </c>
    </row>
    <row r="25" spans="1:12" ht="72" hidden="1" x14ac:dyDescent="0.3">
      <c r="A25" s="5">
        <v>18803763</v>
      </c>
      <c r="B25" s="6" t="s">
        <v>150</v>
      </c>
      <c r="C25" s="6" t="s">
        <v>57</v>
      </c>
      <c r="D25" s="8" t="s">
        <v>54</v>
      </c>
      <c r="E25" s="6" t="s">
        <v>529</v>
      </c>
      <c r="F25" s="6" t="s">
        <v>51</v>
      </c>
      <c r="G25" s="11" t="s">
        <v>56</v>
      </c>
      <c r="I25" s="10" t="s">
        <v>310</v>
      </c>
      <c r="J25" s="6" t="s">
        <v>530</v>
      </c>
      <c r="K25" s="12">
        <v>46120.659490740742</v>
      </c>
      <c r="L25" s="6" t="e" cm="1">
        <f t="array" ref="L25">LOOKUP(2^15,SEARCH(Tabela2[Palavras-Chave],Boletim4[[#This Row],[Objeto]],1),Tabela2[Palavras-Chave])</f>
        <v>#N/A</v>
      </c>
    </row>
    <row r="26" spans="1:12" ht="72" hidden="1" x14ac:dyDescent="0.3">
      <c r="A26" s="5">
        <v>18803768</v>
      </c>
      <c r="B26" s="6" t="s">
        <v>153</v>
      </c>
      <c r="C26" s="6" t="s">
        <v>53</v>
      </c>
      <c r="D26" s="8" t="s">
        <v>54</v>
      </c>
      <c r="E26" s="6" t="s">
        <v>531</v>
      </c>
      <c r="F26" s="6" t="s">
        <v>51</v>
      </c>
      <c r="G26" s="11" t="s">
        <v>56</v>
      </c>
      <c r="I26" s="10" t="s">
        <v>532</v>
      </c>
      <c r="J26" s="6" t="s">
        <v>533</v>
      </c>
      <c r="K26" s="12">
        <v>46120.661516203705</v>
      </c>
      <c r="L26" s="6" t="e" cm="1">
        <f t="array" ref="L26">LOOKUP(2^15,SEARCH(Tabela2[Palavras-Chave],Boletim4[[#This Row],[Objeto]],1),Tabela2[Palavras-Chave])</f>
        <v>#N/A</v>
      </c>
    </row>
    <row r="27" spans="1:12" ht="28.8" hidden="1" x14ac:dyDescent="0.3">
      <c r="A27" s="5">
        <v>18745100</v>
      </c>
      <c r="B27" s="6" t="s">
        <v>484</v>
      </c>
      <c r="C27" s="6" t="s">
        <v>243</v>
      </c>
      <c r="D27" s="8" t="s">
        <v>54</v>
      </c>
      <c r="E27" s="6" t="s">
        <v>55</v>
      </c>
      <c r="F27" s="6" t="s">
        <v>51</v>
      </c>
      <c r="G27" s="11" t="s">
        <v>56</v>
      </c>
      <c r="I27" s="10" t="s">
        <v>534</v>
      </c>
      <c r="J27" s="6" t="s">
        <v>138</v>
      </c>
      <c r="K27" s="12">
        <v>46120.672951388886</v>
      </c>
      <c r="L27" s="6" t="e" cm="1">
        <f t="array" ref="L27">LOOKUP(2^15,SEARCH(Tabela2[Palavras-Chave],Boletim4[[#This Row],[Objeto]],1),Tabela2[Palavras-Chave])</f>
        <v>#N/A</v>
      </c>
    </row>
    <row r="28" spans="1:12" ht="86.4" hidden="1" x14ac:dyDescent="0.3">
      <c r="A28" s="5">
        <v>18786773</v>
      </c>
      <c r="B28" s="6" t="s">
        <v>150</v>
      </c>
      <c r="C28" s="6" t="s">
        <v>57</v>
      </c>
      <c r="D28" s="8" t="s">
        <v>54</v>
      </c>
      <c r="E28" s="6" t="s">
        <v>535</v>
      </c>
      <c r="F28" s="6" t="s">
        <v>51</v>
      </c>
      <c r="G28" s="11" t="s">
        <v>56</v>
      </c>
      <c r="I28" s="10" t="s">
        <v>536</v>
      </c>
      <c r="J28" s="6" t="s">
        <v>537</v>
      </c>
      <c r="K28" s="12">
        <v>46120.696134259262</v>
      </c>
      <c r="L28" s="6" t="e" cm="1">
        <f t="array" ref="L28">LOOKUP(2^15,SEARCH(Tabela2[Palavras-Chave],Boletim4[[#This Row],[Objeto]],1),Tabela2[Palavras-Chave])</f>
        <v>#N/A</v>
      </c>
    </row>
    <row r="29" spans="1:12" ht="86.4" hidden="1" x14ac:dyDescent="0.3">
      <c r="A29" s="5">
        <v>18786774</v>
      </c>
      <c r="B29" s="6" t="s">
        <v>150</v>
      </c>
      <c r="C29" s="6" t="s">
        <v>57</v>
      </c>
      <c r="D29" s="8" t="s">
        <v>54</v>
      </c>
      <c r="E29" s="6" t="s">
        <v>538</v>
      </c>
      <c r="F29" s="6" t="s">
        <v>51</v>
      </c>
      <c r="G29" s="11" t="s">
        <v>56</v>
      </c>
      <c r="I29" s="10" t="s">
        <v>539</v>
      </c>
      <c r="J29" s="6" t="s">
        <v>540</v>
      </c>
      <c r="K29" s="12">
        <v>46120.726423611108</v>
      </c>
      <c r="L29" s="6" t="e" cm="1">
        <f t="array" ref="L29">LOOKUP(2^15,SEARCH(Tabela2[Palavras-Chave],Boletim4[[#This Row],[Objeto]],1),Tabela2[Palavras-Chave])</f>
        <v>#N/A</v>
      </c>
    </row>
    <row r="30" spans="1:12" ht="72" hidden="1" x14ac:dyDescent="0.3">
      <c r="A30" s="5">
        <v>18804611</v>
      </c>
      <c r="B30" s="6" t="s">
        <v>297</v>
      </c>
      <c r="C30" s="6" t="s">
        <v>53</v>
      </c>
      <c r="D30" s="8" t="s">
        <v>54</v>
      </c>
      <c r="E30" s="6" t="s">
        <v>55</v>
      </c>
      <c r="F30" s="6" t="s">
        <v>51</v>
      </c>
      <c r="G30" s="11" t="s">
        <v>56</v>
      </c>
      <c r="I30" s="10" t="s">
        <v>541</v>
      </c>
      <c r="J30" s="6" t="s">
        <v>542</v>
      </c>
      <c r="K30" s="12">
        <v>46120.727164351854</v>
      </c>
      <c r="L30" s="6" t="e" cm="1">
        <f t="array" ref="L30">LOOKUP(2^15,SEARCH(Tabela2[Palavras-Chave],Boletim4[[#This Row],[Objeto]],1),Tabela2[Palavras-Chave])</f>
        <v>#N/A</v>
      </c>
    </row>
    <row r="31" spans="1:12" ht="158.4" hidden="1" x14ac:dyDescent="0.3">
      <c r="A31" s="5">
        <v>18805450</v>
      </c>
      <c r="B31" s="6" t="s">
        <v>543</v>
      </c>
      <c r="C31" s="6" t="s">
        <v>53</v>
      </c>
      <c r="D31" s="8" t="s">
        <v>54</v>
      </c>
      <c r="E31" s="6" t="s">
        <v>55</v>
      </c>
      <c r="F31" s="6" t="s">
        <v>51</v>
      </c>
      <c r="G31" s="11" t="s">
        <v>56</v>
      </c>
      <c r="I31" s="10" t="s">
        <v>544</v>
      </c>
      <c r="J31" s="6" t="s">
        <v>545</v>
      </c>
      <c r="K31" s="12">
        <v>46120.729212962964</v>
      </c>
      <c r="L31" s="6" t="e" cm="1">
        <f t="array" ref="L31">LOOKUP(2^15,SEARCH(Tabela2[Palavras-Chave],Boletim4[[#This Row],[Objeto]],1),Tabela2[Palavras-Chave])</f>
        <v>#N/A</v>
      </c>
    </row>
    <row r="32" spans="1:12" ht="158.4" hidden="1" x14ac:dyDescent="0.3">
      <c r="A32" s="5">
        <v>18804863</v>
      </c>
      <c r="B32" s="6" t="s">
        <v>226</v>
      </c>
      <c r="C32" s="6" t="s">
        <v>53</v>
      </c>
      <c r="D32" s="8" t="s">
        <v>54</v>
      </c>
      <c r="E32" s="6" t="s">
        <v>55</v>
      </c>
      <c r="F32" s="6" t="s">
        <v>51</v>
      </c>
      <c r="G32" s="11" t="s">
        <v>56</v>
      </c>
      <c r="I32" s="10" t="s">
        <v>546</v>
      </c>
      <c r="J32" s="6" t="s">
        <v>547</v>
      </c>
      <c r="K32" s="12">
        <v>46120.728680555556</v>
      </c>
      <c r="L32" s="6" t="e" cm="1">
        <f t="array" ref="L32">LOOKUP(2^15,SEARCH(Tabela2[Palavras-Chave],Boletim4[[#This Row],[Objeto]],1),Tabela2[Palavras-Chave])</f>
        <v>#N/A</v>
      </c>
    </row>
    <row r="33" spans="1:12" ht="144" hidden="1" x14ac:dyDescent="0.3">
      <c r="A33" s="5">
        <v>18805447</v>
      </c>
      <c r="B33" s="6" t="s">
        <v>308</v>
      </c>
      <c r="C33" s="6" t="s">
        <v>53</v>
      </c>
      <c r="D33" s="8" t="s">
        <v>54</v>
      </c>
      <c r="E33" s="6" t="s">
        <v>55</v>
      </c>
      <c r="F33" s="6" t="s">
        <v>51</v>
      </c>
      <c r="G33" s="11" t="s">
        <v>56</v>
      </c>
      <c r="I33" s="10" t="s">
        <v>548</v>
      </c>
      <c r="J33" s="6" t="s">
        <v>549</v>
      </c>
      <c r="K33" s="12">
        <v>46120.729884259257</v>
      </c>
      <c r="L33" s="6" t="e" cm="1">
        <f t="array" ref="L33">LOOKUP(2^15,SEARCH(Tabela2[Palavras-Chave],Boletim4[[#This Row],[Objeto]],1),Tabela2[Palavras-Chave])</f>
        <v>#N/A</v>
      </c>
    </row>
    <row r="34" spans="1:12" ht="172.8" hidden="1" x14ac:dyDescent="0.3">
      <c r="A34" s="5">
        <v>18804862</v>
      </c>
      <c r="B34" s="6" t="s">
        <v>226</v>
      </c>
      <c r="C34" s="6" t="s">
        <v>53</v>
      </c>
      <c r="D34" s="8" t="s">
        <v>54</v>
      </c>
      <c r="E34" s="6" t="s">
        <v>55</v>
      </c>
      <c r="F34" s="6" t="s">
        <v>51</v>
      </c>
      <c r="G34" s="11" t="s">
        <v>56</v>
      </c>
      <c r="I34" s="10" t="s">
        <v>550</v>
      </c>
      <c r="J34" s="6" t="s">
        <v>551</v>
      </c>
      <c r="K34" s="12">
        <v>46120.728761574072</v>
      </c>
      <c r="L34" s="6" t="e" cm="1">
        <f t="array" ref="L34">LOOKUP(2^15,SEARCH(Tabela2[Palavras-Chave],Boletim4[[#This Row],[Objeto]],1),Tabela2[Palavras-Chave])</f>
        <v>#N/A</v>
      </c>
    </row>
    <row r="35" spans="1:12" ht="158.4" hidden="1" x14ac:dyDescent="0.3">
      <c r="A35" s="5">
        <v>18805444</v>
      </c>
      <c r="B35" s="6" t="s">
        <v>552</v>
      </c>
      <c r="C35" s="6" t="s">
        <v>53</v>
      </c>
      <c r="D35" s="8" t="s">
        <v>54</v>
      </c>
      <c r="E35" s="6" t="s">
        <v>55</v>
      </c>
      <c r="F35" s="6" t="s">
        <v>51</v>
      </c>
      <c r="G35" s="11" t="s">
        <v>56</v>
      </c>
      <c r="I35" s="10" t="s">
        <v>553</v>
      </c>
      <c r="J35" s="6" t="s">
        <v>554</v>
      </c>
      <c r="K35" s="12">
        <v>46120.729895833334</v>
      </c>
      <c r="L35" s="6" t="e" cm="1">
        <f t="array" ref="L35">LOOKUP(2^15,SEARCH(Tabela2[Palavras-Chave],Boletim4[[#This Row],[Objeto]],1),Tabela2[Palavras-Chave])</f>
        <v>#N/A</v>
      </c>
    </row>
    <row r="36" spans="1:12" ht="158.4" hidden="1" x14ac:dyDescent="0.3">
      <c r="A36" s="5">
        <v>18805456</v>
      </c>
      <c r="B36" s="6" t="s">
        <v>555</v>
      </c>
      <c r="C36" s="6" t="s">
        <v>53</v>
      </c>
      <c r="D36" s="8" t="s">
        <v>54</v>
      </c>
      <c r="E36" s="6" t="s">
        <v>55</v>
      </c>
      <c r="F36" s="6" t="s">
        <v>51</v>
      </c>
      <c r="G36" s="11" t="s">
        <v>56</v>
      </c>
      <c r="I36" s="10" t="s">
        <v>556</v>
      </c>
      <c r="J36" s="6" t="s">
        <v>557</v>
      </c>
      <c r="K36" s="12">
        <v>46120.729895833334</v>
      </c>
      <c r="L36" s="6" t="e" cm="1">
        <f t="array" ref="L36">LOOKUP(2^15,SEARCH(Tabela2[Palavras-Chave],Boletim4[[#This Row],[Objeto]],1),Tabela2[Palavras-Chave])</f>
        <v>#N/A</v>
      </c>
    </row>
    <row r="37" spans="1:12" ht="172.8" hidden="1" x14ac:dyDescent="0.3">
      <c r="A37" s="5">
        <v>18805451</v>
      </c>
      <c r="B37" s="6" t="s">
        <v>308</v>
      </c>
      <c r="C37" s="6" t="s">
        <v>315</v>
      </c>
      <c r="D37" s="8" t="s">
        <v>54</v>
      </c>
      <c r="E37" s="6" t="s">
        <v>55</v>
      </c>
      <c r="F37" s="6" t="s">
        <v>51</v>
      </c>
      <c r="G37" s="11" t="s">
        <v>56</v>
      </c>
      <c r="I37" s="10" t="s">
        <v>558</v>
      </c>
      <c r="J37" s="6" t="s">
        <v>559</v>
      </c>
      <c r="K37" s="12">
        <v>46120.731296296297</v>
      </c>
      <c r="L37" s="6" t="e" cm="1">
        <f t="array" ref="L37">LOOKUP(2^15,SEARCH(Tabela2[Palavras-Chave],Boletim4[[#This Row],[Objeto]],1),Tabela2[Palavras-Chave])</f>
        <v>#N/A</v>
      </c>
    </row>
    <row r="38" spans="1:12" ht="158.4" hidden="1" x14ac:dyDescent="0.3">
      <c r="A38" s="5">
        <v>18805429</v>
      </c>
      <c r="B38" s="6" t="s">
        <v>226</v>
      </c>
      <c r="C38" s="6" t="s">
        <v>53</v>
      </c>
      <c r="D38" s="8" t="s">
        <v>54</v>
      </c>
      <c r="E38" s="6" t="s">
        <v>55</v>
      </c>
      <c r="F38" s="6" t="s">
        <v>51</v>
      </c>
      <c r="G38" s="11" t="s">
        <v>56</v>
      </c>
      <c r="I38" s="10" t="s">
        <v>560</v>
      </c>
      <c r="J38" s="6" t="s">
        <v>561</v>
      </c>
      <c r="K38" s="12">
        <v>46120.731296296297</v>
      </c>
      <c r="L38" s="6" t="e" cm="1">
        <f t="array" ref="L38">LOOKUP(2^15,SEARCH(Tabela2[Palavras-Chave],Boletim4[[#This Row],[Objeto]],1),Tabela2[Palavras-Chave])</f>
        <v>#N/A</v>
      </c>
    </row>
    <row r="39" spans="1:12" ht="72" hidden="1" x14ac:dyDescent="0.3">
      <c r="A39" s="5">
        <v>18803771</v>
      </c>
      <c r="B39" s="6" t="s">
        <v>58</v>
      </c>
      <c r="C39" s="6" t="s">
        <v>53</v>
      </c>
      <c r="D39" s="8" t="s">
        <v>54</v>
      </c>
      <c r="E39" s="6" t="s">
        <v>562</v>
      </c>
      <c r="F39" s="6" t="s">
        <v>51</v>
      </c>
      <c r="G39" s="11" t="s">
        <v>56</v>
      </c>
      <c r="I39" s="10" t="s">
        <v>563</v>
      </c>
      <c r="J39" s="6" t="s">
        <v>564</v>
      </c>
      <c r="K39" s="12">
        <v>46120.731863425928</v>
      </c>
      <c r="L39" s="6" t="e" cm="1">
        <f t="array" ref="L39">LOOKUP(2^15,SEARCH(Tabela2[Palavras-Chave],Boletim4[[#This Row],[Objeto]],1),Tabela2[Palavras-Chave])</f>
        <v>#N/A</v>
      </c>
    </row>
    <row r="40" spans="1:12" ht="144" hidden="1" x14ac:dyDescent="0.3">
      <c r="A40" s="5">
        <v>18805436</v>
      </c>
      <c r="B40" s="6" t="s">
        <v>565</v>
      </c>
      <c r="C40" s="6" t="s">
        <v>53</v>
      </c>
      <c r="D40" s="8" t="s">
        <v>54</v>
      </c>
      <c r="E40" s="6" t="s">
        <v>55</v>
      </c>
      <c r="F40" s="6" t="s">
        <v>51</v>
      </c>
      <c r="G40" s="11" t="s">
        <v>56</v>
      </c>
      <c r="I40" s="10" t="s">
        <v>566</v>
      </c>
      <c r="J40" s="6" t="s">
        <v>567</v>
      </c>
      <c r="K40" s="12">
        <v>46120.731990740744</v>
      </c>
      <c r="L40" s="6" t="e" cm="1">
        <f t="array" ref="L40">LOOKUP(2^15,SEARCH(Tabela2[Palavras-Chave],Boletim4[[#This Row],[Objeto]],1),Tabela2[Palavras-Chave])</f>
        <v>#N/A</v>
      </c>
    </row>
    <row r="41" spans="1:12" ht="158.4" hidden="1" x14ac:dyDescent="0.3">
      <c r="A41" s="5">
        <v>18805421</v>
      </c>
      <c r="B41" s="6" t="s">
        <v>226</v>
      </c>
      <c r="C41" s="6" t="s">
        <v>53</v>
      </c>
      <c r="D41" s="8" t="s">
        <v>54</v>
      </c>
      <c r="E41" s="6" t="s">
        <v>55</v>
      </c>
      <c r="F41" s="6" t="s">
        <v>51</v>
      </c>
      <c r="G41" s="11" t="s">
        <v>56</v>
      </c>
      <c r="I41" s="10" t="s">
        <v>568</v>
      </c>
      <c r="J41" s="6" t="s">
        <v>569</v>
      </c>
      <c r="K41" s="12">
        <v>46120.731990740744</v>
      </c>
      <c r="L41" s="6" t="e" cm="1">
        <f t="array" ref="L41">LOOKUP(2^15,SEARCH(Tabela2[Palavras-Chave],Boletim4[[#This Row],[Objeto]],1),Tabela2[Palavras-Chave])</f>
        <v>#N/A</v>
      </c>
    </row>
    <row r="42" spans="1:12" ht="158.4" hidden="1" x14ac:dyDescent="0.3">
      <c r="A42" s="5">
        <v>18805412</v>
      </c>
      <c r="B42" s="6" t="s">
        <v>226</v>
      </c>
      <c r="C42" s="6" t="s">
        <v>53</v>
      </c>
      <c r="D42" s="8" t="s">
        <v>54</v>
      </c>
      <c r="E42" s="6" t="s">
        <v>55</v>
      </c>
      <c r="F42" s="6" t="s">
        <v>51</v>
      </c>
      <c r="G42" s="11" t="s">
        <v>56</v>
      </c>
      <c r="I42" s="10" t="s">
        <v>570</v>
      </c>
      <c r="J42" s="6" t="s">
        <v>571</v>
      </c>
      <c r="K42" s="12">
        <v>46120.731990740744</v>
      </c>
      <c r="L42" s="6" t="e" cm="1">
        <f t="array" ref="L42">LOOKUP(2^15,SEARCH(Tabela2[Palavras-Chave],Boletim4[[#This Row],[Objeto]],1),Tabela2[Palavras-Chave])</f>
        <v>#N/A</v>
      </c>
    </row>
    <row r="43" spans="1:12" ht="86.4" hidden="1" x14ac:dyDescent="0.3">
      <c r="A43" s="5">
        <v>18787066</v>
      </c>
      <c r="B43" s="6" t="s">
        <v>150</v>
      </c>
      <c r="C43" s="6" t="s">
        <v>57</v>
      </c>
      <c r="D43" s="8" t="s">
        <v>54</v>
      </c>
      <c r="E43" s="6" t="s">
        <v>572</v>
      </c>
      <c r="F43" s="6" t="s">
        <v>51</v>
      </c>
      <c r="G43" s="11" t="s">
        <v>56</v>
      </c>
      <c r="I43" s="10" t="s">
        <v>573</v>
      </c>
      <c r="J43" s="6" t="s">
        <v>574</v>
      </c>
      <c r="K43" s="12">
        <v>46120.734756944446</v>
      </c>
      <c r="L43" s="6" t="e" cm="1">
        <f t="array" ref="L43">LOOKUP(2^15,SEARCH(Tabela2[Palavras-Chave],Boletim4[[#This Row],[Objeto]],1),Tabela2[Palavras-Chave])</f>
        <v>#N/A</v>
      </c>
    </row>
    <row r="44" spans="1:12" ht="158.4" hidden="1" x14ac:dyDescent="0.3">
      <c r="A44" s="5">
        <v>18805414</v>
      </c>
      <c r="B44" s="6" t="s">
        <v>226</v>
      </c>
      <c r="C44" s="6" t="s">
        <v>53</v>
      </c>
      <c r="D44" s="8" t="s">
        <v>54</v>
      </c>
      <c r="E44" s="6" t="s">
        <v>55</v>
      </c>
      <c r="F44" s="6" t="s">
        <v>51</v>
      </c>
      <c r="G44" s="11" t="s">
        <v>56</v>
      </c>
      <c r="I44" s="10" t="s">
        <v>575</v>
      </c>
      <c r="J44" s="6" t="s">
        <v>576</v>
      </c>
      <c r="K44" s="12">
        <v>46120.732685185183</v>
      </c>
      <c r="L44" s="6" t="e" cm="1">
        <f t="array" ref="L44">LOOKUP(2^15,SEARCH(Tabela2[Palavras-Chave],Boletim4[[#This Row],[Objeto]],1),Tabela2[Palavras-Chave])</f>
        <v>#N/A</v>
      </c>
    </row>
    <row r="45" spans="1:12" ht="172.8" hidden="1" x14ac:dyDescent="0.3">
      <c r="A45" s="5">
        <v>18805442</v>
      </c>
      <c r="B45" s="6" t="s">
        <v>226</v>
      </c>
      <c r="C45" s="6" t="s">
        <v>53</v>
      </c>
      <c r="D45" s="8" t="s">
        <v>54</v>
      </c>
      <c r="E45" s="6" t="s">
        <v>55</v>
      </c>
      <c r="F45" s="6" t="s">
        <v>51</v>
      </c>
      <c r="G45" s="11" t="s">
        <v>56</v>
      </c>
      <c r="I45" s="10" t="s">
        <v>550</v>
      </c>
      <c r="J45" s="6" t="s">
        <v>577</v>
      </c>
      <c r="K45" s="12">
        <v>46120.73337962963</v>
      </c>
      <c r="L45" s="6" t="e" cm="1">
        <f t="array" ref="L45">LOOKUP(2^15,SEARCH(Tabela2[Palavras-Chave],Boletim4[[#This Row],[Objeto]],1),Tabela2[Palavras-Chave])</f>
        <v>#N/A</v>
      </c>
    </row>
    <row r="46" spans="1:12" ht="158.4" x14ac:dyDescent="0.3">
      <c r="A46" s="5">
        <v>18805419</v>
      </c>
      <c r="B46" s="6" t="s">
        <v>226</v>
      </c>
      <c r="C46" s="6" t="s">
        <v>53</v>
      </c>
      <c r="D46" s="8" t="s">
        <v>54</v>
      </c>
      <c r="E46" s="6" t="s">
        <v>55</v>
      </c>
      <c r="F46" s="6" t="s">
        <v>51</v>
      </c>
      <c r="G46" s="11" t="s">
        <v>56</v>
      </c>
      <c r="H46" s="23">
        <v>2</v>
      </c>
      <c r="I46" s="10" t="s">
        <v>578</v>
      </c>
      <c r="J46" s="6" t="s">
        <v>579</v>
      </c>
      <c r="K46" s="12">
        <v>46120.733414351853</v>
      </c>
      <c r="L46" s="6" t="str" cm="1">
        <f t="array" ref="L46">LOOKUP(2^15,SEARCH(Tabela2[Palavras-Chave],Boletim4[[#This Row],[Objeto]],1),Tabela2[Palavras-Chave])</f>
        <v>UNIAO</v>
      </c>
    </row>
    <row r="47" spans="1:12" ht="158.4" hidden="1" x14ac:dyDescent="0.3">
      <c r="A47" s="5">
        <v>18805415</v>
      </c>
      <c r="B47" s="6" t="s">
        <v>226</v>
      </c>
      <c r="C47" s="6" t="s">
        <v>53</v>
      </c>
      <c r="D47" s="8" t="s">
        <v>54</v>
      </c>
      <c r="E47" s="6" t="s">
        <v>55</v>
      </c>
      <c r="F47" s="6" t="s">
        <v>51</v>
      </c>
      <c r="G47" s="11" t="s">
        <v>56</v>
      </c>
      <c r="I47" s="10" t="s">
        <v>580</v>
      </c>
      <c r="J47" s="6" t="s">
        <v>581</v>
      </c>
      <c r="K47" s="12">
        <v>46120.733414351853</v>
      </c>
      <c r="L47" s="6" t="e" cm="1">
        <f t="array" ref="L47">LOOKUP(2^15,SEARCH(Tabela2[Palavras-Chave],Boletim4[[#This Row],[Objeto]],1),Tabela2[Palavras-Chave])</f>
        <v>#N/A</v>
      </c>
    </row>
    <row r="48" spans="1:12" ht="86.4" hidden="1" x14ac:dyDescent="0.3">
      <c r="A48" s="5">
        <v>18776643</v>
      </c>
      <c r="B48" s="6" t="s">
        <v>191</v>
      </c>
      <c r="C48" s="6" t="s">
        <v>313</v>
      </c>
      <c r="D48" s="8" t="s">
        <v>54</v>
      </c>
      <c r="E48" s="6" t="s">
        <v>389</v>
      </c>
      <c r="F48" s="6" t="s">
        <v>51</v>
      </c>
      <c r="G48" s="11" t="s">
        <v>56</v>
      </c>
      <c r="I48" s="10" t="s">
        <v>582</v>
      </c>
      <c r="J48" s="6" t="s">
        <v>583</v>
      </c>
      <c r="K48" s="12">
        <v>46120.74795138889</v>
      </c>
      <c r="L48" s="6" t="e" cm="1">
        <f t="array" ref="L48">LOOKUP(2^15,SEARCH(Tabela2[Palavras-Chave],Boletim4[[#This Row],[Objeto]],1),Tabela2[Palavras-Chave])</f>
        <v>#N/A</v>
      </c>
    </row>
    <row r="49" spans="1:12" ht="172.8" hidden="1" x14ac:dyDescent="0.3">
      <c r="A49" s="5">
        <v>18805533</v>
      </c>
      <c r="B49" s="6" t="s">
        <v>314</v>
      </c>
      <c r="C49" s="6" t="s">
        <v>430</v>
      </c>
      <c r="D49" s="8" t="s">
        <v>54</v>
      </c>
      <c r="E49" s="6" t="s">
        <v>55</v>
      </c>
      <c r="F49" s="6" t="s">
        <v>51</v>
      </c>
      <c r="G49" s="11" t="s">
        <v>56</v>
      </c>
      <c r="I49" s="10" t="s">
        <v>584</v>
      </c>
      <c r="J49" s="6" t="s">
        <v>585</v>
      </c>
      <c r="K49" s="12">
        <v>46120.74795138889</v>
      </c>
      <c r="L49" s="6" t="e" cm="1">
        <f t="array" ref="L49">LOOKUP(2^15,SEARCH(Tabela2[Palavras-Chave],Boletim4[[#This Row],[Objeto]],1),Tabela2[Palavras-Chave])</f>
        <v>#N/A</v>
      </c>
    </row>
    <row r="50" spans="1:12" ht="72" hidden="1" x14ac:dyDescent="0.3">
      <c r="A50" s="13">
        <v>18803767</v>
      </c>
      <c r="B50" s="10" t="s">
        <v>58</v>
      </c>
      <c r="C50" s="10" t="s">
        <v>53</v>
      </c>
      <c r="D50" s="15" t="s">
        <v>54</v>
      </c>
      <c r="E50" s="10" t="s">
        <v>586</v>
      </c>
      <c r="F50" s="10" t="s">
        <v>51</v>
      </c>
      <c r="G50" s="16" t="s">
        <v>56</v>
      </c>
      <c r="H50" s="24"/>
      <c r="I50" s="10" t="s">
        <v>587</v>
      </c>
      <c r="J50" s="10" t="s">
        <v>588</v>
      </c>
      <c r="K50" s="17">
        <v>46120.749537037038</v>
      </c>
      <c r="L50" s="6" t="e" cm="1">
        <f t="array" ref="L50">LOOKUP(2^15,SEARCH(Tabela2[Palavras-Chave],Boletim4[[#This Row],[Objeto]],1),Tabela2[Palavras-Chave])</f>
        <v>#N/A</v>
      </c>
    </row>
    <row r="51" spans="1:12" ht="244.8" hidden="1" x14ac:dyDescent="0.3">
      <c r="A51" s="5">
        <v>18805597</v>
      </c>
      <c r="B51" s="6" t="s">
        <v>589</v>
      </c>
      <c r="C51" s="6" t="s">
        <v>183</v>
      </c>
      <c r="D51" s="8" t="s">
        <v>54</v>
      </c>
      <c r="E51" s="6" t="s">
        <v>137</v>
      </c>
      <c r="F51" s="6" t="s">
        <v>51</v>
      </c>
      <c r="G51" s="11" t="s">
        <v>56</v>
      </c>
      <c r="I51" s="10" t="s">
        <v>590</v>
      </c>
      <c r="J51" s="6" t="s">
        <v>591</v>
      </c>
      <c r="K51" s="12">
        <v>46120.754618055558</v>
      </c>
      <c r="L51" s="6" t="e" cm="1">
        <f t="array" ref="L51">LOOKUP(2^15,SEARCH(Tabela2[Palavras-Chave],Boletim4[[#This Row],[Objeto]],1),Tabela2[Palavras-Chave])</f>
        <v>#N/A</v>
      </c>
    </row>
    <row r="52" spans="1:12" ht="72" hidden="1" x14ac:dyDescent="0.3">
      <c r="A52" s="5">
        <v>18803781</v>
      </c>
      <c r="B52" s="6" t="s">
        <v>153</v>
      </c>
      <c r="C52" s="6" t="s">
        <v>53</v>
      </c>
      <c r="D52" s="8" t="s">
        <v>54</v>
      </c>
      <c r="E52" s="6" t="s">
        <v>592</v>
      </c>
      <c r="F52" s="6" t="s">
        <v>51</v>
      </c>
      <c r="G52" s="11" t="s">
        <v>56</v>
      </c>
      <c r="I52" s="10" t="s">
        <v>593</v>
      </c>
      <c r="J52" s="6" t="s">
        <v>594</v>
      </c>
      <c r="K52" s="12">
        <v>46120.761793981481</v>
      </c>
      <c r="L52" s="6" t="e" cm="1">
        <f t="array" ref="L52">LOOKUP(2^15,SEARCH(Tabela2[Palavras-Chave],Boletim4[[#This Row],[Objeto]],1),Tabela2[Palavras-Chave])</f>
        <v>#N/A</v>
      </c>
    </row>
    <row r="53" spans="1:12" ht="86.4" hidden="1" x14ac:dyDescent="0.3">
      <c r="A53" s="5">
        <v>18779296</v>
      </c>
      <c r="B53" s="6" t="s">
        <v>150</v>
      </c>
      <c r="C53" s="6" t="s">
        <v>57</v>
      </c>
      <c r="D53" s="8" t="s">
        <v>54</v>
      </c>
      <c r="E53" s="6" t="s">
        <v>595</v>
      </c>
      <c r="F53" s="6" t="s">
        <v>51</v>
      </c>
      <c r="G53" s="11" t="s">
        <v>56</v>
      </c>
      <c r="I53" s="10" t="s">
        <v>596</v>
      </c>
      <c r="J53" s="6" t="s">
        <v>597</v>
      </c>
      <c r="K53" s="12">
        <v>46120.775949074072</v>
      </c>
      <c r="L53" s="6" t="e" cm="1">
        <f t="array" ref="L53">LOOKUP(2^15,SEARCH(Tabela2[Palavras-Chave],Boletim4[[#This Row],[Objeto]],1),Tabela2[Palavras-Chave])</f>
        <v>#N/A</v>
      </c>
    </row>
    <row r="54" spans="1:12" ht="158.4" hidden="1" x14ac:dyDescent="0.3">
      <c r="A54" s="5">
        <v>18805418</v>
      </c>
      <c r="B54" s="6" t="s">
        <v>318</v>
      </c>
      <c r="C54" s="6" t="s">
        <v>53</v>
      </c>
      <c r="D54" s="8" t="s">
        <v>54</v>
      </c>
      <c r="E54" s="6" t="s">
        <v>55</v>
      </c>
      <c r="F54" s="6" t="s">
        <v>51</v>
      </c>
      <c r="G54" s="11" t="s">
        <v>56</v>
      </c>
      <c r="I54" s="10" t="s">
        <v>598</v>
      </c>
      <c r="J54" s="6" t="s">
        <v>599</v>
      </c>
      <c r="K54" s="12">
        <v>46120.809548611112</v>
      </c>
      <c r="L54" s="6" t="e" cm="1">
        <f t="array" ref="L54">LOOKUP(2^15,SEARCH(Tabela2[Palavras-Chave],Boletim4[[#This Row],[Objeto]],1),Tabela2[Palavras-Chave])</f>
        <v>#N/A</v>
      </c>
    </row>
    <row r="55" spans="1:12" ht="86.4" hidden="1" x14ac:dyDescent="0.3">
      <c r="A55" s="5">
        <v>18799169</v>
      </c>
      <c r="B55" s="6" t="s">
        <v>191</v>
      </c>
      <c r="C55" s="6" t="s">
        <v>311</v>
      </c>
      <c r="D55" s="8" t="s">
        <v>54</v>
      </c>
      <c r="E55" s="6" t="s">
        <v>600</v>
      </c>
      <c r="F55" s="6" t="s">
        <v>51</v>
      </c>
      <c r="G55" s="11" t="s">
        <v>56</v>
      </c>
      <c r="I55" s="10" t="s">
        <v>601</v>
      </c>
      <c r="J55" s="6" t="s">
        <v>602</v>
      </c>
      <c r="K55" s="12">
        <v>46120.827118055553</v>
      </c>
      <c r="L55" s="6" t="e" cm="1">
        <f t="array" ref="L55">LOOKUP(2^15,SEARCH(Tabela2[Palavras-Chave],Boletim4[[#This Row],[Objeto]],1),Tabela2[Palavras-Chave])</f>
        <v>#N/A</v>
      </c>
    </row>
    <row r="56" spans="1:12" ht="86.4" hidden="1" x14ac:dyDescent="0.3">
      <c r="A56" s="5">
        <v>18764133</v>
      </c>
      <c r="B56" s="6" t="s">
        <v>58</v>
      </c>
      <c r="C56" s="6" t="s">
        <v>53</v>
      </c>
      <c r="D56" s="8" t="s">
        <v>54</v>
      </c>
      <c r="E56" s="6" t="s">
        <v>603</v>
      </c>
      <c r="F56" s="6" t="s">
        <v>51</v>
      </c>
      <c r="G56" s="11" t="s">
        <v>56</v>
      </c>
      <c r="I56" s="10" t="s">
        <v>604</v>
      </c>
      <c r="J56" s="6" t="s">
        <v>605</v>
      </c>
      <c r="K56" s="12">
        <v>46120.839918981481</v>
      </c>
      <c r="L56" s="6" t="e" cm="1">
        <f t="array" ref="L56">LOOKUP(2^15,SEARCH(Tabela2[Palavras-Chave],Boletim4[[#This Row],[Objeto]],1),Tabela2[Palavras-Chave])</f>
        <v>#N/A</v>
      </c>
    </row>
    <row r="57" spans="1:12" ht="72" hidden="1" x14ac:dyDescent="0.3">
      <c r="A57" s="5">
        <v>18805745</v>
      </c>
      <c r="B57" s="6" t="s">
        <v>153</v>
      </c>
      <c r="C57" s="6" t="s">
        <v>53</v>
      </c>
      <c r="D57" s="8" t="s">
        <v>54</v>
      </c>
      <c r="E57" s="6" t="s">
        <v>606</v>
      </c>
      <c r="F57" s="6" t="s">
        <v>51</v>
      </c>
      <c r="G57" s="11" t="s">
        <v>56</v>
      </c>
      <c r="I57" s="10" t="s">
        <v>607</v>
      </c>
      <c r="J57" s="6" t="s">
        <v>608</v>
      </c>
      <c r="K57" s="12">
        <v>46120.85560185185</v>
      </c>
      <c r="L57" s="6" t="e" cm="1">
        <f t="array" ref="L57">LOOKUP(2^15,SEARCH(Tabela2[Palavras-Chave],Boletim4[[#This Row],[Objeto]],1),Tabela2[Palavras-Chave])</f>
        <v>#N/A</v>
      </c>
    </row>
    <row r="58" spans="1:12" ht="72" hidden="1" x14ac:dyDescent="0.3">
      <c r="A58" s="13">
        <v>18805522</v>
      </c>
      <c r="B58" s="10" t="s">
        <v>150</v>
      </c>
      <c r="C58" s="10" t="s">
        <v>57</v>
      </c>
      <c r="D58" s="15" t="s">
        <v>54</v>
      </c>
      <c r="E58" s="10" t="s">
        <v>609</v>
      </c>
      <c r="F58" s="10" t="s">
        <v>51</v>
      </c>
      <c r="G58" s="16" t="s">
        <v>56</v>
      </c>
      <c r="H58" s="24"/>
      <c r="I58" s="10" t="s">
        <v>610</v>
      </c>
      <c r="J58" s="10" t="s">
        <v>611</v>
      </c>
      <c r="K58" s="17">
        <v>46120.862314814818</v>
      </c>
      <c r="L58" s="6" t="e" cm="1">
        <f t="array" ref="L58">LOOKUP(2^15,SEARCH(Tabela2[Palavras-Chave],Boletim4[[#This Row],[Objeto]],1),Tabela2[Palavras-Chave])</f>
        <v>#N/A</v>
      </c>
    </row>
    <row r="59" spans="1:12" ht="172.8" hidden="1" x14ac:dyDescent="0.3">
      <c r="A59" s="5">
        <v>18805417</v>
      </c>
      <c r="B59" s="6" t="s">
        <v>226</v>
      </c>
      <c r="C59" s="6" t="s">
        <v>53</v>
      </c>
      <c r="D59" s="8" t="s">
        <v>54</v>
      </c>
      <c r="E59" s="6" t="s">
        <v>55</v>
      </c>
      <c r="F59" s="6" t="s">
        <v>51</v>
      </c>
      <c r="G59" s="11" t="s">
        <v>56</v>
      </c>
      <c r="I59" s="10" t="s">
        <v>612</v>
      </c>
      <c r="J59" s="6" t="s">
        <v>613</v>
      </c>
      <c r="K59" s="12">
        <v>46120.862395833334</v>
      </c>
      <c r="L59" s="6" t="e" cm="1">
        <f t="array" ref="L59">LOOKUP(2^15,SEARCH(Tabela2[Palavras-Chave],Boletim4[[#This Row],[Objeto]],1),Tabela2[Palavras-Chave])</f>
        <v>#N/A</v>
      </c>
    </row>
    <row r="60" spans="1:12" ht="158.4" hidden="1" x14ac:dyDescent="0.3">
      <c r="A60" s="5">
        <v>18805416</v>
      </c>
      <c r="B60" s="6" t="s">
        <v>316</v>
      </c>
      <c r="C60" s="6" t="s">
        <v>317</v>
      </c>
      <c r="D60" s="8" t="s">
        <v>54</v>
      </c>
      <c r="E60" s="6" t="s">
        <v>55</v>
      </c>
      <c r="F60" s="6" t="s">
        <v>51</v>
      </c>
      <c r="G60" s="11" t="s">
        <v>56</v>
      </c>
      <c r="I60" s="10" t="s">
        <v>614</v>
      </c>
      <c r="J60" s="6" t="s">
        <v>615</v>
      </c>
      <c r="K60" s="12">
        <v>46120.862476851849</v>
      </c>
      <c r="L60" s="6" t="e" cm="1">
        <f t="array" ref="L60">LOOKUP(2^15,SEARCH(Tabela2[Palavras-Chave],Boletim4[[#This Row],[Objeto]],1),Tabela2[Palavras-Chave])</f>
        <v>#N/A</v>
      </c>
    </row>
    <row r="61" spans="1:12" ht="172.8" hidden="1" x14ac:dyDescent="0.3">
      <c r="A61" s="5">
        <v>18805407</v>
      </c>
      <c r="B61" s="6" t="s">
        <v>226</v>
      </c>
      <c r="C61" s="6" t="s">
        <v>53</v>
      </c>
      <c r="D61" s="8" t="s">
        <v>54</v>
      </c>
      <c r="E61" s="6" t="s">
        <v>55</v>
      </c>
      <c r="F61" s="6" t="s">
        <v>51</v>
      </c>
      <c r="G61" s="11" t="s">
        <v>56</v>
      </c>
      <c r="I61" s="10" t="s">
        <v>616</v>
      </c>
      <c r="J61" s="6" t="s">
        <v>617</v>
      </c>
      <c r="K61" s="12">
        <v>46120.862615740742</v>
      </c>
      <c r="L61" s="6" t="e" cm="1">
        <f t="array" ref="L61">LOOKUP(2^15,SEARCH(Tabela2[Palavras-Chave],Boletim4[[#This Row],[Objeto]],1),Tabela2[Palavras-Chave])</f>
        <v>#N/A</v>
      </c>
    </row>
    <row r="62" spans="1:12" ht="72" hidden="1" x14ac:dyDescent="0.3">
      <c r="A62" s="5">
        <v>18803766</v>
      </c>
      <c r="B62" s="6" t="s">
        <v>150</v>
      </c>
      <c r="C62" s="6" t="s">
        <v>57</v>
      </c>
      <c r="D62" s="8" t="s">
        <v>54</v>
      </c>
      <c r="E62" s="6" t="s">
        <v>618</v>
      </c>
      <c r="F62" s="6" t="s">
        <v>51</v>
      </c>
      <c r="G62" s="11" t="s">
        <v>56</v>
      </c>
      <c r="I62" s="10" t="s">
        <v>619</v>
      </c>
      <c r="J62" s="6" t="s">
        <v>620</v>
      </c>
      <c r="K62" s="12">
        <v>46120.871099537035</v>
      </c>
      <c r="L62" s="6" t="e" cm="1">
        <f t="array" ref="L62">LOOKUP(2^15,SEARCH(Tabela2[Palavras-Chave],Boletim4[[#This Row],[Objeto]],1),Tabela2[Palavras-Chave])</f>
        <v>#N/A</v>
      </c>
    </row>
    <row r="63" spans="1:12" ht="43.2" hidden="1" x14ac:dyDescent="0.3">
      <c r="A63" s="5">
        <v>18804407</v>
      </c>
      <c r="B63" s="6" t="s">
        <v>621</v>
      </c>
      <c r="C63" s="6" t="s">
        <v>622</v>
      </c>
      <c r="D63" s="8" t="s">
        <v>54</v>
      </c>
      <c r="E63" s="6" t="s">
        <v>55</v>
      </c>
      <c r="F63" s="6" t="s">
        <v>51</v>
      </c>
      <c r="G63" s="11" t="s">
        <v>56</v>
      </c>
      <c r="I63" s="10" t="s">
        <v>623</v>
      </c>
      <c r="J63" s="6" t="s">
        <v>90</v>
      </c>
      <c r="K63" s="12">
        <v>46120.883460648147</v>
      </c>
      <c r="L63" s="6" t="e" cm="1">
        <f t="array" ref="L63">LOOKUP(2^15,SEARCH(Tabela2[Palavras-Chave],Boletim4[[#This Row],[Objeto]],1),Tabela2[Palavras-Chave])</f>
        <v>#N/A</v>
      </c>
    </row>
    <row r="64" spans="1:12" ht="43.2" hidden="1" x14ac:dyDescent="0.3">
      <c r="A64" s="5">
        <v>18806451</v>
      </c>
      <c r="B64" s="6" t="s">
        <v>624</v>
      </c>
      <c r="C64" s="6" t="s">
        <v>622</v>
      </c>
      <c r="D64" s="8" t="s">
        <v>54</v>
      </c>
      <c r="E64" s="6" t="s">
        <v>110</v>
      </c>
      <c r="F64" s="6" t="s">
        <v>51</v>
      </c>
      <c r="G64" s="11">
        <v>46125.333333333336</v>
      </c>
      <c r="I64" s="10" t="s">
        <v>625</v>
      </c>
      <c r="J64" s="6" t="s">
        <v>626</v>
      </c>
      <c r="K64" s="12">
        <v>46120.888020833336</v>
      </c>
      <c r="L64" s="6" t="e" cm="1">
        <f t="array" ref="L64">LOOKUP(2^15,SEARCH(Tabela2[Palavras-Chave],Boletim4[[#This Row],[Objeto]],1),Tabela2[Palavras-Chave])</f>
        <v>#N/A</v>
      </c>
    </row>
    <row r="65" spans="1:12" ht="172.8" hidden="1" x14ac:dyDescent="0.3">
      <c r="A65" s="5">
        <v>18800857</v>
      </c>
      <c r="B65" s="6" t="s">
        <v>627</v>
      </c>
      <c r="C65" s="6" t="s">
        <v>628</v>
      </c>
      <c r="D65" s="8" t="s">
        <v>60</v>
      </c>
      <c r="E65" s="6" t="s">
        <v>629</v>
      </c>
      <c r="F65" s="6" t="s">
        <v>51</v>
      </c>
      <c r="G65" s="11">
        <v>46122.645833333336</v>
      </c>
      <c r="I65" s="10" t="s">
        <v>630</v>
      </c>
      <c r="J65" s="6" t="s">
        <v>631</v>
      </c>
      <c r="K65" s="12">
        <v>46120.409097222226</v>
      </c>
      <c r="L65" s="6" t="e" cm="1">
        <f t="array" ref="L65">LOOKUP(2^15,SEARCH(Tabela2[Palavras-Chave],Boletim4[[#This Row],[Objeto]],1),Tabela2[Palavras-Chave])</f>
        <v>#N/A</v>
      </c>
    </row>
    <row r="66" spans="1:12" ht="129.6" hidden="1" x14ac:dyDescent="0.3">
      <c r="A66" s="5">
        <v>18800907</v>
      </c>
      <c r="B66" s="6" t="s">
        <v>632</v>
      </c>
      <c r="C66" s="6" t="s">
        <v>59</v>
      </c>
      <c r="D66" s="8" t="s">
        <v>60</v>
      </c>
      <c r="E66" s="6" t="s">
        <v>633</v>
      </c>
      <c r="F66" s="6" t="s">
        <v>51</v>
      </c>
      <c r="G66" s="11">
        <v>46122.666666666664</v>
      </c>
      <c r="I66" s="10" t="s">
        <v>634</v>
      </c>
      <c r="J66" s="6" t="s">
        <v>635</v>
      </c>
      <c r="K66" s="12">
        <v>46120.409097222226</v>
      </c>
      <c r="L66" s="6" t="e" cm="1">
        <f t="array" ref="L66">LOOKUP(2^15,SEARCH(Tabela2[Palavras-Chave],Boletim4[[#This Row],[Objeto]],1),Tabela2[Palavras-Chave])</f>
        <v>#N/A</v>
      </c>
    </row>
    <row r="67" spans="1:12" ht="100.8" hidden="1" x14ac:dyDescent="0.3">
      <c r="A67" s="5">
        <v>18800905</v>
      </c>
      <c r="B67" s="6" t="s">
        <v>636</v>
      </c>
      <c r="C67" s="6" t="s">
        <v>59</v>
      </c>
      <c r="D67" s="8" t="s">
        <v>60</v>
      </c>
      <c r="E67" s="6" t="s">
        <v>637</v>
      </c>
      <c r="F67" s="6" t="s">
        <v>51</v>
      </c>
      <c r="G67" s="11">
        <v>46122.604166666664</v>
      </c>
      <c r="I67" s="10" t="s">
        <v>638</v>
      </c>
      <c r="J67" s="6" t="s">
        <v>639</v>
      </c>
      <c r="K67" s="12">
        <v>46120.409097222226</v>
      </c>
      <c r="L67" s="6" t="e" cm="1">
        <f t="array" ref="L67">LOOKUP(2^15,SEARCH(Tabela2[Palavras-Chave],Boletim4[[#This Row],[Objeto]],1),Tabela2[Palavras-Chave])</f>
        <v>#N/A</v>
      </c>
    </row>
    <row r="68" spans="1:12" ht="100.8" hidden="1" x14ac:dyDescent="0.3">
      <c r="A68" s="5">
        <v>18800828</v>
      </c>
      <c r="B68" s="6" t="s">
        <v>640</v>
      </c>
      <c r="C68" s="6" t="s">
        <v>641</v>
      </c>
      <c r="D68" s="8" t="s">
        <v>60</v>
      </c>
      <c r="E68" s="6" t="s">
        <v>642</v>
      </c>
      <c r="F68" s="6" t="s">
        <v>51</v>
      </c>
      <c r="G68" s="11">
        <v>46122.625</v>
      </c>
      <c r="I68" s="10" t="s">
        <v>643</v>
      </c>
      <c r="J68" s="6" t="s">
        <v>644</v>
      </c>
      <c r="K68" s="12">
        <v>46120.409108796295</v>
      </c>
      <c r="L68" s="6" t="e" cm="1">
        <f t="array" ref="L68">LOOKUP(2^15,SEARCH(Tabela2[Palavras-Chave],Boletim4[[#This Row],[Objeto]],1),Tabela2[Palavras-Chave])</f>
        <v>#N/A</v>
      </c>
    </row>
    <row r="69" spans="1:12" ht="86.4" hidden="1" x14ac:dyDescent="0.3">
      <c r="A69" s="5">
        <v>18800866</v>
      </c>
      <c r="B69" s="6" t="s">
        <v>645</v>
      </c>
      <c r="C69" s="6" t="s">
        <v>59</v>
      </c>
      <c r="D69" s="8" t="s">
        <v>60</v>
      </c>
      <c r="E69" s="6" t="s">
        <v>646</v>
      </c>
      <c r="F69" s="6" t="s">
        <v>51</v>
      </c>
      <c r="G69" s="11">
        <v>46122.625</v>
      </c>
      <c r="I69" s="10" t="s">
        <v>647</v>
      </c>
      <c r="J69" s="6" t="s">
        <v>648</v>
      </c>
      <c r="K69" s="12">
        <v>46120.409131944441</v>
      </c>
      <c r="L69" s="6" t="e" cm="1">
        <f t="array" ref="L69">LOOKUP(2^15,SEARCH(Tabela2[Palavras-Chave],Boletim4[[#This Row],[Objeto]],1),Tabela2[Palavras-Chave])</f>
        <v>#N/A</v>
      </c>
    </row>
    <row r="70" spans="1:12" hidden="1" x14ac:dyDescent="0.3">
      <c r="A70" s="5">
        <v>18801856</v>
      </c>
      <c r="B70" s="6" t="s">
        <v>194</v>
      </c>
      <c r="C70" s="6" t="s">
        <v>59</v>
      </c>
      <c r="D70" s="8" t="s">
        <v>60</v>
      </c>
      <c r="E70" s="6" t="s">
        <v>649</v>
      </c>
      <c r="F70" s="6" t="s">
        <v>51</v>
      </c>
      <c r="G70" s="11" t="s">
        <v>56</v>
      </c>
      <c r="I70" s="10" t="s">
        <v>650</v>
      </c>
      <c r="J70" s="6" t="s">
        <v>90</v>
      </c>
      <c r="K70" s="12">
        <v>46120.437731481485</v>
      </c>
      <c r="L70" s="6" t="e" cm="1">
        <f t="array" ref="L70">LOOKUP(2^15,SEARCH(Tabela2[Palavras-Chave],Boletim4[[#This Row],[Objeto]],1),Tabela2[Palavras-Chave])</f>
        <v>#N/A</v>
      </c>
    </row>
    <row r="71" spans="1:12" ht="201.6" hidden="1" x14ac:dyDescent="0.3">
      <c r="A71" s="5">
        <v>18801317</v>
      </c>
      <c r="B71" s="6" t="s">
        <v>651</v>
      </c>
      <c r="C71" s="6" t="s">
        <v>319</v>
      </c>
      <c r="D71" s="8" t="s">
        <v>60</v>
      </c>
      <c r="E71" s="6" t="s">
        <v>652</v>
      </c>
      <c r="F71" s="6" t="s">
        <v>51</v>
      </c>
      <c r="G71" s="11">
        <v>46125.333333333336</v>
      </c>
      <c r="I71" s="10" t="s">
        <v>653</v>
      </c>
      <c r="J71" s="6" t="s">
        <v>654</v>
      </c>
      <c r="K71" s="12">
        <v>46120.459224537037</v>
      </c>
      <c r="L71" s="6" t="e" cm="1">
        <f t="array" ref="L71">LOOKUP(2^15,SEARCH(Tabela2[Palavras-Chave],Boletim4[[#This Row],[Objeto]],1),Tabela2[Palavras-Chave])</f>
        <v>#N/A</v>
      </c>
    </row>
    <row r="72" spans="1:12" ht="86.4" hidden="1" x14ac:dyDescent="0.3">
      <c r="A72" s="5">
        <v>18802164</v>
      </c>
      <c r="B72" s="6" t="s">
        <v>321</v>
      </c>
      <c r="C72" s="6" t="s">
        <v>59</v>
      </c>
      <c r="D72" s="8" t="s">
        <v>60</v>
      </c>
      <c r="E72" s="6" t="s">
        <v>655</v>
      </c>
      <c r="F72" s="6" t="s">
        <v>51</v>
      </c>
      <c r="G72" s="11">
        <v>46126.333333333336</v>
      </c>
      <c r="I72" s="10" t="s">
        <v>656</v>
      </c>
      <c r="J72" s="6" t="s">
        <v>657</v>
      </c>
      <c r="K72" s="12">
        <v>46120.510428240741</v>
      </c>
      <c r="L72" s="6" t="e" cm="1">
        <f t="array" ref="L72">LOOKUP(2^15,SEARCH(Tabela2[Palavras-Chave],Boletim4[[#This Row],[Objeto]],1),Tabela2[Palavras-Chave])</f>
        <v>#N/A</v>
      </c>
    </row>
    <row r="73" spans="1:12" ht="86.4" hidden="1" x14ac:dyDescent="0.3">
      <c r="A73" s="13">
        <v>18802082</v>
      </c>
      <c r="B73" s="10" t="s">
        <v>658</v>
      </c>
      <c r="C73" s="10" t="s">
        <v>59</v>
      </c>
      <c r="D73" s="15" t="s">
        <v>60</v>
      </c>
      <c r="E73" s="10" t="s">
        <v>659</v>
      </c>
      <c r="F73" s="10" t="s">
        <v>51</v>
      </c>
      <c r="G73" s="16">
        <v>46126.333333333336</v>
      </c>
      <c r="H73" s="24"/>
      <c r="I73" s="10" t="s">
        <v>660</v>
      </c>
      <c r="J73" s="10" t="s">
        <v>661</v>
      </c>
      <c r="K73" s="17">
        <v>46120.528645833336</v>
      </c>
      <c r="L73" s="6" t="e" cm="1">
        <f t="array" ref="L73">LOOKUP(2^15,SEARCH(Tabela2[Palavras-Chave],Boletim4[[#This Row],[Objeto]],1),Tabela2[Palavras-Chave])</f>
        <v>#N/A</v>
      </c>
    </row>
    <row r="74" spans="1:12" hidden="1" x14ac:dyDescent="0.3">
      <c r="A74" s="5">
        <v>18801850</v>
      </c>
      <c r="B74" s="6" t="s">
        <v>194</v>
      </c>
      <c r="C74" s="6" t="s">
        <v>59</v>
      </c>
      <c r="D74" s="8" t="s">
        <v>60</v>
      </c>
      <c r="E74" s="6" t="s">
        <v>662</v>
      </c>
      <c r="F74" s="6" t="s">
        <v>51</v>
      </c>
      <c r="G74" s="11" t="s">
        <v>56</v>
      </c>
      <c r="I74" s="10" t="s">
        <v>663</v>
      </c>
      <c r="J74" s="6" t="s">
        <v>90</v>
      </c>
      <c r="K74" s="12">
        <v>46120.544814814813</v>
      </c>
      <c r="L74" s="6" t="e" cm="1">
        <f t="array" ref="L74">LOOKUP(2^15,SEARCH(Tabela2[Palavras-Chave],Boletim4[[#This Row],[Objeto]],1),Tabela2[Palavras-Chave])</f>
        <v>#N/A</v>
      </c>
    </row>
    <row r="75" spans="1:12" ht="100.8" hidden="1" x14ac:dyDescent="0.3">
      <c r="A75" s="5">
        <v>18801268</v>
      </c>
      <c r="B75" s="6" t="s">
        <v>664</v>
      </c>
      <c r="C75" s="6" t="s">
        <v>251</v>
      </c>
      <c r="D75" s="8" t="s">
        <v>60</v>
      </c>
      <c r="E75" s="6" t="s">
        <v>665</v>
      </c>
      <c r="F75" s="6" t="s">
        <v>51</v>
      </c>
      <c r="G75" s="11">
        <v>46122.75</v>
      </c>
      <c r="I75" s="10" t="s">
        <v>666</v>
      </c>
      <c r="J75" s="6" t="s">
        <v>667</v>
      </c>
      <c r="K75" s="12">
        <v>46120.555405092593</v>
      </c>
      <c r="L75" s="6" t="e" cm="1">
        <f t="array" ref="L75">LOOKUP(2^15,SEARCH(Tabela2[Palavras-Chave],Boletim4[[#This Row],[Objeto]],1),Tabela2[Palavras-Chave])</f>
        <v>#N/A</v>
      </c>
    </row>
    <row r="76" spans="1:12" hidden="1" x14ac:dyDescent="0.3">
      <c r="A76" s="5">
        <v>18801855</v>
      </c>
      <c r="B76" s="6" t="s">
        <v>194</v>
      </c>
      <c r="C76" s="6" t="s">
        <v>59</v>
      </c>
      <c r="D76" s="8" t="s">
        <v>60</v>
      </c>
      <c r="E76" s="6" t="s">
        <v>668</v>
      </c>
      <c r="F76" s="6" t="s">
        <v>51</v>
      </c>
      <c r="G76" s="11" t="s">
        <v>56</v>
      </c>
      <c r="I76" s="10" t="s">
        <v>669</v>
      </c>
      <c r="J76" s="6" t="s">
        <v>90</v>
      </c>
      <c r="K76" s="12">
        <v>46120.556620370371</v>
      </c>
      <c r="L76" s="6" t="e" cm="1">
        <f t="array" ref="L76">LOOKUP(2^15,SEARCH(Tabela2[Palavras-Chave],Boletim4[[#This Row],[Objeto]],1),Tabela2[Palavras-Chave])</f>
        <v>#N/A</v>
      </c>
    </row>
    <row r="77" spans="1:12" ht="86.4" hidden="1" x14ac:dyDescent="0.3">
      <c r="A77" s="5">
        <v>18803282</v>
      </c>
      <c r="B77" s="6" t="s">
        <v>670</v>
      </c>
      <c r="C77" s="6" t="s">
        <v>319</v>
      </c>
      <c r="D77" s="8" t="s">
        <v>60</v>
      </c>
      <c r="E77" s="6" t="s">
        <v>671</v>
      </c>
      <c r="F77" s="6" t="s">
        <v>51</v>
      </c>
      <c r="G77" s="11">
        <v>46125.375</v>
      </c>
      <c r="I77" s="10" t="s">
        <v>672</v>
      </c>
      <c r="J77" s="6" t="s">
        <v>673</v>
      </c>
      <c r="K77" s="12">
        <v>46120.590520833335</v>
      </c>
      <c r="L77" s="6" t="e" cm="1">
        <f t="array" ref="L77">LOOKUP(2^15,SEARCH(Tabela2[Palavras-Chave],Boletim4[[#This Row],[Objeto]],1),Tabela2[Palavras-Chave])</f>
        <v>#N/A</v>
      </c>
    </row>
    <row r="78" spans="1:12" ht="28.8" hidden="1" x14ac:dyDescent="0.3">
      <c r="A78" s="5">
        <v>18779904</v>
      </c>
      <c r="B78" s="6" t="s">
        <v>217</v>
      </c>
      <c r="C78" s="6" t="s">
        <v>59</v>
      </c>
      <c r="D78" s="8" t="s">
        <v>60</v>
      </c>
      <c r="E78" s="6" t="s">
        <v>674</v>
      </c>
      <c r="F78" s="6" t="s">
        <v>51</v>
      </c>
      <c r="G78" s="11" t="s">
        <v>56</v>
      </c>
      <c r="I78" s="10" t="s">
        <v>675</v>
      </c>
      <c r="J78" s="6" t="s">
        <v>138</v>
      </c>
      <c r="K78" s="12">
        <v>46120.600752314815</v>
      </c>
      <c r="L78" s="6" t="e" cm="1">
        <f t="array" ref="L78">LOOKUP(2^15,SEARCH(Tabela2[Palavras-Chave],Boletim4[[#This Row],[Objeto]],1),Tabela2[Palavras-Chave])</f>
        <v>#N/A</v>
      </c>
    </row>
    <row r="79" spans="1:12" ht="100.8" hidden="1" x14ac:dyDescent="0.3">
      <c r="A79" s="5">
        <v>18801314</v>
      </c>
      <c r="B79" s="6" t="s">
        <v>676</v>
      </c>
      <c r="C79" s="6" t="s">
        <v>59</v>
      </c>
      <c r="D79" s="8" t="s">
        <v>60</v>
      </c>
      <c r="E79" s="6" t="s">
        <v>677</v>
      </c>
      <c r="F79" s="6" t="s">
        <v>51</v>
      </c>
      <c r="G79" s="11">
        <v>46122.708333333336</v>
      </c>
      <c r="I79" s="10" t="s">
        <v>678</v>
      </c>
      <c r="J79" s="6" t="s">
        <v>679</v>
      </c>
      <c r="K79" s="12">
        <v>46120.661111111112</v>
      </c>
      <c r="L79" s="6" t="e" cm="1">
        <f t="array" ref="L79">LOOKUP(2^15,SEARCH(Tabela2[Palavras-Chave],Boletim4[[#This Row],[Objeto]],1),Tabela2[Palavras-Chave])</f>
        <v>#N/A</v>
      </c>
    </row>
    <row r="80" spans="1:12" ht="158.4" hidden="1" x14ac:dyDescent="0.3">
      <c r="A80" s="5">
        <v>18803303</v>
      </c>
      <c r="B80" s="6" t="s">
        <v>680</v>
      </c>
      <c r="C80" s="6" t="s">
        <v>681</v>
      </c>
      <c r="D80" s="8" t="s">
        <v>60</v>
      </c>
      <c r="E80" s="6" t="s">
        <v>682</v>
      </c>
      <c r="F80" s="6" t="s">
        <v>51</v>
      </c>
      <c r="G80" s="11">
        <v>46125.5</v>
      </c>
      <c r="I80" s="10" t="s">
        <v>683</v>
      </c>
      <c r="J80" s="6" t="s">
        <v>684</v>
      </c>
      <c r="K80" s="12">
        <v>46120.672372685185</v>
      </c>
      <c r="L80" s="6" t="e" cm="1">
        <f t="array" ref="L80">LOOKUP(2^15,SEARCH(Tabela2[Palavras-Chave],Boletim4[[#This Row],[Objeto]],1),Tabela2[Palavras-Chave])</f>
        <v>#N/A</v>
      </c>
    </row>
    <row r="81" spans="1:12" ht="86.4" hidden="1" x14ac:dyDescent="0.3">
      <c r="A81" s="5">
        <v>18801277</v>
      </c>
      <c r="B81" s="6" t="s">
        <v>685</v>
      </c>
      <c r="C81" s="6" t="s">
        <v>356</v>
      </c>
      <c r="D81" s="8" t="s">
        <v>60</v>
      </c>
      <c r="E81" s="6" t="s">
        <v>686</v>
      </c>
      <c r="F81" s="6" t="s">
        <v>51</v>
      </c>
      <c r="G81" s="11">
        <v>46125.333333333336</v>
      </c>
      <c r="I81" s="10" t="s">
        <v>687</v>
      </c>
      <c r="J81" s="6" t="s">
        <v>688</v>
      </c>
      <c r="K81" s="12">
        <v>46120.671655092592</v>
      </c>
      <c r="L81" s="6" t="e" cm="1">
        <f t="array" ref="L81">LOOKUP(2^15,SEARCH(Tabela2[Palavras-Chave],Boletim4[[#This Row],[Objeto]],1),Tabela2[Palavras-Chave])</f>
        <v>#N/A</v>
      </c>
    </row>
    <row r="82" spans="1:12" ht="86.4" hidden="1" x14ac:dyDescent="0.3">
      <c r="A82" s="5">
        <v>18803290</v>
      </c>
      <c r="B82" s="6" t="s">
        <v>689</v>
      </c>
      <c r="C82" s="6" t="s">
        <v>59</v>
      </c>
      <c r="D82" s="8" t="s">
        <v>60</v>
      </c>
      <c r="E82" s="6" t="s">
        <v>690</v>
      </c>
      <c r="F82" s="6" t="s">
        <v>51</v>
      </c>
      <c r="G82" s="11">
        <v>46125.416666666664</v>
      </c>
      <c r="I82" s="10" t="s">
        <v>691</v>
      </c>
      <c r="J82" s="6" t="s">
        <v>692</v>
      </c>
      <c r="K82" s="12">
        <v>46120.672372685185</v>
      </c>
      <c r="L82" s="6" t="e" cm="1">
        <f t="array" ref="L82">LOOKUP(2^15,SEARCH(Tabela2[Palavras-Chave],Boletim4[[#This Row],[Objeto]],1),Tabela2[Palavras-Chave])</f>
        <v>#N/A</v>
      </c>
    </row>
    <row r="83" spans="1:12" ht="144" hidden="1" x14ac:dyDescent="0.3">
      <c r="A83" s="5">
        <v>18804589</v>
      </c>
      <c r="B83" s="6" t="s">
        <v>323</v>
      </c>
      <c r="C83" s="6" t="s">
        <v>252</v>
      </c>
      <c r="D83" s="8" t="s">
        <v>60</v>
      </c>
      <c r="E83" s="6" t="s">
        <v>693</v>
      </c>
      <c r="F83" s="6" t="s">
        <v>51</v>
      </c>
      <c r="G83" s="11">
        <v>46125.458333333336</v>
      </c>
      <c r="I83" s="10" t="s">
        <v>694</v>
      </c>
      <c r="J83" s="6" t="s">
        <v>695</v>
      </c>
      <c r="K83" s="12">
        <v>46120.675000000003</v>
      </c>
      <c r="L83" s="6" t="e" cm="1">
        <f t="array" ref="L83">LOOKUP(2^15,SEARCH(Tabela2[Palavras-Chave],Boletim4[[#This Row],[Objeto]],1),Tabela2[Palavras-Chave])</f>
        <v>#N/A</v>
      </c>
    </row>
    <row r="84" spans="1:12" ht="86.4" hidden="1" x14ac:dyDescent="0.3">
      <c r="A84" s="5">
        <v>18804416</v>
      </c>
      <c r="B84" s="6" t="s">
        <v>696</v>
      </c>
      <c r="C84" s="6" t="s">
        <v>697</v>
      </c>
      <c r="D84" s="8" t="s">
        <v>60</v>
      </c>
      <c r="E84" s="6" t="s">
        <v>698</v>
      </c>
      <c r="F84" s="6" t="s">
        <v>51</v>
      </c>
      <c r="G84" s="11">
        <v>46125.479166666664</v>
      </c>
      <c r="I84" s="10" t="s">
        <v>699</v>
      </c>
      <c r="J84" s="6" t="s">
        <v>700</v>
      </c>
      <c r="K84" s="12">
        <v>46120.679907407408</v>
      </c>
      <c r="L84" s="6" t="e" cm="1">
        <f t="array" ref="L84">LOOKUP(2^15,SEARCH(Tabela2[Palavras-Chave],Boletim4[[#This Row],[Objeto]],1),Tabela2[Palavras-Chave])</f>
        <v>#N/A</v>
      </c>
    </row>
    <row r="85" spans="1:12" ht="129.6" x14ac:dyDescent="0.3">
      <c r="A85" s="5">
        <v>18802468</v>
      </c>
      <c r="B85" s="6" t="s">
        <v>701</v>
      </c>
      <c r="C85" s="6" t="s">
        <v>702</v>
      </c>
      <c r="D85" s="8" t="s">
        <v>60</v>
      </c>
      <c r="E85" s="6" t="s">
        <v>141</v>
      </c>
      <c r="F85" s="6" t="s">
        <v>51</v>
      </c>
      <c r="G85" s="11">
        <v>46122.645833333336</v>
      </c>
      <c r="H85" s="23">
        <v>2</v>
      </c>
      <c r="I85" s="10" t="s">
        <v>703</v>
      </c>
      <c r="J85" s="6" t="s">
        <v>704</v>
      </c>
      <c r="K85" s="12">
        <v>46120.731099537035</v>
      </c>
      <c r="L85" s="6" t="str" cm="1">
        <f t="array" ref="L85">LOOKUP(2^15,SEARCH(Tabela2[Palavras-Chave],Boletim4[[#This Row],[Objeto]],1),Tabela2[Palavras-Chave])</f>
        <v>EFICIÊNCIA</v>
      </c>
    </row>
    <row r="86" spans="1:12" ht="86.4" hidden="1" x14ac:dyDescent="0.3">
      <c r="A86" s="13">
        <v>18803280</v>
      </c>
      <c r="B86" s="10" t="s">
        <v>645</v>
      </c>
      <c r="C86" s="10" t="s">
        <v>59</v>
      </c>
      <c r="D86" s="15" t="s">
        <v>60</v>
      </c>
      <c r="E86" s="10" t="s">
        <v>705</v>
      </c>
      <c r="F86" s="10" t="s">
        <v>51</v>
      </c>
      <c r="G86" s="16">
        <v>46126.458333333336</v>
      </c>
      <c r="H86" s="24"/>
      <c r="I86" s="10" t="s">
        <v>706</v>
      </c>
      <c r="J86" s="10" t="s">
        <v>707</v>
      </c>
      <c r="K86" s="17">
        <v>46120.735613425924</v>
      </c>
      <c r="L86" s="6" t="e" cm="1">
        <f t="array" ref="L86">LOOKUP(2^15,SEARCH(Tabela2[Palavras-Chave],Boletim4[[#This Row],[Objeto]],1),Tabela2[Palavras-Chave])</f>
        <v>#N/A</v>
      </c>
    </row>
    <row r="87" spans="1:12" ht="158.4" hidden="1" x14ac:dyDescent="0.3">
      <c r="A87" s="5">
        <v>18803326</v>
      </c>
      <c r="B87" s="6" t="s">
        <v>708</v>
      </c>
      <c r="C87" s="6" t="s">
        <v>628</v>
      </c>
      <c r="D87" s="8" t="s">
        <v>60</v>
      </c>
      <c r="E87" s="6" t="s">
        <v>709</v>
      </c>
      <c r="F87" s="6" t="s">
        <v>51</v>
      </c>
      <c r="G87" s="11">
        <v>46125.375</v>
      </c>
      <c r="I87" s="10" t="s">
        <v>710</v>
      </c>
      <c r="J87" s="6" t="s">
        <v>711</v>
      </c>
      <c r="K87" s="12">
        <v>46120.738599537035</v>
      </c>
      <c r="L87" s="6" t="e" cm="1">
        <f t="array" ref="L87">LOOKUP(2^15,SEARCH(Tabela2[Palavras-Chave],Boletim4[[#This Row],[Objeto]],1),Tabela2[Palavras-Chave])</f>
        <v>#N/A</v>
      </c>
    </row>
    <row r="88" spans="1:12" ht="86.4" hidden="1" x14ac:dyDescent="0.3">
      <c r="A88" s="5">
        <v>18804559</v>
      </c>
      <c r="B88" s="6" t="s">
        <v>712</v>
      </c>
      <c r="C88" s="6" t="s">
        <v>713</v>
      </c>
      <c r="D88" s="8" t="s">
        <v>60</v>
      </c>
      <c r="E88" s="6" t="s">
        <v>714</v>
      </c>
      <c r="F88" s="6" t="s">
        <v>51</v>
      </c>
      <c r="G88" s="11">
        <v>46125.5</v>
      </c>
      <c r="I88" s="10" t="s">
        <v>715</v>
      </c>
      <c r="J88" s="6" t="s">
        <v>716</v>
      </c>
      <c r="K88" s="12">
        <v>46120.758923611109</v>
      </c>
      <c r="L88" s="6" t="e" cm="1">
        <f t="array" ref="L88">LOOKUP(2^15,SEARCH(Tabela2[Palavras-Chave],Boletim4[[#This Row],[Objeto]],1),Tabela2[Palavras-Chave])</f>
        <v>#N/A</v>
      </c>
    </row>
    <row r="89" spans="1:12" ht="216" hidden="1" x14ac:dyDescent="0.3">
      <c r="A89" s="5">
        <v>18804563</v>
      </c>
      <c r="B89" s="6" t="s">
        <v>717</v>
      </c>
      <c r="C89" s="6" t="s">
        <v>59</v>
      </c>
      <c r="D89" s="8" t="s">
        <v>60</v>
      </c>
      <c r="E89" s="6" t="s">
        <v>718</v>
      </c>
      <c r="F89" s="6" t="s">
        <v>51</v>
      </c>
      <c r="G89" s="11">
        <v>46126.5</v>
      </c>
      <c r="I89" s="10" t="s">
        <v>719</v>
      </c>
      <c r="J89" s="6" t="s">
        <v>720</v>
      </c>
      <c r="K89" s="12">
        <v>46120.759201388886</v>
      </c>
      <c r="L89" s="6" t="e" cm="1">
        <f t="array" ref="L89">LOOKUP(2^15,SEARCH(Tabela2[Palavras-Chave],Boletim4[[#This Row],[Objeto]],1),Tabela2[Palavras-Chave])</f>
        <v>#N/A</v>
      </c>
    </row>
    <row r="90" spans="1:12" ht="86.4" hidden="1" x14ac:dyDescent="0.3">
      <c r="A90" s="5">
        <v>18804506</v>
      </c>
      <c r="B90" s="6" t="s">
        <v>721</v>
      </c>
      <c r="C90" s="6" t="s">
        <v>697</v>
      </c>
      <c r="D90" s="8" t="s">
        <v>60</v>
      </c>
      <c r="E90" s="6" t="s">
        <v>722</v>
      </c>
      <c r="F90" s="6" t="s">
        <v>51</v>
      </c>
      <c r="G90" s="11">
        <v>46125.520833333336</v>
      </c>
      <c r="I90" s="10" t="s">
        <v>723</v>
      </c>
      <c r="J90" s="6" t="s">
        <v>724</v>
      </c>
      <c r="K90" s="12">
        <v>46120.766944444447</v>
      </c>
      <c r="L90" s="6" t="e" cm="1">
        <f t="array" ref="L90">LOOKUP(2^15,SEARCH(Tabela2[Palavras-Chave],Boletim4[[#This Row],[Objeto]],1),Tabela2[Palavras-Chave])</f>
        <v>#N/A</v>
      </c>
    </row>
    <row r="91" spans="1:12" ht="86.4" hidden="1" x14ac:dyDescent="0.3">
      <c r="A91" s="5">
        <v>18805799</v>
      </c>
      <c r="B91" s="6" t="s">
        <v>322</v>
      </c>
      <c r="C91" s="6" t="s">
        <v>59</v>
      </c>
      <c r="D91" s="8" t="s">
        <v>60</v>
      </c>
      <c r="E91" s="6" t="s">
        <v>725</v>
      </c>
      <c r="F91" s="6" t="s">
        <v>51</v>
      </c>
      <c r="G91" s="11">
        <v>46122.416666666664</v>
      </c>
      <c r="I91" s="10" t="s">
        <v>726</v>
      </c>
      <c r="J91" s="6" t="s">
        <v>727</v>
      </c>
      <c r="K91" s="12">
        <v>46120.770335648151</v>
      </c>
      <c r="L91" s="6" t="e" cm="1">
        <f t="array" ref="L91">LOOKUP(2^15,SEARCH(Tabela2[Palavras-Chave],Boletim4[[#This Row],[Objeto]],1),Tabela2[Palavras-Chave])</f>
        <v>#N/A</v>
      </c>
    </row>
    <row r="92" spans="1:12" ht="86.4" hidden="1" x14ac:dyDescent="0.3">
      <c r="A92" s="5">
        <v>18805786</v>
      </c>
      <c r="B92" s="6" t="s">
        <v>322</v>
      </c>
      <c r="C92" s="6" t="s">
        <v>59</v>
      </c>
      <c r="D92" s="8" t="s">
        <v>60</v>
      </c>
      <c r="E92" s="6" t="s">
        <v>728</v>
      </c>
      <c r="F92" s="6" t="s">
        <v>51</v>
      </c>
      <c r="G92" s="11">
        <v>46121.458333333336</v>
      </c>
      <c r="I92" s="10" t="s">
        <v>726</v>
      </c>
      <c r="J92" s="6" t="s">
        <v>727</v>
      </c>
      <c r="K92" s="12">
        <v>46120.77039351852</v>
      </c>
      <c r="L92" s="6" t="e" cm="1">
        <f t="array" ref="L92">LOOKUP(2^15,SEARCH(Tabela2[Palavras-Chave],Boletim4[[#This Row],[Objeto]],1),Tabela2[Palavras-Chave])</f>
        <v>#N/A</v>
      </c>
    </row>
    <row r="93" spans="1:12" ht="187.2" hidden="1" x14ac:dyDescent="0.3">
      <c r="A93" s="5">
        <v>18805914</v>
      </c>
      <c r="B93" s="6" t="s">
        <v>729</v>
      </c>
      <c r="C93" s="6" t="s">
        <v>59</v>
      </c>
      <c r="D93" s="8" t="s">
        <v>60</v>
      </c>
      <c r="E93" s="6" t="s">
        <v>730</v>
      </c>
      <c r="F93" s="6" t="s">
        <v>51</v>
      </c>
      <c r="G93" s="11">
        <v>46128.333333333336</v>
      </c>
      <c r="I93" s="10" t="s">
        <v>731</v>
      </c>
      <c r="J93" s="6" t="s">
        <v>732</v>
      </c>
      <c r="K93" s="12">
        <v>46120.785381944443</v>
      </c>
      <c r="L93" s="6" t="e" cm="1">
        <f t="array" ref="L93">LOOKUP(2^15,SEARCH(Tabela2[Palavras-Chave],Boletim4[[#This Row],[Objeto]],1),Tabela2[Palavras-Chave])</f>
        <v>#N/A</v>
      </c>
    </row>
    <row r="94" spans="1:12" ht="100.8" hidden="1" x14ac:dyDescent="0.3">
      <c r="A94" s="5">
        <v>18805898</v>
      </c>
      <c r="B94" s="6" t="s">
        <v>733</v>
      </c>
      <c r="C94" s="6" t="s">
        <v>59</v>
      </c>
      <c r="D94" s="8" t="s">
        <v>60</v>
      </c>
      <c r="E94" s="6" t="s">
        <v>734</v>
      </c>
      <c r="F94" s="6" t="s">
        <v>51</v>
      </c>
      <c r="G94" s="11">
        <v>46126.5</v>
      </c>
      <c r="I94" s="10" t="s">
        <v>735</v>
      </c>
      <c r="J94" s="6" t="s">
        <v>736</v>
      </c>
      <c r="K94" s="12">
        <v>46120.78601851852</v>
      </c>
      <c r="L94" s="6" t="e" cm="1">
        <f t="array" ref="L94">LOOKUP(2^15,SEARCH(Tabela2[Palavras-Chave],Boletim4[[#This Row],[Objeto]],1),Tabela2[Palavras-Chave])</f>
        <v>#N/A</v>
      </c>
    </row>
    <row r="95" spans="1:12" ht="86.4" hidden="1" x14ac:dyDescent="0.3">
      <c r="A95" s="5">
        <v>18805878</v>
      </c>
      <c r="B95" s="6" t="s">
        <v>737</v>
      </c>
      <c r="C95" s="6" t="s">
        <v>738</v>
      </c>
      <c r="D95" s="8" t="s">
        <v>60</v>
      </c>
      <c r="E95" s="6" t="s">
        <v>739</v>
      </c>
      <c r="F95" s="6" t="s">
        <v>51</v>
      </c>
      <c r="G95" s="11">
        <v>46126.583333333336</v>
      </c>
      <c r="I95" s="10" t="s">
        <v>740</v>
      </c>
      <c r="J95" s="6" t="s">
        <v>741</v>
      </c>
      <c r="K95" s="12">
        <v>46120.786527777775</v>
      </c>
      <c r="L95" s="6" t="e" cm="1">
        <f t="array" ref="L95">LOOKUP(2^15,SEARCH(Tabela2[Palavras-Chave],Boletim4[[#This Row],[Objeto]],1),Tabela2[Palavras-Chave])</f>
        <v>#N/A</v>
      </c>
    </row>
    <row r="96" spans="1:12" ht="86.4" hidden="1" x14ac:dyDescent="0.3">
      <c r="A96" s="5">
        <v>18801383</v>
      </c>
      <c r="B96" s="6" t="s">
        <v>645</v>
      </c>
      <c r="C96" s="6" t="s">
        <v>59</v>
      </c>
      <c r="D96" s="8" t="s">
        <v>60</v>
      </c>
      <c r="E96" s="6" t="s">
        <v>742</v>
      </c>
      <c r="F96" s="6" t="s">
        <v>51</v>
      </c>
      <c r="G96" s="11">
        <v>46126.375</v>
      </c>
      <c r="I96" s="10" t="s">
        <v>743</v>
      </c>
      <c r="J96" s="6" t="s">
        <v>744</v>
      </c>
      <c r="K96" s="12">
        <v>46120.817175925928</v>
      </c>
      <c r="L96" s="6" t="e" cm="1">
        <f t="array" ref="L96">LOOKUP(2^15,SEARCH(Tabela2[Palavras-Chave],Boletim4[[#This Row],[Objeto]],1),Tabela2[Palavras-Chave])</f>
        <v>#N/A</v>
      </c>
    </row>
    <row r="97" spans="1:12" ht="100.8" hidden="1" x14ac:dyDescent="0.3">
      <c r="A97" s="5">
        <v>18745593</v>
      </c>
      <c r="B97" s="6" t="s">
        <v>151</v>
      </c>
      <c r="C97" s="6" t="s">
        <v>59</v>
      </c>
      <c r="D97" s="8" t="s">
        <v>60</v>
      </c>
      <c r="E97" s="6" t="s">
        <v>745</v>
      </c>
      <c r="F97" s="6" t="s">
        <v>51</v>
      </c>
      <c r="G97" s="11">
        <v>46125.381944444445</v>
      </c>
      <c r="I97" s="10" t="s">
        <v>746</v>
      </c>
      <c r="J97" s="6" t="s">
        <v>747</v>
      </c>
      <c r="K97" s="12">
        <v>46120.872384259259</v>
      </c>
      <c r="L97" s="6" t="e" cm="1">
        <f t="array" ref="L97">LOOKUP(2^15,SEARCH(Tabela2[Palavras-Chave],Boletim4[[#This Row],[Objeto]],1),Tabela2[Palavras-Chave])</f>
        <v>#N/A</v>
      </c>
    </row>
    <row r="98" spans="1:12" ht="28.8" hidden="1" x14ac:dyDescent="0.3">
      <c r="A98" s="5">
        <v>18801885</v>
      </c>
      <c r="B98" s="6" t="s">
        <v>191</v>
      </c>
      <c r="C98" s="6" t="s">
        <v>88</v>
      </c>
      <c r="D98" s="8" t="s">
        <v>63</v>
      </c>
      <c r="E98" s="6" t="s">
        <v>748</v>
      </c>
      <c r="F98" s="6" t="s">
        <v>51</v>
      </c>
      <c r="G98" s="11" t="s">
        <v>56</v>
      </c>
      <c r="I98" s="10" t="s">
        <v>749</v>
      </c>
      <c r="J98" s="6" t="s">
        <v>90</v>
      </c>
      <c r="K98" s="12">
        <v>46120.573784722219</v>
      </c>
      <c r="L98" s="6" t="e" cm="1">
        <f t="array" ref="L98">LOOKUP(2^15,SEARCH(Tabela2[Palavras-Chave],Boletim4[[#This Row],[Objeto]],1),Tabela2[Palavras-Chave])</f>
        <v>#N/A</v>
      </c>
    </row>
    <row r="99" spans="1:12" ht="43.2" hidden="1" x14ac:dyDescent="0.3">
      <c r="A99" s="5">
        <v>18801898</v>
      </c>
      <c r="B99" s="6" t="s">
        <v>325</v>
      </c>
      <c r="C99" s="6" t="s">
        <v>213</v>
      </c>
      <c r="D99" s="8" t="s">
        <v>64</v>
      </c>
      <c r="E99" s="6" t="s">
        <v>750</v>
      </c>
      <c r="F99" s="6" t="s">
        <v>51</v>
      </c>
      <c r="G99" s="11" t="s">
        <v>56</v>
      </c>
      <c r="I99" s="10" t="s">
        <v>751</v>
      </c>
      <c r="J99" s="6" t="s">
        <v>752</v>
      </c>
      <c r="K99" s="12">
        <v>46120.521504629629</v>
      </c>
      <c r="L99" s="6" t="e" cm="1">
        <f t="array" ref="L99">LOOKUP(2^15,SEARCH(Tabela2[Palavras-Chave],Boletim4[[#This Row],[Objeto]],1),Tabela2[Palavras-Chave])</f>
        <v>#N/A</v>
      </c>
    </row>
    <row r="100" spans="1:12" ht="43.2" hidden="1" x14ac:dyDescent="0.3">
      <c r="A100" s="5">
        <v>18801901</v>
      </c>
      <c r="B100" s="6" t="s">
        <v>753</v>
      </c>
      <c r="C100" s="6" t="s">
        <v>213</v>
      </c>
      <c r="D100" s="8" t="s">
        <v>64</v>
      </c>
      <c r="E100" s="6" t="s">
        <v>754</v>
      </c>
      <c r="F100" s="6" t="s">
        <v>51</v>
      </c>
      <c r="G100" s="11" t="s">
        <v>56</v>
      </c>
      <c r="I100" s="10" t="s">
        <v>755</v>
      </c>
      <c r="J100" s="6" t="s">
        <v>752</v>
      </c>
      <c r="K100" s="12">
        <v>46120.521562499998</v>
      </c>
      <c r="L100" s="6" t="e" cm="1">
        <f t="array" ref="L100">LOOKUP(2^15,SEARCH(Tabela2[Palavras-Chave],Boletim4[[#This Row],[Objeto]],1),Tabela2[Palavras-Chave])</f>
        <v>#N/A</v>
      </c>
    </row>
    <row r="101" spans="1:12" ht="43.2" x14ac:dyDescent="0.3">
      <c r="A101" s="5">
        <v>18801900</v>
      </c>
      <c r="B101" s="6" t="s">
        <v>325</v>
      </c>
      <c r="C101" s="6" t="s">
        <v>213</v>
      </c>
      <c r="D101" s="8" t="s">
        <v>64</v>
      </c>
      <c r="E101" s="6" t="s">
        <v>756</v>
      </c>
      <c r="F101" s="6" t="s">
        <v>51</v>
      </c>
      <c r="G101" s="11" t="s">
        <v>56</v>
      </c>
      <c r="H101" s="25">
        <v>1</v>
      </c>
      <c r="I101" s="10" t="s">
        <v>757</v>
      </c>
      <c r="J101" s="6" t="s">
        <v>758</v>
      </c>
      <c r="K101" s="12">
        <v>46120.583182870374</v>
      </c>
      <c r="L101" s="6" t="str" cm="1">
        <f t="array" ref="L101">LOOKUP(2^15,SEARCH(Tabela2[Palavras-Chave],Boletim4[[#This Row],[Objeto]],1),Tabela2[Palavras-Chave])</f>
        <v>RESERVAT</v>
      </c>
    </row>
    <row r="102" spans="1:12" ht="100.8" hidden="1" x14ac:dyDescent="0.3">
      <c r="A102" s="5">
        <v>18803718</v>
      </c>
      <c r="B102" s="6" t="s">
        <v>759</v>
      </c>
      <c r="C102" s="6" t="s">
        <v>760</v>
      </c>
      <c r="D102" s="8" t="s">
        <v>64</v>
      </c>
      <c r="E102" s="6" t="s">
        <v>761</v>
      </c>
      <c r="F102" s="6" t="s">
        <v>51</v>
      </c>
      <c r="G102" s="11">
        <v>46121.625</v>
      </c>
      <c r="I102" s="10" t="s">
        <v>762</v>
      </c>
      <c r="J102" s="6" t="s">
        <v>763</v>
      </c>
      <c r="K102" s="12">
        <v>46120.737905092596</v>
      </c>
      <c r="L102" s="6" t="e" cm="1">
        <f t="array" ref="L102">LOOKUP(2^15,SEARCH(Tabela2[Palavras-Chave],Boletim4[[#This Row],[Objeto]],1),Tabela2[Palavras-Chave])</f>
        <v>#N/A</v>
      </c>
    </row>
    <row r="103" spans="1:12" ht="100.8" hidden="1" x14ac:dyDescent="0.3">
      <c r="A103" s="5">
        <v>18804483</v>
      </c>
      <c r="B103" s="6" t="s">
        <v>764</v>
      </c>
      <c r="C103" s="6" t="s">
        <v>765</v>
      </c>
      <c r="D103" s="8" t="s">
        <v>64</v>
      </c>
      <c r="E103" s="6" t="s">
        <v>766</v>
      </c>
      <c r="F103" s="6" t="s">
        <v>51</v>
      </c>
      <c r="G103" s="11">
        <v>46125.486805555556</v>
      </c>
      <c r="I103" s="10" t="s">
        <v>767</v>
      </c>
      <c r="J103" s="6" t="s">
        <v>768</v>
      </c>
      <c r="K103" s="12">
        <v>46120.743287037039</v>
      </c>
      <c r="L103" s="6" t="e" cm="1">
        <f t="array" ref="L103">LOOKUP(2^15,SEARCH(Tabela2[Palavras-Chave],Boletim4[[#This Row],[Objeto]],1),Tabela2[Palavras-Chave])</f>
        <v>#N/A</v>
      </c>
    </row>
    <row r="104" spans="1:12" ht="144" hidden="1" x14ac:dyDescent="0.3">
      <c r="A104" s="5">
        <v>18805852</v>
      </c>
      <c r="B104" s="6" t="s">
        <v>214</v>
      </c>
      <c r="C104" s="6" t="s">
        <v>215</v>
      </c>
      <c r="D104" s="8" t="s">
        <v>64</v>
      </c>
      <c r="E104" s="6" t="s">
        <v>769</v>
      </c>
      <c r="F104" s="6" t="s">
        <v>51</v>
      </c>
      <c r="G104" s="11">
        <v>46125.575694444444</v>
      </c>
      <c r="I104" s="10" t="s">
        <v>770</v>
      </c>
      <c r="J104" s="6" t="s">
        <v>771</v>
      </c>
      <c r="K104" s="12">
        <v>46120.787291666667</v>
      </c>
      <c r="L104" s="6" t="e" cm="1">
        <f t="array" ref="L104">LOOKUP(2^15,SEARCH(Tabela2[Palavras-Chave],Boletim4[[#This Row],[Objeto]],1),Tabela2[Palavras-Chave])</f>
        <v>#N/A</v>
      </c>
    </row>
    <row r="105" spans="1:12" ht="100.8" hidden="1" x14ac:dyDescent="0.3">
      <c r="A105" s="5">
        <v>18805891</v>
      </c>
      <c r="B105" s="6" t="s">
        <v>772</v>
      </c>
      <c r="C105" s="6" t="s">
        <v>101</v>
      </c>
      <c r="D105" s="8" t="s">
        <v>64</v>
      </c>
      <c r="E105" s="6" t="s">
        <v>351</v>
      </c>
      <c r="F105" s="6" t="s">
        <v>51</v>
      </c>
      <c r="G105" s="11">
        <v>46126.333333333336</v>
      </c>
      <c r="I105" s="10" t="s">
        <v>773</v>
      </c>
      <c r="J105" s="6" t="s">
        <v>774</v>
      </c>
      <c r="K105" s="12">
        <v>46120.79005787037</v>
      </c>
      <c r="L105" s="6" t="e" cm="1">
        <f t="array" ref="L105">LOOKUP(2^15,SEARCH(Tabela2[Palavras-Chave],Boletim4[[#This Row],[Objeto]],1),Tabela2[Palavras-Chave])</f>
        <v>#N/A</v>
      </c>
    </row>
    <row r="106" spans="1:12" ht="129.6" hidden="1" x14ac:dyDescent="0.3">
      <c r="A106" s="5">
        <v>18805893</v>
      </c>
      <c r="B106" s="6" t="s">
        <v>775</v>
      </c>
      <c r="C106" s="6" t="s">
        <v>215</v>
      </c>
      <c r="D106" s="8" t="s">
        <v>64</v>
      </c>
      <c r="E106" s="6" t="s">
        <v>776</v>
      </c>
      <c r="F106" s="6" t="s">
        <v>51</v>
      </c>
      <c r="G106" s="11">
        <v>46125.574999999997</v>
      </c>
      <c r="I106" s="10" t="s">
        <v>777</v>
      </c>
      <c r="J106" s="6" t="s">
        <v>778</v>
      </c>
      <c r="K106" s="12">
        <v>46120.790162037039</v>
      </c>
      <c r="L106" s="6" t="e" cm="1">
        <f t="array" ref="L106">LOOKUP(2^15,SEARCH(Tabela2[Palavras-Chave],Boletim4[[#This Row],[Objeto]],1),Tabela2[Palavras-Chave])</f>
        <v>#N/A</v>
      </c>
    </row>
    <row r="107" spans="1:12" ht="172.8" hidden="1" x14ac:dyDescent="0.3">
      <c r="A107" s="5">
        <v>18805887</v>
      </c>
      <c r="B107" s="6" t="s">
        <v>214</v>
      </c>
      <c r="C107" s="6" t="s">
        <v>215</v>
      </c>
      <c r="D107" s="8" t="s">
        <v>64</v>
      </c>
      <c r="E107" s="6" t="s">
        <v>779</v>
      </c>
      <c r="F107" s="6" t="s">
        <v>51</v>
      </c>
      <c r="G107" s="11">
        <v>46125.578472222223</v>
      </c>
      <c r="I107" s="10" t="s">
        <v>780</v>
      </c>
      <c r="J107" s="6" t="s">
        <v>781</v>
      </c>
      <c r="K107" s="12">
        <v>46120.850381944445</v>
      </c>
      <c r="L107" s="6" t="e" cm="1">
        <f t="array" ref="L107">LOOKUP(2^15,SEARCH(Tabela2[Palavras-Chave],Boletim4[[#This Row],[Objeto]],1),Tabela2[Palavras-Chave])</f>
        <v>#N/A</v>
      </c>
    </row>
    <row r="108" spans="1:12" ht="158.4" hidden="1" x14ac:dyDescent="0.3">
      <c r="A108" s="5">
        <v>18804578</v>
      </c>
      <c r="B108" s="6" t="s">
        <v>203</v>
      </c>
      <c r="C108" s="6" t="s">
        <v>204</v>
      </c>
      <c r="D108" s="8" t="s">
        <v>64</v>
      </c>
      <c r="E108" s="6" t="s">
        <v>782</v>
      </c>
      <c r="F108" s="6" t="s">
        <v>51</v>
      </c>
      <c r="G108" s="11">
        <v>46125.999305555553</v>
      </c>
      <c r="I108" s="10" t="s">
        <v>783</v>
      </c>
      <c r="J108" s="6" t="s">
        <v>784</v>
      </c>
      <c r="K108" s="12">
        <v>46120.869930555556</v>
      </c>
      <c r="L108" s="6" t="e" cm="1">
        <f t="array" ref="L108">LOOKUP(2^15,SEARCH(Tabela2[Palavras-Chave],Boletim4[[#This Row],[Objeto]],1),Tabela2[Palavras-Chave])</f>
        <v>#N/A</v>
      </c>
    </row>
    <row r="109" spans="1:12" ht="72" hidden="1" x14ac:dyDescent="0.3">
      <c r="A109" s="5">
        <v>18580467</v>
      </c>
      <c r="B109" s="6" t="s">
        <v>177</v>
      </c>
      <c r="C109" s="6" t="s">
        <v>65</v>
      </c>
      <c r="D109" s="8" t="s">
        <v>66</v>
      </c>
      <c r="E109" s="6" t="s">
        <v>785</v>
      </c>
      <c r="F109" s="6" t="s">
        <v>51</v>
      </c>
      <c r="G109" s="11" t="s">
        <v>56</v>
      </c>
      <c r="I109" s="10" t="s">
        <v>786</v>
      </c>
      <c r="J109" s="6" t="s">
        <v>787</v>
      </c>
      <c r="K109" s="12">
        <v>46120.468113425923</v>
      </c>
      <c r="L109" s="6" t="e" cm="1">
        <f t="array" ref="L109">LOOKUP(2^15,SEARCH(Tabela2[Palavras-Chave],Boletim4[[#This Row],[Objeto]],1),Tabela2[Palavras-Chave])</f>
        <v>#N/A</v>
      </c>
    </row>
    <row r="110" spans="1:12" ht="230.4" hidden="1" x14ac:dyDescent="0.3">
      <c r="A110" s="5">
        <v>18802347</v>
      </c>
      <c r="B110" s="6" t="s">
        <v>436</v>
      </c>
      <c r="C110" s="6" t="s">
        <v>437</v>
      </c>
      <c r="D110" s="8" t="s">
        <v>66</v>
      </c>
      <c r="E110" s="6" t="s">
        <v>788</v>
      </c>
      <c r="F110" s="6" t="s">
        <v>51</v>
      </c>
      <c r="G110" s="11" t="s">
        <v>56</v>
      </c>
      <c r="I110" s="10" t="s">
        <v>789</v>
      </c>
      <c r="J110" s="6" t="s">
        <v>790</v>
      </c>
      <c r="K110" s="12">
        <v>46120.483923611115</v>
      </c>
      <c r="L110" s="6" t="e" cm="1">
        <f t="array" ref="L110">LOOKUP(2^15,SEARCH(Tabela2[Palavras-Chave],Boletim4[[#This Row],[Objeto]],1),Tabela2[Palavras-Chave])</f>
        <v>#N/A</v>
      </c>
    </row>
    <row r="111" spans="1:12" ht="409.6" hidden="1" x14ac:dyDescent="0.3">
      <c r="A111" s="5">
        <v>18802351</v>
      </c>
      <c r="B111" s="6" t="s">
        <v>436</v>
      </c>
      <c r="C111" s="6" t="s">
        <v>437</v>
      </c>
      <c r="D111" s="8" t="s">
        <v>66</v>
      </c>
      <c r="E111" s="6" t="s">
        <v>791</v>
      </c>
      <c r="F111" s="6" t="s">
        <v>51</v>
      </c>
      <c r="G111" s="11" t="s">
        <v>56</v>
      </c>
      <c r="I111" s="10" t="s">
        <v>792</v>
      </c>
      <c r="J111" s="6" t="s">
        <v>790</v>
      </c>
      <c r="K111" s="12">
        <v>46120.484456018516</v>
      </c>
      <c r="L111" s="6" t="e" cm="1">
        <f t="array" ref="L111">LOOKUP(2^15,SEARCH(Tabela2[Palavras-Chave],Boletim4[[#This Row],[Objeto]],1),Tabela2[Palavras-Chave])</f>
        <v>#N/A</v>
      </c>
    </row>
    <row r="112" spans="1:12" ht="129.6" hidden="1" x14ac:dyDescent="0.3">
      <c r="A112" s="5">
        <v>18802349</v>
      </c>
      <c r="B112" s="6" t="s">
        <v>436</v>
      </c>
      <c r="C112" s="6" t="s">
        <v>437</v>
      </c>
      <c r="D112" s="8" t="s">
        <v>66</v>
      </c>
      <c r="E112" s="6" t="s">
        <v>793</v>
      </c>
      <c r="F112" s="6" t="s">
        <v>51</v>
      </c>
      <c r="G112" s="11" t="s">
        <v>56</v>
      </c>
      <c r="I112" s="10" t="s">
        <v>794</v>
      </c>
      <c r="J112" s="6" t="s">
        <v>790</v>
      </c>
      <c r="K112" s="12">
        <v>46120.484606481485</v>
      </c>
      <c r="L112" s="6" t="e" cm="1">
        <f t="array" ref="L112">LOOKUP(2^15,SEARCH(Tabela2[Palavras-Chave],Boletim4[[#This Row],[Objeto]],1),Tabela2[Palavras-Chave])</f>
        <v>#N/A</v>
      </c>
    </row>
    <row r="113" spans="1:12" ht="57.6" hidden="1" x14ac:dyDescent="0.3">
      <c r="A113" s="5">
        <v>18801748</v>
      </c>
      <c r="B113" s="6" t="s">
        <v>191</v>
      </c>
      <c r="C113" s="6" t="s">
        <v>65</v>
      </c>
      <c r="D113" s="8" t="s">
        <v>66</v>
      </c>
      <c r="E113" s="6" t="s">
        <v>795</v>
      </c>
      <c r="F113" s="6" t="s">
        <v>51</v>
      </c>
      <c r="G113" s="11" t="s">
        <v>56</v>
      </c>
      <c r="I113" s="10" t="s">
        <v>796</v>
      </c>
      <c r="J113" s="6" t="s">
        <v>797</v>
      </c>
      <c r="K113" s="12">
        <v>46120.517916666664</v>
      </c>
      <c r="L113" s="6" t="e" cm="1">
        <f t="array" ref="L113">LOOKUP(2^15,SEARCH(Tabela2[Palavras-Chave],Boletim4[[#This Row],[Objeto]],1),Tabela2[Palavras-Chave])</f>
        <v>#N/A</v>
      </c>
    </row>
    <row r="114" spans="1:12" ht="43.2" hidden="1" x14ac:dyDescent="0.3">
      <c r="A114" s="5">
        <v>18803092</v>
      </c>
      <c r="B114" s="6" t="s">
        <v>798</v>
      </c>
      <c r="C114" s="6" t="s">
        <v>799</v>
      </c>
      <c r="D114" s="8" t="s">
        <v>66</v>
      </c>
      <c r="E114" s="6" t="s">
        <v>161</v>
      </c>
      <c r="F114" s="6" t="s">
        <v>51</v>
      </c>
      <c r="G114" s="11">
        <v>46129.75</v>
      </c>
      <c r="I114" s="10" t="s">
        <v>800</v>
      </c>
      <c r="J114" s="6" t="s">
        <v>801</v>
      </c>
      <c r="K114" s="12">
        <v>46120.526562500003</v>
      </c>
      <c r="L114" s="6" t="e" cm="1">
        <f t="array" ref="L114">LOOKUP(2^15,SEARCH(Tabela2[Palavras-Chave],Boletim4[[#This Row],[Objeto]],1),Tabela2[Palavras-Chave])</f>
        <v>#N/A</v>
      </c>
    </row>
    <row r="115" spans="1:12" ht="100.8" hidden="1" x14ac:dyDescent="0.3">
      <c r="A115" s="5">
        <v>18802055</v>
      </c>
      <c r="B115" s="6" t="s">
        <v>802</v>
      </c>
      <c r="C115" s="6" t="s">
        <v>803</v>
      </c>
      <c r="D115" s="8" t="s">
        <v>66</v>
      </c>
      <c r="E115" s="6" t="s">
        <v>263</v>
      </c>
      <c r="F115" s="6" t="s">
        <v>51</v>
      </c>
      <c r="G115" s="11">
        <v>46125.353472222225</v>
      </c>
      <c r="I115" s="10" t="s">
        <v>804</v>
      </c>
      <c r="J115" s="6" t="s">
        <v>805</v>
      </c>
      <c r="K115" s="12">
        <v>46120.533125000002</v>
      </c>
      <c r="L115" s="6" t="e" cm="1">
        <f t="array" ref="L115">LOOKUP(2^15,SEARCH(Tabela2[Palavras-Chave],Boletim4[[#This Row],[Objeto]],1),Tabela2[Palavras-Chave])</f>
        <v>#N/A</v>
      </c>
    </row>
    <row r="116" spans="1:12" ht="72" hidden="1" x14ac:dyDescent="0.3">
      <c r="A116" s="5">
        <v>18798148</v>
      </c>
      <c r="B116" s="6" t="s">
        <v>806</v>
      </c>
      <c r="C116" s="6" t="s">
        <v>360</v>
      </c>
      <c r="D116" s="8" t="s">
        <v>66</v>
      </c>
      <c r="E116" s="6" t="s">
        <v>807</v>
      </c>
      <c r="F116" s="6" t="s">
        <v>51</v>
      </c>
      <c r="G116" s="11" t="s">
        <v>56</v>
      </c>
      <c r="I116" s="10" t="s">
        <v>808</v>
      </c>
      <c r="J116" s="6" t="s">
        <v>809</v>
      </c>
      <c r="K116" s="12">
        <v>46120.586921296293</v>
      </c>
      <c r="L116" s="6" t="e" cm="1">
        <f t="array" ref="L116">LOOKUP(2^15,SEARCH(Tabela2[Palavras-Chave],Boletim4[[#This Row],[Objeto]],1),Tabela2[Palavras-Chave])</f>
        <v>#N/A</v>
      </c>
    </row>
    <row r="117" spans="1:12" hidden="1" x14ac:dyDescent="0.3">
      <c r="A117" s="5">
        <v>18804310</v>
      </c>
      <c r="B117" s="6" t="s">
        <v>99</v>
      </c>
      <c r="C117" s="6" t="s">
        <v>65</v>
      </c>
      <c r="D117" s="8" t="s">
        <v>66</v>
      </c>
      <c r="E117" s="6" t="s">
        <v>810</v>
      </c>
      <c r="F117" s="6" t="s">
        <v>51</v>
      </c>
      <c r="G117" s="11" t="s">
        <v>56</v>
      </c>
      <c r="I117" s="10" t="s">
        <v>811</v>
      </c>
      <c r="J117" s="6" t="s">
        <v>132</v>
      </c>
      <c r="K117" s="12">
        <v>46120.648645833331</v>
      </c>
      <c r="L117" s="6" t="e" cm="1">
        <f t="array" ref="L117">LOOKUP(2^15,SEARCH(Tabela2[Palavras-Chave],Boletim4[[#This Row],[Objeto]],1),Tabela2[Palavras-Chave])</f>
        <v>#N/A</v>
      </c>
    </row>
    <row r="118" spans="1:12" ht="28.8" hidden="1" x14ac:dyDescent="0.3">
      <c r="A118" s="5">
        <v>18804370</v>
      </c>
      <c r="B118" s="6" t="s">
        <v>99</v>
      </c>
      <c r="C118" s="6" t="s">
        <v>65</v>
      </c>
      <c r="D118" s="8" t="s">
        <v>66</v>
      </c>
      <c r="E118" s="6" t="s">
        <v>812</v>
      </c>
      <c r="F118" s="6" t="s">
        <v>51</v>
      </c>
      <c r="G118" s="11" t="s">
        <v>56</v>
      </c>
      <c r="I118" s="10" t="s">
        <v>813</v>
      </c>
      <c r="J118" s="6" t="s">
        <v>132</v>
      </c>
      <c r="K118" s="12">
        <v>46120.65042824074</v>
      </c>
      <c r="L118" s="6" t="e" cm="1">
        <f t="array" ref="L118">LOOKUP(2^15,SEARCH(Tabela2[Palavras-Chave],Boletim4[[#This Row],[Objeto]],1),Tabela2[Palavras-Chave])</f>
        <v>#N/A</v>
      </c>
    </row>
    <row r="119" spans="1:12" ht="28.8" hidden="1" x14ac:dyDescent="0.3">
      <c r="A119" s="5">
        <v>18804366</v>
      </c>
      <c r="B119" s="6" t="s">
        <v>99</v>
      </c>
      <c r="C119" s="6" t="s">
        <v>65</v>
      </c>
      <c r="D119" s="8" t="s">
        <v>66</v>
      </c>
      <c r="E119" s="6" t="s">
        <v>814</v>
      </c>
      <c r="F119" s="6" t="s">
        <v>51</v>
      </c>
      <c r="G119" s="11" t="s">
        <v>56</v>
      </c>
      <c r="I119" s="10" t="s">
        <v>813</v>
      </c>
      <c r="J119" s="6" t="s">
        <v>132</v>
      </c>
      <c r="K119" s="12">
        <v>46120.650578703702</v>
      </c>
      <c r="L119" s="6" t="e" cm="1">
        <f t="array" ref="L119">LOOKUP(2^15,SEARCH(Tabela2[Palavras-Chave],Boletim4[[#This Row],[Objeto]],1),Tabela2[Palavras-Chave])</f>
        <v>#N/A</v>
      </c>
    </row>
    <row r="120" spans="1:12" ht="28.8" hidden="1" x14ac:dyDescent="0.3">
      <c r="A120" s="5">
        <v>18804357</v>
      </c>
      <c r="B120" s="6" t="s">
        <v>99</v>
      </c>
      <c r="C120" s="6" t="s">
        <v>65</v>
      </c>
      <c r="D120" s="8" t="s">
        <v>66</v>
      </c>
      <c r="E120" s="6" t="s">
        <v>815</v>
      </c>
      <c r="F120" s="6" t="s">
        <v>51</v>
      </c>
      <c r="G120" s="11" t="s">
        <v>56</v>
      </c>
      <c r="I120" s="10" t="s">
        <v>813</v>
      </c>
      <c r="J120" s="6" t="s">
        <v>132</v>
      </c>
      <c r="K120" s="12">
        <v>46120.650636574072</v>
      </c>
      <c r="L120" s="6" t="e" cm="1">
        <f t="array" ref="L120">LOOKUP(2^15,SEARCH(Tabela2[Palavras-Chave],Boletim4[[#This Row],[Objeto]],1),Tabela2[Palavras-Chave])</f>
        <v>#N/A</v>
      </c>
    </row>
    <row r="121" spans="1:12" ht="72" hidden="1" x14ac:dyDescent="0.3">
      <c r="A121" s="5">
        <v>18746682</v>
      </c>
      <c r="B121" s="6" t="s">
        <v>74</v>
      </c>
      <c r="C121" s="6" t="s">
        <v>65</v>
      </c>
      <c r="D121" s="8" t="s">
        <v>66</v>
      </c>
      <c r="E121" s="6" t="s">
        <v>816</v>
      </c>
      <c r="F121" s="6" t="s">
        <v>51</v>
      </c>
      <c r="G121" s="11" t="s">
        <v>56</v>
      </c>
      <c r="I121" s="10" t="s">
        <v>817</v>
      </c>
      <c r="J121" s="6" t="s">
        <v>818</v>
      </c>
      <c r="K121" s="12">
        <v>46120.654895833337</v>
      </c>
      <c r="L121" s="6" t="e" cm="1">
        <f t="array" ref="L121">LOOKUP(2^15,SEARCH(Tabela2[Palavras-Chave],Boletim4[[#This Row],[Objeto]],1),Tabela2[Palavras-Chave])</f>
        <v>#N/A</v>
      </c>
    </row>
    <row r="122" spans="1:12" ht="72" hidden="1" x14ac:dyDescent="0.3">
      <c r="A122" s="5">
        <v>18793477</v>
      </c>
      <c r="B122" s="6" t="s">
        <v>191</v>
      </c>
      <c r="C122" s="6" t="s">
        <v>65</v>
      </c>
      <c r="D122" s="8" t="s">
        <v>66</v>
      </c>
      <c r="E122" s="6" t="s">
        <v>819</v>
      </c>
      <c r="F122" s="6" t="s">
        <v>51</v>
      </c>
      <c r="G122" s="11" t="s">
        <v>56</v>
      </c>
      <c r="I122" s="10" t="s">
        <v>820</v>
      </c>
      <c r="J122" s="6" t="s">
        <v>821</v>
      </c>
      <c r="K122" s="12">
        <v>46120.655763888892</v>
      </c>
      <c r="L122" s="6" t="e" cm="1">
        <f t="array" ref="L122">LOOKUP(2^15,SEARCH(Tabela2[Palavras-Chave],Boletim4[[#This Row],[Objeto]],1),Tabela2[Palavras-Chave])</f>
        <v>#N/A</v>
      </c>
    </row>
    <row r="123" spans="1:12" ht="100.8" hidden="1" x14ac:dyDescent="0.3">
      <c r="A123" s="5">
        <v>18803283</v>
      </c>
      <c r="B123" s="6" t="s">
        <v>822</v>
      </c>
      <c r="C123" s="6" t="s">
        <v>823</v>
      </c>
      <c r="D123" s="8" t="s">
        <v>66</v>
      </c>
      <c r="E123" s="6" t="s">
        <v>824</v>
      </c>
      <c r="F123" s="6" t="s">
        <v>51</v>
      </c>
      <c r="G123" s="11">
        <v>46125.999305555553</v>
      </c>
      <c r="I123" s="10" t="s">
        <v>825</v>
      </c>
      <c r="J123" s="6" t="s">
        <v>826</v>
      </c>
      <c r="K123" s="12">
        <v>46120.66300925926</v>
      </c>
      <c r="L123" s="6" t="e" cm="1">
        <f t="array" ref="L123">LOOKUP(2^15,SEARCH(Tabela2[Palavras-Chave],Boletim4[[#This Row],[Objeto]],1),Tabela2[Palavras-Chave])</f>
        <v>#N/A</v>
      </c>
    </row>
    <row r="124" spans="1:12" ht="115.2" hidden="1" x14ac:dyDescent="0.3">
      <c r="A124" s="5">
        <v>18803652</v>
      </c>
      <c r="B124" s="6" t="s">
        <v>827</v>
      </c>
      <c r="C124" s="6" t="s">
        <v>65</v>
      </c>
      <c r="D124" s="8" t="s">
        <v>66</v>
      </c>
      <c r="E124" s="6" t="s">
        <v>828</v>
      </c>
      <c r="F124" s="6" t="s">
        <v>51</v>
      </c>
      <c r="G124" s="11">
        <v>46122.333333333336</v>
      </c>
      <c r="I124" s="10" t="s">
        <v>829</v>
      </c>
      <c r="J124" s="6" t="s">
        <v>830</v>
      </c>
      <c r="K124" s="12">
        <v>46120.66306712963</v>
      </c>
      <c r="L124" s="6" t="e" cm="1">
        <f t="array" ref="L124">LOOKUP(2^15,SEARCH(Tabela2[Palavras-Chave],Boletim4[[#This Row],[Objeto]],1),Tabela2[Palavras-Chave])</f>
        <v>#N/A</v>
      </c>
    </row>
    <row r="125" spans="1:12" ht="43.2" hidden="1" x14ac:dyDescent="0.3">
      <c r="A125" s="5">
        <v>18800769</v>
      </c>
      <c r="B125" s="6" t="s">
        <v>831</v>
      </c>
      <c r="C125" s="6" t="s">
        <v>832</v>
      </c>
      <c r="D125" s="8" t="s">
        <v>66</v>
      </c>
      <c r="E125" s="6" t="s">
        <v>129</v>
      </c>
      <c r="F125" s="6" t="s">
        <v>51</v>
      </c>
      <c r="G125" s="11" t="s">
        <v>56</v>
      </c>
      <c r="I125" s="10" t="s">
        <v>833</v>
      </c>
      <c r="J125" s="6" t="s">
        <v>834</v>
      </c>
      <c r="K125" s="12">
        <v>46120.673564814817</v>
      </c>
      <c r="L125" s="6" t="e" cm="1">
        <f t="array" ref="L125">LOOKUP(2^15,SEARCH(Tabela2[Palavras-Chave],Boletim4[[#This Row],[Objeto]],1),Tabela2[Palavras-Chave])</f>
        <v>#N/A</v>
      </c>
    </row>
    <row r="126" spans="1:12" ht="230.4" hidden="1" x14ac:dyDescent="0.3">
      <c r="A126" s="5">
        <v>18790597</v>
      </c>
      <c r="B126" s="6" t="s">
        <v>298</v>
      </c>
      <c r="C126" s="6" t="s">
        <v>299</v>
      </c>
      <c r="D126" s="8" t="s">
        <v>66</v>
      </c>
      <c r="E126" s="6" t="s">
        <v>835</v>
      </c>
      <c r="F126" s="6" t="s">
        <v>51</v>
      </c>
      <c r="G126" s="11" t="s">
        <v>56</v>
      </c>
      <c r="I126" s="10" t="s">
        <v>836</v>
      </c>
      <c r="J126" s="6" t="s">
        <v>837</v>
      </c>
      <c r="K126" s="12">
        <v>46120.677812499998</v>
      </c>
      <c r="L126" s="6" t="e" cm="1">
        <f t="array" ref="L126">LOOKUP(2^15,SEARCH(Tabela2[Palavras-Chave],Boletim4[[#This Row],[Objeto]],1),Tabela2[Palavras-Chave])</f>
        <v>#N/A</v>
      </c>
    </row>
    <row r="127" spans="1:12" ht="115.2" hidden="1" x14ac:dyDescent="0.3">
      <c r="A127" s="5">
        <v>18787795</v>
      </c>
      <c r="B127" s="6" t="s">
        <v>838</v>
      </c>
      <c r="C127" s="6" t="s">
        <v>254</v>
      </c>
      <c r="D127" s="8" t="s">
        <v>66</v>
      </c>
      <c r="E127" s="6" t="s">
        <v>839</v>
      </c>
      <c r="F127" s="6" t="s">
        <v>51</v>
      </c>
      <c r="G127" s="11" t="s">
        <v>56</v>
      </c>
      <c r="I127" s="10" t="s">
        <v>840</v>
      </c>
      <c r="J127" s="6" t="s">
        <v>841</v>
      </c>
      <c r="K127" s="12">
        <v>46120.696157407408</v>
      </c>
      <c r="L127" s="6" t="e" cm="1">
        <f t="array" ref="L127">LOOKUP(2^15,SEARCH(Tabela2[Palavras-Chave],Boletim4[[#This Row],[Objeto]],1),Tabela2[Palavras-Chave])</f>
        <v>#N/A</v>
      </c>
    </row>
    <row r="128" spans="1:12" ht="129.6" hidden="1" x14ac:dyDescent="0.3">
      <c r="A128" s="5">
        <v>18804808</v>
      </c>
      <c r="B128" s="6" t="s">
        <v>842</v>
      </c>
      <c r="C128" s="6" t="s">
        <v>233</v>
      </c>
      <c r="D128" s="8" t="s">
        <v>66</v>
      </c>
      <c r="E128" s="6" t="s">
        <v>843</v>
      </c>
      <c r="F128" s="6" t="s">
        <v>51</v>
      </c>
      <c r="G128" s="11" t="s">
        <v>56</v>
      </c>
      <c r="I128" s="10" t="s">
        <v>844</v>
      </c>
      <c r="J128" s="6" t="s">
        <v>845</v>
      </c>
      <c r="K128" s="12">
        <v>46120.714837962965</v>
      </c>
      <c r="L128" s="6" t="e" cm="1">
        <f t="array" ref="L128">LOOKUP(2^15,SEARCH(Tabela2[Palavras-Chave],Boletim4[[#This Row],[Objeto]],1),Tabela2[Palavras-Chave])</f>
        <v>#N/A</v>
      </c>
    </row>
    <row r="129" spans="1:12" ht="100.8" hidden="1" x14ac:dyDescent="0.3">
      <c r="A129" s="5">
        <v>18802294</v>
      </c>
      <c r="B129" s="6" t="s">
        <v>298</v>
      </c>
      <c r="C129" s="6" t="s">
        <v>299</v>
      </c>
      <c r="D129" s="8" t="s">
        <v>66</v>
      </c>
      <c r="E129" s="6" t="s">
        <v>846</v>
      </c>
      <c r="F129" s="6" t="s">
        <v>51</v>
      </c>
      <c r="G129" s="11" t="s">
        <v>56</v>
      </c>
      <c r="I129" s="10" t="s">
        <v>847</v>
      </c>
      <c r="J129" s="6" t="s">
        <v>848</v>
      </c>
      <c r="K129" s="12">
        <v>46120.717164351852</v>
      </c>
      <c r="L129" s="6" t="e" cm="1">
        <f t="array" ref="L129">LOOKUP(2^15,SEARCH(Tabela2[Palavras-Chave],Boletim4[[#This Row],[Objeto]],1),Tabela2[Palavras-Chave])</f>
        <v>#N/A</v>
      </c>
    </row>
    <row r="130" spans="1:12" ht="28.8" x14ac:dyDescent="0.3">
      <c r="A130" s="5">
        <v>18804363</v>
      </c>
      <c r="B130" s="6" t="s">
        <v>99</v>
      </c>
      <c r="C130" s="6" t="s">
        <v>65</v>
      </c>
      <c r="D130" s="8" t="s">
        <v>66</v>
      </c>
      <c r="E130" s="6" t="s">
        <v>849</v>
      </c>
      <c r="F130" s="6" t="s">
        <v>51</v>
      </c>
      <c r="G130" s="11" t="s">
        <v>56</v>
      </c>
      <c r="H130" s="23">
        <v>2</v>
      </c>
      <c r="I130" s="10" t="s">
        <v>850</v>
      </c>
      <c r="J130" s="6" t="s">
        <v>132</v>
      </c>
      <c r="K130" s="12">
        <v>46120.734606481485</v>
      </c>
      <c r="L130" s="6" t="str" cm="1">
        <f t="array" ref="L130">LOOKUP(2^15,SEARCH(Tabela2[Palavras-Chave],Boletim4[[#This Row],[Objeto]],1),Tabela2[Palavras-Chave])</f>
        <v>ABRACADEIRA</v>
      </c>
    </row>
    <row r="131" spans="1:12" ht="28.8" hidden="1" x14ac:dyDescent="0.3">
      <c r="A131" s="13">
        <v>18804356</v>
      </c>
      <c r="B131" s="10" t="s">
        <v>99</v>
      </c>
      <c r="C131" s="10" t="s">
        <v>65</v>
      </c>
      <c r="D131" s="15" t="s">
        <v>66</v>
      </c>
      <c r="E131" s="10" t="s">
        <v>851</v>
      </c>
      <c r="F131" s="10" t="s">
        <v>51</v>
      </c>
      <c r="G131" s="16" t="s">
        <v>56</v>
      </c>
      <c r="H131" s="24"/>
      <c r="I131" s="10" t="s">
        <v>852</v>
      </c>
      <c r="J131" s="10" t="s">
        <v>132</v>
      </c>
      <c r="K131" s="17">
        <v>46120.734664351854</v>
      </c>
      <c r="L131" s="6" t="e" cm="1">
        <f t="array" ref="L131">LOOKUP(2^15,SEARCH(Tabela2[Palavras-Chave],Boletim4[[#This Row],[Objeto]],1),Tabela2[Palavras-Chave])</f>
        <v>#N/A</v>
      </c>
    </row>
    <row r="132" spans="1:12" ht="100.8" hidden="1" x14ac:dyDescent="0.3">
      <c r="A132" s="5">
        <v>18803642</v>
      </c>
      <c r="B132" s="6" t="s">
        <v>853</v>
      </c>
      <c r="C132" s="6" t="s">
        <v>65</v>
      </c>
      <c r="D132" s="8" t="s">
        <v>66</v>
      </c>
      <c r="E132" s="6" t="s">
        <v>854</v>
      </c>
      <c r="F132" s="6" t="s">
        <v>51</v>
      </c>
      <c r="G132" s="11">
        <v>46125.375</v>
      </c>
      <c r="I132" s="10" t="s">
        <v>855</v>
      </c>
      <c r="J132" s="6" t="s">
        <v>856</v>
      </c>
      <c r="K132" s="12">
        <v>46120.736655092594</v>
      </c>
      <c r="L132" s="6" t="e" cm="1">
        <f t="array" ref="L132">LOOKUP(2^15,SEARCH(Tabela2[Palavras-Chave],Boletim4[[#This Row],[Objeto]],1),Tabela2[Palavras-Chave])</f>
        <v>#N/A</v>
      </c>
    </row>
    <row r="133" spans="1:12" ht="43.2" x14ac:dyDescent="0.3">
      <c r="A133" s="5">
        <v>18803519</v>
      </c>
      <c r="B133" s="6" t="s">
        <v>857</v>
      </c>
      <c r="C133" s="6" t="s">
        <v>858</v>
      </c>
      <c r="D133" s="8" t="s">
        <v>66</v>
      </c>
      <c r="E133" s="6" t="s">
        <v>220</v>
      </c>
      <c r="F133" s="6" t="s">
        <v>51</v>
      </c>
      <c r="G133" s="11" t="s">
        <v>56</v>
      </c>
      <c r="H133" s="23">
        <v>2</v>
      </c>
      <c r="I133" s="10" t="s">
        <v>859</v>
      </c>
      <c r="J133" s="6" t="s">
        <v>860</v>
      </c>
      <c r="K133" s="12">
        <v>46120.767534722225</v>
      </c>
      <c r="L133" s="6" t="str" cm="1">
        <f t="array" ref="L133">LOOKUP(2^15,SEARCH(Tabela2[Palavras-Chave],Boletim4[[#This Row],[Objeto]],1),Tabela2[Palavras-Chave])</f>
        <v>BOMBEAMENTO</v>
      </c>
    </row>
    <row r="134" spans="1:12" ht="28.8" hidden="1" x14ac:dyDescent="0.3">
      <c r="A134" s="5">
        <v>18803509</v>
      </c>
      <c r="B134" s="6" t="s">
        <v>857</v>
      </c>
      <c r="C134" s="6" t="s">
        <v>858</v>
      </c>
      <c r="D134" s="8" t="s">
        <v>66</v>
      </c>
      <c r="E134" s="6" t="s">
        <v>824</v>
      </c>
      <c r="F134" s="6" t="s">
        <v>51</v>
      </c>
      <c r="G134" s="11" t="s">
        <v>56</v>
      </c>
      <c r="I134" s="10" t="s">
        <v>861</v>
      </c>
      <c r="J134" s="6" t="s">
        <v>860</v>
      </c>
      <c r="K134" s="12">
        <v>46120.768877314818</v>
      </c>
      <c r="L134" s="6" t="e" cm="1">
        <f t="array" ref="L134">LOOKUP(2^15,SEARCH(Tabela2[Palavras-Chave],Boletim4[[#This Row],[Objeto]],1),Tabela2[Palavras-Chave])</f>
        <v>#N/A</v>
      </c>
    </row>
    <row r="135" spans="1:12" ht="409.6" x14ac:dyDescent="0.3">
      <c r="A135" s="5">
        <v>18802343</v>
      </c>
      <c r="B135" s="6" t="s">
        <v>436</v>
      </c>
      <c r="C135" s="6" t="s">
        <v>437</v>
      </c>
      <c r="D135" s="8" t="s">
        <v>66</v>
      </c>
      <c r="E135" s="6" t="s">
        <v>862</v>
      </c>
      <c r="F135" s="6" t="s">
        <v>51</v>
      </c>
      <c r="G135" s="11" t="s">
        <v>56</v>
      </c>
      <c r="H135" s="23">
        <v>2</v>
      </c>
      <c r="I135" s="10" t="s">
        <v>863</v>
      </c>
      <c r="J135" s="6" t="s">
        <v>790</v>
      </c>
      <c r="K135" s="12">
        <v>46120.80982638889</v>
      </c>
      <c r="L135" s="6" t="str" cm="1">
        <f t="array" ref="L135">LOOKUP(2^15,SEARCH(Tabela2[Palavras-Chave],Boletim4[[#This Row],[Objeto]],1),Tabela2[Palavras-Chave])</f>
        <v>INOX</v>
      </c>
    </row>
    <row r="136" spans="1:12" ht="57.6" hidden="1" x14ac:dyDescent="0.3">
      <c r="A136" s="5">
        <v>18802346</v>
      </c>
      <c r="B136" s="6" t="s">
        <v>436</v>
      </c>
      <c r="C136" s="6" t="s">
        <v>437</v>
      </c>
      <c r="D136" s="8" t="s">
        <v>66</v>
      </c>
      <c r="E136" s="6" t="s">
        <v>864</v>
      </c>
      <c r="F136" s="6" t="s">
        <v>51</v>
      </c>
      <c r="G136" s="11" t="s">
        <v>56</v>
      </c>
      <c r="I136" s="10" t="s">
        <v>865</v>
      </c>
      <c r="J136" s="6" t="s">
        <v>790</v>
      </c>
      <c r="K136" s="12">
        <v>46120.810590277775</v>
      </c>
      <c r="L136" s="6" t="e" cm="1">
        <f t="array" ref="L136">LOOKUP(2^15,SEARCH(Tabela2[Palavras-Chave],Boletim4[[#This Row],[Objeto]],1),Tabela2[Palavras-Chave])</f>
        <v>#N/A</v>
      </c>
    </row>
    <row r="137" spans="1:12" ht="115.2" hidden="1" x14ac:dyDescent="0.3">
      <c r="A137" s="5">
        <v>18806385</v>
      </c>
      <c r="B137" s="6" t="s">
        <v>866</v>
      </c>
      <c r="C137" s="6" t="s">
        <v>299</v>
      </c>
      <c r="D137" s="8" t="s">
        <v>66</v>
      </c>
      <c r="E137" s="6" t="s">
        <v>105</v>
      </c>
      <c r="F137" s="6" t="s">
        <v>51</v>
      </c>
      <c r="G137" s="11">
        <v>46129.333333333336</v>
      </c>
      <c r="I137" s="10" t="s">
        <v>867</v>
      </c>
      <c r="J137" s="6" t="s">
        <v>868</v>
      </c>
      <c r="K137" s="12">
        <v>46120.860138888886</v>
      </c>
      <c r="L137" s="6" t="e" cm="1">
        <f t="array" ref="L137">LOOKUP(2^15,SEARCH(Tabela2[Palavras-Chave],Boletim4[[#This Row],[Objeto]],1),Tabela2[Palavras-Chave])</f>
        <v>#N/A</v>
      </c>
    </row>
    <row r="138" spans="1:12" ht="100.8" hidden="1" x14ac:dyDescent="0.3">
      <c r="A138" s="5">
        <v>18803682</v>
      </c>
      <c r="B138" s="6" t="s">
        <v>869</v>
      </c>
      <c r="C138" s="6" t="s">
        <v>870</v>
      </c>
      <c r="D138" s="8" t="s">
        <v>66</v>
      </c>
      <c r="E138" s="6" t="s">
        <v>871</v>
      </c>
      <c r="F138" s="6" t="s">
        <v>51</v>
      </c>
      <c r="G138" s="11">
        <v>46122.354166666664</v>
      </c>
      <c r="I138" s="10" t="s">
        <v>872</v>
      </c>
      <c r="J138" s="6" t="s">
        <v>873</v>
      </c>
      <c r="K138" s="12">
        <v>46120.872488425928</v>
      </c>
      <c r="L138" s="6" t="e" cm="1">
        <f t="array" ref="L138">LOOKUP(2^15,SEARCH(Tabela2[Palavras-Chave],Boletim4[[#This Row],[Objeto]],1),Tabela2[Palavras-Chave])</f>
        <v>#N/A</v>
      </c>
    </row>
    <row r="139" spans="1:12" ht="172.8" hidden="1" x14ac:dyDescent="0.3">
      <c r="A139" s="5">
        <v>18804636</v>
      </c>
      <c r="B139" s="6" t="s">
        <v>838</v>
      </c>
      <c r="C139" s="6" t="s">
        <v>254</v>
      </c>
      <c r="D139" s="8" t="s">
        <v>66</v>
      </c>
      <c r="E139" s="6" t="s">
        <v>874</v>
      </c>
      <c r="F139" s="6" t="s">
        <v>51</v>
      </c>
      <c r="G139" s="11" t="s">
        <v>56</v>
      </c>
      <c r="I139" s="10" t="s">
        <v>875</v>
      </c>
      <c r="J139" s="6" t="s">
        <v>876</v>
      </c>
      <c r="K139" s="12">
        <v>46120.876307870371</v>
      </c>
      <c r="L139" s="6" t="e" cm="1">
        <f t="array" ref="L139">LOOKUP(2^15,SEARCH(Tabela2[Palavras-Chave],Boletim4[[#This Row],[Objeto]],1),Tabela2[Palavras-Chave])</f>
        <v>#N/A</v>
      </c>
    </row>
    <row r="140" spans="1:12" ht="158.4" hidden="1" x14ac:dyDescent="0.3">
      <c r="A140" s="5">
        <v>18804633</v>
      </c>
      <c r="B140" s="6" t="s">
        <v>838</v>
      </c>
      <c r="C140" s="6" t="s">
        <v>254</v>
      </c>
      <c r="D140" s="8" t="s">
        <v>66</v>
      </c>
      <c r="E140" s="6" t="s">
        <v>877</v>
      </c>
      <c r="F140" s="6" t="s">
        <v>51</v>
      </c>
      <c r="G140" s="11" t="s">
        <v>56</v>
      </c>
      <c r="I140" s="10" t="s">
        <v>878</v>
      </c>
      <c r="J140" s="6" t="s">
        <v>876</v>
      </c>
      <c r="K140" s="12">
        <v>46120.87636574074</v>
      </c>
      <c r="L140" s="6" t="e" cm="1">
        <f t="array" ref="L140">LOOKUP(2^15,SEARCH(Tabela2[Palavras-Chave],Boletim4[[#This Row],[Objeto]],1),Tabela2[Palavras-Chave])</f>
        <v>#N/A</v>
      </c>
    </row>
    <row r="141" spans="1:12" ht="244.8" hidden="1" x14ac:dyDescent="0.3">
      <c r="A141" s="5">
        <v>18803661</v>
      </c>
      <c r="B141" s="6" t="s">
        <v>879</v>
      </c>
      <c r="C141" s="6" t="s">
        <v>123</v>
      </c>
      <c r="D141" s="8" t="s">
        <v>67</v>
      </c>
      <c r="E141" s="6" t="s">
        <v>145</v>
      </c>
      <c r="F141" s="6" t="s">
        <v>51</v>
      </c>
      <c r="G141" s="11">
        <v>46122.354166666664</v>
      </c>
      <c r="I141" s="10" t="s">
        <v>880</v>
      </c>
      <c r="J141" s="6" t="s">
        <v>881</v>
      </c>
      <c r="K141" s="12">
        <v>46120.640104166669</v>
      </c>
      <c r="L141" s="6" t="e" cm="1">
        <f t="array" ref="L141">LOOKUP(2^15,SEARCH(Tabela2[Palavras-Chave],Boletim4[[#This Row],[Objeto]],1),Tabela2[Palavras-Chave])</f>
        <v>#N/A</v>
      </c>
    </row>
    <row r="142" spans="1:12" ht="100.8" hidden="1" x14ac:dyDescent="0.3">
      <c r="A142" s="5">
        <v>18804592</v>
      </c>
      <c r="B142" s="6" t="s">
        <v>882</v>
      </c>
      <c r="C142" s="6" t="s">
        <v>883</v>
      </c>
      <c r="D142" s="8" t="s">
        <v>91</v>
      </c>
      <c r="E142" s="6" t="s">
        <v>761</v>
      </c>
      <c r="F142" s="6" t="s">
        <v>51</v>
      </c>
      <c r="G142" s="11">
        <v>46125.354166666664</v>
      </c>
      <c r="I142" s="10" t="s">
        <v>884</v>
      </c>
      <c r="J142" s="6" t="s">
        <v>885</v>
      </c>
      <c r="K142" s="12">
        <v>46120.731805555559</v>
      </c>
      <c r="L142" s="6" t="e" cm="1">
        <f t="array" ref="L142">LOOKUP(2^15,SEARCH(Tabela2[Palavras-Chave],Boletim4[[#This Row],[Objeto]],1),Tabela2[Palavras-Chave])</f>
        <v>#N/A</v>
      </c>
    </row>
    <row r="143" spans="1:12" ht="100.8" hidden="1" x14ac:dyDescent="0.3">
      <c r="A143" s="5">
        <v>18804771</v>
      </c>
      <c r="B143" s="6" t="s">
        <v>886</v>
      </c>
      <c r="C143" s="6" t="s">
        <v>887</v>
      </c>
      <c r="D143" s="8" t="s">
        <v>91</v>
      </c>
      <c r="E143" s="6" t="s">
        <v>147</v>
      </c>
      <c r="F143" s="6" t="s">
        <v>51</v>
      </c>
      <c r="G143" s="11">
        <v>46125.999305555553</v>
      </c>
      <c r="I143" s="10" t="s">
        <v>888</v>
      </c>
      <c r="J143" s="6" t="s">
        <v>889</v>
      </c>
      <c r="K143" s="12">
        <v>46120.744409722225</v>
      </c>
      <c r="L143" s="6" t="e" cm="1">
        <f t="array" ref="L143">LOOKUP(2^15,SEARCH(Tabela2[Palavras-Chave],Boletim4[[#This Row],[Objeto]],1),Tabela2[Palavras-Chave])</f>
        <v>#N/A</v>
      </c>
    </row>
    <row r="144" spans="1:12" ht="86.4" hidden="1" x14ac:dyDescent="0.3">
      <c r="A144" s="5">
        <v>18801352</v>
      </c>
      <c r="B144" s="6" t="s">
        <v>890</v>
      </c>
      <c r="C144" s="6" t="s">
        <v>130</v>
      </c>
      <c r="D144" s="8" t="s">
        <v>68</v>
      </c>
      <c r="E144" s="6" t="s">
        <v>891</v>
      </c>
      <c r="F144" s="6" t="s">
        <v>51</v>
      </c>
      <c r="G144" s="11">
        <v>46126.333333333336</v>
      </c>
      <c r="I144" s="10" t="s">
        <v>892</v>
      </c>
      <c r="J144" s="6" t="s">
        <v>893</v>
      </c>
      <c r="K144" s="12">
        <v>46120.576238425929</v>
      </c>
      <c r="L144" s="6" t="e" cm="1">
        <f t="array" ref="L144">LOOKUP(2^15,SEARCH(Tabela2[Palavras-Chave],Boletim4[[#This Row],[Objeto]],1),Tabela2[Palavras-Chave])</f>
        <v>#N/A</v>
      </c>
    </row>
    <row r="145" spans="1:12" ht="57.6" hidden="1" x14ac:dyDescent="0.3">
      <c r="A145" s="5">
        <v>18804996</v>
      </c>
      <c r="B145" s="6" t="s">
        <v>894</v>
      </c>
      <c r="C145" s="6" t="s">
        <v>130</v>
      </c>
      <c r="D145" s="8" t="s">
        <v>68</v>
      </c>
      <c r="E145" s="6" t="s">
        <v>147</v>
      </c>
      <c r="F145" s="6" t="s">
        <v>51</v>
      </c>
      <c r="G145" s="11" t="s">
        <v>56</v>
      </c>
      <c r="I145" s="10" t="s">
        <v>895</v>
      </c>
      <c r="J145" s="6" t="s">
        <v>896</v>
      </c>
      <c r="K145" s="12">
        <v>46120.75408564815</v>
      </c>
      <c r="L145" s="6" t="e" cm="1">
        <f t="array" ref="L145">LOOKUP(2^15,SEARCH(Tabela2[Palavras-Chave],Boletim4[[#This Row],[Objeto]],1),Tabela2[Palavras-Chave])</f>
        <v>#N/A</v>
      </c>
    </row>
    <row r="146" spans="1:12" ht="144" hidden="1" x14ac:dyDescent="0.3">
      <c r="A146" s="5">
        <v>18746430</v>
      </c>
      <c r="B146" s="6" t="s">
        <v>897</v>
      </c>
      <c r="C146" s="6" t="s">
        <v>898</v>
      </c>
      <c r="D146" s="8" t="s">
        <v>68</v>
      </c>
      <c r="E146" s="6" t="s">
        <v>899</v>
      </c>
      <c r="F146" s="6" t="s">
        <v>51</v>
      </c>
      <c r="G146" s="11">
        <v>46125.333333333336</v>
      </c>
      <c r="I146" s="10" t="s">
        <v>900</v>
      </c>
      <c r="J146" s="6" t="s">
        <v>901</v>
      </c>
      <c r="K146" s="12">
        <v>46120.859155092592</v>
      </c>
      <c r="L146" s="6" t="e" cm="1">
        <f t="array" ref="L146">LOOKUP(2^15,SEARCH(Tabela2[Palavras-Chave],Boletim4[[#This Row],[Objeto]],1),Tabela2[Palavras-Chave])</f>
        <v>#N/A</v>
      </c>
    </row>
    <row r="147" spans="1:12" ht="86.4" hidden="1" x14ac:dyDescent="0.3">
      <c r="A147" s="5">
        <v>18804496</v>
      </c>
      <c r="B147" s="6" t="s">
        <v>902</v>
      </c>
      <c r="C147" s="6" t="s">
        <v>130</v>
      </c>
      <c r="D147" s="8" t="s">
        <v>68</v>
      </c>
      <c r="E147" s="6" t="s">
        <v>147</v>
      </c>
      <c r="F147" s="6" t="s">
        <v>51</v>
      </c>
      <c r="G147" s="11">
        <v>46126.458333333336</v>
      </c>
      <c r="I147" s="10" t="s">
        <v>903</v>
      </c>
      <c r="J147" s="6" t="s">
        <v>904</v>
      </c>
      <c r="K147" s="12">
        <v>46120.880636574075</v>
      </c>
      <c r="L147" s="6" t="e" cm="1">
        <f t="array" ref="L147">LOOKUP(2^15,SEARCH(Tabela2[Palavras-Chave],Boletim4[[#This Row],[Objeto]],1),Tabela2[Palavras-Chave])</f>
        <v>#N/A</v>
      </c>
    </row>
    <row r="148" spans="1:12" ht="86.4" hidden="1" x14ac:dyDescent="0.3">
      <c r="A148" s="5">
        <v>18801735</v>
      </c>
      <c r="B148" s="6" t="s">
        <v>905</v>
      </c>
      <c r="C148" s="6" t="s">
        <v>69</v>
      </c>
      <c r="D148" s="8" t="s">
        <v>70</v>
      </c>
      <c r="E148" s="6" t="s">
        <v>55</v>
      </c>
      <c r="F148" s="6" t="s">
        <v>51</v>
      </c>
      <c r="G148" s="11" t="s">
        <v>56</v>
      </c>
      <c r="I148" s="10" t="s">
        <v>906</v>
      </c>
      <c r="J148" s="6" t="s">
        <v>907</v>
      </c>
      <c r="K148" s="12">
        <v>46120.517743055556</v>
      </c>
      <c r="L148" s="6" t="e" cm="1">
        <f t="array" ref="L148">LOOKUP(2^15,SEARCH(Tabela2[Palavras-Chave],Boletim4[[#This Row],[Objeto]],1),Tabela2[Palavras-Chave])</f>
        <v>#N/A</v>
      </c>
    </row>
    <row r="149" spans="1:12" ht="259.2" hidden="1" x14ac:dyDescent="0.3">
      <c r="A149" s="5">
        <v>18805650</v>
      </c>
      <c r="B149" s="6" t="s">
        <v>908</v>
      </c>
      <c r="C149" s="6" t="s">
        <v>909</v>
      </c>
      <c r="D149" s="8" t="s">
        <v>70</v>
      </c>
      <c r="E149" s="6" t="s">
        <v>118</v>
      </c>
      <c r="F149" s="6" t="s">
        <v>51</v>
      </c>
      <c r="G149" s="11" t="s">
        <v>56</v>
      </c>
      <c r="I149" s="10" t="s">
        <v>910</v>
      </c>
      <c r="J149" s="6" t="s">
        <v>911</v>
      </c>
      <c r="K149" s="12">
        <v>46120.751342592594</v>
      </c>
      <c r="L149" s="6" t="e" cm="1">
        <f t="array" ref="L149">LOOKUP(2^15,SEARCH(Tabela2[Palavras-Chave],Boletim4[[#This Row],[Objeto]],1),Tabela2[Palavras-Chave])</f>
        <v>#N/A</v>
      </c>
    </row>
    <row r="150" spans="1:12" ht="100.8" hidden="1" x14ac:dyDescent="0.3">
      <c r="A150" s="5">
        <v>18805907</v>
      </c>
      <c r="B150" s="6" t="s">
        <v>271</v>
      </c>
      <c r="C150" s="6" t="s">
        <v>69</v>
      </c>
      <c r="D150" s="8" t="s">
        <v>70</v>
      </c>
      <c r="E150" s="6" t="s">
        <v>216</v>
      </c>
      <c r="F150" s="6" t="s">
        <v>51</v>
      </c>
      <c r="G150" s="11">
        <v>46126.333333333336</v>
      </c>
      <c r="I150" s="10" t="s">
        <v>912</v>
      </c>
      <c r="J150" s="6" t="s">
        <v>913</v>
      </c>
      <c r="K150" s="12">
        <v>46120.790405092594</v>
      </c>
      <c r="L150" s="6" t="e" cm="1">
        <f t="array" ref="L150">LOOKUP(2^15,SEARCH(Tabela2[Palavras-Chave],Boletim4[[#This Row],[Objeto]],1),Tabela2[Palavras-Chave])</f>
        <v>#N/A</v>
      </c>
    </row>
    <row r="151" spans="1:12" ht="86.4" hidden="1" x14ac:dyDescent="0.3">
      <c r="A151" s="5">
        <v>18805598</v>
      </c>
      <c r="B151" s="6" t="s">
        <v>914</v>
      </c>
      <c r="C151" s="6" t="s">
        <v>69</v>
      </c>
      <c r="D151" s="8" t="s">
        <v>70</v>
      </c>
      <c r="E151" s="6" t="s">
        <v>161</v>
      </c>
      <c r="F151" s="6" t="s">
        <v>51</v>
      </c>
      <c r="G151" s="11">
        <v>46122.375</v>
      </c>
      <c r="I151" s="10" t="s">
        <v>915</v>
      </c>
      <c r="J151" s="6" t="s">
        <v>916</v>
      </c>
      <c r="K151" s="12">
        <v>46120.860995370371</v>
      </c>
      <c r="L151" s="6" t="e" cm="1">
        <f t="array" ref="L151">LOOKUP(2^15,SEARCH(Tabela2[Palavras-Chave],Boletim4[[#This Row],[Objeto]],1),Tabela2[Palavras-Chave])</f>
        <v>#N/A</v>
      </c>
    </row>
    <row r="152" spans="1:12" ht="86.4" hidden="1" x14ac:dyDescent="0.3">
      <c r="A152" s="13">
        <v>18803705</v>
      </c>
      <c r="B152" s="10" t="s">
        <v>917</v>
      </c>
      <c r="C152" s="10" t="s">
        <v>69</v>
      </c>
      <c r="D152" s="15" t="s">
        <v>70</v>
      </c>
      <c r="E152" s="10" t="s">
        <v>918</v>
      </c>
      <c r="F152" s="10" t="s">
        <v>51</v>
      </c>
      <c r="G152" s="16">
        <v>46121.697916666664</v>
      </c>
      <c r="H152" s="24"/>
      <c r="I152" s="10" t="s">
        <v>919</v>
      </c>
      <c r="J152" s="10" t="s">
        <v>920</v>
      </c>
      <c r="K152" s="17">
        <v>46120.870497685188</v>
      </c>
      <c r="L152" s="6" t="e" cm="1">
        <f t="array" ref="L152">LOOKUP(2^15,SEARCH(Tabela2[Palavras-Chave],Boletim4[[#This Row],[Objeto]],1),Tabela2[Palavras-Chave])</f>
        <v>#N/A</v>
      </c>
    </row>
    <row r="153" spans="1:12" ht="100.8" hidden="1" x14ac:dyDescent="0.3">
      <c r="A153" s="5">
        <v>18804585</v>
      </c>
      <c r="B153" s="6" t="s">
        <v>921</v>
      </c>
      <c r="C153" s="6" t="s">
        <v>922</v>
      </c>
      <c r="D153" s="8" t="s">
        <v>72</v>
      </c>
      <c r="E153" s="6" t="s">
        <v>118</v>
      </c>
      <c r="F153" s="6" t="s">
        <v>51</v>
      </c>
      <c r="G153" s="11">
        <v>46129.333333333336</v>
      </c>
      <c r="I153" s="10" t="s">
        <v>923</v>
      </c>
      <c r="J153" s="6" t="s">
        <v>924</v>
      </c>
      <c r="K153" s="12">
        <v>46120.7496875</v>
      </c>
      <c r="L153" s="6" t="e" cm="1">
        <f t="array" ref="L153">LOOKUP(2^15,SEARCH(Tabela2[Palavras-Chave],Boletim4[[#This Row],[Objeto]],1),Tabela2[Palavras-Chave])</f>
        <v>#N/A</v>
      </c>
    </row>
    <row r="154" spans="1:12" ht="115.2" hidden="1" x14ac:dyDescent="0.3">
      <c r="A154" s="5">
        <v>18803650</v>
      </c>
      <c r="B154" s="6" t="s">
        <v>925</v>
      </c>
      <c r="C154" s="6" t="s">
        <v>926</v>
      </c>
      <c r="D154" s="8" t="s">
        <v>72</v>
      </c>
      <c r="E154" s="6" t="s">
        <v>927</v>
      </c>
      <c r="F154" s="6" t="s">
        <v>51</v>
      </c>
      <c r="G154" s="11">
        <v>46122.708333333336</v>
      </c>
      <c r="I154" s="10" t="s">
        <v>928</v>
      </c>
      <c r="J154" s="6" t="s">
        <v>929</v>
      </c>
      <c r="K154" s="12">
        <v>46120.764120370368</v>
      </c>
      <c r="L154" s="6" t="e" cm="1">
        <f t="array" ref="L154">LOOKUP(2^15,SEARCH(Tabela2[Palavras-Chave],Boletim4[[#This Row],[Objeto]],1),Tabela2[Palavras-Chave])</f>
        <v>#N/A</v>
      </c>
    </row>
    <row r="155" spans="1:12" ht="144" hidden="1" x14ac:dyDescent="0.3">
      <c r="A155" s="5">
        <v>18805947</v>
      </c>
      <c r="B155" s="6" t="s">
        <v>930</v>
      </c>
      <c r="C155" s="6" t="s">
        <v>73</v>
      </c>
      <c r="D155" s="8" t="s">
        <v>72</v>
      </c>
      <c r="E155" s="6" t="s">
        <v>330</v>
      </c>
      <c r="F155" s="6" t="s">
        <v>51</v>
      </c>
      <c r="G155" s="11">
        <v>46128.333333333336</v>
      </c>
      <c r="I155" s="10" t="s">
        <v>931</v>
      </c>
      <c r="J155" s="6" t="s">
        <v>932</v>
      </c>
      <c r="K155" s="12">
        <v>46120.791064814817</v>
      </c>
      <c r="L155" s="6" t="e" cm="1">
        <f t="array" ref="L155">LOOKUP(2^15,SEARCH(Tabela2[Palavras-Chave],Boletim4[[#This Row],[Objeto]],1),Tabela2[Palavras-Chave])</f>
        <v>#N/A</v>
      </c>
    </row>
    <row r="156" spans="1:12" ht="100.8" hidden="1" x14ac:dyDescent="0.3">
      <c r="A156" s="5">
        <v>18804498</v>
      </c>
      <c r="B156" s="6" t="s">
        <v>933</v>
      </c>
      <c r="C156" s="6" t="s">
        <v>73</v>
      </c>
      <c r="D156" s="8" t="s">
        <v>72</v>
      </c>
      <c r="E156" s="6" t="s">
        <v>197</v>
      </c>
      <c r="F156" s="6" t="s">
        <v>51</v>
      </c>
      <c r="G156" s="11">
        <v>46127.333333333336</v>
      </c>
      <c r="I156" s="10" t="s">
        <v>934</v>
      </c>
      <c r="J156" s="6" t="s">
        <v>935</v>
      </c>
      <c r="K156" s="12">
        <v>46120.879432870373</v>
      </c>
      <c r="L156" s="6" t="e" cm="1">
        <f t="array" ref="L156">LOOKUP(2^15,SEARCH(Tabela2[Palavras-Chave],Boletim4[[#This Row],[Objeto]],1),Tabela2[Palavras-Chave])</f>
        <v>#N/A</v>
      </c>
    </row>
    <row r="157" spans="1:12" ht="100.8" hidden="1" x14ac:dyDescent="0.3">
      <c r="A157" s="5">
        <v>18801344</v>
      </c>
      <c r="B157" s="6" t="s">
        <v>936</v>
      </c>
      <c r="C157" s="6" t="s">
        <v>75</v>
      </c>
      <c r="D157" s="8" t="s">
        <v>76</v>
      </c>
      <c r="E157" s="6" t="s">
        <v>118</v>
      </c>
      <c r="F157" s="6" t="s">
        <v>51</v>
      </c>
      <c r="G157" s="11">
        <v>46125.333333333336</v>
      </c>
      <c r="I157" s="10" t="s">
        <v>937</v>
      </c>
      <c r="J157" s="6" t="s">
        <v>938</v>
      </c>
      <c r="K157" s="12">
        <v>46120.452604166669</v>
      </c>
      <c r="L157" s="6" t="e" cm="1">
        <f t="array" ref="L157">LOOKUP(2^15,SEARCH(Tabela2[Palavras-Chave],Boletim4[[#This Row],[Objeto]],1),Tabela2[Palavras-Chave])</f>
        <v>#N/A</v>
      </c>
    </row>
    <row r="158" spans="1:12" ht="72" hidden="1" x14ac:dyDescent="0.3">
      <c r="A158" s="5">
        <v>18770011</v>
      </c>
      <c r="B158" s="6" t="s">
        <v>74</v>
      </c>
      <c r="C158" s="6" t="s">
        <v>75</v>
      </c>
      <c r="D158" s="8" t="s">
        <v>76</v>
      </c>
      <c r="E158" s="6" t="s">
        <v>471</v>
      </c>
      <c r="F158" s="6" t="s">
        <v>51</v>
      </c>
      <c r="G158" s="11" t="s">
        <v>56</v>
      </c>
      <c r="I158" s="10" t="s">
        <v>472</v>
      </c>
      <c r="J158" s="6" t="s">
        <v>473</v>
      </c>
      <c r="K158" s="12">
        <v>46120.465949074074</v>
      </c>
      <c r="L158" s="6" t="e" cm="1">
        <f t="array" ref="L158">LOOKUP(2^15,SEARCH(Tabela2[Palavras-Chave],Boletim4[[#This Row],[Objeto]],1),Tabela2[Palavras-Chave])</f>
        <v>#N/A</v>
      </c>
    </row>
    <row r="159" spans="1:12" ht="72" hidden="1" x14ac:dyDescent="0.3">
      <c r="A159" s="5">
        <v>18780322</v>
      </c>
      <c r="B159" s="6" t="s">
        <v>74</v>
      </c>
      <c r="C159" s="6" t="s">
        <v>75</v>
      </c>
      <c r="D159" s="8" t="s">
        <v>76</v>
      </c>
      <c r="E159" s="6" t="s">
        <v>939</v>
      </c>
      <c r="F159" s="6" t="s">
        <v>51</v>
      </c>
      <c r="G159" s="11" t="s">
        <v>56</v>
      </c>
      <c r="I159" s="10" t="s">
        <v>940</v>
      </c>
      <c r="J159" s="6" t="s">
        <v>941</v>
      </c>
      <c r="K159" s="12">
        <v>46120.466805555552</v>
      </c>
      <c r="L159" s="6" t="e" cm="1">
        <f t="array" ref="L159">LOOKUP(2^15,SEARCH(Tabela2[Palavras-Chave],Boletim4[[#This Row],[Objeto]],1),Tabela2[Palavras-Chave])</f>
        <v>#N/A</v>
      </c>
    </row>
    <row r="160" spans="1:12" ht="57.6" hidden="1" x14ac:dyDescent="0.3">
      <c r="A160" s="5">
        <v>18801798</v>
      </c>
      <c r="B160" s="6" t="s">
        <v>217</v>
      </c>
      <c r="C160" s="6" t="s">
        <v>75</v>
      </c>
      <c r="D160" s="8" t="s">
        <v>76</v>
      </c>
      <c r="E160" s="6" t="s">
        <v>942</v>
      </c>
      <c r="F160" s="6" t="s">
        <v>51</v>
      </c>
      <c r="G160" s="11" t="s">
        <v>56</v>
      </c>
      <c r="I160" s="10" t="s">
        <v>943</v>
      </c>
      <c r="J160" s="6" t="s">
        <v>944</v>
      </c>
      <c r="K160" s="12">
        <v>46120.494953703703</v>
      </c>
      <c r="L160" s="6" t="e" cm="1">
        <f t="array" ref="L160">LOOKUP(2^15,SEARCH(Tabela2[Palavras-Chave],Boletim4[[#This Row],[Objeto]],1),Tabela2[Palavras-Chave])</f>
        <v>#N/A</v>
      </c>
    </row>
    <row r="161" spans="1:12" ht="57.6" hidden="1" x14ac:dyDescent="0.3">
      <c r="A161" s="5">
        <v>18801800</v>
      </c>
      <c r="B161" s="6" t="s">
        <v>217</v>
      </c>
      <c r="C161" s="6" t="s">
        <v>75</v>
      </c>
      <c r="D161" s="8" t="s">
        <v>76</v>
      </c>
      <c r="E161" s="6" t="s">
        <v>945</v>
      </c>
      <c r="F161" s="6" t="s">
        <v>51</v>
      </c>
      <c r="G161" s="11" t="s">
        <v>56</v>
      </c>
      <c r="I161" s="10" t="s">
        <v>946</v>
      </c>
      <c r="J161" s="6" t="s">
        <v>947</v>
      </c>
      <c r="K161" s="12">
        <v>46120.521423611113</v>
      </c>
      <c r="L161" s="6" t="e" cm="1">
        <f t="array" ref="L161">LOOKUP(2^15,SEARCH(Tabela2[Palavras-Chave],Boletim4[[#This Row],[Objeto]],1),Tabela2[Palavras-Chave])</f>
        <v>#N/A</v>
      </c>
    </row>
    <row r="162" spans="1:12" ht="57.6" hidden="1" x14ac:dyDescent="0.3">
      <c r="A162" s="13">
        <v>18801799</v>
      </c>
      <c r="B162" s="10" t="s">
        <v>948</v>
      </c>
      <c r="C162" s="10" t="s">
        <v>390</v>
      </c>
      <c r="D162" s="15" t="s">
        <v>76</v>
      </c>
      <c r="E162" s="10" t="s">
        <v>949</v>
      </c>
      <c r="F162" s="10" t="s">
        <v>51</v>
      </c>
      <c r="G162" s="16" t="s">
        <v>56</v>
      </c>
      <c r="H162" s="24"/>
      <c r="I162" s="10" t="s">
        <v>950</v>
      </c>
      <c r="J162" s="10" t="s">
        <v>951</v>
      </c>
      <c r="K162" s="17">
        <v>46120.523472222223</v>
      </c>
      <c r="L162" s="6" t="e" cm="1">
        <f t="array" ref="L162">LOOKUP(2^15,SEARCH(Tabela2[Palavras-Chave],Boletim4[[#This Row],[Objeto]],1),Tabela2[Palavras-Chave])</f>
        <v>#N/A</v>
      </c>
    </row>
    <row r="163" spans="1:12" ht="57.6" hidden="1" x14ac:dyDescent="0.3">
      <c r="A163" s="5">
        <v>18801790</v>
      </c>
      <c r="B163" s="6" t="s">
        <v>256</v>
      </c>
      <c r="C163" s="6" t="s">
        <v>75</v>
      </c>
      <c r="D163" s="8" t="s">
        <v>76</v>
      </c>
      <c r="E163" s="6" t="s">
        <v>55</v>
      </c>
      <c r="F163" s="6" t="s">
        <v>51</v>
      </c>
      <c r="G163" s="11" t="s">
        <v>56</v>
      </c>
      <c r="I163" s="10" t="s">
        <v>952</v>
      </c>
      <c r="J163" s="6" t="s">
        <v>953</v>
      </c>
      <c r="K163" s="12">
        <v>46120.546851851854</v>
      </c>
      <c r="L163" s="6" t="e" cm="1">
        <f t="array" ref="L163">LOOKUP(2^15,SEARCH(Tabela2[Palavras-Chave],Boletim4[[#This Row],[Objeto]],1),Tabela2[Palavras-Chave])</f>
        <v>#N/A</v>
      </c>
    </row>
    <row r="164" spans="1:12" ht="72" hidden="1" x14ac:dyDescent="0.3">
      <c r="A164" s="5">
        <v>18746681</v>
      </c>
      <c r="B164" s="6" t="s">
        <v>74</v>
      </c>
      <c r="C164" s="6" t="s">
        <v>75</v>
      </c>
      <c r="D164" s="8" t="s">
        <v>76</v>
      </c>
      <c r="E164" s="6" t="s">
        <v>816</v>
      </c>
      <c r="F164" s="6" t="s">
        <v>51</v>
      </c>
      <c r="G164" s="11" t="s">
        <v>56</v>
      </c>
      <c r="I164" s="10" t="s">
        <v>817</v>
      </c>
      <c r="J164" s="6" t="s">
        <v>818</v>
      </c>
      <c r="K164" s="12">
        <v>46120.652719907404</v>
      </c>
      <c r="L164" s="6" t="e" cm="1">
        <f t="array" ref="L164">LOOKUP(2^15,SEARCH(Tabela2[Palavras-Chave],Boletim4[[#This Row],[Objeto]],1),Tabela2[Palavras-Chave])</f>
        <v>#N/A</v>
      </c>
    </row>
    <row r="165" spans="1:12" ht="259.2" hidden="1" x14ac:dyDescent="0.3">
      <c r="A165" s="5">
        <v>18748508</v>
      </c>
      <c r="B165" s="6" t="s">
        <v>954</v>
      </c>
      <c r="C165" s="6" t="s">
        <v>955</v>
      </c>
      <c r="D165" s="8" t="s">
        <v>76</v>
      </c>
      <c r="E165" s="6" t="s">
        <v>165</v>
      </c>
      <c r="F165" s="6" t="s">
        <v>51</v>
      </c>
      <c r="G165" s="11" t="s">
        <v>56</v>
      </c>
      <c r="I165" s="10" t="s">
        <v>956</v>
      </c>
      <c r="J165" s="6" t="s">
        <v>957</v>
      </c>
      <c r="K165" s="12">
        <v>46120.654699074075</v>
      </c>
      <c r="L165" s="6" t="e" cm="1">
        <f t="array" ref="L165">LOOKUP(2^15,SEARCH(Tabela2[Palavras-Chave],Boletim4[[#This Row],[Objeto]],1),Tabela2[Palavras-Chave])</f>
        <v>#N/A</v>
      </c>
    </row>
    <row r="166" spans="1:12" ht="57.6" hidden="1" x14ac:dyDescent="0.3">
      <c r="A166" s="5">
        <v>18803157</v>
      </c>
      <c r="B166" s="6" t="s">
        <v>256</v>
      </c>
      <c r="C166" s="6" t="s">
        <v>75</v>
      </c>
      <c r="D166" s="8" t="s">
        <v>76</v>
      </c>
      <c r="E166" s="6" t="s">
        <v>958</v>
      </c>
      <c r="F166" s="6" t="s">
        <v>51</v>
      </c>
      <c r="G166" s="11" t="s">
        <v>56</v>
      </c>
      <c r="I166" s="10" t="s">
        <v>959</v>
      </c>
      <c r="J166" s="6" t="s">
        <v>960</v>
      </c>
      <c r="K166" s="12">
        <v>46120.663182870368</v>
      </c>
      <c r="L166" s="6" t="e" cm="1">
        <f t="array" ref="L166">LOOKUP(2^15,SEARCH(Tabela2[Palavras-Chave],Boletim4[[#This Row],[Objeto]],1),Tabela2[Palavras-Chave])</f>
        <v>#N/A</v>
      </c>
    </row>
    <row r="167" spans="1:12" ht="43.2" hidden="1" x14ac:dyDescent="0.3">
      <c r="A167" s="5">
        <v>18675094</v>
      </c>
      <c r="B167" s="6" t="s">
        <v>961</v>
      </c>
      <c r="C167" s="6" t="s">
        <v>962</v>
      </c>
      <c r="D167" s="8" t="s">
        <v>76</v>
      </c>
      <c r="E167" s="6" t="s">
        <v>55</v>
      </c>
      <c r="F167" s="6" t="s">
        <v>51</v>
      </c>
      <c r="G167" s="11" t="s">
        <v>56</v>
      </c>
      <c r="I167" s="10" t="s">
        <v>963</v>
      </c>
      <c r="J167" s="6" t="s">
        <v>138</v>
      </c>
      <c r="K167" s="12">
        <v>46120.67019675926</v>
      </c>
      <c r="L167" s="6" t="e" cm="1">
        <f t="array" ref="L167">LOOKUP(2^15,SEARCH(Tabela2[Palavras-Chave],Boletim4[[#This Row],[Objeto]],1),Tabela2[Palavras-Chave])</f>
        <v>#N/A</v>
      </c>
    </row>
    <row r="168" spans="1:12" ht="100.8" hidden="1" x14ac:dyDescent="0.3">
      <c r="A168" s="5">
        <v>18804543</v>
      </c>
      <c r="B168" s="6" t="s">
        <v>964</v>
      </c>
      <c r="C168" s="6" t="s">
        <v>75</v>
      </c>
      <c r="D168" s="8" t="s">
        <v>76</v>
      </c>
      <c r="E168" s="6" t="s">
        <v>330</v>
      </c>
      <c r="F168" s="6" t="s">
        <v>51</v>
      </c>
      <c r="G168" s="11">
        <v>46127.333333333336</v>
      </c>
      <c r="I168" s="10" t="s">
        <v>965</v>
      </c>
      <c r="J168" s="6" t="s">
        <v>966</v>
      </c>
      <c r="K168" s="12">
        <v>46120.673784722225</v>
      </c>
      <c r="L168" s="6" t="e" cm="1">
        <f t="array" ref="L168">LOOKUP(2^15,SEARCH(Tabela2[Palavras-Chave],Boletim4[[#This Row],[Objeto]],1),Tabela2[Palavras-Chave])</f>
        <v>#N/A</v>
      </c>
    </row>
    <row r="169" spans="1:12" ht="230.4" hidden="1" x14ac:dyDescent="0.3">
      <c r="A169" s="5">
        <v>18804597</v>
      </c>
      <c r="B169" s="6" t="s">
        <v>967</v>
      </c>
      <c r="C169" s="6" t="s">
        <v>75</v>
      </c>
      <c r="D169" s="8" t="s">
        <v>76</v>
      </c>
      <c r="E169" s="6" t="s">
        <v>260</v>
      </c>
      <c r="F169" s="6" t="s">
        <v>51</v>
      </c>
      <c r="G169" s="11">
        <v>46126.333333333336</v>
      </c>
      <c r="I169" s="10" t="s">
        <v>968</v>
      </c>
      <c r="J169" s="6" t="s">
        <v>969</v>
      </c>
      <c r="K169" s="12">
        <v>46120.727581018517</v>
      </c>
      <c r="L169" s="6" t="e" cm="1">
        <f t="array" ref="L169">LOOKUP(2^15,SEARCH(Tabela2[Palavras-Chave],Boletim4[[#This Row],[Objeto]],1),Tabela2[Palavras-Chave])</f>
        <v>#N/A</v>
      </c>
    </row>
    <row r="170" spans="1:12" ht="100.8" hidden="1" x14ac:dyDescent="0.3">
      <c r="A170" s="5">
        <v>18804582</v>
      </c>
      <c r="B170" s="6" t="s">
        <v>970</v>
      </c>
      <c r="C170" s="6" t="s">
        <v>75</v>
      </c>
      <c r="D170" s="8" t="s">
        <v>76</v>
      </c>
      <c r="E170" s="6" t="s">
        <v>329</v>
      </c>
      <c r="F170" s="6" t="s">
        <v>51</v>
      </c>
      <c r="G170" s="11">
        <v>46125.392361111109</v>
      </c>
      <c r="I170" s="10" t="s">
        <v>971</v>
      </c>
      <c r="J170" s="6" t="s">
        <v>972</v>
      </c>
      <c r="K170" s="12">
        <v>46120.732210648152</v>
      </c>
      <c r="L170" s="6" t="e" cm="1">
        <f t="array" ref="L170">LOOKUP(2^15,SEARCH(Tabela2[Palavras-Chave],Boletim4[[#This Row],[Objeto]],1),Tabela2[Palavras-Chave])</f>
        <v>#N/A</v>
      </c>
    </row>
    <row r="171" spans="1:12" ht="28.8" hidden="1" x14ac:dyDescent="0.3">
      <c r="A171" s="5">
        <v>18804717</v>
      </c>
      <c r="B171" s="6" t="s">
        <v>973</v>
      </c>
      <c r="C171" s="6" t="s">
        <v>75</v>
      </c>
      <c r="D171" s="8" t="s">
        <v>76</v>
      </c>
      <c r="E171" s="6" t="s">
        <v>974</v>
      </c>
      <c r="F171" s="6" t="s">
        <v>51</v>
      </c>
      <c r="G171" s="11" t="s">
        <v>56</v>
      </c>
      <c r="I171" s="10" t="s">
        <v>975</v>
      </c>
      <c r="J171" s="6" t="s">
        <v>190</v>
      </c>
      <c r="K171" s="12">
        <v>46120.732395833336</v>
      </c>
      <c r="L171" s="6" t="e" cm="1">
        <f t="array" ref="L171">LOOKUP(2^15,SEARCH(Tabela2[Palavras-Chave],Boletim4[[#This Row],[Objeto]],1),Tabela2[Palavras-Chave])</f>
        <v>#N/A</v>
      </c>
    </row>
    <row r="172" spans="1:12" ht="100.8" hidden="1" x14ac:dyDescent="0.3">
      <c r="A172" s="5">
        <v>18804527</v>
      </c>
      <c r="B172" s="6" t="s">
        <v>964</v>
      </c>
      <c r="C172" s="6" t="s">
        <v>75</v>
      </c>
      <c r="D172" s="8" t="s">
        <v>76</v>
      </c>
      <c r="E172" s="6" t="s">
        <v>197</v>
      </c>
      <c r="F172" s="6" t="s">
        <v>51</v>
      </c>
      <c r="G172" s="11">
        <v>46127.333333333336</v>
      </c>
      <c r="I172" s="10" t="s">
        <v>976</v>
      </c>
      <c r="J172" s="6" t="s">
        <v>977</v>
      </c>
      <c r="K172" s="12">
        <v>46120.757349537038</v>
      </c>
      <c r="L172" s="6" t="e" cm="1">
        <f t="array" ref="L172">LOOKUP(2^15,SEARCH(Tabela2[Palavras-Chave],Boletim4[[#This Row],[Objeto]],1),Tabela2[Palavras-Chave])</f>
        <v>#N/A</v>
      </c>
    </row>
    <row r="173" spans="1:12" ht="100.8" hidden="1" x14ac:dyDescent="0.3">
      <c r="A173" s="5">
        <v>18804602</v>
      </c>
      <c r="B173" s="6" t="s">
        <v>978</v>
      </c>
      <c r="C173" s="6" t="s">
        <v>979</v>
      </c>
      <c r="D173" s="8" t="s">
        <v>76</v>
      </c>
      <c r="E173" s="6" t="s">
        <v>129</v>
      </c>
      <c r="F173" s="6" t="s">
        <v>51</v>
      </c>
      <c r="G173" s="11">
        <v>46128.333333333336</v>
      </c>
      <c r="I173" s="10" t="s">
        <v>980</v>
      </c>
      <c r="J173" s="6" t="s">
        <v>981</v>
      </c>
      <c r="K173" s="12">
        <v>46120.762129629627</v>
      </c>
      <c r="L173" s="6" t="e" cm="1">
        <f t="array" ref="L173">LOOKUP(2^15,SEARCH(Tabela2[Palavras-Chave],Boletim4[[#This Row],[Objeto]],1),Tabela2[Palavras-Chave])</f>
        <v>#N/A</v>
      </c>
    </row>
    <row r="174" spans="1:12" ht="100.8" hidden="1" x14ac:dyDescent="0.3">
      <c r="A174" s="5">
        <v>18804521</v>
      </c>
      <c r="B174" s="6" t="s">
        <v>982</v>
      </c>
      <c r="C174" s="6" t="s">
        <v>983</v>
      </c>
      <c r="D174" s="8" t="s">
        <v>76</v>
      </c>
      <c r="E174" s="6" t="s">
        <v>335</v>
      </c>
      <c r="F174" s="6" t="s">
        <v>51</v>
      </c>
      <c r="G174" s="11">
        <v>46126.333333333336</v>
      </c>
      <c r="I174" s="10" t="s">
        <v>984</v>
      </c>
      <c r="J174" s="6" t="s">
        <v>985</v>
      </c>
      <c r="K174" s="12">
        <v>46120.788518518515</v>
      </c>
      <c r="L174" s="6" t="e" cm="1">
        <f t="array" ref="L174">LOOKUP(2^15,SEARCH(Tabela2[Palavras-Chave],Boletim4[[#This Row],[Objeto]],1),Tabela2[Palavras-Chave])</f>
        <v>#N/A</v>
      </c>
    </row>
    <row r="175" spans="1:12" ht="100.8" hidden="1" x14ac:dyDescent="0.3">
      <c r="A175" s="5">
        <v>18803657</v>
      </c>
      <c r="B175" s="6" t="s">
        <v>986</v>
      </c>
      <c r="C175" s="6" t="s">
        <v>75</v>
      </c>
      <c r="D175" s="8" t="s">
        <v>76</v>
      </c>
      <c r="E175" s="6" t="s">
        <v>110</v>
      </c>
      <c r="F175" s="6" t="s">
        <v>51</v>
      </c>
      <c r="G175" s="11">
        <v>46122.708333333336</v>
      </c>
      <c r="I175" s="10" t="s">
        <v>987</v>
      </c>
      <c r="J175" s="6" t="s">
        <v>988</v>
      </c>
      <c r="K175" s="12">
        <v>46120.86513888889</v>
      </c>
      <c r="L175" s="6" t="e" cm="1">
        <f t="array" ref="L175">LOOKUP(2^15,SEARCH(Tabela2[Palavras-Chave],Boletim4[[#This Row],[Objeto]],1),Tabela2[Palavras-Chave])</f>
        <v>#N/A</v>
      </c>
    </row>
    <row r="176" spans="1:12" ht="28.8" x14ac:dyDescent="0.3">
      <c r="A176" s="5">
        <v>18804719</v>
      </c>
      <c r="B176" s="6" t="s">
        <v>973</v>
      </c>
      <c r="C176" s="6" t="s">
        <v>75</v>
      </c>
      <c r="D176" s="8" t="s">
        <v>76</v>
      </c>
      <c r="E176" s="6" t="s">
        <v>989</v>
      </c>
      <c r="F176" s="6" t="s">
        <v>51</v>
      </c>
      <c r="G176" s="11" t="s">
        <v>56</v>
      </c>
      <c r="H176" s="23">
        <v>2</v>
      </c>
      <c r="I176" s="10" t="s">
        <v>990</v>
      </c>
      <c r="J176" s="6" t="s">
        <v>190</v>
      </c>
      <c r="K176" s="12">
        <v>46120.868622685186</v>
      </c>
      <c r="L176" s="6" t="str" cm="1">
        <f t="array" ref="L176">LOOKUP(2^15,SEARCH(Tabela2[Palavras-Chave],Boletim4[[#This Row],[Objeto]],1),Tabela2[Palavras-Chave])</f>
        <v>abraçadeira</v>
      </c>
    </row>
    <row r="177" spans="1:12" ht="28.8" hidden="1" x14ac:dyDescent="0.3">
      <c r="A177" s="5">
        <v>18804718</v>
      </c>
      <c r="B177" s="6" t="s">
        <v>973</v>
      </c>
      <c r="C177" s="6" t="s">
        <v>75</v>
      </c>
      <c r="D177" s="8" t="s">
        <v>76</v>
      </c>
      <c r="E177" s="6" t="s">
        <v>991</v>
      </c>
      <c r="F177" s="6" t="s">
        <v>51</v>
      </c>
      <c r="G177" s="11" t="s">
        <v>56</v>
      </c>
      <c r="I177" s="10" t="s">
        <v>992</v>
      </c>
      <c r="J177" s="6" t="s">
        <v>190</v>
      </c>
      <c r="K177" s="12">
        <v>46120.868958333333</v>
      </c>
      <c r="L177" s="6" t="e" cm="1">
        <f t="array" ref="L177">LOOKUP(2^15,SEARCH(Tabela2[Palavras-Chave],Boletim4[[#This Row],[Objeto]],1),Tabela2[Palavras-Chave])</f>
        <v>#N/A</v>
      </c>
    </row>
    <row r="178" spans="1:12" hidden="1" x14ac:dyDescent="0.3">
      <c r="A178" s="5">
        <v>18804705</v>
      </c>
      <c r="B178" s="6" t="s">
        <v>973</v>
      </c>
      <c r="C178" s="6" t="s">
        <v>75</v>
      </c>
      <c r="D178" s="8" t="s">
        <v>76</v>
      </c>
      <c r="E178" s="6" t="s">
        <v>332</v>
      </c>
      <c r="F178" s="6" t="s">
        <v>51</v>
      </c>
      <c r="G178" s="11" t="s">
        <v>56</v>
      </c>
      <c r="I178" s="10" t="s">
        <v>993</v>
      </c>
      <c r="J178" s="6" t="s">
        <v>190</v>
      </c>
      <c r="K178" s="12">
        <v>46120.869212962964</v>
      </c>
      <c r="L178" s="6" t="e" cm="1">
        <f t="array" ref="L178">LOOKUP(2^15,SEARCH(Tabela2[Palavras-Chave],Boletim4[[#This Row],[Objeto]],1),Tabela2[Palavras-Chave])</f>
        <v>#N/A</v>
      </c>
    </row>
    <row r="179" spans="1:12" ht="100.8" hidden="1" x14ac:dyDescent="0.3">
      <c r="A179" s="5">
        <v>18804478</v>
      </c>
      <c r="B179" s="6" t="s">
        <v>994</v>
      </c>
      <c r="C179" s="6" t="s">
        <v>75</v>
      </c>
      <c r="D179" s="8" t="s">
        <v>76</v>
      </c>
      <c r="E179" s="6" t="s">
        <v>264</v>
      </c>
      <c r="F179" s="6" t="s">
        <v>51</v>
      </c>
      <c r="G179" s="11">
        <v>46126.333333333336</v>
      </c>
      <c r="I179" s="10" t="s">
        <v>995</v>
      </c>
      <c r="J179" s="6" t="s">
        <v>996</v>
      </c>
      <c r="K179" s="12">
        <v>46120.882314814815</v>
      </c>
      <c r="L179" s="6" t="e" cm="1">
        <f t="array" ref="L179">LOOKUP(2^15,SEARCH(Tabela2[Palavras-Chave],Boletim4[[#This Row],[Objeto]],1),Tabela2[Palavras-Chave])</f>
        <v>#N/A</v>
      </c>
    </row>
    <row r="180" spans="1:12" hidden="1" x14ac:dyDescent="0.3">
      <c r="A180" s="5">
        <v>18804157</v>
      </c>
      <c r="B180" s="6" t="s">
        <v>973</v>
      </c>
      <c r="C180" s="6" t="s">
        <v>75</v>
      </c>
      <c r="D180" s="8" t="s">
        <v>76</v>
      </c>
      <c r="E180" s="6" t="s">
        <v>255</v>
      </c>
      <c r="F180" s="6" t="s">
        <v>51</v>
      </c>
      <c r="G180" s="11" t="s">
        <v>56</v>
      </c>
      <c r="I180" s="10" t="s">
        <v>997</v>
      </c>
      <c r="J180" s="6" t="s">
        <v>190</v>
      </c>
      <c r="K180" s="12">
        <v>46120.882476851853</v>
      </c>
      <c r="L180" s="6" t="e" cm="1">
        <f t="array" ref="L180">LOOKUP(2^15,SEARCH(Tabela2[Palavras-Chave],Boletim4[[#This Row],[Objeto]],1),Tabela2[Palavras-Chave])</f>
        <v>#N/A</v>
      </c>
    </row>
    <row r="181" spans="1:12" ht="100.8" hidden="1" x14ac:dyDescent="0.3">
      <c r="A181" s="5">
        <v>18801818</v>
      </c>
      <c r="B181" s="6" t="s">
        <v>998</v>
      </c>
      <c r="C181" s="6" t="s">
        <v>999</v>
      </c>
      <c r="D181" s="8" t="s">
        <v>77</v>
      </c>
      <c r="E181" s="6" t="s">
        <v>129</v>
      </c>
      <c r="F181" s="6" t="s">
        <v>51</v>
      </c>
      <c r="G181" s="11">
        <v>46122.833333333336</v>
      </c>
      <c r="I181" s="10" t="s">
        <v>1000</v>
      </c>
      <c r="J181" s="6" t="s">
        <v>1001</v>
      </c>
      <c r="K181" s="12">
        <v>46120.412777777776</v>
      </c>
      <c r="L181" s="6" t="e" cm="1">
        <f t="array" ref="L181">LOOKUP(2^15,SEARCH(Tabela2[Palavras-Chave],Boletim4[[#This Row],[Objeto]],1),Tabela2[Palavras-Chave])</f>
        <v>#N/A</v>
      </c>
    </row>
    <row r="182" spans="1:12" ht="129.6" hidden="1" x14ac:dyDescent="0.3">
      <c r="A182" s="5">
        <v>18802170</v>
      </c>
      <c r="B182" s="6" t="s">
        <v>1002</v>
      </c>
      <c r="C182" s="6" t="s">
        <v>102</v>
      </c>
      <c r="D182" s="8" t="s">
        <v>77</v>
      </c>
      <c r="E182" s="6" t="s">
        <v>139</v>
      </c>
      <c r="F182" s="6" t="s">
        <v>51</v>
      </c>
      <c r="G182" s="11">
        <v>46125.333333333336</v>
      </c>
      <c r="I182" s="10" t="s">
        <v>1003</v>
      </c>
      <c r="J182" s="6" t="s">
        <v>1004</v>
      </c>
      <c r="K182" s="12">
        <v>46120.496134259258</v>
      </c>
      <c r="L182" s="6" t="e" cm="1">
        <f t="array" ref="L182">LOOKUP(2^15,SEARCH(Tabela2[Palavras-Chave],Boletim4[[#This Row],[Objeto]],1),Tabela2[Palavras-Chave])</f>
        <v>#N/A</v>
      </c>
    </row>
    <row r="183" spans="1:12" ht="187.2" hidden="1" x14ac:dyDescent="0.3">
      <c r="A183" s="5">
        <v>18805639</v>
      </c>
      <c r="B183" s="6" t="s">
        <v>275</v>
      </c>
      <c r="C183" s="6" t="s">
        <v>102</v>
      </c>
      <c r="D183" s="8" t="s">
        <v>77</v>
      </c>
      <c r="E183" s="6" t="s">
        <v>1005</v>
      </c>
      <c r="F183" s="6" t="s">
        <v>51</v>
      </c>
      <c r="G183" s="11" t="s">
        <v>56</v>
      </c>
      <c r="I183" s="10" t="s">
        <v>1006</v>
      </c>
      <c r="J183" s="6" t="s">
        <v>1007</v>
      </c>
      <c r="K183" s="12">
        <v>46120.749988425923</v>
      </c>
      <c r="L183" s="6" t="e" cm="1">
        <f t="array" ref="L183">LOOKUP(2^15,SEARCH(Tabela2[Palavras-Chave],Boletim4[[#This Row],[Objeto]],1),Tabela2[Palavras-Chave])</f>
        <v>#N/A</v>
      </c>
    </row>
    <row r="184" spans="1:12" ht="43.2" hidden="1" x14ac:dyDescent="0.3">
      <c r="A184" s="5">
        <v>18806201</v>
      </c>
      <c r="B184" s="6" t="s">
        <v>1008</v>
      </c>
      <c r="C184" s="6" t="s">
        <v>1009</v>
      </c>
      <c r="D184" s="8" t="s">
        <v>78</v>
      </c>
      <c r="E184" s="6" t="s">
        <v>110</v>
      </c>
      <c r="F184" s="6" t="s">
        <v>51</v>
      </c>
      <c r="G184" s="11">
        <v>46125.75</v>
      </c>
      <c r="I184" s="10" t="s">
        <v>1010</v>
      </c>
      <c r="J184" s="6" t="s">
        <v>1011</v>
      </c>
      <c r="K184" s="12">
        <v>46120.870856481481</v>
      </c>
      <c r="L184" s="6" t="e" cm="1">
        <f t="array" ref="L184">LOOKUP(2^15,SEARCH(Tabela2[Palavras-Chave],Boletim4[[#This Row],[Objeto]],1),Tabela2[Palavras-Chave])</f>
        <v>#N/A</v>
      </c>
    </row>
    <row r="185" spans="1:12" ht="115.2" hidden="1" x14ac:dyDescent="0.3">
      <c r="A185" s="13">
        <v>18802047</v>
      </c>
      <c r="B185" s="10" t="s">
        <v>1012</v>
      </c>
      <c r="C185" s="10" t="s">
        <v>1013</v>
      </c>
      <c r="D185" s="15" t="s">
        <v>80</v>
      </c>
      <c r="E185" s="10" t="s">
        <v>263</v>
      </c>
      <c r="F185" s="10" t="s">
        <v>51</v>
      </c>
      <c r="G185" s="16">
        <v>46125.416666666664</v>
      </c>
      <c r="H185" s="24"/>
      <c r="I185" s="10" t="s">
        <v>1014</v>
      </c>
      <c r="J185" s="10" t="s">
        <v>1015</v>
      </c>
      <c r="K185" s="17">
        <v>46120.525578703702</v>
      </c>
      <c r="L185" s="6" t="e" cm="1">
        <f t="array" ref="L185">LOOKUP(2^15,SEARCH(Tabela2[Palavras-Chave],Boletim4[[#This Row],[Objeto]],1),Tabela2[Palavras-Chave])</f>
        <v>#N/A</v>
      </c>
    </row>
    <row r="186" spans="1:12" ht="100.8" hidden="1" x14ac:dyDescent="0.3">
      <c r="A186" s="5">
        <v>18801387</v>
      </c>
      <c r="B186" s="6" t="s">
        <v>1016</v>
      </c>
      <c r="C186" s="6" t="s">
        <v>464</v>
      </c>
      <c r="D186" s="8" t="s">
        <v>80</v>
      </c>
      <c r="E186" s="6" t="s">
        <v>197</v>
      </c>
      <c r="F186" s="6" t="s">
        <v>51</v>
      </c>
      <c r="G186" s="11">
        <v>46126.541666666664</v>
      </c>
      <c r="I186" s="10" t="s">
        <v>1017</v>
      </c>
      <c r="J186" s="6" t="s">
        <v>1018</v>
      </c>
      <c r="K186" s="12">
        <v>46120.527905092589</v>
      </c>
      <c r="L186" s="6" t="e" cm="1">
        <f t="array" ref="L186">LOOKUP(2^15,SEARCH(Tabela2[Palavras-Chave],Boletim4[[#This Row],[Objeto]],1),Tabela2[Palavras-Chave])</f>
        <v>#N/A</v>
      </c>
    </row>
    <row r="187" spans="1:12" ht="43.2" hidden="1" x14ac:dyDescent="0.3">
      <c r="A187" s="5">
        <v>18795684</v>
      </c>
      <c r="B187" s="6" t="s">
        <v>193</v>
      </c>
      <c r="C187" s="6" t="s">
        <v>79</v>
      </c>
      <c r="D187" s="8" t="s">
        <v>80</v>
      </c>
      <c r="E187" s="6" t="s">
        <v>1019</v>
      </c>
      <c r="F187" s="6" t="s">
        <v>51</v>
      </c>
      <c r="G187" s="11">
        <v>46122.590277777781</v>
      </c>
      <c r="I187" s="10" t="s">
        <v>1020</v>
      </c>
      <c r="J187" s="6" t="s">
        <v>1021</v>
      </c>
      <c r="K187" s="12">
        <v>46120.586967592593</v>
      </c>
      <c r="L187" s="6" t="e" cm="1">
        <f t="array" ref="L187">LOOKUP(2^15,SEARCH(Tabela2[Palavras-Chave],Boletim4[[#This Row],[Objeto]],1),Tabela2[Palavras-Chave])</f>
        <v>#N/A</v>
      </c>
    </row>
    <row r="188" spans="1:12" ht="57.6" hidden="1" x14ac:dyDescent="0.3">
      <c r="A188" s="5">
        <v>18768198</v>
      </c>
      <c r="B188" s="6" t="s">
        <v>278</v>
      </c>
      <c r="C188" s="6" t="s">
        <v>79</v>
      </c>
      <c r="D188" s="8" t="s">
        <v>80</v>
      </c>
      <c r="E188" s="6" t="s">
        <v>1022</v>
      </c>
      <c r="F188" s="6" t="s">
        <v>51</v>
      </c>
      <c r="G188" s="11">
        <v>46122.425000000003</v>
      </c>
      <c r="I188" s="10" t="s">
        <v>340</v>
      </c>
      <c r="J188" s="6" t="s">
        <v>1023</v>
      </c>
      <c r="K188" s="12">
        <v>46120.587592592594</v>
      </c>
      <c r="L188" s="6" t="e" cm="1">
        <f t="array" ref="L188">LOOKUP(2^15,SEARCH(Tabela2[Palavras-Chave],Boletim4[[#This Row],[Objeto]],1),Tabela2[Palavras-Chave])</f>
        <v>#N/A</v>
      </c>
    </row>
    <row r="189" spans="1:12" ht="57.6" hidden="1" x14ac:dyDescent="0.3">
      <c r="A189" s="5">
        <v>18803818</v>
      </c>
      <c r="B189" s="6" t="s">
        <v>1024</v>
      </c>
      <c r="C189" s="6" t="s">
        <v>1025</v>
      </c>
      <c r="D189" s="8" t="s">
        <v>80</v>
      </c>
      <c r="E189" s="6" t="s">
        <v>137</v>
      </c>
      <c r="F189" s="6" t="s">
        <v>51</v>
      </c>
      <c r="G189" s="11">
        <v>46122.708333333336</v>
      </c>
      <c r="I189" s="10" t="s">
        <v>1026</v>
      </c>
      <c r="J189" s="6" t="s">
        <v>1027</v>
      </c>
      <c r="K189" s="12">
        <v>46120.639594907407</v>
      </c>
      <c r="L189" s="6" t="e" cm="1">
        <f t="array" ref="L189">LOOKUP(2^15,SEARCH(Tabela2[Palavras-Chave],Boletim4[[#This Row],[Objeto]],1),Tabela2[Palavras-Chave])</f>
        <v>#N/A</v>
      </c>
    </row>
    <row r="190" spans="1:12" ht="57.6" hidden="1" x14ac:dyDescent="0.3">
      <c r="A190" s="5">
        <v>18801761</v>
      </c>
      <c r="B190" s="6" t="s">
        <v>300</v>
      </c>
      <c r="C190" s="6" t="s">
        <v>79</v>
      </c>
      <c r="D190" s="8" t="s">
        <v>80</v>
      </c>
      <c r="E190" s="6" t="s">
        <v>1028</v>
      </c>
      <c r="F190" s="6" t="s">
        <v>51</v>
      </c>
      <c r="G190" s="11" t="s">
        <v>56</v>
      </c>
      <c r="I190" s="10" t="s">
        <v>1029</v>
      </c>
      <c r="J190" s="6" t="s">
        <v>1030</v>
      </c>
      <c r="K190" s="12">
        <v>46120.700995370367</v>
      </c>
      <c r="L190" s="6" t="e" cm="1">
        <f t="array" ref="L190">LOOKUP(2^15,SEARCH(Tabela2[Palavras-Chave],Boletim4[[#This Row],[Objeto]],1),Tabela2[Palavras-Chave])</f>
        <v>#N/A</v>
      </c>
    </row>
    <row r="191" spans="1:12" ht="100.8" hidden="1" x14ac:dyDescent="0.3">
      <c r="A191" s="5">
        <v>18804570</v>
      </c>
      <c r="B191" s="6" t="s">
        <v>1031</v>
      </c>
      <c r="C191" s="6" t="s">
        <v>79</v>
      </c>
      <c r="D191" s="8" t="s">
        <v>80</v>
      </c>
      <c r="E191" s="6" t="s">
        <v>137</v>
      </c>
      <c r="F191" s="6" t="s">
        <v>51</v>
      </c>
      <c r="G191" s="11">
        <v>46125.333333333336</v>
      </c>
      <c r="I191" s="10" t="s">
        <v>1032</v>
      </c>
      <c r="J191" s="6" t="s">
        <v>1033</v>
      </c>
      <c r="K191" s="12">
        <v>46120.731180555558</v>
      </c>
      <c r="L191" s="6" t="e" cm="1">
        <f t="array" ref="L191">LOOKUP(2^15,SEARCH(Tabela2[Palavras-Chave],Boletim4[[#This Row],[Objeto]],1),Tabela2[Palavras-Chave])</f>
        <v>#N/A</v>
      </c>
    </row>
    <row r="192" spans="1:12" ht="100.8" hidden="1" x14ac:dyDescent="0.3">
      <c r="A192" s="5">
        <v>18804603</v>
      </c>
      <c r="B192" s="6" t="s">
        <v>1031</v>
      </c>
      <c r="C192" s="6" t="s">
        <v>79</v>
      </c>
      <c r="D192" s="8" t="s">
        <v>80</v>
      </c>
      <c r="E192" s="6" t="s">
        <v>342</v>
      </c>
      <c r="F192" s="6" t="s">
        <v>51</v>
      </c>
      <c r="G192" s="11">
        <v>46125.333333333336</v>
      </c>
      <c r="I192" s="10" t="s">
        <v>1034</v>
      </c>
      <c r="J192" s="6" t="s">
        <v>1035</v>
      </c>
      <c r="K192" s="12">
        <v>46120.731990740744</v>
      </c>
      <c r="L192" s="6" t="e" cm="1">
        <f t="array" ref="L192">LOOKUP(2^15,SEARCH(Tabela2[Palavras-Chave],Boletim4[[#This Row],[Objeto]],1),Tabela2[Palavras-Chave])</f>
        <v>#N/A</v>
      </c>
    </row>
    <row r="193" spans="1:12" ht="57.6" x14ac:dyDescent="0.3">
      <c r="A193" s="5">
        <v>18801762</v>
      </c>
      <c r="B193" s="6" t="s">
        <v>300</v>
      </c>
      <c r="C193" s="6" t="s">
        <v>79</v>
      </c>
      <c r="D193" s="8" t="s">
        <v>80</v>
      </c>
      <c r="E193" s="6" t="s">
        <v>1036</v>
      </c>
      <c r="F193" s="6" t="s">
        <v>51</v>
      </c>
      <c r="G193" s="11" t="s">
        <v>56</v>
      </c>
      <c r="H193" s="23">
        <v>2</v>
      </c>
      <c r="I193" s="10" t="s">
        <v>1037</v>
      </c>
      <c r="J193" s="6" t="s">
        <v>1038</v>
      </c>
      <c r="K193" s="12">
        <v>46120.749351851853</v>
      </c>
      <c r="L193" s="6" t="str" cm="1">
        <f t="array" ref="L193">LOOKUP(2^15,SEARCH(Tabela2[Palavras-Chave],Boletim4[[#This Row],[Objeto]],1),Tabela2[Palavras-Chave])</f>
        <v>MEDIÇÃO</v>
      </c>
    </row>
    <row r="194" spans="1:12" ht="100.8" hidden="1" x14ac:dyDescent="0.3">
      <c r="A194" s="5">
        <v>18805863</v>
      </c>
      <c r="B194" s="6" t="s">
        <v>1039</v>
      </c>
      <c r="C194" s="6" t="s">
        <v>1040</v>
      </c>
      <c r="D194" s="8" t="s">
        <v>80</v>
      </c>
      <c r="E194" s="6" t="s">
        <v>137</v>
      </c>
      <c r="F194" s="6" t="s">
        <v>51</v>
      </c>
      <c r="G194" s="11">
        <v>46127.375</v>
      </c>
      <c r="I194" s="10" t="s">
        <v>1041</v>
      </c>
      <c r="J194" s="6" t="s">
        <v>1042</v>
      </c>
      <c r="K194" s="12">
        <v>46120.852858796294</v>
      </c>
      <c r="L194" s="6" t="e" cm="1">
        <f t="array" ref="L194">LOOKUP(2^15,SEARCH(Tabela2[Palavras-Chave],Boletim4[[#This Row],[Objeto]],1),Tabela2[Palavras-Chave])</f>
        <v>#N/A</v>
      </c>
    </row>
    <row r="195" spans="1:12" ht="100.8" hidden="1" x14ac:dyDescent="0.3">
      <c r="A195" s="5">
        <v>18801311</v>
      </c>
      <c r="B195" s="6" t="s">
        <v>1043</v>
      </c>
      <c r="C195" s="6" t="s">
        <v>1044</v>
      </c>
      <c r="D195" s="8" t="s">
        <v>81</v>
      </c>
      <c r="E195" s="6" t="s">
        <v>1045</v>
      </c>
      <c r="F195" s="6" t="s">
        <v>51</v>
      </c>
      <c r="G195" s="11">
        <v>46122.625</v>
      </c>
      <c r="I195" s="10" t="s">
        <v>1046</v>
      </c>
      <c r="J195" s="6" t="s">
        <v>1047</v>
      </c>
      <c r="K195" s="12">
        <v>46120.576412037037</v>
      </c>
      <c r="L195" s="6" t="e" cm="1">
        <f t="array" ref="L195">LOOKUP(2^15,SEARCH(Tabela2[Palavras-Chave],Boletim4[[#This Row],[Objeto]],1),Tabela2[Palavras-Chave])</f>
        <v>#N/A</v>
      </c>
    </row>
    <row r="196" spans="1:12" ht="100.8" hidden="1" x14ac:dyDescent="0.3">
      <c r="A196" s="5">
        <v>18795093</v>
      </c>
      <c r="B196" s="6" t="s">
        <v>1048</v>
      </c>
      <c r="C196" s="6" t="s">
        <v>1049</v>
      </c>
      <c r="D196" s="8" t="s">
        <v>81</v>
      </c>
      <c r="E196" s="6" t="s">
        <v>161</v>
      </c>
      <c r="F196" s="6" t="s">
        <v>51</v>
      </c>
      <c r="G196" s="11">
        <v>46126.333333333336</v>
      </c>
      <c r="I196" s="10" t="s">
        <v>1050</v>
      </c>
      <c r="J196" s="6" t="s">
        <v>1051</v>
      </c>
      <c r="K196" s="12">
        <v>46120.58761574074</v>
      </c>
      <c r="L196" s="6" t="e" cm="1">
        <f t="array" ref="L196">LOOKUP(2^15,SEARCH(Tabela2[Palavras-Chave],Boletim4[[#This Row],[Objeto]],1),Tabela2[Palavras-Chave])</f>
        <v>#N/A</v>
      </c>
    </row>
    <row r="197" spans="1:12" ht="244.8" hidden="1" x14ac:dyDescent="0.3">
      <c r="A197" s="13">
        <v>18804244</v>
      </c>
      <c r="B197" s="10" t="s">
        <v>1052</v>
      </c>
      <c r="C197" s="10" t="s">
        <v>1053</v>
      </c>
      <c r="D197" s="15" t="s">
        <v>81</v>
      </c>
      <c r="E197" s="10" t="s">
        <v>145</v>
      </c>
      <c r="F197" s="10" t="s">
        <v>51</v>
      </c>
      <c r="G197" s="16" t="s">
        <v>56</v>
      </c>
      <c r="H197" s="24"/>
      <c r="I197" s="10" t="s">
        <v>1054</v>
      </c>
      <c r="J197" s="10" t="s">
        <v>1055</v>
      </c>
      <c r="K197" s="17">
        <v>46120.621388888889</v>
      </c>
      <c r="L197" s="6" t="e" cm="1">
        <f t="array" ref="L197">LOOKUP(2^15,SEARCH(Tabela2[Palavras-Chave],Boletim4[[#This Row],[Objeto]],1),Tabela2[Palavras-Chave])</f>
        <v>#N/A</v>
      </c>
    </row>
    <row r="198" spans="1:12" ht="100.8" hidden="1" x14ac:dyDescent="0.3">
      <c r="A198" s="13">
        <v>18805874</v>
      </c>
      <c r="B198" s="10" t="s">
        <v>1056</v>
      </c>
      <c r="C198" s="10" t="s">
        <v>1057</v>
      </c>
      <c r="D198" s="15" t="s">
        <v>81</v>
      </c>
      <c r="E198" s="10" t="s">
        <v>1058</v>
      </c>
      <c r="F198" s="10" t="s">
        <v>51</v>
      </c>
      <c r="G198" s="16">
        <v>46125.59375</v>
      </c>
      <c r="H198" s="24"/>
      <c r="I198" s="10" t="s">
        <v>1059</v>
      </c>
      <c r="J198" s="10" t="s">
        <v>1060</v>
      </c>
      <c r="K198" s="17">
        <v>46120.782708333332</v>
      </c>
      <c r="L198" s="6" t="e" cm="1">
        <f t="array" ref="L198">LOOKUP(2^15,SEARCH(Tabela2[Palavras-Chave],Boletim4[[#This Row],[Objeto]],1),Tabela2[Palavras-Chave])</f>
        <v>#N/A</v>
      </c>
    </row>
    <row r="199" spans="1:12" ht="129.6" x14ac:dyDescent="0.3">
      <c r="A199" s="5">
        <v>18806216</v>
      </c>
      <c r="B199" s="6" t="s">
        <v>1061</v>
      </c>
      <c r="C199" s="6" t="s">
        <v>1062</v>
      </c>
      <c r="D199" s="8" t="s">
        <v>81</v>
      </c>
      <c r="E199" s="6" t="s">
        <v>342</v>
      </c>
      <c r="F199" s="6" t="s">
        <v>51</v>
      </c>
      <c r="G199" s="11" t="s">
        <v>56</v>
      </c>
      <c r="H199" s="23">
        <v>2</v>
      </c>
      <c r="I199" s="10" t="s">
        <v>1063</v>
      </c>
      <c r="J199" s="6" t="s">
        <v>1064</v>
      </c>
      <c r="K199" s="12">
        <v>46120.835127314815</v>
      </c>
      <c r="L199" s="6" t="str" cm="1">
        <f t="array" ref="L199">LOOKUP(2^15,SEARCH(Tabela2[Palavras-Chave],Boletim4[[#This Row],[Objeto]],1),Tabela2[Palavras-Chave])</f>
        <v>INOX</v>
      </c>
    </row>
    <row r="200" spans="1:12" ht="201.6" hidden="1" x14ac:dyDescent="0.3">
      <c r="A200" s="5">
        <v>18804374</v>
      </c>
      <c r="B200" s="6" t="s">
        <v>282</v>
      </c>
      <c r="C200" s="6" t="s">
        <v>160</v>
      </c>
      <c r="D200" s="8" t="s">
        <v>93</v>
      </c>
      <c r="E200" s="6" t="s">
        <v>1065</v>
      </c>
      <c r="F200" s="6" t="s">
        <v>51</v>
      </c>
      <c r="G200" s="11" t="s">
        <v>56</v>
      </c>
      <c r="I200" s="10" t="s">
        <v>1066</v>
      </c>
      <c r="J200" s="6" t="s">
        <v>1067</v>
      </c>
      <c r="K200" s="12">
        <v>46120.695648148147</v>
      </c>
      <c r="L200" s="6" t="e" cm="1">
        <f t="array" ref="L200">LOOKUP(2^15,SEARCH(Tabela2[Palavras-Chave],Boletim4[[#This Row],[Objeto]],1),Tabela2[Palavras-Chave])</f>
        <v>#N/A</v>
      </c>
    </row>
    <row r="201" spans="1:12" ht="201.6" hidden="1" x14ac:dyDescent="0.3">
      <c r="A201" s="5">
        <v>18801409</v>
      </c>
      <c r="B201" s="6" t="s">
        <v>282</v>
      </c>
      <c r="C201" s="6" t="s">
        <v>160</v>
      </c>
      <c r="D201" s="8" t="s">
        <v>93</v>
      </c>
      <c r="E201" s="6" t="s">
        <v>1068</v>
      </c>
      <c r="F201" s="6" t="s">
        <v>51</v>
      </c>
      <c r="G201" s="11" t="s">
        <v>56</v>
      </c>
      <c r="I201" s="10" t="s">
        <v>1069</v>
      </c>
      <c r="J201" s="6" t="s">
        <v>1070</v>
      </c>
      <c r="K201" s="12">
        <v>46120.755682870367</v>
      </c>
      <c r="L201" s="6" t="e" cm="1">
        <f t="array" ref="L201">LOOKUP(2^15,SEARCH(Tabela2[Palavras-Chave],Boletim4[[#This Row],[Objeto]],1),Tabela2[Palavras-Chave])</f>
        <v>#N/A</v>
      </c>
    </row>
    <row r="202" spans="1:12" ht="201.6" hidden="1" x14ac:dyDescent="0.3">
      <c r="A202" s="5">
        <v>18804373</v>
      </c>
      <c r="B202" s="6" t="s">
        <v>282</v>
      </c>
      <c r="C202" s="6" t="s">
        <v>160</v>
      </c>
      <c r="D202" s="8" t="s">
        <v>93</v>
      </c>
      <c r="E202" s="6" t="s">
        <v>1071</v>
      </c>
      <c r="F202" s="6" t="s">
        <v>51</v>
      </c>
      <c r="G202" s="11" t="s">
        <v>56</v>
      </c>
      <c r="I202" s="10" t="s">
        <v>1072</v>
      </c>
      <c r="J202" s="6" t="s">
        <v>1073</v>
      </c>
      <c r="K202" s="12">
        <v>46120.879305555558</v>
      </c>
      <c r="L202" s="6" t="e" cm="1">
        <f t="array" ref="L202">LOOKUP(2^15,SEARCH(Tabela2[Palavras-Chave],Boletim4[[#This Row],[Objeto]],1),Tabela2[Palavras-Chave])</f>
        <v>#N/A</v>
      </c>
    </row>
    <row r="203" spans="1:12" ht="201.6" hidden="1" x14ac:dyDescent="0.3">
      <c r="A203" s="5">
        <v>18804375</v>
      </c>
      <c r="B203" s="6" t="s">
        <v>282</v>
      </c>
      <c r="C203" s="6" t="s">
        <v>160</v>
      </c>
      <c r="D203" s="8" t="s">
        <v>93</v>
      </c>
      <c r="E203" s="6" t="s">
        <v>1074</v>
      </c>
      <c r="F203" s="6" t="s">
        <v>51</v>
      </c>
      <c r="G203" s="11" t="s">
        <v>56</v>
      </c>
      <c r="I203" s="10" t="s">
        <v>1075</v>
      </c>
      <c r="J203" s="6" t="s">
        <v>1076</v>
      </c>
      <c r="K203" s="12">
        <v>46120.879560185182</v>
      </c>
      <c r="L203" s="6" t="e" cm="1">
        <f t="array" ref="L203">LOOKUP(2^15,SEARCH(Tabela2[Palavras-Chave],Boletim4[[#This Row],[Objeto]],1),Tabela2[Palavras-Chave])</f>
        <v>#N/A</v>
      </c>
    </row>
    <row r="204" spans="1:12" ht="273.60000000000002" x14ac:dyDescent="0.3">
      <c r="A204" s="5">
        <v>18742063</v>
      </c>
      <c r="B204" s="6" t="s">
        <v>1077</v>
      </c>
      <c r="C204" s="6" t="s">
        <v>1078</v>
      </c>
      <c r="D204" s="8" t="s">
        <v>82</v>
      </c>
      <c r="E204" s="6" t="s">
        <v>1079</v>
      </c>
      <c r="F204" s="6" t="s">
        <v>51</v>
      </c>
      <c r="G204" s="11">
        <v>46125.375</v>
      </c>
      <c r="H204" s="23">
        <v>2</v>
      </c>
      <c r="I204" s="10" t="s">
        <v>1080</v>
      </c>
      <c r="J204" s="6" t="s">
        <v>1081</v>
      </c>
      <c r="K204" s="12">
        <v>46120.419525462959</v>
      </c>
      <c r="L204" s="6" t="str" cm="1">
        <f t="array" ref="L204">LOOKUP(2^15,SEARCH(Tabela2[Palavras-Chave],Boletim4[[#This Row],[Objeto]],1),Tabela2[Palavras-Chave])</f>
        <v>BOMBEAMENTO</v>
      </c>
    </row>
    <row r="205" spans="1:12" ht="201.6" hidden="1" x14ac:dyDescent="0.3">
      <c r="A205" s="5">
        <v>18801325</v>
      </c>
      <c r="B205" s="6" t="s">
        <v>1082</v>
      </c>
      <c r="C205" s="6" t="s">
        <v>393</v>
      </c>
      <c r="D205" s="8" t="s">
        <v>82</v>
      </c>
      <c r="E205" s="6" t="s">
        <v>1083</v>
      </c>
      <c r="F205" s="6" t="s">
        <v>51</v>
      </c>
      <c r="G205" s="11">
        <v>46125.5</v>
      </c>
      <c r="I205" s="10" t="s">
        <v>1084</v>
      </c>
      <c r="J205" s="6" t="s">
        <v>1085</v>
      </c>
      <c r="K205" s="12">
        <v>46120.452060185184</v>
      </c>
      <c r="L205" s="6" t="e" cm="1">
        <f t="array" ref="L205">LOOKUP(2^15,SEARCH(Tabela2[Palavras-Chave],Boletim4[[#This Row],[Objeto]],1),Tabela2[Palavras-Chave])</f>
        <v>#N/A</v>
      </c>
    </row>
    <row r="206" spans="1:12" ht="72" hidden="1" x14ac:dyDescent="0.3">
      <c r="A206" s="5">
        <v>18802275</v>
      </c>
      <c r="B206" s="6" t="s">
        <v>74</v>
      </c>
      <c r="C206" s="6" t="s">
        <v>83</v>
      </c>
      <c r="D206" s="8" t="s">
        <v>82</v>
      </c>
      <c r="E206" s="6" t="s">
        <v>939</v>
      </c>
      <c r="F206" s="6" t="s">
        <v>51</v>
      </c>
      <c r="G206" s="11" t="s">
        <v>56</v>
      </c>
      <c r="I206" s="10" t="s">
        <v>940</v>
      </c>
      <c r="J206" s="6" t="s">
        <v>941</v>
      </c>
      <c r="K206" s="12">
        <v>46120.46947916667</v>
      </c>
      <c r="L206" s="6" t="e" cm="1">
        <f t="array" ref="L206">LOOKUP(2^15,SEARCH(Tabela2[Palavras-Chave],Boletim4[[#This Row],[Objeto]],1),Tabela2[Palavras-Chave])</f>
        <v>#N/A</v>
      </c>
    </row>
    <row r="207" spans="1:12" ht="100.8" hidden="1" x14ac:dyDescent="0.3">
      <c r="A207" s="5">
        <v>18801815</v>
      </c>
      <c r="B207" s="6" t="s">
        <v>1086</v>
      </c>
      <c r="C207" s="6" t="s">
        <v>348</v>
      </c>
      <c r="D207" s="8" t="s">
        <v>82</v>
      </c>
      <c r="E207" s="6" t="s">
        <v>1087</v>
      </c>
      <c r="F207" s="6" t="s">
        <v>51</v>
      </c>
      <c r="G207" s="11">
        <v>46125.374305555553</v>
      </c>
      <c r="I207" s="10" t="s">
        <v>1088</v>
      </c>
      <c r="J207" s="6" t="s">
        <v>1089</v>
      </c>
      <c r="K207" s="12">
        <v>46120.473275462966</v>
      </c>
      <c r="L207" s="6" t="e" cm="1">
        <f t="array" ref="L207">LOOKUP(2^15,SEARCH(Tabela2[Palavras-Chave],Boletim4[[#This Row],[Objeto]],1),Tabela2[Palavras-Chave])</f>
        <v>#N/A</v>
      </c>
    </row>
    <row r="208" spans="1:12" ht="72" hidden="1" x14ac:dyDescent="0.3">
      <c r="A208" s="5">
        <v>18802356</v>
      </c>
      <c r="B208" s="6" t="s">
        <v>181</v>
      </c>
      <c r="C208" s="6" t="s">
        <v>182</v>
      </c>
      <c r="D208" s="8" t="s">
        <v>82</v>
      </c>
      <c r="E208" s="6" t="s">
        <v>1090</v>
      </c>
      <c r="F208" s="6" t="s">
        <v>51</v>
      </c>
      <c r="G208" s="11" t="s">
        <v>56</v>
      </c>
      <c r="I208" s="10" t="s">
        <v>1091</v>
      </c>
      <c r="J208" s="6" t="s">
        <v>1092</v>
      </c>
      <c r="K208" s="12">
        <v>46120.477685185186</v>
      </c>
      <c r="L208" s="6" t="e" cm="1">
        <f t="array" ref="L208">LOOKUP(2^15,SEARCH(Tabela2[Palavras-Chave],Boletim4[[#This Row],[Objeto]],1),Tabela2[Palavras-Chave])</f>
        <v>#N/A</v>
      </c>
    </row>
    <row r="209" spans="1:12" ht="100.8" hidden="1" x14ac:dyDescent="0.3">
      <c r="A209" s="5">
        <v>18801395</v>
      </c>
      <c r="B209" s="6" t="s">
        <v>1093</v>
      </c>
      <c r="C209" s="6" t="s">
        <v>83</v>
      </c>
      <c r="D209" s="8" t="s">
        <v>82</v>
      </c>
      <c r="E209" s="6" t="s">
        <v>1094</v>
      </c>
      <c r="F209" s="6" t="s">
        <v>51</v>
      </c>
      <c r="G209" s="11">
        <v>46127.333333333336</v>
      </c>
      <c r="I209" s="10" t="s">
        <v>1095</v>
      </c>
      <c r="J209" s="6" t="s">
        <v>1096</v>
      </c>
      <c r="K209" s="12">
        <v>46120.516342592593</v>
      </c>
      <c r="L209" s="6" t="e" cm="1">
        <f t="array" ref="L209">LOOKUP(2^15,SEARCH(Tabela2[Palavras-Chave],Boletim4[[#This Row],[Objeto]],1),Tabela2[Palavras-Chave])</f>
        <v>#N/A</v>
      </c>
    </row>
    <row r="210" spans="1:12" ht="100.8" hidden="1" x14ac:dyDescent="0.3">
      <c r="A210" s="5">
        <v>18801329</v>
      </c>
      <c r="B210" s="6" t="s">
        <v>1097</v>
      </c>
      <c r="C210" s="6" t="s">
        <v>1098</v>
      </c>
      <c r="D210" s="8" t="s">
        <v>82</v>
      </c>
      <c r="E210" s="6" t="s">
        <v>734</v>
      </c>
      <c r="F210" s="6" t="s">
        <v>51</v>
      </c>
      <c r="G210" s="11">
        <v>46125.375</v>
      </c>
      <c r="I210" s="10" t="s">
        <v>1099</v>
      </c>
      <c r="J210" s="6" t="s">
        <v>1100</v>
      </c>
      <c r="K210" s="12">
        <v>46120.519872685189</v>
      </c>
      <c r="L210" s="6" t="e" cm="1">
        <f t="array" ref="L210">LOOKUP(2^15,SEARCH(Tabela2[Palavras-Chave],Boletim4[[#This Row],[Objeto]],1),Tabela2[Palavras-Chave])</f>
        <v>#N/A</v>
      </c>
    </row>
    <row r="211" spans="1:12" ht="28.8" hidden="1" x14ac:dyDescent="0.3">
      <c r="A211" s="5">
        <v>18801521</v>
      </c>
      <c r="B211" s="6" t="s">
        <v>1101</v>
      </c>
      <c r="C211" s="6" t="s">
        <v>1102</v>
      </c>
      <c r="D211" s="8" t="s">
        <v>82</v>
      </c>
      <c r="E211" s="6" t="s">
        <v>443</v>
      </c>
      <c r="F211" s="6" t="s">
        <v>51</v>
      </c>
      <c r="G211" s="11">
        <v>46122.708333333336</v>
      </c>
      <c r="I211" s="10" t="s">
        <v>1103</v>
      </c>
      <c r="J211" s="6" t="s">
        <v>1104</v>
      </c>
      <c r="K211" s="12">
        <v>46120.526400462964</v>
      </c>
      <c r="L211" s="6" t="e" cm="1">
        <f t="array" ref="L211">LOOKUP(2^15,SEARCH(Tabela2[Palavras-Chave],Boletim4[[#This Row],[Objeto]],1),Tabela2[Palavras-Chave])</f>
        <v>#N/A</v>
      </c>
    </row>
    <row r="212" spans="1:12" ht="86.4" hidden="1" x14ac:dyDescent="0.3">
      <c r="A212" s="5">
        <v>18802165</v>
      </c>
      <c r="B212" s="6" t="s">
        <v>1105</v>
      </c>
      <c r="C212" s="6" t="s">
        <v>83</v>
      </c>
      <c r="D212" s="8" t="s">
        <v>82</v>
      </c>
      <c r="E212" s="6" t="s">
        <v>105</v>
      </c>
      <c r="F212" s="6" t="s">
        <v>51</v>
      </c>
      <c r="G212" s="11">
        <v>46125.333333333336</v>
      </c>
      <c r="I212" s="10" t="s">
        <v>1106</v>
      </c>
      <c r="J212" s="6" t="s">
        <v>1107</v>
      </c>
      <c r="K212" s="12">
        <v>46120.530624999999</v>
      </c>
      <c r="L212" s="6" t="e" cm="1">
        <f t="array" ref="L212">LOOKUP(2^15,SEARCH(Tabela2[Palavras-Chave],Boletim4[[#This Row],[Objeto]],1),Tabela2[Palavras-Chave])</f>
        <v>#N/A</v>
      </c>
    </row>
    <row r="213" spans="1:12" ht="86.4" hidden="1" x14ac:dyDescent="0.3">
      <c r="A213" s="5">
        <v>18802166</v>
      </c>
      <c r="B213" s="6" t="s">
        <v>1105</v>
      </c>
      <c r="C213" s="6" t="s">
        <v>83</v>
      </c>
      <c r="D213" s="8" t="s">
        <v>82</v>
      </c>
      <c r="E213" s="6" t="s">
        <v>110</v>
      </c>
      <c r="F213" s="6" t="s">
        <v>51</v>
      </c>
      <c r="G213" s="11">
        <v>46125.333333333336</v>
      </c>
      <c r="I213" s="10" t="s">
        <v>1106</v>
      </c>
      <c r="J213" s="6" t="s">
        <v>1108</v>
      </c>
      <c r="K213" s="12">
        <v>46120.530729166669</v>
      </c>
      <c r="L213" s="6" t="e" cm="1">
        <f t="array" ref="L213">LOOKUP(2^15,SEARCH(Tabela2[Palavras-Chave],Boletim4[[#This Row],[Objeto]],1),Tabela2[Palavras-Chave])</f>
        <v>#N/A</v>
      </c>
    </row>
    <row r="214" spans="1:12" ht="244.8" hidden="1" x14ac:dyDescent="0.3">
      <c r="A214" s="5">
        <v>18801650</v>
      </c>
      <c r="B214" s="6" t="s">
        <v>1109</v>
      </c>
      <c r="C214" s="6" t="s">
        <v>1110</v>
      </c>
      <c r="D214" s="8" t="s">
        <v>82</v>
      </c>
      <c r="E214" s="6" t="s">
        <v>1111</v>
      </c>
      <c r="F214" s="6" t="s">
        <v>51</v>
      </c>
      <c r="G214" s="11" t="s">
        <v>56</v>
      </c>
      <c r="I214" s="10" t="s">
        <v>1112</v>
      </c>
      <c r="J214" s="6" t="s">
        <v>1113</v>
      </c>
      <c r="K214" s="12">
        <v>46120.576550925929</v>
      </c>
      <c r="L214" s="6" t="e" cm="1">
        <f t="array" ref="L214">LOOKUP(2^15,SEARCH(Tabela2[Palavras-Chave],Boletim4[[#This Row],[Objeto]],1),Tabela2[Palavras-Chave])</f>
        <v>#N/A</v>
      </c>
    </row>
    <row r="215" spans="1:12" ht="57.6" x14ac:dyDescent="0.3">
      <c r="A215" s="5">
        <v>18801515</v>
      </c>
      <c r="B215" s="6" t="s">
        <v>1101</v>
      </c>
      <c r="C215" s="6" t="s">
        <v>1102</v>
      </c>
      <c r="D215" s="8" t="s">
        <v>82</v>
      </c>
      <c r="E215" s="6" t="s">
        <v>1114</v>
      </c>
      <c r="F215" s="6" t="s">
        <v>51</v>
      </c>
      <c r="G215" s="11">
        <v>46122.725694444445</v>
      </c>
      <c r="H215" s="23">
        <v>2</v>
      </c>
      <c r="I215" s="10" t="s">
        <v>1115</v>
      </c>
      <c r="J215" s="6" t="s">
        <v>1116</v>
      </c>
      <c r="K215" s="12">
        <v>46120.589837962965</v>
      </c>
      <c r="L215" s="6" t="str" cm="1">
        <f t="array" ref="L215">LOOKUP(2^15,SEARCH(Tabela2[Palavras-Chave],Boletim4[[#This Row],[Objeto]],1),Tabela2[Palavras-Chave])</f>
        <v>RESERVAT</v>
      </c>
    </row>
    <row r="216" spans="1:12" ht="129.6" hidden="1" x14ac:dyDescent="0.3">
      <c r="A216" s="5">
        <v>18786072</v>
      </c>
      <c r="B216" s="6" t="s">
        <v>229</v>
      </c>
      <c r="C216" s="6" t="s">
        <v>228</v>
      </c>
      <c r="D216" s="8" t="s">
        <v>82</v>
      </c>
      <c r="E216" s="6" t="s">
        <v>1117</v>
      </c>
      <c r="F216" s="6" t="s">
        <v>51</v>
      </c>
      <c r="G216" s="11">
        <v>46125.332638888889</v>
      </c>
      <c r="I216" s="10" t="s">
        <v>1118</v>
      </c>
      <c r="J216" s="6" t="s">
        <v>1119</v>
      </c>
      <c r="K216" s="12">
        <v>46120.654606481483</v>
      </c>
      <c r="L216" s="6" t="e" cm="1">
        <f t="array" ref="L216">LOOKUP(2^15,SEARCH(Tabela2[Palavras-Chave],Boletim4[[#This Row],[Objeto]],1),Tabela2[Palavras-Chave])</f>
        <v>#N/A</v>
      </c>
    </row>
    <row r="217" spans="1:12" ht="100.8" hidden="1" x14ac:dyDescent="0.3">
      <c r="A217" s="5">
        <v>18803310</v>
      </c>
      <c r="B217" s="6" t="s">
        <v>1120</v>
      </c>
      <c r="C217" s="6" t="s">
        <v>1121</v>
      </c>
      <c r="D217" s="8" t="s">
        <v>82</v>
      </c>
      <c r="E217" s="6" t="s">
        <v>304</v>
      </c>
      <c r="F217" s="6" t="s">
        <v>51</v>
      </c>
      <c r="G217" s="11">
        <v>46125.999305555553</v>
      </c>
      <c r="I217" s="10" t="s">
        <v>1122</v>
      </c>
      <c r="J217" s="6" t="s">
        <v>1123</v>
      </c>
      <c r="K217" s="12">
        <v>46120.659525462965</v>
      </c>
      <c r="L217" s="6" t="e" cm="1">
        <f t="array" ref="L217">LOOKUP(2^15,SEARCH(Tabela2[Palavras-Chave],Boletim4[[#This Row],[Objeto]],1),Tabela2[Palavras-Chave])</f>
        <v>#N/A</v>
      </c>
    </row>
    <row r="218" spans="1:12" ht="100.8" hidden="1" x14ac:dyDescent="0.3">
      <c r="A218" s="5">
        <v>18803291</v>
      </c>
      <c r="B218" s="6" t="s">
        <v>259</v>
      </c>
      <c r="C218" s="6" t="s">
        <v>83</v>
      </c>
      <c r="D218" s="8" t="s">
        <v>82</v>
      </c>
      <c r="E218" s="6" t="s">
        <v>1124</v>
      </c>
      <c r="F218" s="6" t="s">
        <v>51</v>
      </c>
      <c r="G218" s="11">
        <v>46126.333333333336</v>
      </c>
      <c r="I218" s="10" t="s">
        <v>1125</v>
      </c>
      <c r="J218" s="6" t="s">
        <v>1126</v>
      </c>
      <c r="K218" s="12">
        <v>46120.663969907408</v>
      </c>
      <c r="L218" s="6" t="e" cm="1">
        <f t="array" ref="L218">LOOKUP(2^15,SEARCH(Tabela2[Palavras-Chave],Boletim4[[#This Row],[Objeto]],1),Tabela2[Palavras-Chave])</f>
        <v>#N/A</v>
      </c>
    </row>
    <row r="219" spans="1:12" hidden="1" x14ac:dyDescent="0.3">
      <c r="A219" s="5">
        <v>18805080</v>
      </c>
      <c r="B219" s="6" t="s">
        <v>1127</v>
      </c>
      <c r="C219" s="6" t="s">
        <v>1128</v>
      </c>
      <c r="D219" s="8" t="s">
        <v>82</v>
      </c>
      <c r="E219" s="6" t="s">
        <v>1129</v>
      </c>
      <c r="F219" s="6" t="s">
        <v>51</v>
      </c>
      <c r="G219" s="11" t="s">
        <v>56</v>
      </c>
      <c r="I219" s="10" t="s">
        <v>1130</v>
      </c>
      <c r="J219" s="6" t="s">
        <v>169</v>
      </c>
      <c r="K219" s="12">
        <v>46120.709791666668</v>
      </c>
      <c r="L219" s="6" t="e" cm="1">
        <f t="array" ref="L219">LOOKUP(2^15,SEARCH(Tabela2[Palavras-Chave],Boletim4[[#This Row],[Objeto]],1),Tabela2[Palavras-Chave])</f>
        <v>#N/A</v>
      </c>
    </row>
    <row r="220" spans="1:12" ht="115.2" hidden="1" x14ac:dyDescent="0.3">
      <c r="A220" s="5">
        <v>18805264</v>
      </c>
      <c r="B220" s="6" t="s">
        <v>1131</v>
      </c>
      <c r="C220" s="6" t="s">
        <v>285</v>
      </c>
      <c r="D220" s="8" t="s">
        <v>82</v>
      </c>
      <c r="E220" s="6" t="s">
        <v>116</v>
      </c>
      <c r="F220" s="6" t="s">
        <v>51</v>
      </c>
      <c r="G220" s="11" t="s">
        <v>56</v>
      </c>
      <c r="I220" s="10" t="s">
        <v>1132</v>
      </c>
      <c r="J220" s="6" t="s">
        <v>1133</v>
      </c>
      <c r="K220" s="12">
        <v>46120.713159722225</v>
      </c>
      <c r="L220" s="6" t="e" cm="1">
        <f t="array" ref="L220">LOOKUP(2^15,SEARCH(Tabela2[Palavras-Chave],Boletim4[[#This Row],[Objeto]],1),Tabela2[Palavras-Chave])</f>
        <v>#N/A</v>
      </c>
    </row>
    <row r="221" spans="1:12" ht="115.2" hidden="1" x14ac:dyDescent="0.3">
      <c r="A221" s="5">
        <v>18805260</v>
      </c>
      <c r="B221" s="6" t="s">
        <v>1131</v>
      </c>
      <c r="C221" s="6" t="s">
        <v>285</v>
      </c>
      <c r="D221" s="8" t="s">
        <v>82</v>
      </c>
      <c r="E221" s="6" t="s">
        <v>116</v>
      </c>
      <c r="F221" s="6" t="s">
        <v>51</v>
      </c>
      <c r="G221" s="11" t="s">
        <v>56</v>
      </c>
      <c r="I221" s="10" t="s">
        <v>1134</v>
      </c>
      <c r="J221" s="6" t="s">
        <v>1133</v>
      </c>
      <c r="K221" s="12">
        <v>46120.713252314818</v>
      </c>
      <c r="L221" s="6" t="e" cm="1">
        <f t="array" ref="L221">LOOKUP(2^15,SEARCH(Tabela2[Palavras-Chave],Boletim4[[#This Row],[Objeto]],1),Tabela2[Palavras-Chave])</f>
        <v>#N/A</v>
      </c>
    </row>
    <row r="222" spans="1:12" ht="57.6" hidden="1" x14ac:dyDescent="0.3">
      <c r="A222" s="5">
        <v>18805254</v>
      </c>
      <c r="B222" s="6" t="s">
        <v>1131</v>
      </c>
      <c r="C222" s="6" t="s">
        <v>285</v>
      </c>
      <c r="D222" s="8" t="s">
        <v>82</v>
      </c>
      <c r="E222" s="6" t="s">
        <v>116</v>
      </c>
      <c r="F222" s="6" t="s">
        <v>51</v>
      </c>
      <c r="G222" s="11" t="s">
        <v>56</v>
      </c>
      <c r="I222" s="10" t="s">
        <v>1135</v>
      </c>
      <c r="J222" s="6" t="s">
        <v>1136</v>
      </c>
      <c r="K222" s="12">
        <v>46120.713483796295</v>
      </c>
      <c r="L222" s="6" t="e" cm="1">
        <f t="array" ref="L222">LOOKUP(2^15,SEARCH(Tabela2[Palavras-Chave],Boletim4[[#This Row],[Objeto]],1),Tabela2[Palavras-Chave])</f>
        <v>#N/A</v>
      </c>
    </row>
    <row r="223" spans="1:12" ht="28.8" hidden="1" x14ac:dyDescent="0.3">
      <c r="A223" s="5">
        <v>18795872</v>
      </c>
      <c r="B223" s="6" t="s">
        <v>449</v>
      </c>
      <c r="C223" s="6" t="s">
        <v>258</v>
      </c>
      <c r="D223" s="8" t="s">
        <v>82</v>
      </c>
      <c r="E223" s="6" t="s">
        <v>974</v>
      </c>
      <c r="F223" s="6" t="s">
        <v>51</v>
      </c>
      <c r="G223" s="11">
        <v>46126.333333333336</v>
      </c>
      <c r="I223" s="10" t="s">
        <v>1137</v>
      </c>
      <c r="J223" s="6" t="s">
        <v>90</v>
      </c>
      <c r="K223" s="12">
        <v>46120.717395833337</v>
      </c>
      <c r="L223" s="6" t="e" cm="1">
        <f t="array" ref="L223">LOOKUP(2^15,SEARCH(Tabela2[Palavras-Chave],Boletim4[[#This Row],[Objeto]],1),Tabela2[Palavras-Chave])</f>
        <v>#N/A</v>
      </c>
    </row>
    <row r="224" spans="1:12" ht="28.8" hidden="1" x14ac:dyDescent="0.3">
      <c r="A224" s="5">
        <v>18804704</v>
      </c>
      <c r="B224" s="6" t="s">
        <v>1138</v>
      </c>
      <c r="C224" s="6" t="s">
        <v>1139</v>
      </c>
      <c r="D224" s="8" t="s">
        <v>82</v>
      </c>
      <c r="E224" s="6" t="s">
        <v>1140</v>
      </c>
      <c r="F224" s="6" t="s">
        <v>51</v>
      </c>
      <c r="G224" s="11" t="s">
        <v>56</v>
      </c>
      <c r="I224" s="10" t="s">
        <v>1141</v>
      </c>
      <c r="J224" s="6" t="s">
        <v>190</v>
      </c>
      <c r="K224" s="12">
        <v>46120.730381944442</v>
      </c>
      <c r="L224" s="6" t="e" cm="1">
        <f t="array" ref="L224">LOOKUP(2^15,SEARCH(Tabela2[Palavras-Chave],Boletim4[[#This Row],[Objeto]],1),Tabela2[Palavras-Chave])</f>
        <v>#N/A</v>
      </c>
    </row>
    <row r="225" spans="1:12" ht="100.8" hidden="1" x14ac:dyDescent="0.3">
      <c r="A225" s="5">
        <v>18804494</v>
      </c>
      <c r="B225" s="6" t="s">
        <v>1142</v>
      </c>
      <c r="C225" s="6" t="s">
        <v>83</v>
      </c>
      <c r="D225" s="8" t="s">
        <v>82</v>
      </c>
      <c r="E225" s="6" t="s">
        <v>244</v>
      </c>
      <c r="F225" s="6" t="s">
        <v>51</v>
      </c>
      <c r="G225" s="11">
        <v>46128.333333333336</v>
      </c>
      <c r="I225" s="10" t="s">
        <v>1143</v>
      </c>
      <c r="J225" s="6" t="s">
        <v>1144</v>
      </c>
      <c r="K225" s="12">
        <v>46120.731226851851</v>
      </c>
      <c r="L225" s="6" t="e" cm="1">
        <f t="array" ref="L225">LOOKUP(2^15,SEARCH(Tabela2[Palavras-Chave],Boletim4[[#This Row],[Objeto]],1),Tabela2[Palavras-Chave])</f>
        <v>#N/A</v>
      </c>
    </row>
    <row r="226" spans="1:12" ht="100.8" hidden="1" x14ac:dyDescent="0.3">
      <c r="A226" s="5">
        <v>18805268</v>
      </c>
      <c r="B226" s="6" t="s">
        <v>1131</v>
      </c>
      <c r="C226" s="6" t="s">
        <v>285</v>
      </c>
      <c r="D226" s="8" t="s">
        <v>82</v>
      </c>
      <c r="E226" s="6" t="s">
        <v>116</v>
      </c>
      <c r="F226" s="6" t="s">
        <v>51</v>
      </c>
      <c r="G226" s="11" t="s">
        <v>56</v>
      </c>
      <c r="I226" s="10" t="s">
        <v>1132</v>
      </c>
      <c r="J226" s="6" t="s">
        <v>1145</v>
      </c>
      <c r="K226" s="12">
        <v>46120.732546296298</v>
      </c>
      <c r="L226" s="6" t="e" cm="1">
        <f t="array" ref="L226">LOOKUP(2^15,SEARCH(Tabela2[Palavras-Chave],Boletim4[[#This Row],[Objeto]],1),Tabela2[Palavras-Chave])</f>
        <v>#N/A</v>
      </c>
    </row>
    <row r="227" spans="1:12" ht="100.8" hidden="1" x14ac:dyDescent="0.3">
      <c r="A227" s="5">
        <v>18804481</v>
      </c>
      <c r="B227" s="6" t="s">
        <v>1146</v>
      </c>
      <c r="C227" s="6" t="s">
        <v>1147</v>
      </c>
      <c r="D227" s="8" t="s">
        <v>82</v>
      </c>
      <c r="E227" s="6" t="s">
        <v>1148</v>
      </c>
      <c r="F227" s="6" t="s">
        <v>51</v>
      </c>
      <c r="G227" s="11">
        <v>46126.333333333336</v>
      </c>
      <c r="I227" s="10" t="s">
        <v>1149</v>
      </c>
      <c r="J227" s="6" t="s">
        <v>1150</v>
      </c>
      <c r="K227" s="12">
        <v>46120.73296296296</v>
      </c>
      <c r="L227" s="6" t="e" cm="1">
        <f t="array" ref="L227">LOOKUP(2^15,SEARCH(Tabela2[Palavras-Chave],Boletim4[[#This Row],[Objeto]],1),Tabela2[Palavras-Chave])</f>
        <v>#N/A</v>
      </c>
    </row>
    <row r="228" spans="1:12" ht="100.8" hidden="1" x14ac:dyDescent="0.3">
      <c r="A228" s="5">
        <v>18804487</v>
      </c>
      <c r="B228" s="6" t="s">
        <v>1151</v>
      </c>
      <c r="C228" s="6" t="s">
        <v>1152</v>
      </c>
      <c r="D228" s="8" t="s">
        <v>82</v>
      </c>
      <c r="E228" s="6" t="s">
        <v>349</v>
      </c>
      <c r="F228" s="6" t="s">
        <v>51</v>
      </c>
      <c r="G228" s="11">
        <v>46127.333333333336</v>
      </c>
      <c r="I228" s="10" t="s">
        <v>1153</v>
      </c>
      <c r="J228" s="6" t="s">
        <v>1154</v>
      </c>
      <c r="K228" s="12">
        <v>46120.73710648148</v>
      </c>
      <c r="L228" s="6" t="e" cm="1">
        <f t="array" ref="L228">LOOKUP(2^15,SEARCH(Tabela2[Palavras-Chave],Boletim4[[#This Row],[Objeto]],1),Tabela2[Palavras-Chave])</f>
        <v>#N/A</v>
      </c>
    </row>
    <row r="229" spans="1:12" ht="28.8" hidden="1" x14ac:dyDescent="0.3">
      <c r="A229" s="5">
        <v>18802089</v>
      </c>
      <c r="B229" s="6" t="s">
        <v>218</v>
      </c>
      <c r="C229" s="6" t="s">
        <v>154</v>
      </c>
      <c r="D229" s="8" t="s">
        <v>82</v>
      </c>
      <c r="E229" s="6" t="s">
        <v>1155</v>
      </c>
      <c r="F229" s="6" t="s">
        <v>51</v>
      </c>
      <c r="G229" s="11" t="s">
        <v>56</v>
      </c>
      <c r="I229" s="10" t="s">
        <v>1156</v>
      </c>
      <c r="J229" s="6" t="s">
        <v>219</v>
      </c>
      <c r="K229" s="12">
        <v>46120.742673611108</v>
      </c>
      <c r="L229" s="6" t="e" cm="1">
        <f t="array" ref="L229">LOOKUP(2^15,SEARCH(Tabela2[Palavras-Chave],Boletim4[[#This Row],[Objeto]],1),Tabela2[Palavras-Chave])</f>
        <v>#N/A</v>
      </c>
    </row>
    <row r="230" spans="1:12" ht="259.2" hidden="1" x14ac:dyDescent="0.3">
      <c r="A230" s="5">
        <v>18805599</v>
      </c>
      <c r="B230" s="6" t="s">
        <v>1157</v>
      </c>
      <c r="C230" s="6" t="s">
        <v>1110</v>
      </c>
      <c r="D230" s="8" t="s">
        <v>82</v>
      </c>
      <c r="E230" s="6" t="s">
        <v>196</v>
      </c>
      <c r="F230" s="6" t="s">
        <v>51</v>
      </c>
      <c r="G230" s="11" t="s">
        <v>56</v>
      </c>
      <c r="I230" s="10" t="s">
        <v>1158</v>
      </c>
      <c r="J230" s="6" t="s">
        <v>1159</v>
      </c>
      <c r="K230" s="12">
        <v>46120.745625000003</v>
      </c>
      <c r="L230" s="6" t="e" cm="1">
        <f t="array" ref="L230">LOOKUP(2^15,SEARCH(Tabela2[Palavras-Chave],Boletim4[[#This Row],[Objeto]],1),Tabela2[Palavras-Chave])</f>
        <v>#N/A</v>
      </c>
    </row>
    <row r="231" spans="1:12" ht="100.8" hidden="1" x14ac:dyDescent="0.3">
      <c r="A231" s="13">
        <v>18803439</v>
      </c>
      <c r="B231" s="10" t="s">
        <v>414</v>
      </c>
      <c r="C231" s="10" t="s">
        <v>415</v>
      </c>
      <c r="D231" s="15" t="s">
        <v>82</v>
      </c>
      <c r="E231" s="10" t="s">
        <v>1124</v>
      </c>
      <c r="F231" s="10" t="s">
        <v>51</v>
      </c>
      <c r="G231" s="16">
        <v>46134.333333333336</v>
      </c>
      <c r="H231" s="24"/>
      <c r="I231" s="10" t="s">
        <v>1160</v>
      </c>
      <c r="J231" s="10" t="s">
        <v>1161</v>
      </c>
      <c r="K231" s="17">
        <v>46120.754918981482</v>
      </c>
      <c r="L231" s="6" t="e" cm="1">
        <f t="array" ref="L231">LOOKUP(2^15,SEARCH(Tabela2[Palavras-Chave],Boletim4[[#This Row],[Objeto]],1),Tabela2[Palavras-Chave])</f>
        <v>#N/A</v>
      </c>
    </row>
    <row r="232" spans="1:12" ht="43.2" x14ac:dyDescent="0.3">
      <c r="A232" s="5">
        <v>18803516</v>
      </c>
      <c r="B232" s="6" t="s">
        <v>1101</v>
      </c>
      <c r="C232" s="6" t="s">
        <v>1102</v>
      </c>
      <c r="D232" s="8" t="s">
        <v>82</v>
      </c>
      <c r="E232" s="6" t="s">
        <v>341</v>
      </c>
      <c r="F232" s="6" t="s">
        <v>51</v>
      </c>
      <c r="G232" s="11">
        <v>46125.708333333336</v>
      </c>
      <c r="H232" s="23">
        <v>2</v>
      </c>
      <c r="I232" s="10" t="s">
        <v>1162</v>
      </c>
      <c r="J232" s="6" t="s">
        <v>1163</v>
      </c>
      <c r="K232" s="12">
        <v>46120.756145833337</v>
      </c>
      <c r="L232" s="6" t="str" cm="1">
        <f t="array" ref="L232">LOOKUP(2^15,SEARCH(Tabela2[Palavras-Chave],Boletim4[[#This Row],[Objeto]],1),Tabela2[Palavras-Chave])</f>
        <v>ELEVATÓRIA</v>
      </c>
    </row>
    <row r="233" spans="1:12" ht="100.8" hidden="1" x14ac:dyDescent="0.3">
      <c r="A233" s="5">
        <v>18803294</v>
      </c>
      <c r="B233" s="6" t="s">
        <v>1120</v>
      </c>
      <c r="C233" s="6" t="s">
        <v>1121</v>
      </c>
      <c r="D233" s="8" t="s">
        <v>82</v>
      </c>
      <c r="E233" s="6" t="s">
        <v>260</v>
      </c>
      <c r="F233" s="6" t="s">
        <v>51</v>
      </c>
      <c r="G233" s="11">
        <v>46125.999305555553</v>
      </c>
      <c r="I233" s="10" t="s">
        <v>1164</v>
      </c>
      <c r="J233" s="6" t="s">
        <v>1165</v>
      </c>
      <c r="K233" s="12">
        <v>46120.759363425925</v>
      </c>
      <c r="L233" s="6" t="e" cm="1">
        <f t="array" ref="L233">LOOKUP(2^15,SEARCH(Tabela2[Palavras-Chave],Boletim4[[#This Row],[Objeto]],1),Tabela2[Palavras-Chave])</f>
        <v>#N/A</v>
      </c>
    </row>
    <row r="234" spans="1:12" ht="100.8" hidden="1" x14ac:dyDescent="0.3">
      <c r="A234" s="13">
        <v>18803306</v>
      </c>
      <c r="B234" s="10" t="s">
        <v>343</v>
      </c>
      <c r="C234" s="10" t="s">
        <v>344</v>
      </c>
      <c r="D234" s="15" t="s">
        <v>82</v>
      </c>
      <c r="E234" s="10" t="s">
        <v>1166</v>
      </c>
      <c r="F234" s="10" t="s">
        <v>51</v>
      </c>
      <c r="G234" s="16">
        <v>46125.354166666664</v>
      </c>
      <c r="H234" s="24"/>
      <c r="I234" s="10" t="s">
        <v>1167</v>
      </c>
      <c r="J234" s="10" t="s">
        <v>1168</v>
      </c>
      <c r="K234" s="17">
        <v>46120.761412037034</v>
      </c>
      <c r="L234" s="6" t="e" cm="1">
        <f t="array" ref="L234">LOOKUP(2^15,SEARCH(Tabela2[Palavras-Chave],Boletim4[[#This Row],[Objeto]],1),Tabela2[Palavras-Chave])</f>
        <v>#N/A</v>
      </c>
    </row>
    <row r="235" spans="1:12" ht="273.60000000000002" hidden="1" x14ac:dyDescent="0.3">
      <c r="A235" s="5">
        <v>18643219</v>
      </c>
      <c r="B235" s="6" t="s">
        <v>445</v>
      </c>
      <c r="C235" s="6" t="s">
        <v>446</v>
      </c>
      <c r="D235" s="8" t="s">
        <v>82</v>
      </c>
      <c r="E235" s="6" t="s">
        <v>108</v>
      </c>
      <c r="F235" s="6" t="s">
        <v>51</v>
      </c>
      <c r="G235" s="11" t="s">
        <v>56</v>
      </c>
      <c r="I235" s="10" t="s">
        <v>1169</v>
      </c>
      <c r="J235" s="6" t="s">
        <v>1170</v>
      </c>
      <c r="K235" s="12">
        <v>46120.773796296293</v>
      </c>
      <c r="L235" s="6" t="e" cm="1">
        <f t="array" ref="L235">LOOKUP(2^15,SEARCH(Tabela2[Palavras-Chave],Boletim4[[#This Row],[Objeto]],1),Tabela2[Palavras-Chave])</f>
        <v>#N/A</v>
      </c>
    </row>
    <row r="236" spans="1:12" ht="100.8" hidden="1" x14ac:dyDescent="0.3">
      <c r="A236" s="13">
        <v>18805853</v>
      </c>
      <c r="B236" s="10" t="s">
        <v>350</v>
      </c>
      <c r="C236" s="10" t="s">
        <v>83</v>
      </c>
      <c r="D236" s="15" t="s">
        <v>82</v>
      </c>
      <c r="E236" s="10" t="s">
        <v>1171</v>
      </c>
      <c r="F236" s="10" t="s">
        <v>51</v>
      </c>
      <c r="G236" s="16">
        <v>46126.333333333336</v>
      </c>
      <c r="H236" s="24"/>
      <c r="I236" s="10" t="s">
        <v>1172</v>
      </c>
      <c r="J236" s="10" t="s">
        <v>1173</v>
      </c>
      <c r="K236" s="17">
        <v>46120.785636574074</v>
      </c>
      <c r="L236" s="6" t="e" cm="1">
        <f t="array" ref="L236">LOOKUP(2^15,SEARCH(Tabela2[Palavras-Chave],Boletim4[[#This Row],[Objeto]],1),Tabela2[Palavras-Chave])</f>
        <v>#N/A</v>
      </c>
    </row>
    <row r="237" spans="1:12" ht="100.8" hidden="1" x14ac:dyDescent="0.3">
      <c r="A237" s="5">
        <v>18805951</v>
      </c>
      <c r="B237" s="6" t="s">
        <v>1174</v>
      </c>
      <c r="C237" s="6" t="s">
        <v>83</v>
      </c>
      <c r="D237" s="8" t="s">
        <v>82</v>
      </c>
      <c r="E237" s="6" t="s">
        <v>1175</v>
      </c>
      <c r="F237" s="6" t="s">
        <v>51</v>
      </c>
      <c r="G237" s="11">
        <v>46129.333333333336</v>
      </c>
      <c r="I237" s="10" t="s">
        <v>1176</v>
      </c>
      <c r="J237" s="6" t="s">
        <v>1177</v>
      </c>
      <c r="K237" s="12">
        <v>46120.785925925928</v>
      </c>
      <c r="L237" s="6" t="e" cm="1">
        <f t="array" ref="L237">LOOKUP(2^15,SEARCH(Tabela2[Palavras-Chave],Boletim4[[#This Row],[Objeto]],1),Tabela2[Palavras-Chave])</f>
        <v>#N/A</v>
      </c>
    </row>
    <row r="238" spans="1:12" ht="86.4" hidden="1" x14ac:dyDescent="0.3">
      <c r="A238" s="13">
        <v>18805882</v>
      </c>
      <c r="B238" s="10" t="s">
        <v>1178</v>
      </c>
      <c r="C238" s="10" t="s">
        <v>1179</v>
      </c>
      <c r="D238" s="15" t="s">
        <v>82</v>
      </c>
      <c r="E238" s="10" t="s">
        <v>263</v>
      </c>
      <c r="F238" s="10" t="s">
        <v>51</v>
      </c>
      <c r="G238" s="16">
        <v>46127.333333333336</v>
      </c>
      <c r="H238" s="24"/>
      <c r="I238" s="10" t="s">
        <v>1180</v>
      </c>
      <c r="J238" s="10" t="s">
        <v>1181</v>
      </c>
      <c r="K238" s="17">
        <v>46120.789976851855</v>
      </c>
      <c r="L238" s="6" t="e" cm="1">
        <f t="array" ref="L238">LOOKUP(2^15,SEARCH(Tabela2[Palavras-Chave],Boletim4[[#This Row],[Objeto]],1),Tabela2[Palavras-Chave])</f>
        <v>#N/A</v>
      </c>
    </row>
    <row r="239" spans="1:12" ht="100.8" hidden="1" x14ac:dyDescent="0.3">
      <c r="A239" s="5">
        <v>18805889</v>
      </c>
      <c r="B239" s="6" t="s">
        <v>1182</v>
      </c>
      <c r="C239" s="6" t="s">
        <v>1183</v>
      </c>
      <c r="D239" s="8" t="s">
        <v>82</v>
      </c>
      <c r="E239" s="6" t="s">
        <v>189</v>
      </c>
      <c r="F239" s="6" t="s">
        <v>51</v>
      </c>
      <c r="G239" s="11">
        <v>46126.334027777775</v>
      </c>
      <c r="I239" s="10" t="s">
        <v>1184</v>
      </c>
      <c r="J239" s="6" t="s">
        <v>1185</v>
      </c>
      <c r="K239" s="12">
        <v>46120.802662037036</v>
      </c>
      <c r="L239" s="6" t="e" cm="1">
        <f t="array" ref="L239">LOOKUP(2^15,SEARCH(Tabela2[Palavras-Chave],Boletim4[[#This Row],[Objeto]],1),Tabela2[Palavras-Chave])</f>
        <v>#N/A</v>
      </c>
    </row>
    <row r="240" spans="1:12" ht="100.8" hidden="1" x14ac:dyDescent="0.3">
      <c r="A240" s="5">
        <v>18805924</v>
      </c>
      <c r="B240" s="6" t="s">
        <v>181</v>
      </c>
      <c r="C240" s="6" t="s">
        <v>182</v>
      </c>
      <c r="D240" s="8" t="s">
        <v>82</v>
      </c>
      <c r="E240" s="6" t="s">
        <v>1186</v>
      </c>
      <c r="F240" s="6" t="s">
        <v>51</v>
      </c>
      <c r="G240" s="11">
        <v>46127.340277777781</v>
      </c>
      <c r="I240" s="10" t="s">
        <v>1187</v>
      </c>
      <c r="J240" s="6" t="s">
        <v>1188</v>
      </c>
      <c r="K240" s="12">
        <v>46120.816770833335</v>
      </c>
      <c r="L240" s="6" t="e" cm="1">
        <f t="array" ref="L240">LOOKUP(2^15,SEARCH(Tabela2[Palavras-Chave],Boletim4[[#This Row],[Objeto]],1),Tabela2[Palavras-Chave])</f>
        <v>#N/A</v>
      </c>
    </row>
    <row r="241" spans="1:12" ht="86.4" hidden="1" x14ac:dyDescent="0.3">
      <c r="A241" s="5">
        <v>18806294</v>
      </c>
      <c r="B241" s="6" t="s">
        <v>1189</v>
      </c>
      <c r="C241" s="6" t="s">
        <v>1190</v>
      </c>
      <c r="D241" s="8" t="s">
        <v>82</v>
      </c>
      <c r="E241" s="6" t="s">
        <v>246</v>
      </c>
      <c r="F241" s="6" t="s">
        <v>51</v>
      </c>
      <c r="G241" s="11">
        <v>46126.416666666664</v>
      </c>
      <c r="I241" s="10" t="s">
        <v>1191</v>
      </c>
      <c r="J241" s="6" t="s">
        <v>1192</v>
      </c>
      <c r="K241" s="12">
        <v>46120.839606481481</v>
      </c>
      <c r="L241" s="6" t="e" cm="1">
        <f t="array" ref="L241">LOOKUP(2^15,SEARCH(Tabela2[Palavras-Chave],Boletim4[[#This Row],[Objeto]],1),Tabela2[Palavras-Chave])</f>
        <v>#N/A</v>
      </c>
    </row>
    <row r="242" spans="1:12" ht="43.2" hidden="1" x14ac:dyDescent="0.3">
      <c r="A242" s="5">
        <v>18806301</v>
      </c>
      <c r="B242" s="6" t="s">
        <v>287</v>
      </c>
      <c r="C242" s="6" t="s">
        <v>288</v>
      </c>
      <c r="D242" s="8" t="s">
        <v>82</v>
      </c>
      <c r="E242" s="6" t="s">
        <v>108</v>
      </c>
      <c r="F242" s="6" t="s">
        <v>51</v>
      </c>
      <c r="G242" s="11">
        <v>46122.333333333336</v>
      </c>
      <c r="I242" s="10" t="s">
        <v>1193</v>
      </c>
      <c r="J242" s="6" t="s">
        <v>1194</v>
      </c>
      <c r="K242" s="12">
        <v>46120.841585648152</v>
      </c>
      <c r="L242" s="6" t="e" cm="1">
        <f t="array" ref="L242">LOOKUP(2^15,SEARCH(Tabela2[Palavras-Chave],Boletim4[[#This Row],[Objeto]],1),Tabela2[Palavras-Chave])</f>
        <v>#N/A</v>
      </c>
    </row>
    <row r="243" spans="1:12" ht="115.2" hidden="1" x14ac:dyDescent="0.3">
      <c r="A243" s="5">
        <v>18804098</v>
      </c>
      <c r="B243" s="6" t="s">
        <v>229</v>
      </c>
      <c r="C243" s="6" t="s">
        <v>228</v>
      </c>
      <c r="D243" s="8" t="s">
        <v>82</v>
      </c>
      <c r="E243" s="6" t="s">
        <v>1195</v>
      </c>
      <c r="F243" s="6" t="s">
        <v>51</v>
      </c>
      <c r="G243" s="11">
        <v>46125.332638888889</v>
      </c>
      <c r="I243" s="10" t="s">
        <v>1196</v>
      </c>
      <c r="J243" s="6" t="s">
        <v>1197</v>
      </c>
      <c r="K243" s="12">
        <v>46120.875671296293</v>
      </c>
      <c r="L243" s="6" t="e" cm="1">
        <f t="array" ref="L243">LOOKUP(2^15,SEARCH(Tabela2[Palavras-Chave],Boletim4[[#This Row],[Objeto]],1),Tabela2[Palavras-Chave])</f>
        <v>#N/A</v>
      </c>
    </row>
    <row r="244" spans="1:12" ht="115.2" hidden="1" x14ac:dyDescent="0.3">
      <c r="A244" s="5">
        <v>18804608</v>
      </c>
      <c r="B244" s="6" t="s">
        <v>343</v>
      </c>
      <c r="C244" s="6" t="s">
        <v>344</v>
      </c>
      <c r="D244" s="8" t="s">
        <v>82</v>
      </c>
      <c r="E244" s="6" t="s">
        <v>1198</v>
      </c>
      <c r="F244" s="6" t="s">
        <v>51</v>
      </c>
      <c r="G244" s="11">
        <v>46125.381944444445</v>
      </c>
      <c r="I244" s="10" t="s">
        <v>1199</v>
      </c>
      <c r="J244" s="6" t="s">
        <v>1200</v>
      </c>
      <c r="K244" s="12">
        <v>46120.876481481479</v>
      </c>
      <c r="L244" s="6" t="e" cm="1">
        <f t="array" ref="L244">LOOKUP(2^15,SEARCH(Tabela2[Palavras-Chave],Boletim4[[#This Row],[Objeto]],1),Tabela2[Palavras-Chave])</f>
        <v>#N/A</v>
      </c>
    </row>
    <row r="245" spans="1:12" ht="100.8" hidden="1" x14ac:dyDescent="0.3">
      <c r="A245" s="5">
        <v>18804569</v>
      </c>
      <c r="B245" s="6" t="s">
        <v>259</v>
      </c>
      <c r="C245" s="6" t="s">
        <v>83</v>
      </c>
      <c r="D245" s="8" t="s">
        <v>82</v>
      </c>
      <c r="E245" s="6" t="s">
        <v>1201</v>
      </c>
      <c r="F245" s="6" t="s">
        <v>51</v>
      </c>
      <c r="G245" s="11">
        <v>46128.333333333336</v>
      </c>
      <c r="I245" s="10" t="s">
        <v>1202</v>
      </c>
      <c r="J245" s="6" t="s">
        <v>1203</v>
      </c>
      <c r="K245" s="12">
        <v>46120.876898148148</v>
      </c>
      <c r="L245" s="6" t="e" cm="1">
        <f t="array" ref="L245">LOOKUP(2^15,SEARCH(Tabela2[Palavras-Chave],Boletim4[[#This Row],[Objeto]],1),Tabela2[Palavras-Chave])</f>
        <v>#N/A</v>
      </c>
    </row>
    <row r="246" spans="1:12" ht="100.8" hidden="1" x14ac:dyDescent="0.3">
      <c r="A246" s="5">
        <v>18804525</v>
      </c>
      <c r="B246" s="6" t="s">
        <v>1204</v>
      </c>
      <c r="C246" s="6" t="s">
        <v>83</v>
      </c>
      <c r="D246" s="8" t="s">
        <v>82</v>
      </c>
      <c r="E246" s="6" t="s">
        <v>1205</v>
      </c>
      <c r="F246" s="6" t="s">
        <v>51</v>
      </c>
      <c r="G246" s="11">
        <v>46126.333333333336</v>
      </c>
      <c r="I246" s="10" t="s">
        <v>1206</v>
      </c>
      <c r="J246" s="6" t="s">
        <v>1207</v>
      </c>
      <c r="K246" s="12">
        <v>46120.878854166665</v>
      </c>
      <c r="L246" s="6" t="e" cm="1">
        <f t="array" ref="L246">LOOKUP(2^15,SEARCH(Tabela2[Palavras-Chave],Boletim4[[#This Row],[Objeto]],1),Tabela2[Palavras-Chave])</f>
        <v>#N/A</v>
      </c>
    </row>
    <row r="247" spans="1:12" ht="59.4" customHeight="1" x14ac:dyDescent="0.3">
      <c r="A247" s="5">
        <v>18803147</v>
      </c>
      <c r="B247" s="6" t="s">
        <v>261</v>
      </c>
      <c r="C247" s="6" t="s">
        <v>262</v>
      </c>
      <c r="D247" s="8" t="s">
        <v>82</v>
      </c>
      <c r="E247" s="6" t="s">
        <v>180</v>
      </c>
      <c r="F247" s="6" t="s">
        <v>51</v>
      </c>
      <c r="G247" s="11" t="s">
        <v>56</v>
      </c>
      <c r="H247" s="25">
        <v>1</v>
      </c>
      <c r="I247" s="10" t="s">
        <v>1208</v>
      </c>
      <c r="J247" s="6" t="s">
        <v>1209</v>
      </c>
      <c r="K247" s="12">
        <v>46120.887962962966</v>
      </c>
      <c r="L247" s="6" t="str" cm="1">
        <f t="array" ref="L247">LOOKUP(2^15,SEARCH(Tabela2[Palavras-Chave],Boletim4[[#This Row],[Objeto]],1),Tabela2[Palavras-Chave])</f>
        <v>DIAGNÓSTICO</v>
      </c>
    </row>
    <row r="248" spans="1:12" ht="57.6" x14ac:dyDescent="0.3">
      <c r="A248" s="5">
        <v>18801206</v>
      </c>
      <c r="B248" s="6" t="s">
        <v>1210</v>
      </c>
      <c r="C248" s="6" t="s">
        <v>1211</v>
      </c>
      <c r="D248" s="8" t="s">
        <v>84</v>
      </c>
      <c r="E248" s="6" t="s">
        <v>125</v>
      </c>
      <c r="F248" s="6" t="s">
        <v>51</v>
      </c>
      <c r="G248" s="11">
        <v>46121.354166666664</v>
      </c>
      <c r="H248" s="23">
        <v>2</v>
      </c>
      <c r="I248" s="10" t="s">
        <v>1212</v>
      </c>
      <c r="J248" s="6" t="s">
        <v>1213</v>
      </c>
      <c r="K248" s="12">
        <v>46120.736192129632</v>
      </c>
      <c r="L248" s="6" t="str" cm="1">
        <f t="array" ref="L248">LOOKUP(2^15,SEARCH(Tabela2[Palavras-Chave],Boletim4[[#This Row],[Objeto]],1),Tabela2[Palavras-Chave])</f>
        <v>RESERVAT</v>
      </c>
    </row>
    <row r="249" spans="1:12" ht="115.2" hidden="1" x14ac:dyDescent="0.3">
      <c r="A249" s="5">
        <v>18790976</v>
      </c>
      <c r="B249" s="6" t="s">
        <v>1214</v>
      </c>
      <c r="C249" s="6" t="s">
        <v>1215</v>
      </c>
      <c r="D249" s="8" t="s">
        <v>72</v>
      </c>
      <c r="E249" s="6" t="s">
        <v>126</v>
      </c>
      <c r="F249" s="6" t="s">
        <v>85</v>
      </c>
      <c r="G249" s="11">
        <v>46129.375</v>
      </c>
      <c r="I249" s="10" t="s">
        <v>1216</v>
      </c>
      <c r="J249" s="6" t="s">
        <v>1217</v>
      </c>
      <c r="K249" s="12">
        <v>46120.618379629632</v>
      </c>
      <c r="L249" s="6" t="e" cm="1">
        <f t="array" ref="L249">LOOKUP(2^15,SEARCH(Tabela2[Palavras-Chave],Boletim4[[#This Row],[Objeto]],1),Tabela2[Palavras-Chave])</f>
        <v>#N/A</v>
      </c>
    </row>
    <row r="250" spans="1:12" ht="72" hidden="1" x14ac:dyDescent="0.3">
      <c r="A250" s="5">
        <v>18800794</v>
      </c>
      <c r="B250" s="6" t="s">
        <v>1218</v>
      </c>
      <c r="C250" s="6" t="s">
        <v>1219</v>
      </c>
      <c r="D250" s="8" t="s">
        <v>86</v>
      </c>
      <c r="E250" s="6" t="s">
        <v>274</v>
      </c>
      <c r="F250" s="6" t="s">
        <v>85</v>
      </c>
      <c r="G250" s="11">
        <v>46136.416666666664</v>
      </c>
      <c r="I250" s="10" t="s">
        <v>1220</v>
      </c>
      <c r="J250" s="6" t="s">
        <v>1221</v>
      </c>
      <c r="K250" s="12">
        <v>46120.596574074072</v>
      </c>
      <c r="L250" s="6" t="e" cm="1">
        <f t="array" ref="L250">LOOKUP(2^15,SEARCH(Tabela2[Palavras-Chave],Boletim4[[#This Row],[Objeto]],1),Tabela2[Palavras-Chave])</f>
        <v>#N/A</v>
      </c>
    </row>
    <row r="251" spans="1:12" ht="244.8" hidden="1" x14ac:dyDescent="0.3">
      <c r="A251" s="5">
        <v>18803861</v>
      </c>
      <c r="B251" s="6" t="s">
        <v>1218</v>
      </c>
      <c r="C251" s="6" t="s">
        <v>1219</v>
      </c>
      <c r="D251" s="8" t="s">
        <v>86</v>
      </c>
      <c r="E251" s="6" t="s">
        <v>1222</v>
      </c>
      <c r="F251" s="6" t="s">
        <v>85</v>
      </c>
      <c r="G251" s="11" t="s">
        <v>56</v>
      </c>
      <c r="I251" s="10" t="s">
        <v>1223</v>
      </c>
      <c r="J251" s="6" t="s">
        <v>1224</v>
      </c>
      <c r="K251" s="12">
        <v>46120.605104166665</v>
      </c>
      <c r="L251" s="6" t="e" cm="1">
        <f t="array" ref="L251">LOOKUP(2^15,SEARCH(Tabela2[Palavras-Chave],Boletim4[[#This Row],[Objeto]],1),Tabela2[Palavras-Chave])</f>
        <v>#N/A</v>
      </c>
    </row>
    <row r="252" spans="1:12" ht="100.8" hidden="1" x14ac:dyDescent="0.3">
      <c r="A252" s="5">
        <v>18787659</v>
      </c>
      <c r="B252" s="6" t="s">
        <v>1225</v>
      </c>
      <c r="C252" s="6" t="s">
        <v>1226</v>
      </c>
      <c r="D252" s="8" t="s">
        <v>86</v>
      </c>
      <c r="E252" s="6" t="s">
        <v>135</v>
      </c>
      <c r="F252" s="6" t="s">
        <v>85</v>
      </c>
      <c r="G252" s="11">
        <v>46129.375</v>
      </c>
      <c r="I252" s="10" t="s">
        <v>1227</v>
      </c>
      <c r="J252" s="6" t="s">
        <v>1228</v>
      </c>
      <c r="K252" s="12">
        <v>46120.862858796296</v>
      </c>
      <c r="L252" s="6" t="e" cm="1">
        <f t="array" ref="L252">LOOKUP(2^15,SEARCH(Tabela2[Palavras-Chave],Boletim4[[#This Row],[Objeto]],1),Tabela2[Palavras-Chave])</f>
        <v>#N/A</v>
      </c>
    </row>
    <row r="253" spans="1:12" ht="72" hidden="1" x14ac:dyDescent="0.3">
      <c r="A253" s="5">
        <v>18802251</v>
      </c>
      <c r="B253" s="6" t="s">
        <v>74</v>
      </c>
      <c r="C253" s="6" t="s">
        <v>52</v>
      </c>
      <c r="D253" s="8" t="s">
        <v>50</v>
      </c>
      <c r="E253" s="6" t="s">
        <v>1229</v>
      </c>
      <c r="F253" s="6" t="s">
        <v>85</v>
      </c>
      <c r="G253" s="11" t="s">
        <v>56</v>
      </c>
      <c r="I253" s="10" t="s">
        <v>1230</v>
      </c>
      <c r="J253" s="6" t="s">
        <v>1231</v>
      </c>
      <c r="K253" s="12">
        <v>46120.503530092596</v>
      </c>
      <c r="L253" s="6" t="e" cm="1">
        <f t="array" ref="L253">LOOKUP(2^15,SEARCH(Tabela2[Palavras-Chave],Boletim4[[#This Row],[Objeto]],1),Tabela2[Palavras-Chave])</f>
        <v>#N/A</v>
      </c>
    </row>
    <row r="254" spans="1:12" ht="72" hidden="1" x14ac:dyDescent="0.3">
      <c r="A254" s="5">
        <v>18802237</v>
      </c>
      <c r="B254" s="6" t="s">
        <v>74</v>
      </c>
      <c r="C254" s="6" t="s">
        <v>52</v>
      </c>
      <c r="D254" s="8" t="s">
        <v>50</v>
      </c>
      <c r="E254" s="6" t="s">
        <v>1232</v>
      </c>
      <c r="F254" s="6" t="s">
        <v>85</v>
      </c>
      <c r="G254" s="11" t="s">
        <v>56</v>
      </c>
      <c r="I254" s="10" t="s">
        <v>1233</v>
      </c>
      <c r="J254" s="6" t="s">
        <v>1234</v>
      </c>
      <c r="K254" s="12">
        <v>46120.529895833337</v>
      </c>
      <c r="L254" s="6" t="e" cm="1">
        <f t="array" ref="L254">LOOKUP(2^15,SEARCH(Tabela2[Palavras-Chave],Boletim4[[#This Row],[Objeto]],1),Tabela2[Palavras-Chave])</f>
        <v>#N/A</v>
      </c>
    </row>
    <row r="255" spans="1:12" ht="86.4" hidden="1" x14ac:dyDescent="0.3">
      <c r="A255" s="5">
        <v>18806048</v>
      </c>
      <c r="B255" s="6" t="s">
        <v>1235</v>
      </c>
      <c r="C255" s="6" t="s">
        <v>52</v>
      </c>
      <c r="D255" s="8" t="s">
        <v>50</v>
      </c>
      <c r="E255" s="6" t="s">
        <v>1236</v>
      </c>
      <c r="F255" s="6" t="s">
        <v>85</v>
      </c>
      <c r="G255" s="11" t="s">
        <v>56</v>
      </c>
      <c r="I255" s="10" t="s">
        <v>1237</v>
      </c>
      <c r="J255" s="6" t="s">
        <v>1238</v>
      </c>
      <c r="K255" s="12">
        <v>46120.817407407405</v>
      </c>
      <c r="L255" s="6" t="e" cm="1">
        <f t="array" ref="L255">LOOKUP(2^15,SEARCH(Tabela2[Palavras-Chave],Boletim4[[#This Row],[Objeto]],1),Tabela2[Palavras-Chave])</f>
        <v>#N/A</v>
      </c>
    </row>
    <row r="256" spans="1:12" ht="187.2" hidden="1" x14ac:dyDescent="0.3">
      <c r="A256" s="5">
        <v>18798178</v>
      </c>
      <c r="B256" s="6" t="s">
        <v>1239</v>
      </c>
      <c r="C256" s="6" t="s">
        <v>53</v>
      </c>
      <c r="D256" s="8" t="s">
        <v>54</v>
      </c>
      <c r="E256" s="6" t="s">
        <v>115</v>
      </c>
      <c r="F256" s="6" t="s">
        <v>85</v>
      </c>
      <c r="G256" s="11">
        <v>46136.416666666664</v>
      </c>
      <c r="I256" s="10" t="s">
        <v>1240</v>
      </c>
      <c r="J256" s="6" t="s">
        <v>1241</v>
      </c>
      <c r="K256" s="12">
        <v>46120.389618055553</v>
      </c>
      <c r="L256" s="6" t="e" cm="1">
        <f t="array" ref="L256">LOOKUP(2^15,SEARCH(Tabela2[Palavras-Chave],Boletim4[[#This Row],[Objeto]],1),Tabela2[Palavras-Chave])</f>
        <v>#N/A</v>
      </c>
    </row>
    <row r="257" spans="1:12" ht="158.4" hidden="1" x14ac:dyDescent="0.3">
      <c r="A257" s="5">
        <v>18799579</v>
      </c>
      <c r="B257" s="6" t="s">
        <v>1242</v>
      </c>
      <c r="C257" s="6" t="s">
        <v>1243</v>
      </c>
      <c r="D257" s="8" t="s">
        <v>54</v>
      </c>
      <c r="E257" s="6" t="s">
        <v>223</v>
      </c>
      <c r="F257" s="6" t="s">
        <v>85</v>
      </c>
      <c r="G257" s="11">
        <v>46142.416666666664</v>
      </c>
      <c r="I257" s="10" t="s">
        <v>1244</v>
      </c>
      <c r="J257" s="6" t="s">
        <v>1245</v>
      </c>
      <c r="K257" s="12">
        <v>46120.389618055553</v>
      </c>
      <c r="L257" s="6" t="e" cm="1">
        <f t="array" ref="L257">LOOKUP(2^15,SEARCH(Tabela2[Palavras-Chave],Boletim4[[#This Row],[Objeto]],1),Tabela2[Palavras-Chave])</f>
        <v>#N/A</v>
      </c>
    </row>
    <row r="258" spans="1:12" ht="158.4" hidden="1" x14ac:dyDescent="0.3">
      <c r="A258" s="5">
        <v>18799858</v>
      </c>
      <c r="B258" s="6" t="s">
        <v>1242</v>
      </c>
      <c r="C258" s="6" t="s">
        <v>1243</v>
      </c>
      <c r="D258" s="8" t="s">
        <v>54</v>
      </c>
      <c r="E258" s="6" t="s">
        <v>381</v>
      </c>
      <c r="F258" s="6" t="s">
        <v>85</v>
      </c>
      <c r="G258" s="11">
        <v>46135.416666666664</v>
      </c>
      <c r="I258" s="10" t="s">
        <v>1246</v>
      </c>
      <c r="J258" s="6" t="s">
        <v>1247</v>
      </c>
      <c r="K258" s="12">
        <v>46120.38962962963</v>
      </c>
      <c r="L258" s="6" t="e" cm="1">
        <f t="array" ref="L258">LOOKUP(2^15,SEARCH(Tabela2[Palavras-Chave],Boletim4[[#This Row],[Objeto]],1),Tabela2[Palavras-Chave])</f>
        <v>#N/A</v>
      </c>
    </row>
    <row r="259" spans="1:12" ht="86.4" hidden="1" x14ac:dyDescent="0.3">
      <c r="A259" s="5">
        <v>18798425</v>
      </c>
      <c r="B259" s="6" t="s">
        <v>1248</v>
      </c>
      <c r="C259" s="6" t="s">
        <v>1249</v>
      </c>
      <c r="D259" s="8" t="s">
        <v>54</v>
      </c>
      <c r="E259" s="6" t="s">
        <v>120</v>
      </c>
      <c r="F259" s="6" t="s">
        <v>85</v>
      </c>
      <c r="G259" s="11" t="s">
        <v>56</v>
      </c>
      <c r="I259" s="10" t="s">
        <v>1250</v>
      </c>
      <c r="J259" s="6" t="s">
        <v>1251</v>
      </c>
      <c r="K259" s="12">
        <v>46120.38962962963</v>
      </c>
      <c r="L259" s="6" t="e" cm="1">
        <f t="array" ref="L259">LOOKUP(2^15,SEARCH(Tabela2[Palavras-Chave],Boletim4[[#This Row],[Objeto]],1),Tabela2[Palavras-Chave])</f>
        <v>#N/A</v>
      </c>
    </row>
    <row r="260" spans="1:12" ht="144" hidden="1" x14ac:dyDescent="0.3">
      <c r="A260" s="13">
        <v>18793681</v>
      </c>
      <c r="B260" s="10" t="s">
        <v>1252</v>
      </c>
      <c r="C260" s="10" t="s">
        <v>53</v>
      </c>
      <c r="D260" s="15" t="s">
        <v>54</v>
      </c>
      <c r="E260" s="10" t="s">
        <v>124</v>
      </c>
      <c r="F260" s="10" t="s">
        <v>85</v>
      </c>
      <c r="G260" s="16">
        <v>46128.4375</v>
      </c>
      <c r="H260" s="24"/>
      <c r="I260" s="10" t="s">
        <v>1253</v>
      </c>
      <c r="J260" s="10" t="s">
        <v>1254</v>
      </c>
      <c r="K260" s="17">
        <v>46120.469456018516</v>
      </c>
      <c r="L260" s="6" t="e" cm="1">
        <f t="array" ref="L260">LOOKUP(2^15,SEARCH(Tabela2[Palavras-Chave],Boletim4[[#This Row],[Objeto]],1),Tabela2[Palavras-Chave])</f>
        <v>#N/A</v>
      </c>
    </row>
    <row r="261" spans="1:12" ht="273.60000000000002" x14ac:dyDescent="0.3">
      <c r="A261" s="5">
        <v>18802450</v>
      </c>
      <c r="B261" s="6" t="s">
        <v>1255</v>
      </c>
      <c r="C261" s="6" t="s">
        <v>53</v>
      </c>
      <c r="D261" s="8" t="s">
        <v>54</v>
      </c>
      <c r="E261" s="6" t="s">
        <v>107</v>
      </c>
      <c r="F261" s="6" t="s">
        <v>85</v>
      </c>
      <c r="G261" s="11">
        <v>46139.416666666664</v>
      </c>
      <c r="H261" s="23">
        <v>2</v>
      </c>
      <c r="I261" s="10" t="s">
        <v>1256</v>
      </c>
      <c r="J261" s="6" t="s">
        <v>1257</v>
      </c>
      <c r="K261" s="12">
        <v>46120.50037037037</v>
      </c>
      <c r="L261" s="6" t="str" cm="1">
        <f t="array" ref="L261">LOOKUP(2^15,SEARCH(Tabela2[Palavras-Chave],Boletim4[[#This Row],[Objeto]],1),Tabela2[Palavras-Chave])</f>
        <v>TANQUE</v>
      </c>
    </row>
    <row r="262" spans="1:12" ht="86.4" hidden="1" x14ac:dyDescent="0.3">
      <c r="A262" s="5">
        <v>18801432</v>
      </c>
      <c r="B262" s="6" t="s">
        <v>1258</v>
      </c>
      <c r="C262" s="6" t="s">
        <v>53</v>
      </c>
      <c r="D262" s="8" t="s">
        <v>54</v>
      </c>
      <c r="E262" s="6" t="s">
        <v>1259</v>
      </c>
      <c r="F262" s="6" t="s">
        <v>85</v>
      </c>
      <c r="G262" s="11" t="s">
        <v>56</v>
      </c>
      <c r="I262" s="10" t="s">
        <v>1260</v>
      </c>
      <c r="J262" s="6" t="s">
        <v>1261</v>
      </c>
      <c r="K262" s="12">
        <v>46120.522407407407</v>
      </c>
      <c r="L262" s="6" t="e" cm="1">
        <f t="array" ref="L262">LOOKUP(2^15,SEARCH(Tabela2[Palavras-Chave],Boletim4[[#This Row],[Objeto]],1),Tabela2[Palavras-Chave])</f>
        <v>#N/A</v>
      </c>
    </row>
    <row r="263" spans="1:12" ht="115.2" hidden="1" x14ac:dyDescent="0.3">
      <c r="A263" s="13">
        <v>18802546</v>
      </c>
      <c r="B263" s="10" t="s">
        <v>1262</v>
      </c>
      <c r="C263" s="10" t="s">
        <v>1263</v>
      </c>
      <c r="D263" s="15" t="s">
        <v>54</v>
      </c>
      <c r="E263" s="10" t="s">
        <v>176</v>
      </c>
      <c r="F263" s="10" t="s">
        <v>85</v>
      </c>
      <c r="G263" s="16" t="s">
        <v>56</v>
      </c>
      <c r="H263" s="24"/>
      <c r="I263" s="10" t="s">
        <v>1264</v>
      </c>
      <c r="J263" s="10" t="s">
        <v>1265</v>
      </c>
      <c r="K263" s="17">
        <v>46120.52511574074</v>
      </c>
      <c r="L263" s="6" t="e" cm="1">
        <f t="array" ref="L263">LOOKUP(2^15,SEARCH(Tabela2[Palavras-Chave],Boletim4[[#This Row],[Objeto]],1),Tabela2[Palavras-Chave])</f>
        <v>#N/A</v>
      </c>
    </row>
    <row r="264" spans="1:12" ht="129.6" hidden="1" x14ac:dyDescent="0.3">
      <c r="A264" s="5">
        <v>18802550</v>
      </c>
      <c r="B264" s="6" t="s">
        <v>1266</v>
      </c>
      <c r="C264" s="6" t="s">
        <v>53</v>
      </c>
      <c r="D264" s="8" t="s">
        <v>54</v>
      </c>
      <c r="E264" s="6" t="s">
        <v>1267</v>
      </c>
      <c r="F264" s="6" t="s">
        <v>85</v>
      </c>
      <c r="G264" s="11" t="s">
        <v>56</v>
      </c>
      <c r="I264" s="10" t="s">
        <v>1268</v>
      </c>
      <c r="J264" s="6" t="s">
        <v>1269</v>
      </c>
      <c r="K264" s="12">
        <v>46120.525520833333</v>
      </c>
      <c r="L264" s="6" t="e" cm="1">
        <f t="array" ref="L264">LOOKUP(2^15,SEARCH(Tabela2[Palavras-Chave],Boletim4[[#This Row],[Objeto]],1),Tabela2[Palavras-Chave])</f>
        <v>#N/A</v>
      </c>
    </row>
    <row r="265" spans="1:12" ht="115.2" hidden="1" x14ac:dyDescent="0.3">
      <c r="A265" s="5">
        <v>18802563</v>
      </c>
      <c r="B265" s="6" t="s">
        <v>1270</v>
      </c>
      <c r="C265" s="6" t="s">
        <v>1271</v>
      </c>
      <c r="D265" s="8" t="s">
        <v>54</v>
      </c>
      <c r="E265" s="6" t="s">
        <v>176</v>
      </c>
      <c r="F265" s="6" t="s">
        <v>85</v>
      </c>
      <c r="G265" s="11" t="s">
        <v>56</v>
      </c>
      <c r="I265" s="10" t="s">
        <v>1272</v>
      </c>
      <c r="J265" s="6" t="s">
        <v>1273</v>
      </c>
      <c r="K265" s="12">
        <v>46120.525833333333</v>
      </c>
      <c r="L265" s="6" t="e" cm="1">
        <f t="array" ref="L265">LOOKUP(2^15,SEARCH(Tabela2[Palavras-Chave],Boletim4[[#This Row],[Objeto]],1),Tabela2[Palavras-Chave])</f>
        <v>#N/A</v>
      </c>
    </row>
    <row r="266" spans="1:12" ht="144" hidden="1" x14ac:dyDescent="0.3">
      <c r="A266" s="13">
        <v>18802511</v>
      </c>
      <c r="B266" s="10" t="s">
        <v>163</v>
      </c>
      <c r="C266" s="10" t="s">
        <v>53</v>
      </c>
      <c r="D266" s="15" t="s">
        <v>54</v>
      </c>
      <c r="E266" s="10" t="s">
        <v>388</v>
      </c>
      <c r="F266" s="10" t="s">
        <v>85</v>
      </c>
      <c r="G266" s="16" t="s">
        <v>56</v>
      </c>
      <c r="H266" s="24"/>
      <c r="I266" s="10" t="s">
        <v>1274</v>
      </c>
      <c r="J266" s="10" t="s">
        <v>1275</v>
      </c>
      <c r="K266" s="17">
        <v>46120.666018518517</v>
      </c>
      <c r="L266" s="6" t="e" cm="1">
        <f t="array" ref="L266">LOOKUP(2^15,SEARCH(Tabela2[Palavras-Chave],Boletim4[[#This Row],[Objeto]],1),Tabela2[Palavras-Chave])</f>
        <v>#N/A</v>
      </c>
    </row>
    <row r="267" spans="1:12" ht="187.2" hidden="1" x14ac:dyDescent="0.3">
      <c r="A267" s="5">
        <v>18802509</v>
      </c>
      <c r="B267" s="6" t="s">
        <v>163</v>
      </c>
      <c r="C267" s="6" t="s">
        <v>53</v>
      </c>
      <c r="D267" s="8" t="s">
        <v>54</v>
      </c>
      <c r="E267" s="6" t="s">
        <v>1276</v>
      </c>
      <c r="F267" s="6" t="s">
        <v>85</v>
      </c>
      <c r="G267" s="11" t="s">
        <v>56</v>
      </c>
      <c r="I267" s="10" t="s">
        <v>1277</v>
      </c>
      <c r="J267" s="6" t="s">
        <v>1278</v>
      </c>
      <c r="K267" s="12">
        <v>46120.66673611111</v>
      </c>
      <c r="L267" s="6" t="e" cm="1">
        <f t="array" ref="L267">LOOKUP(2^15,SEARCH(Tabela2[Palavras-Chave],Boletim4[[#This Row],[Objeto]],1),Tabela2[Palavras-Chave])</f>
        <v>#N/A</v>
      </c>
    </row>
    <row r="268" spans="1:12" ht="115.2" hidden="1" x14ac:dyDescent="0.3">
      <c r="A268" s="5">
        <v>18802564</v>
      </c>
      <c r="B268" s="6" t="s">
        <v>1279</v>
      </c>
      <c r="C268" s="6" t="s">
        <v>1280</v>
      </c>
      <c r="D268" s="8" t="s">
        <v>54</v>
      </c>
      <c r="E268" s="6" t="s">
        <v>268</v>
      </c>
      <c r="F268" s="6" t="s">
        <v>85</v>
      </c>
      <c r="G268" s="11" t="s">
        <v>56</v>
      </c>
      <c r="I268" s="10" t="s">
        <v>1281</v>
      </c>
      <c r="J268" s="6" t="s">
        <v>1282</v>
      </c>
      <c r="K268" s="12">
        <v>46120.556180555555</v>
      </c>
      <c r="L268" s="6" t="e" cm="1">
        <f t="array" ref="L268">LOOKUP(2^15,SEARCH(Tabela2[Palavras-Chave],Boletim4[[#This Row],[Objeto]],1),Tabela2[Palavras-Chave])</f>
        <v>#N/A</v>
      </c>
    </row>
    <row r="269" spans="1:12" ht="129.6" hidden="1" x14ac:dyDescent="0.3">
      <c r="A269" s="5">
        <v>18802565</v>
      </c>
      <c r="B269" s="6" t="s">
        <v>1283</v>
      </c>
      <c r="C269" s="6" t="s">
        <v>53</v>
      </c>
      <c r="D269" s="8" t="s">
        <v>54</v>
      </c>
      <c r="E269" s="6" t="s">
        <v>1284</v>
      </c>
      <c r="F269" s="6" t="s">
        <v>85</v>
      </c>
      <c r="G269" s="11" t="s">
        <v>56</v>
      </c>
      <c r="I269" s="10" t="s">
        <v>1285</v>
      </c>
      <c r="J269" s="6" t="s">
        <v>1286</v>
      </c>
      <c r="K269" s="12">
        <v>46120.567754629628</v>
      </c>
      <c r="L269" s="6" t="e" cm="1">
        <f t="array" ref="L269">LOOKUP(2^15,SEARCH(Tabela2[Palavras-Chave],Boletim4[[#This Row],[Objeto]],1),Tabela2[Palavras-Chave])</f>
        <v>#N/A</v>
      </c>
    </row>
    <row r="270" spans="1:12" ht="86.4" hidden="1" x14ac:dyDescent="0.3">
      <c r="A270" s="5">
        <v>18801878</v>
      </c>
      <c r="B270" s="6" t="s">
        <v>1287</v>
      </c>
      <c r="C270" s="6" t="s">
        <v>1288</v>
      </c>
      <c r="D270" s="8" t="s">
        <v>54</v>
      </c>
      <c r="E270" s="6" t="s">
        <v>1289</v>
      </c>
      <c r="F270" s="6" t="s">
        <v>85</v>
      </c>
      <c r="G270" s="11">
        <v>46161</v>
      </c>
      <c r="I270" s="10" t="s">
        <v>1290</v>
      </c>
      <c r="J270" s="6" t="s">
        <v>1291</v>
      </c>
      <c r="K270" s="12">
        <v>46120.569363425922</v>
      </c>
      <c r="L270" s="6" t="e" cm="1">
        <f t="array" ref="L270">LOOKUP(2^15,SEARCH(Tabela2[Palavras-Chave],Boletim4[[#This Row],[Objeto]],1),Tabela2[Palavras-Chave])</f>
        <v>#N/A</v>
      </c>
    </row>
    <row r="271" spans="1:12" ht="259.2" hidden="1" x14ac:dyDescent="0.3">
      <c r="A271" s="5">
        <v>18801609</v>
      </c>
      <c r="B271" s="6" t="s">
        <v>1292</v>
      </c>
      <c r="C271" s="6" t="s">
        <v>1293</v>
      </c>
      <c r="D271" s="8" t="s">
        <v>54</v>
      </c>
      <c r="E271" s="6" t="s">
        <v>124</v>
      </c>
      <c r="F271" s="6" t="s">
        <v>85</v>
      </c>
      <c r="G271" s="11" t="s">
        <v>56</v>
      </c>
      <c r="I271" s="10" t="s">
        <v>1294</v>
      </c>
      <c r="J271" s="6" t="s">
        <v>1295</v>
      </c>
      <c r="K271" s="12">
        <v>46120.623229166667</v>
      </c>
      <c r="L271" s="6" t="e" cm="1">
        <f t="array" ref="L271">LOOKUP(2^15,SEARCH(Tabela2[Palavras-Chave],Boletim4[[#This Row],[Objeto]],1),Tabela2[Palavras-Chave])</f>
        <v>#N/A</v>
      </c>
    </row>
    <row r="272" spans="1:12" ht="244.8" hidden="1" x14ac:dyDescent="0.3">
      <c r="A272" s="13">
        <v>18803816</v>
      </c>
      <c r="B272" s="10" t="s">
        <v>1296</v>
      </c>
      <c r="C272" s="10" t="s">
        <v>1297</v>
      </c>
      <c r="D272" s="15" t="s">
        <v>54</v>
      </c>
      <c r="E272" s="10" t="s">
        <v>117</v>
      </c>
      <c r="F272" s="10" t="s">
        <v>85</v>
      </c>
      <c r="G272" s="16" t="s">
        <v>56</v>
      </c>
      <c r="H272" s="24"/>
      <c r="I272" s="10" t="s">
        <v>1298</v>
      </c>
      <c r="J272" s="10" t="s">
        <v>1299</v>
      </c>
      <c r="K272" s="17">
        <v>46120.635567129626</v>
      </c>
      <c r="L272" s="6" t="e" cm="1">
        <f t="array" ref="L272">LOOKUP(2^15,SEARCH(Tabela2[Palavras-Chave],Boletim4[[#This Row],[Objeto]],1),Tabela2[Palavras-Chave])</f>
        <v>#N/A</v>
      </c>
    </row>
    <row r="273" spans="1:12" ht="259.2" hidden="1" x14ac:dyDescent="0.3">
      <c r="A273" s="5">
        <v>18803938</v>
      </c>
      <c r="B273" s="6" t="s">
        <v>1300</v>
      </c>
      <c r="C273" s="6" t="s">
        <v>1301</v>
      </c>
      <c r="D273" s="8" t="s">
        <v>54</v>
      </c>
      <c r="E273" s="6" t="s">
        <v>122</v>
      </c>
      <c r="F273" s="6" t="s">
        <v>85</v>
      </c>
      <c r="G273" s="11" t="s">
        <v>56</v>
      </c>
      <c r="I273" s="10" t="s">
        <v>1302</v>
      </c>
      <c r="J273" s="6" t="s">
        <v>1303</v>
      </c>
      <c r="K273" s="12">
        <v>46120.640625</v>
      </c>
      <c r="L273" s="6" t="e" cm="1">
        <f t="array" ref="L273">LOOKUP(2^15,SEARCH(Tabela2[Palavras-Chave],Boletim4[[#This Row],[Objeto]],1),Tabela2[Palavras-Chave])</f>
        <v>#N/A</v>
      </c>
    </row>
    <row r="274" spans="1:12" ht="244.8" hidden="1" x14ac:dyDescent="0.3">
      <c r="A274" s="5">
        <v>18803496</v>
      </c>
      <c r="B274" s="6" t="s">
        <v>1304</v>
      </c>
      <c r="C274" s="6" t="s">
        <v>1305</v>
      </c>
      <c r="D274" s="8" t="s">
        <v>54</v>
      </c>
      <c r="E274" s="6" t="s">
        <v>122</v>
      </c>
      <c r="F274" s="6" t="s">
        <v>85</v>
      </c>
      <c r="G274" s="11" t="s">
        <v>56</v>
      </c>
      <c r="I274" s="10" t="s">
        <v>1306</v>
      </c>
      <c r="J274" s="6" t="s">
        <v>1307</v>
      </c>
      <c r="K274" s="12">
        <v>46120.662222222221</v>
      </c>
      <c r="L274" s="6" t="e" cm="1">
        <f t="array" ref="L274">LOOKUP(2^15,SEARCH(Tabela2[Palavras-Chave],Boletim4[[#This Row],[Objeto]],1),Tabela2[Palavras-Chave])</f>
        <v>#N/A</v>
      </c>
    </row>
    <row r="275" spans="1:12" ht="187.2" hidden="1" x14ac:dyDescent="0.3">
      <c r="A275" s="13">
        <v>18802505</v>
      </c>
      <c r="B275" s="10" t="s">
        <v>163</v>
      </c>
      <c r="C275" s="10" t="s">
        <v>53</v>
      </c>
      <c r="D275" s="15" t="s">
        <v>54</v>
      </c>
      <c r="E275" s="10" t="s">
        <v>1308</v>
      </c>
      <c r="F275" s="10" t="s">
        <v>85</v>
      </c>
      <c r="G275" s="16" t="s">
        <v>56</v>
      </c>
      <c r="H275" s="24"/>
      <c r="I275" s="10" t="s">
        <v>1309</v>
      </c>
      <c r="J275" s="10" t="s">
        <v>1310</v>
      </c>
      <c r="K275" s="17">
        <v>46120.666018518517</v>
      </c>
      <c r="L275" s="6" t="e" cm="1">
        <f t="array" ref="L275">LOOKUP(2^15,SEARCH(Tabela2[Palavras-Chave],Boletim4[[#This Row],[Objeto]],1),Tabela2[Palavras-Chave])</f>
        <v>#N/A</v>
      </c>
    </row>
    <row r="276" spans="1:12" ht="187.2" hidden="1" x14ac:dyDescent="0.3">
      <c r="A276" s="5">
        <v>18802512</v>
      </c>
      <c r="B276" s="6" t="s">
        <v>163</v>
      </c>
      <c r="C276" s="6" t="s">
        <v>53</v>
      </c>
      <c r="D276" s="8" t="s">
        <v>54</v>
      </c>
      <c r="E276" s="6" t="s">
        <v>1311</v>
      </c>
      <c r="F276" s="6" t="s">
        <v>85</v>
      </c>
      <c r="G276" s="11">
        <v>46146.583333333336</v>
      </c>
      <c r="I276" s="10" t="s">
        <v>1312</v>
      </c>
      <c r="J276" s="6" t="s">
        <v>1313</v>
      </c>
      <c r="K276" s="12">
        <v>46120.671956018516</v>
      </c>
      <c r="L276" s="6" t="e" cm="1">
        <f t="array" ref="L276">LOOKUP(2^15,SEARCH(Tabela2[Palavras-Chave],Boletim4[[#This Row],[Objeto]],1),Tabela2[Palavras-Chave])</f>
        <v>#N/A</v>
      </c>
    </row>
    <row r="277" spans="1:12" ht="28.8" hidden="1" x14ac:dyDescent="0.3">
      <c r="A277" s="5">
        <v>18804174</v>
      </c>
      <c r="B277" s="6" t="s">
        <v>1314</v>
      </c>
      <c r="C277" s="6" t="s">
        <v>1315</v>
      </c>
      <c r="D277" s="8" t="s">
        <v>54</v>
      </c>
      <c r="E277" s="6" t="s">
        <v>121</v>
      </c>
      <c r="F277" s="6" t="s">
        <v>85</v>
      </c>
      <c r="G277" s="11">
        <v>46132.354166666664</v>
      </c>
      <c r="I277" s="10" t="s">
        <v>1316</v>
      </c>
      <c r="J277" s="6" t="s">
        <v>1317</v>
      </c>
      <c r="K277" s="12">
        <v>46120.722280092596</v>
      </c>
      <c r="L277" s="6" t="e" cm="1">
        <f t="array" ref="L277">LOOKUP(2^15,SEARCH(Tabela2[Palavras-Chave],Boletim4[[#This Row],[Objeto]],1),Tabela2[Palavras-Chave])</f>
        <v>#N/A</v>
      </c>
    </row>
    <row r="278" spans="1:12" ht="43.2" x14ac:dyDescent="0.3">
      <c r="A278" s="5">
        <v>18804960</v>
      </c>
      <c r="B278" s="6" t="s">
        <v>293</v>
      </c>
      <c r="C278" s="6" t="s">
        <v>53</v>
      </c>
      <c r="D278" s="8" t="s">
        <v>54</v>
      </c>
      <c r="E278" s="6" t="s">
        <v>456</v>
      </c>
      <c r="F278" s="6" t="s">
        <v>85</v>
      </c>
      <c r="G278" s="11" t="s">
        <v>56</v>
      </c>
      <c r="H278" s="23">
        <v>2</v>
      </c>
      <c r="I278" s="10" t="s">
        <v>1318</v>
      </c>
      <c r="J278" s="6" t="s">
        <v>169</v>
      </c>
      <c r="K278" s="12">
        <v>46120.72923611111</v>
      </c>
      <c r="L278" s="6" t="str" cm="1">
        <f t="array" ref="L278">LOOKUP(2^15,SEARCH(Tabela2[Palavras-Chave],Boletim4[[#This Row],[Objeto]],1),Tabela2[Palavras-Chave])</f>
        <v>RESERVAT</v>
      </c>
    </row>
    <row r="279" spans="1:12" ht="86.4" hidden="1" x14ac:dyDescent="0.3">
      <c r="A279" s="5">
        <v>18805203</v>
      </c>
      <c r="B279" s="6" t="s">
        <v>1319</v>
      </c>
      <c r="C279" s="6" t="s">
        <v>1320</v>
      </c>
      <c r="D279" s="8" t="s">
        <v>54</v>
      </c>
      <c r="E279" s="6" t="s">
        <v>128</v>
      </c>
      <c r="F279" s="6" t="s">
        <v>85</v>
      </c>
      <c r="G279" s="11" t="s">
        <v>56</v>
      </c>
      <c r="I279" s="10" t="s">
        <v>1321</v>
      </c>
      <c r="J279" s="6" t="s">
        <v>1322</v>
      </c>
      <c r="K279" s="12">
        <v>46120.730949074074</v>
      </c>
      <c r="L279" s="6" t="e" cm="1">
        <f t="array" ref="L279">LOOKUP(2^15,SEARCH(Tabela2[Palavras-Chave],Boletim4[[#This Row],[Objeto]],1),Tabela2[Palavras-Chave])</f>
        <v>#N/A</v>
      </c>
    </row>
    <row r="280" spans="1:12" ht="86.4" hidden="1" x14ac:dyDescent="0.3">
      <c r="A280" s="5">
        <v>18805516</v>
      </c>
      <c r="B280" s="6" t="s">
        <v>1323</v>
      </c>
      <c r="C280" s="6" t="s">
        <v>1324</v>
      </c>
      <c r="D280" s="8" t="s">
        <v>54</v>
      </c>
      <c r="E280" s="6" t="s">
        <v>114</v>
      </c>
      <c r="F280" s="6" t="s">
        <v>85</v>
      </c>
      <c r="G280" s="11">
        <v>46139.375</v>
      </c>
      <c r="I280" s="10" t="s">
        <v>1325</v>
      </c>
      <c r="J280" s="6" t="s">
        <v>1326</v>
      </c>
      <c r="K280" s="12">
        <v>46120.809884259259</v>
      </c>
      <c r="L280" s="6" t="e" cm="1">
        <f t="array" ref="L280">LOOKUP(2^15,SEARCH(Tabela2[Palavras-Chave],Boletim4[[#This Row],[Objeto]],1),Tabela2[Palavras-Chave])</f>
        <v>#N/A</v>
      </c>
    </row>
    <row r="281" spans="1:12" ht="72" hidden="1" x14ac:dyDescent="0.3">
      <c r="A281" s="5">
        <v>18798504</v>
      </c>
      <c r="B281" s="6" t="s">
        <v>1327</v>
      </c>
      <c r="C281" s="6" t="s">
        <v>1328</v>
      </c>
      <c r="D281" s="8" t="s">
        <v>54</v>
      </c>
      <c r="E281" s="6" t="s">
        <v>124</v>
      </c>
      <c r="F281" s="6" t="s">
        <v>85</v>
      </c>
      <c r="G281" s="11">
        <v>46129.416666666664</v>
      </c>
      <c r="I281" s="10" t="s">
        <v>1329</v>
      </c>
      <c r="J281" s="6" t="s">
        <v>1330</v>
      </c>
      <c r="K281" s="12">
        <v>46120.763206018521</v>
      </c>
      <c r="L281" s="6" t="e" cm="1">
        <f t="array" ref="L281">LOOKUP(2^15,SEARCH(Tabela2[Palavras-Chave],Boletim4[[#This Row],[Objeto]],1),Tabela2[Palavras-Chave])</f>
        <v>#N/A</v>
      </c>
    </row>
    <row r="282" spans="1:12" ht="158.4" hidden="1" x14ac:dyDescent="0.3">
      <c r="A282" s="5">
        <v>18803237</v>
      </c>
      <c r="B282" s="6" t="s">
        <v>1331</v>
      </c>
      <c r="C282" s="6" t="s">
        <v>1332</v>
      </c>
      <c r="D282" s="8" t="s">
        <v>54</v>
      </c>
      <c r="E282" s="6" t="s">
        <v>108</v>
      </c>
      <c r="F282" s="6" t="s">
        <v>85</v>
      </c>
      <c r="G282" s="11" t="s">
        <v>56</v>
      </c>
      <c r="I282" s="10" t="s">
        <v>1333</v>
      </c>
      <c r="J282" s="6" t="s">
        <v>1334</v>
      </c>
      <c r="K282" s="12">
        <v>46120.815347222226</v>
      </c>
      <c r="L282" s="6" t="e" cm="1">
        <f t="array" ref="L282">LOOKUP(2^15,SEARCH(Tabela2[Palavras-Chave],Boletim4[[#This Row],[Objeto]],1),Tabela2[Palavras-Chave])</f>
        <v>#N/A</v>
      </c>
    </row>
    <row r="283" spans="1:12" ht="100.8" hidden="1" x14ac:dyDescent="0.3">
      <c r="A283" s="5">
        <v>18806142</v>
      </c>
      <c r="B283" s="6" t="s">
        <v>354</v>
      </c>
      <c r="C283" s="6" t="s">
        <v>355</v>
      </c>
      <c r="D283" s="8" t="s">
        <v>54</v>
      </c>
      <c r="E283" s="6" t="s">
        <v>155</v>
      </c>
      <c r="F283" s="6" t="s">
        <v>85</v>
      </c>
      <c r="G283" s="11" t="s">
        <v>56</v>
      </c>
      <c r="I283" s="10" t="s">
        <v>1335</v>
      </c>
      <c r="J283" s="6" t="s">
        <v>1336</v>
      </c>
      <c r="K283" s="12">
        <v>46120.825729166667</v>
      </c>
      <c r="L283" s="6" t="e" cm="1">
        <f t="array" ref="L283">LOOKUP(2^15,SEARCH(Tabela2[Palavras-Chave],Boletim4[[#This Row],[Objeto]],1),Tabela2[Palavras-Chave])</f>
        <v>#N/A</v>
      </c>
    </row>
    <row r="284" spans="1:12" ht="28.8" hidden="1" x14ac:dyDescent="0.3">
      <c r="A284" s="5">
        <v>18793570</v>
      </c>
      <c r="B284" s="6" t="s">
        <v>1337</v>
      </c>
      <c r="C284" s="6" t="s">
        <v>1338</v>
      </c>
      <c r="D284" s="8" t="s">
        <v>60</v>
      </c>
      <c r="E284" s="6" t="s">
        <v>113</v>
      </c>
      <c r="F284" s="6" t="s">
        <v>85</v>
      </c>
      <c r="G284" s="11">
        <v>46134.375</v>
      </c>
      <c r="I284" s="10" t="s">
        <v>1339</v>
      </c>
      <c r="J284" s="6" t="s">
        <v>1340</v>
      </c>
      <c r="K284" s="12">
        <v>46120.45076388889</v>
      </c>
      <c r="L284" s="6" t="e" cm="1">
        <f t="array" ref="L284">LOOKUP(2^15,SEARCH(Tabela2[Palavras-Chave],Boletim4[[#This Row],[Objeto]],1),Tabela2[Palavras-Chave])</f>
        <v>#N/A</v>
      </c>
    </row>
    <row r="285" spans="1:12" ht="57.6" hidden="1" x14ac:dyDescent="0.3">
      <c r="A285" s="5">
        <v>18802425</v>
      </c>
      <c r="B285" s="6" t="s">
        <v>1341</v>
      </c>
      <c r="C285" s="6" t="s">
        <v>1342</v>
      </c>
      <c r="D285" s="8" t="s">
        <v>60</v>
      </c>
      <c r="E285" s="6" t="s">
        <v>1343</v>
      </c>
      <c r="F285" s="6" t="s">
        <v>85</v>
      </c>
      <c r="G285" s="11">
        <v>46135.375</v>
      </c>
      <c r="I285" s="10" t="s">
        <v>1344</v>
      </c>
      <c r="J285" s="6" t="s">
        <v>1345</v>
      </c>
      <c r="K285" s="12">
        <v>46120.505289351851</v>
      </c>
      <c r="L285" s="6" t="e" cm="1">
        <f t="array" ref="L285">LOOKUP(2^15,SEARCH(Tabela2[Palavras-Chave],Boletim4[[#This Row],[Objeto]],1),Tabela2[Palavras-Chave])</f>
        <v>#N/A</v>
      </c>
    </row>
    <row r="286" spans="1:12" ht="86.4" hidden="1" x14ac:dyDescent="0.3">
      <c r="A286" s="5">
        <v>18803538</v>
      </c>
      <c r="B286" s="6" t="s">
        <v>1346</v>
      </c>
      <c r="C286" s="6" t="s">
        <v>1347</v>
      </c>
      <c r="D286" s="8" t="s">
        <v>60</v>
      </c>
      <c r="E286" s="6" t="s">
        <v>1348</v>
      </c>
      <c r="F286" s="6" t="s">
        <v>85</v>
      </c>
      <c r="G286" s="11" t="s">
        <v>56</v>
      </c>
      <c r="I286" s="10" t="s">
        <v>1349</v>
      </c>
      <c r="J286" s="6" t="s">
        <v>1350</v>
      </c>
      <c r="K286" s="12">
        <v>46120.585439814815</v>
      </c>
      <c r="L286" s="6" t="e" cm="1">
        <f t="array" ref="L286">LOOKUP(2^15,SEARCH(Tabela2[Palavras-Chave],Boletim4[[#This Row],[Objeto]],1),Tabela2[Palavras-Chave])</f>
        <v>#N/A</v>
      </c>
    </row>
    <row r="287" spans="1:12" ht="86.4" hidden="1" x14ac:dyDescent="0.3">
      <c r="A287" s="5">
        <v>18803493</v>
      </c>
      <c r="B287" s="6" t="s">
        <v>151</v>
      </c>
      <c r="C287" s="6" t="s">
        <v>59</v>
      </c>
      <c r="D287" s="8" t="s">
        <v>60</v>
      </c>
      <c r="E287" s="6" t="s">
        <v>1351</v>
      </c>
      <c r="F287" s="6" t="s">
        <v>85</v>
      </c>
      <c r="G287" s="11" t="s">
        <v>56</v>
      </c>
      <c r="I287" s="10" t="s">
        <v>1352</v>
      </c>
      <c r="J287" s="6" t="s">
        <v>1353</v>
      </c>
      <c r="K287" s="12">
        <v>46120.662754629629</v>
      </c>
      <c r="L287" s="6" t="e" cm="1">
        <f t="array" ref="L287">LOOKUP(2^15,SEARCH(Tabela2[Palavras-Chave],Boletim4[[#This Row],[Objeto]],1),Tabela2[Palavras-Chave])</f>
        <v>#N/A</v>
      </c>
    </row>
    <row r="288" spans="1:12" ht="86.4" hidden="1" x14ac:dyDescent="0.3">
      <c r="A288" s="5">
        <v>18801775</v>
      </c>
      <c r="B288" s="6" t="s">
        <v>1354</v>
      </c>
      <c r="C288" s="6" t="s">
        <v>1355</v>
      </c>
      <c r="D288" s="8" t="s">
        <v>60</v>
      </c>
      <c r="E288" s="6" t="s">
        <v>1356</v>
      </c>
      <c r="F288" s="6" t="s">
        <v>85</v>
      </c>
      <c r="G288" s="11" t="s">
        <v>56</v>
      </c>
      <c r="I288" s="10" t="s">
        <v>1357</v>
      </c>
      <c r="J288" s="6" t="s">
        <v>1358</v>
      </c>
      <c r="K288" s="12">
        <v>46120.70212962963</v>
      </c>
      <c r="L288" s="6" t="e" cm="1">
        <f t="array" ref="L288">LOOKUP(2^15,SEARCH(Tabela2[Palavras-Chave],Boletim4[[#This Row],[Objeto]],1),Tabela2[Palavras-Chave])</f>
        <v>#N/A</v>
      </c>
    </row>
    <row r="289" spans="1:12" ht="86.4" hidden="1" x14ac:dyDescent="0.3">
      <c r="A289" s="5">
        <v>18805208</v>
      </c>
      <c r="B289" s="6" t="s">
        <v>1359</v>
      </c>
      <c r="C289" s="6" t="s">
        <v>59</v>
      </c>
      <c r="D289" s="8" t="s">
        <v>60</v>
      </c>
      <c r="E289" s="6" t="s">
        <v>1360</v>
      </c>
      <c r="F289" s="6" t="s">
        <v>85</v>
      </c>
      <c r="G289" s="11" t="s">
        <v>56</v>
      </c>
      <c r="I289" s="10" t="s">
        <v>1361</v>
      </c>
      <c r="J289" s="6" t="s">
        <v>1362</v>
      </c>
      <c r="K289" s="12">
        <v>46120.711863425924</v>
      </c>
      <c r="L289" s="6" t="e" cm="1">
        <f t="array" ref="L289">LOOKUP(2^15,SEARCH(Tabela2[Palavras-Chave],Boletim4[[#This Row],[Objeto]],1),Tabela2[Palavras-Chave])</f>
        <v>#N/A</v>
      </c>
    </row>
    <row r="290" spans="1:12" ht="259.2" hidden="1" x14ac:dyDescent="0.3">
      <c r="A290" s="5">
        <v>18806079</v>
      </c>
      <c r="B290" s="6" t="s">
        <v>1363</v>
      </c>
      <c r="C290" s="6" t="s">
        <v>320</v>
      </c>
      <c r="D290" s="8" t="s">
        <v>60</v>
      </c>
      <c r="E290" s="6" t="s">
        <v>1364</v>
      </c>
      <c r="F290" s="6" t="s">
        <v>85</v>
      </c>
      <c r="G290" s="11" t="s">
        <v>56</v>
      </c>
      <c r="I290" s="10" t="s">
        <v>1365</v>
      </c>
      <c r="J290" s="6" t="s">
        <v>1366</v>
      </c>
      <c r="K290" s="12">
        <v>46120.831122685187</v>
      </c>
      <c r="L290" s="6" t="e" cm="1">
        <f t="array" ref="L290">LOOKUP(2^15,SEARCH(Tabela2[Palavras-Chave],Boletim4[[#This Row],[Objeto]],1),Tabela2[Palavras-Chave])</f>
        <v>#N/A</v>
      </c>
    </row>
    <row r="291" spans="1:12" ht="57.6" hidden="1" x14ac:dyDescent="0.3">
      <c r="A291" s="5">
        <v>18806315</v>
      </c>
      <c r="B291" s="6" t="s">
        <v>1367</v>
      </c>
      <c r="C291" s="6" t="s">
        <v>1368</v>
      </c>
      <c r="D291" s="8" t="s">
        <v>60</v>
      </c>
      <c r="E291" s="6" t="s">
        <v>1369</v>
      </c>
      <c r="F291" s="6" t="s">
        <v>85</v>
      </c>
      <c r="G291" s="11">
        <v>46135.354166666664</v>
      </c>
      <c r="I291" s="10" t="s">
        <v>1370</v>
      </c>
      <c r="J291" s="6" t="s">
        <v>1192</v>
      </c>
      <c r="K291" s="12">
        <v>46120.8437962963</v>
      </c>
      <c r="L291" s="6" t="e" cm="1">
        <f t="array" ref="L291">LOOKUP(2^15,SEARCH(Tabela2[Palavras-Chave],Boletim4[[#This Row],[Objeto]],1),Tabela2[Palavras-Chave])</f>
        <v>#N/A</v>
      </c>
    </row>
    <row r="292" spans="1:12" ht="129.6" hidden="1" x14ac:dyDescent="0.3">
      <c r="A292" s="5">
        <v>18802609</v>
      </c>
      <c r="B292" s="6" t="s">
        <v>1371</v>
      </c>
      <c r="C292" s="6" t="s">
        <v>61</v>
      </c>
      <c r="D292" s="8" t="s">
        <v>62</v>
      </c>
      <c r="E292" s="6" t="s">
        <v>286</v>
      </c>
      <c r="F292" s="6" t="s">
        <v>85</v>
      </c>
      <c r="G292" s="11" t="s">
        <v>56</v>
      </c>
      <c r="I292" s="10" t="s">
        <v>1372</v>
      </c>
      <c r="J292" s="6" t="s">
        <v>1373</v>
      </c>
      <c r="K292" s="12">
        <v>46120.556712962964</v>
      </c>
      <c r="L292" s="6" t="e" cm="1">
        <f t="array" ref="L292">LOOKUP(2^15,SEARCH(Tabela2[Palavras-Chave],Boletim4[[#This Row],[Objeto]],1),Tabela2[Palavras-Chave])</f>
        <v>#N/A</v>
      </c>
    </row>
    <row r="293" spans="1:12" ht="115.2" hidden="1" x14ac:dyDescent="0.3">
      <c r="A293" s="5">
        <v>18802599</v>
      </c>
      <c r="B293" s="6" t="s">
        <v>1374</v>
      </c>
      <c r="C293" s="6" t="s">
        <v>61</v>
      </c>
      <c r="D293" s="8" t="s">
        <v>62</v>
      </c>
      <c r="E293" s="6" t="s">
        <v>1375</v>
      </c>
      <c r="F293" s="6" t="s">
        <v>85</v>
      </c>
      <c r="G293" s="11" t="s">
        <v>56</v>
      </c>
      <c r="I293" s="10" t="s">
        <v>1376</v>
      </c>
      <c r="J293" s="6" t="s">
        <v>1377</v>
      </c>
      <c r="K293" s="12">
        <v>46120.60837962963</v>
      </c>
      <c r="L293" s="6" t="e" cm="1">
        <f t="array" ref="L293">LOOKUP(2^15,SEARCH(Tabela2[Palavras-Chave],Boletim4[[#This Row],[Objeto]],1),Tabela2[Palavras-Chave])</f>
        <v>#N/A</v>
      </c>
    </row>
    <row r="294" spans="1:12" ht="115.2" hidden="1" x14ac:dyDescent="0.3">
      <c r="A294" s="5">
        <v>18802603</v>
      </c>
      <c r="B294" s="6" t="s">
        <v>1378</v>
      </c>
      <c r="C294" s="6" t="s">
        <v>61</v>
      </c>
      <c r="D294" s="8" t="s">
        <v>62</v>
      </c>
      <c r="E294" s="6" t="s">
        <v>1379</v>
      </c>
      <c r="F294" s="6" t="s">
        <v>85</v>
      </c>
      <c r="G294" s="11" t="s">
        <v>56</v>
      </c>
      <c r="I294" s="10" t="s">
        <v>1380</v>
      </c>
      <c r="J294" s="6" t="s">
        <v>1381</v>
      </c>
      <c r="K294" s="12">
        <v>46120.772303240738</v>
      </c>
      <c r="L294" s="6" t="e" cm="1">
        <f t="array" ref="L294">LOOKUP(2^15,SEARCH(Tabela2[Palavras-Chave],Boletim4[[#This Row],[Objeto]],1),Tabela2[Palavras-Chave])</f>
        <v>#N/A</v>
      </c>
    </row>
    <row r="295" spans="1:12" ht="115.2" hidden="1" x14ac:dyDescent="0.3">
      <c r="A295" s="5">
        <v>18804292</v>
      </c>
      <c r="B295" s="6" t="s">
        <v>1382</v>
      </c>
      <c r="C295" s="6" t="s">
        <v>61</v>
      </c>
      <c r="D295" s="8" t="s">
        <v>62</v>
      </c>
      <c r="E295" s="6" t="s">
        <v>387</v>
      </c>
      <c r="F295" s="6" t="s">
        <v>85</v>
      </c>
      <c r="G295" s="11">
        <v>46139.374305555553</v>
      </c>
      <c r="I295" s="10" t="s">
        <v>1383</v>
      </c>
      <c r="J295" s="6" t="s">
        <v>1384</v>
      </c>
      <c r="K295" s="12">
        <v>46120.878645833334</v>
      </c>
      <c r="L295" s="6" t="e" cm="1">
        <f t="array" ref="L295">LOOKUP(2^15,SEARCH(Tabela2[Palavras-Chave],Boletim4[[#This Row],[Objeto]],1),Tabela2[Palavras-Chave])</f>
        <v>#N/A</v>
      </c>
    </row>
    <row r="296" spans="1:12" ht="100.8" hidden="1" x14ac:dyDescent="0.3">
      <c r="A296" s="5">
        <v>18791290</v>
      </c>
      <c r="B296" s="6" t="s">
        <v>1385</v>
      </c>
      <c r="C296" s="6" t="s">
        <v>1386</v>
      </c>
      <c r="D296" s="8" t="s">
        <v>63</v>
      </c>
      <c r="E296" s="6" t="s">
        <v>124</v>
      </c>
      <c r="F296" s="6" t="s">
        <v>85</v>
      </c>
      <c r="G296" s="11">
        <v>46134.540972222225</v>
      </c>
      <c r="I296" s="10" t="s">
        <v>1387</v>
      </c>
      <c r="J296" s="6" t="s">
        <v>1388</v>
      </c>
      <c r="K296" s="12">
        <v>46120.389641203707</v>
      </c>
      <c r="L296" s="6" t="e" cm="1">
        <f t="array" ref="L296">LOOKUP(2^15,SEARCH(Tabela2[Palavras-Chave],Boletim4[[#This Row],[Objeto]],1),Tabela2[Palavras-Chave])</f>
        <v>#N/A</v>
      </c>
    </row>
    <row r="297" spans="1:12" ht="100.8" hidden="1" x14ac:dyDescent="0.3">
      <c r="A297" s="5">
        <v>18802038</v>
      </c>
      <c r="B297" s="6" t="s">
        <v>1389</v>
      </c>
      <c r="C297" s="6" t="s">
        <v>1390</v>
      </c>
      <c r="D297" s="8" t="s">
        <v>63</v>
      </c>
      <c r="E297" s="6" t="s">
        <v>1391</v>
      </c>
      <c r="F297" s="6" t="s">
        <v>85</v>
      </c>
      <c r="G297" s="11">
        <v>46126.333333333336</v>
      </c>
      <c r="I297" s="10" t="s">
        <v>1392</v>
      </c>
      <c r="J297" s="6" t="s">
        <v>1393</v>
      </c>
      <c r="K297" s="12">
        <v>46120.516840277778</v>
      </c>
      <c r="L297" s="6" t="e" cm="1">
        <f t="array" ref="L297">LOOKUP(2^15,SEARCH(Tabela2[Palavras-Chave],Boletim4[[#This Row],[Objeto]],1),Tabela2[Palavras-Chave])</f>
        <v>#N/A</v>
      </c>
    </row>
    <row r="298" spans="1:12" ht="72" hidden="1" x14ac:dyDescent="0.3">
      <c r="A298" s="5">
        <v>18802231</v>
      </c>
      <c r="B298" s="6" t="s">
        <v>74</v>
      </c>
      <c r="C298" s="6" t="s">
        <v>88</v>
      </c>
      <c r="D298" s="8" t="s">
        <v>63</v>
      </c>
      <c r="E298" s="6" t="s">
        <v>1394</v>
      </c>
      <c r="F298" s="6" t="s">
        <v>85</v>
      </c>
      <c r="G298" s="11" t="s">
        <v>56</v>
      </c>
      <c r="I298" s="10" t="s">
        <v>1395</v>
      </c>
      <c r="J298" s="6" t="s">
        <v>1396</v>
      </c>
      <c r="K298" s="12">
        <v>46120.529224537036</v>
      </c>
      <c r="L298" s="6" t="e" cm="1">
        <f t="array" ref="L298">LOOKUP(2^15,SEARCH(Tabela2[Palavras-Chave],Boletim4[[#This Row],[Objeto]],1),Tabela2[Palavras-Chave])</f>
        <v>#N/A</v>
      </c>
    </row>
    <row r="299" spans="1:12" ht="244.8" hidden="1" x14ac:dyDescent="0.3">
      <c r="A299" s="5">
        <v>18803896</v>
      </c>
      <c r="B299" s="6" t="s">
        <v>1397</v>
      </c>
      <c r="C299" s="6" t="s">
        <v>1398</v>
      </c>
      <c r="D299" s="8" t="s">
        <v>63</v>
      </c>
      <c r="E299" s="6" t="s">
        <v>125</v>
      </c>
      <c r="F299" s="6" t="s">
        <v>85</v>
      </c>
      <c r="G299" s="11" t="s">
        <v>56</v>
      </c>
      <c r="I299" s="10" t="s">
        <v>1399</v>
      </c>
      <c r="J299" s="6" t="s">
        <v>1400</v>
      </c>
      <c r="K299" s="12">
        <v>46120.672731481478</v>
      </c>
      <c r="L299" s="6" t="e" cm="1">
        <f t="array" ref="L299">LOOKUP(2^15,SEARCH(Tabela2[Palavras-Chave],Boletim4[[#This Row],[Objeto]],1),Tabela2[Palavras-Chave])</f>
        <v>#N/A</v>
      </c>
    </row>
    <row r="300" spans="1:12" ht="115.2" hidden="1" x14ac:dyDescent="0.3">
      <c r="A300" s="5">
        <v>18805212</v>
      </c>
      <c r="B300" s="6" t="s">
        <v>1401</v>
      </c>
      <c r="C300" s="6" t="s">
        <v>1398</v>
      </c>
      <c r="D300" s="8" t="s">
        <v>63</v>
      </c>
      <c r="E300" s="6" t="s">
        <v>1402</v>
      </c>
      <c r="F300" s="6" t="s">
        <v>85</v>
      </c>
      <c r="G300" s="11" t="s">
        <v>56</v>
      </c>
      <c r="I300" s="10" t="s">
        <v>1403</v>
      </c>
      <c r="J300" s="6" t="s">
        <v>1404</v>
      </c>
      <c r="K300" s="12">
        <v>46120.721574074072</v>
      </c>
      <c r="L300" s="6" t="e" cm="1">
        <f t="array" ref="L300">LOOKUP(2^15,SEARCH(Tabela2[Palavras-Chave],Boletim4[[#This Row],[Objeto]],1),Tabela2[Palavras-Chave])</f>
        <v>#N/A</v>
      </c>
    </row>
    <row r="301" spans="1:12" ht="86.4" hidden="1" x14ac:dyDescent="0.3">
      <c r="A301" s="5">
        <v>18805211</v>
      </c>
      <c r="B301" s="6" t="s">
        <v>357</v>
      </c>
      <c r="C301" s="6" t="s">
        <v>358</v>
      </c>
      <c r="D301" s="8" t="s">
        <v>63</v>
      </c>
      <c r="E301" s="6" t="s">
        <v>1402</v>
      </c>
      <c r="F301" s="6" t="s">
        <v>85</v>
      </c>
      <c r="G301" s="11" t="s">
        <v>56</v>
      </c>
      <c r="I301" s="10" t="s">
        <v>1405</v>
      </c>
      <c r="J301" s="6" t="s">
        <v>1406</v>
      </c>
      <c r="K301" s="12">
        <v>46120.711863425924</v>
      </c>
      <c r="L301" s="6" t="e" cm="1">
        <f t="array" ref="L301">LOOKUP(2^15,SEARCH(Tabela2[Palavras-Chave],Boletim4[[#This Row],[Objeto]],1),Tabela2[Palavras-Chave])</f>
        <v>#N/A</v>
      </c>
    </row>
    <row r="302" spans="1:12" ht="100.8" hidden="1" x14ac:dyDescent="0.3">
      <c r="A302" s="5">
        <v>18804743</v>
      </c>
      <c r="B302" s="6" t="s">
        <v>1407</v>
      </c>
      <c r="C302" s="6" t="s">
        <v>1408</v>
      </c>
      <c r="D302" s="8" t="s">
        <v>63</v>
      </c>
      <c r="E302" s="6" t="s">
        <v>128</v>
      </c>
      <c r="F302" s="6" t="s">
        <v>85</v>
      </c>
      <c r="G302" s="11">
        <v>46136.375</v>
      </c>
      <c r="I302" s="10" t="s">
        <v>1409</v>
      </c>
      <c r="J302" s="6" t="s">
        <v>1410</v>
      </c>
      <c r="K302" s="12">
        <v>46120.733969907407</v>
      </c>
      <c r="L302" s="6" t="e" cm="1">
        <f t="array" ref="L302">LOOKUP(2^15,SEARCH(Tabela2[Palavras-Chave],Boletim4[[#This Row],[Objeto]],1),Tabela2[Palavras-Chave])</f>
        <v>#N/A</v>
      </c>
    </row>
    <row r="303" spans="1:12" ht="86.4" hidden="1" x14ac:dyDescent="0.3">
      <c r="A303" s="5">
        <v>18805216</v>
      </c>
      <c r="B303" s="6" t="s">
        <v>1411</v>
      </c>
      <c r="C303" s="6" t="s">
        <v>1412</v>
      </c>
      <c r="D303" s="8" t="s">
        <v>63</v>
      </c>
      <c r="E303" s="6" t="s">
        <v>377</v>
      </c>
      <c r="F303" s="6" t="s">
        <v>85</v>
      </c>
      <c r="G303" s="11" t="s">
        <v>56</v>
      </c>
      <c r="I303" s="10" t="s">
        <v>1413</v>
      </c>
      <c r="J303" s="6" t="s">
        <v>1414</v>
      </c>
      <c r="K303" s="12">
        <v>46120.742303240739</v>
      </c>
      <c r="L303" s="6" t="e" cm="1">
        <f t="array" ref="L303">LOOKUP(2^15,SEARCH(Tabela2[Palavras-Chave],Boletim4[[#This Row],[Objeto]],1),Tabela2[Palavras-Chave])</f>
        <v>#N/A</v>
      </c>
    </row>
    <row r="304" spans="1:12" ht="86.4" hidden="1" x14ac:dyDescent="0.3">
      <c r="A304" s="5">
        <v>18803472</v>
      </c>
      <c r="B304" s="6" t="s">
        <v>1415</v>
      </c>
      <c r="C304" s="6" t="s">
        <v>1416</v>
      </c>
      <c r="D304" s="8" t="s">
        <v>63</v>
      </c>
      <c r="E304" s="6" t="s">
        <v>121</v>
      </c>
      <c r="F304" s="6" t="s">
        <v>85</v>
      </c>
      <c r="G304" s="11" t="s">
        <v>56</v>
      </c>
      <c r="I304" s="10" t="s">
        <v>1417</v>
      </c>
      <c r="J304" s="6" t="s">
        <v>1418</v>
      </c>
      <c r="K304" s="12">
        <v>46120.75440972222</v>
      </c>
      <c r="L304" s="6" t="e" cm="1">
        <f t="array" ref="L304">LOOKUP(2^15,SEARCH(Tabela2[Palavras-Chave],Boletim4[[#This Row],[Objeto]],1),Tabela2[Palavras-Chave])</f>
        <v>#N/A</v>
      </c>
    </row>
    <row r="305" spans="1:12" ht="129.6" hidden="1" x14ac:dyDescent="0.3">
      <c r="A305" s="5">
        <v>18798049</v>
      </c>
      <c r="B305" s="6" t="s">
        <v>452</v>
      </c>
      <c r="C305" s="6" t="s">
        <v>101</v>
      </c>
      <c r="D305" s="8" t="s">
        <v>64</v>
      </c>
      <c r="E305" s="6" t="s">
        <v>1419</v>
      </c>
      <c r="F305" s="6" t="s">
        <v>85</v>
      </c>
      <c r="G305" s="11">
        <v>46127.395833333336</v>
      </c>
      <c r="I305" s="10" t="s">
        <v>1420</v>
      </c>
      <c r="J305" s="6" t="s">
        <v>1421</v>
      </c>
      <c r="K305" s="12">
        <v>46120.215474537035</v>
      </c>
      <c r="L305" s="6" t="e" cm="1">
        <f t="array" ref="L305">LOOKUP(2^15,SEARCH(Tabela2[Palavras-Chave],Boletim4[[#This Row],[Objeto]],1),Tabela2[Palavras-Chave])</f>
        <v>#N/A</v>
      </c>
    </row>
    <row r="306" spans="1:12" ht="144" hidden="1" x14ac:dyDescent="0.3">
      <c r="A306" s="5">
        <v>18801441</v>
      </c>
      <c r="B306" s="6" t="s">
        <v>1422</v>
      </c>
      <c r="C306" s="6" t="s">
        <v>1423</v>
      </c>
      <c r="D306" s="8" t="s">
        <v>64</v>
      </c>
      <c r="E306" s="6" t="s">
        <v>106</v>
      </c>
      <c r="F306" s="6" t="s">
        <v>85</v>
      </c>
      <c r="G306" s="11" t="s">
        <v>56</v>
      </c>
      <c r="I306" s="10" t="s">
        <v>1424</v>
      </c>
      <c r="J306" s="6" t="s">
        <v>1425</v>
      </c>
      <c r="K306" s="12">
        <v>46120.457175925927</v>
      </c>
      <c r="L306" s="6" t="e" cm="1">
        <f t="array" ref="L306">LOOKUP(2^15,SEARCH(Tabela2[Palavras-Chave],Boletim4[[#This Row],[Objeto]],1),Tabela2[Palavras-Chave])</f>
        <v>#N/A</v>
      </c>
    </row>
    <row r="307" spans="1:12" ht="244.8" hidden="1" x14ac:dyDescent="0.3">
      <c r="A307" s="5">
        <v>18801686</v>
      </c>
      <c r="B307" s="6" t="s">
        <v>1426</v>
      </c>
      <c r="C307" s="6" t="s">
        <v>1427</v>
      </c>
      <c r="D307" s="8" t="s">
        <v>64</v>
      </c>
      <c r="E307" s="6" t="s">
        <v>134</v>
      </c>
      <c r="F307" s="6" t="s">
        <v>85</v>
      </c>
      <c r="G307" s="11" t="s">
        <v>56</v>
      </c>
      <c r="I307" s="10" t="s">
        <v>1428</v>
      </c>
      <c r="J307" s="6" t="s">
        <v>1429</v>
      </c>
      <c r="K307" s="12">
        <v>46120.501469907409</v>
      </c>
      <c r="L307" s="6" t="e" cm="1">
        <f t="array" ref="L307">LOOKUP(2^15,SEARCH(Tabela2[Palavras-Chave],Boletim4[[#This Row],[Objeto]],1),Tabela2[Palavras-Chave])</f>
        <v>#N/A</v>
      </c>
    </row>
    <row r="308" spans="1:12" ht="244.8" hidden="1" x14ac:dyDescent="0.3">
      <c r="A308" s="5">
        <v>18801691</v>
      </c>
      <c r="B308" s="6" t="s">
        <v>327</v>
      </c>
      <c r="C308" s="6" t="s">
        <v>326</v>
      </c>
      <c r="D308" s="8" t="s">
        <v>64</v>
      </c>
      <c r="E308" s="6" t="s">
        <v>165</v>
      </c>
      <c r="F308" s="6" t="s">
        <v>85</v>
      </c>
      <c r="G308" s="11" t="s">
        <v>56</v>
      </c>
      <c r="I308" s="10" t="s">
        <v>1430</v>
      </c>
      <c r="J308" s="6" t="s">
        <v>1431</v>
      </c>
      <c r="K308" s="12">
        <v>46120.52134259259</v>
      </c>
      <c r="L308" s="6" t="e" cm="1">
        <f t="array" ref="L308">LOOKUP(2^15,SEARCH(Tabela2[Palavras-Chave],Boletim4[[#This Row],[Objeto]],1),Tabela2[Palavras-Chave])</f>
        <v>#N/A</v>
      </c>
    </row>
    <row r="309" spans="1:12" ht="259.2" hidden="1" x14ac:dyDescent="0.3">
      <c r="A309" s="5">
        <v>18801587</v>
      </c>
      <c r="B309" s="6" t="s">
        <v>1432</v>
      </c>
      <c r="C309" s="6" t="s">
        <v>1433</v>
      </c>
      <c r="D309" s="8" t="s">
        <v>64</v>
      </c>
      <c r="E309" s="6" t="s">
        <v>124</v>
      </c>
      <c r="F309" s="6" t="s">
        <v>85</v>
      </c>
      <c r="G309" s="11" t="s">
        <v>56</v>
      </c>
      <c r="I309" s="10" t="s">
        <v>1434</v>
      </c>
      <c r="J309" s="6" t="s">
        <v>1435</v>
      </c>
      <c r="K309" s="12">
        <v>46120.531122685185</v>
      </c>
      <c r="L309" s="6" t="e" cm="1">
        <f t="array" ref="L309">LOOKUP(2^15,SEARCH(Tabela2[Palavras-Chave],Boletim4[[#This Row],[Objeto]],1),Tabela2[Palavras-Chave])</f>
        <v>#N/A</v>
      </c>
    </row>
    <row r="310" spans="1:12" ht="288" hidden="1" x14ac:dyDescent="0.3">
      <c r="A310" s="5">
        <v>18803163</v>
      </c>
      <c r="B310" s="6" t="s">
        <v>1436</v>
      </c>
      <c r="C310" s="6" t="s">
        <v>1437</v>
      </c>
      <c r="D310" s="8" t="s">
        <v>64</v>
      </c>
      <c r="E310" s="6" t="s">
        <v>113</v>
      </c>
      <c r="F310" s="6" t="s">
        <v>85</v>
      </c>
      <c r="G310" s="11" t="s">
        <v>56</v>
      </c>
      <c r="I310" s="10" t="s">
        <v>1438</v>
      </c>
      <c r="J310" s="6" t="s">
        <v>1439</v>
      </c>
      <c r="K310" s="12">
        <v>46120.532187500001</v>
      </c>
      <c r="L310" s="6" t="e" cm="1">
        <f t="array" ref="L310">LOOKUP(2^15,SEARCH(Tabela2[Palavras-Chave],Boletim4[[#This Row],[Objeto]],1),Tabela2[Palavras-Chave])</f>
        <v>#N/A</v>
      </c>
    </row>
    <row r="311" spans="1:12" ht="28.8" hidden="1" x14ac:dyDescent="0.3">
      <c r="A311" s="5">
        <v>18801215</v>
      </c>
      <c r="B311" s="6" t="s">
        <v>175</v>
      </c>
      <c r="C311" s="6" t="s">
        <v>101</v>
      </c>
      <c r="D311" s="8" t="s">
        <v>64</v>
      </c>
      <c r="E311" s="6" t="s">
        <v>106</v>
      </c>
      <c r="F311" s="6" t="s">
        <v>85</v>
      </c>
      <c r="G311" s="11">
        <v>46134.375</v>
      </c>
      <c r="I311" s="10" t="s">
        <v>1440</v>
      </c>
      <c r="J311" s="6" t="s">
        <v>1441</v>
      </c>
      <c r="K311" s="12">
        <v>46120.540601851855</v>
      </c>
      <c r="L311" s="6" t="e" cm="1">
        <f t="array" ref="L311">LOOKUP(2^15,SEARCH(Tabela2[Palavras-Chave],Boletim4[[#This Row],[Objeto]],1),Tabela2[Palavras-Chave])</f>
        <v>#N/A</v>
      </c>
    </row>
    <row r="312" spans="1:12" ht="115.2" hidden="1" x14ac:dyDescent="0.3">
      <c r="A312" s="5">
        <v>18802639</v>
      </c>
      <c r="B312" s="6" t="s">
        <v>1442</v>
      </c>
      <c r="C312" s="6" t="s">
        <v>213</v>
      </c>
      <c r="D312" s="8" t="s">
        <v>64</v>
      </c>
      <c r="E312" s="6" t="s">
        <v>184</v>
      </c>
      <c r="F312" s="6" t="s">
        <v>85</v>
      </c>
      <c r="G312" s="11" t="s">
        <v>56</v>
      </c>
      <c r="I312" s="10" t="s">
        <v>1443</v>
      </c>
      <c r="J312" s="6" t="s">
        <v>1444</v>
      </c>
      <c r="K312" s="12">
        <v>46120.60224537037</v>
      </c>
      <c r="L312" s="6" t="e" cm="1">
        <f t="array" ref="L312">LOOKUP(2^15,SEARCH(Tabela2[Palavras-Chave],Boletim4[[#This Row],[Objeto]],1),Tabela2[Palavras-Chave])</f>
        <v>#N/A</v>
      </c>
    </row>
    <row r="313" spans="1:12" ht="244.8" hidden="1" x14ac:dyDescent="0.3">
      <c r="A313" s="5">
        <v>18804238</v>
      </c>
      <c r="B313" s="6" t="s">
        <v>1445</v>
      </c>
      <c r="C313" s="6" t="s">
        <v>1446</v>
      </c>
      <c r="D313" s="8" t="s">
        <v>64</v>
      </c>
      <c r="E313" s="6" t="s">
        <v>126</v>
      </c>
      <c r="F313" s="6" t="s">
        <v>85</v>
      </c>
      <c r="G313" s="11" t="s">
        <v>56</v>
      </c>
      <c r="I313" s="10" t="s">
        <v>1447</v>
      </c>
      <c r="J313" s="6" t="s">
        <v>1448</v>
      </c>
      <c r="K313" s="12">
        <v>46120.621863425928</v>
      </c>
      <c r="L313" s="6" t="e" cm="1">
        <f t="array" ref="L313">LOOKUP(2^15,SEARCH(Tabela2[Palavras-Chave],Boletim4[[#This Row],[Objeto]],1),Tabela2[Palavras-Chave])</f>
        <v>#N/A</v>
      </c>
    </row>
    <row r="314" spans="1:12" ht="86.4" hidden="1" x14ac:dyDescent="0.3">
      <c r="A314" s="5">
        <v>18801442</v>
      </c>
      <c r="B314" s="6" t="s">
        <v>1445</v>
      </c>
      <c r="C314" s="6" t="s">
        <v>1446</v>
      </c>
      <c r="D314" s="8" t="s">
        <v>64</v>
      </c>
      <c r="E314" s="6" t="s">
        <v>1449</v>
      </c>
      <c r="F314" s="6" t="s">
        <v>85</v>
      </c>
      <c r="G314" s="11" t="s">
        <v>56</v>
      </c>
      <c r="I314" s="10" t="s">
        <v>1450</v>
      </c>
      <c r="J314" s="6" t="s">
        <v>1451</v>
      </c>
      <c r="K314" s="12">
        <v>46120.664479166669</v>
      </c>
      <c r="L314" s="6" t="e" cm="1">
        <f t="array" ref="L314">LOOKUP(2^15,SEARCH(Tabela2[Palavras-Chave],Boletim4[[#This Row],[Objeto]],1),Tabela2[Palavras-Chave])</f>
        <v>#N/A</v>
      </c>
    </row>
    <row r="315" spans="1:12" ht="244.8" hidden="1" x14ac:dyDescent="0.3">
      <c r="A315" s="5">
        <v>18803904</v>
      </c>
      <c r="B315" s="6" t="s">
        <v>1452</v>
      </c>
      <c r="C315" s="6" t="s">
        <v>1453</v>
      </c>
      <c r="D315" s="8" t="s">
        <v>64</v>
      </c>
      <c r="E315" s="6" t="s">
        <v>155</v>
      </c>
      <c r="F315" s="6" t="s">
        <v>85</v>
      </c>
      <c r="G315" s="11" t="s">
        <v>56</v>
      </c>
      <c r="I315" s="10" t="s">
        <v>1454</v>
      </c>
      <c r="J315" s="6" t="s">
        <v>1455</v>
      </c>
      <c r="K315" s="12">
        <v>46120.728888888887</v>
      </c>
      <c r="L315" s="6" t="e" cm="1">
        <f t="array" ref="L315">LOOKUP(2^15,SEARCH(Tabela2[Palavras-Chave],Boletim4[[#This Row],[Objeto]],1),Tabela2[Palavras-Chave])</f>
        <v>#N/A</v>
      </c>
    </row>
    <row r="316" spans="1:12" ht="244.8" hidden="1" x14ac:dyDescent="0.3">
      <c r="A316" s="5">
        <v>18804200</v>
      </c>
      <c r="B316" s="6" t="s">
        <v>1456</v>
      </c>
      <c r="C316" s="6" t="s">
        <v>1457</v>
      </c>
      <c r="D316" s="8" t="s">
        <v>64</v>
      </c>
      <c r="E316" s="6" t="s">
        <v>126</v>
      </c>
      <c r="F316" s="6" t="s">
        <v>85</v>
      </c>
      <c r="G316" s="11" t="s">
        <v>56</v>
      </c>
      <c r="I316" s="10" t="s">
        <v>1458</v>
      </c>
      <c r="J316" s="6" t="s">
        <v>1459</v>
      </c>
      <c r="K316" s="12">
        <v>46120.73474537037</v>
      </c>
      <c r="L316" s="6" t="e" cm="1">
        <f t="array" ref="L316">LOOKUP(2^15,SEARCH(Tabela2[Palavras-Chave],Boletim4[[#This Row],[Objeto]],1),Tabela2[Palavras-Chave])</f>
        <v>#N/A</v>
      </c>
    </row>
    <row r="317" spans="1:12" ht="172.8" hidden="1" x14ac:dyDescent="0.3">
      <c r="A317" s="5">
        <v>18805194</v>
      </c>
      <c r="B317" s="6" t="s">
        <v>1460</v>
      </c>
      <c r="C317" s="6" t="s">
        <v>1461</v>
      </c>
      <c r="D317" s="8" t="s">
        <v>64</v>
      </c>
      <c r="E317" s="6" t="s">
        <v>453</v>
      </c>
      <c r="F317" s="6" t="s">
        <v>85</v>
      </c>
      <c r="G317" s="11" t="s">
        <v>56</v>
      </c>
      <c r="I317" s="10" t="s">
        <v>1462</v>
      </c>
      <c r="J317" s="6" t="s">
        <v>1463</v>
      </c>
      <c r="K317" s="12">
        <v>46120.755856481483</v>
      </c>
      <c r="L317" s="6" t="e" cm="1">
        <f t="array" ref="L317">LOOKUP(2^15,SEARCH(Tabela2[Palavras-Chave],Boletim4[[#This Row],[Objeto]],1),Tabela2[Palavras-Chave])</f>
        <v>#N/A</v>
      </c>
    </row>
    <row r="318" spans="1:12" ht="43.2" hidden="1" x14ac:dyDescent="0.3">
      <c r="A318" s="5">
        <v>18798900</v>
      </c>
      <c r="B318" s="6" t="s">
        <v>1464</v>
      </c>
      <c r="C318" s="6" t="s">
        <v>1465</v>
      </c>
      <c r="D318" s="8" t="s">
        <v>64</v>
      </c>
      <c r="E318" s="6" t="s">
        <v>366</v>
      </c>
      <c r="F318" s="6" t="s">
        <v>85</v>
      </c>
      <c r="G318" s="11">
        <v>46129.375</v>
      </c>
      <c r="I318" s="10" t="s">
        <v>1466</v>
      </c>
      <c r="J318" s="6" t="s">
        <v>1467</v>
      </c>
      <c r="K318" s="12">
        <v>46120.871481481481</v>
      </c>
      <c r="L318" s="6" t="e" cm="1">
        <f t="array" ref="L318">LOOKUP(2^15,SEARCH(Tabela2[Palavras-Chave],Boletim4[[#This Row],[Objeto]],1),Tabela2[Palavras-Chave])</f>
        <v>#N/A</v>
      </c>
    </row>
    <row r="319" spans="1:12" ht="129.6" hidden="1" x14ac:dyDescent="0.3">
      <c r="A319" s="5">
        <v>18802600</v>
      </c>
      <c r="B319" s="6" t="s">
        <v>1468</v>
      </c>
      <c r="C319" s="6" t="s">
        <v>159</v>
      </c>
      <c r="D319" s="8" t="s">
        <v>89</v>
      </c>
      <c r="E319" s="6" t="s">
        <v>230</v>
      </c>
      <c r="F319" s="6" t="s">
        <v>85</v>
      </c>
      <c r="G319" s="11" t="s">
        <v>56</v>
      </c>
      <c r="I319" s="10" t="s">
        <v>1469</v>
      </c>
      <c r="J319" s="6" t="s">
        <v>1470</v>
      </c>
      <c r="K319" s="12">
        <v>46120.587233796294</v>
      </c>
      <c r="L319" s="6" t="e" cm="1">
        <f t="array" ref="L319">LOOKUP(2^15,SEARCH(Tabela2[Palavras-Chave],Boletim4[[#This Row],[Objeto]],1),Tabela2[Palavras-Chave])</f>
        <v>#N/A</v>
      </c>
    </row>
    <row r="320" spans="1:12" ht="115.2" hidden="1" x14ac:dyDescent="0.3">
      <c r="A320" s="5">
        <v>18802616</v>
      </c>
      <c r="B320" s="6" t="s">
        <v>266</v>
      </c>
      <c r="C320" s="6" t="s">
        <v>159</v>
      </c>
      <c r="D320" s="8" t="s">
        <v>89</v>
      </c>
      <c r="E320" s="6" t="s">
        <v>1471</v>
      </c>
      <c r="F320" s="6" t="s">
        <v>85</v>
      </c>
      <c r="G320" s="11" t="s">
        <v>56</v>
      </c>
      <c r="I320" s="10" t="s">
        <v>1472</v>
      </c>
      <c r="J320" s="6" t="s">
        <v>1473</v>
      </c>
      <c r="K320" s="12">
        <v>46120.726203703707</v>
      </c>
      <c r="L320" s="6" t="e" cm="1">
        <f t="array" ref="L320">LOOKUP(2^15,SEARCH(Tabela2[Palavras-Chave],Boletim4[[#This Row],[Objeto]],1),Tabela2[Palavras-Chave])</f>
        <v>#N/A</v>
      </c>
    </row>
    <row r="321" spans="1:12" ht="86.4" hidden="1" x14ac:dyDescent="0.3">
      <c r="A321" s="5">
        <v>18806039</v>
      </c>
      <c r="B321" s="6" t="s">
        <v>1474</v>
      </c>
      <c r="C321" s="6" t="s">
        <v>1475</v>
      </c>
      <c r="D321" s="8" t="s">
        <v>89</v>
      </c>
      <c r="E321" s="6" t="s">
        <v>134</v>
      </c>
      <c r="F321" s="6" t="s">
        <v>85</v>
      </c>
      <c r="G321" s="11" t="s">
        <v>56</v>
      </c>
      <c r="I321" s="10" t="s">
        <v>1476</v>
      </c>
      <c r="J321" s="6" t="s">
        <v>1477</v>
      </c>
      <c r="K321" s="12">
        <v>46120.807673611111</v>
      </c>
      <c r="L321" s="6" t="e" cm="1">
        <f t="array" ref="L321">LOOKUP(2^15,SEARCH(Tabela2[Palavras-Chave],Boletim4[[#This Row],[Objeto]],1),Tabela2[Palavras-Chave])</f>
        <v>#N/A</v>
      </c>
    </row>
    <row r="322" spans="1:12" ht="57.6" hidden="1" x14ac:dyDescent="0.3">
      <c r="A322" s="5">
        <v>18797753</v>
      </c>
      <c r="B322" s="6" t="s">
        <v>1478</v>
      </c>
      <c r="C322" s="6" t="s">
        <v>1479</v>
      </c>
      <c r="D322" s="8" t="s">
        <v>66</v>
      </c>
      <c r="E322" s="6" t="s">
        <v>117</v>
      </c>
      <c r="F322" s="6" t="s">
        <v>85</v>
      </c>
      <c r="G322" s="11">
        <v>46135.583333333336</v>
      </c>
      <c r="I322" s="10" t="s">
        <v>1480</v>
      </c>
      <c r="J322" s="6" t="s">
        <v>1481</v>
      </c>
      <c r="K322" s="12">
        <v>46120.389004629629</v>
      </c>
      <c r="L322" s="6" t="e" cm="1">
        <f t="array" ref="L322">LOOKUP(2^15,SEARCH(Tabela2[Palavras-Chave],Boletim4[[#This Row],[Objeto]],1),Tabela2[Palavras-Chave])</f>
        <v>#N/A</v>
      </c>
    </row>
    <row r="323" spans="1:12" ht="43.2" hidden="1" x14ac:dyDescent="0.3">
      <c r="A323" s="5">
        <v>18797479</v>
      </c>
      <c r="B323" s="6" t="s">
        <v>1478</v>
      </c>
      <c r="C323" s="6" t="s">
        <v>1479</v>
      </c>
      <c r="D323" s="8" t="s">
        <v>66</v>
      </c>
      <c r="E323" s="6" t="s">
        <v>120</v>
      </c>
      <c r="F323" s="6" t="s">
        <v>85</v>
      </c>
      <c r="G323" s="11">
        <v>46134.541666666664</v>
      </c>
      <c r="I323" s="10" t="s">
        <v>1482</v>
      </c>
      <c r="J323" s="6" t="s">
        <v>1483</v>
      </c>
      <c r="K323" s="12">
        <v>46120.389004629629</v>
      </c>
      <c r="L323" s="6" t="e" cm="1">
        <f t="array" ref="L323">LOOKUP(2^15,SEARCH(Tabela2[Palavras-Chave],Boletim4[[#This Row],[Objeto]],1),Tabela2[Palavras-Chave])</f>
        <v>#N/A</v>
      </c>
    </row>
    <row r="324" spans="1:12" ht="115.2" hidden="1" x14ac:dyDescent="0.3">
      <c r="A324" s="5">
        <v>18802012</v>
      </c>
      <c r="B324" s="6" t="s">
        <v>1484</v>
      </c>
      <c r="C324" s="6" t="s">
        <v>1485</v>
      </c>
      <c r="D324" s="8" t="s">
        <v>66</v>
      </c>
      <c r="E324" s="6" t="s">
        <v>122</v>
      </c>
      <c r="F324" s="6" t="s">
        <v>85</v>
      </c>
      <c r="G324" s="11">
        <v>46134.374305555553</v>
      </c>
      <c r="I324" s="10" t="s">
        <v>1486</v>
      </c>
      <c r="J324" s="6" t="s">
        <v>1487</v>
      </c>
      <c r="K324" s="12">
        <v>46120.445752314816</v>
      </c>
      <c r="L324" s="6" t="e" cm="1">
        <f t="array" ref="L324">LOOKUP(2^15,SEARCH(Tabela2[Palavras-Chave],Boletim4[[#This Row],[Objeto]],1),Tabela2[Palavras-Chave])</f>
        <v>#N/A</v>
      </c>
    </row>
    <row r="325" spans="1:12" ht="28.8" hidden="1" x14ac:dyDescent="0.3">
      <c r="A325" s="5">
        <v>18797404</v>
      </c>
      <c r="B325" s="6" t="s">
        <v>1488</v>
      </c>
      <c r="C325" s="6" t="s">
        <v>1489</v>
      </c>
      <c r="D325" s="8" t="s">
        <v>66</v>
      </c>
      <c r="E325" s="6" t="s">
        <v>110</v>
      </c>
      <c r="F325" s="6" t="s">
        <v>85</v>
      </c>
      <c r="G325" s="11">
        <v>46126.334027777775</v>
      </c>
      <c r="I325" s="10" t="s">
        <v>1490</v>
      </c>
      <c r="J325" s="6" t="s">
        <v>1491</v>
      </c>
      <c r="K325" s="12">
        <v>46120.450798611113</v>
      </c>
      <c r="L325" s="6" t="e" cm="1">
        <f t="array" ref="L325">LOOKUP(2^15,SEARCH(Tabela2[Palavras-Chave],Boletim4[[#This Row],[Objeto]],1),Tabela2[Palavras-Chave])</f>
        <v>#N/A</v>
      </c>
    </row>
    <row r="326" spans="1:12" ht="158.4" hidden="1" x14ac:dyDescent="0.3">
      <c r="A326" s="5">
        <v>18801477</v>
      </c>
      <c r="B326" s="6" t="s">
        <v>1492</v>
      </c>
      <c r="C326" s="6" t="s">
        <v>1493</v>
      </c>
      <c r="D326" s="8" t="s">
        <v>66</v>
      </c>
      <c r="E326" s="6" t="s">
        <v>1494</v>
      </c>
      <c r="F326" s="6" t="s">
        <v>85</v>
      </c>
      <c r="G326" s="11" t="s">
        <v>56</v>
      </c>
      <c r="I326" s="10" t="s">
        <v>1495</v>
      </c>
      <c r="J326" s="6" t="s">
        <v>1496</v>
      </c>
      <c r="K326" s="12">
        <v>46120.475405092591</v>
      </c>
      <c r="L326" s="6" t="e" cm="1">
        <f t="array" ref="L326">LOOKUP(2^15,SEARCH(Tabela2[Palavras-Chave],Boletim4[[#This Row],[Objeto]],1),Tabela2[Palavras-Chave])</f>
        <v>#N/A</v>
      </c>
    </row>
    <row r="327" spans="1:12" ht="259.2" hidden="1" x14ac:dyDescent="0.3">
      <c r="A327" s="5">
        <v>18801597</v>
      </c>
      <c r="B327" s="6" t="s">
        <v>1497</v>
      </c>
      <c r="C327" s="6" t="s">
        <v>1498</v>
      </c>
      <c r="D327" s="8" t="s">
        <v>66</v>
      </c>
      <c r="E327" s="6" t="s">
        <v>1499</v>
      </c>
      <c r="F327" s="6" t="s">
        <v>85</v>
      </c>
      <c r="G327" s="11" t="s">
        <v>56</v>
      </c>
      <c r="I327" s="10" t="s">
        <v>1500</v>
      </c>
      <c r="J327" s="6" t="s">
        <v>1501</v>
      </c>
      <c r="K327" s="12">
        <v>46120.49181712963</v>
      </c>
      <c r="L327" s="6" t="e" cm="1">
        <f t="array" ref="L327">LOOKUP(2^15,SEARCH(Tabela2[Palavras-Chave],Boletim4[[#This Row],[Objeto]],1),Tabela2[Palavras-Chave])</f>
        <v>#N/A</v>
      </c>
    </row>
    <row r="328" spans="1:12" ht="129.6" hidden="1" x14ac:dyDescent="0.3">
      <c r="A328" s="5">
        <v>18802805</v>
      </c>
      <c r="B328" s="6" t="s">
        <v>1502</v>
      </c>
      <c r="C328" s="6" t="s">
        <v>65</v>
      </c>
      <c r="D328" s="8" t="s">
        <v>66</v>
      </c>
      <c r="E328" s="6" t="s">
        <v>268</v>
      </c>
      <c r="F328" s="6" t="s">
        <v>85</v>
      </c>
      <c r="G328" s="11" t="s">
        <v>56</v>
      </c>
      <c r="I328" s="10" t="s">
        <v>1503</v>
      </c>
      <c r="J328" s="6" t="s">
        <v>1504</v>
      </c>
      <c r="K328" s="12">
        <v>46120.519675925927</v>
      </c>
      <c r="L328" s="6" t="e" cm="1">
        <f t="array" ref="L328">LOOKUP(2^15,SEARCH(Tabela2[Palavras-Chave],Boletim4[[#This Row],[Objeto]],1),Tabela2[Palavras-Chave])</f>
        <v>#N/A</v>
      </c>
    </row>
    <row r="329" spans="1:12" ht="100.8" hidden="1" x14ac:dyDescent="0.3">
      <c r="A329" s="5">
        <v>18801459</v>
      </c>
      <c r="B329" s="6" t="s">
        <v>1505</v>
      </c>
      <c r="C329" s="6" t="s">
        <v>1506</v>
      </c>
      <c r="D329" s="8" t="s">
        <v>66</v>
      </c>
      <c r="E329" s="6" t="s">
        <v>121</v>
      </c>
      <c r="F329" s="6" t="s">
        <v>85</v>
      </c>
      <c r="G329" s="11" t="s">
        <v>56</v>
      </c>
      <c r="I329" s="10" t="s">
        <v>1507</v>
      </c>
      <c r="J329" s="6" t="s">
        <v>1508</v>
      </c>
      <c r="K329" s="12">
        <v>46120.526458333334</v>
      </c>
      <c r="L329" s="6" t="e" cm="1">
        <f t="array" ref="L329">LOOKUP(2^15,SEARCH(Tabela2[Palavras-Chave],Boletim4[[#This Row],[Objeto]],1),Tabela2[Palavras-Chave])</f>
        <v>#N/A</v>
      </c>
    </row>
    <row r="330" spans="1:12" ht="115.2" hidden="1" x14ac:dyDescent="0.3">
      <c r="A330" s="5">
        <v>18802806</v>
      </c>
      <c r="B330" s="6" t="s">
        <v>364</v>
      </c>
      <c r="C330" s="6" t="s">
        <v>365</v>
      </c>
      <c r="D330" s="8" t="s">
        <v>66</v>
      </c>
      <c r="E330" s="6" t="s">
        <v>392</v>
      </c>
      <c r="F330" s="6" t="s">
        <v>85</v>
      </c>
      <c r="G330" s="11" t="s">
        <v>56</v>
      </c>
      <c r="I330" s="10" t="s">
        <v>1509</v>
      </c>
      <c r="J330" s="6" t="s">
        <v>1510</v>
      </c>
      <c r="K330" s="12">
        <v>46120.528136574074</v>
      </c>
      <c r="L330" s="6" t="e" cm="1">
        <f t="array" ref="L330">LOOKUP(2^15,SEARCH(Tabela2[Palavras-Chave],Boletim4[[#This Row],[Objeto]],1),Tabela2[Palavras-Chave])</f>
        <v>#N/A</v>
      </c>
    </row>
    <row r="331" spans="1:12" ht="43.2" hidden="1" x14ac:dyDescent="0.3">
      <c r="A331" s="13">
        <v>18802229</v>
      </c>
      <c r="B331" s="10" t="s">
        <v>1511</v>
      </c>
      <c r="C331" s="10" t="s">
        <v>1512</v>
      </c>
      <c r="D331" s="15" t="s">
        <v>66</v>
      </c>
      <c r="E331" s="10" t="s">
        <v>166</v>
      </c>
      <c r="F331" s="10" t="s">
        <v>85</v>
      </c>
      <c r="G331" s="16">
        <v>46134.333333333336</v>
      </c>
      <c r="H331" s="24"/>
      <c r="I331" s="10" t="s">
        <v>1513</v>
      </c>
      <c r="J331" s="10" t="s">
        <v>1514</v>
      </c>
      <c r="K331" s="17">
        <v>46120.618159722224</v>
      </c>
      <c r="L331" s="6" t="e" cm="1">
        <f t="array" ref="L331">LOOKUP(2^15,SEARCH(Tabela2[Palavras-Chave],Boletim4[[#This Row],[Objeto]],1),Tabela2[Palavras-Chave])</f>
        <v>#N/A</v>
      </c>
    </row>
    <row r="332" spans="1:12" ht="115.2" hidden="1" x14ac:dyDescent="0.3">
      <c r="A332" s="5">
        <v>18801998</v>
      </c>
      <c r="B332" s="6" t="s">
        <v>1484</v>
      </c>
      <c r="C332" s="6" t="s">
        <v>1485</v>
      </c>
      <c r="D332" s="8" t="s">
        <v>66</v>
      </c>
      <c r="E332" s="6" t="s">
        <v>117</v>
      </c>
      <c r="F332" s="6" t="s">
        <v>85</v>
      </c>
      <c r="G332" s="11">
        <v>46135.374305555553</v>
      </c>
      <c r="I332" s="10" t="s">
        <v>1515</v>
      </c>
      <c r="J332" s="6" t="s">
        <v>1516</v>
      </c>
      <c r="K332" s="12">
        <v>46120.556759259256</v>
      </c>
      <c r="L332" s="6" t="e" cm="1">
        <f t="array" ref="L332">LOOKUP(2^15,SEARCH(Tabela2[Palavras-Chave],Boletim4[[#This Row],[Objeto]],1),Tabela2[Palavras-Chave])</f>
        <v>#N/A</v>
      </c>
    </row>
    <row r="333" spans="1:12" ht="100.8" hidden="1" x14ac:dyDescent="0.3">
      <c r="A333" s="5">
        <v>18802471</v>
      </c>
      <c r="B333" s="6" t="s">
        <v>1517</v>
      </c>
      <c r="C333" s="6" t="s">
        <v>1518</v>
      </c>
      <c r="D333" s="8" t="s">
        <v>66</v>
      </c>
      <c r="E333" s="6" t="s">
        <v>108</v>
      </c>
      <c r="F333" s="6" t="s">
        <v>85</v>
      </c>
      <c r="G333" s="11">
        <v>46140.375</v>
      </c>
      <c r="I333" s="10" t="s">
        <v>1519</v>
      </c>
      <c r="J333" s="6" t="s">
        <v>1520</v>
      </c>
      <c r="K333" s="12">
        <v>46120.618148148147</v>
      </c>
      <c r="L333" s="6" t="e" cm="1">
        <f t="array" ref="L333">LOOKUP(2^15,SEARCH(Tabela2[Palavras-Chave],Boletim4[[#This Row],[Objeto]],1),Tabela2[Palavras-Chave])</f>
        <v>#N/A</v>
      </c>
    </row>
    <row r="334" spans="1:12" ht="86.4" hidden="1" x14ac:dyDescent="0.3">
      <c r="A334" s="5">
        <v>18803486</v>
      </c>
      <c r="B334" s="6" t="s">
        <v>1521</v>
      </c>
      <c r="C334" s="6" t="s">
        <v>1522</v>
      </c>
      <c r="D334" s="8" t="s">
        <v>66</v>
      </c>
      <c r="E334" s="6" t="s">
        <v>1499</v>
      </c>
      <c r="F334" s="6" t="s">
        <v>85</v>
      </c>
      <c r="G334" s="11" t="s">
        <v>56</v>
      </c>
      <c r="I334" s="10" t="s">
        <v>1523</v>
      </c>
      <c r="J334" s="6" t="s">
        <v>1524</v>
      </c>
      <c r="K334" s="12">
        <v>46120.6174537037</v>
      </c>
      <c r="L334" s="6" t="e" cm="1">
        <f t="array" ref="L334">LOOKUP(2^15,SEARCH(Tabela2[Palavras-Chave],Boletim4[[#This Row],[Objeto]],1),Tabela2[Palavras-Chave])</f>
        <v>#N/A</v>
      </c>
    </row>
    <row r="335" spans="1:12" ht="72" hidden="1" x14ac:dyDescent="0.3">
      <c r="A335" s="5">
        <v>18796639</v>
      </c>
      <c r="B335" s="6" t="s">
        <v>1525</v>
      </c>
      <c r="C335" s="6" t="s">
        <v>1526</v>
      </c>
      <c r="D335" s="8" t="s">
        <v>66</v>
      </c>
      <c r="E335" s="6" t="s">
        <v>114</v>
      </c>
      <c r="F335" s="6" t="s">
        <v>85</v>
      </c>
      <c r="G335" s="11">
        <v>46140.374305555553</v>
      </c>
      <c r="I335" s="10" t="s">
        <v>1527</v>
      </c>
      <c r="J335" s="6" t="s">
        <v>1528</v>
      </c>
      <c r="K335" s="12">
        <v>46120.586898148147</v>
      </c>
      <c r="L335" s="6" t="e" cm="1">
        <f t="array" ref="L335">LOOKUP(2^15,SEARCH(Tabela2[Palavras-Chave],Boletim4[[#This Row],[Objeto]],1),Tabela2[Palavras-Chave])</f>
        <v>#N/A</v>
      </c>
    </row>
    <row r="336" spans="1:12" ht="115.2" hidden="1" x14ac:dyDescent="0.3">
      <c r="A336" s="5">
        <v>18802788</v>
      </c>
      <c r="B336" s="6" t="s">
        <v>1529</v>
      </c>
      <c r="C336" s="6" t="s">
        <v>1530</v>
      </c>
      <c r="D336" s="8" t="s">
        <v>66</v>
      </c>
      <c r="E336" s="6" t="s">
        <v>157</v>
      </c>
      <c r="F336" s="6" t="s">
        <v>85</v>
      </c>
      <c r="G336" s="11" t="s">
        <v>56</v>
      </c>
      <c r="I336" s="10" t="s">
        <v>1531</v>
      </c>
      <c r="J336" s="6" t="s">
        <v>1532</v>
      </c>
      <c r="K336" s="12">
        <v>46120.606932870367</v>
      </c>
      <c r="L336" s="6" t="e" cm="1">
        <f t="array" ref="L336">LOOKUP(2^15,SEARCH(Tabela2[Palavras-Chave],Boletim4[[#This Row],[Objeto]],1),Tabela2[Palavras-Chave])</f>
        <v>#N/A</v>
      </c>
    </row>
    <row r="337" spans="1:12" ht="100.8" hidden="1" x14ac:dyDescent="0.3">
      <c r="A337" s="5">
        <v>18804014</v>
      </c>
      <c r="B337" s="6" t="s">
        <v>1533</v>
      </c>
      <c r="C337" s="6" t="s">
        <v>1534</v>
      </c>
      <c r="D337" s="8" t="s">
        <v>66</v>
      </c>
      <c r="E337" s="6" t="s">
        <v>127</v>
      </c>
      <c r="F337" s="6" t="s">
        <v>85</v>
      </c>
      <c r="G337" s="11">
        <v>46139.333333333336</v>
      </c>
      <c r="I337" s="10" t="s">
        <v>1535</v>
      </c>
      <c r="J337" s="6" t="s">
        <v>1536</v>
      </c>
      <c r="K337" s="12">
        <v>46120.611793981479</v>
      </c>
      <c r="L337" s="6" t="e" cm="1">
        <f t="array" ref="L337">LOOKUP(2^15,SEARCH(Tabela2[Palavras-Chave],Boletim4[[#This Row],[Objeto]],1),Tabela2[Palavras-Chave])</f>
        <v>#N/A</v>
      </c>
    </row>
    <row r="338" spans="1:12" ht="72" hidden="1" x14ac:dyDescent="0.3">
      <c r="A338" s="5">
        <v>18804172</v>
      </c>
      <c r="B338" s="6" t="s">
        <v>1537</v>
      </c>
      <c r="C338" s="6" t="s">
        <v>1538</v>
      </c>
      <c r="D338" s="8" t="s">
        <v>66</v>
      </c>
      <c r="E338" s="6" t="s">
        <v>1499</v>
      </c>
      <c r="F338" s="6" t="s">
        <v>85</v>
      </c>
      <c r="G338" s="11">
        <v>46134.334027777775</v>
      </c>
      <c r="I338" s="10" t="s">
        <v>1539</v>
      </c>
      <c r="J338" s="6" t="s">
        <v>1540</v>
      </c>
      <c r="K338" s="12">
        <v>46120.624768518515</v>
      </c>
      <c r="L338" s="6" t="e" cm="1">
        <f t="array" ref="L338">LOOKUP(2^15,SEARCH(Tabela2[Palavras-Chave],Boletim4[[#This Row],[Objeto]],1),Tabela2[Palavras-Chave])</f>
        <v>#N/A</v>
      </c>
    </row>
    <row r="339" spans="1:12" ht="100.8" hidden="1" x14ac:dyDescent="0.3">
      <c r="A339" s="5">
        <v>18804074</v>
      </c>
      <c r="B339" s="6" t="s">
        <v>1541</v>
      </c>
      <c r="C339" s="6" t="s">
        <v>1542</v>
      </c>
      <c r="D339" s="8" t="s">
        <v>66</v>
      </c>
      <c r="E339" s="6" t="s">
        <v>165</v>
      </c>
      <c r="F339" s="6" t="s">
        <v>85</v>
      </c>
      <c r="G339" s="11">
        <v>46134.415972222225</v>
      </c>
      <c r="I339" s="10" t="s">
        <v>1543</v>
      </c>
      <c r="J339" s="6" t="s">
        <v>1544</v>
      </c>
      <c r="K339" s="12">
        <v>46120.62736111111</v>
      </c>
      <c r="L339" s="6" t="e" cm="1">
        <f t="array" ref="L339">LOOKUP(2^15,SEARCH(Tabela2[Palavras-Chave],Boletim4[[#This Row],[Objeto]],1),Tabela2[Palavras-Chave])</f>
        <v>#N/A</v>
      </c>
    </row>
    <row r="340" spans="1:12" ht="100.8" hidden="1" x14ac:dyDescent="0.3">
      <c r="A340" s="5">
        <v>18804039</v>
      </c>
      <c r="B340" s="6" t="s">
        <v>1545</v>
      </c>
      <c r="C340" s="6" t="s">
        <v>1546</v>
      </c>
      <c r="D340" s="8" t="s">
        <v>66</v>
      </c>
      <c r="E340" s="6" t="s">
        <v>155</v>
      </c>
      <c r="F340" s="6" t="s">
        <v>85</v>
      </c>
      <c r="G340" s="11">
        <v>46134.333333333336</v>
      </c>
      <c r="I340" s="10" t="s">
        <v>1547</v>
      </c>
      <c r="J340" s="6" t="s">
        <v>1548</v>
      </c>
      <c r="K340" s="12">
        <v>46120.634189814817</v>
      </c>
      <c r="L340" s="6" t="e" cm="1">
        <f t="array" ref="L340">LOOKUP(2^15,SEARCH(Tabela2[Palavras-Chave],Boletim4[[#This Row],[Objeto]],1),Tabela2[Palavras-Chave])</f>
        <v>#N/A</v>
      </c>
    </row>
    <row r="341" spans="1:12" ht="129.6" hidden="1" x14ac:dyDescent="0.3">
      <c r="A341" s="5">
        <v>18803865</v>
      </c>
      <c r="B341" s="6" t="s">
        <v>1484</v>
      </c>
      <c r="C341" s="6" t="s">
        <v>1485</v>
      </c>
      <c r="D341" s="8" t="s">
        <v>66</v>
      </c>
      <c r="E341" s="6" t="s">
        <v>115</v>
      </c>
      <c r="F341" s="6" t="s">
        <v>85</v>
      </c>
      <c r="G341" s="11">
        <v>46132.374305555553</v>
      </c>
      <c r="I341" s="10" t="s">
        <v>1549</v>
      </c>
      <c r="J341" s="6" t="s">
        <v>1550</v>
      </c>
      <c r="K341" s="12">
        <v>46120.64025462963</v>
      </c>
      <c r="L341" s="6" t="e" cm="1">
        <f t="array" ref="L341">LOOKUP(2^15,SEARCH(Tabela2[Palavras-Chave],Boletim4[[#This Row],[Objeto]],1),Tabela2[Palavras-Chave])</f>
        <v>#N/A</v>
      </c>
    </row>
    <row r="342" spans="1:12" ht="100.8" hidden="1" x14ac:dyDescent="0.3">
      <c r="A342" s="5">
        <v>18802348</v>
      </c>
      <c r="B342" s="6" t="s">
        <v>1551</v>
      </c>
      <c r="C342" s="6" t="s">
        <v>65</v>
      </c>
      <c r="D342" s="8" t="s">
        <v>66</v>
      </c>
      <c r="E342" s="6" t="s">
        <v>1552</v>
      </c>
      <c r="F342" s="6" t="s">
        <v>85</v>
      </c>
      <c r="G342" s="11" t="s">
        <v>56</v>
      </c>
      <c r="I342" s="10" t="s">
        <v>1553</v>
      </c>
      <c r="J342" s="6" t="s">
        <v>1554</v>
      </c>
      <c r="K342" s="12">
        <v>46120.64298611111</v>
      </c>
      <c r="L342" s="6" t="e" cm="1">
        <f t="array" ref="L342">LOOKUP(2^15,SEARCH(Tabela2[Palavras-Chave],Boletim4[[#This Row],[Objeto]],1),Tabela2[Palavras-Chave])</f>
        <v>#N/A</v>
      </c>
    </row>
    <row r="343" spans="1:12" ht="115.2" hidden="1" x14ac:dyDescent="0.3">
      <c r="A343" s="5">
        <v>18802786</v>
      </c>
      <c r="B343" s="6" t="s">
        <v>1555</v>
      </c>
      <c r="C343" s="6" t="s">
        <v>65</v>
      </c>
      <c r="D343" s="8" t="s">
        <v>66</v>
      </c>
      <c r="E343" s="6" t="s">
        <v>157</v>
      </c>
      <c r="F343" s="6" t="s">
        <v>85</v>
      </c>
      <c r="G343" s="11" t="s">
        <v>56</v>
      </c>
      <c r="I343" s="10" t="s">
        <v>1556</v>
      </c>
      <c r="J343" s="6" t="s">
        <v>1557</v>
      </c>
      <c r="K343" s="12">
        <v>46120.656851851854</v>
      </c>
      <c r="L343" s="6" t="e" cm="1">
        <f t="array" ref="L343">LOOKUP(2^15,SEARCH(Tabela2[Palavras-Chave],Boletim4[[#This Row],[Objeto]],1),Tabela2[Palavras-Chave])</f>
        <v>#N/A</v>
      </c>
    </row>
    <row r="344" spans="1:12" ht="129.6" hidden="1" x14ac:dyDescent="0.3">
      <c r="A344" s="5">
        <v>18802807</v>
      </c>
      <c r="B344" s="6" t="s">
        <v>1558</v>
      </c>
      <c r="C344" s="6" t="s">
        <v>1559</v>
      </c>
      <c r="D344" s="8" t="s">
        <v>66</v>
      </c>
      <c r="E344" s="6" t="s">
        <v>284</v>
      </c>
      <c r="F344" s="6" t="s">
        <v>85</v>
      </c>
      <c r="G344" s="11" t="s">
        <v>56</v>
      </c>
      <c r="I344" s="10" t="s">
        <v>1560</v>
      </c>
      <c r="J344" s="6" t="s">
        <v>1561</v>
      </c>
      <c r="K344" s="12">
        <v>46120.661041666666</v>
      </c>
      <c r="L344" s="6" t="e" cm="1">
        <f t="array" ref="L344">LOOKUP(2^15,SEARCH(Tabela2[Palavras-Chave],Boletim4[[#This Row],[Objeto]],1),Tabela2[Palavras-Chave])</f>
        <v>#N/A</v>
      </c>
    </row>
    <row r="345" spans="1:12" ht="115.2" hidden="1" x14ac:dyDescent="0.3">
      <c r="A345" s="5">
        <v>18802768</v>
      </c>
      <c r="B345" s="6" t="s">
        <v>1562</v>
      </c>
      <c r="C345" s="6" t="s">
        <v>233</v>
      </c>
      <c r="D345" s="8" t="s">
        <v>66</v>
      </c>
      <c r="E345" s="6" t="s">
        <v>140</v>
      </c>
      <c r="F345" s="6" t="s">
        <v>85</v>
      </c>
      <c r="G345" s="11" t="s">
        <v>56</v>
      </c>
      <c r="I345" s="10" t="s">
        <v>1563</v>
      </c>
      <c r="J345" s="6" t="s">
        <v>1564</v>
      </c>
      <c r="K345" s="12">
        <v>46120.66265046296</v>
      </c>
      <c r="L345" s="6" t="e" cm="1">
        <f t="array" ref="L345">LOOKUP(2^15,SEARCH(Tabela2[Palavras-Chave],Boletim4[[#This Row],[Objeto]],1),Tabela2[Palavras-Chave])</f>
        <v>#N/A</v>
      </c>
    </row>
    <row r="346" spans="1:12" ht="86.4" x14ac:dyDescent="0.3">
      <c r="A346" s="5">
        <v>18803693</v>
      </c>
      <c r="B346" s="6" t="s">
        <v>1565</v>
      </c>
      <c r="C346" s="6" t="s">
        <v>1566</v>
      </c>
      <c r="D346" s="8" t="s">
        <v>66</v>
      </c>
      <c r="E346" s="6" t="s">
        <v>1567</v>
      </c>
      <c r="F346" s="6" t="s">
        <v>85</v>
      </c>
      <c r="G346" s="11" t="s">
        <v>56</v>
      </c>
      <c r="H346" s="23">
        <v>2</v>
      </c>
      <c r="I346" s="10" t="s">
        <v>1568</v>
      </c>
      <c r="J346" s="6" t="s">
        <v>1569</v>
      </c>
      <c r="K346" s="12">
        <v>46120.662870370368</v>
      </c>
      <c r="L346" s="6" t="str" cm="1">
        <f t="array" ref="L346">LOOKUP(2^15,SEARCH(Tabela2[Palavras-Chave],Boletim4[[#This Row],[Objeto]],1),Tabela2[Palavras-Chave])</f>
        <v>JUNTA</v>
      </c>
    </row>
    <row r="347" spans="1:12" ht="100.8" hidden="1" x14ac:dyDescent="0.3">
      <c r="A347" s="5">
        <v>18804736</v>
      </c>
      <c r="B347" s="6" t="s">
        <v>866</v>
      </c>
      <c r="C347" s="6" t="s">
        <v>299</v>
      </c>
      <c r="D347" s="8" t="s">
        <v>66</v>
      </c>
      <c r="E347" s="6" t="s">
        <v>402</v>
      </c>
      <c r="F347" s="6" t="s">
        <v>85</v>
      </c>
      <c r="G347" s="11">
        <v>46140.552083333336</v>
      </c>
      <c r="I347" s="10" t="s">
        <v>1570</v>
      </c>
      <c r="J347" s="6" t="s">
        <v>1571</v>
      </c>
      <c r="K347" s="12">
        <v>46120.695949074077</v>
      </c>
      <c r="L347" s="6" t="e" cm="1">
        <f t="array" ref="L347">LOOKUP(2^15,SEARCH(Tabela2[Palavras-Chave],Boletim4[[#This Row],[Objeto]],1),Tabela2[Palavras-Chave])</f>
        <v>#N/A</v>
      </c>
    </row>
    <row r="348" spans="1:12" ht="72" hidden="1" x14ac:dyDescent="0.3">
      <c r="A348" s="5">
        <v>18804298</v>
      </c>
      <c r="B348" s="6" t="s">
        <v>367</v>
      </c>
      <c r="C348" s="6" t="s">
        <v>368</v>
      </c>
      <c r="D348" s="8" t="s">
        <v>66</v>
      </c>
      <c r="E348" s="6" t="s">
        <v>148</v>
      </c>
      <c r="F348" s="6" t="s">
        <v>85</v>
      </c>
      <c r="G348" s="11">
        <v>46136.354166666664</v>
      </c>
      <c r="I348" s="10" t="s">
        <v>1572</v>
      </c>
      <c r="J348" s="6" t="s">
        <v>1573</v>
      </c>
      <c r="K348" s="12">
        <v>46120.722268518519</v>
      </c>
      <c r="L348" s="6" t="e" cm="1">
        <f t="array" ref="L348">LOOKUP(2^15,SEARCH(Tabela2[Palavras-Chave],Boletim4[[#This Row],[Objeto]],1),Tabela2[Palavras-Chave])</f>
        <v>#N/A</v>
      </c>
    </row>
    <row r="349" spans="1:12" ht="115.2" hidden="1" x14ac:dyDescent="0.3">
      <c r="A349" s="5">
        <v>18802796</v>
      </c>
      <c r="B349" s="6" t="s">
        <v>1555</v>
      </c>
      <c r="C349" s="6" t="s">
        <v>65</v>
      </c>
      <c r="D349" s="8" t="s">
        <v>66</v>
      </c>
      <c r="E349" s="6" t="s">
        <v>112</v>
      </c>
      <c r="F349" s="6" t="s">
        <v>85</v>
      </c>
      <c r="G349" s="11" t="s">
        <v>56</v>
      </c>
      <c r="I349" s="10" t="s">
        <v>1574</v>
      </c>
      <c r="J349" s="6" t="s">
        <v>1575</v>
      </c>
      <c r="K349" s="12">
        <v>46120.733981481484</v>
      </c>
      <c r="L349" s="6" t="e" cm="1">
        <f t="array" ref="L349">LOOKUP(2^15,SEARCH(Tabela2[Palavras-Chave],Boletim4[[#This Row],[Objeto]],1),Tabela2[Palavras-Chave])</f>
        <v>#N/A</v>
      </c>
    </row>
    <row r="350" spans="1:12" ht="115.2" hidden="1" x14ac:dyDescent="0.3">
      <c r="A350" s="5">
        <v>18802730</v>
      </c>
      <c r="B350" s="6" t="s">
        <v>1576</v>
      </c>
      <c r="C350" s="6" t="s">
        <v>233</v>
      </c>
      <c r="D350" s="8" t="s">
        <v>66</v>
      </c>
      <c r="E350" s="6" t="s">
        <v>157</v>
      </c>
      <c r="F350" s="6" t="s">
        <v>85</v>
      </c>
      <c r="G350" s="11" t="s">
        <v>56</v>
      </c>
      <c r="I350" s="10" t="s">
        <v>1577</v>
      </c>
      <c r="J350" s="6" t="s">
        <v>1578</v>
      </c>
      <c r="K350" s="12">
        <v>46120.734756944446</v>
      </c>
      <c r="L350" s="6" t="e" cm="1">
        <f t="array" ref="L350">LOOKUP(2^15,SEARCH(Tabela2[Palavras-Chave],Boletim4[[#This Row],[Objeto]],1),Tabela2[Palavras-Chave])</f>
        <v>#N/A</v>
      </c>
    </row>
    <row r="351" spans="1:12" ht="115.2" hidden="1" x14ac:dyDescent="0.3">
      <c r="A351" s="5">
        <v>18802785</v>
      </c>
      <c r="B351" s="6" t="s">
        <v>363</v>
      </c>
      <c r="C351" s="6" t="s">
        <v>328</v>
      </c>
      <c r="D351" s="8" t="s">
        <v>66</v>
      </c>
      <c r="E351" s="6" t="s">
        <v>152</v>
      </c>
      <c r="F351" s="6" t="s">
        <v>85</v>
      </c>
      <c r="G351" s="11" t="s">
        <v>56</v>
      </c>
      <c r="I351" s="10" t="s">
        <v>1579</v>
      </c>
      <c r="J351" s="6" t="s">
        <v>1580</v>
      </c>
      <c r="K351" s="12">
        <v>46120.735925925925</v>
      </c>
      <c r="L351" s="6" t="e" cm="1">
        <f t="array" ref="L351">LOOKUP(2^15,SEARCH(Tabela2[Palavras-Chave],Boletim4[[#This Row],[Objeto]],1),Tabela2[Palavras-Chave])</f>
        <v>#N/A</v>
      </c>
    </row>
    <row r="352" spans="1:12" ht="115.2" hidden="1" x14ac:dyDescent="0.3">
      <c r="A352" s="5">
        <v>18802770</v>
      </c>
      <c r="B352" s="6" t="s">
        <v>1581</v>
      </c>
      <c r="C352" s="6" t="s">
        <v>1566</v>
      </c>
      <c r="D352" s="8" t="s">
        <v>66</v>
      </c>
      <c r="E352" s="6" t="s">
        <v>238</v>
      </c>
      <c r="F352" s="6" t="s">
        <v>85</v>
      </c>
      <c r="G352" s="11" t="s">
        <v>56</v>
      </c>
      <c r="I352" s="10" t="s">
        <v>1582</v>
      </c>
      <c r="J352" s="6" t="s">
        <v>1583</v>
      </c>
      <c r="K352" s="12">
        <v>46120.736087962963</v>
      </c>
      <c r="L352" s="6" t="e" cm="1">
        <f t="array" ref="L352">LOOKUP(2^15,SEARCH(Tabela2[Palavras-Chave],Boletim4[[#This Row],[Objeto]],1),Tabela2[Palavras-Chave])</f>
        <v>#N/A</v>
      </c>
    </row>
    <row r="353" spans="1:12" ht="57.6" hidden="1" x14ac:dyDescent="0.3">
      <c r="A353" s="5">
        <v>18805514</v>
      </c>
      <c r="B353" s="6" t="s">
        <v>361</v>
      </c>
      <c r="C353" s="6" t="s">
        <v>362</v>
      </c>
      <c r="D353" s="8" t="s">
        <v>66</v>
      </c>
      <c r="E353" s="6" t="s">
        <v>128</v>
      </c>
      <c r="F353" s="6" t="s">
        <v>85</v>
      </c>
      <c r="G353" s="11">
        <v>46135.333333333336</v>
      </c>
      <c r="I353" s="10" t="s">
        <v>1584</v>
      </c>
      <c r="J353" s="6" t="s">
        <v>1585</v>
      </c>
      <c r="K353" s="12">
        <v>46120.82571759259</v>
      </c>
      <c r="L353" s="6" t="e" cm="1">
        <f t="array" ref="L353">LOOKUP(2^15,SEARCH(Tabela2[Palavras-Chave],Boletim4[[#This Row],[Objeto]],1),Tabela2[Palavras-Chave])</f>
        <v>#N/A</v>
      </c>
    </row>
    <row r="354" spans="1:12" ht="86.4" hidden="1" x14ac:dyDescent="0.3">
      <c r="A354" s="5">
        <v>18804225</v>
      </c>
      <c r="B354" s="6" t="s">
        <v>1586</v>
      </c>
      <c r="C354" s="6" t="s">
        <v>1587</v>
      </c>
      <c r="D354" s="8" t="s">
        <v>66</v>
      </c>
      <c r="E354" s="6" t="s">
        <v>223</v>
      </c>
      <c r="F354" s="6" t="s">
        <v>85</v>
      </c>
      <c r="G354" s="11">
        <v>46132.395833333336</v>
      </c>
      <c r="I354" s="10" t="s">
        <v>1588</v>
      </c>
      <c r="J354" s="6" t="s">
        <v>1589</v>
      </c>
      <c r="K354" s="12">
        <v>46120.738252314812</v>
      </c>
      <c r="L354" s="6" t="e" cm="1">
        <f t="array" ref="L354">LOOKUP(2^15,SEARCH(Tabela2[Palavras-Chave],Boletim4[[#This Row],[Objeto]],1),Tabela2[Palavras-Chave])</f>
        <v>#N/A</v>
      </c>
    </row>
    <row r="355" spans="1:12" ht="43.2" hidden="1" x14ac:dyDescent="0.3">
      <c r="A355" s="5">
        <v>18804667</v>
      </c>
      <c r="B355" s="6" t="s">
        <v>1590</v>
      </c>
      <c r="C355" s="6" t="s">
        <v>1591</v>
      </c>
      <c r="D355" s="8" t="s">
        <v>66</v>
      </c>
      <c r="E355" s="6" t="s">
        <v>1499</v>
      </c>
      <c r="F355" s="6" t="s">
        <v>85</v>
      </c>
      <c r="G355" s="11">
        <v>46134.375</v>
      </c>
      <c r="I355" s="10" t="s">
        <v>1592</v>
      </c>
      <c r="J355" s="6" t="s">
        <v>1593</v>
      </c>
      <c r="K355" s="12">
        <v>46120.753495370373</v>
      </c>
      <c r="L355" s="6" t="e" cm="1">
        <f t="array" ref="L355">LOOKUP(2^15,SEARCH(Tabela2[Palavras-Chave],Boletim4[[#This Row],[Objeto]],1),Tabela2[Palavras-Chave])</f>
        <v>#N/A</v>
      </c>
    </row>
    <row r="356" spans="1:12" ht="115.2" hidden="1" x14ac:dyDescent="0.3">
      <c r="A356" s="5">
        <v>18805640</v>
      </c>
      <c r="B356" s="6" t="s">
        <v>1594</v>
      </c>
      <c r="C356" s="6" t="s">
        <v>1595</v>
      </c>
      <c r="D356" s="8" t="s">
        <v>66</v>
      </c>
      <c r="E356" s="6" t="s">
        <v>435</v>
      </c>
      <c r="F356" s="6" t="s">
        <v>85</v>
      </c>
      <c r="G356" s="11">
        <v>46129.333333333336</v>
      </c>
      <c r="I356" s="10" t="s">
        <v>1596</v>
      </c>
      <c r="J356" s="6" t="s">
        <v>1597</v>
      </c>
      <c r="K356" s="12">
        <v>46120.758958333332</v>
      </c>
      <c r="L356" s="6" t="e" cm="1">
        <f t="array" ref="L356">LOOKUP(2^15,SEARCH(Tabela2[Palavras-Chave],Boletim4[[#This Row],[Objeto]],1),Tabela2[Palavras-Chave])</f>
        <v>#N/A</v>
      </c>
    </row>
    <row r="357" spans="1:12" ht="43.2" hidden="1" x14ac:dyDescent="0.3">
      <c r="A357" s="5">
        <v>18804651</v>
      </c>
      <c r="B357" s="6" t="s">
        <v>1598</v>
      </c>
      <c r="C357" s="6" t="s">
        <v>1599</v>
      </c>
      <c r="D357" s="8" t="s">
        <v>66</v>
      </c>
      <c r="E357" s="6" t="s">
        <v>120</v>
      </c>
      <c r="F357" s="6" t="s">
        <v>85</v>
      </c>
      <c r="G357" s="11">
        <v>46135.375</v>
      </c>
      <c r="I357" s="10" t="s">
        <v>1600</v>
      </c>
      <c r="J357" s="6" t="s">
        <v>1601</v>
      </c>
      <c r="K357" s="12">
        <v>46120.759780092594</v>
      </c>
      <c r="L357" s="6" t="e" cm="1">
        <f t="array" ref="L357">LOOKUP(2^15,SEARCH(Tabela2[Palavras-Chave],Boletim4[[#This Row],[Objeto]],1),Tabela2[Palavras-Chave])</f>
        <v>#N/A</v>
      </c>
    </row>
    <row r="358" spans="1:12" ht="244.8" hidden="1" x14ac:dyDescent="0.3">
      <c r="A358" s="5">
        <v>18805656</v>
      </c>
      <c r="B358" s="6" t="s">
        <v>1602</v>
      </c>
      <c r="C358" s="6" t="s">
        <v>1603</v>
      </c>
      <c r="D358" s="8" t="s">
        <v>66</v>
      </c>
      <c r="E358" s="6" t="s">
        <v>134</v>
      </c>
      <c r="F358" s="6" t="s">
        <v>85</v>
      </c>
      <c r="G358" s="11" t="s">
        <v>56</v>
      </c>
      <c r="I358" s="10" t="s">
        <v>1604</v>
      </c>
      <c r="J358" s="6" t="s">
        <v>1605</v>
      </c>
      <c r="K358" s="12">
        <v>46120.762048611112</v>
      </c>
      <c r="L358" s="6" t="e" cm="1">
        <f t="array" ref="L358">LOOKUP(2^15,SEARCH(Tabela2[Palavras-Chave],Boletim4[[#This Row],[Objeto]],1),Tabela2[Palavras-Chave])</f>
        <v>#N/A</v>
      </c>
    </row>
    <row r="359" spans="1:12" ht="72" x14ac:dyDescent="0.3">
      <c r="A359" s="13">
        <v>18805757</v>
      </c>
      <c r="B359" s="10" t="s">
        <v>1606</v>
      </c>
      <c r="C359" s="10" t="s">
        <v>1607</v>
      </c>
      <c r="D359" s="15" t="s">
        <v>66</v>
      </c>
      <c r="E359" s="10" t="s">
        <v>143</v>
      </c>
      <c r="F359" s="10" t="s">
        <v>85</v>
      </c>
      <c r="G359" s="16">
        <v>46146.354166666664</v>
      </c>
      <c r="H359" s="24">
        <v>2</v>
      </c>
      <c r="I359" s="10" t="s">
        <v>1608</v>
      </c>
      <c r="J359" s="10" t="s">
        <v>1609</v>
      </c>
      <c r="K359" s="17">
        <v>46120.80976851852</v>
      </c>
      <c r="L359" s="6" t="str" cm="1">
        <f t="array" ref="L359">LOOKUP(2^15,SEARCH(Tabela2[Palavras-Chave],Boletim4[[#This Row],[Objeto]],1),Tabela2[Palavras-Chave])</f>
        <v>BOMBEAMENTO</v>
      </c>
    </row>
    <row r="360" spans="1:12" ht="100.8" hidden="1" x14ac:dyDescent="0.3">
      <c r="A360" s="5">
        <v>18805756</v>
      </c>
      <c r="B360" s="6" t="s">
        <v>373</v>
      </c>
      <c r="C360" s="6" t="s">
        <v>233</v>
      </c>
      <c r="D360" s="8" t="s">
        <v>66</v>
      </c>
      <c r="E360" s="6" t="s">
        <v>265</v>
      </c>
      <c r="F360" s="6" t="s">
        <v>85</v>
      </c>
      <c r="G360" s="11">
        <v>46139.354166666664</v>
      </c>
      <c r="I360" s="10" t="s">
        <v>1610</v>
      </c>
      <c r="J360" s="6" t="s">
        <v>1611</v>
      </c>
      <c r="K360" s="12">
        <v>46120.829039351855</v>
      </c>
      <c r="L360" s="6" t="e" cm="1">
        <f t="array" ref="L360">LOOKUP(2^15,SEARCH(Tabela2[Palavras-Chave],Boletim4[[#This Row],[Objeto]],1),Tabela2[Palavras-Chave])</f>
        <v>#N/A</v>
      </c>
    </row>
    <row r="361" spans="1:12" ht="72" hidden="1" x14ac:dyDescent="0.3">
      <c r="A361" s="5">
        <v>18803928</v>
      </c>
      <c r="B361" s="6" t="s">
        <v>1612</v>
      </c>
      <c r="C361" s="6" t="s">
        <v>1613</v>
      </c>
      <c r="D361" s="8" t="s">
        <v>66</v>
      </c>
      <c r="E361" s="6" t="s">
        <v>142</v>
      </c>
      <c r="F361" s="6" t="s">
        <v>85</v>
      </c>
      <c r="G361" s="11">
        <v>46136.332638888889</v>
      </c>
      <c r="I361" s="10" t="s">
        <v>1614</v>
      </c>
      <c r="J361" s="6" t="s">
        <v>1615</v>
      </c>
      <c r="K361" s="12">
        <v>46120.777592592596</v>
      </c>
      <c r="L361" s="6" t="e" cm="1">
        <f t="array" ref="L361">LOOKUP(2^15,SEARCH(Tabela2[Palavras-Chave],Boletim4[[#This Row],[Objeto]],1),Tabela2[Palavras-Chave])</f>
        <v>#N/A</v>
      </c>
    </row>
    <row r="362" spans="1:12" ht="86.4" hidden="1" x14ac:dyDescent="0.3">
      <c r="A362" s="5">
        <v>18806068</v>
      </c>
      <c r="B362" s="6" t="s">
        <v>1616</v>
      </c>
      <c r="C362" s="6" t="s">
        <v>1617</v>
      </c>
      <c r="D362" s="8" t="s">
        <v>66</v>
      </c>
      <c r="E362" s="6" t="s">
        <v>374</v>
      </c>
      <c r="F362" s="6" t="s">
        <v>85</v>
      </c>
      <c r="G362" s="11" t="s">
        <v>56</v>
      </c>
      <c r="I362" s="10" t="s">
        <v>1618</v>
      </c>
      <c r="J362" s="6" t="s">
        <v>1619</v>
      </c>
      <c r="K362" s="12">
        <v>46120.813935185186</v>
      </c>
      <c r="L362" s="6" t="e" cm="1">
        <f t="array" ref="L362">LOOKUP(2^15,SEARCH(Tabela2[Palavras-Chave],Boletim4[[#This Row],[Objeto]],1),Tabela2[Palavras-Chave])</f>
        <v>#N/A</v>
      </c>
    </row>
    <row r="363" spans="1:12" ht="115.2" hidden="1" x14ac:dyDescent="0.3">
      <c r="A363" s="5">
        <v>18798064</v>
      </c>
      <c r="B363" s="6" t="s">
        <v>1620</v>
      </c>
      <c r="C363" s="6" t="s">
        <v>1542</v>
      </c>
      <c r="D363" s="8" t="s">
        <v>66</v>
      </c>
      <c r="E363" s="6" t="s">
        <v>114</v>
      </c>
      <c r="F363" s="6" t="s">
        <v>85</v>
      </c>
      <c r="G363" s="11">
        <v>46162.395833333336</v>
      </c>
      <c r="I363" s="10" t="s">
        <v>1621</v>
      </c>
      <c r="J363" s="6" t="s">
        <v>1622</v>
      </c>
      <c r="K363" s="12">
        <v>46120.816724537035</v>
      </c>
      <c r="L363" s="6" t="e" cm="1">
        <f t="array" ref="L363">LOOKUP(2^15,SEARCH(Tabela2[Palavras-Chave],Boletim4[[#This Row],[Objeto]],1),Tabela2[Palavras-Chave])</f>
        <v>#N/A</v>
      </c>
    </row>
    <row r="364" spans="1:12" ht="86.4" hidden="1" x14ac:dyDescent="0.3">
      <c r="A364" s="5">
        <v>18806178</v>
      </c>
      <c r="B364" s="6" t="s">
        <v>1623</v>
      </c>
      <c r="C364" s="6" t="s">
        <v>1624</v>
      </c>
      <c r="D364" s="8" t="s">
        <v>66</v>
      </c>
      <c r="E364" s="6" t="s">
        <v>1625</v>
      </c>
      <c r="F364" s="6" t="s">
        <v>85</v>
      </c>
      <c r="G364" s="11" t="s">
        <v>56</v>
      </c>
      <c r="I364" s="10" t="s">
        <v>1626</v>
      </c>
      <c r="J364" s="6" t="s">
        <v>1627</v>
      </c>
      <c r="K364" s="12">
        <v>46120.823541666665</v>
      </c>
      <c r="L364" s="6" t="e" cm="1">
        <f t="array" ref="L364">LOOKUP(2^15,SEARCH(Tabela2[Palavras-Chave],Boletim4[[#This Row],[Objeto]],1),Tabela2[Palavras-Chave])</f>
        <v>#N/A</v>
      </c>
    </row>
    <row r="365" spans="1:12" ht="115.2" hidden="1" x14ac:dyDescent="0.3">
      <c r="A365" s="5">
        <v>18781869</v>
      </c>
      <c r="B365" s="6" t="s">
        <v>416</v>
      </c>
      <c r="C365" s="6" t="s">
        <v>65</v>
      </c>
      <c r="D365" s="8" t="s">
        <v>66</v>
      </c>
      <c r="E365" s="6" t="s">
        <v>1628</v>
      </c>
      <c r="F365" s="6" t="s">
        <v>85</v>
      </c>
      <c r="G365" s="11" t="s">
        <v>56</v>
      </c>
      <c r="I365" s="10" t="s">
        <v>1629</v>
      </c>
      <c r="J365" s="6" t="s">
        <v>1630</v>
      </c>
      <c r="K365" s="12">
        <v>46120.839930555558</v>
      </c>
      <c r="L365" s="6" t="e" cm="1">
        <f t="array" ref="L365">LOOKUP(2^15,SEARCH(Tabela2[Palavras-Chave],Boletim4[[#This Row],[Objeto]],1),Tabela2[Palavras-Chave])</f>
        <v>#N/A</v>
      </c>
    </row>
    <row r="366" spans="1:12" ht="259.2" hidden="1" x14ac:dyDescent="0.3">
      <c r="A366" s="5">
        <v>18805364</v>
      </c>
      <c r="B366" s="6" t="s">
        <v>371</v>
      </c>
      <c r="C366" s="6" t="s">
        <v>231</v>
      </c>
      <c r="D366" s="8" t="s">
        <v>66</v>
      </c>
      <c r="E366" s="6" t="s">
        <v>106</v>
      </c>
      <c r="F366" s="6" t="s">
        <v>85</v>
      </c>
      <c r="G366" s="11" t="s">
        <v>56</v>
      </c>
      <c r="I366" s="10" t="s">
        <v>1631</v>
      </c>
      <c r="J366" s="6" t="s">
        <v>1632</v>
      </c>
      <c r="K366" s="12">
        <v>46120.871122685188</v>
      </c>
      <c r="L366" s="6" t="e" cm="1">
        <f t="array" ref="L366">LOOKUP(2^15,SEARCH(Tabela2[Palavras-Chave],Boletim4[[#This Row],[Objeto]],1),Tabela2[Palavras-Chave])</f>
        <v>#N/A</v>
      </c>
    </row>
    <row r="367" spans="1:12" hidden="1" x14ac:dyDescent="0.3">
      <c r="A367" s="5">
        <v>18804643</v>
      </c>
      <c r="B367" s="6" t="s">
        <v>248</v>
      </c>
      <c r="C367" s="6" t="s">
        <v>65</v>
      </c>
      <c r="D367" s="8" t="s">
        <v>66</v>
      </c>
      <c r="E367" s="6" t="s">
        <v>1633</v>
      </c>
      <c r="F367" s="6" t="s">
        <v>85</v>
      </c>
      <c r="G367" s="11" t="s">
        <v>56</v>
      </c>
      <c r="I367" s="10" t="s">
        <v>1634</v>
      </c>
      <c r="J367" s="6" t="s">
        <v>1635</v>
      </c>
      <c r="K367" s="12">
        <v>46120.875659722224</v>
      </c>
      <c r="L367" s="6" t="e" cm="1">
        <f t="array" ref="L367">LOOKUP(2^15,SEARCH(Tabela2[Palavras-Chave],Boletim4[[#This Row],[Objeto]],1),Tabela2[Palavras-Chave])</f>
        <v>#N/A</v>
      </c>
    </row>
    <row r="368" spans="1:12" ht="115.2" hidden="1" x14ac:dyDescent="0.3">
      <c r="A368" s="5">
        <v>18804768</v>
      </c>
      <c r="B368" s="6" t="s">
        <v>1636</v>
      </c>
      <c r="C368" s="6" t="s">
        <v>200</v>
      </c>
      <c r="D368" s="8" t="s">
        <v>66</v>
      </c>
      <c r="E368" s="6" t="s">
        <v>117</v>
      </c>
      <c r="F368" s="6" t="s">
        <v>85</v>
      </c>
      <c r="G368" s="11">
        <v>46135.354166666664</v>
      </c>
      <c r="I368" s="10" t="s">
        <v>1637</v>
      </c>
      <c r="J368" s="6" t="s">
        <v>1638</v>
      </c>
      <c r="K368" s="12">
        <v>46120.888877314814</v>
      </c>
      <c r="L368" s="6" t="e" cm="1">
        <f t="array" ref="L368">LOOKUP(2^15,SEARCH(Tabela2[Palavras-Chave],Boletim4[[#This Row],[Objeto]],1),Tabela2[Palavras-Chave])</f>
        <v>#N/A</v>
      </c>
    </row>
    <row r="369" spans="1:12" ht="115.2" hidden="1" x14ac:dyDescent="0.3">
      <c r="A369" s="5">
        <v>18804050</v>
      </c>
      <c r="B369" s="6" t="s">
        <v>1639</v>
      </c>
      <c r="C369" s="6" t="s">
        <v>1640</v>
      </c>
      <c r="D369" s="8" t="s">
        <v>66</v>
      </c>
      <c r="E369" s="6" t="s">
        <v>128</v>
      </c>
      <c r="F369" s="6" t="s">
        <v>85</v>
      </c>
      <c r="G369" s="11">
        <v>46134.364583333336</v>
      </c>
      <c r="I369" s="10" t="s">
        <v>1641</v>
      </c>
      <c r="J369" s="6" t="s">
        <v>1642</v>
      </c>
      <c r="K369" s="12">
        <v>46120.889027777775</v>
      </c>
      <c r="L369" s="6" t="e" cm="1">
        <f t="array" ref="L369">LOOKUP(2^15,SEARCH(Tabela2[Palavras-Chave],Boletim4[[#This Row],[Objeto]],1),Tabela2[Palavras-Chave])</f>
        <v>#N/A</v>
      </c>
    </row>
    <row r="370" spans="1:12" ht="172.8" x14ac:dyDescent="0.3">
      <c r="A370" s="5">
        <v>18802631</v>
      </c>
      <c r="B370" s="6" t="s">
        <v>1643</v>
      </c>
      <c r="C370" s="6" t="s">
        <v>1644</v>
      </c>
      <c r="D370" s="8" t="s">
        <v>67</v>
      </c>
      <c r="E370" s="6" t="s">
        <v>157</v>
      </c>
      <c r="F370" s="6" t="s">
        <v>85</v>
      </c>
      <c r="G370" s="11" t="s">
        <v>56</v>
      </c>
      <c r="H370" s="23">
        <v>2</v>
      </c>
      <c r="I370" s="10" t="s">
        <v>1645</v>
      </c>
      <c r="J370" s="6" t="s">
        <v>1646</v>
      </c>
      <c r="K370" s="12">
        <v>46120.546805555554</v>
      </c>
      <c r="L370" s="6" t="str" cm="1">
        <f t="array" ref="L370">LOOKUP(2^15,SEARCH(Tabela2[Palavras-Chave],Boletim4[[#This Row],[Objeto]],1),Tabela2[Palavras-Chave])</f>
        <v>TANQUE</v>
      </c>
    </row>
    <row r="371" spans="1:12" ht="144" hidden="1" x14ac:dyDescent="0.3">
      <c r="A371" s="5">
        <v>18802638</v>
      </c>
      <c r="B371" s="6" t="s">
        <v>1647</v>
      </c>
      <c r="C371" s="6" t="s">
        <v>123</v>
      </c>
      <c r="D371" s="8" t="s">
        <v>67</v>
      </c>
      <c r="E371" s="6" t="s">
        <v>286</v>
      </c>
      <c r="F371" s="6" t="s">
        <v>85</v>
      </c>
      <c r="G371" s="11" t="s">
        <v>56</v>
      </c>
      <c r="I371" s="10" t="s">
        <v>1648</v>
      </c>
      <c r="J371" s="6" t="s">
        <v>1649</v>
      </c>
      <c r="K371" s="12">
        <v>46120.596087962964</v>
      </c>
      <c r="L371" s="6" t="e" cm="1">
        <f t="array" ref="L371">LOOKUP(2^15,SEARCH(Tabela2[Palavras-Chave],Boletim4[[#This Row],[Objeto]],1),Tabela2[Palavras-Chave])</f>
        <v>#N/A</v>
      </c>
    </row>
    <row r="372" spans="1:12" ht="43.2" hidden="1" x14ac:dyDescent="0.3">
      <c r="A372" s="5">
        <v>18804152</v>
      </c>
      <c r="B372" s="6" t="s">
        <v>1650</v>
      </c>
      <c r="C372" s="6" t="s">
        <v>1651</v>
      </c>
      <c r="D372" s="8" t="s">
        <v>67</v>
      </c>
      <c r="E372" s="6" t="s">
        <v>128</v>
      </c>
      <c r="F372" s="6" t="s">
        <v>85</v>
      </c>
      <c r="G372" s="11">
        <v>46134.375</v>
      </c>
      <c r="I372" s="10" t="s">
        <v>1652</v>
      </c>
      <c r="J372" s="6" t="s">
        <v>90</v>
      </c>
      <c r="K372" s="12">
        <v>46120.612835648149</v>
      </c>
      <c r="L372" s="6" t="e" cm="1">
        <f t="array" ref="L372">LOOKUP(2^15,SEARCH(Tabela2[Palavras-Chave],Boletim4[[#This Row],[Objeto]],1),Tabela2[Palavras-Chave])</f>
        <v>#N/A</v>
      </c>
    </row>
    <row r="373" spans="1:12" ht="115.2" hidden="1" x14ac:dyDescent="0.3">
      <c r="A373" s="5">
        <v>18804020</v>
      </c>
      <c r="B373" s="6" t="s">
        <v>1653</v>
      </c>
      <c r="C373" s="6" t="s">
        <v>1654</v>
      </c>
      <c r="D373" s="8" t="s">
        <v>67</v>
      </c>
      <c r="E373" s="6" t="s">
        <v>117</v>
      </c>
      <c r="F373" s="6" t="s">
        <v>85</v>
      </c>
      <c r="G373" s="11">
        <v>46140.375</v>
      </c>
      <c r="I373" s="10" t="s">
        <v>1655</v>
      </c>
      <c r="J373" s="6" t="s">
        <v>1656</v>
      </c>
      <c r="K373" s="12">
        <v>46120.639351851853</v>
      </c>
      <c r="L373" s="6" t="e" cm="1">
        <f t="array" ref="L373">LOOKUP(2^15,SEARCH(Tabela2[Palavras-Chave],Boletim4[[#This Row],[Objeto]],1),Tabela2[Palavras-Chave])</f>
        <v>#N/A</v>
      </c>
    </row>
    <row r="374" spans="1:12" ht="259.2" hidden="1" x14ac:dyDescent="0.3">
      <c r="A374" s="5">
        <v>18803944</v>
      </c>
      <c r="B374" s="6" t="s">
        <v>1657</v>
      </c>
      <c r="C374" s="6" t="s">
        <v>1658</v>
      </c>
      <c r="D374" s="8" t="s">
        <v>67</v>
      </c>
      <c r="E374" s="6" t="s">
        <v>135</v>
      </c>
      <c r="F374" s="6" t="s">
        <v>85</v>
      </c>
      <c r="G374" s="11" t="s">
        <v>56</v>
      </c>
      <c r="I374" s="10" t="s">
        <v>1659</v>
      </c>
      <c r="J374" s="6" t="s">
        <v>1660</v>
      </c>
      <c r="K374" s="12">
        <v>46120.661400462966</v>
      </c>
      <c r="L374" s="6" t="e" cm="1">
        <f t="array" ref="L374">LOOKUP(2^15,SEARCH(Tabela2[Palavras-Chave],Boletim4[[#This Row],[Objeto]],1),Tabela2[Palavras-Chave])</f>
        <v>#N/A</v>
      </c>
    </row>
    <row r="375" spans="1:12" ht="43.2" hidden="1" x14ac:dyDescent="0.3">
      <c r="A375" s="5">
        <v>18805355</v>
      </c>
      <c r="B375" s="6" t="s">
        <v>1661</v>
      </c>
      <c r="C375" s="6" t="s">
        <v>123</v>
      </c>
      <c r="D375" s="8" t="s">
        <v>67</v>
      </c>
      <c r="E375" s="6" t="s">
        <v>117</v>
      </c>
      <c r="F375" s="6" t="s">
        <v>85</v>
      </c>
      <c r="G375" s="11">
        <v>46140.375</v>
      </c>
      <c r="I375" s="10" t="s">
        <v>1662</v>
      </c>
      <c r="J375" s="6" t="s">
        <v>190</v>
      </c>
      <c r="K375" s="12">
        <v>46120.72016203704</v>
      </c>
      <c r="L375" s="6" t="e" cm="1">
        <f t="array" ref="L375">LOOKUP(2^15,SEARCH(Tabela2[Palavras-Chave],Boletim4[[#This Row],[Objeto]],1),Tabela2[Palavras-Chave])</f>
        <v>#N/A</v>
      </c>
    </row>
    <row r="376" spans="1:12" ht="259.2" hidden="1" x14ac:dyDescent="0.3">
      <c r="A376" s="5">
        <v>18803842</v>
      </c>
      <c r="B376" s="6" t="s">
        <v>1663</v>
      </c>
      <c r="C376" s="6" t="s">
        <v>1664</v>
      </c>
      <c r="D376" s="8" t="s">
        <v>67</v>
      </c>
      <c r="E376" s="6" t="s">
        <v>134</v>
      </c>
      <c r="F376" s="6" t="s">
        <v>85</v>
      </c>
      <c r="G376" s="11" t="s">
        <v>56</v>
      </c>
      <c r="I376" s="10" t="s">
        <v>1665</v>
      </c>
      <c r="J376" s="6" t="s">
        <v>1666</v>
      </c>
      <c r="K376" s="12">
        <v>46120.761712962965</v>
      </c>
      <c r="L376" s="6" t="e" cm="1">
        <f t="array" ref="L376">LOOKUP(2^15,SEARCH(Tabela2[Palavras-Chave],Boletim4[[#This Row],[Objeto]],1),Tabela2[Palavras-Chave])</f>
        <v>#N/A</v>
      </c>
    </row>
    <row r="377" spans="1:12" ht="259.2" hidden="1" x14ac:dyDescent="0.3">
      <c r="A377" s="5">
        <v>18805367</v>
      </c>
      <c r="B377" s="6" t="s">
        <v>1667</v>
      </c>
      <c r="C377" s="6" t="s">
        <v>1668</v>
      </c>
      <c r="D377" s="8" t="s">
        <v>67</v>
      </c>
      <c r="E377" s="6" t="s">
        <v>1669</v>
      </c>
      <c r="F377" s="6" t="s">
        <v>85</v>
      </c>
      <c r="G377" s="11" t="s">
        <v>56</v>
      </c>
      <c r="I377" s="10" t="s">
        <v>1670</v>
      </c>
      <c r="J377" s="6" t="s">
        <v>1671</v>
      </c>
      <c r="K377" s="12">
        <v>46120.771655092591</v>
      </c>
      <c r="L377" s="6" t="e" cm="1">
        <f t="array" ref="L377">LOOKUP(2^15,SEARCH(Tabela2[Palavras-Chave],Boletim4[[#This Row],[Objeto]],1),Tabela2[Palavras-Chave])</f>
        <v>#N/A</v>
      </c>
    </row>
    <row r="378" spans="1:12" ht="244.8" hidden="1" x14ac:dyDescent="0.3">
      <c r="A378" s="5">
        <v>18805334</v>
      </c>
      <c r="B378" s="6" t="s">
        <v>375</v>
      </c>
      <c r="C378" s="6" t="s">
        <v>376</v>
      </c>
      <c r="D378" s="8" t="s">
        <v>67</v>
      </c>
      <c r="E378" s="6" t="s">
        <v>128</v>
      </c>
      <c r="F378" s="6" t="s">
        <v>85</v>
      </c>
      <c r="G378" s="11" t="s">
        <v>56</v>
      </c>
      <c r="I378" s="10" t="s">
        <v>1672</v>
      </c>
      <c r="J378" s="6" t="s">
        <v>1673</v>
      </c>
      <c r="K378" s="12">
        <v>46120.773680555554</v>
      </c>
      <c r="L378" s="6" t="e" cm="1">
        <f t="array" ref="L378">LOOKUP(2^15,SEARCH(Tabela2[Palavras-Chave],Boletim4[[#This Row],[Objeto]],1),Tabela2[Palavras-Chave])</f>
        <v>#N/A</v>
      </c>
    </row>
    <row r="379" spans="1:12" ht="273.60000000000002" hidden="1" x14ac:dyDescent="0.3">
      <c r="A379" s="5">
        <v>18802110</v>
      </c>
      <c r="B379" s="6" t="s">
        <v>234</v>
      </c>
      <c r="C379" s="6" t="s">
        <v>227</v>
      </c>
      <c r="D379" s="8" t="s">
        <v>91</v>
      </c>
      <c r="E379" s="6" t="s">
        <v>121</v>
      </c>
      <c r="F379" s="6" t="s">
        <v>85</v>
      </c>
      <c r="G379" s="11" t="s">
        <v>56</v>
      </c>
      <c r="I379" s="10" t="s">
        <v>1674</v>
      </c>
      <c r="J379" s="6" t="s">
        <v>1675</v>
      </c>
      <c r="K379" s="12">
        <v>46120.458368055559</v>
      </c>
      <c r="L379" s="6" t="e" cm="1">
        <f t="array" ref="L379">LOOKUP(2^15,SEARCH(Tabela2[Palavras-Chave],Boletim4[[#This Row],[Objeto]],1),Tabela2[Palavras-Chave])</f>
        <v>#N/A</v>
      </c>
    </row>
    <row r="380" spans="1:12" ht="115.2" hidden="1" x14ac:dyDescent="0.3">
      <c r="A380" s="5">
        <v>18802834</v>
      </c>
      <c r="B380" s="6" t="s">
        <v>1676</v>
      </c>
      <c r="C380" s="6" t="s">
        <v>111</v>
      </c>
      <c r="D380" s="8" t="s">
        <v>91</v>
      </c>
      <c r="E380" s="6" t="s">
        <v>1677</v>
      </c>
      <c r="F380" s="6" t="s">
        <v>85</v>
      </c>
      <c r="G380" s="11" t="s">
        <v>56</v>
      </c>
      <c r="I380" s="10" t="s">
        <v>1678</v>
      </c>
      <c r="J380" s="6" t="s">
        <v>1679</v>
      </c>
      <c r="K380" s="12">
        <v>46120.519456018519</v>
      </c>
      <c r="L380" s="6" t="e" cm="1">
        <f t="array" ref="L380">LOOKUP(2^15,SEARCH(Tabela2[Palavras-Chave],Boletim4[[#This Row],[Objeto]],1),Tabela2[Palavras-Chave])</f>
        <v>#N/A</v>
      </c>
    </row>
    <row r="381" spans="1:12" ht="259.2" hidden="1" x14ac:dyDescent="0.3">
      <c r="A381" s="5">
        <v>18801577</v>
      </c>
      <c r="B381" s="6" t="s">
        <v>1680</v>
      </c>
      <c r="C381" s="6" t="s">
        <v>1681</v>
      </c>
      <c r="D381" s="8" t="s">
        <v>91</v>
      </c>
      <c r="E381" s="6" t="s">
        <v>148</v>
      </c>
      <c r="F381" s="6" t="s">
        <v>85</v>
      </c>
      <c r="G381" s="11" t="s">
        <v>56</v>
      </c>
      <c r="I381" s="10" t="s">
        <v>1682</v>
      </c>
      <c r="J381" s="6" t="s">
        <v>1683</v>
      </c>
      <c r="K381" s="12">
        <v>46120.588472222225</v>
      </c>
      <c r="L381" s="6" t="e" cm="1">
        <f t="array" ref="L381">LOOKUP(2^15,SEARCH(Tabela2[Palavras-Chave],Boletim4[[#This Row],[Objeto]],1),Tabela2[Palavras-Chave])</f>
        <v>#N/A</v>
      </c>
    </row>
    <row r="382" spans="1:12" ht="259.2" hidden="1" x14ac:dyDescent="0.3">
      <c r="A382" s="5">
        <v>18801567</v>
      </c>
      <c r="B382" s="6" t="s">
        <v>1684</v>
      </c>
      <c r="C382" s="6" t="s">
        <v>1685</v>
      </c>
      <c r="D382" s="8" t="s">
        <v>91</v>
      </c>
      <c r="E382" s="6" t="s">
        <v>109</v>
      </c>
      <c r="F382" s="6" t="s">
        <v>85</v>
      </c>
      <c r="G382" s="11" t="s">
        <v>56</v>
      </c>
      <c r="I382" s="10" t="s">
        <v>1686</v>
      </c>
      <c r="J382" s="6" t="s">
        <v>1687</v>
      </c>
      <c r="K382" s="12">
        <v>46120.625925925924</v>
      </c>
      <c r="L382" s="6" t="e" cm="1">
        <f t="array" ref="L382">LOOKUP(2^15,SEARCH(Tabela2[Palavras-Chave],Boletim4[[#This Row],[Objeto]],1),Tabela2[Palavras-Chave])</f>
        <v>#N/A</v>
      </c>
    </row>
    <row r="383" spans="1:12" ht="259.2" hidden="1" x14ac:dyDescent="0.3">
      <c r="A383" s="5">
        <v>18801612</v>
      </c>
      <c r="B383" s="6" t="s">
        <v>1688</v>
      </c>
      <c r="C383" s="6" t="s">
        <v>269</v>
      </c>
      <c r="D383" s="8" t="s">
        <v>91</v>
      </c>
      <c r="E383" s="6" t="s">
        <v>1222</v>
      </c>
      <c r="F383" s="6" t="s">
        <v>85</v>
      </c>
      <c r="G383" s="11" t="s">
        <v>56</v>
      </c>
      <c r="I383" s="10" t="s">
        <v>1689</v>
      </c>
      <c r="J383" s="6" t="s">
        <v>1690</v>
      </c>
      <c r="K383" s="12">
        <v>46120.723692129628</v>
      </c>
      <c r="L383" s="6" t="e" cm="1">
        <f t="array" ref="L383">LOOKUP(2^15,SEARCH(Tabela2[Palavras-Chave],Boletim4[[#This Row],[Objeto]],1),Tabela2[Palavras-Chave])</f>
        <v>#N/A</v>
      </c>
    </row>
    <row r="384" spans="1:12" ht="158.4" x14ac:dyDescent="0.3">
      <c r="A384" s="5">
        <v>18804619</v>
      </c>
      <c r="B384" s="6" t="s">
        <v>1691</v>
      </c>
      <c r="C384" s="6" t="s">
        <v>1692</v>
      </c>
      <c r="D384" s="8" t="s">
        <v>91</v>
      </c>
      <c r="E384" s="6" t="s">
        <v>143</v>
      </c>
      <c r="F384" s="6" t="s">
        <v>85</v>
      </c>
      <c r="G384" s="11">
        <v>46134.354166666664</v>
      </c>
      <c r="H384" s="23">
        <v>2</v>
      </c>
      <c r="I384" s="10" t="s">
        <v>1693</v>
      </c>
      <c r="J384" s="6" t="s">
        <v>1694</v>
      </c>
      <c r="K384" s="12">
        <v>46120.753055555557</v>
      </c>
      <c r="L384" s="6" t="str" cm="1">
        <f t="array" ref="L384">LOOKUP(2^15,SEARCH(Tabela2[Palavras-Chave],Boletim4[[#This Row],[Objeto]],1),Tabela2[Palavras-Chave])</f>
        <v>DIAGNÓSTICO</v>
      </c>
    </row>
    <row r="385" spans="1:12" ht="100.8" hidden="1" x14ac:dyDescent="0.3">
      <c r="A385" s="5">
        <v>18798635</v>
      </c>
      <c r="B385" s="6" t="s">
        <v>1695</v>
      </c>
      <c r="C385" s="6" t="s">
        <v>1696</v>
      </c>
      <c r="D385" s="8" t="s">
        <v>68</v>
      </c>
      <c r="E385" s="6" t="s">
        <v>124</v>
      </c>
      <c r="F385" s="6" t="s">
        <v>85</v>
      </c>
      <c r="G385" s="11">
        <v>46135.374305555553</v>
      </c>
      <c r="I385" s="10" t="s">
        <v>1697</v>
      </c>
      <c r="J385" s="6" t="s">
        <v>1698</v>
      </c>
      <c r="K385" s="12">
        <v>46120.388252314813</v>
      </c>
      <c r="L385" s="6" t="e" cm="1">
        <f t="array" ref="L385">LOOKUP(2^15,SEARCH(Tabela2[Palavras-Chave],Boletim4[[#This Row],[Objeto]],1),Tabela2[Palavras-Chave])</f>
        <v>#N/A</v>
      </c>
    </row>
    <row r="386" spans="1:12" ht="115.2" hidden="1" x14ac:dyDescent="0.3">
      <c r="A386" s="5">
        <v>18802016</v>
      </c>
      <c r="B386" s="6" t="s">
        <v>1699</v>
      </c>
      <c r="C386" s="6" t="s">
        <v>1696</v>
      </c>
      <c r="D386" s="8" t="s">
        <v>68</v>
      </c>
      <c r="E386" s="6" t="s">
        <v>117</v>
      </c>
      <c r="F386" s="6" t="s">
        <v>85</v>
      </c>
      <c r="G386" s="11">
        <v>46134.374305555553</v>
      </c>
      <c r="I386" s="10" t="s">
        <v>1700</v>
      </c>
      <c r="J386" s="6" t="s">
        <v>1701</v>
      </c>
      <c r="K386" s="12">
        <v>46120.445196759261</v>
      </c>
      <c r="L386" s="6" t="e" cm="1">
        <f t="array" ref="L386">LOOKUP(2^15,SEARCH(Tabela2[Palavras-Chave],Boletim4[[#This Row],[Objeto]],1),Tabela2[Palavras-Chave])</f>
        <v>#N/A</v>
      </c>
    </row>
    <row r="387" spans="1:12" ht="100.8" hidden="1" x14ac:dyDescent="0.3">
      <c r="A387" s="5">
        <v>18802011</v>
      </c>
      <c r="B387" s="6" t="s">
        <v>1702</v>
      </c>
      <c r="C387" s="6" t="s">
        <v>1703</v>
      </c>
      <c r="D387" s="8" t="s">
        <v>68</v>
      </c>
      <c r="E387" s="6" t="s">
        <v>106</v>
      </c>
      <c r="F387" s="6" t="s">
        <v>85</v>
      </c>
      <c r="G387" s="11">
        <v>46134.4375</v>
      </c>
      <c r="I387" s="10" t="s">
        <v>1704</v>
      </c>
      <c r="J387" s="6" t="s">
        <v>1705</v>
      </c>
      <c r="K387" s="12">
        <v>46120.446817129632</v>
      </c>
      <c r="L387" s="6" t="e" cm="1">
        <f t="array" ref="L387">LOOKUP(2^15,SEARCH(Tabela2[Palavras-Chave],Boletim4[[#This Row],[Objeto]],1),Tabela2[Palavras-Chave])</f>
        <v>#N/A</v>
      </c>
    </row>
    <row r="388" spans="1:12" ht="115.2" hidden="1" x14ac:dyDescent="0.3">
      <c r="A388" s="5">
        <v>18804755</v>
      </c>
      <c r="B388" s="6" t="s">
        <v>1706</v>
      </c>
      <c r="C388" s="6" t="s">
        <v>1707</v>
      </c>
      <c r="D388" s="8" t="s">
        <v>68</v>
      </c>
      <c r="E388" s="6" t="s">
        <v>407</v>
      </c>
      <c r="F388" s="6" t="s">
        <v>85</v>
      </c>
      <c r="G388" s="11">
        <v>46134.332638888889</v>
      </c>
      <c r="I388" s="10" t="s">
        <v>1708</v>
      </c>
      <c r="J388" s="6" t="s">
        <v>1709</v>
      </c>
      <c r="K388" s="12">
        <v>46120.724699074075</v>
      </c>
      <c r="L388" s="6" t="e" cm="1">
        <f t="array" ref="L388">LOOKUP(2^15,SEARCH(Tabela2[Palavras-Chave],Boletim4[[#This Row],[Objeto]],1),Tabela2[Palavras-Chave])</f>
        <v>#N/A</v>
      </c>
    </row>
    <row r="389" spans="1:12" ht="100.8" hidden="1" x14ac:dyDescent="0.3">
      <c r="A389" s="5">
        <v>18802020</v>
      </c>
      <c r="B389" s="6" t="s">
        <v>290</v>
      </c>
      <c r="C389" s="6" t="s">
        <v>283</v>
      </c>
      <c r="D389" s="8" t="s">
        <v>92</v>
      </c>
      <c r="E389" s="6" t="s">
        <v>117</v>
      </c>
      <c r="F389" s="6" t="s">
        <v>85</v>
      </c>
      <c r="G389" s="11">
        <v>46134</v>
      </c>
      <c r="I389" s="10" t="s">
        <v>1710</v>
      </c>
      <c r="J389" s="6" t="s">
        <v>1711</v>
      </c>
      <c r="K389" s="12">
        <v>46120.445208333331</v>
      </c>
      <c r="L389" s="6" t="e" cm="1">
        <f t="array" ref="L389">LOOKUP(2^15,SEARCH(Tabela2[Palavras-Chave],Boletim4[[#This Row],[Objeto]],1),Tabela2[Palavras-Chave])</f>
        <v>#N/A</v>
      </c>
    </row>
    <row r="390" spans="1:12" ht="86.4" hidden="1" x14ac:dyDescent="0.3">
      <c r="A390" s="5">
        <v>18791357</v>
      </c>
      <c r="B390" s="6" t="s">
        <v>1712</v>
      </c>
      <c r="C390" s="6" t="s">
        <v>1713</v>
      </c>
      <c r="D390" s="8" t="s">
        <v>92</v>
      </c>
      <c r="E390" s="6" t="s">
        <v>114</v>
      </c>
      <c r="F390" s="6" t="s">
        <v>85</v>
      </c>
      <c r="G390" s="11">
        <v>46211.375</v>
      </c>
      <c r="I390" s="10" t="s">
        <v>1714</v>
      </c>
      <c r="J390" s="6" t="s">
        <v>1715</v>
      </c>
      <c r="K390" s="12">
        <v>46120.450775462959</v>
      </c>
      <c r="L390" s="6" t="e" cm="1">
        <f t="array" ref="L390">LOOKUP(2^15,SEARCH(Tabela2[Palavras-Chave],Boletim4[[#This Row],[Objeto]],1),Tabela2[Palavras-Chave])</f>
        <v>#N/A</v>
      </c>
    </row>
    <row r="391" spans="1:12" ht="100.8" hidden="1" x14ac:dyDescent="0.3">
      <c r="A391" s="5">
        <v>18793274</v>
      </c>
      <c r="B391" s="6" t="s">
        <v>1716</v>
      </c>
      <c r="C391" s="6" t="s">
        <v>1717</v>
      </c>
      <c r="D391" s="8" t="s">
        <v>92</v>
      </c>
      <c r="E391" s="6" t="s">
        <v>172</v>
      </c>
      <c r="F391" s="6" t="s">
        <v>85</v>
      </c>
      <c r="G391" s="11">
        <v>46127.374305555553</v>
      </c>
      <c r="I391" s="10" t="s">
        <v>1718</v>
      </c>
      <c r="J391" s="6" t="s">
        <v>1719</v>
      </c>
      <c r="K391" s="12">
        <v>46120.502812500003</v>
      </c>
      <c r="L391" s="6" t="e" cm="1">
        <f t="array" ref="L391">LOOKUP(2^15,SEARCH(Tabela2[Palavras-Chave],Boletim4[[#This Row],[Objeto]],1),Tabela2[Palavras-Chave])</f>
        <v>#N/A</v>
      </c>
    </row>
    <row r="392" spans="1:12" ht="100.8" hidden="1" x14ac:dyDescent="0.3">
      <c r="A392" s="5">
        <v>18789825</v>
      </c>
      <c r="B392" s="6" t="s">
        <v>1716</v>
      </c>
      <c r="C392" s="6" t="s">
        <v>1717</v>
      </c>
      <c r="D392" s="8" t="s">
        <v>92</v>
      </c>
      <c r="E392" s="6" t="s">
        <v>212</v>
      </c>
      <c r="F392" s="6" t="s">
        <v>85</v>
      </c>
      <c r="G392" s="11">
        <v>46126.561805555553</v>
      </c>
      <c r="I392" s="10" t="s">
        <v>1720</v>
      </c>
      <c r="J392" s="6" t="s">
        <v>1721</v>
      </c>
      <c r="K392" s="12">
        <v>46120.502824074072</v>
      </c>
      <c r="L392" s="6" t="e" cm="1">
        <f t="array" ref="L392">LOOKUP(2^15,SEARCH(Tabela2[Palavras-Chave],Boletim4[[#This Row],[Objeto]],1),Tabela2[Palavras-Chave])</f>
        <v>#N/A</v>
      </c>
    </row>
    <row r="393" spans="1:12" ht="100.8" hidden="1" x14ac:dyDescent="0.3">
      <c r="A393" s="5">
        <v>18799776</v>
      </c>
      <c r="B393" s="6" t="s">
        <v>1722</v>
      </c>
      <c r="C393" s="6" t="s">
        <v>1723</v>
      </c>
      <c r="D393" s="8" t="s">
        <v>92</v>
      </c>
      <c r="E393" s="6" t="s">
        <v>134</v>
      </c>
      <c r="F393" s="6" t="s">
        <v>85</v>
      </c>
      <c r="G393" s="11">
        <v>46135.374305555553</v>
      </c>
      <c r="I393" s="10" t="s">
        <v>1724</v>
      </c>
      <c r="J393" s="6" t="s">
        <v>1725</v>
      </c>
      <c r="K393" s="12">
        <v>46120.502835648149</v>
      </c>
      <c r="L393" s="6" t="e" cm="1">
        <f t="array" ref="L393">LOOKUP(2^15,SEARCH(Tabela2[Palavras-Chave],Boletim4[[#This Row],[Objeto]],1),Tabela2[Palavras-Chave])</f>
        <v>#N/A</v>
      </c>
    </row>
    <row r="394" spans="1:12" ht="115.2" hidden="1" x14ac:dyDescent="0.3">
      <c r="A394" s="5">
        <v>18804042</v>
      </c>
      <c r="B394" s="6" t="s">
        <v>1726</v>
      </c>
      <c r="C394" s="6" t="s">
        <v>1727</v>
      </c>
      <c r="D394" s="8" t="s">
        <v>92</v>
      </c>
      <c r="E394" s="6" t="s">
        <v>381</v>
      </c>
      <c r="F394" s="6" t="s">
        <v>85</v>
      </c>
      <c r="G394" s="11">
        <v>46134.374305555553</v>
      </c>
      <c r="I394" s="10" t="s">
        <v>1728</v>
      </c>
      <c r="J394" s="6" t="s">
        <v>1729</v>
      </c>
      <c r="K394" s="12">
        <v>46120.634062500001</v>
      </c>
      <c r="L394" s="6" t="e" cm="1">
        <f t="array" ref="L394">LOOKUP(2^15,SEARCH(Tabela2[Palavras-Chave],Boletim4[[#This Row],[Objeto]],1),Tabela2[Palavras-Chave])</f>
        <v>#N/A</v>
      </c>
    </row>
    <row r="395" spans="1:12" ht="100.8" hidden="1" x14ac:dyDescent="0.3">
      <c r="A395" s="5">
        <v>18804751</v>
      </c>
      <c r="B395" s="6" t="s">
        <v>1730</v>
      </c>
      <c r="C395" s="6" t="s">
        <v>1731</v>
      </c>
      <c r="D395" s="8" t="s">
        <v>92</v>
      </c>
      <c r="E395" s="6" t="s">
        <v>120</v>
      </c>
      <c r="F395" s="6" t="s">
        <v>85</v>
      </c>
      <c r="G395" s="11">
        <v>46134.353472222225</v>
      </c>
      <c r="I395" s="10" t="s">
        <v>1732</v>
      </c>
      <c r="J395" s="6" t="s">
        <v>1733</v>
      </c>
      <c r="K395" s="12">
        <v>46120.731608796297</v>
      </c>
      <c r="L395" s="6" t="e" cm="1">
        <f t="array" ref="L395">LOOKUP(2^15,SEARCH(Tabela2[Palavras-Chave],Boletim4[[#This Row],[Objeto]],1),Tabela2[Palavras-Chave])</f>
        <v>#N/A</v>
      </c>
    </row>
    <row r="396" spans="1:12" ht="100.8" hidden="1" x14ac:dyDescent="0.3">
      <c r="A396" s="13">
        <v>18802002</v>
      </c>
      <c r="B396" s="10" t="s">
        <v>1734</v>
      </c>
      <c r="C396" s="10" t="s">
        <v>1735</v>
      </c>
      <c r="D396" s="15" t="s">
        <v>70</v>
      </c>
      <c r="E396" s="10" t="s">
        <v>135</v>
      </c>
      <c r="F396" s="10" t="s">
        <v>85</v>
      </c>
      <c r="G396" s="16">
        <v>46134.375</v>
      </c>
      <c r="H396" s="24"/>
      <c r="I396" s="10" t="s">
        <v>1736</v>
      </c>
      <c r="J396" s="10" t="s">
        <v>1737</v>
      </c>
      <c r="K396" s="17">
        <v>46120.475486111114</v>
      </c>
      <c r="L396" s="6" t="e" cm="1">
        <f t="array" ref="L396">LOOKUP(2^15,SEARCH(Tabela2[Palavras-Chave],Boletim4[[#This Row],[Objeto]],1),Tabela2[Palavras-Chave])</f>
        <v>#N/A</v>
      </c>
    </row>
    <row r="397" spans="1:12" ht="72" hidden="1" x14ac:dyDescent="0.3">
      <c r="A397" s="5">
        <v>18802238</v>
      </c>
      <c r="B397" s="6" t="s">
        <v>74</v>
      </c>
      <c r="C397" s="6" t="s">
        <v>69</v>
      </c>
      <c r="D397" s="8" t="s">
        <v>70</v>
      </c>
      <c r="E397" s="6" t="s">
        <v>1232</v>
      </c>
      <c r="F397" s="6" t="s">
        <v>85</v>
      </c>
      <c r="G397" s="11" t="s">
        <v>56</v>
      </c>
      <c r="I397" s="10" t="s">
        <v>1233</v>
      </c>
      <c r="J397" s="6" t="s">
        <v>1234</v>
      </c>
      <c r="K397" s="12">
        <v>46120.529907407406</v>
      </c>
      <c r="L397" s="6" t="e" cm="1">
        <f t="array" ref="L397">LOOKUP(2^15,SEARCH(Tabela2[Palavras-Chave],Boletim4[[#This Row],[Objeto]],1),Tabela2[Palavras-Chave])</f>
        <v>#N/A</v>
      </c>
    </row>
    <row r="398" spans="1:12" ht="86.4" hidden="1" x14ac:dyDescent="0.3">
      <c r="A398" s="5">
        <v>18803788</v>
      </c>
      <c r="B398" s="6" t="s">
        <v>1738</v>
      </c>
      <c r="C398" s="6" t="s">
        <v>69</v>
      </c>
      <c r="D398" s="8" t="s">
        <v>70</v>
      </c>
      <c r="E398" s="6" t="s">
        <v>1739</v>
      </c>
      <c r="F398" s="6" t="s">
        <v>85</v>
      </c>
      <c r="G398" s="11" t="s">
        <v>56</v>
      </c>
      <c r="I398" s="10" t="s">
        <v>1740</v>
      </c>
      <c r="J398" s="6" t="s">
        <v>1741</v>
      </c>
      <c r="K398" s="12">
        <v>46120.617430555554</v>
      </c>
      <c r="L398" s="6" t="e" cm="1">
        <f t="array" ref="L398">LOOKUP(2^15,SEARCH(Tabela2[Palavras-Chave],Boletim4[[#This Row],[Objeto]],1),Tabela2[Palavras-Chave])</f>
        <v>#N/A</v>
      </c>
    </row>
    <row r="399" spans="1:12" ht="244.8" hidden="1" x14ac:dyDescent="0.3">
      <c r="A399" s="5">
        <v>18803857</v>
      </c>
      <c r="B399" s="6" t="s">
        <v>1742</v>
      </c>
      <c r="C399" s="6" t="s">
        <v>1743</v>
      </c>
      <c r="D399" s="8" t="s">
        <v>70</v>
      </c>
      <c r="E399" s="6" t="s">
        <v>135</v>
      </c>
      <c r="F399" s="6" t="s">
        <v>85</v>
      </c>
      <c r="G399" s="11" t="s">
        <v>56</v>
      </c>
      <c r="I399" s="10" t="s">
        <v>1744</v>
      </c>
      <c r="J399" s="6" t="s">
        <v>1745</v>
      </c>
      <c r="K399" s="12">
        <v>46120.604826388888</v>
      </c>
      <c r="L399" s="6" t="e" cm="1">
        <f t="array" ref="L399">LOOKUP(2^15,SEARCH(Tabela2[Palavras-Chave],Boletim4[[#This Row],[Objeto]],1),Tabela2[Palavras-Chave])</f>
        <v>#N/A</v>
      </c>
    </row>
    <row r="400" spans="1:12" ht="115.2" hidden="1" x14ac:dyDescent="0.3">
      <c r="A400" s="5">
        <v>18802833</v>
      </c>
      <c r="B400" s="6" t="s">
        <v>1746</v>
      </c>
      <c r="C400" s="6" t="s">
        <v>1747</v>
      </c>
      <c r="D400" s="8" t="s">
        <v>70</v>
      </c>
      <c r="E400" s="6" t="s">
        <v>230</v>
      </c>
      <c r="F400" s="6" t="s">
        <v>85</v>
      </c>
      <c r="G400" s="11" t="s">
        <v>56</v>
      </c>
      <c r="I400" s="10" t="s">
        <v>1748</v>
      </c>
      <c r="J400" s="6" t="s">
        <v>1749</v>
      </c>
      <c r="K400" s="12">
        <v>46120.628842592596</v>
      </c>
      <c r="L400" s="6" t="e" cm="1">
        <f t="array" ref="L400">LOOKUP(2^15,SEARCH(Tabela2[Palavras-Chave],Boletim4[[#This Row],[Objeto]],1),Tabela2[Palavras-Chave])</f>
        <v>#N/A</v>
      </c>
    </row>
    <row r="401" spans="1:12" ht="244.8" hidden="1" x14ac:dyDescent="0.3">
      <c r="A401" s="5">
        <v>18805343</v>
      </c>
      <c r="B401" s="6" t="s">
        <v>1750</v>
      </c>
      <c r="C401" s="6" t="s">
        <v>1751</v>
      </c>
      <c r="D401" s="8" t="s">
        <v>70</v>
      </c>
      <c r="E401" s="6" t="s">
        <v>117</v>
      </c>
      <c r="F401" s="6" t="s">
        <v>85</v>
      </c>
      <c r="G401" s="11" t="s">
        <v>56</v>
      </c>
      <c r="I401" s="10" t="s">
        <v>1752</v>
      </c>
      <c r="J401" s="6" t="s">
        <v>1753</v>
      </c>
      <c r="K401" s="12">
        <v>46120.721562500003</v>
      </c>
      <c r="L401" s="6" t="e" cm="1">
        <f t="array" ref="L401">LOOKUP(2^15,SEARCH(Tabela2[Palavras-Chave],Boletim4[[#This Row],[Objeto]],1),Tabela2[Palavras-Chave])</f>
        <v>#N/A</v>
      </c>
    </row>
    <row r="402" spans="1:12" ht="244.8" hidden="1" x14ac:dyDescent="0.3">
      <c r="A402" s="5">
        <v>18805326</v>
      </c>
      <c r="B402" s="6" t="s">
        <v>1754</v>
      </c>
      <c r="C402" s="6" t="s">
        <v>1755</v>
      </c>
      <c r="D402" s="8" t="s">
        <v>70</v>
      </c>
      <c r="E402" s="6" t="s">
        <v>127</v>
      </c>
      <c r="F402" s="6" t="s">
        <v>85</v>
      </c>
      <c r="G402" s="11" t="s">
        <v>56</v>
      </c>
      <c r="I402" s="10" t="s">
        <v>1756</v>
      </c>
      <c r="J402" s="6" t="s">
        <v>1757</v>
      </c>
      <c r="K402" s="12">
        <v>46120.72693287037</v>
      </c>
      <c r="L402" s="6" t="e" cm="1">
        <f t="array" ref="L402">LOOKUP(2^15,SEARCH(Tabela2[Palavras-Chave],Boletim4[[#This Row],[Objeto]],1),Tabela2[Palavras-Chave])</f>
        <v>#N/A</v>
      </c>
    </row>
    <row r="403" spans="1:12" ht="244.8" hidden="1" x14ac:dyDescent="0.3">
      <c r="A403" s="5">
        <v>18805616</v>
      </c>
      <c r="B403" s="6" t="s">
        <v>1758</v>
      </c>
      <c r="C403" s="6" t="s">
        <v>1759</v>
      </c>
      <c r="D403" s="8" t="s">
        <v>70</v>
      </c>
      <c r="E403" s="6" t="s">
        <v>128</v>
      </c>
      <c r="F403" s="6" t="s">
        <v>85</v>
      </c>
      <c r="G403" s="11" t="s">
        <v>56</v>
      </c>
      <c r="I403" s="10" t="s">
        <v>1760</v>
      </c>
      <c r="J403" s="6" t="s">
        <v>1761</v>
      </c>
      <c r="K403" s="12">
        <v>46120.759108796294</v>
      </c>
      <c r="L403" s="6" t="e" cm="1">
        <f t="array" ref="L403">LOOKUP(2^15,SEARCH(Tabela2[Palavras-Chave],Boletim4[[#This Row],[Objeto]],1),Tabela2[Palavras-Chave])</f>
        <v>#N/A</v>
      </c>
    </row>
    <row r="404" spans="1:12" ht="79.2" customHeight="1" x14ac:dyDescent="0.3">
      <c r="A404" s="5">
        <v>18802437</v>
      </c>
      <c r="B404" s="6" t="s">
        <v>1762</v>
      </c>
      <c r="C404" s="6" t="s">
        <v>69</v>
      </c>
      <c r="D404" s="8" t="s">
        <v>70</v>
      </c>
      <c r="E404" s="6" t="s">
        <v>1763</v>
      </c>
      <c r="F404" s="6" t="s">
        <v>85</v>
      </c>
      <c r="G404" s="11">
        <v>46128.375</v>
      </c>
      <c r="H404" s="25">
        <v>1</v>
      </c>
      <c r="I404" s="10" t="s">
        <v>1764</v>
      </c>
      <c r="J404" s="6" t="s">
        <v>1765</v>
      </c>
      <c r="K404" s="12">
        <v>46120.759918981479</v>
      </c>
      <c r="L404" s="6" t="str" cm="1">
        <f t="array" ref="L404">LOOKUP(2^15,SEARCH(Tabela2[Palavras-Chave],Boletim4[[#This Row],[Objeto]],1),Tabela2[Palavras-Chave])</f>
        <v>BOOSTER</v>
      </c>
    </row>
    <row r="405" spans="1:12" ht="259.2" hidden="1" x14ac:dyDescent="0.3">
      <c r="A405" s="5">
        <v>18804248</v>
      </c>
      <c r="B405" s="6" t="s">
        <v>1766</v>
      </c>
      <c r="C405" s="6" t="s">
        <v>378</v>
      </c>
      <c r="D405" s="8" t="s">
        <v>70</v>
      </c>
      <c r="E405" s="6" t="s">
        <v>134</v>
      </c>
      <c r="F405" s="6" t="s">
        <v>85</v>
      </c>
      <c r="G405" s="11" t="s">
        <v>56</v>
      </c>
      <c r="I405" s="10" t="s">
        <v>1767</v>
      </c>
      <c r="J405" s="6" t="s">
        <v>1768</v>
      </c>
      <c r="K405" s="12">
        <v>46120.760451388887</v>
      </c>
      <c r="L405" s="6" t="e" cm="1">
        <f t="array" ref="L405">LOOKUP(2^15,SEARCH(Tabela2[Palavras-Chave],Boletim4[[#This Row],[Objeto]],1),Tabela2[Palavras-Chave])</f>
        <v>#N/A</v>
      </c>
    </row>
    <row r="406" spans="1:12" ht="115.2" hidden="1" x14ac:dyDescent="0.3">
      <c r="A406" s="5">
        <v>18802842</v>
      </c>
      <c r="B406" s="6" t="s">
        <v>1769</v>
      </c>
      <c r="C406" s="6" t="s">
        <v>69</v>
      </c>
      <c r="D406" s="8" t="s">
        <v>70</v>
      </c>
      <c r="E406" s="6" t="s">
        <v>232</v>
      </c>
      <c r="F406" s="6" t="s">
        <v>85</v>
      </c>
      <c r="G406" s="11" t="s">
        <v>56</v>
      </c>
      <c r="I406" s="10" t="s">
        <v>1770</v>
      </c>
      <c r="J406" s="6" t="s">
        <v>1771</v>
      </c>
      <c r="K406" s="12">
        <v>46120.858680555553</v>
      </c>
      <c r="L406" s="6" t="e" cm="1">
        <f t="array" ref="L406">LOOKUP(2^15,SEARCH(Tabela2[Palavras-Chave],Boletim4[[#This Row],[Objeto]],1),Tabela2[Palavras-Chave])</f>
        <v>#N/A</v>
      </c>
    </row>
    <row r="407" spans="1:12" ht="115.2" hidden="1" x14ac:dyDescent="0.3">
      <c r="A407" s="5">
        <v>18803456</v>
      </c>
      <c r="B407" s="6" t="s">
        <v>331</v>
      </c>
      <c r="C407" s="6" t="s">
        <v>69</v>
      </c>
      <c r="D407" s="8" t="s">
        <v>70</v>
      </c>
      <c r="E407" s="6" t="s">
        <v>1772</v>
      </c>
      <c r="F407" s="6" t="s">
        <v>85</v>
      </c>
      <c r="G407" s="11">
        <v>46160.458333333336</v>
      </c>
      <c r="I407" s="10" t="s">
        <v>1773</v>
      </c>
      <c r="J407" s="6" t="s">
        <v>1774</v>
      </c>
      <c r="K407" s="12">
        <v>46120.901296296295</v>
      </c>
      <c r="L407" s="6" t="e" cm="1">
        <f t="array" ref="L407">LOOKUP(2^15,SEARCH(Tabela2[Palavras-Chave],Boletim4[[#This Row],[Objeto]],1),Tabela2[Palavras-Chave])</f>
        <v>#N/A</v>
      </c>
    </row>
    <row r="408" spans="1:12" ht="28.8" hidden="1" x14ac:dyDescent="0.3">
      <c r="A408" s="5">
        <v>18800926</v>
      </c>
      <c r="B408" s="6" t="s">
        <v>1775</v>
      </c>
      <c r="C408" s="6" t="s">
        <v>1776</v>
      </c>
      <c r="D408" s="8" t="s">
        <v>71</v>
      </c>
      <c r="E408" s="6" t="s">
        <v>113</v>
      </c>
      <c r="F408" s="6" t="s">
        <v>85</v>
      </c>
      <c r="G408" s="11">
        <v>46132.354166666664</v>
      </c>
      <c r="I408" s="10" t="s">
        <v>1777</v>
      </c>
      <c r="J408" s="6" t="s">
        <v>1778</v>
      </c>
      <c r="K408" s="12">
        <v>46120.388356481482</v>
      </c>
      <c r="L408" s="6" t="e" cm="1">
        <f t="array" ref="L408">LOOKUP(2^15,SEARCH(Tabela2[Palavras-Chave],Boletim4[[#This Row],[Objeto]],1),Tabela2[Palavras-Chave])</f>
        <v>#N/A</v>
      </c>
    </row>
    <row r="409" spans="1:12" ht="129.6" hidden="1" x14ac:dyDescent="0.3">
      <c r="A409" s="5">
        <v>18802870</v>
      </c>
      <c r="B409" s="6" t="s">
        <v>1779</v>
      </c>
      <c r="C409" s="6" t="s">
        <v>133</v>
      </c>
      <c r="D409" s="8" t="s">
        <v>71</v>
      </c>
      <c r="E409" s="6" t="s">
        <v>1780</v>
      </c>
      <c r="F409" s="6" t="s">
        <v>85</v>
      </c>
      <c r="G409" s="11" t="s">
        <v>56</v>
      </c>
      <c r="I409" s="10" t="s">
        <v>1781</v>
      </c>
      <c r="J409" s="6" t="s">
        <v>1782</v>
      </c>
      <c r="K409" s="12">
        <v>46120.588356481479</v>
      </c>
      <c r="L409" s="6" t="e" cm="1">
        <f t="array" ref="L409">LOOKUP(2^15,SEARCH(Tabela2[Palavras-Chave],Boletim4[[#This Row],[Objeto]],1),Tabela2[Palavras-Chave])</f>
        <v>#N/A</v>
      </c>
    </row>
    <row r="410" spans="1:12" ht="129.6" hidden="1" x14ac:dyDescent="0.3">
      <c r="A410" s="5">
        <v>18802854</v>
      </c>
      <c r="B410" s="6" t="s">
        <v>1779</v>
      </c>
      <c r="C410" s="6" t="s">
        <v>133</v>
      </c>
      <c r="D410" s="8" t="s">
        <v>71</v>
      </c>
      <c r="E410" s="6" t="s">
        <v>1783</v>
      </c>
      <c r="F410" s="6" t="s">
        <v>85</v>
      </c>
      <c r="G410" s="11" t="s">
        <v>56</v>
      </c>
      <c r="I410" s="10" t="s">
        <v>1784</v>
      </c>
      <c r="J410" s="6" t="s">
        <v>1785</v>
      </c>
      <c r="K410" s="12">
        <v>46120.588391203702</v>
      </c>
      <c r="L410" s="6" t="e" cm="1">
        <f t="array" ref="L410">LOOKUP(2^15,SEARCH(Tabela2[Palavras-Chave],Boletim4[[#This Row],[Objeto]],1),Tabela2[Palavras-Chave])</f>
        <v>#N/A</v>
      </c>
    </row>
    <row r="411" spans="1:12" ht="43.2" hidden="1" x14ac:dyDescent="0.3">
      <c r="A411" s="5">
        <v>18805629</v>
      </c>
      <c r="B411" s="6" t="s">
        <v>1786</v>
      </c>
      <c r="C411" s="6" t="s">
        <v>1787</v>
      </c>
      <c r="D411" s="8" t="s">
        <v>71</v>
      </c>
      <c r="E411" s="6" t="s">
        <v>115</v>
      </c>
      <c r="F411" s="6" t="s">
        <v>85</v>
      </c>
      <c r="G411" s="11">
        <v>46134.375</v>
      </c>
      <c r="I411" s="10" t="s">
        <v>1788</v>
      </c>
      <c r="J411" s="6" t="s">
        <v>1789</v>
      </c>
      <c r="K411" s="12">
        <v>46120.746990740743</v>
      </c>
      <c r="L411" s="6" t="e" cm="1">
        <f t="array" ref="L411">LOOKUP(2^15,SEARCH(Tabela2[Palavras-Chave],Boletim4[[#This Row],[Objeto]],1),Tabela2[Palavras-Chave])</f>
        <v>#N/A</v>
      </c>
    </row>
    <row r="412" spans="1:12" ht="86.4" hidden="1" x14ac:dyDescent="0.3">
      <c r="A412" s="5">
        <v>18800615</v>
      </c>
      <c r="B412" s="6" t="s">
        <v>1790</v>
      </c>
      <c r="C412" s="6" t="s">
        <v>1791</v>
      </c>
      <c r="D412" s="8" t="s">
        <v>72</v>
      </c>
      <c r="E412" s="6" t="s">
        <v>134</v>
      </c>
      <c r="F412" s="6" t="s">
        <v>85</v>
      </c>
      <c r="G412" s="11" t="s">
        <v>56</v>
      </c>
      <c r="I412" s="10" t="s">
        <v>1792</v>
      </c>
      <c r="J412" s="6" t="s">
        <v>1793</v>
      </c>
      <c r="K412" s="12">
        <v>46120.388356481482</v>
      </c>
      <c r="L412" s="6" t="e" cm="1">
        <f t="array" ref="L412">LOOKUP(2^15,SEARCH(Tabela2[Palavras-Chave],Boletim4[[#This Row],[Objeto]],1),Tabela2[Palavras-Chave])</f>
        <v>#N/A</v>
      </c>
    </row>
    <row r="413" spans="1:12" ht="86.4" hidden="1" x14ac:dyDescent="0.3">
      <c r="A413" s="13">
        <v>18795164</v>
      </c>
      <c r="B413" s="10" t="s">
        <v>1794</v>
      </c>
      <c r="C413" s="10" t="s">
        <v>1795</v>
      </c>
      <c r="D413" s="15" t="s">
        <v>72</v>
      </c>
      <c r="E413" s="10" t="s">
        <v>381</v>
      </c>
      <c r="F413" s="10" t="s">
        <v>85</v>
      </c>
      <c r="G413" s="16" t="s">
        <v>56</v>
      </c>
      <c r="H413" s="24"/>
      <c r="I413" s="10" t="s">
        <v>1796</v>
      </c>
      <c r="J413" s="10" t="s">
        <v>1797</v>
      </c>
      <c r="K413" s="17">
        <v>46120.388935185183</v>
      </c>
      <c r="L413" s="6" t="e" cm="1">
        <f t="array" ref="L413">LOOKUP(2^15,SEARCH(Tabela2[Palavras-Chave],Boletim4[[#This Row],[Objeto]],1),Tabela2[Palavras-Chave])</f>
        <v>#N/A</v>
      </c>
    </row>
    <row r="414" spans="1:12" ht="115.2" hidden="1" x14ac:dyDescent="0.3">
      <c r="A414" s="5">
        <v>18800924</v>
      </c>
      <c r="B414" s="6" t="s">
        <v>1798</v>
      </c>
      <c r="C414" s="6" t="s">
        <v>1799</v>
      </c>
      <c r="D414" s="8" t="s">
        <v>72</v>
      </c>
      <c r="E414" s="6" t="s">
        <v>141</v>
      </c>
      <c r="F414" s="6" t="s">
        <v>85</v>
      </c>
      <c r="G414" s="11">
        <v>46125.333333333336</v>
      </c>
      <c r="I414" s="10" t="s">
        <v>1800</v>
      </c>
      <c r="J414" s="6" t="s">
        <v>1801</v>
      </c>
      <c r="K414" s="12">
        <v>46120.388969907406</v>
      </c>
      <c r="L414" s="6" t="e" cm="1">
        <f t="array" ref="L414">LOOKUP(2^15,SEARCH(Tabela2[Palavras-Chave],Boletim4[[#This Row],[Objeto]],1),Tabela2[Palavras-Chave])</f>
        <v>#N/A</v>
      </c>
    </row>
    <row r="415" spans="1:12" ht="86.4" hidden="1" x14ac:dyDescent="0.3">
      <c r="A415" s="5">
        <v>18798439</v>
      </c>
      <c r="B415" s="6" t="s">
        <v>1802</v>
      </c>
      <c r="C415" s="6" t="s">
        <v>1803</v>
      </c>
      <c r="D415" s="8" t="s">
        <v>72</v>
      </c>
      <c r="E415" s="6" t="s">
        <v>148</v>
      </c>
      <c r="F415" s="6" t="s">
        <v>85</v>
      </c>
      <c r="G415" s="11" t="s">
        <v>56</v>
      </c>
      <c r="I415" s="10" t="s">
        <v>1804</v>
      </c>
      <c r="J415" s="6" t="s">
        <v>1805</v>
      </c>
      <c r="K415" s="12">
        <v>46120.388981481483</v>
      </c>
      <c r="L415" s="6" t="e" cm="1">
        <f t="array" ref="L415">LOOKUP(2^15,SEARCH(Tabela2[Palavras-Chave],Boletim4[[#This Row],[Objeto]],1),Tabela2[Palavras-Chave])</f>
        <v>#N/A</v>
      </c>
    </row>
    <row r="416" spans="1:12" ht="259.2" hidden="1" x14ac:dyDescent="0.3">
      <c r="A416" s="5">
        <v>18801592</v>
      </c>
      <c r="B416" s="6" t="s">
        <v>1806</v>
      </c>
      <c r="C416" s="6" t="s">
        <v>1807</v>
      </c>
      <c r="D416" s="8" t="s">
        <v>72</v>
      </c>
      <c r="E416" s="6" t="s">
        <v>120</v>
      </c>
      <c r="F416" s="6" t="s">
        <v>85</v>
      </c>
      <c r="G416" s="11" t="s">
        <v>56</v>
      </c>
      <c r="I416" s="10" t="s">
        <v>1808</v>
      </c>
      <c r="J416" s="6" t="s">
        <v>1809</v>
      </c>
      <c r="K416" s="12">
        <v>46120.456736111111</v>
      </c>
      <c r="L416" s="6" t="e" cm="1">
        <f t="array" ref="L416">LOOKUP(2^15,SEARCH(Tabela2[Palavras-Chave],Boletim4[[#This Row],[Objeto]],1),Tabela2[Palavras-Chave])</f>
        <v>#N/A</v>
      </c>
    </row>
    <row r="417" spans="1:12" ht="259.2" hidden="1" x14ac:dyDescent="0.3">
      <c r="A417" s="5">
        <v>18801599</v>
      </c>
      <c r="B417" s="6" t="s">
        <v>1810</v>
      </c>
      <c r="C417" s="6" t="s">
        <v>1811</v>
      </c>
      <c r="D417" s="8" t="s">
        <v>72</v>
      </c>
      <c r="E417" s="6" t="s">
        <v>456</v>
      </c>
      <c r="F417" s="6" t="s">
        <v>85</v>
      </c>
      <c r="G417" s="11" t="s">
        <v>56</v>
      </c>
      <c r="I417" s="10" t="s">
        <v>1812</v>
      </c>
      <c r="J417" s="6" t="s">
        <v>1813</v>
      </c>
      <c r="K417" s="12">
        <v>46120.491944444446</v>
      </c>
      <c r="L417" s="6" t="e" cm="1">
        <f t="array" ref="L417">LOOKUP(2^15,SEARCH(Tabela2[Palavras-Chave],Boletim4[[#This Row],[Objeto]],1),Tabela2[Palavras-Chave])</f>
        <v>#N/A</v>
      </c>
    </row>
    <row r="418" spans="1:12" ht="244.8" hidden="1" x14ac:dyDescent="0.3">
      <c r="A418" s="5">
        <v>18801669</v>
      </c>
      <c r="B418" s="6" t="s">
        <v>1814</v>
      </c>
      <c r="C418" s="6" t="s">
        <v>1815</v>
      </c>
      <c r="D418" s="8" t="s">
        <v>72</v>
      </c>
      <c r="E418" s="6" t="s">
        <v>143</v>
      </c>
      <c r="F418" s="6" t="s">
        <v>85</v>
      </c>
      <c r="G418" s="11" t="s">
        <v>56</v>
      </c>
      <c r="I418" s="10" t="s">
        <v>1816</v>
      </c>
      <c r="J418" s="6" t="s">
        <v>1817</v>
      </c>
      <c r="K418" s="12">
        <v>46120.493738425925</v>
      </c>
      <c r="L418" s="6" t="e" cm="1">
        <f t="array" ref="L418">LOOKUP(2^15,SEARCH(Tabela2[Palavras-Chave],Boletim4[[#This Row],[Objeto]],1),Tabela2[Palavras-Chave])</f>
        <v>#N/A</v>
      </c>
    </row>
    <row r="419" spans="1:12" ht="115.2" hidden="1" x14ac:dyDescent="0.3">
      <c r="A419" s="5">
        <v>18802711</v>
      </c>
      <c r="B419" s="6" t="s">
        <v>384</v>
      </c>
      <c r="C419" s="6" t="s">
        <v>206</v>
      </c>
      <c r="D419" s="8" t="s">
        <v>72</v>
      </c>
      <c r="E419" s="6" t="s">
        <v>1818</v>
      </c>
      <c r="F419" s="6" t="s">
        <v>85</v>
      </c>
      <c r="G419" s="11" t="s">
        <v>56</v>
      </c>
      <c r="I419" s="10" t="s">
        <v>1819</v>
      </c>
      <c r="J419" s="6" t="s">
        <v>1820</v>
      </c>
      <c r="K419" s="12">
        <v>46120.516493055555</v>
      </c>
      <c r="L419" s="6" t="e" cm="1">
        <f t="array" ref="L419">LOOKUP(2^15,SEARCH(Tabela2[Palavras-Chave],Boletim4[[#This Row],[Objeto]],1),Tabela2[Palavras-Chave])</f>
        <v>#N/A</v>
      </c>
    </row>
    <row r="420" spans="1:12" ht="288" hidden="1" x14ac:dyDescent="0.3">
      <c r="A420" s="5">
        <v>18801632</v>
      </c>
      <c r="B420" s="6" t="s">
        <v>235</v>
      </c>
      <c r="C420" s="6" t="s">
        <v>236</v>
      </c>
      <c r="D420" s="8" t="s">
        <v>72</v>
      </c>
      <c r="E420" s="6" t="s">
        <v>143</v>
      </c>
      <c r="F420" s="6" t="s">
        <v>85</v>
      </c>
      <c r="G420" s="11" t="s">
        <v>56</v>
      </c>
      <c r="I420" s="10" t="s">
        <v>1821</v>
      </c>
      <c r="J420" s="6" t="s">
        <v>1822</v>
      </c>
      <c r="K420" s="12">
        <v>46120.517847222225</v>
      </c>
      <c r="L420" s="6" t="e" cm="1">
        <f t="array" ref="L420">LOOKUP(2^15,SEARCH(Tabela2[Palavras-Chave],Boletim4[[#This Row],[Objeto]],1),Tabela2[Palavras-Chave])</f>
        <v>#N/A</v>
      </c>
    </row>
    <row r="421" spans="1:12" ht="115.2" hidden="1" x14ac:dyDescent="0.3">
      <c r="A421" s="5">
        <v>18802706</v>
      </c>
      <c r="B421" s="6" t="s">
        <v>1823</v>
      </c>
      <c r="C421" s="6" t="s">
        <v>1824</v>
      </c>
      <c r="D421" s="8" t="s">
        <v>72</v>
      </c>
      <c r="E421" s="6" t="s">
        <v>184</v>
      </c>
      <c r="F421" s="6" t="s">
        <v>85</v>
      </c>
      <c r="G421" s="11" t="s">
        <v>56</v>
      </c>
      <c r="I421" s="10" t="s">
        <v>1825</v>
      </c>
      <c r="J421" s="6" t="s">
        <v>1826</v>
      </c>
      <c r="K421" s="12">
        <v>46120.525682870371</v>
      </c>
      <c r="L421" s="6" t="e" cm="1">
        <f t="array" ref="L421">LOOKUP(2^15,SEARCH(Tabela2[Palavras-Chave],Boletim4[[#This Row],[Objeto]],1),Tabela2[Palavras-Chave])</f>
        <v>#N/A</v>
      </c>
    </row>
    <row r="422" spans="1:12" ht="72" hidden="1" x14ac:dyDescent="0.3">
      <c r="A422" s="5">
        <v>18802232</v>
      </c>
      <c r="B422" s="6" t="s">
        <v>74</v>
      </c>
      <c r="C422" s="6" t="s">
        <v>73</v>
      </c>
      <c r="D422" s="8" t="s">
        <v>72</v>
      </c>
      <c r="E422" s="6" t="s">
        <v>1394</v>
      </c>
      <c r="F422" s="6" t="s">
        <v>85</v>
      </c>
      <c r="G422" s="11" t="s">
        <v>56</v>
      </c>
      <c r="I422" s="10" t="s">
        <v>1395</v>
      </c>
      <c r="J422" s="6" t="s">
        <v>1396</v>
      </c>
      <c r="K422" s="12">
        <v>46120.529236111113</v>
      </c>
      <c r="L422" s="6" t="e" cm="1">
        <f t="array" ref="L422">LOOKUP(2^15,SEARCH(Tabela2[Palavras-Chave],Boletim4[[#This Row],[Objeto]],1),Tabela2[Palavras-Chave])</f>
        <v>#N/A</v>
      </c>
    </row>
    <row r="423" spans="1:12" ht="115.2" hidden="1" x14ac:dyDescent="0.3">
      <c r="A423" s="5">
        <v>18802762</v>
      </c>
      <c r="B423" s="6" t="s">
        <v>1827</v>
      </c>
      <c r="C423" s="6" t="s">
        <v>1828</v>
      </c>
      <c r="D423" s="8" t="s">
        <v>72</v>
      </c>
      <c r="E423" s="6" t="s">
        <v>1677</v>
      </c>
      <c r="F423" s="6" t="s">
        <v>85</v>
      </c>
      <c r="G423" s="11" t="s">
        <v>56</v>
      </c>
      <c r="I423" s="10" t="s">
        <v>1829</v>
      </c>
      <c r="J423" s="6" t="s">
        <v>1830</v>
      </c>
      <c r="K423" s="12">
        <v>46120.527129629627</v>
      </c>
      <c r="L423" s="6" t="e" cm="1">
        <f t="array" ref="L423">LOOKUP(2^15,SEARCH(Tabela2[Palavras-Chave],Boletim4[[#This Row],[Objeto]],1),Tabela2[Palavras-Chave])</f>
        <v>#N/A</v>
      </c>
    </row>
    <row r="424" spans="1:12" ht="72" hidden="1" x14ac:dyDescent="0.3">
      <c r="A424" s="5">
        <v>18802239</v>
      </c>
      <c r="B424" s="6" t="s">
        <v>74</v>
      </c>
      <c r="C424" s="6" t="s">
        <v>73</v>
      </c>
      <c r="D424" s="8" t="s">
        <v>72</v>
      </c>
      <c r="E424" s="6" t="s">
        <v>1232</v>
      </c>
      <c r="F424" s="6" t="s">
        <v>85</v>
      </c>
      <c r="G424" s="11" t="s">
        <v>56</v>
      </c>
      <c r="I424" s="10" t="s">
        <v>1233</v>
      </c>
      <c r="J424" s="6" t="s">
        <v>1234</v>
      </c>
      <c r="K424" s="12">
        <v>46120.529907407406</v>
      </c>
      <c r="L424" s="6" t="e" cm="1">
        <f t="array" ref="L424">LOOKUP(2^15,SEARCH(Tabela2[Palavras-Chave],Boletim4[[#This Row],[Objeto]],1),Tabela2[Palavras-Chave])</f>
        <v>#N/A</v>
      </c>
    </row>
    <row r="425" spans="1:12" ht="144" hidden="1" x14ac:dyDescent="0.3">
      <c r="A425" s="5">
        <v>18802744</v>
      </c>
      <c r="B425" s="6" t="s">
        <v>457</v>
      </c>
      <c r="C425" s="6" t="s">
        <v>385</v>
      </c>
      <c r="D425" s="8" t="s">
        <v>72</v>
      </c>
      <c r="E425" s="6" t="s">
        <v>1471</v>
      </c>
      <c r="F425" s="6" t="s">
        <v>85</v>
      </c>
      <c r="G425" s="11" t="s">
        <v>56</v>
      </c>
      <c r="I425" s="10" t="s">
        <v>1831</v>
      </c>
      <c r="J425" s="6" t="s">
        <v>1832</v>
      </c>
      <c r="K425" s="12">
        <v>46120.542523148149</v>
      </c>
      <c r="L425" s="6" t="e" cm="1">
        <f t="array" ref="L425">LOOKUP(2^15,SEARCH(Tabela2[Palavras-Chave],Boletim4[[#This Row],[Objeto]],1),Tabela2[Palavras-Chave])</f>
        <v>#N/A</v>
      </c>
    </row>
    <row r="426" spans="1:12" ht="259.2" hidden="1" x14ac:dyDescent="0.3">
      <c r="A426" s="5">
        <v>18801569</v>
      </c>
      <c r="B426" s="6" t="s">
        <v>1833</v>
      </c>
      <c r="C426" s="6" t="s">
        <v>1834</v>
      </c>
      <c r="D426" s="8" t="s">
        <v>72</v>
      </c>
      <c r="E426" s="6" t="s">
        <v>223</v>
      </c>
      <c r="F426" s="6" t="s">
        <v>85</v>
      </c>
      <c r="G426" s="11" t="s">
        <v>56</v>
      </c>
      <c r="I426" s="10" t="s">
        <v>1835</v>
      </c>
      <c r="J426" s="6" t="s">
        <v>1836</v>
      </c>
      <c r="K426" s="12">
        <v>46120.563032407408</v>
      </c>
      <c r="L426" s="6" t="e" cm="1">
        <f t="array" ref="L426">LOOKUP(2^15,SEARCH(Tabela2[Palavras-Chave],Boletim4[[#This Row],[Objeto]],1),Tabela2[Palavras-Chave])</f>
        <v>#N/A</v>
      </c>
    </row>
    <row r="427" spans="1:12" ht="273.60000000000002" hidden="1" x14ac:dyDescent="0.3">
      <c r="A427" s="5">
        <v>18801571</v>
      </c>
      <c r="B427" s="6" t="s">
        <v>424</v>
      </c>
      <c r="C427" s="6" t="s">
        <v>425</v>
      </c>
      <c r="D427" s="8" t="s">
        <v>72</v>
      </c>
      <c r="E427" s="6" t="s">
        <v>1669</v>
      </c>
      <c r="F427" s="6" t="s">
        <v>85</v>
      </c>
      <c r="G427" s="11" t="s">
        <v>56</v>
      </c>
      <c r="I427" s="10" t="s">
        <v>1837</v>
      </c>
      <c r="J427" s="6" t="s">
        <v>1838</v>
      </c>
      <c r="K427" s="12">
        <v>46120.564212962963</v>
      </c>
      <c r="L427" s="6" t="e" cm="1">
        <f t="array" ref="L427">LOOKUP(2^15,SEARCH(Tabela2[Palavras-Chave],Boletim4[[#This Row],[Objeto]],1),Tabela2[Palavras-Chave])</f>
        <v>#N/A</v>
      </c>
    </row>
    <row r="428" spans="1:12" ht="115.2" hidden="1" x14ac:dyDescent="0.3">
      <c r="A428" s="5">
        <v>18800365</v>
      </c>
      <c r="B428" s="6" t="s">
        <v>1839</v>
      </c>
      <c r="C428" s="6" t="s">
        <v>1840</v>
      </c>
      <c r="D428" s="8" t="s">
        <v>72</v>
      </c>
      <c r="E428" s="6" t="s">
        <v>125</v>
      </c>
      <c r="F428" s="6" t="s">
        <v>85</v>
      </c>
      <c r="G428" s="11" t="s">
        <v>56</v>
      </c>
      <c r="I428" s="10" t="s">
        <v>1841</v>
      </c>
      <c r="J428" s="6" t="s">
        <v>1842</v>
      </c>
      <c r="K428" s="12">
        <v>46120.586863425924</v>
      </c>
      <c r="L428" s="6" t="e" cm="1">
        <f t="array" ref="L428">LOOKUP(2^15,SEARCH(Tabela2[Palavras-Chave],Boletim4[[#This Row],[Objeto]],1),Tabela2[Palavras-Chave])</f>
        <v>#N/A</v>
      </c>
    </row>
    <row r="429" spans="1:12" ht="129.6" hidden="1" x14ac:dyDescent="0.3">
      <c r="A429" s="5">
        <v>18802691</v>
      </c>
      <c r="B429" s="6" t="s">
        <v>239</v>
      </c>
      <c r="C429" s="6" t="s">
        <v>240</v>
      </c>
      <c r="D429" s="8" t="s">
        <v>72</v>
      </c>
      <c r="E429" s="6" t="s">
        <v>267</v>
      </c>
      <c r="F429" s="6" t="s">
        <v>85</v>
      </c>
      <c r="G429" s="11" t="s">
        <v>56</v>
      </c>
      <c r="I429" s="10" t="s">
        <v>1843</v>
      </c>
      <c r="J429" s="6" t="s">
        <v>1844</v>
      </c>
      <c r="K429" s="12">
        <v>46120.586840277778</v>
      </c>
      <c r="L429" s="6" t="e" cm="1">
        <f t="array" ref="L429">LOOKUP(2^15,SEARCH(Tabela2[Palavras-Chave],Boletim4[[#This Row],[Objeto]],1),Tabela2[Palavras-Chave])</f>
        <v>#N/A</v>
      </c>
    </row>
    <row r="430" spans="1:12" ht="259.2" hidden="1" x14ac:dyDescent="0.3">
      <c r="A430" s="13">
        <v>18803964</v>
      </c>
      <c r="B430" s="10" t="s">
        <v>421</v>
      </c>
      <c r="C430" s="10" t="s">
        <v>422</v>
      </c>
      <c r="D430" s="15" t="s">
        <v>72</v>
      </c>
      <c r="E430" s="10" t="s">
        <v>134</v>
      </c>
      <c r="F430" s="10" t="s">
        <v>85</v>
      </c>
      <c r="G430" s="16" t="s">
        <v>56</v>
      </c>
      <c r="H430" s="24"/>
      <c r="I430" s="10" t="s">
        <v>1845</v>
      </c>
      <c r="J430" s="10" t="s">
        <v>1846</v>
      </c>
      <c r="K430" s="17">
        <v>46120.608067129629</v>
      </c>
      <c r="L430" s="6" t="e" cm="1">
        <f t="array" ref="L430">LOOKUP(2^15,SEARCH(Tabela2[Palavras-Chave],Boletim4[[#This Row],[Objeto]],1),Tabela2[Palavras-Chave])</f>
        <v>#N/A</v>
      </c>
    </row>
    <row r="431" spans="1:12" ht="100.8" hidden="1" x14ac:dyDescent="0.3">
      <c r="A431" s="5">
        <v>18804008</v>
      </c>
      <c r="B431" s="6" t="s">
        <v>1847</v>
      </c>
      <c r="C431" s="6" t="s">
        <v>1848</v>
      </c>
      <c r="D431" s="8" t="s">
        <v>72</v>
      </c>
      <c r="E431" s="6" t="s">
        <v>1849</v>
      </c>
      <c r="F431" s="6" t="s">
        <v>85</v>
      </c>
      <c r="G431" s="11">
        <v>46146.374305555553</v>
      </c>
      <c r="I431" s="10" t="s">
        <v>1850</v>
      </c>
      <c r="J431" s="6" t="s">
        <v>1851</v>
      </c>
      <c r="K431" s="12">
        <v>46120.61041666667</v>
      </c>
      <c r="L431" s="6" t="e" cm="1">
        <f t="array" ref="L431">LOOKUP(2^15,SEARCH(Tabela2[Palavras-Chave],Boletim4[[#This Row],[Objeto]],1),Tabela2[Palavras-Chave])</f>
        <v>#N/A</v>
      </c>
    </row>
    <row r="432" spans="1:12" ht="244.8" x14ac:dyDescent="0.3">
      <c r="A432" s="5">
        <v>18803811</v>
      </c>
      <c r="B432" s="6" t="s">
        <v>1852</v>
      </c>
      <c r="C432" s="6" t="s">
        <v>1853</v>
      </c>
      <c r="D432" s="8" t="s">
        <v>72</v>
      </c>
      <c r="E432" s="6" t="s">
        <v>166</v>
      </c>
      <c r="F432" s="6" t="s">
        <v>85</v>
      </c>
      <c r="G432" s="11" t="s">
        <v>56</v>
      </c>
      <c r="H432" s="23">
        <v>2</v>
      </c>
      <c r="I432" s="10" t="s">
        <v>1854</v>
      </c>
      <c r="J432" s="6" t="s">
        <v>1855</v>
      </c>
      <c r="K432" s="12">
        <v>46120.64199074074</v>
      </c>
      <c r="L432" s="6" t="str" cm="1">
        <f t="array" ref="L432">LOOKUP(2^15,SEARCH(Tabela2[Palavras-Chave],Boletim4[[#This Row],[Objeto]],1),Tabela2[Palavras-Chave])</f>
        <v>BOMBEAMENTO</v>
      </c>
    </row>
    <row r="433" spans="1:12" ht="158.4" hidden="1" x14ac:dyDescent="0.3">
      <c r="A433" s="5">
        <v>18802759</v>
      </c>
      <c r="B433" s="6" t="s">
        <v>1856</v>
      </c>
      <c r="C433" s="6" t="s">
        <v>1857</v>
      </c>
      <c r="D433" s="8" t="s">
        <v>72</v>
      </c>
      <c r="E433" s="6" t="s">
        <v>1858</v>
      </c>
      <c r="F433" s="6" t="s">
        <v>85</v>
      </c>
      <c r="G433" s="11" t="s">
        <v>56</v>
      </c>
      <c r="I433" s="10" t="s">
        <v>1859</v>
      </c>
      <c r="J433" s="6" t="s">
        <v>1860</v>
      </c>
      <c r="K433" s="12">
        <v>46120.664120370369</v>
      </c>
      <c r="L433" s="6" t="e" cm="1">
        <f t="array" ref="L433">LOOKUP(2^15,SEARCH(Tabela2[Palavras-Chave],Boletim4[[#This Row],[Objeto]],1),Tabela2[Palavras-Chave])</f>
        <v>#N/A</v>
      </c>
    </row>
    <row r="434" spans="1:12" ht="158.4" hidden="1" x14ac:dyDescent="0.3">
      <c r="A434" s="5">
        <v>18802718</v>
      </c>
      <c r="B434" s="6" t="s">
        <v>1856</v>
      </c>
      <c r="C434" s="6" t="s">
        <v>1857</v>
      </c>
      <c r="D434" s="8" t="s">
        <v>72</v>
      </c>
      <c r="E434" s="6" t="s">
        <v>1861</v>
      </c>
      <c r="F434" s="6" t="s">
        <v>85</v>
      </c>
      <c r="G434" s="11" t="s">
        <v>56</v>
      </c>
      <c r="I434" s="10" t="s">
        <v>1862</v>
      </c>
      <c r="J434" s="6" t="s">
        <v>1863</v>
      </c>
      <c r="K434" s="12">
        <v>46120.664236111108</v>
      </c>
      <c r="L434" s="6" t="e" cm="1">
        <f t="array" ref="L434">LOOKUP(2^15,SEARCH(Tabela2[Palavras-Chave],Boletim4[[#This Row],[Objeto]],1),Tabela2[Palavras-Chave])</f>
        <v>#N/A</v>
      </c>
    </row>
    <row r="435" spans="1:12" ht="115.2" hidden="1" x14ac:dyDescent="0.3">
      <c r="A435" s="5">
        <v>18802709</v>
      </c>
      <c r="B435" s="6" t="s">
        <v>1864</v>
      </c>
      <c r="C435" s="6" t="s">
        <v>1865</v>
      </c>
      <c r="D435" s="8" t="s">
        <v>72</v>
      </c>
      <c r="E435" s="6" t="s">
        <v>394</v>
      </c>
      <c r="F435" s="6" t="s">
        <v>85</v>
      </c>
      <c r="G435" s="11" t="s">
        <v>56</v>
      </c>
      <c r="I435" s="10" t="s">
        <v>1866</v>
      </c>
      <c r="J435" s="6" t="s">
        <v>1867</v>
      </c>
      <c r="K435" s="12">
        <v>46120.664768518516</v>
      </c>
      <c r="L435" s="6" t="e" cm="1">
        <f t="array" ref="L435">LOOKUP(2^15,SEARCH(Tabela2[Palavras-Chave],Boletim4[[#This Row],[Objeto]],1),Tabela2[Palavras-Chave])</f>
        <v>#N/A</v>
      </c>
    </row>
    <row r="436" spans="1:12" ht="100.8" hidden="1" x14ac:dyDescent="0.3">
      <c r="A436" s="5">
        <v>18805219</v>
      </c>
      <c r="B436" s="6" t="s">
        <v>272</v>
      </c>
      <c r="C436" s="6" t="s">
        <v>273</v>
      </c>
      <c r="D436" s="8" t="s">
        <v>72</v>
      </c>
      <c r="E436" s="6" t="s">
        <v>1868</v>
      </c>
      <c r="F436" s="6" t="s">
        <v>85</v>
      </c>
      <c r="G436" s="11" t="s">
        <v>56</v>
      </c>
      <c r="I436" s="10" t="s">
        <v>1869</v>
      </c>
      <c r="J436" s="6" t="s">
        <v>1870</v>
      </c>
      <c r="K436" s="12">
        <v>46120.712916666664</v>
      </c>
      <c r="L436" s="6" t="e" cm="1">
        <f t="array" ref="L436">LOOKUP(2^15,SEARCH(Tabela2[Palavras-Chave],Boletim4[[#This Row],[Objeto]],1),Tabela2[Palavras-Chave])</f>
        <v>#N/A</v>
      </c>
    </row>
    <row r="437" spans="1:12" ht="100.8" hidden="1" x14ac:dyDescent="0.3">
      <c r="A437" s="5">
        <v>18790282</v>
      </c>
      <c r="B437" s="6" t="s">
        <v>1871</v>
      </c>
      <c r="C437" s="6" t="s">
        <v>1872</v>
      </c>
      <c r="D437" s="8" t="s">
        <v>72</v>
      </c>
      <c r="E437" s="6" t="s">
        <v>126</v>
      </c>
      <c r="F437" s="6" t="s">
        <v>85</v>
      </c>
      <c r="G437" s="11">
        <v>46134.625</v>
      </c>
      <c r="I437" s="10" t="s">
        <v>1873</v>
      </c>
      <c r="J437" s="6" t="s">
        <v>1874</v>
      </c>
      <c r="K437" s="12">
        <v>46120.721620370372</v>
      </c>
      <c r="L437" s="6" t="e" cm="1">
        <f t="array" ref="L437">LOOKUP(2^15,SEARCH(Tabela2[Palavras-Chave],Boletim4[[#This Row],[Objeto]],1),Tabela2[Palavras-Chave])</f>
        <v>#N/A</v>
      </c>
    </row>
    <row r="438" spans="1:12" ht="115.2" hidden="1" x14ac:dyDescent="0.3">
      <c r="A438" s="5">
        <v>18802698</v>
      </c>
      <c r="B438" s="6" t="s">
        <v>1823</v>
      </c>
      <c r="C438" s="6" t="s">
        <v>1824</v>
      </c>
      <c r="D438" s="8" t="s">
        <v>72</v>
      </c>
      <c r="E438" s="6" t="s">
        <v>157</v>
      </c>
      <c r="F438" s="6" t="s">
        <v>85</v>
      </c>
      <c r="G438" s="11" t="s">
        <v>56</v>
      </c>
      <c r="I438" s="10" t="s">
        <v>1875</v>
      </c>
      <c r="J438" s="6" t="s">
        <v>1876</v>
      </c>
      <c r="K438" s="12">
        <v>46120.731979166667</v>
      </c>
      <c r="L438" s="6" t="e" cm="1">
        <f t="array" ref="L438">LOOKUP(2^15,SEARCH(Tabela2[Palavras-Chave],Boletim4[[#This Row],[Objeto]],1),Tabela2[Palavras-Chave])</f>
        <v>#N/A</v>
      </c>
    </row>
    <row r="439" spans="1:12" ht="115.2" hidden="1" x14ac:dyDescent="0.3">
      <c r="A439" s="5">
        <v>18802708</v>
      </c>
      <c r="B439" s="6" t="s">
        <v>1877</v>
      </c>
      <c r="C439" s="6" t="s">
        <v>1878</v>
      </c>
      <c r="D439" s="8" t="s">
        <v>72</v>
      </c>
      <c r="E439" s="6" t="s">
        <v>230</v>
      </c>
      <c r="F439" s="6" t="s">
        <v>85</v>
      </c>
      <c r="G439" s="11" t="s">
        <v>56</v>
      </c>
      <c r="I439" s="10" t="s">
        <v>1879</v>
      </c>
      <c r="J439" s="6" t="s">
        <v>1880</v>
      </c>
      <c r="K439" s="12">
        <v>46120.732268518521</v>
      </c>
      <c r="L439" s="6" t="e" cm="1">
        <f t="array" ref="L439">LOOKUP(2^15,SEARCH(Tabela2[Palavras-Chave],Boletim4[[#This Row],[Objeto]],1),Tabela2[Palavras-Chave])</f>
        <v>#N/A</v>
      </c>
    </row>
    <row r="440" spans="1:12" ht="144" hidden="1" x14ac:dyDescent="0.3">
      <c r="A440" s="5">
        <v>18802731</v>
      </c>
      <c r="B440" s="6" t="s">
        <v>1881</v>
      </c>
      <c r="C440" s="6" t="s">
        <v>1882</v>
      </c>
      <c r="D440" s="8" t="s">
        <v>72</v>
      </c>
      <c r="E440" s="6" t="s">
        <v>224</v>
      </c>
      <c r="F440" s="6" t="s">
        <v>85</v>
      </c>
      <c r="G440" s="11" t="s">
        <v>56</v>
      </c>
      <c r="I440" s="10" t="s">
        <v>1883</v>
      </c>
      <c r="J440" s="6" t="s">
        <v>1884</v>
      </c>
      <c r="K440" s="12">
        <v>46120.733043981483</v>
      </c>
      <c r="L440" s="6" t="e" cm="1">
        <f t="array" ref="L440">LOOKUP(2^15,SEARCH(Tabela2[Palavras-Chave],Boletim4[[#This Row],[Objeto]],1),Tabela2[Palavras-Chave])</f>
        <v>#N/A</v>
      </c>
    </row>
    <row r="441" spans="1:12" ht="144" hidden="1" x14ac:dyDescent="0.3">
      <c r="A441" s="5">
        <v>18804287</v>
      </c>
      <c r="B441" s="6" t="s">
        <v>156</v>
      </c>
      <c r="C441" s="6" t="s">
        <v>73</v>
      </c>
      <c r="D441" s="8" t="s">
        <v>72</v>
      </c>
      <c r="E441" s="6" t="s">
        <v>1885</v>
      </c>
      <c r="F441" s="6" t="s">
        <v>85</v>
      </c>
      <c r="G441" s="11">
        <v>46196.416666666664</v>
      </c>
      <c r="I441" s="10" t="s">
        <v>1886</v>
      </c>
      <c r="J441" s="6" t="s">
        <v>1887</v>
      </c>
      <c r="K441" s="12">
        <v>46120.743159722224</v>
      </c>
      <c r="L441" s="6" t="e" cm="1">
        <f t="array" ref="L441">LOOKUP(2^15,SEARCH(Tabela2[Palavras-Chave],Boletim4[[#This Row],[Objeto]],1),Tabela2[Palavras-Chave])</f>
        <v>#N/A</v>
      </c>
    </row>
    <row r="442" spans="1:12" ht="259.2" hidden="1" x14ac:dyDescent="0.3">
      <c r="A442" s="5">
        <v>18805374</v>
      </c>
      <c r="B442" s="6" t="s">
        <v>1888</v>
      </c>
      <c r="C442" s="6" t="s">
        <v>1889</v>
      </c>
      <c r="D442" s="8" t="s">
        <v>72</v>
      </c>
      <c r="E442" s="6" t="s">
        <v>139</v>
      </c>
      <c r="F442" s="6" t="s">
        <v>85</v>
      </c>
      <c r="G442" s="11" t="s">
        <v>56</v>
      </c>
      <c r="I442" s="10" t="s">
        <v>1890</v>
      </c>
      <c r="J442" s="6" t="s">
        <v>1891</v>
      </c>
      <c r="K442" s="12">
        <v>46120.74422453704</v>
      </c>
      <c r="L442" s="6" t="e" cm="1">
        <f t="array" ref="L442">LOOKUP(2^15,SEARCH(Tabela2[Palavras-Chave],Boletim4[[#This Row],[Objeto]],1),Tabela2[Palavras-Chave])</f>
        <v>#N/A</v>
      </c>
    </row>
    <row r="443" spans="1:12" ht="273.60000000000002" hidden="1" x14ac:dyDescent="0.3">
      <c r="A443" s="5">
        <v>18801651</v>
      </c>
      <c r="B443" s="6" t="s">
        <v>1892</v>
      </c>
      <c r="C443" s="6" t="s">
        <v>1893</v>
      </c>
      <c r="D443" s="8" t="s">
        <v>72</v>
      </c>
      <c r="E443" s="6" t="s">
        <v>198</v>
      </c>
      <c r="F443" s="6" t="s">
        <v>85</v>
      </c>
      <c r="G443" s="11" t="s">
        <v>56</v>
      </c>
      <c r="I443" s="10" t="s">
        <v>1894</v>
      </c>
      <c r="J443" s="6" t="s">
        <v>1895</v>
      </c>
      <c r="K443" s="12">
        <v>46120.755509259259</v>
      </c>
      <c r="L443" s="6" t="e" cm="1">
        <f t="array" ref="L443">LOOKUP(2^15,SEARCH(Tabela2[Palavras-Chave],Boletim4[[#This Row],[Objeto]],1),Tabela2[Palavras-Chave])</f>
        <v>#N/A</v>
      </c>
    </row>
    <row r="444" spans="1:12" ht="259.2" hidden="1" x14ac:dyDescent="0.3">
      <c r="A444" s="13">
        <v>18805371</v>
      </c>
      <c r="B444" s="10" t="s">
        <v>1896</v>
      </c>
      <c r="C444" s="10" t="s">
        <v>1897</v>
      </c>
      <c r="D444" s="15" t="s">
        <v>72</v>
      </c>
      <c r="E444" s="10" t="s">
        <v>377</v>
      </c>
      <c r="F444" s="10" t="s">
        <v>85</v>
      </c>
      <c r="G444" s="16" t="s">
        <v>56</v>
      </c>
      <c r="H444" s="24"/>
      <c r="I444" s="10" t="s">
        <v>1898</v>
      </c>
      <c r="J444" s="10" t="s">
        <v>1899</v>
      </c>
      <c r="K444" s="17">
        <v>46120.755891203706</v>
      </c>
      <c r="L444" s="6" t="e" cm="1">
        <f t="array" ref="L444">LOOKUP(2^15,SEARCH(Tabela2[Palavras-Chave],Boletim4[[#This Row],[Objeto]],1),Tabela2[Palavras-Chave])</f>
        <v>#N/A</v>
      </c>
    </row>
    <row r="445" spans="1:12" ht="86.4" hidden="1" x14ac:dyDescent="0.3">
      <c r="A445" s="5">
        <v>18804123</v>
      </c>
      <c r="B445" s="6" t="s">
        <v>156</v>
      </c>
      <c r="C445" s="6" t="s">
        <v>73</v>
      </c>
      <c r="D445" s="8" t="s">
        <v>72</v>
      </c>
      <c r="E445" s="6" t="s">
        <v>1900</v>
      </c>
      <c r="F445" s="6" t="s">
        <v>85</v>
      </c>
      <c r="G445" s="11">
        <v>46136.375</v>
      </c>
      <c r="I445" s="10" t="s">
        <v>1901</v>
      </c>
      <c r="J445" s="6" t="s">
        <v>1902</v>
      </c>
      <c r="K445" s="12">
        <v>46120.760243055556</v>
      </c>
      <c r="L445" s="6" t="e" cm="1">
        <f t="array" ref="L445">LOOKUP(2^15,SEARCH(Tabela2[Palavras-Chave],Boletim4[[#This Row],[Objeto]],1),Tabela2[Palavras-Chave])</f>
        <v>#N/A</v>
      </c>
    </row>
    <row r="446" spans="1:12" ht="57.6" hidden="1" x14ac:dyDescent="0.3">
      <c r="A446" s="5">
        <v>18803498</v>
      </c>
      <c r="B446" s="6" t="s">
        <v>1903</v>
      </c>
      <c r="C446" s="6" t="s">
        <v>1904</v>
      </c>
      <c r="D446" s="8" t="s">
        <v>72</v>
      </c>
      <c r="E446" s="6" t="s">
        <v>461</v>
      </c>
      <c r="F446" s="6" t="s">
        <v>85</v>
      </c>
      <c r="G446" s="11">
        <v>46135.375</v>
      </c>
      <c r="I446" s="10" t="s">
        <v>1905</v>
      </c>
      <c r="J446" s="6" t="s">
        <v>1906</v>
      </c>
      <c r="K446" s="12">
        <v>46120.773148148146</v>
      </c>
      <c r="L446" s="6" t="e" cm="1">
        <f t="array" ref="L446">LOOKUP(2^15,SEARCH(Tabela2[Palavras-Chave],Boletim4[[#This Row],[Objeto]],1),Tabela2[Palavras-Chave])</f>
        <v>#N/A</v>
      </c>
    </row>
    <row r="447" spans="1:12" ht="86.4" x14ac:dyDescent="0.3">
      <c r="A447" s="5">
        <v>18801423</v>
      </c>
      <c r="B447" s="6" t="s">
        <v>1907</v>
      </c>
      <c r="C447" s="6" t="s">
        <v>73</v>
      </c>
      <c r="D447" s="8" t="s">
        <v>72</v>
      </c>
      <c r="E447" s="6" t="s">
        <v>1908</v>
      </c>
      <c r="F447" s="6" t="s">
        <v>85</v>
      </c>
      <c r="G447" s="11" t="s">
        <v>56</v>
      </c>
      <c r="H447" s="23">
        <v>2</v>
      </c>
      <c r="I447" s="10" t="s">
        <v>1909</v>
      </c>
      <c r="J447" s="6" t="s">
        <v>1910</v>
      </c>
      <c r="K447" s="12">
        <v>46120.781828703701</v>
      </c>
      <c r="L447" s="6" t="str" cm="1">
        <f t="array" ref="L447">LOOKUP(2^15,SEARCH(Tabela2[Palavras-Chave],Boletim4[[#This Row],[Objeto]],1),Tabela2[Palavras-Chave])</f>
        <v>MEDIÇÃO</v>
      </c>
    </row>
    <row r="448" spans="1:12" ht="86.4" hidden="1" x14ac:dyDescent="0.3">
      <c r="A448" s="5">
        <v>18804126</v>
      </c>
      <c r="B448" s="6" t="s">
        <v>156</v>
      </c>
      <c r="C448" s="6" t="s">
        <v>73</v>
      </c>
      <c r="D448" s="8" t="s">
        <v>72</v>
      </c>
      <c r="E448" s="6" t="s">
        <v>1911</v>
      </c>
      <c r="F448" s="6" t="s">
        <v>85</v>
      </c>
      <c r="G448" s="11">
        <v>46136.375</v>
      </c>
      <c r="I448" s="10" t="s">
        <v>1912</v>
      </c>
      <c r="J448" s="6" t="s">
        <v>1902</v>
      </c>
      <c r="K448" s="12">
        <v>46120.882314814815</v>
      </c>
      <c r="L448" s="6" t="e" cm="1">
        <f t="array" ref="L448">LOOKUP(2^15,SEARCH(Tabela2[Palavras-Chave],Boletim4[[#This Row],[Objeto]],1),Tabela2[Palavras-Chave])</f>
        <v>#N/A</v>
      </c>
    </row>
    <row r="449" spans="1:12" ht="86.4" hidden="1" x14ac:dyDescent="0.3">
      <c r="A449" s="5">
        <v>18804127</v>
      </c>
      <c r="B449" s="6" t="s">
        <v>156</v>
      </c>
      <c r="C449" s="6" t="s">
        <v>73</v>
      </c>
      <c r="D449" s="8" t="s">
        <v>72</v>
      </c>
      <c r="E449" s="6" t="s">
        <v>1913</v>
      </c>
      <c r="F449" s="6" t="s">
        <v>85</v>
      </c>
      <c r="G449" s="11">
        <v>46135.375</v>
      </c>
      <c r="I449" s="10" t="s">
        <v>1914</v>
      </c>
      <c r="J449" s="6" t="s">
        <v>1915</v>
      </c>
      <c r="K449" s="12">
        <v>46120.882361111115</v>
      </c>
      <c r="L449" s="6" t="e" cm="1">
        <f t="array" ref="L449">LOOKUP(2^15,SEARCH(Tabela2[Palavras-Chave],Boletim4[[#This Row],[Objeto]],1),Tabela2[Palavras-Chave])</f>
        <v>#N/A</v>
      </c>
    </row>
    <row r="450" spans="1:12" ht="72" hidden="1" x14ac:dyDescent="0.3">
      <c r="A450" s="5">
        <v>18804142</v>
      </c>
      <c r="B450" s="6" t="s">
        <v>1916</v>
      </c>
      <c r="C450" s="6" t="s">
        <v>1917</v>
      </c>
      <c r="D450" s="8" t="s">
        <v>72</v>
      </c>
      <c r="E450" s="6" t="s">
        <v>142</v>
      </c>
      <c r="F450" s="6" t="s">
        <v>85</v>
      </c>
      <c r="G450" s="11">
        <v>46135.375</v>
      </c>
      <c r="I450" s="10" t="s">
        <v>1918</v>
      </c>
      <c r="J450" s="6" t="s">
        <v>90</v>
      </c>
      <c r="K450" s="12">
        <v>46120.885254629633</v>
      </c>
      <c r="L450" s="6" t="e" cm="1">
        <f t="array" ref="L450">LOOKUP(2^15,SEARCH(Tabela2[Palavras-Chave],Boletim4[[#This Row],[Objeto]],1),Tabela2[Palavras-Chave])</f>
        <v>#N/A</v>
      </c>
    </row>
    <row r="451" spans="1:12" ht="100.8" hidden="1" x14ac:dyDescent="0.3">
      <c r="A451" s="5">
        <v>18803087</v>
      </c>
      <c r="B451" s="6" t="s">
        <v>1919</v>
      </c>
      <c r="C451" s="6" t="s">
        <v>1920</v>
      </c>
      <c r="D451" s="8" t="s">
        <v>72</v>
      </c>
      <c r="E451" s="6" t="s">
        <v>110</v>
      </c>
      <c r="F451" s="6" t="s">
        <v>85</v>
      </c>
      <c r="G451" s="11">
        <v>46126.375</v>
      </c>
      <c r="I451" s="10" t="s">
        <v>1921</v>
      </c>
      <c r="J451" s="6" t="s">
        <v>1922</v>
      </c>
      <c r="K451" s="12">
        <v>46120.891944444447</v>
      </c>
      <c r="L451" s="6" t="e" cm="1">
        <f t="array" ref="L451">LOOKUP(2^15,SEARCH(Tabela2[Palavras-Chave],Boletim4[[#This Row],[Objeto]],1),Tabela2[Palavras-Chave])</f>
        <v>#N/A</v>
      </c>
    </row>
    <row r="452" spans="1:12" ht="72" hidden="1" x14ac:dyDescent="0.3">
      <c r="A452" s="5">
        <v>18802250</v>
      </c>
      <c r="B452" s="6" t="s">
        <v>74</v>
      </c>
      <c r="C452" s="6" t="s">
        <v>75</v>
      </c>
      <c r="D452" s="8" t="s">
        <v>76</v>
      </c>
      <c r="E452" s="6" t="s">
        <v>1229</v>
      </c>
      <c r="F452" s="6" t="s">
        <v>85</v>
      </c>
      <c r="G452" s="11" t="s">
        <v>56</v>
      </c>
      <c r="I452" s="10" t="s">
        <v>1230</v>
      </c>
      <c r="J452" s="6" t="s">
        <v>1231</v>
      </c>
      <c r="K452" s="12">
        <v>46120.501273148147</v>
      </c>
      <c r="L452" s="6" t="e" cm="1">
        <f t="array" ref="L452">LOOKUP(2^15,SEARCH(Tabela2[Palavras-Chave],Boletim4[[#This Row],[Objeto]],1),Tabela2[Palavras-Chave])</f>
        <v>#N/A</v>
      </c>
    </row>
    <row r="453" spans="1:12" ht="72" hidden="1" x14ac:dyDescent="0.3">
      <c r="A453" s="5">
        <v>18802248</v>
      </c>
      <c r="B453" s="6" t="s">
        <v>74</v>
      </c>
      <c r="C453" s="6" t="s">
        <v>75</v>
      </c>
      <c r="D453" s="8" t="s">
        <v>76</v>
      </c>
      <c r="E453" s="6" t="s">
        <v>1923</v>
      </c>
      <c r="F453" s="6" t="s">
        <v>85</v>
      </c>
      <c r="G453" s="11" t="s">
        <v>56</v>
      </c>
      <c r="I453" s="10" t="s">
        <v>1924</v>
      </c>
      <c r="J453" s="6" t="s">
        <v>1925</v>
      </c>
      <c r="K453" s="12">
        <v>46120.50136574074</v>
      </c>
      <c r="L453" s="6" t="e" cm="1">
        <f t="array" ref="L453">LOOKUP(2^15,SEARCH(Tabela2[Palavras-Chave],Boletim4[[#This Row],[Objeto]],1),Tabela2[Palavras-Chave])</f>
        <v>#N/A</v>
      </c>
    </row>
    <row r="454" spans="1:12" ht="72" hidden="1" x14ac:dyDescent="0.3">
      <c r="A454" s="5">
        <v>18802224</v>
      </c>
      <c r="B454" s="6" t="s">
        <v>74</v>
      </c>
      <c r="C454" s="6" t="s">
        <v>75</v>
      </c>
      <c r="D454" s="8" t="s">
        <v>76</v>
      </c>
      <c r="E454" s="6" t="s">
        <v>1926</v>
      </c>
      <c r="F454" s="6" t="s">
        <v>85</v>
      </c>
      <c r="G454" s="11" t="s">
        <v>56</v>
      </c>
      <c r="I454" s="10" t="s">
        <v>353</v>
      </c>
      <c r="J454" s="6" t="s">
        <v>1927</v>
      </c>
      <c r="K454" s="12">
        <v>46120.525613425925</v>
      </c>
      <c r="L454" s="6" t="e" cm="1">
        <f t="array" ref="L454">LOOKUP(2^15,SEARCH(Tabela2[Palavras-Chave],Boletim4[[#This Row],[Objeto]],1),Tabela2[Palavras-Chave])</f>
        <v>#N/A</v>
      </c>
    </row>
    <row r="455" spans="1:12" ht="72" hidden="1" x14ac:dyDescent="0.3">
      <c r="A455" s="5">
        <v>18802227</v>
      </c>
      <c r="B455" s="6" t="s">
        <v>74</v>
      </c>
      <c r="C455" s="6" t="s">
        <v>75</v>
      </c>
      <c r="D455" s="8" t="s">
        <v>76</v>
      </c>
      <c r="E455" s="6" t="s">
        <v>1394</v>
      </c>
      <c r="F455" s="6" t="s">
        <v>85</v>
      </c>
      <c r="G455" s="11" t="s">
        <v>56</v>
      </c>
      <c r="I455" s="10" t="s">
        <v>1395</v>
      </c>
      <c r="J455" s="6" t="s">
        <v>1396</v>
      </c>
      <c r="K455" s="12">
        <v>46120.526921296296</v>
      </c>
      <c r="L455" s="6" t="e" cm="1">
        <f t="array" ref="L455">LOOKUP(2^15,SEARCH(Tabela2[Palavras-Chave],Boletim4[[#This Row],[Objeto]],1),Tabela2[Palavras-Chave])</f>
        <v>#N/A</v>
      </c>
    </row>
    <row r="456" spans="1:12" ht="72" hidden="1" x14ac:dyDescent="0.3">
      <c r="A456" s="5">
        <v>18802234</v>
      </c>
      <c r="B456" s="6" t="s">
        <v>74</v>
      </c>
      <c r="C456" s="6" t="s">
        <v>75</v>
      </c>
      <c r="D456" s="8" t="s">
        <v>76</v>
      </c>
      <c r="E456" s="6" t="s">
        <v>1232</v>
      </c>
      <c r="F456" s="6" t="s">
        <v>85</v>
      </c>
      <c r="G456" s="11" t="s">
        <v>56</v>
      </c>
      <c r="I456" s="10" t="s">
        <v>1233</v>
      </c>
      <c r="J456" s="6" t="s">
        <v>1234</v>
      </c>
      <c r="K456" s="12">
        <v>46120.527349537035</v>
      </c>
      <c r="L456" s="6" t="e" cm="1">
        <f t="array" ref="L456">LOOKUP(2^15,SEARCH(Tabela2[Palavras-Chave],Boletim4[[#This Row],[Objeto]],1),Tabela2[Palavras-Chave])</f>
        <v>#N/A</v>
      </c>
    </row>
    <row r="457" spans="1:12" ht="57.6" hidden="1" x14ac:dyDescent="0.3">
      <c r="A457" s="5">
        <v>18801783</v>
      </c>
      <c r="B457" s="6" t="s">
        <v>1928</v>
      </c>
      <c r="C457" s="6" t="s">
        <v>440</v>
      </c>
      <c r="D457" s="8" t="s">
        <v>76</v>
      </c>
      <c r="E457" s="6" t="s">
        <v>324</v>
      </c>
      <c r="F457" s="6" t="s">
        <v>85</v>
      </c>
      <c r="G457" s="11" t="s">
        <v>56</v>
      </c>
      <c r="I457" s="10" t="s">
        <v>1929</v>
      </c>
      <c r="J457" s="6" t="s">
        <v>1930</v>
      </c>
      <c r="K457" s="12">
        <v>46120.576747685183</v>
      </c>
      <c r="L457" s="6" t="e" cm="1">
        <f t="array" ref="L457">LOOKUP(2^15,SEARCH(Tabela2[Palavras-Chave],Boletim4[[#This Row],[Objeto]],1),Tabela2[Palavras-Chave])</f>
        <v>#N/A</v>
      </c>
    </row>
    <row r="458" spans="1:12" ht="28.8" x14ac:dyDescent="0.3">
      <c r="A458" s="5">
        <v>18801147</v>
      </c>
      <c r="B458" s="6" t="s">
        <v>1931</v>
      </c>
      <c r="C458" s="6" t="s">
        <v>1932</v>
      </c>
      <c r="D458" s="8" t="s">
        <v>76</v>
      </c>
      <c r="E458" s="6" t="s">
        <v>1499</v>
      </c>
      <c r="F458" s="6" t="s">
        <v>85</v>
      </c>
      <c r="G458" s="11">
        <v>46141.374305555553</v>
      </c>
      <c r="H458" s="25">
        <v>1</v>
      </c>
      <c r="I458" s="10" t="s">
        <v>1933</v>
      </c>
      <c r="J458" s="6" t="s">
        <v>1934</v>
      </c>
      <c r="K458" s="12">
        <v>46120.586898148147</v>
      </c>
      <c r="L458" s="6" t="str" cm="1">
        <f t="array" ref="L458">LOOKUP(2^15,SEARCH(Tabela2[Palavras-Chave],Boletim4[[#This Row],[Objeto]],1),Tabela2[Palavras-Chave])</f>
        <v>RESERVAT</v>
      </c>
    </row>
    <row r="459" spans="1:12" ht="86.4" hidden="1" x14ac:dyDescent="0.3">
      <c r="A459" s="5">
        <v>18803492</v>
      </c>
      <c r="B459" s="6" t="s">
        <v>1935</v>
      </c>
      <c r="C459" s="6" t="s">
        <v>1936</v>
      </c>
      <c r="D459" s="8" t="s">
        <v>76</v>
      </c>
      <c r="E459" s="6" t="s">
        <v>142</v>
      </c>
      <c r="F459" s="6" t="s">
        <v>85</v>
      </c>
      <c r="G459" s="11" t="s">
        <v>56</v>
      </c>
      <c r="I459" s="10" t="s">
        <v>1937</v>
      </c>
      <c r="J459" s="6" t="s">
        <v>1938</v>
      </c>
      <c r="K459" s="12">
        <v>46120.617418981485</v>
      </c>
      <c r="L459" s="6" t="e" cm="1">
        <f t="array" ref="L459">LOOKUP(2^15,SEARCH(Tabela2[Palavras-Chave],Boletim4[[#This Row],[Objeto]],1),Tabela2[Palavras-Chave])</f>
        <v>#N/A</v>
      </c>
    </row>
    <row r="460" spans="1:12" ht="288" hidden="1" x14ac:dyDescent="0.3">
      <c r="A460" s="5">
        <v>18801679</v>
      </c>
      <c r="B460" s="6" t="s">
        <v>1939</v>
      </c>
      <c r="C460" s="6" t="s">
        <v>225</v>
      </c>
      <c r="D460" s="8" t="s">
        <v>76</v>
      </c>
      <c r="E460" s="6" t="s">
        <v>1940</v>
      </c>
      <c r="F460" s="6" t="s">
        <v>85</v>
      </c>
      <c r="G460" s="11" t="s">
        <v>56</v>
      </c>
      <c r="I460" s="10" t="s">
        <v>1941</v>
      </c>
      <c r="J460" s="6" t="s">
        <v>1942</v>
      </c>
      <c r="K460" s="12">
        <v>46120.589432870373</v>
      </c>
      <c r="L460" s="6" t="e" cm="1">
        <f t="array" ref="L460">LOOKUP(2^15,SEARCH(Tabela2[Palavras-Chave],Boletim4[[#This Row],[Objeto]],1),Tabela2[Palavras-Chave])</f>
        <v>#N/A</v>
      </c>
    </row>
    <row r="461" spans="1:12" ht="100.8" hidden="1" x14ac:dyDescent="0.3">
      <c r="A461" s="5">
        <v>18803691</v>
      </c>
      <c r="B461" s="6" t="s">
        <v>1943</v>
      </c>
      <c r="C461" s="6" t="s">
        <v>983</v>
      </c>
      <c r="D461" s="8" t="s">
        <v>76</v>
      </c>
      <c r="E461" s="6" t="s">
        <v>192</v>
      </c>
      <c r="F461" s="6" t="s">
        <v>85</v>
      </c>
      <c r="G461" s="11" t="s">
        <v>56</v>
      </c>
      <c r="I461" s="10" t="s">
        <v>1944</v>
      </c>
      <c r="J461" s="6" t="s">
        <v>1945</v>
      </c>
      <c r="K461" s="12">
        <v>46120.599270833336</v>
      </c>
      <c r="L461" s="6" t="e" cm="1">
        <f t="array" ref="L461">LOOKUP(2^15,SEARCH(Tabela2[Palavras-Chave],Boletim4[[#This Row],[Objeto]],1),Tabela2[Palavras-Chave])</f>
        <v>#N/A</v>
      </c>
    </row>
    <row r="462" spans="1:12" ht="115.2" hidden="1" x14ac:dyDescent="0.3">
      <c r="A462" s="5">
        <v>18802657</v>
      </c>
      <c r="B462" s="6" t="s">
        <v>1946</v>
      </c>
      <c r="C462" s="6" t="s">
        <v>195</v>
      </c>
      <c r="D462" s="8" t="s">
        <v>76</v>
      </c>
      <c r="E462" s="6" t="s">
        <v>1947</v>
      </c>
      <c r="F462" s="6" t="s">
        <v>85</v>
      </c>
      <c r="G462" s="11" t="s">
        <v>56</v>
      </c>
      <c r="I462" s="10" t="s">
        <v>1948</v>
      </c>
      <c r="J462" s="6" t="s">
        <v>1949</v>
      </c>
      <c r="K462" s="12">
        <v>46120.755358796298</v>
      </c>
      <c r="L462" s="6" t="e" cm="1">
        <f t="array" ref="L462">LOOKUP(2^15,SEARCH(Tabela2[Palavras-Chave],Boletim4[[#This Row],[Objeto]],1),Tabela2[Palavras-Chave])</f>
        <v>#N/A</v>
      </c>
    </row>
    <row r="463" spans="1:12" ht="115.2" hidden="1" x14ac:dyDescent="0.3">
      <c r="A463" s="5">
        <v>18802681</v>
      </c>
      <c r="B463" s="6" t="s">
        <v>1950</v>
      </c>
      <c r="C463" s="6" t="s">
        <v>75</v>
      </c>
      <c r="D463" s="8" t="s">
        <v>76</v>
      </c>
      <c r="E463" s="6" t="s">
        <v>157</v>
      </c>
      <c r="F463" s="6" t="s">
        <v>85</v>
      </c>
      <c r="G463" s="11" t="s">
        <v>56</v>
      </c>
      <c r="I463" s="10" t="s">
        <v>1951</v>
      </c>
      <c r="J463" s="6" t="s">
        <v>1952</v>
      </c>
      <c r="K463" s="12">
        <v>46120.826493055552</v>
      </c>
      <c r="L463" s="6" t="e" cm="1">
        <f t="array" ref="L463">LOOKUP(2^15,SEARCH(Tabela2[Palavras-Chave],Boletim4[[#This Row],[Objeto]],1),Tabela2[Palavras-Chave])</f>
        <v>#N/A</v>
      </c>
    </row>
    <row r="464" spans="1:12" ht="115.2" hidden="1" x14ac:dyDescent="0.3">
      <c r="A464" s="5">
        <v>18802656</v>
      </c>
      <c r="B464" s="6" t="s">
        <v>1953</v>
      </c>
      <c r="C464" s="6" t="s">
        <v>75</v>
      </c>
      <c r="D464" s="8" t="s">
        <v>76</v>
      </c>
      <c r="E464" s="6" t="s">
        <v>1954</v>
      </c>
      <c r="F464" s="6" t="s">
        <v>85</v>
      </c>
      <c r="G464" s="11" t="s">
        <v>56</v>
      </c>
      <c r="I464" s="10" t="s">
        <v>1955</v>
      </c>
      <c r="J464" s="6" t="s">
        <v>1956</v>
      </c>
      <c r="K464" s="12">
        <v>46120.855995370373</v>
      </c>
      <c r="L464" s="6" t="e" cm="1">
        <f t="array" ref="L464">LOOKUP(2^15,SEARCH(Tabela2[Palavras-Chave],Boletim4[[#This Row],[Objeto]],1),Tabela2[Palavras-Chave])</f>
        <v>#N/A</v>
      </c>
    </row>
    <row r="465" spans="1:12" ht="100.8" hidden="1" x14ac:dyDescent="0.3">
      <c r="A465" s="5">
        <v>18804002</v>
      </c>
      <c r="B465" s="6" t="s">
        <v>1957</v>
      </c>
      <c r="C465" s="6" t="s">
        <v>1958</v>
      </c>
      <c r="D465" s="8" t="s">
        <v>77</v>
      </c>
      <c r="E465" s="6" t="s">
        <v>115</v>
      </c>
      <c r="F465" s="6" t="s">
        <v>85</v>
      </c>
      <c r="G465" s="11">
        <v>46139.395138888889</v>
      </c>
      <c r="I465" s="10" t="s">
        <v>1959</v>
      </c>
      <c r="J465" s="6" t="s">
        <v>1960</v>
      </c>
      <c r="K465" s="12">
        <v>46120.611006944448</v>
      </c>
      <c r="L465" s="6" t="e" cm="1">
        <f t="array" ref="L465">LOOKUP(2^15,SEARCH(Tabela2[Palavras-Chave],Boletim4[[#This Row],[Objeto]],1),Tabela2[Palavras-Chave])</f>
        <v>#N/A</v>
      </c>
    </row>
    <row r="466" spans="1:12" ht="187.2" hidden="1" x14ac:dyDescent="0.3">
      <c r="A466" s="5">
        <v>18802864</v>
      </c>
      <c r="B466" s="6" t="s">
        <v>1961</v>
      </c>
      <c r="C466" s="6" t="s">
        <v>1962</v>
      </c>
      <c r="D466" s="8" t="s">
        <v>77</v>
      </c>
      <c r="E466" s="6" t="s">
        <v>238</v>
      </c>
      <c r="F466" s="6" t="s">
        <v>85</v>
      </c>
      <c r="G466" s="11" t="s">
        <v>56</v>
      </c>
      <c r="I466" s="10" t="s">
        <v>1963</v>
      </c>
      <c r="J466" s="6" t="s">
        <v>1964</v>
      </c>
      <c r="K466" s="12">
        <v>46120.660312499997</v>
      </c>
      <c r="L466" s="6" t="e" cm="1">
        <f t="array" ref="L466">LOOKUP(2^15,SEARCH(Tabela2[Palavras-Chave],Boletim4[[#This Row],[Objeto]],1),Tabela2[Palavras-Chave])</f>
        <v>#N/A</v>
      </c>
    </row>
    <row r="467" spans="1:12" ht="100.8" hidden="1" x14ac:dyDescent="0.3">
      <c r="A467" s="13">
        <v>18803100</v>
      </c>
      <c r="B467" s="10" t="s">
        <v>1961</v>
      </c>
      <c r="C467" s="10" t="s">
        <v>1962</v>
      </c>
      <c r="D467" s="15" t="s">
        <v>77</v>
      </c>
      <c r="E467" s="10" t="s">
        <v>140</v>
      </c>
      <c r="F467" s="10" t="s">
        <v>85</v>
      </c>
      <c r="G467" s="16" t="s">
        <v>56</v>
      </c>
      <c r="H467" s="24"/>
      <c r="I467" s="10" t="s">
        <v>1965</v>
      </c>
      <c r="J467" s="10" t="s">
        <v>1966</v>
      </c>
      <c r="K467" s="17">
        <v>46120.660740740743</v>
      </c>
      <c r="L467" s="6" t="e" cm="1">
        <f t="array" ref="L467">LOOKUP(2^15,SEARCH(Tabela2[Palavras-Chave],Boletim4[[#This Row],[Objeto]],1),Tabela2[Palavras-Chave])</f>
        <v>#N/A</v>
      </c>
    </row>
    <row r="468" spans="1:12" ht="28.8" hidden="1" x14ac:dyDescent="0.3">
      <c r="A468" s="5">
        <v>18803515</v>
      </c>
      <c r="B468" s="6" t="s">
        <v>1967</v>
      </c>
      <c r="C468" s="6" t="s">
        <v>1968</v>
      </c>
      <c r="D468" s="8" t="s">
        <v>77</v>
      </c>
      <c r="E468" s="6" t="s">
        <v>117</v>
      </c>
      <c r="F468" s="6" t="s">
        <v>85</v>
      </c>
      <c r="G468" s="11">
        <v>46132.354166666664</v>
      </c>
      <c r="I468" s="10" t="s">
        <v>1969</v>
      </c>
      <c r="J468" s="6" t="s">
        <v>1104</v>
      </c>
      <c r="K468" s="12">
        <v>46120.663275462961</v>
      </c>
      <c r="L468" s="6" t="e" cm="1">
        <f t="array" ref="L468">LOOKUP(2^15,SEARCH(Tabela2[Palavras-Chave],Boletim4[[#This Row],[Objeto]],1),Tabela2[Palavras-Chave])</f>
        <v>#N/A</v>
      </c>
    </row>
    <row r="469" spans="1:12" ht="86.4" hidden="1" x14ac:dyDescent="0.3">
      <c r="A469" s="5">
        <v>18800007</v>
      </c>
      <c r="B469" s="6" t="s">
        <v>1970</v>
      </c>
      <c r="C469" s="6" t="s">
        <v>1971</v>
      </c>
      <c r="D469" s="8" t="s">
        <v>77</v>
      </c>
      <c r="E469" s="6" t="s">
        <v>121</v>
      </c>
      <c r="F469" s="6" t="s">
        <v>85</v>
      </c>
      <c r="G469" s="11" t="s">
        <v>56</v>
      </c>
      <c r="I469" s="10" t="s">
        <v>1972</v>
      </c>
      <c r="J469" s="6" t="s">
        <v>1973</v>
      </c>
      <c r="K469" s="12">
        <v>46120.690335648149</v>
      </c>
      <c r="L469" s="6" t="e" cm="1">
        <f t="array" ref="L469">LOOKUP(2^15,SEARCH(Tabela2[Palavras-Chave],Boletim4[[#This Row],[Objeto]],1),Tabela2[Palavras-Chave])</f>
        <v>#N/A</v>
      </c>
    </row>
    <row r="470" spans="1:12" ht="115.2" hidden="1" x14ac:dyDescent="0.3">
      <c r="A470" s="13">
        <v>18804735</v>
      </c>
      <c r="B470" s="10" t="s">
        <v>1974</v>
      </c>
      <c r="C470" s="10" t="s">
        <v>1975</v>
      </c>
      <c r="D470" s="15" t="s">
        <v>77</v>
      </c>
      <c r="E470" s="10" t="s">
        <v>127</v>
      </c>
      <c r="F470" s="10" t="s">
        <v>85</v>
      </c>
      <c r="G470" s="16">
        <v>46142.375</v>
      </c>
      <c r="H470" s="24"/>
      <c r="I470" s="10" t="s">
        <v>1976</v>
      </c>
      <c r="J470" s="10" t="s">
        <v>1977</v>
      </c>
      <c r="K470" s="17">
        <v>46120.809340277781</v>
      </c>
      <c r="L470" s="6" t="e" cm="1">
        <f t="array" ref="L470">LOOKUP(2^15,SEARCH(Tabela2[Palavras-Chave],Boletim4[[#This Row],[Objeto]],1),Tabela2[Palavras-Chave])</f>
        <v>#N/A</v>
      </c>
    </row>
    <row r="471" spans="1:12" ht="115.2" hidden="1" x14ac:dyDescent="0.3">
      <c r="A471" s="5">
        <v>18802873</v>
      </c>
      <c r="B471" s="6" t="s">
        <v>1978</v>
      </c>
      <c r="C471" s="6" t="s">
        <v>441</v>
      </c>
      <c r="D471" s="8" t="s">
        <v>78</v>
      </c>
      <c r="E471" s="6" t="s">
        <v>1858</v>
      </c>
      <c r="F471" s="6" t="s">
        <v>85</v>
      </c>
      <c r="G471" s="11" t="s">
        <v>56</v>
      </c>
      <c r="I471" s="10" t="s">
        <v>1979</v>
      </c>
      <c r="J471" s="6" t="s">
        <v>1980</v>
      </c>
      <c r="K471" s="12">
        <v>46120.514861111114</v>
      </c>
      <c r="L471" s="6" t="e" cm="1">
        <f t="array" ref="L471">LOOKUP(2^15,SEARCH(Tabela2[Palavras-Chave],Boletim4[[#This Row],[Objeto]],1),Tabela2[Palavras-Chave])</f>
        <v>#N/A</v>
      </c>
    </row>
    <row r="472" spans="1:12" ht="115.2" hidden="1" x14ac:dyDescent="0.3">
      <c r="A472" s="5">
        <v>18802823</v>
      </c>
      <c r="B472" s="6" t="s">
        <v>1978</v>
      </c>
      <c r="C472" s="6" t="s">
        <v>441</v>
      </c>
      <c r="D472" s="8" t="s">
        <v>78</v>
      </c>
      <c r="E472" s="6" t="s">
        <v>1981</v>
      </c>
      <c r="F472" s="6" t="s">
        <v>85</v>
      </c>
      <c r="G472" s="11" t="s">
        <v>56</v>
      </c>
      <c r="I472" s="10" t="s">
        <v>1982</v>
      </c>
      <c r="J472" s="6" t="s">
        <v>1983</v>
      </c>
      <c r="K472" s="12">
        <v>46120.5153125</v>
      </c>
      <c r="L472" s="6" t="e" cm="1">
        <f t="array" ref="L472">LOOKUP(2^15,SEARCH(Tabela2[Palavras-Chave],Boletim4[[#This Row],[Objeto]],1),Tabela2[Palavras-Chave])</f>
        <v>#N/A</v>
      </c>
    </row>
    <row r="473" spans="1:12" ht="158.4" hidden="1" x14ac:dyDescent="0.3">
      <c r="A473" s="5">
        <v>18802892</v>
      </c>
      <c r="B473" s="6" t="s">
        <v>1984</v>
      </c>
      <c r="C473" s="6" t="s">
        <v>136</v>
      </c>
      <c r="D473" s="8" t="s">
        <v>78</v>
      </c>
      <c r="E473" s="6" t="s">
        <v>1985</v>
      </c>
      <c r="F473" s="6" t="s">
        <v>85</v>
      </c>
      <c r="G473" s="11" t="s">
        <v>56</v>
      </c>
      <c r="I473" s="10" t="s">
        <v>1986</v>
      </c>
      <c r="J473" s="6" t="s">
        <v>1987</v>
      </c>
      <c r="K473" s="12">
        <v>46120.588310185187</v>
      </c>
      <c r="L473" s="6" t="e" cm="1">
        <f t="array" ref="L473">LOOKUP(2^15,SEARCH(Tabela2[Palavras-Chave],Boletim4[[#This Row],[Objeto]],1),Tabela2[Palavras-Chave])</f>
        <v>#N/A</v>
      </c>
    </row>
    <row r="474" spans="1:12" ht="115.2" hidden="1" x14ac:dyDescent="0.3">
      <c r="A474" s="5">
        <v>18802879</v>
      </c>
      <c r="B474" s="6" t="s">
        <v>1978</v>
      </c>
      <c r="C474" s="6" t="s">
        <v>441</v>
      </c>
      <c r="D474" s="8" t="s">
        <v>78</v>
      </c>
      <c r="E474" s="6" t="s">
        <v>1988</v>
      </c>
      <c r="F474" s="6" t="s">
        <v>85</v>
      </c>
      <c r="G474" s="11" t="s">
        <v>56</v>
      </c>
      <c r="I474" s="10" t="s">
        <v>1989</v>
      </c>
      <c r="J474" s="6" t="s">
        <v>1990</v>
      </c>
      <c r="K474" s="12">
        <v>46120.660983796297</v>
      </c>
      <c r="L474" s="6" t="e" cm="1">
        <f t="array" ref="L474">LOOKUP(2^15,SEARCH(Tabela2[Palavras-Chave],Boletim4[[#This Row],[Objeto]],1),Tabela2[Palavras-Chave])</f>
        <v>#N/A</v>
      </c>
    </row>
    <row r="475" spans="1:12" ht="72" hidden="1" x14ac:dyDescent="0.3">
      <c r="A475" s="5">
        <v>18797234</v>
      </c>
      <c r="B475" s="6" t="s">
        <v>396</v>
      </c>
      <c r="C475" s="6" t="s">
        <v>397</v>
      </c>
      <c r="D475" s="8" t="s">
        <v>80</v>
      </c>
      <c r="E475" s="6" t="s">
        <v>134</v>
      </c>
      <c r="F475" s="6" t="s">
        <v>85</v>
      </c>
      <c r="G475" s="11">
        <v>46139</v>
      </c>
      <c r="I475" s="10" t="s">
        <v>1991</v>
      </c>
      <c r="J475" s="6" t="s">
        <v>1992</v>
      </c>
      <c r="K475" s="12">
        <v>46120.388969907406</v>
      </c>
      <c r="L475" s="6" t="e" cm="1">
        <f t="array" ref="L475">LOOKUP(2^15,SEARCH(Tabela2[Palavras-Chave],Boletim4[[#This Row],[Objeto]],1),Tabela2[Palavras-Chave])</f>
        <v>#N/A</v>
      </c>
    </row>
    <row r="476" spans="1:12" ht="43.2" hidden="1" x14ac:dyDescent="0.3">
      <c r="A476" s="5">
        <v>18798658</v>
      </c>
      <c r="B476" s="6" t="s">
        <v>1993</v>
      </c>
      <c r="C476" s="6" t="s">
        <v>1994</v>
      </c>
      <c r="D476" s="8" t="s">
        <v>80</v>
      </c>
      <c r="E476" s="6" t="s">
        <v>117</v>
      </c>
      <c r="F476" s="6" t="s">
        <v>85</v>
      </c>
      <c r="G476" s="11">
        <v>46134.364583333336</v>
      </c>
      <c r="I476" s="10" t="s">
        <v>1995</v>
      </c>
      <c r="J476" s="6" t="s">
        <v>1996</v>
      </c>
      <c r="K476" s="12">
        <v>46120.409155092595</v>
      </c>
      <c r="L476" s="6" t="e" cm="1">
        <f t="array" ref="L476">LOOKUP(2^15,SEARCH(Tabela2[Palavras-Chave],Boletim4[[#This Row],[Objeto]],1),Tabela2[Palavras-Chave])</f>
        <v>#N/A</v>
      </c>
    </row>
    <row r="477" spans="1:12" ht="100.8" hidden="1" x14ac:dyDescent="0.3">
      <c r="A477" s="5">
        <v>18802021</v>
      </c>
      <c r="B477" s="6" t="s">
        <v>1997</v>
      </c>
      <c r="C477" s="6" t="s">
        <v>1998</v>
      </c>
      <c r="D477" s="8" t="s">
        <v>80</v>
      </c>
      <c r="E477" s="6" t="s">
        <v>126</v>
      </c>
      <c r="F477" s="6" t="s">
        <v>85</v>
      </c>
      <c r="G477" s="11">
        <v>46129.652777777781</v>
      </c>
      <c r="I477" s="10" t="s">
        <v>1999</v>
      </c>
      <c r="J477" s="6" t="s">
        <v>2000</v>
      </c>
      <c r="K477" s="12">
        <v>46120.445208333331</v>
      </c>
      <c r="L477" s="6" t="e" cm="1">
        <f t="array" ref="L477">LOOKUP(2^15,SEARCH(Tabela2[Palavras-Chave],Boletim4[[#This Row],[Objeto]],1),Tabela2[Palavras-Chave])</f>
        <v>#N/A</v>
      </c>
    </row>
    <row r="478" spans="1:12" ht="100.8" hidden="1" x14ac:dyDescent="0.3">
      <c r="A478" s="5">
        <v>18802006</v>
      </c>
      <c r="B478" s="6" t="s">
        <v>2001</v>
      </c>
      <c r="C478" s="6" t="s">
        <v>2002</v>
      </c>
      <c r="D478" s="8" t="s">
        <v>80</v>
      </c>
      <c r="E478" s="6" t="s">
        <v>115</v>
      </c>
      <c r="F478" s="6" t="s">
        <v>85</v>
      </c>
      <c r="G478" s="11">
        <v>46134.354166666664</v>
      </c>
      <c r="I478" s="10" t="s">
        <v>2003</v>
      </c>
      <c r="J478" s="6" t="s">
        <v>2004</v>
      </c>
      <c r="K478" s="12">
        <v>46120.447870370372</v>
      </c>
      <c r="L478" s="6" t="e" cm="1">
        <f t="array" ref="L478">LOOKUP(2^15,SEARCH(Tabela2[Palavras-Chave],Boletim4[[#This Row],[Objeto]],1),Tabela2[Palavras-Chave])</f>
        <v>#N/A</v>
      </c>
    </row>
    <row r="479" spans="1:12" ht="86.4" hidden="1" x14ac:dyDescent="0.3">
      <c r="A479" s="5">
        <v>18800020</v>
      </c>
      <c r="B479" s="6" t="s">
        <v>398</v>
      </c>
      <c r="C479" s="6" t="s">
        <v>399</v>
      </c>
      <c r="D479" s="8" t="s">
        <v>80</v>
      </c>
      <c r="E479" s="6" t="s">
        <v>2005</v>
      </c>
      <c r="F479" s="6" t="s">
        <v>85</v>
      </c>
      <c r="G479" s="11" t="s">
        <v>56</v>
      </c>
      <c r="I479" s="10" t="s">
        <v>2006</v>
      </c>
      <c r="J479" s="6" t="s">
        <v>2007</v>
      </c>
      <c r="K479" s="12">
        <v>46120.45144675926</v>
      </c>
      <c r="L479" s="6" t="e" cm="1">
        <f t="array" ref="L479">LOOKUP(2^15,SEARCH(Tabela2[Palavras-Chave],Boletim4[[#This Row],[Objeto]],1),Tabela2[Palavras-Chave])</f>
        <v>#N/A</v>
      </c>
    </row>
    <row r="480" spans="1:12" ht="86.4" hidden="1" x14ac:dyDescent="0.3">
      <c r="A480" s="5">
        <v>18800620</v>
      </c>
      <c r="B480" s="6" t="s">
        <v>2008</v>
      </c>
      <c r="C480" s="6" t="s">
        <v>2009</v>
      </c>
      <c r="D480" s="8" t="s">
        <v>80</v>
      </c>
      <c r="E480" s="6" t="s">
        <v>135</v>
      </c>
      <c r="F480" s="6" t="s">
        <v>85</v>
      </c>
      <c r="G480" s="11" t="s">
        <v>56</v>
      </c>
      <c r="I480" s="10" t="s">
        <v>2010</v>
      </c>
      <c r="J480" s="6" t="s">
        <v>2011</v>
      </c>
      <c r="K480" s="12">
        <v>46120.451516203706</v>
      </c>
      <c r="L480" s="6" t="e" cm="1">
        <f t="array" ref="L480">LOOKUP(2^15,SEARCH(Tabela2[Palavras-Chave],Boletim4[[#This Row],[Objeto]],1),Tabela2[Palavras-Chave])</f>
        <v>#N/A</v>
      </c>
    </row>
    <row r="481" spans="1:12" ht="129.6" hidden="1" x14ac:dyDescent="0.3">
      <c r="A481" s="5">
        <v>18797238</v>
      </c>
      <c r="B481" s="6" t="s">
        <v>2012</v>
      </c>
      <c r="C481" s="6" t="s">
        <v>2013</v>
      </c>
      <c r="D481" s="8" t="s">
        <v>80</v>
      </c>
      <c r="E481" s="6" t="s">
        <v>127</v>
      </c>
      <c r="F481" s="6" t="s">
        <v>85</v>
      </c>
      <c r="G481" s="11">
        <v>46139</v>
      </c>
      <c r="I481" s="10" t="s">
        <v>2014</v>
      </c>
      <c r="J481" s="6" t="s">
        <v>2015</v>
      </c>
      <c r="K481" s="12">
        <v>46120.451516203706</v>
      </c>
      <c r="L481" s="6" t="e" cm="1">
        <f t="array" ref="L481">LOOKUP(2^15,SEARCH(Tabela2[Palavras-Chave],Boletim4[[#This Row],[Objeto]],1),Tabela2[Palavras-Chave])</f>
        <v>#N/A</v>
      </c>
    </row>
    <row r="482" spans="1:12" ht="100.8" hidden="1" x14ac:dyDescent="0.3">
      <c r="A482" s="5">
        <v>18801972</v>
      </c>
      <c r="B482" s="6" t="s">
        <v>2016</v>
      </c>
      <c r="C482" s="6" t="s">
        <v>2017</v>
      </c>
      <c r="D482" s="8" t="s">
        <v>80</v>
      </c>
      <c r="E482" s="6" t="s">
        <v>114</v>
      </c>
      <c r="F482" s="6" t="s">
        <v>85</v>
      </c>
      <c r="G482" s="11">
        <v>46135.332638888889</v>
      </c>
      <c r="I482" s="10" t="s">
        <v>2018</v>
      </c>
      <c r="J482" s="6" t="s">
        <v>2019</v>
      </c>
      <c r="K482" s="12">
        <v>46120.455312500002</v>
      </c>
      <c r="L482" s="6" t="e" cm="1">
        <f t="array" ref="L482">LOOKUP(2^15,SEARCH(Tabela2[Palavras-Chave],Boletim4[[#This Row],[Objeto]],1),Tabela2[Palavras-Chave])</f>
        <v>#N/A</v>
      </c>
    </row>
    <row r="483" spans="1:12" ht="43.2" hidden="1" x14ac:dyDescent="0.3">
      <c r="A483" s="5">
        <v>18801544</v>
      </c>
      <c r="B483" s="6" t="s">
        <v>2020</v>
      </c>
      <c r="C483" s="6" t="s">
        <v>2021</v>
      </c>
      <c r="D483" s="8" t="s">
        <v>80</v>
      </c>
      <c r="E483" s="6" t="s">
        <v>155</v>
      </c>
      <c r="F483" s="6" t="s">
        <v>85</v>
      </c>
      <c r="G483" s="11">
        <v>46136.395833333336</v>
      </c>
      <c r="I483" s="10" t="s">
        <v>2022</v>
      </c>
      <c r="J483" s="6" t="s">
        <v>2023</v>
      </c>
      <c r="K483" s="12">
        <v>46120.474999999999</v>
      </c>
      <c r="L483" s="6" t="e" cm="1">
        <f t="array" ref="L483">LOOKUP(2^15,SEARCH(Tabela2[Palavras-Chave],Boletim4[[#This Row],[Objeto]],1),Tabela2[Palavras-Chave])</f>
        <v>#N/A</v>
      </c>
    </row>
    <row r="484" spans="1:12" ht="100.8" hidden="1" x14ac:dyDescent="0.3">
      <c r="A484" s="5">
        <v>18801957</v>
      </c>
      <c r="B484" s="6" t="s">
        <v>2024</v>
      </c>
      <c r="C484" s="6" t="s">
        <v>2025</v>
      </c>
      <c r="D484" s="8" t="s">
        <v>80</v>
      </c>
      <c r="E484" s="6" t="s">
        <v>107</v>
      </c>
      <c r="F484" s="6" t="s">
        <v>85</v>
      </c>
      <c r="G484" s="11">
        <v>46136.374305555553</v>
      </c>
      <c r="I484" s="10" t="s">
        <v>2026</v>
      </c>
      <c r="J484" s="6" t="s">
        <v>2027</v>
      </c>
      <c r="K484" s="12">
        <v>46120.519606481481</v>
      </c>
      <c r="L484" s="6" t="e" cm="1">
        <f t="array" ref="L484">LOOKUP(2^15,SEARCH(Tabela2[Palavras-Chave],Boletim4[[#This Row],[Objeto]],1),Tabela2[Palavras-Chave])</f>
        <v>#N/A</v>
      </c>
    </row>
    <row r="485" spans="1:12" ht="43.2" hidden="1" x14ac:dyDescent="0.3">
      <c r="A485" s="5">
        <v>18801533</v>
      </c>
      <c r="B485" s="6" t="s">
        <v>276</v>
      </c>
      <c r="C485" s="6" t="s">
        <v>79</v>
      </c>
      <c r="D485" s="8" t="s">
        <v>80</v>
      </c>
      <c r="E485" s="6" t="s">
        <v>2028</v>
      </c>
      <c r="F485" s="6" t="s">
        <v>85</v>
      </c>
      <c r="G485" s="11">
        <v>46126.417361111111</v>
      </c>
      <c r="I485" s="10" t="s">
        <v>338</v>
      </c>
      <c r="J485" s="6" t="s">
        <v>2029</v>
      </c>
      <c r="K485" s="12">
        <v>46120.521678240744</v>
      </c>
      <c r="L485" s="6" t="e" cm="1">
        <f t="array" ref="L485">LOOKUP(2^15,SEARCH(Tabela2[Palavras-Chave],Boletim4[[#This Row],[Objeto]],1),Tabela2[Palavras-Chave])</f>
        <v>#N/A</v>
      </c>
    </row>
    <row r="486" spans="1:12" ht="28.8" hidden="1" x14ac:dyDescent="0.3">
      <c r="A486" s="5">
        <v>18801904</v>
      </c>
      <c r="B486" s="6" t="s">
        <v>2030</v>
      </c>
      <c r="C486" s="6" t="s">
        <v>2031</v>
      </c>
      <c r="D486" s="8" t="s">
        <v>80</v>
      </c>
      <c r="E486" s="6" t="s">
        <v>1499</v>
      </c>
      <c r="F486" s="6" t="s">
        <v>85</v>
      </c>
      <c r="G486" s="11">
        <v>46132.344444444447</v>
      </c>
      <c r="I486" s="10" t="s">
        <v>2032</v>
      </c>
      <c r="J486" s="6" t="s">
        <v>2033</v>
      </c>
      <c r="K486" s="12">
        <v>46120.527557870373</v>
      </c>
      <c r="L486" s="6" t="e" cm="1">
        <f t="array" ref="L486">LOOKUP(2^15,SEARCH(Tabela2[Palavras-Chave],Boletim4[[#This Row],[Objeto]],1),Tabela2[Palavras-Chave])</f>
        <v>#N/A</v>
      </c>
    </row>
    <row r="487" spans="1:12" ht="115.2" x14ac:dyDescent="0.3">
      <c r="A487" s="5">
        <v>18802867</v>
      </c>
      <c r="B487" s="6" t="s">
        <v>2034</v>
      </c>
      <c r="C487" s="6" t="s">
        <v>2035</v>
      </c>
      <c r="D487" s="8" t="s">
        <v>80</v>
      </c>
      <c r="E487" s="6" t="s">
        <v>157</v>
      </c>
      <c r="F487" s="6" t="s">
        <v>85</v>
      </c>
      <c r="G487" s="11" t="s">
        <v>56</v>
      </c>
      <c r="H487" s="23">
        <v>2</v>
      </c>
      <c r="I487" s="10" t="s">
        <v>2036</v>
      </c>
      <c r="J487" s="6" t="s">
        <v>2037</v>
      </c>
      <c r="K487" s="12">
        <v>46120.542210648149</v>
      </c>
      <c r="L487" s="6" t="str" cm="1">
        <f t="array" ref="L487">LOOKUP(2^15,SEARCH(Tabela2[Palavras-Chave],Boletim4[[#This Row],[Objeto]],1),Tabela2[Palavras-Chave])</f>
        <v>RESERVAT</v>
      </c>
    </row>
    <row r="488" spans="1:12" ht="43.2" hidden="1" x14ac:dyDescent="0.3">
      <c r="A488" s="5">
        <v>18801542</v>
      </c>
      <c r="B488" s="6" t="s">
        <v>395</v>
      </c>
      <c r="C488" s="6" t="s">
        <v>257</v>
      </c>
      <c r="D488" s="8" t="s">
        <v>80</v>
      </c>
      <c r="E488" s="6" t="s">
        <v>265</v>
      </c>
      <c r="F488" s="6" t="s">
        <v>85</v>
      </c>
      <c r="G488" s="11">
        <v>46136.354166666664</v>
      </c>
      <c r="I488" s="10" t="s">
        <v>2038</v>
      </c>
      <c r="J488" s="6" t="s">
        <v>2039</v>
      </c>
      <c r="K488" s="12">
        <v>46120.561354166668</v>
      </c>
      <c r="L488" s="6" t="e" cm="1">
        <f t="array" ref="L488">LOOKUP(2^15,SEARCH(Tabela2[Palavras-Chave],Boletim4[[#This Row],[Objeto]],1),Tabela2[Palavras-Chave])</f>
        <v>#N/A</v>
      </c>
    </row>
    <row r="489" spans="1:12" ht="115.2" hidden="1" x14ac:dyDescent="0.3">
      <c r="A489" s="5">
        <v>18802028</v>
      </c>
      <c r="B489" s="6" t="s">
        <v>2040</v>
      </c>
      <c r="C489" s="6" t="s">
        <v>79</v>
      </c>
      <c r="D489" s="8" t="s">
        <v>80</v>
      </c>
      <c r="E489" s="6" t="s">
        <v>212</v>
      </c>
      <c r="F489" s="6" t="s">
        <v>85</v>
      </c>
      <c r="G489" s="11">
        <v>46129.353472222225</v>
      </c>
      <c r="I489" s="10" t="s">
        <v>2041</v>
      </c>
      <c r="J489" s="6" t="s">
        <v>2042</v>
      </c>
      <c r="K489" s="12">
        <v>46120.576840277776</v>
      </c>
      <c r="L489" s="6" t="e" cm="1">
        <f t="array" ref="L489">LOOKUP(2^15,SEARCH(Tabela2[Palavras-Chave],Boletim4[[#This Row],[Objeto]],1),Tabela2[Palavras-Chave])</f>
        <v>#N/A</v>
      </c>
    </row>
    <row r="490" spans="1:12" ht="100.8" x14ac:dyDescent="0.3">
      <c r="A490" s="5">
        <v>18801961</v>
      </c>
      <c r="B490" s="6" t="s">
        <v>2043</v>
      </c>
      <c r="C490" s="6" t="s">
        <v>2044</v>
      </c>
      <c r="D490" s="8" t="s">
        <v>80</v>
      </c>
      <c r="E490" s="6" t="s">
        <v>115</v>
      </c>
      <c r="F490" s="6" t="s">
        <v>85</v>
      </c>
      <c r="G490" s="11">
        <v>46136.374305555553</v>
      </c>
      <c r="H490" s="23">
        <v>2</v>
      </c>
      <c r="I490" s="10" t="s">
        <v>2045</v>
      </c>
      <c r="J490" s="6" t="s">
        <v>2046</v>
      </c>
      <c r="K490" s="12">
        <v>46120.583275462966</v>
      </c>
      <c r="L490" s="6" t="str" cm="1">
        <f t="array" ref="L490">LOOKUP(2^15,SEARCH(Tabela2[Palavras-Chave],Boletim4[[#This Row],[Objeto]],1),Tabela2[Palavras-Chave])</f>
        <v>RESERVAT</v>
      </c>
    </row>
    <row r="491" spans="1:12" ht="43.2" hidden="1" x14ac:dyDescent="0.3">
      <c r="A491" s="5">
        <v>18796659</v>
      </c>
      <c r="B491" s="6" t="s">
        <v>339</v>
      </c>
      <c r="C491" s="6" t="s">
        <v>277</v>
      </c>
      <c r="D491" s="8" t="s">
        <v>80</v>
      </c>
      <c r="E491" s="6" t="s">
        <v>2047</v>
      </c>
      <c r="F491" s="6" t="s">
        <v>85</v>
      </c>
      <c r="G491" s="11">
        <v>46125.625</v>
      </c>
      <c r="I491" s="10" t="s">
        <v>2048</v>
      </c>
      <c r="J491" s="6" t="s">
        <v>2049</v>
      </c>
      <c r="K491" s="12">
        <v>46120.586886574078</v>
      </c>
      <c r="L491" s="6" t="e" cm="1">
        <f t="array" ref="L491">LOOKUP(2^15,SEARCH(Tabela2[Palavras-Chave],Boletim4[[#This Row],[Objeto]],1),Tabela2[Palavras-Chave])</f>
        <v>#N/A</v>
      </c>
    </row>
    <row r="492" spans="1:12" ht="43.2" hidden="1" x14ac:dyDescent="0.3">
      <c r="A492" s="5">
        <v>18795687</v>
      </c>
      <c r="B492" s="6" t="s">
        <v>2050</v>
      </c>
      <c r="C492" s="6" t="s">
        <v>79</v>
      </c>
      <c r="D492" s="8" t="s">
        <v>80</v>
      </c>
      <c r="E492" s="6" t="s">
        <v>2051</v>
      </c>
      <c r="F492" s="6" t="s">
        <v>85</v>
      </c>
      <c r="G492" s="11">
        <v>46125.395833333336</v>
      </c>
      <c r="I492" s="10" t="s">
        <v>340</v>
      </c>
      <c r="J492" s="6" t="s">
        <v>2052</v>
      </c>
      <c r="K492" s="12">
        <v>46120.586967592593</v>
      </c>
      <c r="L492" s="6" t="e" cm="1">
        <f t="array" ref="L492">LOOKUP(2^15,SEARCH(Tabela2[Palavras-Chave],Boletim4[[#This Row],[Objeto]],1),Tabela2[Palavras-Chave])</f>
        <v>#N/A</v>
      </c>
    </row>
    <row r="493" spans="1:12" hidden="1" x14ac:dyDescent="0.3">
      <c r="A493" s="5">
        <v>18790826</v>
      </c>
      <c r="B493" s="6" t="s">
        <v>2053</v>
      </c>
      <c r="C493" s="6" t="s">
        <v>2054</v>
      </c>
      <c r="D493" s="8" t="s">
        <v>80</v>
      </c>
      <c r="E493" s="6" t="s">
        <v>120</v>
      </c>
      <c r="F493" s="6" t="s">
        <v>85</v>
      </c>
      <c r="G493" s="11">
        <v>46127.584027777775</v>
      </c>
      <c r="I493" s="10" t="s">
        <v>2055</v>
      </c>
      <c r="J493" s="6" t="s">
        <v>2056</v>
      </c>
      <c r="K493" s="12">
        <v>46120.587627314817</v>
      </c>
      <c r="L493" s="6" t="e" cm="1">
        <f t="array" ref="L493">LOOKUP(2^15,SEARCH(Tabela2[Palavras-Chave],Boletim4[[#This Row],[Objeto]],1),Tabela2[Palavras-Chave])</f>
        <v>#N/A</v>
      </c>
    </row>
    <row r="494" spans="1:12" ht="100.8" hidden="1" x14ac:dyDescent="0.3">
      <c r="A494" s="5">
        <v>18803521</v>
      </c>
      <c r="B494" s="6" t="s">
        <v>2057</v>
      </c>
      <c r="C494" s="6" t="s">
        <v>464</v>
      </c>
      <c r="D494" s="8" t="s">
        <v>80</v>
      </c>
      <c r="E494" s="6" t="s">
        <v>2058</v>
      </c>
      <c r="F494" s="6" t="s">
        <v>85</v>
      </c>
      <c r="G494" s="11" t="s">
        <v>56</v>
      </c>
      <c r="I494" s="10" t="s">
        <v>2059</v>
      </c>
      <c r="J494" s="6" t="s">
        <v>2060</v>
      </c>
      <c r="K494" s="12">
        <v>46120.588831018518</v>
      </c>
      <c r="L494" s="6" t="e" cm="1">
        <f t="array" ref="L494">LOOKUP(2^15,SEARCH(Tabela2[Palavras-Chave],Boletim4[[#This Row],[Objeto]],1),Tabela2[Palavras-Chave])</f>
        <v>#N/A</v>
      </c>
    </row>
    <row r="495" spans="1:12" ht="302.39999999999998" x14ac:dyDescent="0.3">
      <c r="A495" s="5">
        <v>18800131</v>
      </c>
      <c r="B495" s="6" t="s">
        <v>2061</v>
      </c>
      <c r="C495" s="6" t="s">
        <v>2062</v>
      </c>
      <c r="D495" s="8" t="s">
        <v>80</v>
      </c>
      <c r="E495" s="6" t="s">
        <v>135</v>
      </c>
      <c r="F495" s="6" t="s">
        <v>85</v>
      </c>
      <c r="G495" s="11" t="s">
        <v>56</v>
      </c>
      <c r="H495" s="23">
        <v>2</v>
      </c>
      <c r="I495" s="10" t="s">
        <v>2063</v>
      </c>
      <c r="J495" s="6" t="s">
        <v>2064</v>
      </c>
      <c r="K495" s="12">
        <v>46120.617430555554</v>
      </c>
      <c r="L495" s="6" t="str" cm="1">
        <f t="array" ref="L495">LOOKUP(2^15,SEARCH(Tabela2[Palavras-Chave],Boletim4[[#This Row],[Objeto]],1),Tabela2[Palavras-Chave])</f>
        <v>RESERVAT</v>
      </c>
    </row>
    <row r="496" spans="1:12" ht="100.8" hidden="1" x14ac:dyDescent="0.3">
      <c r="A496" s="5">
        <v>18801997</v>
      </c>
      <c r="B496" s="6" t="s">
        <v>2065</v>
      </c>
      <c r="C496" s="6" t="s">
        <v>2066</v>
      </c>
      <c r="D496" s="8" t="s">
        <v>80</v>
      </c>
      <c r="E496" s="6" t="s">
        <v>2067</v>
      </c>
      <c r="F496" s="6" t="s">
        <v>85</v>
      </c>
      <c r="G496" s="11">
        <v>46135.374305555553</v>
      </c>
      <c r="I496" s="10" t="s">
        <v>2068</v>
      </c>
      <c r="J496" s="6" t="s">
        <v>2069</v>
      </c>
      <c r="K496" s="12">
        <v>46120.630277777775</v>
      </c>
      <c r="L496" s="6" t="e" cm="1">
        <f t="array" ref="L496">LOOKUP(2^15,SEARCH(Tabela2[Palavras-Chave],Boletim4[[#This Row],[Objeto]],1),Tabela2[Palavras-Chave])</f>
        <v>#N/A</v>
      </c>
    </row>
    <row r="497" spans="1:12" ht="115.2" hidden="1" x14ac:dyDescent="0.3">
      <c r="A497" s="5">
        <v>18804099</v>
      </c>
      <c r="B497" s="6" t="s">
        <v>2070</v>
      </c>
      <c r="C497" s="6" t="s">
        <v>2071</v>
      </c>
      <c r="D497" s="8" t="s">
        <v>80</v>
      </c>
      <c r="E497" s="6" t="s">
        <v>309</v>
      </c>
      <c r="F497" s="6" t="s">
        <v>85</v>
      </c>
      <c r="G497" s="11">
        <v>46126.374305555553</v>
      </c>
      <c r="I497" s="10" t="s">
        <v>2072</v>
      </c>
      <c r="J497" s="6" t="s">
        <v>2073</v>
      </c>
      <c r="K497" s="12">
        <v>46120.632615740738</v>
      </c>
      <c r="L497" s="6" t="e" cm="1">
        <f t="array" ref="L497">LOOKUP(2^15,SEARCH(Tabela2[Palavras-Chave],Boletim4[[#This Row],[Objeto]],1),Tabela2[Palavras-Chave])</f>
        <v>#N/A</v>
      </c>
    </row>
    <row r="498" spans="1:12" ht="100.8" hidden="1" x14ac:dyDescent="0.3">
      <c r="A498" s="5">
        <v>18804113</v>
      </c>
      <c r="B498" s="6" t="s">
        <v>2074</v>
      </c>
      <c r="C498" s="6" t="s">
        <v>2075</v>
      </c>
      <c r="D498" s="8" t="s">
        <v>80</v>
      </c>
      <c r="E498" s="6" t="s">
        <v>114</v>
      </c>
      <c r="F498" s="6" t="s">
        <v>85</v>
      </c>
      <c r="G498" s="11">
        <v>46157.374305555553</v>
      </c>
      <c r="I498" s="10" t="s">
        <v>2076</v>
      </c>
      <c r="J498" s="6" t="s">
        <v>2077</v>
      </c>
      <c r="K498" s="12">
        <v>46120.638101851851</v>
      </c>
      <c r="L498" s="6" t="e" cm="1">
        <f t="array" ref="L498">LOOKUP(2^15,SEARCH(Tabela2[Palavras-Chave],Boletim4[[#This Row],[Objeto]],1),Tabela2[Palavras-Chave])</f>
        <v>#N/A</v>
      </c>
    </row>
    <row r="499" spans="1:12" ht="43.2" hidden="1" x14ac:dyDescent="0.3">
      <c r="A499" s="13">
        <v>18804458</v>
      </c>
      <c r="B499" s="10" t="s">
        <v>2078</v>
      </c>
      <c r="C499" s="10" t="s">
        <v>2079</v>
      </c>
      <c r="D499" s="15" t="s">
        <v>80</v>
      </c>
      <c r="E499" s="10" t="s">
        <v>117</v>
      </c>
      <c r="F499" s="10" t="s">
        <v>85</v>
      </c>
      <c r="G499" s="16">
        <v>46135.375</v>
      </c>
      <c r="H499" s="24"/>
      <c r="I499" s="10" t="s">
        <v>2080</v>
      </c>
      <c r="J499" s="10" t="s">
        <v>2081</v>
      </c>
      <c r="K499" s="17">
        <v>46120.666006944448</v>
      </c>
      <c r="L499" s="6" t="e" cm="1">
        <f t="array" ref="L499">LOOKUP(2^15,SEARCH(Tabela2[Palavras-Chave],Boletim4[[#This Row],[Objeto]],1),Tabela2[Palavras-Chave])</f>
        <v>#N/A</v>
      </c>
    </row>
    <row r="500" spans="1:12" ht="86.4" hidden="1" x14ac:dyDescent="0.3">
      <c r="A500" s="5">
        <v>18805224</v>
      </c>
      <c r="B500" s="6" t="s">
        <v>2082</v>
      </c>
      <c r="C500" s="6" t="s">
        <v>2083</v>
      </c>
      <c r="D500" s="8" t="s">
        <v>80</v>
      </c>
      <c r="E500" s="6" t="s">
        <v>366</v>
      </c>
      <c r="F500" s="6" t="s">
        <v>85</v>
      </c>
      <c r="G500" s="11" t="s">
        <v>56</v>
      </c>
      <c r="I500" s="10" t="s">
        <v>2084</v>
      </c>
      <c r="J500" s="6" t="s">
        <v>2085</v>
      </c>
      <c r="K500" s="12">
        <v>46120.712546296294</v>
      </c>
      <c r="L500" s="6" t="e" cm="1">
        <f t="array" ref="L500">LOOKUP(2^15,SEARCH(Tabela2[Palavras-Chave],Boletim4[[#This Row],[Objeto]],1),Tabela2[Palavras-Chave])</f>
        <v>#N/A</v>
      </c>
    </row>
    <row r="501" spans="1:12" ht="86.4" hidden="1" x14ac:dyDescent="0.3">
      <c r="A501" s="5">
        <v>18803568</v>
      </c>
      <c r="B501" s="6" t="s">
        <v>2086</v>
      </c>
      <c r="C501" s="6" t="s">
        <v>2087</v>
      </c>
      <c r="D501" s="8" t="s">
        <v>80</v>
      </c>
      <c r="E501" s="6" t="s">
        <v>2088</v>
      </c>
      <c r="F501" s="6" t="s">
        <v>85</v>
      </c>
      <c r="G501" s="11" t="s">
        <v>56</v>
      </c>
      <c r="I501" s="10" t="s">
        <v>2089</v>
      </c>
      <c r="J501" s="6" t="s">
        <v>2090</v>
      </c>
      <c r="K501" s="12">
        <v>46120.714930555558</v>
      </c>
      <c r="L501" s="6" t="e" cm="1">
        <f t="array" ref="L501">LOOKUP(2^15,SEARCH(Tabela2[Palavras-Chave],Boletim4[[#This Row],[Objeto]],1),Tabela2[Palavras-Chave])</f>
        <v>#N/A</v>
      </c>
    </row>
    <row r="502" spans="1:12" ht="273.60000000000002" hidden="1" x14ac:dyDescent="0.3">
      <c r="A502" s="5">
        <v>18801621</v>
      </c>
      <c r="B502" s="6" t="s">
        <v>2091</v>
      </c>
      <c r="C502" s="6" t="s">
        <v>2092</v>
      </c>
      <c r="D502" s="8" t="s">
        <v>80</v>
      </c>
      <c r="E502" s="6" t="s">
        <v>120</v>
      </c>
      <c r="F502" s="6" t="s">
        <v>85</v>
      </c>
      <c r="G502" s="11" t="s">
        <v>56</v>
      </c>
      <c r="I502" s="10" t="s">
        <v>2093</v>
      </c>
      <c r="J502" s="6" t="s">
        <v>2094</v>
      </c>
      <c r="K502" s="12">
        <v>46120.734247685185</v>
      </c>
      <c r="L502" s="6" t="e" cm="1">
        <f t="array" ref="L502">LOOKUP(2^15,SEARCH(Tabela2[Palavras-Chave],Boletim4[[#This Row],[Objeto]],1),Tabela2[Palavras-Chave])</f>
        <v>#N/A</v>
      </c>
    </row>
    <row r="503" spans="1:12" ht="100.8" hidden="1" x14ac:dyDescent="0.3">
      <c r="A503" s="5">
        <v>18804061</v>
      </c>
      <c r="B503" s="6" t="s">
        <v>2095</v>
      </c>
      <c r="C503" s="6" t="s">
        <v>2096</v>
      </c>
      <c r="D503" s="8" t="s">
        <v>80</v>
      </c>
      <c r="E503" s="6" t="s">
        <v>2097</v>
      </c>
      <c r="F503" s="6" t="s">
        <v>85</v>
      </c>
      <c r="G503" s="11">
        <v>46135.374305555553</v>
      </c>
      <c r="I503" s="10" t="s">
        <v>2098</v>
      </c>
      <c r="J503" s="6" t="s">
        <v>2099</v>
      </c>
      <c r="K503" s="12">
        <v>46120.735486111109</v>
      </c>
      <c r="L503" s="6" t="e" cm="1">
        <f t="array" ref="L503">LOOKUP(2^15,SEARCH(Tabela2[Palavras-Chave],Boletim4[[#This Row],[Objeto]],1),Tabela2[Palavras-Chave])</f>
        <v>#N/A</v>
      </c>
    </row>
    <row r="504" spans="1:12" ht="72" hidden="1" x14ac:dyDescent="0.3">
      <c r="A504" s="5">
        <v>18792595</v>
      </c>
      <c r="B504" s="6" t="s">
        <v>2100</v>
      </c>
      <c r="C504" s="6" t="s">
        <v>2101</v>
      </c>
      <c r="D504" s="8" t="s">
        <v>80</v>
      </c>
      <c r="E504" s="6" t="s">
        <v>149</v>
      </c>
      <c r="F504" s="6" t="s">
        <v>85</v>
      </c>
      <c r="G504" s="11">
        <v>46136.375</v>
      </c>
      <c r="I504" s="10" t="s">
        <v>2102</v>
      </c>
      <c r="J504" s="6" t="s">
        <v>2103</v>
      </c>
      <c r="K504" s="12">
        <v>46120.745173611111</v>
      </c>
      <c r="L504" s="6" t="e" cm="1">
        <f t="array" ref="L504">LOOKUP(2^15,SEARCH(Tabela2[Palavras-Chave],Boletim4[[#This Row],[Objeto]],1),Tabela2[Palavras-Chave])</f>
        <v>#N/A</v>
      </c>
    </row>
    <row r="505" spans="1:12" ht="57.6" hidden="1" x14ac:dyDescent="0.3">
      <c r="A505" s="5">
        <v>18805586</v>
      </c>
      <c r="B505" s="6" t="s">
        <v>2104</v>
      </c>
      <c r="C505" s="6" t="s">
        <v>2105</v>
      </c>
      <c r="D505" s="8" t="s">
        <v>80</v>
      </c>
      <c r="E505" s="6" t="s">
        <v>2106</v>
      </c>
      <c r="F505" s="6" t="s">
        <v>85</v>
      </c>
      <c r="G505" s="11">
        <v>46126.5625</v>
      </c>
      <c r="I505" s="10" t="s">
        <v>2107</v>
      </c>
      <c r="J505" s="6" t="s">
        <v>2108</v>
      </c>
      <c r="K505" s="12">
        <v>46120.747696759259</v>
      </c>
      <c r="L505" s="6" t="e" cm="1">
        <f t="array" ref="L505">LOOKUP(2^15,SEARCH(Tabela2[Palavras-Chave],Boletim4[[#This Row],[Objeto]],1),Tabela2[Palavras-Chave])</f>
        <v>#N/A</v>
      </c>
    </row>
    <row r="506" spans="1:12" ht="57.6" hidden="1" x14ac:dyDescent="0.3">
      <c r="A506" s="5">
        <v>18805613</v>
      </c>
      <c r="B506" s="6" t="s">
        <v>2109</v>
      </c>
      <c r="C506" s="6" t="s">
        <v>79</v>
      </c>
      <c r="D506" s="8" t="s">
        <v>80</v>
      </c>
      <c r="E506" s="6" t="s">
        <v>2106</v>
      </c>
      <c r="F506" s="6" t="s">
        <v>85</v>
      </c>
      <c r="G506" s="11">
        <v>46135.625694444447</v>
      </c>
      <c r="I506" s="10" t="s">
        <v>2110</v>
      </c>
      <c r="J506" s="6" t="s">
        <v>2111</v>
      </c>
      <c r="K506" s="12">
        <v>46120.755069444444</v>
      </c>
      <c r="L506" s="6" t="e" cm="1">
        <f t="array" ref="L506">LOOKUP(2^15,SEARCH(Tabela2[Palavras-Chave],Boletim4[[#This Row],[Objeto]],1),Tabela2[Palavras-Chave])</f>
        <v>#N/A</v>
      </c>
    </row>
    <row r="507" spans="1:12" ht="43.2" hidden="1" x14ac:dyDescent="0.3">
      <c r="A507" s="5">
        <v>18803870</v>
      </c>
      <c r="B507" s="6" t="s">
        <v>193</v>
      </c>
      <c r="C507" s="6" t="s">
        <v>79</v>
      </c>
      <c r="D507" s="8" t="s">
        <v>80</v>
      </c>
      <c r="E507" s="6" t="s">
        <v>2112</v>
      </c>
      <c r="F507" s="6" t="s">
        <v>85</v>
      </c>
      <c r="G507" s="11">
        <v>46126.381944444445</v>
      </c>
      <c r="I507" s="10" t="s">
        <v>2113</v>
      </c>
      <c r="J507" s="6" t="s">
        <v>2114</v>
      </c>
      <c r="K507" s="12">
        <v>46120.767465277779</v>
      </c>
      <c r="L507" s="6" t="e" cm="1">
        <f t="array" ref="L507">LOOKUP(2^15,SEARCH(Tabela2[Palavras-Chave],Boletim4[[#This Row],[Objeto]],1),Tabela2[Palavras-Chave])</f>
        <v>#N/A</v>
      </c>
    </row>
    <row r="508" spans="1:12" ht="86.4" hidden="1" x14ac:dyDescent="0.3">
      <c r="A508" s="5">
        <v>18804063</v>
      </c>
      <c r="B508" s="6" t="s">
        <v>2115</v>
      </c>
      <c r="C508" s="6" t="s">
        <v>2116</v>
      </c>
      <c r="D508" s="8" t="s">
        <v>80</v>
      </c>
      <c r="E508" s="6" t="s">
        <v>366</v>
      </c>
      <c r="F508" s="6" t="s">
        <v>85</v>
      </c>
      <c r="G508" s="11">
        <v>46141.375</v>
      </c>
      <c r="I508" s="10" t="s">
        <v>2117</v>
      </c>
      <c r="J508" s="6" t="s">
        <v>2118</v>
      </c>
      <c r="K508" s="12">
        <v>46120.811840277776</v>
      </c>
      <c r="L508" s="6" t="e" cm="1">
        <f t="array" ref="L508">LOOKUP(2^15,SEARCH(Tabela2[Palavras-Chave],Boletim4[[#This Row],[Objeto]],1),Tabela2[Palavras-Chave])</f>
        <v>#N/A</v>
      </c>
    </row>
    <row r="509" spans="1:12" ht="86.4" hidden="1" x14ac:dyDescent="0.3">
      <c r="A509" s="5">
        <v>18806056</v>
      </c>
      <c r="B509" s="6" t="s">
        <v>2119</v>
      </c>
      <c r="C509" s="6" t="s">
        <v>2120</v>
      </c>
      <c r="D509" s="8" t="s">
        <v>80</v>
      </c>
      <c r="E509" s="6" t="s">
        <v>117</v>
      </c>
      <c r="F509" s="6" t="s">
        <v>85</v>
      </c>
      <c r="G509" s="11" t="s">
        <v>56</v>
      </c>
      <c r="I509" s="10" t="s">
        <v>2121</v>
      </c>
      <c r="J509" s="6" t="s">
        <v>2122</v>
      </c>
      <c r="K509" s="12">
        <v>46120.812743055554</v>
      </c>
      <c r="L509" s="6" t="e" cm="1">
        <f t="array" ref="L509">LOOKUP(2^15,SEARCH(Tabela2[Palavras-Chave],Boletim4[[#This Row],[Objeto]],1),Tabela2[Palavras-Chave])</f>
        <v>#N/A</v>
      </c>
    </row>
    <row r="510" spans="1:12" ht="57.6" hidden="1" x14ac:dyDescent="0.3">
      <c r="A510" s="5">
        <v>18806122</v>
      </c>
      <c r="B510" s="6" t="s">
        <v>2123</v>
      </c>
      <c r="C510" s="6" t="s">
        <v>2124</v>
      </c>
      <c r="D510" s="8" t="s">
        <v>80</v>
      </c>
      <c r="E510" s="6" t="s">
        <v>2125</v>
      </c>
      <c r="F510" s="6" t="s">
        <v>85</v>
      </c>
      <c r="G510" s="11" t="s">
        <v>56</v>
      </c>
      <c r="I510" s="10" t="s">
        <v>2126</v>
      </c>
      <c r="J510" s="6" t="s">
        <v>2127</v>
      </c>
      <c r="K510" s="12">
        <v>46120.814270833333</v>
      </c>
      <c r="L510" s="6" t="e" cm="1">
        <f t="array" ref="L510">LOOKUP(2^15,SEARCH(Tabela2[Palavras-Chave],Boletim4[[#This Row],[Objeto]],1),Tabela2[Palavras-Chave])</f>
        <v>#N/A</v>
      </c>
    </row>
    <row r="511" spans="1:12" ht="100.8" hidden="1" x14ac:dyDescent="0.3">
      <c r="A511" s="5">
        <v>18793335</v>
      </c>
      <c r="B511" s="6" t="s">
        <v>2128</v>
      </c>
      <c r="C511" s="6" t="s">
        <v>245</v>
      </c>
      <c r="D511" s="8" t="s">
        <v>81</v>
      </c>
      <c r="E511" s="6" t="s">
        <v>122</v>
      </c>
      <c r="F511" s="6" t="s">
        <v>85</v>
      </c>
      <c r="G511" s="11" t="s">
        <v>56</v>
      </c>
      <c r="I511" s="10" t="s">
        <v>2129</v>
      </c>
      <c r="J511" s="6" t="s">
        <v>2130</v>
      </c>
      <c r="K511" s="12">
        <v>46120.388935185183</v>
      </c>
      <c r="L511" s="6" t="e" cm="1">
        <f t="array" ref="L511">LOOKUP(2^15,SEARCH(Tabela2[Palavras-Chave],Boletim4[[#This Row],[Objeto]],1),Tabela2[Palavras-Chave])</f>
        <v>#N/A</v>
      </c>
    </row>
    <row r="512" spans="1:12" ht="115.2" hidden="1" x14ac:dyDescent="0.3">
      <c r="A512" s="5">
        <v>18802018</v>
      </c>
      <c r="B512" s="6" t="s">
        <v>2131</v>
      </c>
      <c r="C512" s="6" t="s">
        <v>2132</v>
      </c>
      <c r="D512" s="8" t="s">
        <v>81</v>
      </c>
      <c r="E512" s="6" t="s">
        <v>223</v>
      </c>
      <c r="F512" s="6" t="s">
        <v>85</v>
      </c>
      <c r="G512" s="11">
        <v>46134.322222222225</v>
      </c>
      <c r="I512" s="10" t="s">
        <v>2133</v>
      </c>
      <c r="J512" s="6" t="s">
        <v>2134</v>
      </c>
      <c r="K512" s="12">
        <v>46120.445208333331</v>
      </c>
      <c r="L512" s="6" t="e" cm="1">
        <f t="array" ref="L512">LOOKUP(2^15,SEARCH(Tabela2[Palavras-Chave],Boletim4[[#This Row],[Objeto]],1),Tabela2[Palavras-Chave])</f>
        <v>#N/A</v>
      </c>
    </row>
    <row r="513" spans="1:12" ht="86.4" hidden="1" x14ac:dyDescent="0.3">
      <c r="A513" s="5">
        <v>18801503</v>
      </c>
      <c r="B513" s="6" t="s">
        <v>2135</v>
      </c>
      <c r="C513" s="6" t="s">
        <v>2136</v>
      </c>
      <c r="D513" s="8" t="s">
        <v>81</v>
      </c>
      <c r="E513" s="6" t="s">
        <v>122</v>
      </c>
      <c r="F513" s="6" t="s">
        <v>85</v>
      </c>
      <c r="G513" s="11" t="s">
        <v>56</v>
      </c>
      <c r="I513" s="10" t="s">
        <v>2137</v>
      </c>
      <c r="J513" s="6" t="s">
        <v>2138</v>
      </c>
      <c r="K513" s="12">
        <v>46120.490682870368</v>
      </c>
      <c r="L513" s="6" t="e" cm="1">
        <f t="array" ref="L513">LOOKUP(2^15,SEARCH(Tabela2[Palavras-Chave],Boletim4[[#This Row],[Objeto]],1),Tabela2[Palavras-Chave])</f>
        <v>#N/A</v>
      </c>
    </row>
    <row r="514" spans="1:12" ht="100.8" hidden="1" x14ac:dyDescent="0.3">
      <c r="A514" s="5">
        <v>18801984</v>
      </c>
      <c r="B514" s="6" t="s">
        <v>2139</v>
      </c>
      <c r="C514" s="6" t="s">
        <v>2140</v>
      </c>
      <c r="D514" s="8" t="s">
        <v>81</v>
      </c>
      <c r="E514" s="6" t="s">
        <v>146</v>
      </c>
      <c r="F514" s="6" t="s">
        <v>85</v>
      </c>
      <c r="G514" s="11">
        <v>46135.333333333336</v>
      </c>
      <c r="I514" s="10" t="s">
        <v>2141</v>
      </c>
      <c r="J514" s="6" t="s">
        <v>2142</v>
      </c>
      <c r="K514" s="12">
        <v>46120.492847222224</v>
      </c>
      <c r="L514" s="6" t="e" cm="1">
        <f t="array" ref="L514">LOOKUP(2^15,SEARCH(Tabela2[Palavras-Chave],Boletim4[[#This Row],[Objeto]],1),Tabela2[Palavras-Chave])</f>
        <v>#N/A</v>
      </c>
    </row>
    <row r="515" spans="1:12" ht="72" hidden="1" x14ac:dyDescent="0.3">
      <c r="A515" s="5">
        <v>18697005</v>
      </c>
      <c r="B515" s="6" t="s">
        <v>208</v>
      </c>
      <c r="C515" s="6" t="s">
        <v>209</v>
      </c>
      <c r="D515" s="8" t="s">
        <v>81</v>
      </c>
      <c r="E515" s="6" t="s">
        <v>114</v>
      </c>
      <c r="F515" s="6" t="s">
        <v>85</v>
      </c>
      <c r="G515" s="11">
        <v>46126.357638888891</v>
      </c>
      <c r="I515" s="10" t="s">
        <v>210</v>
      </c>
      <c r="J515" s="6" t="s">
        <v>211</v>
      </c>
      <c r="K515" s="12">
        <v>46120.523680555554</v>
      </c>
      <c r="L515" s="6" t="e" cm="1">
        <f t="array" ref="L515">LOOKUP(2^15,SEARCH(Tabela2[Palavras-Chave],Boletim4[[#This Row],[Objeto]],1),Tabela2[Palavras-Chave])</f>
        <v>#N/A</v>
      </c>
    </row>
    <row r="516" spans="1:12" ht="86.4" hidden="1" x14ac:dyDescent="0.3">
      <c r="A516" s="5">
        <v>18794644</v>
      </c>
      <c r="B516" s="6" t="s">
        <v>201</v>
      </c>
      <c r="C516" s="6" t="s">
        <v>202</v>
      </c>
      <c r="D516" s="8" t="s">
        <v>81</v>
      </c>
      <c r="E516" s="6" t="s">
        <v>2143</v>
      </c>
      <c r="F516" s="6" t="s">
        <v>85</v>
      </c>
      <c r="G516" s="11" t="s">
        <v>56</v>
      </c>
      <c r="I516" s="10" t="s">
        <v>2144</v>
      </c>
      <c r="J516" s="6" t="s">
        <v>2145</v>
      </c>
      <c r="K516" s="12">
        <v>46120.523692129631</v>
      </c>
      <c r="L516" s="6" t="e" cm="1">
        <f t="array" ref="L516">LOOKUP(2^15,SEARCH(Tabela2[Palavras-Chave],Boletim4[[#This Row],[Objeto]],1),Tabela2[Palavras-Chave])</f>
        <v>#N/A</v>
      </c>
    </row>
    <row r="517" spans="1:12" ht="115.2" hidden="1" x14ac:dyDescent="0.3">
      <c r="A517" s="5">
        <v>18802898</v>
      </c>
      <c r="B517" s="6" t="s">
        <v>408</v>
      </c>
      <c r="C517" s="6" t="s">
        <v>199</v>
      </c>
      <c r="D517" s="8" t="s">
        <v>81</v>
      </c>
      <c r="E517" s="6" t="s">
        <v>2146</v>
      </c>
      <c r="F517" s="6" t="s">
        <v>85</v>
      </c>
      <c r="G517" s="11" t="s">
        <v>56</v>
      </c>
      <c r="I517" s="10" t="s">
        <v>2147</v>
      </c>
      <c r="J517" s="6" t="s">
        <v>2148</v>
      </c>
      <c r="K517" s="12">
        <v>46120.523136574076</v>
      </c>
      <c r="L517" s="6" t="e" cm="1">
        <f t="array" ref="L517">LOOKUP(2^15,SEARCH(Tabela2[Palavras-Chave],Boletim4[[#This Row],[Objeto]],1),Tabela2[Palavras-Chave])</f>
        <v>#N/A</v>
      </c>
    </row>
    <row r="518" spans="1:12" ht="115.2" hidden="1" x14ac:dyDescent="0.3">
      <c r="A518" s="5">
        <v>18802024</v>
      </c>
      <c r="B518" s="6" t="s">
        <v>2149</v>
      </c>
      <c r="C518" s="6" t="s">
        <v>303</v>
      </c>
      <c r="D518" s="8" t="s">
        <v>81</v>
      </c>
      <c r="E518" s="6" t="s">
        <v>109</v>
      </c>
      <c r="F518" s="6" t="s">
        <v>85</v>
      </c>
      <c r="G518" s="11">
        <v>46132.329861111109</v>
      </c>
      <c r="I518" s="10" t="s">
        <v>2150</v>
      </c>
      <c r="J518" s="6" t="s">
        <v>2151</v>
      </c>
      <c r="K518" s="12">
        <v>46120.526018518518</v>
      </c>
      <c r="L518" s="6" t="e" cm="1">
        <f t="array" ref="L518">LOOKUP(2^15,SEARCH(Tabela2[Palavras-Chave],Boletim4[[#This Row],[Objeto]],1),Tabela2[Palavras-Chave])</f>
        <v>#N/A</v>
      </c>
    </row>
    <row r="519" spans="1:12" ht="86.4" hidden="1" x14ac:dyDescent="0.3">
      <c r="A519" s="5">
        <v>18801502</v>
      </c>
      <c r="B519" s="6" t="s">
        <v>2152</v>
      </c>
      <c r="C519" s="6" t="s">
        <v>2153</v>
      </c>
      <c r="D519" s="8" t="s">
        <v>81</v>
      </c>
      <c r="E519" s="6" t="s">
        <v>121</v>
      </c>
      <c r="F519" s="6" t="s">
        <v>85</v>
      </c>
      <c r="G519" s="11" t="s">
        <v>56</v>
      </c>
      <c r="I519" s="10" t="s">
        <v>2154</v>
      </c>
      <c r="J519" s="6" t="s">
        <v>2155</v>
      </c>
      <c r="K519" s="12">
        <v>46120.53429398148</v>
      </c>
      <c r="L519" s="6" t="e" cm="1">
        <f t="array" ref="L519">LOOKUP(2^15,SEARCH(Tabela2[Palavras-Chave],Boletim4[[#This Row],[Objeto]],1),Tabela2[Palavras-Chave])</f>
        <v>#N/A</v>
      </c>
    </row>
    <row r="520" spans="1:12" ht="273.60000000000002" hidden="1" x14ac:dyDescent="0.3">
      <c r="A520" s="5">
        <v>18801635</v>
      </c>
      <c r="B520" s="6" t="s">
        <v>2156</v>
      </c>
      <c r="C520" s="6" t="s">
        <v>2157</v>
      </c>
      <c r="D520" s="8" t="s">
        <v>81</v>
      </c>
      <c r="E520" s="6" t="s">
        <v>155</v>
      </c>
      <c r="F520" s="6" t="s">
        <v>85</v>
      </c>
      <c r="G520" s="11" t="s">
        <v>56</v>
      </c>
      <c r="I520" s="10" t="s">
        <v>2158</v>
      </c>
      <c r="J520" s="6" t="s">
        <v>2159</v>
      </c>
      <c r="K520" s="12">
        <v>46120.536898148152</v>
      </c>
      <c r="L520" s="6" t="e" cm="1">
        <f t="array" ref="L520">LOOKUP(2^15,SEARCH(Tabela2[Palavras-Chave],Boletim4[[#This Row],[Objeto]],1),Tabela2[Palavras-Chave])</f>
        <v>#N/A</v>
      </c>
    </row>
    <row r="521" spans="1:12" ht="72" hidden="1" x14ac:dyDescent="0.3">
      <c r="A521" s="5">
        <v>18799620</v>
      </c>
      <c r="B521" s="6" t="s">
        <v>2160</v>
      </c>
      <c r="C521" s="6" t="s">
        <v>2161</v>
      </c>
      <c r="D521" s="8" t="s">
        <v>81</v>
      </c>
      <c r="E521" s="6" t="s">
        <v>108</v>
      </c>
      <c r="F521" s="6" t="s">
        <v>85</v>
      </c>
      <c r="G521" s="11">
        <v>46135.375</v>
      </c>
      <c r="I521" s="10" t="s">
        <v>2162</v>
      </c>
      <c r="J521" s="6" t="s">
        <v>2163</v>
      </c>
      <c r="K521" s="12">
        <v>46120.572268518517</v>
      </c>
      <c r="L521" s="6" t="e" cm="1">
        <f t="array" ref="L521">LOOKUP(2^15,SEARCH(Tabela2[Palavras-Chave],Boletim4[[#This Row],[Objeto]],1),Tabela2[Palavras-Chave])</f>
        <v>#N/A</v>
      </c>
    </row>
    <row r="522" spans="1:12" ht="115.2" hidden="1" x14ac:dyDescent="0.3">
      <c r="A522" s="5">
        <v>18797081</v>
      </c>
      <c r="B522" s="6" t="s">
        <v>2164</v>
      </c>
      <c r="C522" s="6" t="s">
        <v>2165</v>
      </c>
      <c r="D522" s="8" t="s">
        <v>81</v>
      </c>
      <c r="E522" s="6" t="s">
        <v>2097</v>
      </c>
      <c r="F522" s="6" t="s">
        <v>85</v>
      </c>
      <c r="G522" s="11">
        <v>46135.291666666664</v>
      </c>
      <c r="I522" s="10" t="s">
        <v>2166</v>
      </c>
      <c r="J522" s="6" t="s">
        <v>2167</v>
      </c>
      <c r="K522" s="12">
        <v>46120.586898148147</v>
      </c>
      <c r="L522" s="6" t="e" cm="1">
        <f t="array" ref="L522">LOOKUP(2^15,SEARCH(Tabela2[Palavras-Chave],Boletim4[[#This Row],[Objeto]],1),Tabela2[Palavras-Chave])</f>
        <v>#N/A</v>
      </c>
    </row>
    <row r="523" spans="1:12" ht="144" x14ac:dyDescent="0.3">
      <c r="A523" s="5">
        <v>18793553</v>
      </c>
      <c r="B523" s="6" t="s">
        <v>2168</v>
      </c>
      <c r="C523" s="6" t="s">
        <v>2169</v>
      </c>
      <c r="D523" s="8" t="s">
        <v>81</v>
      </c>
      <c r="E523" s="6" t="s">
        <v>2170</v>
      </c>
      <c r="F523" s="6" t="s">
        <v>85</v>
      </c>
      <c r="G523" s="11" t="s">
        <v>56</v>
      </c>
      <c r="H523" s="23">
        <v>2</v>
      </c>
      <c r="I523" s="10" t="s">
        <v>2171</v>
      </c>
      <c r="J523" s="6" t="s">
        <v>2172</v>
      </c>
      <c r="K523" s="12">
        <v>46120.596597222226</v>
      </c>
      <c r="L523" s="6" t="str" cm="1">
        <f t="array" ref="L523">LOOKUP(2^15,SEARCH(Tabela2[Palavras-Chave],Boletim4[[#This Row],[Objeto]],1),Tabela2[Palavras-Chave])</f>
        <v>JUNTA</v>
      </c>
    </row>
    <row r="524" spans="1:12" ht="86.4" hidden="1" x14ac:dyDescent="0.3">
      <c r="A524" s="5">
        <v>18803576</v>
      </c>
      <c r="B524" s="6" t="s">
        <v>2173</v>
      </c>
      <c r="C524" s="6" t="s">
        <v>2174</v>
      </c>
      <c r="D524" s="8" t="s">
        <v>81</v>
      </c>
      <c r="E524" s="6" t="s">
        <v>2175</v>
      </c>
      <c r="F524" s="6" t="s">
        <v>85</v>
      </c>
      <c r="G524" s="11" t="s">
        <v>56</v>
      </c>
      <c r="I524" s="10" t="s">
        <v>2176</v>
      </c>
      <c r="J524" s="6" t="s">
        <v>2177</v>
      </c>
      <c r="K524" s="12">
        <v>46120.603182870371</v>
      </c>
      <c r="L524" s="6" t="e" cm="1">
        <f t="array" ref="L524">LOOKUP(2^15,SEARCH(Tabela2[Palavras-Chave],Boletim4[[#This Row],[Objeto]],1),Tabela2[Palavras-Chave])</f>
        <v>#N/A</v>
      </c>
    </row>
    <row r="525" spans="1:12" ht="100.8" hidden="1" x14ac:dyDescent="0.3">
      <c r="A525" s="5">
        <v>18798927</v>
      </c>
      <c r="B525" s="6" t="s">
        <v>2178</v>
      </c>
      <c r="C525" s="6" t="s">
        <v>2179</v>
      </c>
      <c r="D525" s="8" t="s">
        <v>81</v>
      </c>
      <c r="E525" s="6" t="s">
        <v>106</v>
      </c>
      <c r="F525" s="6" t="s">
        <v>85</v>
      </c>
      <c r="G525" s="11">
        <v>46142.374305555553</v>
      </c>
      <c r="I525" s="10" t="s">
        <v>2180</v>
      </c>
      <c r="J525" s="6" t="s">
        <v>2181</v>
      </c>
      <c r="K525" s="12">
        <v>46120.618125000001</v>
      </c>
      <c r="L525" s="6" t="e" cm="1">
        <f t="array" ref="L525">LOOKUP(2^15,SEARCH(Tabela2[Palavras-Chave],Boletim4[[#This Row],[Objeto]],1),Tabela2[Palavras-Chave])</f>
        <v>#N/A</v>
      </c>
    </row>
    <row r="526" spans="1:12" ht="100.8" hidden="1" x14ac:dyDescent="0.3">
      <c r="A526" s="5">
        <v>18804051</v>
      </c>
      <c r="B526" s="6" t="s">
        <v>2182</v>
      </c>
      <c r="C526" s="6" t="s">
        <v>2183</v>
      </c>
      <c r="D526" s="8" t="s">
        <v>81</v>
      </c>
      <c r="E526" s="6" t="s">
        <v>2184</v>
      </c>
      <c r="F526" s="6" t="s">
        <v>85</v>
      </c>
      <c r="G526" s="11">
        <v>46134.374305555553</v>
      </c>
      <c r="I526" s="10" t="s">
        <v>2185</v>
      </c>
      <c r="J526" s="6" t="s">
        <v>2186</v>
      </c>
      <c r="K526" s="12">
        <v>46120.651053240741</v>
      </c>
      <c r="L526" s="6" t="e" cm="1">
        <f t="array" ref="L526">LOOKUP(2^15,SEARCH(Tabela2[Palavras-Chave],Boletim4[[#This Row],[Objeto]],1),Tabela2[Palavras-Chave])</f>
        <v>#N/A</v>
      </c>
    </row>
    <row r="527" spans="1:12" ht="259.2" hidden="1" x14ac:dyDescent="0.3">
      <c r="A527" s="5">
        <v>18801629</v>
      </c>
      <c r="B527" s="6" t="s">
        <v>2187</v>
      </c>
      <c r="C527" s="6" t="s">
        <v>2188</v>
      </c>
      <c r="D527" s="8" t="s">
        <v>81</v>
      </c>
      <c r="E527" s="6" t="s">
        <v>165</v>
      </c>
      <c r="F527" s="6" t="s">
        <v>85</v>
      </c>
      <c r="G527" s="11" t="s">
        <v>56</v>
      </c>
      <c r="I527" s="10" t="s">
        <v>2189</v>
      </c>
      <c r="J527" s="6" t="s">
        <v>2190</v>
      </c>
      <c r="K527" s="12">
        <v>46120.659768518519</v>
      </c>
      <c r="L527" s="6" t="e" cm="1">
        <f t="array" ref="L527">LOOKUP(2^15,SEARCH(Tabela2[Palavras-Chave],Boletim4[[#This Row],[Objeto]],1),Tabela2[Palavras-Chave])</f>
        <v>#N/A</v>
      </c>
    </row>
    <row r="528" spans="1:12" ht="244.8" hidden="1" x14ac:dyDescent="0.3">
      <c r="A528" s="5">
        <v>18801655</v>
      </c>
      <c r="B528" s="6" t="s">
        <v>2191</v>
      </c>
      <c r="C528" s="6" t="s">
        <v>2192</v>
      </c>
      <c r="D528" s="8" t="s">
        <v>81</v>
      </c>
      <c r="E528" s="6" t="s">
        <v>192</v>
      </c>
      <c r="F528" s="6" t="s">
        <v>85</v>
      </c>
      <c r="G528" s="11" t="s">
        <v>56</v>
      </c>
      <c r="I528" s="10" t="s">
        <v>2193</v>
      </c>
      <c r="J528" s="6" t="s">
        <v>2194</v>
      </c>
      <c r="K528" s="12">
        <v>46120.660891203705</v>
      </c>
      <c r="L528" s="6" t="e" cm="1">
        <f t="array" ref="L528">LOOKUP(2^15,SEARCH(Tabela2[Palavras-Chave],Boletim4[[#This Row],[Objeto]],1),Tabela2[Palavras-Chave])</f>
        <v>#N/A</v>
      </c>
    </row>
    <row r="529" spans="1:12" ht="86.4" hidden="1" x14ac:dyDescent="0.3">
      <c r="A529" s="5">
        <v>18798294</v>
      </c>
      <c r="B529" s="6" t="s">
        <v>2195</v>
      </c>
      <c r="C529" s="6" t="s">
        <v>2196</v>
      </c>
      <c r="D529" s="8" t="s">
        <v>81</v>
      </c>
      <c r="E529" s="6" t="s">
        <v>2197</v>
      </c>
      <c r="F529" s="6" t="s">
        <v>85</v>
      </c>
      <c r="G529" s="11">
        <v>46134.375</v>
      </c>
      <c r="I529" s="10" t="s">
        <v>2198</v>
      </c>
      <c r="J529" s="6" t="s">
        <v>2199</v>
      </c>
      <c r="K529" s="12">
        <v>46120.690335648149</v>
      </c>
      <c r="L529" s="6" t="e" cm="1">
        <f t="array" ref="L529">LOOKUP(2^15,SEARCH(Tabela2[Palavras-Chave],Boletim4[[#This Row],[Objeto]],1),Tabela2[Palavras-Chave])</f>
        <v>#N/A</v>
      </c>
    </row>
    <row r="530" spans="1:12" ht="86.4" hidden="1" x14ac:dyDescent="0.3">
      <c r="A530" s="5">
        <v>18805233</v>
      </c>
      <c r="B530" s="6" t="s">
        <v>2200</v>
      </c>
      <c r="C530" s="6" t="s">
        <v>2201</v>
      </c>
      <c r="D530" s="8" t="s">
        <v>81</v>
      </c>
      <c r="E530" s="6" t="s">
        <v>2202</v>
      </c>
      <c r="F530" s="6" t="s">
        <v>85</v>
      </c>
      <c r="G530" s="11" t="s">
        <v>56</v>
      </c>
      <c r="I530" s="10" t="s">
        <v>2203</v>
      </c>
      <c r="J530" s="6" t="s">
        <v>2204</v>
      </c>
      <c r="K530" s="12">
        <v>46120.721574074072</v>
      </c>
      <c r="L530" s="6" t="e" cm="1">
        <f t="array" ref="L530">LOOKUP(2^15,SEARCH(Tabela2[Palavras-Chave],Boletim4[[#This Row],[Objeto]],1),Tabela2[Palavras-Chave])</f>
        <v>#N/A</v>
      </c>
    </row>
    <row r="531" spans="1:12" ht="100.8" hidden="1" x14ac:dyDescent="0.3">
      <c r="A531" s="5">
        <v>18804193</v>
      </c>
      <c r="B531" s="6" t="s">
        <v>2205</v>
      </c>
      <c r="C531" s="6" t="s">
        <v>403</v>
      </c>
      <c r="D531" s="8" t="s">
        <v>81</v>
      </c>
      <c r="E531" s="6" t="s">
        <v>108</v>
      </c>
      <c r="F531" s="6" t="s">
        <v>85</v>
      </c>
      <c r="G531" s="11" t="s">
        <v>56</v>
      </c>
      <c r="I531" s="10" t="s">
        <v>2206</v>
      </c>
      <c r="J531" s="6" t="s">
        <v>2207</v>
      </c>
      <c r="K531" s="12">
        <v>46120.711168981485</v>
      </c>
      <c r="L531" s="6" t="e" cm="1">
        <f t="array" ref="L531">LOOKUP(2^15,SEARCH(Tabela2[Palavras-Chave],Boletim4[[#This Row],[Objeto]],1),Tabela2[Palavras-Chave])</f>
        <v>#N/A</v>
      </c>
    </row>
    <row r="532" spans="1:12" ht="144" hidden="1" x14ac:dyDescent="0.3">
      <c r="A532" s="5">
        <v>18804690</v>
      </c>
      <c r="B532" s="6" t="s">
        <v>2208</v>
      </c>
      <c r="C532" s="6" t="s">
        <v>2209</v>
      </c>
      <c r="D532" s="8" t="s">
        <v>81</v>
      </c>
      <c r="E532" s="6" t="s">
        <v>108</v>
      </c>
      <c r="F532" s="6" t="s">
        <v>85</v>
      </c>
      <c r="G532" s="11">
        <v>46162.375</v>
      </c>
      <c r="I532" s="10" t="s">
        <v>2210</v>
      </c>
      <c r="J532" s="6" t="s">
        <v>90</v>
      </c>
      <c r="K532" s="12">
        <v>46120.729120370372</v>
      </c>
      <c r="L532" s="6" t="e" cm="1">
        <f t="array" ref="L532">LOOKUP(2^15,SEARCH(Tabela2[Palavras-Chave],Boletim4[[#This Row],[Objeto]],1),Tabela2[Palavras-Chave])</f>
        <v>#N/A</v>
      </c>
    </row>
    <row r="533" spans="1:12" ht="115.2" hidden="1" x14ac:dyDescent="0.3">
      <c r="A533" s="5">
        <v>18804022</v>
      </c>
      <c r="B533" s="6" t="s">
        <v>2211</v>
      </c>
      <c r="C533" s="6" t="s">
        <v>2174</v>
      </c>
      <c r="D533" s="8" t="s">
        <v>81</v>
      </c>
      <c r="E533" s="6" t="s">
        <v>1499</v>
      </c>
      <c r="F533" s="6" t="s">
        <v>85</v>
      </c>
      <c r="G533" s="11">
        <v>46135.354166666664</v>
      </c>
      <c r="I533" s="10" t="s">
        <v>2212</v>
      </c>
      <c r="J533" s="6" t="s">
        <v>2213</v>
      </c>
      <c r="K533" s="12">
        <v>46120.733368055553</v>
      </c>
      <c r="L533" s="6" t="e" cm="1">
        <f t="array" ref="L533">LOOKUP(2^15,SEARCH(Tabela2[Palavras-Chave],Boletim4[[#This Row],[Objeto]],1),Tabela2[Palavras-Chave])</f>
        <v>#N/A</v>
      </c>
    </row>
    <row r="534" spans="1:12" ht="86.4" hidden="1" x14ac:dyDescent="0.3">
      <c r="A534" s="5">
        <v>18805312</v>
      </c>
      <c r="B534" s="6" t="s">
        <v>2214</v>
      </c>
      <c r="C534" s="6" t="s">
        <v>2215</v>
      </c>
      <c r="D534" s="8" t="s">
        <v>81</v>
      </c>
      <c r="E534" s="6" t="s">
        <v>223</v>
      </c>
      <c r="F534" s="6" t="s">
        <v>85</v>
      </c>
      <c r="G534" s="11" t="s">
        <v>56</v>
      </c>
      <c r="I534" s="10" t="s">
        <v>2216</v>
      </c>
      <c r="J534" s="6" t="s">
        <v>2217</v>
      </c>
      <c r="K534" s="12">
        <v>46120.733773148146</v>
      </c>
      <c r="L534" s="6" t="e" cm="1">
        <f t="array" ref="L534">LOOKUP(2^15,SEARCH(Tabela2[Palavras-Chave],Boletim4[[#This Row],[Objeto]],1),Tabela2[Palavras-Chave])</f>
        <v>#N/A</v>
      </c>
    </row>
    <row r="535" spans="1:12" ht="100.8" hidden="1" x14ac:dyDescent="0.3">
      <c r="A535" s="5">
        <v>18802063</v>
      </c>
      <c r="B535" s="6" t="s">
        <v>2218</v>
      </c>
      <c r="C535" s="6" t="s">
        <v>2219</v>
      </c>
      <c r="D535" s="8" t="s">
        <v>81</v>
      </c>
      <c r="E535" s="6" t="s">
        <v>205</v>
      </c>
      <c r="F535" s="6" t="s">
        <v>85</v>
      </c>
      <c r="G535" s="11">
        <v>46160.305555555555</v>
      </c>
      <c r="I535" s="10" t="s">
        <v>2220</v>
      </c>
      <c r="J535" s="6" t="s">
        <v>2221</v>
      </c>
      <c r="K535" s="12">
        <v>46120.746354166666</v>
      </c>
      <c r="L535" s="6" t="e" cm="1">
        <f t="array" ref="L535">LOOKUP(2^15,SEARCH(Tabela2[Palavras-Chave],Boletim4[[#This Row],[Objeto]],1),Tabela2[Palavras-Chave])</f>
        <v>#N/A</v>
      </c>
    </row>
    <row r="536" spans="1:12" ht="244.8" x14ac:dyDescent="0.3">
      <c r="A536" s="5">
        <v>18801675</v>
      </c>
      <c r="B536" s="6" t="s">
        <v>2222</v>
      </c>
      <c r="C536" s="6" t="s">
        <v>405</v>
      </c>
      <c r="D536" s="8" t="s">
        <v>81</v>
      </c>
      <c r="E536" s="6" t="s">
        <v>124</v>
      </c>
      <c r="F536" s="6" t="s">
        <v>85</v>
      </c>
      <c r="G536" s="11" t="s">
        <v>56</v>
      </c>
      <c r="H536" s="23">
        <v>2</v>
      </c>
      <c r="I536" s="10" t="s">
        <v>2223</v>
      </c>
      <c r="J536" s="6" t="s">
        <v>2224</v>
      </c>
      <c r="K536" s="12">
        <v>46120.761064814818</v>
      </c>
      <c r="L536" s="6" t="str" cm="1">
        <f t="array" ref="L536">LOOKUP(2^15,SEARCH(Tabela2[Palavras-Chave],Boletim4[[#This Row],[Objeto]],1),Tabela2[Palavras-Chave])</f>
        <v>TANQUE</v>
      </c>
    </row>
    <row r="537" spans="1:12" ht="100.8" hidden="1" x14ac:dyDescent="0.3">
      <c r="A537" s="5">
        <v>18801918</v>
      </c>
      <c r="B537" s="6" t="s">
        <v>2225</v>
      </c>
      <c r="C537" s="6" t="s">
        <v>2226</v>
      </c>
      <c r="D537" s="8" t="s">
        <v>81</v>
      </c>
      <c r="E537" s="6" t="s">
        <v>1849</v>
      </c>
      <c r="F537" s="6" t="s">
        <v>85</v>
      </c>
      <c r="G537" s="11">
        <v>46147.582638888889</v>
      </c>
      <c r="I537" s="10" t="s">
        <v>2227</v>
      </c>
      <c r="J537" s="6" t="s">
        <v>2228</v>
      </c>
      <c r="K537" s="12">
        <v>46120.772662037038</v>
      </c>
      <c r="L537" s="6" t="e" cm="1">
        <f t="array" ref="L537">LOOKUP(2^15,SEARCH(Tabela2[Palavras-Chave],Boletim4[[#This Row],[Objeto]],1),Tabela2[Palavras-Chave])</f>
        <v>#N/A</v>
      </c>
    </row>
    <row r="538" spans="1:12" ht="43.2" hidden="1" x14ac:dyDescent="0.3">
      <c r="A538" s="5">
        <v>18805909</v>
      </c>
      <c r="B538" s="6" t="s">
        <v>2229</v>
      </c>
      <c r="C538" s="6" t="s">
        <v>2230</v>
      </c>
      <c r="D538" s="8" t="s">
        <v>81</v>
      </c>
      <c r="E538" s="6" t="s">
        <v>2231</v>
      </c>
      <c r="F538" s="6" t="s">
        <v>85</v>
      </c>
      <c r="G538" s="11" t="s">
        <v>56</v>
      </c>
      <c r="I538" s="10" t="s">
        <v>2232</v>
      </c>
      <c r="J538" s="6" t="s">
        <v>2233</v>
      </c>
      <c r="K538" s="12">
        <v>46120.785000000003</v>
      </c>
      <c r="L538" s="6" t="e" cm="1">
        <f t="array" ref="L538">LOOKUP(2^15,SEARCH(Tabela2[Palavras-Chave],Boletim4[[#This Row],[Objeto]],1),Tabela2[Palavras-Chave])</f>
        <v>#N/A</v>
      </c>
    </row>
    <row r="539" spans="1:12" ht="57.6" hidden="1" x14ac:dyDescent="0.3">
      <c r="A539" s="5">
        <v>18766991</v>
      </c>
      <c r="B539" s="6" t="s">
        <v>2234</v>
      </c>
      <c r="C539" s="6" t="s">
        <v>2235</v>
      </c>
      <c r="D539" s="8" t="s">
        <v>81</v>
      </c>
      <c r="E539" s="6" t="s">
        <v>337</v>
      </c>
      <c r="F539" s="6" t="s">
        <v>85</v>
      </c>
      <c r="G539" s="11" t="s">
        <v>56</v>
      </c>
      <c r="I539" s="10" t="s">
        <v>2236</v>
      </c>
      <c r="J539" s="6" t="s">
        <v>2237</v>
      </c>
      <c r="K539" s="12">
        <v>46120.789618055554</v>
      </c>
      <c r="L539" s="6" t="e" cm="1">
        <f t="array" ref="L539">LOOKUP(2^15,SEARCH(Tabela2[Palavras-Chave],Boletim4[[#This Row],[Objeto]],1),Tabela2[Palavras-Chave])</f>
        <v>#N/A</v>
      </c>
    </row>
    <row r="540" spans="1:12" ht="72" hidden="1" x14ac:dyDescent="0.3">
      <c r="A540" s="5">
        <v>18799617</v>
      </c>
      <c r="B540" s="6" t="s">
        <v>2164</v>
      </c>
      <c r="C540" s="6" t="s">
        <v>2165</v>
      </c>
      <c r="D540" s="8" t="s">
        <v>81</v>
      </c>
      <c r="E540" s="6" t="s">
        <v>146</v>
      </c>
      <c r="F540" s="6" t="s">
        <v>85</v>
      </c>
      <c r="G540" s="11">
        <v>46135.333333333336</v>
      </c>
      <c r="I540" s="10" t="s">
        <v>2166</v>
      </c>
      <c r="J540" s="6" t="s">
        <v>2238</v>
      </c>
      <c r="K540" s="12">
        <v>46120.829895833333</v>
      </c>
      <c r="L540" s="6" t="e" cm="1">
        <f t="array" ref="L540">LOOKUP(2^15,SEARCH(Tabela2[Palavras-Chave],Boletim4[[#This Row],[Objeto]],1),Tabela2[Palavras-Chave])</f>
        <v>#N/A</v>
      </c>
    </row>
    <row r="541" spans="1:12" ht="72" hidden="1" x14ac:dyDescent="0.3">
      <c r="A541" s="13">
        <v>18806276</v>
      </c>
      <c r="B541" s="10" t="s">
        <v>427</v>
      </c>
      <c r="C541" s="10" t="s">
        <v>428</v>
      </c>
      <c r="D541" s="15" t="s">
        <v>81</v>
      </c>
      <c r="E541" s="10" t="s">
        <v>120</v>
      </c>
      <c r="F541" s="10" t="s">
        <v>85</v>
      </c>
      <c r="G541" s="16">
        <v>46134</v>
      </c>
      <c r="H541" s="24"/>
      <c r="I541" s="10" t="s">
        <v>2239</v>
      </c>
      <c r="J541" s="10" t="s">
        <v>2240</v>
      </c>
      <c r="K541" s="17">
        <v>46120.840312499997</v>
      </c>
      <c r="L541" s="6" t="e" cm="1">
        <f t="array" ref="L541">LOOKUP(2^15,SEARCH(Tabela2[Palavras-Chave],Boletim4[[#This Row],[Objeto]],1),Tabela2[Palavras-Chave])</f>
        <v>#N/A</v>
      </c>
    </row>
    <row r="542" spans="1:12" ht="86.4" hidden="1" x14ac:dyDescent="0.3">
      <c r="A542" s="5">
        <v>18803573</v>
      </c>
      <c r="B542" s="6" t="s">
        <v>2211</v>
      </c>
      <c r="C542" s="6" t="s">
        <v>2174</v>
      </c>
      <c r="D542" s="8" t="s">
        <v>81</v>
      </c>
      <c r="E542" s="6" t="s">
        <v>212</v>
      </c>
      <c r="F542" s="6" t="s">
        <v>85</v>
      </c>
      <c r="G542" s="11" t="s">
        <v>56</v>
      </c>
      <c r="I542" s="10" t="s">
        <v>2241</v>
      </c>
      <c r="J542" s="6" t="s">
        <v>2242</v>
      </c>
      <c r="K542" s="12">
        <v>46120.863749999997</v>
      </c>
      <c r="L542" s="6" t="e" cm="1">
        <f t="array" ref="L542">LOOKUP(2^15,SEARCH(Tabela2[Palavras-Chave],Boletim4[[#This Row],[Objeto]],1),Tabela2[Palavras-Chave])</f>
        <v>#N/A</v>
      </c>
    </row>
    <row r="543" spans="1:12" ht="57.6" hidden="1" x14ac:dyDescent="0.3">
      <c r="A543" s="5">
        <v>18804700</v>
      </c>
      <c r="B543" s="6" t="s">
        <v>2243</v>
      </c>
      <c r="C543" s="6" t="s">
        <v>2244</v>
      </c>
      <c r="D543" s="8" t="s">
        <v>81</v>
      </c>
      <c r="E543" s="6" t="s">
        <v>2245</v>
      </c>
      <c r="F543" s="6" t="s">
        <v>85</v>
      </c>
      <c r="G543" s="11">
        <v>46136.334027777775</v>
      </c>
      <c r="I543" s="10" t="s">
        <v>2246</v>
      </c>
      <c r="J543" s="6" t="s">
        <v>90</v>
      </c>
      <c r="K543" s="12">
        <v>46120.869386574072</v>
      </c>
      <c r="L543" s="6" t="e" cm="1">
        <f t="array" ref="L543">LOOKUP(2^15,SEARCH(Tabela2[Palavras-Chave],Boletim4[[#This Row],[Objeto]],1),Tabela2[Palavras-Chave])</f>
        <v>#N/A</v>
      </c>
    </row>
    <row r="544" spans="1:12" ht="100.8" hidden="1" x14ac:dyDescent="0.3">
      <c r="A544" s="5">
        <v>18804764</v>
      </c>
      <c r="B544" s="6" t="s">
        <v>2178</v>
      </c>
      <c r="C544" s="6" t="s">
        <v>2179</v>
      </c>
      <c r="D544" s="8" t="s">
        <v>81</v>
      </c>
      <c r="E544" s="6" t="s">
        <v>117</v>
      </c>
      <c r="F544" s="6" t="s">
        <v>85</v>
      </c>
      <c r="G544" s="11">
        <v>46132.374305555553</v>
      </c>
      <c r="I544" s="10" t="s">
        <v>2247</v>
      </c>
      <c r="J544" s="6" t="s">
        <v>2248</v>
      </c>
      <c r="K544" s="12">
        <v>46120.873136574075</v>
      </c>
      <c r="L544" s="6" t="e" cm="1">
        <f t="array" ref="L544">LOOKUP(2^15,SEARCH(Tabela2[Palavras-Chave],Boletim4[[#This Row],[Objeto]],1),Tabela2[Palavras-Chave])</f>
        <v>#N/A</v>
      </c>
    </row>
    <row r="545" spans="1:12" ht="28.8" hidden="1" x14ac:dyDescent="0.3">
      <c r="A545" s="5">
        <v>18804153</v>
      </c>
      <c r="B545" s="6" t="s">
        <v>2249</v>
      </c>
      <c r="C545" s="6" t="s">
        <v>2250</v>
      </c>
      <c r="D545" s="8" t="s">
        <v>81</v>
      </c>
      <c r="E545" s="6" t="s">
        <v>109</v>
      </c>
      <c r="F545" s="6" t="s">
        <v>85</v>
      </c>
      <c r="G545" s="11">
        <v>46129.375</v>
      </c>
      <c r="I545" s="10" t="s">
        <v>2251</v>
      </c>
      <c r="J545" s="6" t="s">
        <v>90</v>
      </c>
      <c r="K545" s="12">
        <v>46120.885462962964</v>
      </c>
      <c r="L545" s="6" t="e" cm="1">
        <f t="array" ref="L545">LOOKUP(2^15,SEARCH(Tabela2[Palavras-Chave],Boletim4[[#This Row],[Objeto]],1),Tabela2[Palavras-Chave])</f>
        <v>#N/A</v>
      </c>
    </row>
    <row r="546" spans="1:12" ht="259.2" hidden="1" x14ac:dyDescent="0.3">
      <c r="A546" s="5">
        <v>18804235</v>
      </c>
      <c r="B546" s="6" t="s">
        <v>2252</v>
      </c>
      <c r="C546" s="6" t="s">
        <v>2253</v>
      </c>
      <c r="D546" s="8" t="s">
        <v>93</v>
      </c>
      <c r="E546" s="6" t="s">
        <v>107</v>
      </c>
      <c r="F546" s="6" t="s">
        <v>85</v>
      </c>
      <c r="G546" s="11" t="s">
        <v>56</v>
      </c>
      <c r="I546" s="10" t="s">
        <v>2254</v>
      </c>
      <c r="J546" s="6" t="s">
        <v>2255</v>
      </c>
      <c r="K546" s="12">
        <v>46120.622673611113</v>
      </c>
      <c r="L546" s="6" t="e" cm="1">
        <f t="array" ref="L546">LOOKUP(2^15,SEARCH(Tabela2[Palavras-Chave],Boletim4[[#This Row],[Objeto]],1),Tabela2[Palavras-Chave])</f>
        <v>#N/A</v>
      </c>
    </row>
    <row r="547" spans="1:12" ht="244.8" hidden="1" x14ac:dyDescent="0.3">
      <c r="A547" s="5">
        <v>18805327</v>
      </c>
      <c r="B547" s="6" t="s">
        <v>2256</v>
      </c>
      <c r="C547" s="6" t="s">
        <v>2257</v>
      </c>
      <c r="D547" s="8" t="s">
        <v>93</v>
      </c>
      <c r="E547" s="6" t="s">
        <v>114</v>
      </c>
      <c r="F547" s="6" t="s">
        <v>85</v>
      </c>
      <c r="G547" s="11" t="s">
        <v>56</v>
      </c>
      <c r="I547" s="10" t="s">
        <v>2258</v>
      </c>
      <c r="J547" s="6" t="s">
        <v>2259</v>
      </c>
      <c r="K547" s="12">
        <v>46120.726770833331</v>
      </c>
      <c r="L547" s="6" t="e" cm="1">
        <f t="array" ref="L547">LOOKUP(2^15,SEARCH(Tabela2[Palavras-Chave],Boletim4[[#This Row],[Objeto]],1),Tabela2[Palavras-Chave])</f>
        <v>#N/A</v>
      </c>
    </row>
    <row r="548" spans="1:12" ht="259.2" hidden="1" x14ac:dyDescent="0.3">
      <c r="A548" s="5">
        <v>18800102</v>
      </c>
      <c r="B548" s="6" t="s">
        <v>2260</v>
      </c>
      <c r="C548" s="6" t="s">
        <v>2261</v>
      </c>
      <c r="D548" s="8" t="s">
        <v>82</v>
      </c>
      <c r="E548" s="6" t="s">
        <v>1567</v>
      </c>
      <c r="F548" s="6" t="s">
        <v>85</v>
      </c>
      <c r="G548" s="11" t="s">
        <v>56</v>
      </c>
      <c r="I548" s="10" t="s">
        <v>2262</v>
      </c>
      <c r="J548" s="6" t="s">
        <v>2263</v>
      </c>
      <c r="K548" s="12">
        <v>46120.388298611113</v>
      </c>
      <c r="L548" s="6" t="e" cm="1">
        <f t="array" ref="L548">LOOKUP(2^15,SEARCH(Tabela2[Palavras-Chave],Boletim4[[#This Row],[Objeto]],1),Tabela2[Palavras-Chave])</f>
        <v>#N/A</v>
      </c>
    </row>
    <row r="549" spans="1:12" ht="86.4" hidden="1" x14ac:dyDescent="0.3">
      <c r="A549" s="13">
        <v>18800025</v>
      </c>
      <c r="B549" s="10" t="s">
        <v>1101</v>
      </c>
      <c r="C549" s="10" t="s">
        <v>1102</v>
      </c>
      <c r="D549" s="15" t="s">
        <v>82</v>
      </c>
      <c r="E549" s="10" t="s">
        <v>134</v>
      </c>
      <c r="F549" s="10" t="s">
        <v>85</v>
      </c>
      <c r="G549" s="16" t="s">
        <v>56</v>
      </c>
      <c r="H549" s="24"/>
      <c r="I549" s="10" t="s">
        <v>2264</v>
      </c>
      <c r="J549" s="10" t="s">
        <v>2265</v>
      </c>
      <c r="K549" s="17">
        <v>46120.388958333337</v>
      </c>
      <c r="L549" s="6" t="e" cm="1">
        <f t="array" ref="L549">LOOKUP(2^15,SEARCH(Tabela2[Palavras-Chave],Boletim4[[#This Row],[Objeto]],1),Tabela2[Palavras-Chave])</f>
        <v>#N/A</v>
      </c>
    </row>
    <row r="550" spans="1:12" ht="244.8" hidden="1" x14ac:dyDescent="0.3">
      <c r="A550" s="5">
        <v>18793105</v>
      </c>
      <c r="B550" s="6" t="s">
        <v>2266</v>
      </c>
      <c r="C550" s="6" t="s">
        <v>2267</v>
      </c>
      <c r="D550" s="8" t="s">
        <v>82</v>
      </c>
      <c r="E550" s="6" t="s">
        <v>2268</v>
      </c>
      <c r="F550" s="6" t="s">
        <v>85</v>
      </c>
      <c r="G550" s="11" t="s">
        <v>56</v>
      </c>
      <c r="I550" s="10" t="s">
        <v>2269</v>
      </c>
      <c r="J550" s="6" t="s">
        <v>2270</v>
      </c>
      <c r="K550" s="12">
        <v>46120.388981481483</v>
      </c>
      <c r="L550" s="6" t="e" cm="1">
        <f t="array" ref="L550">LOOKUP(2^15,SEARCH(Tabela2[Palavras-Chave],Boletim4[[#This Row],[Objeto]],1),Tabela2[Palavras-Chave])</f>
        <v>#N/A</v>
      </c>
    </row>
    <row r="551" spans="1:12" ht="100.8" hidden="1" x14ac:dyDescent="0.3">
      <c r="A551" s="5">
        <v>18783825</v>
      </c>
      <c r="B551" s="6" t="s">
        <v>2271</v>
      </c>
      <c r="C551" s="6" t="s">
        <v>348</v>
      </c>
      <c r="D551" s="8" t="s">
        <v>82</v>
      </c>
      <c r="E551" s="6" t="s">
        <v>146</v>
      </c>
      <c r="F551" s="6" t="s">
        <v>85</v>
      </c>
      <c r="G551" s="11" t="s">
        <v>56</v>
      </c>
      <c r="I551" s="10" t="s">
        <v>2272</v>
      </c>
      <c r="J551" s="6" t="s">
        <v>2273</v>
      </c>
      <c r="K551" s="12">
        <v>46120.48196759259</v>
      </c>
      <c r="L551" s="6" t="e" cm="1">
        <f t="array" ref="L551">LOOKUP(2^15,SEARCH(Tabela2[Palavras-Chave],Boletim4[[#This Row],[Objeto]],1),Tabela2[Palavras-Chave])</f>
        <v>#N/A</v>
      </c>
    </row>
    <row r="552" spans="1:12" ht="72" hidden="1" x14ac:dyDescent="0.3">
      <c r="A552" s="5">
        <v>18802249</v>
      </c>
      <c r="B552" s="6" t="s">
        <v>74</v>
      </c>
      <c r="C552" s="6" t="s">
        <v>83</v>
      </c>
      <c r="D552" s="8" t="s">
        <v>82</v>
      </c>
      <c r="E552" s="6" t="s">
        <v>1923</v>
      </c>
      <c r="F552" s="6" t="s">
        <v>85</v>
      </c>
      <c r="G552" s="11" t="s">
        <v>56</v>
      </c>
      <c r="I552" s="10" t="s">
        <v>1924</v>
      </c>
      <c r="J552" s="6" t="s">
        <v>1925</v>
      </c>
      <c r="K552" s="12">
        <v>46120.503541666665</v>
      </c>
      <c r="L552" s="6" t="e" cm="1">
        <f t="array" ref="L552">LOOKUP(2^15,SEARCH(Tabela2[Palavras-Chave],Boletim4[[#This Row],[Objeto]],1),Tabela2[Palavras-Chave])</f>
        <v>#N/A</v>
      </c>
    </row>
    <row r="553" spans="1:12" ht="115.2" hidden="1" x14ac:dyDescent="0.3">
      <c r="A553" s="5">
        <v>18802933</v>
      </c>
      <c r="B553" s="6" t="s">
        <v>2274</v>
      </c>
      <c r="C553" s="6" t="s">
        <v>2275</v>
      </c>
      <c r="D553" s="8" t="s">
        <v>82</v>
      </c>
      <c r="E553" s="6" t="s">
        <v>2276</v>
      </c>
      <c r="F553" s="6" t="s">
        <v>85</v>
      </c>
      <c r="G553" s="11" t="s">
        <v>56</v>
      </c>
      <c r="I553" s="10" t="s">
        <v>2277</v>
      </c>
      <c r="J553" s="6" t="s">
        <v>2278</v>
      </c>
      <c r="K553" s="12">
        <v>46120.51048611111</v>
      </c>
      <c r="L553" s="6" t="e" cm="1">
        <f t="array" ref="L553">LOOKUP(2^15,SEARCH(Tabela2[Palavras-Chave],Boletim4[[#This Row],[Objeto]],1),Tabela2[Palavras-Chave])</f>
        <v>#N/A</v>
      </c>
    </row>
    <row r="554" spans="1:12" ht="144" x14ac:dyDescent="0.3">
      <c r="A554" s="5">
        <v>18802462</v>
      </c>
      <c r="B554" s="6" t="s">
        <v>2279</v>
      </c>
      <c r="C554" s="6" t="s">
        <v>2280</v>
      </c>
      <c r="D554" s="8" t="s">
        <v>82</v>
      </c>
      <c r="E554" s="6" t="s">
        <v>205</v>
      </c>
      <c r="F554" s="6" t="s">
        <v>85</v>
      </c>
      <c r="G554" s="11" t="s">
        <v>56</v>
      </c>
      <c r="H554" s="23">
        <v>2</v>
      </c>
      <c r="I554" s="10" t="s">
        <v>2281</v>
      </c>
      <c r="J554" s="6" t="s">
        <v>2282</v>
      </c>
      <c r="K554" s="12">
        <v>46120.51425925926</v>
      </c>
      <c r="L554" s="6" t="str" cm="1">
        <f t="array" ref="L554">LOOKUP(2^15,SEARCH(Tabela2[Palavras-Chave],Boletim4[[#This Row],[Objeto]],1),Tabela2[Palavras-Chave])</f>
        <v>ELEVADO</v>
      </c>
    </row>
    <row r="555" spans="1:12" ht="86.4" hidden="1" x14ac:dyDescent="0.3">
      <c r="A555" s="5">
        <v>18802149</v>
      </c>
      <c r="B555" s="6" t="s">
        <v>2283</v>
      </c>
      <c r="C555" s="6" t="s">
        <v>344</v>
      </c>
      <c r="D555" s="8" t="s">
        <v>82</v>
      </c>
      <c r="E555" s="6" t="s">
        <v>270</v>
      </c>
      <c r="F555" s="6" t="s">
        <v>85</v>
      </c>
      <c r="G555" s="11" t="s">
        <v>56</v>
      </c>
      <c r="I555" s="10" t="s">
        <v>2284</v>
      </c>
      <c r="J555" s="6" t="s">
        <v>2285</v>
      </c>
      <c r="K555" s="12">
        <v>46120.518043981479</v>
      </c>
      <c r="L555" s="6" t="e" cm="1">
        <f t="array" ref="L555">LOOKUP(2^15,SEARCH(Tabela2[Palavras-Chave],Boletim4[[#This Row],[Objeto]],1),Tabela2[Palavras-Chave])</f>
        <v>#N/A</v>
      </c>
    </row>
    <row r="556" spans="1:12" ht="86.4" hidden="1" x14ac:dyDescent="0.3">
      <c r="A556" s="5">
        <v>18801479</v>
      </c>
      <c r="B556" s="6" t="s">
        <v>2286</v>
      </c>
      <c r="C556" s="6" t="s">
        <v>2287</v>
      </c>
      <c r="D556" s="8" t="s">
        <v>82</v>
      </c>
      <c r="E556" s="6" t="s">
        <v>2097</v>
      </c>
      <c r="F556" s="6" t="s">
        <v>85</v>
      </c>
      <c r="G556" s="11" t="s">
        <v>56</v>
      </c>
      <c r="I556" s="10" t="s">
        <v>2288</v>
      </c>
      <c r="J556" s="6" t="s">
        <v>2289</v>
      </c>
      <c r="K556" s="12">
        <v>46120.522337962961</v>
      </c>
      <c r="L556" s="6" t="e" cm="1">
        <f t="array" ref="L556">LOOKUP(2^15,SEARCH(Tabela2[Palavras-Chave],Boletim4[[#This Row],[Objeto]],1),Tabela2[Palavras-Chave])</f>
        <v>#N/A</v>
      </c>
    </row>
    <row r="557" spans="1:12" ht="86.4" hidden="1" x14ac:dyDescent="0.3">
      <c r="A557" s="5">
        <v>18801722</v>
      </c>
      <c r="B557" s="6" t="s">
        <v>2290</v>
      </c>
      <c r="C557" s="6" t="s">
        <v>2291</v>
      </c>
      <c r="D557" s="8" t="s">
        <v>82</v>
      </c>
      <c r="E557" s="6" t="s">
        <v>135</v>
      </c>
      <c r="F557" s="6" t="s">
        <v>85</v>
      </c>
      <c r="G557" s="11">
        <v>46135.333333333336</v>
      </c>
      <c r="I557" s="10" t="s">
        <v>2292</v>
      </c>
      <c r="J557" s="6" t="s">
        <v>2293</v>
      </c>
      <c r="K557" s="12">
        <v>46120.523564814815</v>
      </c>
      <c r="L557" s="6" t="e" cm="1">
        <f t="array" ref="L557">LOOKUP(2^15,SEARCH(Tabela2[Palavras-Chave],Boletim4[[#This Row],[Objeto]],1),Tabela2[Palavras-Chave])</f>
        <v>#N/A</v>
      </c>
    </row>
    <row r="558" spans="1:12" ht="72" hidden="1" x14ac:dyDescent="0.3">
      <c r="A558" s="5">
        <v>18802226</v>
      </c>
      <c r="B558" s="6" t="s">
        <v>74</v>
      </c>
      <c r="C558" s="6" t="s">
        <v>83</v>
      </c>
      <c r="D558" s="8" t="s">
        <v>82</v>
      </c>
      <c r="E558" s="6" t="s">
        <v>1926</v>
      </c>
      <c r="F558" s="6" t="s">
        <v>85</v>
      </c>
      <c r="G558" s="11" t="s">
        <v>56</v>
      </c>
      <c r="I558" s="10" t="s">
        <v>353</v>
      </c>
      <c r="J558" s="6" t="s">
        <v>1927</v>
      </c>
      <c r="K558" s="12">
        <v>46120.527824074074</v>
      </c>
      <c r="L558" s="6" t="e" cm="1">
        <f t="array" ref="L558">LOOKUP(2^15,SEARCH(Tabela2[Palavras-Chave],Boletim4[[#This Row],[Objeto]],1),Tabela2[Palavras-Chave])</f>
        <v>#N/A</v>
      </c>
    </row>
    <row r="559" spans="1:12" ht="259.2" hidden="1" x14ac:dyDescent="0.3">
      <c r="A559" s="5">
        <v>18801598</v>
      </c>
      <c r="B559" s="6" t="s">
        <v>2294</v>
      </c>
      <c r="C559" s="6" t="s">
        <v>283</v>
      </c>
      <c r="D559" s="8" t="s">
        <v>82</v>
      </c>
      <c r="E559" s="6" t="s">
        <v>212</v>
      </c>
      <c r="F559" s="6" t="s">
        <v>85</v>
      </c>
      <c r="G559" s="11" t="s">
        <v>56</v>
      </c>
      <c r="I559" s="10" t="s">
        <v>2295</v>
      </c>
      <c r="J559" s="6" t="s">
        <v>2296</v>
      </c>
      <c r="K559" s="12">
        <v>46120.526365740741</v>
      </c>
      <c r="L559" s="6" t="e" cm="1">
        <f t="array" ref="L559">LOOKUP(2^15,SEARCH(Tabela2[Palavras-Chave],Boletim4[[#This Row],[Objeto]],1),Tabela2[Palavras-Chave])</f>
        <v>#N/A</v>
      </c>
    </row>
    <row r="560" spans="1:12" ht="72" hidden="1" x14ac:dyDescent="0.3">
      <c r="A560" s="5">
        <v>18802233</v>
      </c>
      <c r="B560" s="6" t="s">
        <v>74</v>
      </c>
      <c r="C560" s="6" t="s">
        <v>83</v>
      </c>
      <c r="D560" s="8" t="s">
        <v>82</v>
      </c>
      <c r="E560" s="6" t="s">
        <v>1394</v>
      </c>
      <c r="F560" s="6" t="s">
        <v>85</v>
      </c>
      <c r="G560" s="11" t="s">
        <v>56</v>
      </c>
      <c r="I560" s="10" t="s">
        <v>1395</v>
      </c>
      <c r="J560" s="6" t="s">
        <v>1396</v>
      </c>
      <c r="K560" s="12">
        <v>46120.529236111113</v>
      </c>
      <c r="L560" s="6" t="e" cm="1">
        <f t="array" ref="L560">LOOKUP(2^15,SEARCH(Tabela2[Palavras-Chave],Boletim4[[#This Row],[Objeto]],1),Tabela2[Palavras-Chave])</f>
        <v>#N/A</v>
      </c>
    </row>
    <row r="561" spans="1:12" ht="72" hidden="1" x14ac:dyDescent="0.3">
      <c r="A561" s="5">
        <v>18802240</v>
      </c>
      <c r="B561" s="6" t="s">
        <v>74</v>
      </c>
      <c r="C561" s="6" t="s">
        <v>83</v>
      </c>
      <c r="D561" s="8" t="s">
        <v>82</v>
      </c>
      <c r="E561" s="6" t="s">
        <v>1232</v>
      </c>
      <c r="F561" s="6" t="s">
        <v>85</v>
      </c>
      <c r="G561" s="11" t="s">
        <v>56</v>
      </c>
      <c r="I561" s="10" t="s">
        <v>1233</v>
      </c>
      <c r="J561" s="6" t="s">
        <v>1234</v>
      </c>
      <c r="K561" s="12">
        <v>46120.529907407406</v>
      </c>
      <c r="L561" s="6" t="e" cm="1">
        <f t="array" ref="L561">LOOKUP(2^15,SEARCH(Tabela2[Palavras-Chave],Boletim4[[#This Row],[Objeto]],1),Tabela2[Palavras-Chave])</f>
        <v>#N/A</v>
      </c>
    </row>
    <row r="562" spans="1:12" ht="259.2" hidden="1" x14ac:dyDescent="0.3">
      <c r="A562" s="5">
        <v>18801586</v>
      </c>
      <c r="B562" s="6" t="s">
        <v>2297</v>
      </c>
      <c r="C562" s="6" t="s">
        <v>2298</v>
      </c>
      <c r="D562" s="8" t="s">
        <v>82</v>
      </c>
      <c r="E562" s="6" t="s">
        <v>2097</v>
      </c>
      <c r="F562" s="6" t="s">
        <v>85</v>
      </c>
      <c r="G562" s="11" t="s">
        <v>56</v>
      </c>
      <c r="I562" s="10" t="s">
        <v>2299</v>
      </c>
      <c r="J562" s="6" t="s">
        <v>2300</v>
      </c>
      <c r="K562" s="12">
        <v>46120.555578703701</v>
      </c>
      <c r="L562" s="6" t="e" cm="1">
        <f t="array" ref="L562">LOOKUP(2^15,SEARCH(Tabela2[Palavras-Chave],Boletim4[[#This Row],[Objeto]],1),Tabela2[Palavras-Chave])</f>
        <v>#N/A</v>
      </c>
    </row>
    <row r="563" spans="1:12" ht="273.60000000000002" hidden="1" x14ac:dyDescent="0.3">
      <c r="A563" s="5">
        <v>18801553</v>
      </c>
      <c r="B563" s="6" t="s">
        <v>2301</v>
      </c>
      <c r="C563" s="6" t="s">
        <v>2302</v>
      </c>
      <c r="D563" s="8" t="s">
        <v>82</v>
      </c>
      <c r="E563" s="6" t="s">
        <v>121</v>
      </c>
      <c r="F563" s="6" t="s">
        <v>85</v>
      </c>
      <c r="G563" s="11" t="s">
        <v>56</v>
      </c>
      <c r="I563" s="10" t="s">
        <v>2303</v>
      </c>
      <c r="J563" s="6" t="s">
        <v>2304</v>
      </c>
      <c r="K563" s="12">
        <v>46120.555844907409</v>
      </c>
      <c r="L563" s="6" t="e" cm="1">
        <f t="array" ref="L563">LOOKUP(2^15,SEARCH(Tabela2[Palavras-Chave],Boletim4[[#This Row],[Objeto]],1),Tabela2[Palavras-Chave])</f>
        <v>#N/A</v>
      </c>
    </row>
    <row r="564" spans="1:12" ht="259.2" hidden="1" x14ac:dyDescent="0.3">
      <c r="A564" s="5">
        <v>18802396</v>
      </c>
      <c r="B564" s="6" t="s">
        <v>261</v>
      </c>
      <c r="C564" s="6" t="s">
        <v>262</v>
      </c>
      <c r="D564" s="8" t="s">
        <v>82</v>
      </c>
      <c r="E564" s="6" t="s">
        <v>461</v>
      </c>
      <c r="F564" s="6" t="s">
        <v>85</v>
      </c>
      <c r="G564" s="11" t="s">
        <v>56</v>
      </c>
      <c r="I564" s="10" t="s">
        <v>2305</v>
      </c>
      <c r="J564" s="6" t="s">
        <v>2306</v>
      </c>
      <c r="K564" s="12">
        <v>46120.556921296295</v>
      </c>
      <c r="L564" s="6" t="e" cm="1">
        <f t="array" ref="L564">LOOKUP(2^15,SEARCH(Tabela2[Palavras-Chave],Boletim4[[#This Row],[Objeto]],1),Tabela2[Palavras-Chave])</f>
        <v>#N/A</v>
      </c>
    </row>
    <row r="565" spans="1:12" ht="273.60000000000002" hidden="1" x14ac:dyDescent="0.3">
      <c r="A565" s="5">
        <v>18801605</v>
      </c>
      <c r="B565" s="6" t="s">
        <v>2307</v>
      </c>
      <c r="C565" s="6" t="s">
        <v>2308</v>
      </c>
      <c r="D565" s="8" t="s">
        <v>82</v>
      </c>
      <c r="E565" s="6" t="s">
        <v>114</v>
      </c>
      <c r="F565" s="6" t="s">
        <v>85</v>
      </c>
      <c r="G565" s="11" t="s">
        <v>56</v>
      </c>
      <c r="I565" s="10" t="s">
        <v>2309</v>
      </c>
      <c r="J565" s="6" t="s">
        <v>2310</v>
      </c>
      <c r="K565" s="12">
        <v>46120.569652777776</v>
      </c>
      <c r="L565" s="6" t="e" cm="1">
        <f t="array" ref="L565">LOOKUP(2^15,SEARCH(Tabela2[Palavras-Chave],Boletim4[[#This Row],[Objeto]],1),Tabela2[Palavras-Chave])</f>
        <v>#N/A</v>
      </c>
    </row>
    <row r="566" spans="1:12" ht="109.2" customHeight="1" x14ac:dyDescent="0.3">
      <c r="A566" s="5">
        <v>18802801</v>
      </c>
      <c r="B566" s="6" t="s">
        <v>2311</v>
      </c>
      <c r="C566" s="6" t="s">
        <v>1183</v>
      </c>
      <c r="D566" s="8" t="s">
        <v>82</v>
      </c>
      <c r="E566" s="6" t="s">
        <v>2312</v>
      </c>
      <c r="F566" s="6" t="s">
        <v>85</v>
      </c>
      <c r="G566" s="11" t="s">
        <v>56</v>
      </c>
      <c r="H566" s="25">
        <v>1</v>
      </c>
      <c r="I566" s="10" t="s">
        <v>2313</v>
      </c>
      <c r="J566" s="6" t="s">
        <v>2314</v>
      </c>
      <c r="K566" s="12">
        <v>46120.586655092593</v>
      </c>
      <c r="L566" s="6" t="str" cm="1">
        <f t="array" ref="L566">LOOKUP(2^15,SEARCH(Tabela2[Palavras-Chave],Boletim4[[#This Row],[Objeto]],1),Tabela2[Palavras-Chave])</f>
        <v>INOX</v>
      </c>
    </row>
    <row r="567" spans="1:12" ht="43.2" hidden="1" x14ac:dyDescent="0.3">
      <c r="A567" s="5">
        <v>18798054</v>
      </c>
      <c r="B567" s="6" t="s">
        <v>2315</v>
      </c>
      <c r="C567" s="6" t="s">
        <v>2316</v>
      </c>
      <c r="D567" s="8" t="s">
        <v>82</v>
      </c>
      <c r="E567" s="6" t="s">
        <v>124</v>
      </c>
      <c r="F567" s="6" t="s">
        <v>85</v>
      </c>
      <c r="G567" s="11" t="s">
        <v>56</v>
      </c>
      <c r="I567" s="10" t="s">
        <v>2317</v>
      </c>
      <c r="J567" s="6" t="s">
        <v>2318</v>
      </c>
      <c r="K567" s="12">
        <v>46120.600254629629</v>
      </c>
      <c r="L567" s="6" t="e" cm="1">
        <f t="array" ref="L567">LOOKUP(2^15,SEARCH(Tabela2[Palavras-Chave],Boletim4[[#This Row],[Objeto]],1),Tabela2[Palavras-Chave])</f>
        <v>#N/A</v>
      </c>
    </row>
    <row r="568" spans="1:12" ht="288" hidden="1" x14ac:dyDescent="0.3">
      <c r="A568" s="5">
        <v>18803893</v>
      </c>
      <c r="B568" s="6" t="s">
        <v>2319</v>
      </c>
      <c r="C568" s="6" t="s">
        <v>2320</v>
      </c>
      <c r="D568" s="8" t="s">
        <v>82</v>
      </c>
      <c r="E568" s="6" t="s">
        <v>142</v>
      </c>
      <c r="F568" s="6" t="s">
        <v>85</v>
      </c>
      <c r="G568" s="11" t="s">
        <v>56</v>
      </c>
      <c r="I568" s="10" t="s">
        <v>2321</v>
      </c>
      <c r="J568" s="6" t="s">
        <v>2322</v>
      </c>
      <c r="K568" s="12">
        <v>46120.604594907411</v>
      </c>
      <c r="L568" s="6" t="e" cm="1">
        <f t="array" ref="L568">LOOKUP(2^15,SEARCH(Tabela2[Palavras-Chave],Boletim4[[#This Row],[Objeto]],1),Tabela2[Palavras-Chave])</f>
        <v>#N/A</v>
      </c>
    </row>
    <row r="569" spans="1:12" ht="273.60000000000002" hidden="1" x14ac:dyDescent="0.3">
      <c r="A569" s="5">
        <v>18802158</v>
      </c>
      <c r="B569" s="6" t="s">
        <v>2323</v>
      </c>
      <c r="C569" s="6" t="s">
        <v>2324</v>
      </c>
      <c r="D569" s="8" t="s">
        <v>82</v>
      </c>
      <c r="E569" s="6" t="s">
        <v>120</v>
      </c>
      <c r="F569" s="6" t="s">
        <v>85</v>
      </c>
      <c r="G569" s="11" t="s">
        <v>56</v>
      </c>
      <c r="I569" s="10" t="s">
        <v>2325</v>
      </c>
      <c r="J569" s="6" t="s">
        <v>2326</v>
      </c>
      <c r="K569" s="12">
        <v>46120.60491898148</v>
      </c>
      <c r="L569" s="6" t="e" cm="1">
        <f t="array" ref="L569">LOOKUP(2^15,SEARCH(Tabela2[Palavras-Chave],Boletim4[[#This Row],[Objeto]],1),Tabela2[Palavras-Chave])</f>
        <v>#N/A</v>
      </c>
    </row>
    <row r="570" spans="1:12" ht="115.2" hidden="1" x14ac:dyDescent="0.3">
      <c r="A570" s="5">
        <v>18802912</v>
      </c>
      <c r="B570" s="6" t="s">
        <v>2327</v>
      </c>
      <c r="C570" s="6" t="s">
        <v>2328</v>
      </c>
      <c r="D570" s="8" t="s">
        <v>82</v>
      </c>
      <c r="E570" s="6" t="s">
        <v>222</v>
      </c>
      <c r="F570" s="6" t="s">
        <v>85</v>
      </c>
      <c r="G570" s="11" t="s">
        <v>56</v>
      </c>
      <c r="I570" s="10" t="s">
        <v>2329</v>
      </c>
      <c r="J570" s="6" t="s">
        <v>2330</v>
      </c>
      <c r="K570" s="12">
        <v>46120.605520833335</v>
      </c>
      <c r="L570" s="6" t="e" cm="1">
        <f t="array" ref="L570">LOOKUP(2^15,SEARCH(Tabela2[Palavras-Chave],Boletim4[[#This Row],[Objeto]],1),Tabela2[Palavras-Chave])</f>
        <v>#N/A</v>
      </c>
    </row>
    <row r="571" spans="1:12" ht="28.8" hidden="1" x14ac:dyDescent="0.3">
      <c r="A571" s="13">
        <v>18801550</v>
      </c>
      <c r="B571" s="10" t="s">
        <v>2331</v>
      </c>
      <c r="C571" s="10" t="s">
        <v>2287</v>
      </c>
      <c r="D571" s="15" t="s">
        <v>82</v>
      </c>
      <c r="E571" s="10" t="s">
        <v>1849</v>
      </c>
      <c r="F571" s="10" t="s">
        <v>85</v>
      </c>
      <c r="G571" s="16">
        <v>46146.375</v>
      </c>
      <c r="H571" s="24"/>
      <c r="I571" s="10" t="s">
        <v>2332</v>
      </c>
      <c r="J571" s="10" t="s">
        <v>90</v>
      </c>
      <c r="K571" s="17">
        <v>46120.625081018516</v>
      </c>
      <c r="L571" s="6" t="e" cm="1">
        <f t="array" ref="L571">LOOKUP(2^15,SEARCH(Tabela2[Palavras-Chave],Boletim4[[#This Row],[Objeto]],1),Tabela2[Palavras-Chave])</f>
        <v>#N/A</v>
      </c>
    </row>
    <row r="572" spans="1:12" ht="86.4" hidden="1" x14ac:dyDescent="0.3">
      <c r="A572" s="5">
        <v>18801718</v>
      </c>
      <c r="B572" s="6" t="s">
        <v>2333</v>
      </c>
      <c r="C572" s="6" t="s">
        <v>2334</v>
      </c>
      <c r="D572" s="8" t="s">
        <v>82</v>
      </c>
      <c r="E572" s="6" t="s">
        <v>2335</v>
      </c>
      <c r="F572" s="6" t="s">
        <v>85</v>
      </c>
      <c r="G572" s="11">
        <v>46134.354166666664</v>
      </c>
      <c r="I572" s="10" t="s">
        <v>2336</v>
      </c>
      <c r="J572" s="6" t="s">
        <v>2337</v>
      </c>
      <c r="K572" s="12">
        <v>46120.639479166668</v>
      </c>
      <c r="L572" s="6" t="e" cm="1">
        <f t="array" ref="L572">LOOKUP(2^15,SEARCH(Tabela2[Palavras-Chave],Boletim4[[#This Row],[Objeto]],1),Tabela2[Palavras-Chave])</f>
        <v>#N/A</v>
      </c>
    </row>
    <row r="573" spans="1:12" ht="259.2" hidden="1" x14ac:dyDescent="0.3">
      <c r="A573" s="5">
        <v>18803839</v>
      </c>
      <c r="B573" s="6" t="s">
        <v>2338</v>
      </c>
      <c r="C573" s="6" t="s">
        <v>2339</v>
      </c>
      <c r="D573" s="8" t="s">
        <v>82</v>
      </c>
      <c r="E573" s="6" t="s">
        <v>274</v>
      </c>
      <c r="F573" s="6" t="s">
        <v>85</v>
      </c>
      <c r="G573" s="11" t="s">
        <v>56</v>
      </c>
      <c r="I573" s="10" t="s">
        <v>2340</v>
      </c>
      <c r="J573" s="6" t="s">
        <v>2341</v>
      </c>
      <c r="K573" s="12">
        <v>46120.640405092592</v>
      </c>
      <c r="L573" s="6" t="e" cm="1">
        <f t="array" ref="L573">LOOKUP(2^15,SEARCH(Tabela2[Palavras-Chave],Boletim4[[#This Row],[Objeto]],1),Tabela2[Palavras-Chave])</f>
        <v>#N/A</v>
      </c>
    </row>
    <row r="574" spans="1:12" ht="129.6" hidden="1" x14ac:dyDescent="0.3">
      <c r="A574" s="5">
        <v>18802488</v>
      </c>
      <c r="B574" s="6" t="s">
        <v>229</v>
      </c>
      <c r="C574" s="6" t="s">
        <v>228</v>
      </c>
      <c r="D574" s="8" t="s">
        <v>82</v>
      </c>
      <c r="E574" s="6" t="s">
        <v>274</v>
      </c>
      <c r="F574" s="6" t="s">
        <v>85</v>
      </c>
      <c r="G574" s="11">
        <v>46136.375694444447</v>
      </c>
      <c r="I574" s="10" t="s">
        <v>2342</v>
      </c>
      <c r="J574" s="6" t="s">
        <v>2343</v>
      </c>
      <c r="K574" s="12">
        <v>46120.690335648149</v>
      </c>
      <c r="L574" s="6" t="e" cm="1">
        <f t="array" ref="L574">LOOKUP(2^15,SEARCH(Tabela2[Palavras-Chave],Boletim4[[#This Row],[Objeto]],1),Tabela2[Palavras-Chave])</f>
        <v>#N/A</v>
      </c>
    </row>
    <row r="575" spans="1:12" ht="129.6" hidden="1" x14ac:dyDescent="0.3">
      <c r="A575" s="5">
        <v>18801719</v>
      </c>
      <c r="B575" s="6" t="s">
        <v>2344</v>
      </c>
      <c r="C575" s="6" t="s">
        <v>2345</v>
      </c>
      <c r="D575" s="8" t="s">
        <v>82</v>
      </c>
      <c r="E575" s="6" t="s">
        <v>113</v>
      </c>
      <c r="F575" s="6" t="s">
        <v>85</v>
      </c>
      <c r="G575" s="11">
        <v>46139.395833333336</v>
      </c>
      <c r="I575" s="10" t="s">
        <v>2346</v>
      </c>
      <c r="J575" s="6" t="s">
        <v>2347</v>
      </c>
      <c r="K575" s="12">
        <v>46120.811840277776</v>
      </c>
      <c r="L575" s="6" t="e" cm="1">
        <f t="array" ref="L575">LOOKUP(2^15,SEARCH(Tabela2[Palavras-Chave],Boletim4[[#This Row],[Objeto]],1),Tabela2[Palavras-Chave])</f>
        <v>#N/A</v>
      </c>
    </row>
    <row r="576" spans="1:12" ht="259.2" hidden="1" x14ac:dyDescent="0.3">
      <c r="A576" s="5">
        <v>18796341</v>
      </c>
      <c r="B576" s="6" t="s">
        <v>2348</v>
      </c>
      <c r="C576" s="6" t="s">
        <v>2349</v>
      </c>
      <c r="D576" s="8" t="s">
        <v>82</v>
      </c>
      <c r="E576" s="6" t="s">
        <v>122</v>
      </c>
      <c r="F576" s="6" t="s">
        <v>85</v>
      </c>
      <c r="G576" s="11" t="s">
        <v>56</v>
      </c>
      <c r="I576" s="10" t="s">
        <v>2350</v>
      </c>
      <c r="J576" s="6" t="s">
        <v>2351</v>
      </c>
      <c r="K576" s="12">
        <v>46120.721574074072</v>
      </c>
      <c r="L576" s="6" t="e" cm="1">
        <f t="array" ref="L576">LOOKUP(2^15,SEARCH(Tabela2[Palavras-Chave],Boletim4[[#This Row],[Objeto]],1),Tabela2[Palavras-Chave])</f>
        <v>#N/A</v>
      </c>
    </row>
    <row r="577" spans="1:12" ht="115.2" hidden="1" x14ac:dyDescent="0.3">
      <c r="A577" s="5">
        <v>18802985</v>
      </c>
      <c r="B577" s="6" t="s">
        <v>2352</v>
      </c>
      <c r="C577" s="6" t="s">
        <v>2353</v>
      </c>
      <c r="D577" s="8" t="s">
        <v>82</v>
      </c>
      <c r="E577" s="6" t="s">
        <v>184</v>
      </c>
      <c r="F577" s="6" t="s">
        <v>85</v>
      </c>
      <c r="G577" s="11" t="s">
        <v>56</v>
      </c>
      <c r="I577" s="10" t="s">
        <v>2354</v>
      </c>
      <c r="J577" s="6" t="s">
        <v>2355</v>
      </c>
      <c r="K577" s="12">
        <v>46120.727812500001</v>
      </c>
      <c r="L577" s="6" t="e" cm="1">
        <f t="array" ref="L577">LOOKUP(2^15,SEARCH(Tabela2[Palavras-Chave],Boletim4[[#This Row],[Objeto]],1),Tabela2[Palavras-Chave])</f>
        <v>#N/A</v>
      </c>
    </row>
    <row r="578" spans="1:12" ht="100.8" hidden="1" x14ac:dyDescent="0.3">
      <c r="A578" s="5">
        <v>18804773</v>
      </c>
      <c r="B578" s="6" t="s">
        <v>409</v>
      </c>
      <c r="C578" s="6" t="s">
        <v>410</v>
      </c>
      <c r="D578" s="8" t="s">
        <v>82</v>
      </c>
      <c r="E578" s="6" t="s">
        <v>198</v>
      </c>
      <c r="F578" s="6" t="s">
        <v>85</v>
      </c>
      <c r="G578" s="11">
        <v>46126.374305555553</v>
      </c>
      <c r="I578" s="10" t="s">
        <v>2356</v>
      </c>
      <c r="J578" s="6" t="s">
        <v>2357</v>
      </c>
      <c r="K578" s="12">
        <v>46120.784062500003</v>
      </c>
      <c r="L578" s="6" t="e" cm="1">
        <f t="array" ref="L578">LOOKUP(2^15,SEARCH(Tabela2[Palavras-Chave],Boletim4[[#This Row],[Objeto]],1),Tabela2[Palavras-Chave])</f>
        <v>#N/A</v>
      </c>
    </row>
    <row r="579" spans="1:12" ht="100.8" hidden="1" x14ac:dyDescent="0.3">
      <c r="A579" s="5">
        <v>18804733</v>
      </c>
      <c r="B579" s="6" t="s">
        <v>411</v>
      </c>
      <c r="C579" s="6" t="s">
        <v>412</v>
      </c>
      <c r="D579" s="8" t="s">
        <v>82</v>
      </c>
      <c r="E579" s="6" t="s">
        <v>2358</v>
      </c>
      <c r="F579" s="6" t="s">
        <v>85</v>
      </c>
      <c r="G579" s="11">
        <v>46147.395833333336</v>
      </c>
      <c r="I579" s="10" t="s">
        <v>2359</v>
      </c>
      <c r="J579" s="6" t="s">
        <v>2360</v>
      </c>
      <c r="K579" s="12">
        <v>46120.731087962966</v>
      </c>
      <c r="L579" s="6" t="e" cm="1">
        <f t="array" ref="L579">LOOKUP(2^15,SEARCH(Tabela2[Palavras-Chave],Boletim4[[#This Row],[Objeto]],1),Tabela2[Palavras-Chave])</f>
        <v>#N/A</v>
      </c>
    </row>
    <row r="580" spans="1:12" ht="115.2" hidden="1" x14ac:dyDescent="0.3">
      <c r="A580" s="5">
        <v>18804621</v>
      </c>
      <c r="B580" s="6" t="s">
        <v>289</v>
      </c>
      <c r="C580" s="6" t="s">
        <v>164</v>
      </c>
      <c r="D580" s="8" t="s">
        <v>82</v>
      </c>
      <c r="E580" s="6" t="s">
        <v>2361</v>
      </c>
      <c r="F580" s="6" t="s">
        <v>85</v>
      </c>
      <c r="G580" s="11">
        <v>46136.333333333336</v>
      </c>
      <c r="I580" s="10" t="s">
        <v>2362</v>
      </c>
      <c r="J580" s="6" t="s">
        <v>2363</v>
      </c>
      <c r="K580" s="12">
        <v>46120.73228009259</v>
      </c>
      <c r="L580" s="6" t="e" cm="1">
        <f t="array" ref="L580">LOOKUP(2^15,SEARCH(Tabela2[Palavras-Chave],Boletim4[[#This Row],[Objeto]],1),Tabela2[Palavras-Chave])</f>
        <v>#N/A</v>
      </c>
    </row>
    <row r="581" spans="1:12" ht="100.8" hidden="1" x14ac:dyDescent="0.3">
      <c r="A581" s="5">
        <v>18804729</v>
      </c>
      <c r="B581" s="6" t="s">
        <v>411</v>
      </c>
      <c r="C581" s="6" t="s">
        <v>412</v>
      </c>
      <c r="D581" s="8" t="s">
        <v>82</v>
      </c>
      <c r="E581" s="6" t="s">
        <v>2364</v>
      </c>
      <c r="F581" s="6" t="s">
        <v>85</v>
      </c>
      <c r="G581" s="11">
        <v>46148.604166666664</v>
      </c>
      <c r="I581" s="10" t="s">
        <v>2365</v>
      </c>
      <c r="J581" s="6" t="s">
        <v>2366</v>
      </c>
      <c r="K581" s="12">
        <v>46120.732453703706</v>
      </c>
      <c r="L581" s="6" t="e" cm="1">
        <f t="array" ref="L581">LOOKUP(2^15,SEARCH(Tabela2[Palavras-Chave],Boletim4[[#This Row],[Objeto]],1),Tabela2[Palavras-Chave])</f>
        <v>#N/A</v>
      </c>
    </row>
    <row r="582" spans="1:12" ht="100.8" hidden="1" x14ac:dyDescent="0.3">
      <c r="A582" s="5">
        <v>18804195</v>
      </c>
      <c r="B582" s="6" t="s">
        <v>2367</v>
      </c>
      <c r="C582" s="6" t="s">
        <v>2368</v>
      </c>
      <c r="D582" s="8" t="s">
        <v>82</v>
      </c>
      <c r="E582" s="6" t="s">
        <v>106</v>
      </c>
      <c r="F582" s="6" t="s">
        <v>85</v>
      </c>
      <c r="G582" s="11" t="s">
        <v>56</v>
      </c>
      <c r="I582" s="10" t="s">
        <v>2369</v>
      </c>
      <c r="J582" s="6" t="s">
        <v>2370</v>
      </c>
      <c r="K582" s="12">
        <v>46120.735300925924</v>
      </c>
      <c r="L582" s="6" t="e" cm="1">
        <f t="array" ref="L582">LOOKUP(2^15,SEARCH(Tabela2[Palavras-Chave],Boletim4[[#This Row],[Objeto]],1),Tabela2[Palavras-Chave])</f>
        <v>#N/A</v>
      </c>
    </row>
    <row r="583" spans="1:12" ht="86.4" hidden="1" x14ac:dyDescent="0.3">
      <c r="A583" s="5">
        <v>18801487</v>
      </c>
      <c r="B583" s="6" t="s">
        <v>2286</v>
      </c>
      <c r="C583" s="6" t="s">
        <v>2287</v>
      </c>
      <c r="D583" s="8" t="s">
        <v>82</v>
      </c>
      <c r="E583" s="6" t="s">
        <v>2268</v>
      </c>
      <c r="F583" s="6" t="s">
        <v>85</v>
      </c>
      <c r="G583" s="11" t="s">
        <v>56</v>
      </c>
      <c r="I583" s="10" t="s">
        <v>2371</v>
      </c>
      <c r="J583" s="6" t="s">
        <v>2372</v>
      </c>
      <c r="K583" s="12">
        <v>46120.736250000002</v>
      </c>
      <c r="L583" s="6" t="e" cm="1">
        <f t="array" ref="L583">LOOKUP(2^15,SEARCH(Tabela2[Palavras-Chave],Boletim4[[#This Row],[Objeto]],1),Tabela2[Palavras-Chave])</f>
        <v>#N/A</v>
      </c>
    </row>
    <row r="584" spans="1:12" ht="158.4" hidden="1" x14ac:dyDescent="0.3">
      <c r="A584" s="5">
        <v>18805488</v>
      </c>
      <c r="B584" s="6" t="s">
        <v>2373</v>
      </c>
      <c r="C584" s="6" t="s">
        <v>83</v>
      </c>
      <c r="D584" s="8" t="s">
        <v>82</v>
      </c>
      <c r="E584" s="6" t="s">
        <v>2374</v>
      </c>
      <c r="F584" s="6" t="s">
        <v>85</v>
      </c>
      <c r="G584" s="11">
        <v>46134.395833333336</v>
      </c>
      <c r="I584" s="10" t="s">
        <v>2375</v>
      </c>
      <c r="J584" s="6" t="s">
        <v>2376</v>
      </c>
      <c r="K584" s="12">
        <v>46120.737893518519</v>
      </c>
      <c r="L584" s="6" t="e" cm="1">
        <f t="array" ref="L584">LOOKUP(2^15,SEARCH(Tabela2[Palavras-Chave],Boletim4[[#This Row],[Objeto]],1),Tabela2[Palavras-Chave])</f>
        <v>#N/A</v>
      </c>
    </row>
    <row r="585" spans="1:12" ht="288" hidden="1" x14ac:dyDescent="0.3">
      <c r="A585" s="5">
        <v>18805400</v>
      </c>
      <c r="B585" s="6" t="s">
        <v>2377</v>
      </c>
      <c r="C585" s="6" t="s">
        <v>2378</v>
      </c>
      <c r="D585" s="8" t="s">
        <v>82</v>
      </c>
      <c r="E585" s="6" t="s">
        <v>1849</v>
      </c>
      <c r="F585" s="6" t="s">
        <v>85</v>
      </c>
      <c r="G585" s="11" t="s">
        <v>56</v>
      </c>
      <c r="I585" s="10" t="s">
        <v>2379</v>
      </c>
      <c r="J585" s="6" t="s">
        <v>2380</v>
      </c>
      <c r="K585" s="12">
        <v>46120.737974537034</v>
      </c>
      <c r="L585" s="6" t="e" cm="1">
        <f t="array" ref="L585">LOOKUP(2^15,SEARCH(Tabela2[Palavras-Chave],Boletim4[[#This Row],[Objeto]],1),Tabela2[Palavras-Chave])</f>
        <v>#N/A</v>
      </c>
    </row>
    <row r="586" spans="1:12" ht="259.2" hidden="1" x14ac:dyDescent="0.3">
      <c r="A586" s="5">
        <v>18805610</v>
      </c>
      <c r="B586" s="6" t="s">
        <v>1157</v>
      </c>
      <c r="C586" s="6" t="s">
        <v>1110</v>
      </c>
      <c r="D586" s="8" t="s">
        <v>82</v>
      </c>
      <c r="E586" s="6" t="s">
        <v>1222</v>
      </c>
      <c r="F586" s="6" t="s">
        <v>85</v>
      </c>
      <c r="G586" s="11" t="s">
        <v>56</v>
      </c>
      <c r="I586" s="10" t="s">
        <v>2381</v>
      </c>
      <c r="J586" s="6" t="s">
        <v>2382</v>
      </c>
      <c r="K586" s="12">
        <v>46120.745740740742</v>
      </c>
      <c r="L586" s="6" t="e" cm="1">
        <f t="array" ref="L586">LOOKUP(2^15,SEARCH(Tabela2[Palavras-Chave],Boletim4[[#This Row],[Objeto]],1),Tabela2[Palavras-Chave])</f>
        <v>#N/A</v>
      </c>
    </row>
    <row r="587" spans="1:12" ht="259.2" hidden="1" x14ac:dyDescent="0.3">
      <c r="A587" s="5">
        <v>18805618</v>
      </c>
      <c r="B587" s="6" t="s">
        <v>1157</v>
      </c>
      <c r="C587" s="6" t="s">
        <v>1110</v>
      </c>
      <c r="D587" s="8" t="s">
        <v>82</v>
      </c>
      <c r="E587" s="6" t="s">
        <v>274</v>
      </c>
      <c r="F587" s="6" t="s">
        <v>85</v>
      </c>
      <c r="G587" s="11" t="s">
        <v>56</v>
      </c>
      <c r="I587" s="10" t="s">
        <v>2383</v>
      </c>
      <c r="J587" s="6" t="s">
        <v>2384</v>
      </c>
      <c r="K587" s="12">
        <v>46120.754467592589</v>
      </c>
      <c r="L587" s="6" t="e" cm="1">
        <f t="array" ref="L587">LOOKUP(2^15,SEARCH(Tabela2[Palavras-Chave],Boletim4[[#This Row],[Objeto]],1),Tabela2[Palavras-Chave])</f>
        <v>#N/A</v>
      </c>
    </row>
    <row r="588" spans="1:12" ht="72" hidden="1" x14ac:dyDescent="0.3">
      <c r="A588" s="5">
        <v>18801872</v>
      </c>
      <c r="B588" s="6" t="s">
        <v>345</v>
      </c>
      <c r="C588" s="6" t="s">
        <v>346</v>
      </c>
      <c r="D588" s="8" t="s">
        <v>82</v>
      </c>
      <c r="E588" s="6" t="s">
        <v>205</v>
      </c>
      <c r="F588" s="6" t="s">
        <v>85</v>
      </c>
      <c r="G588" s="11">
        <v>46160.333333333336</v>
      </c>
      <c r="I588" s="10" t="s">
        <v>2385</v>
      </c>
      <c r="J588" s="6" t="s">
        <v>2386</v>
      </c>
      <c r="K588" s="12">
        <v>46120.763935185183</v>
      </c>
      <c r="L588" s="6" t="e" cm="1">
        <f t="array" ref="L588">LOOKUP(2^15,SEARCH(Tabela2[Palavras-Chave],Boletim4[[#This Row],[Objeto]],1),Tabela2[Palavras-Chave])</f>
        <v>#N/A</v>
      </c>
    </row>
    <row r="589" spans="1:12" ht="259.2" hidden="1" x14ac:dyDescent="0.3">
      <c r="A589" s="5">
        <v>18801581</v>
      </c>
      <c r="B589" s="6" t="s">
        <v>2387</v>
      </c>
      <c r="C589" s="6" t="s">
        <v>2388</v>
      </c>
      <c r="D589" s="8" t="s">
        <v>82</v>
      </c>
      <c r="E589" s="6" t="s">
        <v>143</v>
      </c>
      <c r="F589" s="6" t="s">
        <v>85</v>
      </c>
      <c r="G589" s="11" t="s">
        <v>56</v>
      </c>
      <c r="I589" s="10" t="s">
        <v>2389</v>
      </c>
      <c r="J589" s="6" t="s">
        <v>2390</v>
      </c>
      <c r="K589" s="12">
        <v>46120.772928240738</v>
      </c>
      <c r="L589" s="6" t="e" cm="1">
        <f t="array" ref="L589">LOOKUP(2^15,SEARCH(Tabela2[Palavras-Chave],Boletim4[[#This Row],[Objeto]],1),Tabela2[Palavras-Chave])</f>
        <v>#N/A</v>
      </c>
    </row>
    <row r="590" spans="1:12" ht="129.6" hidden="1" x14ac:dyDescent="0.3">
      <c r="A590" s="5">
        <v>18806058</v>
      </c>
      <c r="B590" s="6" t="s">
        <v>2391</v>
      </c>
      <c r="C590" s="6" t="s">
        <v>2392</v>
      </c>
      <c r="D590" s="8" t="s">
        <v>82</v>
      </c>
      <c r="E590" s="6" t="s">
        <v>108</v>
      </c>
      <c r="F590" s="6" t="s">
        <v>85</v>
      </c>
      <c r="G590" s="11" t="s">
        <v>56</v>
      </c>
      <c r="I590" s="10" t="s">
        <v>2393</v>
      </c>
      <c r="J590" s="6" t="s">
        <v>2394</v>
      </c>
      <c r="K590" s="12">
        <v>46120.812581018516</v>
      </c>
      <c r="L590" s="6" t="e" cm="1">
        <f t="array" ref="L590">LOOKUP(2^15,SEARCH(Tabela2[Palavras-Chave],Boletim4[[#This Row],[Objeto]],1),Tabela2[Palavras-Chave])</f>
        <v>#N/A</v>
      </c>
    </row>
    <row r="591" spans="1:12" ht="86.4" hidden="1" x14ac:dyDescent="0.3">
      <c r="A591" s="5">
        <v>18806198</v>
      </c>
      <c r="B591" s="6" t="s">
        <v>2395</v>
      </c>
      <c r="C591" s="6" t="s">
        <v>2396</v>
      </c>
      <c r="D591" s="8" t="s">
        <v>82</v>
      </c>
      <c r="E591" s="6" t="s">
        <v>247</v>
      </c>
      <c r="F591" s="6" t="s">
        <v>85</v>
      </c>
      <c r="G591" s="11" t="s">
        <v>56</v>
      </c>
      <c r="I591" s="10" t="s">
        <v>2397</v>
      </c>
      <c r="J591" s="6" t="s">
        <v>2398</v>
      </c>
      <c r="K591" s="12">
        <v>46120.824861111112</v>
      </c>
      <c r="L591" s="6" t="e" cm="1">
        <f t="array" ref="L591">LOOKUP(2^15,SEARCH(Tabela2[Palavras-Chave],Boletim4[[#This Row],[Objeto]],1),Tabela2[Palavras-Chave])</f>
        <v>#N/A</v>
      </c>
    </row>
    <row r="592" spans="1:12" ht="28.8" hidden="1" x14ac:dyDescent="0.3">
      <c r="A592" s="5">
        <v>18806249</v>
      </c>
      <c r="B592" s="6" t="s">
        <v>2399</v>
      </c>
      <c r="C592" s="6" t="s">
        <v>2400</v>
      </c>
      <c r="D592" s="8" t="s">
        <v>82</v>
      </c>
      <c r="E592" s="6" t="s">
        <v>120</v>
      </c>
      <c r="F592" s="6" t="s">
        <v>85</v>
      </c>
      <c r="G592" s="11">
        <v>46135.375</v>
      </c>
      <c r="I592" s="10" t="s">
        <v>2401</v>
      </c>
      <c r="J592" s="6" t="s">
        <v>2402</v>
      </c>
      <c r="K592" s="12">
        <v>46120.839745370373</v>
      </c>
      <c r="L592" s="6" t="e" cm="1">
        <f t="array" ref="L592">LOOKUP(2^15,SEARCH(Tabela2[Palavras-Chave],Boletim4[[#This Row],[Objeto]],1),Tabela2[Palavras-Chave])</f>
        <v>#N/A</v>
      </c>
    </row>
    <row r="593" spans="1:12" ht="43.2" x14ac:dyDescent="0.3">
      <c r="A593" s="5">
        <v>18806254</v>
      </c>
      <c r="B593" s="6" t="s">
        <v>287</v>
      </c>
      <c r="C593" s="6" t="s">
        <v>288</v>
      </c>
      <c r="D593" s="8" t="s">
        <v>82</v>
      </c>
      <c r="E593" s="6" t="s">
        <v>134</v>
      </c>
      <c r="F593" s="6" t="s">
        <v>85</v>
      </c>
      <c r="G593" s="11">
        <v>46135.375</v>
      </c>
      <c r="H593" s="23">
        <v>2</v>
      </c>
      <c r="I593" s="10" t="s">
        <v>2403</v>
      </c>
      <c r="J593" s="6" t="s">
        <v>2404</v>
      </c>
      <c r="K593" s="12">
        <v>46120.841874999998</v>
      </c>
      <c r="L593" s="6" t="str" cm="1">
        <f t="array" ref="L593">LOOKUP(2^15,SEARCH(Tabela2[Palavras-Chave],Boletim4[[#This Row],[Objeto]],1),Tabela2[Palavras-Chave])</f>
        <v>MEDIÇÃO</v>
      </c>
    </row>
    <row r="594" spans="1:12" ht="115.2" hidden="1" x14ac:dyDescent="0.3">
      <c r="A594" s="5">
        <v>18802965</v>
      </c>
      <c r="B594" s="6" t="s">
        <v>2405</v>
      </c>
      <c r="C594" s="6" t="s">
        <v>2406</v>
      </c>
      <c r="D594" s="8" t="s">
        <v>82</v>
      </c>
      <c r="E594" s="6" t="s">
        <v>1471</v>
      </c>
      <c r="F594" s="6" t="s">
        <v>85</v>
      </c>
      <c r="G594" s="11" t="s">
        <v>56</v>
      </c>
      <c r="I594" s="10" t="s">
        <v>2407</v>
      </c>
      <c r="J594" s="6" t="s">
        <v>2408</v>
      </c>
      <c r="K594" s="12">
        <v>46120.859849537039</v>
      </c>
      <c r="L594" s="6" t="e" cm="1">
        <f t="array" ref="L594">LOOKUP(2^15,SEARCH(Tabela2[Palavras-Chave],Boletim4[[#This Row],[Objeto]],1),Tabela2[Palavras-Chave])</f>
        <v>#N/A</v>
      </c>
    </row>
    <row r="595" spans="1:12" ht="28.8" hidden="1" x14ac:dyDescent="0.3">
      <c r="A595" s="5">
        <v>18804711</v>
      </c>
      <c r="B595" s="6" t="s">
        <v>2409</v>
      </c>
      <c r="C595" s="6" t="s">
        <v>413</v>
      </c>
      <c r="D595" s="8" t="s">
        <v>82</v>
      </c>
      <c r="E595" s="6" t="s">
        <v>145</v>
      </c>
      <c r="F595" s="6" t="s">
        <v>85</v>
      </c>
      <c r="G595" s="11" t="s">
        <v>56</v>
      </c>
      <c r="I595" s="10" t="s">
        <v>2410</v>
      </c>
      <c r="J595" s="6" t="s">
        <v>190</v>
      </c>
      <c r="K595" s="12">
        <v>46120.869050925925</v>
      </c>
      <c r="L595" s="6" t="e" cm="1">
        <f t="array" ref="L595">LOOKUP(2^15,SEARCH(Tabela2[Palavras-Chave],Boletim4[[#This Row],[Objeto]],1),Tabela2[Palavras-Chave])</f>
        <v>#N/A</v>
      </c>
    </row>
    <row r="596" spans="1:12" ht="43.2" hidden="1" x14ac:dyDescent="0.3">
      <c r="A596" s="5">
        <v>18804388</v>
      </c>
      <c r="B596" s="6" t="s">
        <v>2411</v>
      </c>
      <c r="C596" s="6" t="s">
        <v>2412</v>
      </c>
      <c r="D596" s="8" t="s">
        <v>84</v>
      </c>
      <c r="E596" s="6" t="s">
        <v>106</v>
      </c>
      <c r="F596" s="6" t="s">
        <v>85</v>
      </c>
      <c r="G596" s="11">
        <v>46136</v>
      </c>
      <c r="I596" s="10" t="s">
        <v>2413</v>
      </c>
      <c r="J596" s="6" t="s">
        <v>2414</v>
      </c>
      <c r="K596" s="12">
        <v>46120.809791666667</v>
      </c>
      <c r="L596" s="6" t="e" cm="1">
        <f t="array" ref="L596">LOOKUP(2^15,SEARCH(Tabela2[Palavras-Chave],Boletim4[[#This Row],[Objeto]],1),Tabela2[Palavras-Chave])</f>
        <v>#N/A</v>
      </c>
    </row>
    <row r="597" spans="1:12" ht="187.2" hidden="1" x14ac:dyDescent="0.3">
      <c r="A597" s="5">
        <v>18568733</v>
      </c>
      <c r="B597" s="6" t="s">
        <v>2415</v>
      </c>
      <c r="C597" s="6" t="s">
        <v>2416</v>
      </c>
      <c r="D597" s="8" t="s">
        <v>66</v>
      </c>
      <c r="E597" s="6" t="s">
        <v>2417</v>
      </c>
      <c r="F597" s="6" t="s">
        <v>94</v>
      </c>
      <c r="G597" s="11">
        <v>46134.375</v>
      </c>
      <c r="I597" s="10" t="s">
        <v>2418</v>
      </c>
      <c r="J597" s="6" t="s">
        <v>2419</v>
      </c>
      <c r="K597" s="12">
        <v>46120.492106481484</v>
      </c>
      <c r="L597" s="6" t="e" cm="1">
        <f t="array" ref="L597">LOOKUP(2^15,SEARCH(Tabela2[Palavras-Chave],Boletim4[[#This Row],[Objeto]],1),Tabela2[Palavras-Chave])</f>
        <v>#N/A</v>
      </c>
    </row>
    <row r="598" spans="1:12" ht="409.6" hidden="1" x14ac:dyDescent="0.3">
      <c r="A598" s="5">
        <v>18738871</v>
      </c>
      <c r="B598" s="6" t="s">
        <v>458</v>
      </c>
      <c r="C598" s="6" t="s">
        <v>459</v>
      </c>
      <c r="D598" s="8" t="s">
        <v>66</v>
      </c>
      <c r="E598" s="6" t="s">
        <v>114</v>
      </c>
      <c r="F598" s="6" t="s">
        <v>94</v>
      </c>
      <c r="G598" s="11">
        <v>46135.340277777781</v>
      </c>
      <c r="I598" s="10" t="s">
        <v>460</v>
      </c>
      <c r="J598" s="6" t="s">
        <v>2420</v>
      </c>
      <c r="K598" s="12">
        <v>46120.587627314817</v>
      </c>
      <c r="L598" s="6" t="e" cm="1">
        <f t="array" ref="L598">LOOKUP(2^15,SEARCH(Tabela2[Palavras-Chave],Boletim4[[#This Row],[Objeto]],1),Tabela2[Palavras-Chave])</f>
        <v>#N/A</v>
      </c>
    </row>
    <row r="599" spans="1:12" ht="187.2" hidden="1" x14ac:dyDescent="0.3">
      <c r="A599" s="5">
        <v>18731492</v>
      </c>
      <c r="B599" s="6" t="s">
        <v>2421</v>
      </c>
      <c r="C599" s="6" t="s">
        <v>2422</v>
      </c>
      <c r="D599" s="8" t="s">
        <v>66</v>
      </c>
      <c r="E599" s="6" t="s">
        <v>117</v>
      </c>
      <c r="F599" s="6" t="s">
        <v>94</v>
      </c>
      <c r="G599" s="11" t="s">
        <v>56</v>
      </c>
      <c r="I599" s="10" t="s">
        <v>2423</v>
      </c>
      <c r="J599" s="6" t="s">
        <v>2424</v>
      </c>
      <c r="K599" s="12">
        <v>46120.617418981485</v>
      </c>
      <c r="L599" s="6" t="e" cm="1">
        <f t="array" ref="L599">LOOKUP(2^15,SEARCH(Tabela2[Palavras-Chave],Boletim4[[#This Row],[Objeto]],1),Tabela2[Palavras-Chave])</f>
        <v>#N/A</v>
      </c>
    </row>
    <row r="600" spans="1:12" ht="187.2" hidden="1" x14ac:dyDescent="0.3">
      <c r="A600" s="5">
        <v>18791197</v>
      </c>
      <c r="B600" s="6" t="s">
        <v>1214</v>
      </c>
      <c r="C600" s="6" t="s">
        <v>1215</v>
      </c>
      <c r="D600" s="8" t="s">
        <v>72</v>
      </c>
      <c r="E600" s="6" t="s">
        <v>126</v>
      </c>
      <c r="F600" s="6" t="s">
        <v>94</v>
      </c>
      <c r="G600" s="11" t="s">
        <v>56</v>
      </c>
      <c r="I600" s="10" t="s">
        <v>2425</v>
      </c>
      <c r="J600" s="6" t="s">
        <v>2426</v>
      </c>
      <c r="K600" s="12">
        <v>46120.603043981479</v>
      </c>
      <c r="L600" s="6" t="e" cm="1">
        <f t="array" ref="L600">LOOKUP(2^15,SEARCH(Tabela2[Palavras-Chave],Boletim4[[#This Row],[Objeto]],1),Tabela2[Palavras-Chave])</f>
        <v>#N/A</v>
      </c>
    </row>
    <row r="601" spans="1:12" ht="129.6" hidden="1" x14ac:dyDescent="0.3">
      <c r="A601" s="5">
        <v>18796334</v>
      </c>
      <c r="B601" s="6" t="s">
        <v>177</v>
      </c>
      <c r="C601" s="6" t="s">
        <v>75</v>
      </c>
      <c r="D601" s="8" t="s">
        <v>76</v>
      </c>
      <c r="E601" s="6" t="s">
        <v>2427</v>
      </c>
      <c r="F601" s="6" t="s">
        <v>94</v>
      </c>
      <c r="G601" s="11">
        <v>46126.708333333336</v>
      </c>
      <c r="I601" s="10" t="s">
        <v>2428</v>
      </c>
      <c r="J601" s="6" t="s">
        <v>2429</v>
      </c>
      <c r="K601" s="12">
        <v>46120.398657407408</v>
      </c>
      <c r="L601" s="6" t="e" cm="1">
        <f t="array" ref="L601">LOOKUP(2^15,SEARCH(Tabela2[Palavras-Chave],Boletim4[[#This Row],[Objeto]],1),Tabela2[Palavras-Chave])</f>
        <v>#N/A</v>
      </c>
    </row>
    <row r="602" spans="1:12" ht="129.6" hidden="1" x14ac:dyDescent="0.3">
      <c r="A602" s="5">
        <v>18777336</v>
      </c>
      <c r="B602" s="6" t="s">
        <v>2430</v>
      </c>
      <c r="C602" s="6" t="s">
        <v>2431</v>
      </c>
      <c r="D602" s="8" t="s">
        <v>66</v>
      </c>
      <c r="E602" s="6" t="s">
        <v>114</v>
      </c>
      <c r="F602" s="6" t="s">
        <v>167</v>
      </c>
      <c r="G602" s="11" t="s">
        <v>56</v>
      </c>
      <c r="I602" s="10" t="s">
        <v>2432</v>
      </c>
      <c r="J602" s="6" t="s">
        <v>2433</v>
      </c>
      <c r="K602" s="12">
        <v>46120.836145833331</v>
      </c>
      <c r="L602" s="6" t="e" cm="1">
        <f t="array" ref="L602">LOOKUP(2^15,SEARCH(Tabela2[Palavras-Chave],Boletim4[[#This Row],[Objeto]],1),Tabela2[Palavras-Chave])</f>
        <v>#N/A</v>
      </c>
    </row>
    <row r="603" spans="1:12" ht="129.6" x14ac:dyDescent="0.3">
      <c r="A603" s="5">
        <v>18675488</v>
      </c>
      <c r="B603" s="6" t="s">
        <v>2434</v>
      </c>
      <c r="C603" s="6" t="s">
        <v>162</v>
      </c>
      <c r="D603" s="8" t="s">
        <v>144</v>
      </c>
      <c r="E603" s="6" t="s">
        <v>112</v>
      </c>
      <c r="F603" s="6" t="s">
        <v>95</v>
      </c>
      <c r="G603" s="11" t="s">
        <v>56</v>
      </c>
      <c r="H603" s="23">
        <v>2</v>
      </c>
      <c r="I603" s="10" t="s">
        <v>2435</v>
      </c>
      <c r="J603" s="6" t="s">
        <v>2436</v>
      </c>
      <c r="K603" s="12">
        <v>46120.560266203705</v>
      </c>
      <c r="L603" s="6" t="str" cm="1">
        <f t="array" ref="L603">LOOKUP(2^15,SEARCH(Tabela2[Palavras-Chave],Boletim4[[#This Row],[Objeto]],1),Tabela2[Palavras-Chave])</f>
        <v>RESERVAT</v>
      </c>
    </row>
    <row r="604" spans="1:12" ht="129.6" hidden="1" x14ac:dyDescent="0.3">
      <c r="A604" s="5">
        <v>18790238</v>
      </c>
      <c r="B604" s="6" t="s">
        <v>2437</v>
      </c>
      <c r="C604" s="6" t="s">
        <v>2438</v>
      </c>
      <c r="D604" s="8" t="s">
        <v>144</v>
      </c>
      <c r="E604" s="6" t="s">
        <v>222</v>
      </c>
      <c r="F604" s="6" t="s">
        <v>95</v>
      </c>
      <c r="G604" s="11" t="s">
        <v>56</v>
      </c>
      <c r="I604" s="10" t="s">
        <v>2439</v>
      </c>
      <c r="J604" s="6" t="s">
        <v>2440</v>
      </c>
      <c r="K604" s="12">
        <v>46120.560648148145</v>
      </c>
      <c r="L604" s="6" t="e" cm="1">
        <f t="array" ref="L604">LOOKUP(2^15,SEARCH(Tabela2[Palavras-Chave],Boletim4[[#This Row],[Objeto]],1),Tabela2[Palavras-Chave])</f>
        <v>#N/A</v>
      </c>
    </row>
    <row r="605" spans="1:12" ht="72" hidden="1" x14ac:dyDescent="0.3">
      <c r="A605" s="5">
        <v>18770009</v>
      </c>
      <c r="B605" s="6" t="s">
        <v>74</v>
      </c>
      <c r="C605" s="6" t="s">
        <v>52</v>
      </c>
      <c r="D605" s="8" t="s">
        <v>50</v>
      </c>
      <c r="E605" s="6" t="s">
        <v>2441</v>
      </c>
      <c r="F605" s="6" t="s">
        <v>95</v>
      </c>
      <c r="G605" s="11" t="s">
        <v>56</v>
      </c>
      <c r="I605" s="10" t="s">
        <v>2442</v>
      </c>
      <c r="J605" s="6" t="s">
        <v>2443</v>
      </c>
      <c r="K605" s="12">
        <v>46120.468136574076</v>
      </c>
      <c r="L605" s="6" t="e" cm="1">
        <f t="array" ref="L605">LOOKUP(2^15,SEARCH(Tabela2[Palavras-Chave],Boletim4[[#This Row],[Objeto]],1),Tabela2[Palavras-Chave])</f>
        <v>#N/A</v>
      </c>
    </row>
    <row r="606" spans="1:12" ht="72" hidden="1" x14ac:dyDescent="0.3">
      <c r="A606" s="13">
        <v>18770010</v>
      </c>
      <c r="B606" s="10" t="s">
        <v>74</v>
      </c>
      <c r="C606" s="10" t="s">
        <v>53</v>
      </c>
      <c r="D606" s="15" t="s">
        <v>54</v>
      </c>
      <c r="E606" s="10" t="s">
        <v>2441</v>
      </c>
      <c r="F606" s="10" t="s">
        <v>95</v>
      </c>
      <c r="G606" s="16" t="s">
        <v>56</v>
      </c>
      <c r="H606" s="24"/>
      <c r="I606" s="10" t="s">
        <v>2442</v>
      </c>
      <c r="J606" s="10" t="s">
        <v>2443</v>
      </c>
      <c r="K606" s="17">
        <v>46120.468136574076</v>
      </c>
      <c r="L606" s="6" t="e" cm="1">
        <f t="array" ref="L606">LOOKUP(2^15,SEARCH(Tabela2[Palavras-Chave],Boletim4[[#This Row],[Objeto]],1),Tabela2[Palavras-Chave])</f>
        <v>#N/A</v>
      </c>
    </row>
    <row r="607" spans="1:12" ht="259.2" hidden="1" x14ac:dyDescent="0.3">
      <c r="A607" s="5">
        <v>18719706</v>
      </c>
      <c r="B607" s="6" t="s">
        <v>2444</v>
      </c>
      <c r="C607" s="6" t="s">
        <v>2445</v>
      </c>
      <c r="D607" s="8" t="s">
        <v>54</v>
      </c>
      <c r="E607" s="6" t="s">
        <v>117</v>
      </c>
      <c r="F607" s="6" t="s">
        <v>95</v>
      </c>
      <c r="G607" s="11" t="s">
        <v>56</v>
      </c>
      <c r="I607" s="10" t="s">
        <v>2446</v>
      </c>
      <c r="J607" s="6" t="s">
        <v>2447</v>
      </c>
      <c r="K607" s="12">
        <v>46120.579629629632</v>
      </c>
      <c r="L607" s="6" t="e" cm="1">
        <f t="array" ref="L607">LOOKUP(2^15,SEARCH(Tabela2[Palavras-Chave],Boletim4[[#This Row],[Objeto]],1),Tabela2[Palavras-Chave])</f>
        <v>#N/A</v>
      </c>
    </row>
    <row r="608" spans="1:12" ht="259.2" hidden="1" x14ac:dyDescent="0.3">
      <c r="A608" s="5">
        <v>18789461</v>
      </c>
      <c r="B608" s="6" t="s">
        <v>2448</v>
      </c>
      <c r="C608" s="6" t="s">
        <v>2449</v>
      </c>
      <c r="D608" s="8" t="s">
        <v>54</v>
      </c>
      <c r="E608" s="6" t="s">
        <v>2450</v>
      </c>
      <c r="F608" s="6" t="s">
        <v>95</v>
      </c>
      <c r="G608" s="11" t="s">
        <v>56</v>
      </c>
      <c r="I608" s="10" t="s">
        <v>2451</v>
      </c>
      <c r="J608" s="6" t="s">
        <v>2452</v>
      </c>
      <c r="K608" s="12">
        <v>46120.776365740741</v>
      </c>
      <c r="L608" s="6" t="e" cm="1">
        <f t="array" ref="L608">LOOKUP(2^15,SEARCH(Tabela2[Palavras-Chave],Boletim4[[#This Row],[Objeto]],1),Tabela2[Palavras-Chave])</f>
        <v>#N/A</v>
      </c>
    </row>
    <row r="609" spans="1:12" ht="100.8" hidden="1" x14ac:dyDescent="0.3">
      <c r="A609" s="5">
        <v>18774678</v>
      </c>
      <c r="B609" s="6" t="s">
        <v>151</v>
      </c>
      <c r="C609" s="6" t="s">
        <v>59</v>
      </c>
      <c r="D609" s="8" t="s">
        <v>60</v>
      </c>
      <c r="E609" s="6" t="s">
        <v>2453</v>
      </c>
      <c r="F609" s="6" t="s">
        <v>95</v>
      </c>
      <c r="G609" s="11">
        <v>46126.479166666664</v>
      </c>
      <c r="I609" s="10" t="s">
        <v>2454</v>
      </c>
      <c r="J609" s="6" t="s">
        <v>2455</v>
      </c>
      <c r="K609" s="12">
        <v>46120.863912037035</v>
      </c>
      <c r="L609" s="6" t="e" cm="1">
        <f t="array" ref="L609">LOOKUP(2^15,SEARCH(Tabela2[Palavras-Chave],Boletim4[[#This Row],[Objeto]],1),Tabela2[Palavras-Chave])</f>
        <v>#N/A</v>
      </c>
    </row>
    <row r="610" spans="1:12" ht="72" hidden="1" x14ac:dyDescent="0.3">
      <c r="A610" s="5">
        <v>18735548</v>
      </c>
      <c r="B610" s="6" t="s">
        <v>74</v>
      </c>
      <c r="C610" s="6" t="s">
        <v>88</v>
      </c>
      <c r="D610" s="8" t="s">
        <v>63</v>
      </c>
      <c r="E610" s="6" t="s">
        <v>2456</v>
      </c>
      <c r="F610" s="6" t="s">
        <v>95</v>
      </c>
      <c r="G610" s="11" t="s">
        <v>56</v>
      </c>
      <c r="I610" s="10" t="s">
        <v>2457</v>
      </c>
      <c r="J610" s="6" t="s">
        <v>2458</v>
      </c>
      <c r="K610" s="12">
        <v>46120.468124999999</v>
      </c>
      <c r="L610" s="6" t="e" cm="1">
        <f t="array" ref="L610">LOOKUP(2^15,SEARCH(Tabela2[Palavras-Chave],Boletim4[[#This Row],[Objeto]],1),Tabela2[Palavras-Chave])</f>
        <v>#N/A</v>
      </c>
    </row>
    <row r="611" spans="1:12" ht="115.2" hidden="1" x14ac:dyDescent="0.3">
      <c r="A611" s="5">
        <v>18764975</v>
      </c>
      <c r="B611" s="6" t="s">
        <v>2459</v>
      </c>
      <c r="C611" s="6" t="s">
        <v>2460</v>
      </c>
      <c r="D611" s="8" t="s">
        <v>63</v>
      </c>
      <c r="E611" s="6" t="s">
        <v>117</v>
      </c>
      <c r="F611" s="6" t="s">
        <v>95</v>
      </c>
      <c r="G611" s="11">
        <v>46135.354166666664</v>
      </c>
      <c r="I611" s="10" t="s">
        <v>2461</v>
      </c>
      <c r="J611" s="6" t="s">
        <v>2462</v>
      </c>
      <c r="K611" s="12">
        <v>46120.580590277779</v>
      </c>
      <c r="L611" s="6" t="e" cm="1">
        <f t="array" ref="L611">LOOKUP(2^15,SEARCH(Tabela2[Palavras-Chave],Boletim4[[#This Row],[Objeto]],1),Tabela2[Palavras-Chave])</f>
        <v>#N/A</v>
      </c>
    </row>
    <row r="612" spans="1:12" ht="259.2" hidden="1" x14ac:dyDescent="0.3">
      <c r="A612" s="5">
        <v>18698834</v>
      </c>
      <c r="B612" s="6" t="s">
        <v>2463</v>
      </c>
      <c r="C612" s="6" t="s">
        <v>2464</v>
      </c>
      <c r="D612" s="8" t="s">
        <v>64</v>
      </c>
      <c r="E612" s="6" t="s">
        <v>115</v>
      </c>
      <c r="F612" s="6" t="s">
        <v>95</v>
      </c>
      <c r="G612" s="11" t="s">
        <v>56</v>
      </c>
      <c r="I612" s="10" t="s">
        <v>2465</v>
      </c>
      <c r="J612" s="6" t="s">
        <v>2466</v>
      </c>
      <c r="K612" s="12">
        <v>46120.773946759262</v>
      </c>
      <c r="L612" s="6" t="e" cm="1">
        <f t="array" ref="L612">LOOKUP(2^15,SEARCH(Tabela2[Palavras-Chave],Boletim4[[#This Row],[Objeto]],1),Tabela2[Palavras-Chave])</f>
        <v>#N/A</v>
      </c>
    </row>
    <row r="613" spans="1:12" ht="100.8" hidden="1" x14ac:dyDescent="0.3">
      <c r="A613" s="5">
        <v>18758968</v>
      </c>
      <c r="B613" s="6" t="s">
        <v>2467</v>
      </c>
      <c r="C613" s="6" t="s">
        <v>2468</v>
      </c>
      <c r="D613" s="8" t="s">
        <v>89</v>
      </c>
      <c r="E613" s="6" t="s">
        <v>115</v>
      </c>
      <c r="F613" s="6" t="s">
        <v>95</v>
      </c>
      <c r="G613" s="11" t="s">
        <v>56</v>
      </c>
      <c r="I613" s="10" t="s">
        <v>2469</v>
      </c>
      <c r="J613" s="6" t="s">
        <v>2470</v>
      </c>
      <c r="K613" s="12">
        <v>46120.482673611114</v>
      </c>
      <c r="L613" s="6" t="e" cm="1">
        <f t="array" ref="L613">LOOKUP(2^15,SEARCH(Tabela2[Palavras-Chave],Boletim4[[#This Row],[Objeto]],1),Tabela2[Palavras-Chave])</f>
        <v>#N/A</v>
      </c>
    </row>
    <row r="614" spans="1:12" ht="100.8" hidden="1" x14ac:dyDescent="0.3">
      <c r="A614" s="5">
        <v>18674424</v>
      </c>
      <c r="B614" s="6" t="s">
        <v>2471</v>
      </c>
      <c r="C614" s="6" t="s">
        <v>2472</v>
      </c>
      <c r="D614" s="8" t="s">
        <v>66</v>
      </c>
      <c r="E614" s="6" t="s">
        <v>146</v>
      </c>
      <c r="F614" s="6" t="s">
        <v>95</v>
      </c>
      <c r="G614" s="11" t="s">
        <v>56</v>
      </c>
      <c r="I614" s="10" t="s">
        <v>2473</v>
      </c>
      <c r="J614" s="6" t="s">
        <v>2474</v>
      </c>
      <c r="K614" s="12">
        <v>46120.449386574073</v>
      </c>
      <c r="L614" s="6" t="e" cm="1">
        <f t="array" ref="L614">LOOKUP(2^15,SEARCH(Tabela2[Palavras-Chave],Boletim4[[#This Row],[Objeto]],1),Tabela2[Palavras-Chave])</f>
        <v>#N/A</v>
      </c>
    </row>
    <row r="615" spans="1:12" ht="72" hidden="1" x14ac:dyDescent="0.3">
      <c r="A615" s="5">
        <v>18782337</v>
      </c>
      <c r="B615" s="6" t="s">
        <v>2475</v>
      </c>
      <c r="C615" s="6" t="s">
        <v>2476</v>
      </c>
      <c r="D615" s="8" t="s">
        <v>66</v>
      </c>
      <c r="E615" s="6" t="s">
        <v>125</v>
      </c>
      <c r="F615" s="6" t="s">
        <v>95</v>
      </c>
      <c r="G615" s="11">
        <v>46126.375</v>
      </c>
      <c r="I615" s="10" t="s">
        <v>2477</v>
      </c>
      <c r="J615" s="6" t="s">
        <v>2478</v>
      </c>
      <c r="K615" s="12">
        <v>46120.519490740742</v>
      </c>
      <c r="L615" s="6" t="e" cm="1">
        <f t="array" ref="L615">LOOKUP(2^15,SEARCH(Tabela2[Palavras-Chave],Boletim4[[#This Row],[Objeto]],1),Tabela2[Palavras-Chave])</f>
        <v>#N/A</v>
      </c>
    </row>
    <row r="616" spans="1:12" ht="259.2" hidden="1" x14ac:dyDescent="0.3">
      <c r="A616" s="5">
        <v>18717691</v>
      </c>
      <c r="B616" s="6" t="s">
        <v>369</v>
      </c>
      <c r="C616" s="6" t="s">
        <v>370</v>
      </c>
      <c r="D616" s="8" t="s">
        <v>66</v>
      </c>
      <c r="E616" s="6" t="s">
        <v>124</v>
      </c>
      <c r="F616" s="6" t="s">
        <v>95</v>
      </c>
      <c r="G616" s="11">
        <v>46134.375</v>
      </c>
      <c r="I616" s="10" t="s">
        <v>2479</v>
      </c>
      <c r="J616" s="6" t="s">
        <v>2480</v>
      </c>
      <c r="K616" s="12">
        <v>46120.669490740744</v>
      </c>
      <c r="L616" s="6" t="e" cm="1">
        <f t="array" ref="L616">LOOKUP(2^15,SEARCH(Tabela2[Palavras-Chave],Boletim4[[#This Row],[Objeto]],1),Tabela2[Palavras-Chave])</f>
        <v>#N/A</v>
      </c>
    </row>
    <row r="617" spans="1:12" ht="129.6" hidden="1" x14ac:dyDescent="0.3">
      <c r="A617" s="5">
        <v>18717012</v>
      </c>
      <c r="B617" s="6" t="s">
        <v>417</v>
      </c>
      <c r="C617" s="6" t="s">
        <v>418</v>
      </c>
      <c r="D617" s="8" t="s">
        <v>66</v>
      </c>
      <c r="E617" s="6" t="s">
        <v>108</v>
      </c>
      <c r="F617" s="6" t="s">
        <v>95</v>
      </c>
      <c r="G617" s="11">
        <v>46139.3125</v>
      </c>
      <c r="I617" s="10" t="s">
        <v>419</v>
      </c>
      <c r="J617" s="6" t="s">
        <v>420</v>
      </c>
      <c r="K617" s="12">
        <v>46120.777824074074</v>
      </c>
      <c r="L617" s="6" t="e" cm="1">
        <f t="array" ref="L617">LOOKUP(2^15,SEARCH(Tabela2[Palavras-Chave],Boletim4[[#This Row],[Objeto]],1),Tabela2[Palavras-Chave])</f>
        <v>#N/A</v>
      </c>
    </row>
    <row r="618" spans="1:12" ht="100.8" hidden="1" x14ac:dyDescent="0.3">
      <c r="A618" s="5">
        <v>18724058</v>
      </c>
      <c r="B618" s="6" t="s">
        <v>361</v>
      </c>
      <c r="C618" s="6" t="s">
        <v>362</v>
      </c>
      <c r="D618" s="8" t="s">
        <v>66</v>
      </c>
      <c r="E618" s="6" t="s">
        <v>120</v>
      </c>
      <c r="F618" s="6" t="s">
        <v>95</v>
      </c>
      <c r="G618" s="11" t="s">
        <v>56</v>
      </c>
      <c r="I618" s="10" t="s">
        <v>2481</v>
      </c>
      <c r="J618" s="6" t="s">
        <v>2482</v>
      </c>
      <c r="K618" s="12">
        <v>46120.807615740741</v>
      </c>
      <c r="L618" s="6" t="e" cm="1">
        <f t="array" ref="L618">LOOKUP(2^15,SEARCH(Tabela2[Palavras-Chave],Boletim4[[#This Row],[Objeto]],1),Tabela2[Palavras-Chave])</f>
        <v>#N/A</v>
      </c>
    </row>
    <row r="619" spans="1:12" ht="273.60000000000002" hidden="1" x14ac:dyDescent="0.3">
      <c r="A619" s="5">
        <v>18648336</v>
      </c>
      <c r="B619" s="6" t="s">
        <v>2483</v>
      </c>
      <c r="C619" s="6" t="s">
        <v>2484</v>
      </c>
      <c r="D619" s="8" t="s">
        <v>91</v>
      </c>
      <c r="E619" s="6" t="s">
        <v>121</v>
      </c>
      <c r="F619" s="6" t="s">
        <v>95</v>
      </c>
      <c r="G619" s="11" t="s">
        <v>56</v>
      </c>
      <c r="I619" s="10" t="s">
        <v>2485</v>
      </c>
      <c r="J619" s="6" t="s">
        <v>2486</v>
      </c>
      <c r="K619" s="12">
        <v>46120.454884259256</v>
      </c>
      <c r="L619" s="6" t="e" cm="1">
        <f t="array" ref="L619">LOOKUP(2^15,SEARCH(Tabela2[Palavras-Chave],Boletim4[[#This Row],[Objeto]],1),Tabela2[Palavras-Chave])</f>
        <v>#N/A</v>
      </c>
    </row>
    <row r="620" spans="1:12" ht="43.2" hidden="1" x14ac:dyDescent="0.3">
      <c r="A620" s="5">
        <v>18781985</v>
      </c>
      <c r="B620" s="6" t="s">
        <v>2487</v>
      </c>
      <c r="C620" s="6" t="s">
        <v>2488</v>
      </c>
      <c r="D620" s="8" t="s">
        <v>91</v>
      </c>
      <c r="E620" s="6" t="s">
        <v>115</v>
      </c>
      <c r="F620" s="6" t="s">
        <v>95</v>
      </c>
      <c r="G620" s="11">
        <v>46134.541666666664</v>
      </c>
      <c r="I620" s="10" t="s">
        <v>2489</v>
      </c>
      <c r="J620" s="6" t="s">
        <v>138</v>
      </c>
      <c r="K620" s="12">
        <v>46120.62296296296</v>
      </c>
      <c r="L620" s="6" t="e" cm="1">
        <f t="array" ref="L620">LOOKUP(2^15,SEARCH(Tabela2[Palavras-Chave],Boletim4[[#This Row],[Objeto]],1),Tabela2[Palavras-Chave])</f>
        <v>#N/A</v>
      </c>
    </row>
    <row r="621" spans="1:12" ht="115.2" hidden="1" x14ac:dyDescent="0.3">
      <c r="A621" s="5">
        <v>18779148</v>
      </c>
      <c r="B621" s="6" t="s">
        <v>2490</v>
      </c>
      <c r="C621" s="6" t="s">
        <v>2491</v>
      </c>
      <c r="D621" s="8" t="s">
        <v>70</v>
      </c>
      <c r="E621" s="6" t="s">
        <v>128</v>
      </c>
      <c r="F621" s="6" t="s">
        <v>95</v>
      </c>
      <c r="G621" s="11">
        <v>46134.479166666664</v>
      </c>
      <c r="I621" s="10" t="s">
        <v>2492</v>
      </c>
      <c r="J621" s="6" t="s">
        <v>2493</v>
      </c>
      <c r="K621" s="12">
        <v>46120.861562500002</v>
      </c>
      <c r="L621" s="6" t="e" cm="1">
        <f t="array" ref="L621">LOOKUP(2^15,SEARCH(Tabela2[Palavras-Chave],Boletim4[[#This Row],[Objeto]],1),Tabela2[Palavras-Chave])</f>
        <v>#N/A</v>
      </c>
    </row>
    <row r="622" spans="1:12" ht="172.8" hidden="1" x14ac:dyDescent="0.3">
      <c r="A622" s="5">
        <v>18730650</v>
      </c>
      <c r="B622" s="6" t="s">
        <v>2494</v>
      </c>
      <c r="C622" s="6" t="s">
        <v>2495</v>
      </c>
      <c r="D622" s="8" t="s">
        <v>72</v>
      </c>
      <c r="E622" s="6" t="s">
        <v>178</v>
      </c>
      <c r="F622" s="6" t="s">
        <v>95</v>
      </c>
      <c r="G622" s="11" t="s">
        <v>56</v>
      </c>
      <c r="I622" s="10" t="s">
        <v>2496</v>
      </c>
      <c r="J622" s="6" t="s">
        <v>2497</v>
      </c>
      <c r="K622" s="12">
        <v>46120.554918981485</v>
      </c>
      <c r="L622" s="6" t="e" cm="1">
        <f t="array" ref="L622">LOOKUP(2^15,SEARCH(Tabela2[Palavras-Chave],Boletim4[[#This Row],[Objeto]],1),Tabela2[Palavras-Chave])</f>
        <v>#N/A</v>
      </c>
    </row>
    <row r="623" spans="1:12" ht="72" hidden="1" x14ac:dyDescent="0.3">
      <c r="A623" s="5">
        <v>18735547</v>
      </c>
      <c r="B623" s="6" t="s">
        <v>74</v>
      </c>
      <c r="C623" s="6" t="s">
        <v>75</v>
      </c>
      <c r="D623" s="8" t="s">
        <v>76</v>
      </c>
      <c r="E623" s="6" t="s">
        <v>2456</v>
      </c>
      <c r="F623" s="6" t="s">
        <v>95</v>
      </c>
      <c r="G623" s="11" t="s">
        <v>56</v>
      </c>
      <c r="I623" s="10" t="s">
        <v>2457</v>
      </c>
      <c r="J623" s="6" t="s">
        <v>2458</v>
      </c>
      <c r="K623" s="12">
        <v>46120.465810185182</v>
      </c>
      <c r="L623" s="6" t="e" cm="1">
        <f t="array" ref="L623">LOOKUP(2^15,SEARCH(Tabela2[Palavras-Chave],Boletim4[[#This Row],[Objeto]],1),Tabela2[Palavras-Chave])</f>
        <v>#N/A</v>
      </c>
    </row>
    <row r="624" spans="1:12" ht="72" hidden="1" x14ac:dyDescent="0.3">
      <c r="A624" s="5">
        <v>18770007</v>
      </c>
      <c r="B624" s="6" t="s">
        <v>74</v>
      </c>
      <c r="C624" s="6" t="s">
        <v>75</v>
      </c>
      <c r="D624" s="8" t="s">
        <v>76</v>
      </c>
      <c r="E624" s="6" t="s">
        <v>2441</v>
      </c>
      <c r="F624" s="6" t="s">
        <v>95</v>
      </c>
      <c r="G624" s="11" t="s">
        <v>56</v>
      </c>
      <c r="I624" s="10" t="s">
        <v>2442</v>
      </c>
      <c r="J624" s="6" t="s">
        <v>2443</v>
      </c>
      <c r="K624" s="12">
        <v>46120.465902777774</v>
      </c>
      <c r="L624" s="6" t="e" cm="1">
        <f t="array" ref="L624">LOOKUP(2^15,SEARCH(Tabela2[Palavras-Chave],Boletim4[[#This Row],[Objeto]],1),Tabela2[Palavras-Chave])</f>
        <v>#N/A</v>
      </c>
    </row>
    <row r="625" spans="1:12" ht="43.2" hidden="1" x14ac:dyDescent="0.3">
      <c r="A625" s="5">
        <v>18796302</v>
      </c>
      <c r="B625" s="6" t="s">
        <v>74</v>
      </c>
      <c r="C625" s="6" t="s">
        <v>75</v>
      </c>
      <c r="D625" s="8" t="s">
        <v>76</v>
      </c>
      <c r="E625" s="6" t="s">
        <v>2498</v>
      </c>
      <c r="F625" s="6" t="s">
        <v>95</v>
      </c>
      <c r="G625" s="11" t="s">
        <v>56</v>
      </c>
      <c r="I625" s="10" t="s">
        <v>2499</v>
      </c>
      <c r="J625" s="6" t="s">
        <v>2500</v>
      </c>
      <c r="K625" s="12">
        <v>46120.466898148145</v>
      </c>
      <c r="L625" s="6" t="e" cm="1">
        <f t="array" ref="L625">LOOKUP(2^15,SEARCH(Tabela2[Palavras-Chave],Boletim4[[#This Row],[Objeto]],1),Tabela2[Palavras-Chave])</f>
        <v>#N/A</v>
      </c>
    </row>
    <row r="626" spans="1:12" ht="72" x14ac:dyDescent="0.3">
      <c r="A626" s="5">
        <v>18796307</v>
      </c>
      <c r="B626" s="6" t="s">
        <v>74</v>
      </c>
      <c r="C626" s="6" t="s">
        <v>75</v>
      </c>
      <c r="D626" s="8" t="s">
        <v>76</v>
      </c>
      <c r="E626" s="6" t="s">
        <v>2501</v>
      </c>
      <c r="F626" s="6" t="s">
        <v>95</v>
      </c>
      <c r="G626" s="11" t="s">
        <v>56</v>
      </c>
      <c r="H626" s="23">
        <v>2</v>
      </c>
      <c r="I626" s="10" t="s">
        <v>2502</v>
      </c>
      <c r="J626" s="6" t="s">
        <v>2503</v>
      </c>
      <c r="K626" s="12">
        <v>46120.467106481483</v>
      </c>
      <c r="L626" s="6" t="str" cm="1">
        <f t="array" ref="L626">LOOKUP(2^15,SEARCH(Tabela2[Palavras-Chave],Boletim4[[#This Row],[Objeto]],1),Tabela2[Palavras-Chave])</f>
        <v>TANQUE</v>
      </c>
    </row>
    <row r="627" spans="1:12" ht="158.4" hidden="1" x14ac:dyDescent="0.3">
      <c r="A627" s="5">
        <v>18597832</v>
      </c>
      <c r="B627" s="6" t="s">
        <v>241</v>
      </c>
      <c r="C627" s="6" t="s">
        <v>75</v>
      </c>
      <c r="D627" s="8" t="s">
        <v>76</v>
      </c>
      <c r="E627" s="6" t="s">
        <v>2504</v>
      </c>
      <c r="F627" s="6" t="s">
        <v>95</v>
      </c>
      <c r="G627" s="11" t="s">
        <v>56</v>
      </c>
      <c r="I627" s="10" t="s">
        <v>2505</v>
      </c>
      <c r="J627" s="6" t="s">
        <v>2506</v>
      </c>
      <c r="K627" s="12">
        <v>46120.547974537039</v>
      </c>
      <c r="L627" s="6" t="e" cm="1">
        <f t="array" ref="L627">LOOKUP(2^15,SEARCH(Tabela2[Palavras-Chave],Boletim4[[#This Row],[Objeto]],1),Tabela2[Palavras-Chave])</f>
        <v>#N/A</v>
      </c>
    </row>
    <row r="628" spans="1:12" ht="129.6" hidden="1" x14ac:dyDescent="0.3">
      <c r="A628" s="5">
        <v>18725654</v>
      </c>
      <c r="B628" s="6" t="s">
        <v>2507</v>
      </c>
      <c r="C628" s="6" t="s">
        <v>2508</v>
      </c>
      <c r="D628" s="8" t="s">
        <v>76</v>
      </c>
      <c r="E628" s="6" t="s">
        <v>157</v>
      </c>
      <c r="F628" s="6" t="s">
        <v>95</v>
      </c>
      <c r="G628" s="11" t="s">
        <v>56</v>
      </c>
      <c r="I628" s="10" t="s">
        <v>2509</v>
      </c>
      <c r="J628" s="6" t="s">
        <v>2510</v>
      </c>
      <c r="K628" s="12">
        <v>46120.560416666667</v>
      </c>
      <c r="L628" s="6" t="e" cm="1">
        <f t="array" ref="L628">LOOKUP(2^15,SEARCH(Tabela2[Palavras-Chave],Boletim4[[#This Row],[Objeto]],1),Tabela2[Palavras-Chave])</f>
        <v>#N/A</v>
      </c>
    </row>
    <row r="629" spans="1:12" ht="72" hidden="1" x14ac:dyDescent="0.3">
      <c r="A629" s="5">
        <v>18796315</v>
      </c>
      <c r="B629" s="6" t="s">
        <v>74</v>
      </c>
      <c r="C629" s="6" t="s">
        <v>75</v>
      </c>
      <c r="D629" s="8" t="s">
        <v>76</v>
      </c>
      <c r="E629" s="6" t="s">
        <v>2511</v>
      </c>
      <c r="F629" s="6" t="s">
        <v>95</v>
      </c>
      <c r="G629" s="11" t="s">
        <v>56</v>
      </c>
      <c r="I629" s="10" t="s">
        <v>2512</v>
      </c>
      <c r="J629" s="6" t="s">
        <v>2513</v>
      </c>
      <c r="K629" s="12">
        <v>46120.652916666666</v>
      </c>
      <c r="L629" s="6" t="e" cm="1">
        <f t="array" ref="L629">LOOKUP(2^15,SEARCH(Tabela2[Palavras-Chave],Boletim4[[#This Row],[Objeto]],1),Tabela2[Palavras-Chave])</f>
        <v>#N/A</v>
      </c>
    </row>
    <row r="630" spans="1:12" ht="259.2" hidden="1" x14ac:dyDescent="0.3">
      <c r="A630" s="5">
        <v>18799021</v>
      </c>
      <c r="B630" s="6" t="s">
        <v>2514</v>
      </c>
      <c r="C630" s="6" t="s">
        <v>2515</v>
      </c>
      <c r="D630" s="8" t="s">
        <v>77</v>
      </c>
      <c r="E630" s="6" t="s">
        <v>127</v>
      </c>
      <c r="F630" s="6" t="s">
        <v>95</v>
      </c>
      <c r="G630" s="11" t="s">
        <v>56</v>
      </c>
      <c r="I630" s="10" t="s">
        <v>2516</v>
      </c>
      <c r="J630" s="6" t="s">
        <v>2517</v>
      </c>
      <c r="K630" s="12">
        <v>46120.656354166669</v>
      </c>
      <c r="L630" s="6" t="e" cm="1">
        <f t="array" ref="L630">LOOKUP(2^15,SEARCH(Tabela2[Palavras-Chave],Boletim4[[#This Row],[Objeto]],1),Tabela2[Palavras-Chave])</f>
        <v>#N/A</v>
      </c>
    </row>
    <row r="631" spans="1:12" ht="259.2" hidden="1" x14ac:dyDescent="0.3">
      <c r="A631" s="5">
        <v>18801211</v>
      </c>
      <c r="B631" s="6" t="s">
        <v>2514</v>
      </c>
      <c r="C631" s="6" t="s">
        <v>2515</v>
      </c>
      <c r="D631" s="8" t="s">
        <v>77</v>
      </c>
      <c r="E631" s="6" t="s">
        <v>113</v>
      </c>
      <c r="F631" s="6" t="s">
        <v>95</v>
      </c>
      <c r="G631" s="11" t="s">
        <v>56</v>
      </c>
      <c r="I631" s="10" t="s">
        <v>2518</v>
      </c>
      <c r="J631" s="6" t="s">
        <v>2519</v>
      </c>
      <c r="K631" s="12">
        <v>46120.658425925925</v>
      </c>
      <c r="L631" s="6" t="e" cm="1">
        <f t="array" ref="L631">LOOKUP(2^15,SEARCH(Tabela2[Palavras-Chave],Boletim4[[#This Row],[Objeto]],1),Tabela2[Palavras-Chave])</f>
        <v>#N/A</v>
      </c>
    </row>
    <row r="632" spans="1:12" ht="129.6" hidden="1" x14ac:dyDescent="0.3">
      <c r="A632" s="5">
        <v>18733017</v>
      </c>
      <c r="B632" s="6" t="s">
        <v>1974</v>
      </c>
      <c r="C632" s="6" t="s">
        <v>1975</v>
      </c>
      <c r="D632" s="8" t="s">
        <v>77</v>
      </c>
      <c r="E632" s="6" t="s">
        <v>106</v>
      </c>
      <c r="F632" s="6" t="s">
        <v>95</v>
      </c>
      <c r="G632" s="11">
        <v>46135.354166666664</v>
      </c>
      <c r="I632" s="10" t="s">
        <v>2520</v>
      </c>
      <c r="J632" s="6" t="s">
        <v>2521</v>
      </c>
      <c r="K632" s="12">
        <v>46120.721608796295</v>
      </c>
      <c r="L632" s="6" t="e" cm="1">
        <f t="array" ref="L632">LOOKUP(2^15,SEARCH(Tabela2[Palavras-Chave],Boletim4[[#This Row],[Objeto]],1),Tabela2[Palavras-Chave])</f>
        <v>#N/A</v>
      </c>
    </row>
    <row r="633" spans="1:12" ht="172.8" hidden="1" x14ac:dyDescent="0.3">
      <c r="A633" s="5">
        <v>18793507</v>
      </c>
      <c r="B633" s="6" t="s">
        <v>1984</v>
      </c>
      <c r="C633" s="6" t="s">
        <v>136</v>
      </c>
      <c r="D633" s="8" t="s">
        <v>78</v>
      </c>
      <c r="E633" s="6" t="s">
        <v>2522</v>
      </c>
      <c r="F633" s="6" t="s">
        <v>95</v>
      </c>
      <c r="G633" s="11" t="s">
        <v>56</v>
      </c>
      <c r="I633" s="10" t="s">
        <v>2523</v>
      </c>
      <c r="J633" s="6" t="s">
        <v>2524</v>
      </c>
      <c r="K633" s="12">
        <v>46120.554907407408</v>
      </c>
      <c r="L633" s="6" t="e" cm="1">
        <f t="array" ref="L633">LOOKUP(2^15,SEARCH(Tabela2[Palavras-Chave],Boletim4[[#This Row],[Objeto]],1),Tabela2[Palavras-Chave])</f>
        <v>#N/A</v>
      </c>
    </row>
    <row r="634" spans="1:12" ht="115.2" hidden="1" x14ac:dyDescent="0.3">
      <c r="A634" s="5">
        <v>18800863</v>
      </c>
      <c r="B634" s="6" t="s">
        <v>2525</v>
      </c>
      <c r="C634" s="6" t="s">
        <v>136</v>
      </c>
      <c r="D634" s="8" t="s">
        <v>78</v>
      </c>
      <c r="E634" s="6" t="s">
        <v>129</v>
      </c>
      <c r="F634" s="6" t="s">
        <v>95</v>
      </c>
      <c r="G634" s="11">
        <v>46126.375</v>
      </c>
      <c r="I634" s="10" t="s">
        <v>2526</v>
      </c>
      <c r="J634" s="6" t="s">
        <v>2527</v>
      </c>
      <c r="K634" s="12">
        <v>46120.821562500001</v>
      </c>
      <c r="L634" s="6" t="e" cm="1">
        <f t="array" ref="L634">LOOKUP(2^15,SEARCH(Tabela2[Palavras-Chave],Boletim4[[#This Row],[Objeto]],1),Tabela2[Palavras-Chave])</f>
        <v>#N/A</v>
      </c>
    </row>
    <row r="635" spans="1:12" ht="72" x14ac:dyDescent="0.3">
      <c r="A635" s="5">
        <v>18802282</v>
      </c>
      <c r="B635" s="6" t="s">
        <v>74</v>
      </c>
      <c r="C635" s="6" t="s">
        <v>79</v>
      </c>
      <c r="D635" s="8" t="s">
        <v>80</v>
      </c>
      <c r="E635" s="6" t="s">
        <v>2501</v>
      </c>
      <c r="F635" s="6" t="s">
        <v>95</v>
      </c>
      <c r="G635" s="11" t="s">
        <v>56</v>
      </c>
      <c r="H635" s="23">
        <v>2</v>
      </c>
      <c r="I635" s="10" t="s">
        <v>2502</v>
      </c>
      <c r="J635" s="6" t="s">
        <v>2503</v>
      </c>
      <c r="K635" s="12">
        <v>46120.469490740739</v>
      </c>
      <c r="L635" s="6" t="str" cm="1">
        <f t="array" ref="L635">LOOKUP(2^15,SEARCH(Tabela2[Palavras-Chave],Boletim4[[#This Row],[Objeto]],1),Tabela2[Palavras-Chave])</f>
        <v>TANQUE</v>
      </c>
    </row>
    <row r="636" spans="1:12" ht="409.6" hidden="1" x14ac:dyDescent="0.3">
      <c r="A636" s="5">
        <v>18785341</v>
      </c>
      <c r="B636" s="6" t="s">
        <v>2528</v>
      </c>
      <c r="C636" s="6" t="s">
        <v>442</v>
      </c>
      <c r="D636" s="8" t="s">
        <v>80</v>
      </c>
      <c r="E636" s="6" t="s">
        <v>224</v>
      </c>
      <c r="F636" s="6" t="s">
        <v>95</v>
      </c>
      <c r="G636" s="11">
        <v>46136.333333333336</v>
      </c>
      <c r="I636" s="10" t="s">
        <v>2529</v>
      </c>
      <c r="J636" s="6" t="s">
        <v>2530</v>
      </c>
      <c r="K636" s="12">
        <v>46120.521319444444</v>
      </c>
      <c r="L636" s="6" t="e" cm="1">
        <f t="array" ref="L636">LOOKUP(2^15,SEARCH(Tabela2[Palavras-Chave],Boletim4[[#This Row],[Objeto]],1),Tabela2[Palavras-Chave])</f>
        <v>#N/A</v>
      </c>
    </row>
    <row r="637" spans="1:12" ht="115.2" hidden="1" x14ac:dyDescent="0.3">
      <c r="A637" s="5">
        <v>18722922</v>
      </c>
      <c r="B637" s="6" t="s">
        <v>2531</v>
      </c>
      <c r="C637" s="6" t="s">
        <v>2532</v>
      </c>
      <c r="D637" s="8" t="s">
        <v>80</v>
      </c>
      <c r="E637" s="6" t="s">
        <v>461</v>
      </c>
      <c r="F637" s="6" t="s">
        <v>95</v>
      </c>
      <c r="G637" s="11">
        <v>46139.340277777781</v>
      </c>
      <c r="I637" s="10" t="s">
        <v>2533</v>
      </c>
      <c r="J637" s="6" t="s">
        <v>2534</v>
      </c>
      <c r="K637" s="12">
        <v>46120.579594907409</v>
      </c>
      <c r="L637" s="6" t="e" cm="1">
        <f t="array" ref="L637">LOOKUP(2^15,SEARCH(Tabela2[Palavras-Chave],Boletim4[[#This Row],[Objeto]],1),Tabela2[Palavras-Chave])</f>
        <v>#N/A</v>
      </c>
    </row>
    <row r="638" spans="1:12" ht="115.2" hidden="1" x14ac:dyDescent="0.3">
      <c r="A638" s="5">
        <v>18610831</v>
      </c>
      <c r="B638" s="6" t="s">
        <v>2535</v>
      </c>
      <c r="C638" s="6" t="s">
        <v>2536</v>
      </c>
      <c r="D638" s="8" t="s">
        <v>80</v>
      </c>
      <c r="E638" s="6" t="s">
        <v>120</v>
      </c>
      <c r="F638" s="6" t="s">
        <v>95</v>
      </c>
      <c r="G638" s="11">
        <v>46146.353472222225</v>
      </c>
      <c r="I638" s="10" t="s">
        <v>2537</v>
      </c>
      <c r="J638" s="6" t="s">
        <v>2538</v>
      </c>
      <c r="K638" s="12">
        <v>46120.579710648148</v>
      </c>
      <c r="L638" s="6" t="e" cm="1">
        <f t="array" ref="L638">LOOKUP(2^15,SEARCH(Tabela2[Palavras-Chave],Boletim4[[#This Row],[Objeto]],1),Tabela2[Palavras-Chave])</f>
        <v>#N/A</v>
      </c>
    </row>
    <row r="639" spans="1:12" ht="115.2" hidden="1" x14ac:dyDescent="0.3">
      <c r="A639" s="5">
        <v>18755244</v>
      </c>
      <c r="B639" s="6" t="s">
        <v>2539</v>
      </c>
      <c r="C639" s="6" t="s">
        <v>2540</v>
      </c>
      <c r="D639" s="8" t="s">
        <v>80</v>
      </c>
      <c r="E639" s="6" t="s">
        <v>107</v>
      </c>
      <c r="F639" s="6" t="s">
        <v>95</v>
      </c>
      <c r="G639" s="11">
        <v>46141.353472222225</v>
      </c>
      <c r="I639" s="10" t="s">
        <v>2541</v>
      </c>
      <c r="J639" s="6" t="s">
        <v>2542</v>
      </c>
      <c r="K639" s="12">
        <v>46120.654780092591</v>
      </c>
      <c r="L639" s="6" t="e" cm="1">
        <f t="array" ref="L639">LOOKUP(2^15,SEARCH(Tabela2[Palavras-Chave],Boletim4[[#This Row],[Objeto]],1),Tabela2[Palavras-Chave])</f>
        <v>#N/A</v>
      </c>
    </row>
    <row r="640" spans="1:12" ht="57.6" hidden="1" x14ac:dyDescent="0.3">
      <c r="A640" s="5">
        <v>18721738</v>
      </c>
      <c r="B640" s="6" t="s">
        <v>2543</v>
      </c>
      <c r="C640" s="6" t="s">
        <v>2544</v>
      </c>
      <c r="D640" s="8" t="s">
        <v>80</v>
      </c>
      <c r="E640" s="6" t="s">
        <v>114</v>
      </c>
      <c r="F640" s="6" t="s">
        <v>95</v>
      </c>
      <c r="G640" s="11">
        <v>46141.333333333336</v>
      </c>
      <c r="I640" s="10" t="s">
        <v>2545</v>
      </c>
      <c r="J640" s="6" t="s">
        <v>2546</v>
      </c>
      <c r="K640" s="12">
        <v>46120.655439814815</v>
      </c>
      <c r="L640" s="6" t="e" cm="1">
        <f t="array" ref="L640">LOOKUP(2^15,SEARCH(Tabela2[Palavras-Chave],Boletim4[[#This Row],[Objeto]],1),Tabela2[Palavras-Chave])</f>
        <v>#N/A</v>
      </c>
    </row>
    <row r="641" spans="1:12" ht="115.2" hidden="1" x14ac:dyDescent="0.3">
      <c r="A641" s="5">
        <v>18759982</v>
      </c>
      <c r="B641" s="6" t="s">
        <v>2547</v>
      </c>
      <c r="C641" s="6" t="s">
        <v>2548</v>
      </c>
      <c r="D641" s="8" t="s">
        <v>80</v>
      </c>
      <c r="E641" s="6" t="s">
        <v>134</v>
      </c>
      <c r="F641" s="6" t="s">
        <v>95</v>
      </c>
      <c r="G641" s="11">
        <v>46135.561805555553</v>
      </c>
      <c r="I641" s="10" t="s">
        <v>2549</v>
      </c>
      <c r="J641" s="6" t="s">
        <v>2550</v>
      </c>
      <c r="K641" s="12">
        <v>46120.863217592596</v>
      </c>
      <c r="L641" s="6" t="e" cm="1">
        <f t="array" ref="L641">LOOKUP(2^15,SEARCH(Tabela2[Palavras-Chave],Boletim4[[#This Row],[Objeto]],1),Tabela2[Palavras-Chave])</f>
        <v>#N/A</v>
      </c>
    </row>
    <row r="642" spans="1:12" ht="144" hidden="1" x14ac:dyDescent="0.3">
      <c r="A642" s="5">
        <v>18306381</v>
      </c>
      <c r="B642" s="6" t="s">
        <v>2551</v>
      </c>
      <c r="C642" s="6" t="s">
        <v>2552</v>
      </c>
      <c r="D642" s="8" t="s">
        <v>81</v>
      </c>
      <c r="E642" s="6" t="s">
        <v>2553</v>
      </c>
      <c r="F642" s="6" t="s">
        <v>95</v>
      </c>
      <c r="G642" s="11" t="s">
        <v>56</v>
      </c>
      <c r="I642" s="10" t="s">
        <v>2554</v>
      </c>
      <c r="J642" s="6" t="s">
        <v>2555</v>
      </c>
      <c r="K642" s="12">
        <v>46120.731979166667</v>
      </c>
      <c r="L642" s="6" t="e" cm="1">
        <f t="array" ref="L642">LOOKUP(2^15,SEARCH(Tabela2[Palavras-Chave],Boletim4[[#This Row],[Objeto]],1),Tabela2[Palavras-Chave])</f>
        <v>#N/A</v>
      </c>
    </row>
    <row r="643" spans="1:12" ht="86.4" hidden="1" x14ac:dyDescent="0.3">
      <c r="A643" s="5">
        <v>18697455</v>
      </c>
      <c r="B643" s="6" t="s">
        <v>291</v>
      </c>
      <c r="C643" s="6" t="s">
        <v>292</v>
      </c>
      <c r="D643" s="8" t="s">
        <v>81</v>
      </c>
      <c r="E643" s="6" t="s">
        <v>117</v>
      </c>
      <c r="F643" s="6" t="s">
        <v>95</v>
      </c>
      <c r="G643" s="11">
        <v>46147.375</v>
      </c>
      <c r="I643" s="10" t="s">
        <v>2556</v>
      </c>
      <c r="J643" s="6" t="s">
        <v>2557</v>
      </c>
      <c r="K643" s="12">
        <v>46120.73269675926</v>
      </c>
      <c r="L643" s="6" t="e" cm="1">
        <f t="array" ref="L643">LOOKUP(2^15,SEARCH(Tabela2[Palavras-Chave],Boletim4[[#This Row],[Objeto]],1),Tabela2[Palavras-Chave])</f>
        <v>#N/A</v>
      </c>
    </row>
    <row r="644" spans="1:12" ht="100.8" hidden="1" x14ac:dyDescent="0.3">
      <c r="A644" s="5">
        <v>18795523</v>
      </c>
      <c r="B644" s="6" t="s">
        <v>2558</v>
      </c>
      <c r="C644" s="6" t="s">
        <v>2559</v>
      </c>
      <c r="D644" s="8" t="s">
        <v>93</v>
      </c>
      <c r="E644" s="6" t="s">
        <v>115</v>
      </c>
      <c r="F644" s="6" t="s">
        <v>95</v>
      </c>
      <c r="G644" s="11" t="s">
        <v>56</v>
      </c>
      <c r="I644" s="10" t="s">
        <v>2560</v>
      </c>
      <c r="J644" s="6" t="s">
        <v>2561</v>
      </c>
      <c r="K644" s="12">
        <v>46120.552673611113</v>
      </c>
      <c r="L644" s="6" t="e" cm="1">
        <f t="array" ref="L644">LOOKUP(2^15,SEARCH(Tabela2[Palavras-Chave],Boletim4[[#This Row],[Objeto]],1),Tabela2[Palavras-Chave])</f>
        <v>#N/A</v>
      </c>
    </row>
    <row r="645" spans="1:12" ht="100.8" hidden="1" x14ac:dyDescent="0.3">
      <c r="A645" s="5">
        <v>18724117</v>
      </c>
      <c r="B645" s="6" t="s">
        <v>2562</v>
      </c>
      <c r="C645" s="6" t="s">
        <v>2563</v>
      </c>
      <c r="D645" s="8" t="s">
        <v>82</v>
      </c>
      <c r="E645" s="6" t="s">
        <v>128</v>
      </c>
      <c r="F645" s="6" t="s">
        <v>95</v>
      </c>
      <c r="G645" s="11" t="s">
        <v>56</v>
      </c>
      <c r="I645" s="10" t="s">
        <v>2564</v>
      </c>
      <c r="J645" s="6" t="s">
        <v>2565</v>
      </c>
      <c r="K645" s="12">
        <v>46120.388368055559</v>
      </c>
      <c r="L645" s="6" t="e" cm="1">
        <f t="array" ref="L645">LOOKUP(2^15,SEARCH(Tabela2[Palavras-Chave],Boletim4[[#This Row],[Objeto]],1),Tabela2[Palavras-Chave])</f>
        <v>#N/A</v>
      </c>
    </row>
    <row r="646" spans="1:12" ht="72" hidden="1" x14ac:dyDescent="0.3">
      <c r="A646" s="5">
        <v>18521554</v>
      </c>
      <c r="B646" s="6" t="s">
        <v>74</v>
      </c>
      <c r="C646" s="6" t="s">
        <v>83</v>
      </c>
      <c r="D646" s="8" t="s">
        <v>82</v>
      </c>
      <c r="E646" s="6" t="s">
        <v>2566</v>
      </c>
      <c r="F646" s="6" t="s">
        <v>95</v>
      </c>
      <c r="G646" s="11" t="s">
        <v>56</v>
      </c>
      <c r="I646" s="10" t="s">
        <v>2567</v>
      </c>
      <c r="J646" s="6" t="s">
        <v>2568</v>
      </c>
      <c r="K646" s="12">
        <v>46120.468090277776</v>
      </c>
      <c r="L646" s="6" t="e" cm="1">
        <f t="array" ref="L646">LOOKUP(2^15,SEARCH(Tabela2[Palavras-Chave],Boletim4[[#This Row],[Objeto]],1),Tabela2[Palavras-Chave])</f>
        <v>#N/A</v>
      </c>
    </row>
    <row r="647" spans="1:12" ht="129.6" hidden="1" x14ac:dyDescent="0.3">
      <c r="A647" s="5">
        <v>18790480</v>
      </c>
      <c r="B647" s="6" t="s">
        <v>2569</v>
      </c>
      <c r="C647" s="6" t="s">
        <v>83</v>
      </c>
      <c r="D647" s="8" t="s">
        <v>82</v>
      </c>
      <c r="E647" s="6" t="s">
        <v>2570</v>
      </c>
      <c r="F647" s="6" t="s">
        <v>95</v>
      </c>
      <c r="G647" s="11" t="s">
        <v>56</v>
      </c>
      <c r="I647" s="10" t="s">
        <v>2571</v>
      </c>
      <c r="J647" s="6" t="s">
        <v>2572</v>
      </c>
      <c r="K647" s="12">
        <v>46120.55023148148</v>
      </c>
      <c r="L647" s="6" t="e" cm="1">
        <f t="array" ref="L647">LOOKUP(2^15,SEARCH(Tabela2[Palavras-Chave],Boletim4[[#This Row],[Objeto]],1),Tabela2[Palavras-Chave])</f>
        <v>#N/A</v>
      </c>
    </row>
    <row r="648" spans="1:12" ht="72" hidden="1" x14ac:dyDescent="0.3">
      <c r="A648" s="5">
        <v>18804386</v>
      </c>
      <c r="B648" s="6" t="s">
        <v>74</v>
      </c>
      <c r="C648" s="6" t="s">
        <v>83</v>
      </c>
      <c r="D648" s="8" t="s">
        <v>82</v>
      </c>
      <c r="E648" s="6" t="s">
        <v>2511</v>
      </c>
      <c r="F648" s="6" t="s">
        <v>95</v>
      </c>
      <c r="G648" s="11" t="s">
        <v>56</v>
      </c>
      <c r="I648" s="10" t="s">
        <v>2512</v>
      </c>
      <c r="J648" s="6" t="s">
        <v>2513</v>
      </c>
      <c r="K648" s="12">
        <v>46120.655590277776</v>
      </c>
      <c r="L648" s="6" t="e" cm="1">
        <f t="array" ref="L648">LOOKUP(2^15,SEARCH(Tabela2[Palavras-Chave],Boletim4[[#This Row],[Objeto]],1),Tabela2[Palavras-Chave])</f>
        <v>#N/A</v>
      </c>
    </row>
    <row r="649" spans="1:12" ht="129.6" hidden="1" x14ac:dyDescent="0.3">
      <c r="A649" s="5">
        <v>18798412</v>
      </c>
      <c r="B649" s="6" t="s">
        <v>2573</v>
      </c>
      <c r="C649" s="6" t="s">
        <v>2574</v>
      </c>
      <c r="D649" s="8" t="s">
        <v>82</v>
      </c>
      <c r="E649" s="6" t="s">
        <v>176</v>
      </c>
      <c r="F649" s="6" t="s">
        <v>95</v>
      </c>
      <c r="G649" s="11" t="s">
        <v>56</v>
      </c>
      <c r="I649" s="10" t="s">
        <v>2575</v>
      </c>
      <c r="J649" s="6" t="s">
        <v>2576</v>
      </c>
      <c r="K649" s="12">
        <v>46120.824953703705</v>
      </c>
      <c r="L649" s="6" t="e" cm="1">
        <f t="array" ref="L649">LOOKUP(2^15,SEARCH(Tabela2[Palavras-Chave],Boletim4[[#This Row],[Objeto]],1),Tabela2[Palavras-Chave])</f>
        <v>#N/A</v>
      </c>
    </row>
    <row r="650" spans="1:12" ht="273.60000000000002" hidden="1" x14ac:dyDescent="0.3">
      <c r="A650" s="5">
        <v>18768043</v>
      </c>
      <c r="B650" s="6" t="s">
        <v>450</v>
      </c>
      <c r="C650" s="6" t="s">
        <v>451</v>
      </c>
      <c r="D650" s="8" t="s">
        <v>82</v>
      </c>
      <c r="E650" s="6" t="s">
        <v>124</v>
      </c>
      <c r="F650" s="6" t="s">
        <v>95</v>
      </c>
      <c r="G650" s="11" t="s">
        <v>56</v>
      </c>
      <c r="I650" s="10" t="s">
        <v>2577</v>
      </c>
      <c r="J650" s="6" t="s">
        <v>2578</v>
      </c>
      <c r="K650" s="12">
        <v>46120.825983796298</v>
      </c>
      <c r="L650" s="6" t="e" cm="1">
        <f t="array" ref="L650">LOOKUP(2^15,SEARCH(Tabela2[Palavras-Chave],Boletim4[[#This Row],[Objeto]],1),Tabela2[Palavras-Chave])</f>
        <v>#N/A</v>
      </c>
    </row>
    <row r="651" spans="1:12" ht="187.2" hidden="1" x14ac:dyDescent="0.3">
      <c r="A651" s="5">
        <v>18693222</v>
      </c>
      <c r="B651" s="6" t="s">
        <v>382</v>
      </c>
      <c r="C651" s="6" t="s">
        <v>383</v>
      </c>
      <c r="D651" s="8" t="s">
        <v>72</v>
      </c>
      <c r="E651" s="6" t="s">
        <v>126</v>
      </c>
      <c r="F651" s="6" t="s">
        <v>187</v>
      </c>
      <c r="G651" s="11">
        <v>46139.375</v>
      </c>
      <c r="I651" s="10" t="s">
        <v>2579</v>
      </c>
      <c r="J651" s="6" t="s">
        <v>2580</v>
      </c>
      <c r="K651" s="12">
        <v>46120.627812500003</v>
      </c>
      <c r="L651" s="6" t="e" cm="1">
        <f t="array" ref="L651">LOOKUP(2^15,SEARCH(Tabela2[Palavras-Chave],Boletim4[[#This Row],[Objeto]],1),Tabela2[Palavras-Chave])</f>
        <v>#N/A</v>
      </c>
    </row>
    <row r="652" spans="1:12" ht="345.6" hidden="1" x14ac:dyDescent="0.3">
      <c r="A652" s="5">
        <v>18122137</v>
      </c>
      <c r="B652" s="6" t="s">
        <v>2274</v>
      </c>
      <c r="C652" s="6" t="s">
        <v>2275</v>
      </c>
      <c r="D652" s="8" t="s">
        <v>82</v>
      </c>
      <c r="E652" s="6" t="s">
        <v>2581</v>
      </c>
      <c r="F652" s="6" t="s">
        <v>187</v>
      </c>
      <c r="G652" s="11" t="s">
        <v>56</v>
      </c>
      <c r="I652" s="10" t="s">
        <v>2582</v>
      </c>
      <c r="J652" s="6" t="s">
        <v>2583</v>
      </c>
      <c r="K652" s="12">
        <v>46120.513240740744</v>
      </c>
      <c r="L652" s="6" t="e" cm="1">
        <f t="array" ref="L652">LOOKUP(2^15,SEARCH(Tabela2[Palavras-Chave],Boletim4[[#This Row],[Objeto]],1),Tabela2[Palavras-Chave])</f>
        <v>#N/A</v>
      </c>
    </row>
    <row r="653" spans="1:12" ht="100.8" hidden="1" x14ac:dyDescent="0.3">
      <c r="A653" s="5">
        <v>18705872</v>
      </c>
      <c r="B653" s="6" t="s">
        <v>2584</v>
      </c>
      <c r="C653" s="6" t="s">
        <v>2585</v>
      </c>
      <c r="D653" s="8" t="s">
        <v>66</v>
      </c>
      <c r="E653" s="6" t="s">
        <v>108</v>
      </c>
      <c r="F653" s="6" t="s">
        <v>96</v>
      </c>
      <c r="G653" s="11">
        <v>46163.354166666664</v>
      </c>
      <c r="I653" s="10" t="s">
        <v>2586</v>
      </c>
      <c r="J653" s="6" t="s">
        <v>2587</v>
      </c>
      <c r="K653" s="12">
        <v>46120.705578703702</v>
      </c>
      <c r="L653" s="6" t="e" cm="1">
        <f t="array" ref="L653">LOOKUP(2^15,SEARCH(Tabela2[Palavras-Chave],Boletim4[[#This Row],[Objeto]],1),Tabela2[Palavras-Chave])</f>
        <v>#N/A</v>
      </c>
    </row>
    <row r="654" spans="1:12" ht="187.2" hidden="1" x14ac:dyDescent="0.3">
      <c r="A654" s="5">
        <v>18740602</v>
      </c>
      <c r="B654" s="6" t="s">
        <v>2588</v>
      </c>
      <c r="C654" s="6" t="s">
        <v>2589</v>
      </c>
      <c r="D654" s="8" t="s">
        <v>82</v>
      </c>
      <c r="E654" s="6" t="s">
        <v>192</v>
      </c>
      <c r="F654" s="6" t="s">
        <v>168</v>
      </c>
      <c r="G654" s="11" t="s">
        <v>56</v>
      </c>
      <c r="I654" s="10" t="s">
        <v>2590</v>
      </c>
      <c r="J654" s="6" t="s">
        <v>2591</v>
      </c>
      <c r="K654" s="12">
        <v>46120.871053240742</v>
      </c>
      <c r="L654" s="6" t="e" cm="1">
        <f t="array" ref="L654">LOOKUP(2^15,SEARCH(Tabela2[Palavras-Chave],Boletim4[[#This Row],[Objeto]],1),Tabela2[Palavras-Chave])</f>
        <v>#N/A</v>
      </c>
    </row>
    <row r="655" spans="1:12" ht="144" x14ac:dyDescent="0.3">
      <c r="A655" s="5">
        <v>18671059</v>
      </c>
      <c r="B655" s="6" t="s">
        <v>2592</v>
      </c>
      <c r="C655" s="6" t="s">
        <v>2593</v>
      </c>
      <c r="D655" s="8" t="s">
        <v>82</v>
      </c>
      <c r="E655" s="6" t="s">
        <v>108</v>
      </c>
      <c r="F655" s="6" t="s">
        <v>2594</v>
      </c>
      <c r="G655" s="11" t="s">
        <v>56</v>
      </c>
      <c r="H655" s="23">
        <v>2</v>
      </c>
      <c r="I655" s="10" t="s">
        <v>2595</v>
      </c>
      <c r="J655" s="6" t="s">
        <v>2596</v>
      </c>
      <c r="K655" s="12">
        <v>46120.801782407405</v>
      </c>
      <c r="L655" s="6" t="str" cm="1">
        <f t="array" ref="L655">LOOKUP(2^15,SEARCH(Tabela2[Palavras-Chave],Boletim4[[#This Row],[Objeto]],1),Tabela2[Palavras-Chave])</f>
        <v>ELEVATÓRIA</v>
      </c>
    </row>
    <row r="656" spans="1:12" ht="302.39999999999998" hidden="1" x14ac:dyDescent="0.3">
      <c r="A656" s="5">
        <v>18747088</v>
      </c>
      <c r="B656" s="6" t="s">
        <v>2597</v>
      </c>
      <c r="C656" s="6" t="s">
        <v>2598</v>
      </c>
      <c r="D656" s="8" t="s">
        <v>54</v>
      </c>
      <c r="E656" s="6" t="s">
        <v>108</v>
      </c>
      <c r="F656" s="6" t="s">
        <v>97</v>
      </c>
      <c r="G656" s="11" t="s">
        <v>56</v>
      </c>
      <c r="I656" s="10" t="s">
        <v>2599</v>
      </c>
      <c r="J656" s="6" t="s">
        <v>2600</v>
      </c>
      <c r="K656" s="12">
        <v>46120.801168981481</v>
      </c>
      <c r="L656" s="6" t="e" cm="1">
        <f t="array" ref="L656">LOOKUP(2^15,SEARCH(Tabela2[Palavras-Chave],Boletim4[[#This Row],[Objeto]],1),Tabela2[Palavras-Chave])</f>
        <v>#N/A</v>
      </c>
    </row>
    <row r="657" spans="1:12" ht="100.8" hidden="1" x14ac:dyDescent="0.3">
      <c r="A657" s="5">
        <v>18761071</v>
      </c>
      <c r="B657" s="6" t="s">
        <v>2601</v>
      </c>
      <c r="C657" s="6" t="s">
        <v>59</v>
      </c>
      <c r="D657" s="8" t="s">
        <v>60</v>
      </c>
      <c r="E657" s="6" t="s">
        <v>222</v>
      </c>
      <c r="F657" s="6" t="s">
        <v>97</v>
      </c>
      <c r="G657" s="11" t="s">
        <v>56</v>
      </c>
      <c r="I657" s="10" t="s">
        <v>2602</v>
      </c>
      <c r="J657" s="6" t="s">
        <v>2603</v>
      </c>
      <c r="K657" s="12">
        <v>46120.659571759257</v>
      </c>
      <c r="L657" s="6" t="e" cm="1">
        <f t="array" ref="L657">LOOKUP(2^15,SEARCH(Tabela2[Palavras-Chave],Boletim4[[#This Row],[Objeto]],1),Tabela2[Palavras-Chave])</f>
        <v>#N/A</v>
      </c>
    </row>
    <row r="658" spans="1:12" ht="129.6" hidden="1" x14ac:dyDescent="0.3">
      <c r="A658" s="5">
        <v>18759755</v>
      </c>
      <c r="B658" s="6" t="s">
        <v>2604</v>
      </c>
      <c r="C658" s="6" t="s">
        <v>2605</v>
      </c>
      <c r="D658" s="8" t="s">
        <v>64</v>
      </c>
      <c r="E658" s="6" t="s">
        <v>128</v>
      </c>
      <c r="F658" s="6" t="s">
        <v>97</v>
      </c>
      <c r="G658" s="11" t="s">
        <v>56</v>
      </c>
      <c r="I658" s="10" t="s">
        <v>2606</v>
      </c>
      <c r="J658" s="6" t="s">
        <v>2607</v>
      </c>
      <c r="K658" s="12">
        <v>46120.827199074076</v>
      </c>
      <c r="L658" s="6" t="e" cm="1">
        <f t="array" ref="L658">LOOKUP(2^15,SEARCH(Tabela2[Palavras-Chave],Boletim4[[#This Row],[Objeto]],1),Tabela2[Palavras-Chave])</f>
        <v>#N/A</v>
      </c>
    </row>
    <row r="659" spans="1:12" ht="409.6" hidden="1" x14ac:dyDescent="0.3">
      <c r="A659" s="5">
        <v>18331036</v>
      </c>
      <c r="B659" s="6" t="s">
        <v>2608</v>
      </c>
      <c r="C659" s="6" t="s">
        <v>123</v>
      </c>
      <c r="D659" s="8" t="s">
        <v>67</v>
      </c>
      <c r="E659" s="6" t="s">
        <v>2609</v>
      </c>
      <c r="F659" s="6" t="s">
        <v>97</v>
      </c>
      <c r="G659" s="11" t="s">
        <v>56</v>
      </c>
      <c r="I659" s="10" t="s">
        <v>2610</v>
      </c>
      <c r="J659" s="6" t="s">
        <v>2611</v>
      </c>
      <c r="K659" s="12">
        <v>46120.534247685187</v>
      </c>
      <c r="L659" s="6" t="e" cm="1">
        <f t="array" ref="L659">LOOKUP(2^15,SEARCH(Tabela2[Palavras-Chave],Boletim4[[#This Row],[Objeto]],1),Tabela2[Palavras-Chave])</f>
        <v>#N/A</v>
      </c>
    </row>
    <row r="660" spans="1:12" ht="43.2" hidden="1" x14ac:dyDescent="0.3">
      <c r="A660" s="5">
        <v>18757225</v>
      </c>
      <c r="B660" s="6" t="s">
        <v>400</v>
      </c>
      <c r="C660" s="6" t="s">
        <v>401</v>
      </c>
      <c r="D660" s="8" t="s">
        <v>81</v>
      </c>
      <c r="E660" s="6" t="s">
        <v>2175</v>
      </c>
      <c r="F660" s="6" t="s">
        <v>97</v>
      </c>
      <c r="G660" s="11" t="s">
        <v>56</v>
      </c>
      <c r="I660" s="10" t="s">
        <v>2612</v>
      </c>
      <c r="J660" s="6" t="s">
        <v>2613</v>
      </c>
      <c r="K660" s="12">
        <v>46120.736307870371</v>
      </c>
      <c r="L660" s="6" t="e" cm="1">
        <f t="array" ref="L660">LOOKUP(2^15,SEARCH(Tabela2[Palavras-Chave],Boletim4[[#This Row],[Objeto]],1),Tabela2[Palavras-Chave])</f>
        <v>#N/A</v>
      </c>
    </row>
    <row r="661" spans="1:12" ht="409.6" hidden="1" x14ac:dyDescent="0.3">
      <c r="A661" s="5">
        <v>18561338</v>
      </c>
      <c r="B661" s="6" t="s">
        <v>2614</v>
      </c>
      <c r="C661" s="6" t="s">
        <v>2615</v>
      </c>
      <c r="D661" s="8" t="s">
        <v>54</v>
      </c>
      <c r="E661" s="6" t="s">
        <v>109</v>
      </c>
      <c r="F661" s="6" t="s">
        <v>98</v>
      </c>
      <c r="G661" s="11" t="s">
        <v>56</v>
      </c>
      <c r="I661" s="10" t="s">
        <v>2616</v>
      </c>
      <c r="J661" s="6" t="s">
        <v>2617</v>
      </c>
      <c r="K661" s="12">
        <v>46120.773553240739</v>
      </c>
      <c r="L661" s="6" t="e" cm="1">
        <f t="array" ref="L661">LOOKUP(2^15,SEARCH(Tabela2[Palavras-Chave],Boletim4[[#This Row],[Objeto]],1),Tabela2[Palavras-Chave])</f>
        <v>#N/A</v>
      </c>
    </row>
    <row r="662" spans="1:12" ht="409.6" hidden="1" x14ac:dyDescent="0.3">
      <c r="A662" s="5">
        <v>18593197</v>
      </c>
      <c r="B662" s="6" t="s">
        <v>2618</v>
      </c>
      <c r="C662" s="6" t="s">
        <v>159</v>
      </c>
      <c r="D662" s="8" t="s">
        <v>89</v>
      </c>
      <c r="E662" s="6" t="s">
        <v>2619</v>
      </c>
      <c r="F662" s="6" t="s">
        <v>98</v>
      </c>
      <c r="G662" s="11" t="s">
        <v>56</v>
      </c>
      <c r="I662" s="10" t="s">
        <v>2620</v>
      </c>
      <c r="J662" s="6" t="s">
        <v>2621</v>
      </c>
      <c r="K662" s="12">
        <v>46120.591053240743</v>
      </c>
      <c r="L662" s="6" t="e" cm="1">
        <f t="array" ref="L662">LOOKUP(2^15,SEARCH(Tabela2[Palavras-Chave],Boletim4[[#This Row],[Objeto]],1),Tabela2[Palavras-Chave])</f>
        <v>#N/A</v>
      </c>
    </row>
    <row r="663" spans="1:12" ht="172.8" x14ac:dyDescent="0.3">
      <c r="A663" s="13">
        <v>18778818</v>
      </c>
      <c r="B663" s="10" t="s">
        <v>2622</v>
      </c>
      <c r="C663" s="10" t="s">
        <v>2623</v>
      </c>
      <c r="D663" s="15" t="s">
        <v>66</v>
      </c>
      <c r="E663" s="10" t="s">
        <v>139</v>
      </c>
      <c r="F663" s="10" t="s">
        <v>98</v>
      </c>
      <c r="G663" s="16" t="s">
        <v>56</v>
      </c>
      <c r="H663" s="24">
        <v>2</v>
      </c>
      <c r="I663" s="10" t="s">
        <v>2624</v>
      </c>
      <c r="J663" s="10" t="s">
        <v>2625</v>
      </c>
      <c r="K663" s="17">
        <v>46120.800173611111</v>
      </c>
      <c r="L663" s="6" t="str" cm="1">
        <f t="array" ref="L663">LOOKUP(2^15,SEARCH(Tabela2[Palavras-Chave],Boletim4[[#This Row],[Objeto]],1),Tabela2[Palavras-Chave])</f>
        <v>EFICIÊNCIA</v>
      </c>
    </row>
    <row r="664" spans="1:12" ht="187.2" hidden="1" x14ac:dyDescent="0.3">
      <c r="A664" s="5">
        <v>18255660</v>
      </c>
      <c r="B664" s="6" t="s">
        <v>2626</v>
      </c>
      <c r="C664" s="6" t="s">
        <v>2627</v>
      </c>
      <c r="D664" s="8" t="s">
        <v>67</v>
      </c>
      <c r="E664" s="6" t="s">
        <v>2628</v>
      </c>
      <c r="F664" s="6" t="s">
        <v>98</v>
      </c>
      <c r="G664" s="11" t="s">
        <v>56</v>
      </c>
      <c r="I664" s="10" t="s">
        <v>2629</v>
      </c>
      <c r="J664" s="6" t="s">
        <v>2630</v>
      </c>
      <c r="K664" s="12">
        <v>46120.767696759256</v>
      </c>
      <c r="L664" s="6" t="e" cm="1">
        <f t="array" ref="L664">LOOKUP(2^15,SEARCH(Tabela2[Palavras-Chave],Boletim4[[#This Row],[Objeto]],1),Tabela2[Palavras-Chave])</f>
        <v>#N/A</v>
      </c>
    </row>
    <row r="665" spans="1:12" ht="144" x14ac:dyDescent="0.3">
      <c r="A665" s="5">
        <v>18452867</v>
      </c>
      <c r="B665" s="6" t="s">
        <v>2631</v>
      </c>
      <c r="C665" s="6" t="s">
        <v>2632</v>
      </c>
      <c r="D665" s="8" t="s">
        <v>82</v>
      </c>
      <c r="E665" s="6" t="s">
        <v>2633</v>
      </c>
      <c r="F665" s="6" t="s">
        <v>98</v>
      </c>
      <c r="G665" s="11" t="s">
        <v>56</v>
      </c>
      <c r="H665" s="23">
        <v>2</v>
      </c>
      <c r="I665" s="10" t="s">
        <v>2634</v>
      </c>
      <c r="J665" s="6" t="s">
        <v>2635</v>
      </c>
      <c r="K665" s="12">
        <v>46120.813946759263</v>
      </c>
      <c r="L665" s="6" t="str" cm="1">
        <f t="array" ref="L665">LOOKUP(2^15,SEARCH(Tabela2[Palavras-Chave],Boletim4[[#This Row],[Objeto]],1),Tabela2[Palavras-Chave])</f>
        <v>TAÇA</v>
      </c>
    </row>
    <row r="666" spans="1:12" ht="57.6" hidden="1" x14ac:dyDescent="0.3">
      <c r="A666" s="13">
        <v>18567935</v>
      </c>
      <c r="B666" s="10" t="s">
        <v>433</v>
      </c>
      <c r="C666" s="10" t="s">
        <v>434</v>
      </c>
      <c r="D666" s="15" t="s">
        <v>66</v>
      </c>
      <c r="E666" s="10" t="s">
        <v>2636</v>
      </c>
      <c r="F666" s="10" t="s">
        <v>295</v>
      </c>
      <c r="G666" s="16" t="s">
        <v>56</v>
      </c>
      <c r="H666" s="24"/>
      <c r="I666" s="10" t="s">
        <v>2637</v>
      </c>
      <c r="J666" s="10" t="s">
        <v>2638</v>
      </c>
      <c r="K666" s="17">
        <v>46120.796701388892</v>
      </c>
      <c r="L666" s="6" t="e" cm="1">
        <f t="array" ref="L666">LOOKUP(2^15,SEARCH(Tabela2[Palavras-Chave],Boletim4[[#This Row],[Objeto]],1),Tabela2[Palavras-Chave])</f>
        <v>#N/A</v>
      </c>
    </row>
    <row r="667" spans="1:12" ht="187.2" hidden="1" x14ac:dyDescent="0.3">
      <c r="A667" s="5">
        <v>18761193</v>
      </c>
      <c r="B667" s="6" t="s">
        <v>2639</v>
      </c>
      <c r="C667" s="6" t="s">
        <v>2640</v>
      </c>
      <c r="D667" s="8" t="s">
        <v>72</v>
      </c>
      <c r="E667" s="6" t="s">
        <v>2641</v>
      </c>
      <c r="F667" s="6" t="s">
        <v>295</v>
      </c>
      <c r="G667" s="11" t="s">
        <v>56</v>
      </c>
      <c r="I667" s="10" t="s">
        <v>2642</v>
      </c>
      <c r="J667" s="6" t="s">
        <v>2643</v>
      </c>
      <c r="K667" s="12">
        <v>46120.732418981483</v>
      </c>
      <c r="L667" s="6" t="e" cm="1">
        <f t="array" ref="L667">LOOKUP(2^15,SEARCH(Tabela2[Palavras-Chave],Boletim4[[#This Row],[Objeto]],1),Tabela2[Palavras-Chave])</f>
        <v>#N/A</v>
      </c>
    </row>
    <row r="668" spans="1:12" ht="57.6" hidden="1" x14ac:dyDescent="0.3">
      <c r="A668" s="5">
        <v>18693926</v>
      </c>
      <c r="B668" s="6" t="s">
        <v>2644</v>
      </c>
      <c r="C668" s="6" t="s">
        <v>1595</v>
      </c>
      <c r="D668" s="8" t="s">
        <v>66</v>
      </c>
      <c r="E668" s="6" t="s">
        <v>109</v>
      </c>
      <c r="F668" s="6" t="s">
        <v>296</v>
      </c>
      <c r="G668" s="11">
        <v>46148.541666666664</v>
      </c>
      <c r="I668" s="10" t="s">
        <v>2645</v>
      </c>
      <c r="J668" s="6" t="s">
        <v>2646</v>
      </c>
      <c r="K668" s="12">
        <v>46120.522962962961</v>
      </c>
      <c r="L668" s="6" t="e" cm="1">
        <f t="array" ref="L668">LOOKUP(2^15,SEARCH(Tabela2[Palavras-Chave],Boletim4[[#This Row],[Objeto]],1),Tabela2[Palavras-Chave])</f>
        <v>#N/A</v>
      </c>
    </row>
    <row r="669" spans="1:12" ht="100.8" hidden="1" x14ac:dyDescent="0.3">
      <c r="A669" s="5">
        <v>18798936</v>
      </c>
      <c r="B669" s="6" t="s">
        <v>2647</v>
      </c>
      <c r="C669" s="6" t="s">
        <v>2648</v>
      </c>
      <c r="D669" s="8" t="s">
        <v>81</v>
      </c>
      <c r="E669" s="6" t="s">
        <v>106</v>
      </c>
      <c r="F669" s="6" t="s">
        <v>296</v>
      </c>
      <c r="G669" s="11">
        <v>46136.333333333336</v>
      </c>
      <c r="I669" s="10" t="s">
        <v>2649</v>
      </c>
      <c r="J669" s="6" t="s">
        <v>2650</v>
      </c>
      <c r="K669" s="12">
        <v>46120.523668981485</v>
      </c>
      <c r="L669" s="6" t="e" cm="1">
        <f t="array" ref="L669">LOOKUP(2^15,SEARCH(Tabela2[Palavras-Chave],Boletim4[[#This Row],[Objeto]],1),Tabela2[Palavras-Chave])</f>
        <v>#N/A</v>
      </c>
    </row>
    <row r="670" spans="1:12" ht="259.2" hidden="1" x14ac:dyDescent="0.3">
      <c r="A670" s="5">
        <v>18795434</v>
      </c>
      <c r="B670" s="6" t="s">
        <v>185</v>
      </c>
      <c r="C670" s="6" t="s">
        <v>186</v>
      </c>
      <c r="D670" s="8" t="s">
        <v>81</v>
      </c>
      <c r="E670" s="6" t="s">
        <v>149</v>
      </c>
      <c r="F670" s="6" t="s">
        <v>296</v>
      </c>
      <c r="G670" s="11" t="s">
        <v>56</v>
      </c>
      <c r="I670" s="10" t="s">
        <v>2651</v>
      </c>
      <c r="J670" s="6" t="s">
        <v>2652</v>
      </c>
      <c r="K670" s="12">
        <v>46120.523680555554</v>
      </c>
      <c r="L670" s="6" t="e" cm="1">
        <f t="array" ref="L670">LOOKUP(2^15,SEARCH(Tabela2[Palavras-Chave],Boletim4[[#This Row],[Objeto]],1),Tabela2[Palavras-Chave])</f>
        <v>#N/A</v>
      </c>
    </row>
    <row r="671" spans="1:12" hidden="1" x14ac:dyDescent="0.3">
      <c r="B671" s="6" t="s">
        <v>36</v>
      </c>
      <c r="C671" s="6" t="s">
        <v>37</v>
      </c>
      <c r="D671" s="8" t="s">
        <v>38</v>
      </c>
      <c r="E671" s="6" t="s">
        <v>39</v>
      </c>
      <c r="F671" s="6" t="s">
        <v>40</v>
      </c>
      <c r="G671" s="11" t="s">
        <v>41</v>
      </c>
      <c r="I671" s="10" t="s">
        <v>42</v>
      </c>
      <c r="J671" s="6" t="s">
        <v>44</v>
      </c>
      <c r="K671" s="12"/>
      <c r="L671" s="6" t="e" cm="1">
        <f t="array" ref="L671">LOOKUP(2^15,SEARCH(Tabela2[Palavras-Chave],Boletim4[[#This Row],[Objeto]],1),Tabela2[Palavras-Chave])</f>
        <v>#N/A</v>
      </c>
    </row>
    <row r="672" spans="1:12" ht="216" hidden="1" x14ac:dyDescent="0.3">
      <c r="A672" s="5">
        <v>18777441</v>
      </c>
      <c r="B672" s="6" t="s">
        <v>305</v>
      </c>
      <c r="C672" s="6" t="s">
        <v>52</v>
      </c>
      <c r="D672" s="8" t="s">
        <v>50</v>
      </c>
      <c r="E672" s="6" t="s">
        <v>465</v>
      </c>
      <c r="F672" s="6" t="s">
        <v>51</v>
      </c>
      <c r="G672" s="11" t="s">
        <v>56</v>
      </c>
      <c r="I672" s="10" t="s">
        <v>466</v>
      </c>
      <c r="J672" s="6" t="s">
        <v>467</v>
      </c>
      <c r="K672" s="12">
        <v>46120.472094907411</v>
      </c>
      <c r="L672" s="6" t="e" cm="1">
        <f t="array" ref="L672">LOOKUP(2^15,SEARCH(Tabela2[Palavras-Chave],Boletim4[[#This Row],[Objeto]],1),Tabela2[Palavras-Chave])</f>
        <v>#N/A</v>
      </c>
    </row>
    <row r="673" spans="1:12" ht="100.8" hidden="1" x14ac:dyDescent="0.3">
      <c r="A673" s="5">
        <v>18801286</v>
      </c>
      <c r="B673" s="6" t="s">
        <v>468</v>
      </c>
      <c r="C673" s="6" t="s">
        <v>52</v>
      </c>
      <c r="D673" s="8" t="s">
        <v>50</v>
      </c>
      <c r="E673" s="6" t="s">
        <v>347</v>
      </c>
      <c r="F673" s="6" t="s">
        <v>51</v>
      </c>
      <c r="G673" s="11">
        <v>46125.333333333336</v>
      </c>
      <c r="I673" s="10" t="s">
        <v>469</v>
      </c>
      <c r="J673" s="6" t="s">
        <v>470</v>
      </c>
      <c r="K673" s="12">
        <v>46120.523009259261</v>
      </c>
      <c r="L673" s="6" t="e" cm="1">
        <f t="array" ref="L673">LOOKUP(2^15,SEARCH(Tabela2[Palavras-Chave],Boletim4[[#This Row],[Objeto]],1),Tabela2[Palavras-Chave])</f>
        <v>#N/A</v>
      </c>
    </row>
    <row r="674" spans="1:12" ht="57.6" hidden="1" x14ac:dyDescent="0.3">
      <c r="A674" s="5">
        <v>18752505</v>
      </c>
      <c r="B674" s="6" t="s">
        <v>305</v>
      </c>
      <c r="C674" s="6" t="s">
        <v>52</v>
      </c>
      <c r="D674" s="8" t="s">
        <v>50</v>
      </c>
      <c r="E674" s="6" t="s">
        <v>306</v>
      </c>
      <c r="F674" s="6" t="s">
        <v>51</v>
      </c>
      <c r="G674" s="11" t="s">
        <v>56</v>
      </c>
      <c r="I674" s="10" t="s">
        <v>307</v>
      </c>
      <c r="J674" s="6" t="s">
        <v>429</v>
      </c>
      <c r="K674" s="12">
        <v>46120.693090277775</v>
      </c>
      <c r="L674" s="6" t="e" cm="1">
        <f t="array" ref="L674">LOOKUP(2^15,SEARCH(Tabela2[Palavras-Chave],Boletim4[[#This Row],[Objeto]],1),Tabela2[Palavras-Chave])</f>
        <v>#N/A</v>
      </c>
    </row>
    <row r="675" spans="1:12" ht="57.6" hidden="1" x14ac:dyDescent="0.3">
      <c r="A675" s="5">
        <v>18804806</v>
      </c>
      <c r="B675" s="6" t="s">
        <v>305</v>
      </c>
      <c r="C675" s="6" t="s">
        <v>52</v>
      </c>
      <c r="D675" s="8" t="s">
        <v>50</v>
      </c>
      <c r="E675" s="6" t="s">
        <v>2653</v>
      </c>
      <c r="F675" s="6" t="s">
        <v>51</v>
      </c>
      <c r="G675" s="11" t="s">
        <v>56</v>
      </c>
      <c r="I675" s="10" t="s">
        <v>2654</v>
      </c>
      <c r="J675" s="6" t="s">
        <v>2655</v>
      </c>
      <c r="K675" s="12">
        <v>46120.71503472222</v>
      </c>
      <c r="L675" s="6" t="e" cm="1">
        <f t="array" ref="L675">LOOKUP(2^15,SEARCH(Tabela2[Palavras-Chave],Boletim4[[#This Row],[Objeto]],1),Tabela2[Palavras-Chave])</f>
        <v>#N/A</v>
      </c>
    </row>
    <row r="676" spans="1:12" ht="72" hidden="1" x14ac:dyDescent="0.3">
      <c r="A676" s="5">
        <v>18770012</v>
      </c>
      <c r="B676" s="6" t="s">
        <v>74</v>
      </c>
      <c r="C676" s="6" t="s">
        <v>53</v>
      </c>
      <c r="D676" s="8" t="s">
        <v>54</v>
      </c>
      <c r="E676" s="6" t="s">
        <v>471</v>
      </c>
      <c r="F676" s="6" t="s">
        <v>51</v>
      </c>
      <c r="G676" s="11" t="s">
        <v>56</v>
      </c>
      <c r="I676" s="10" t="s">
        <v>472</v>
      </c>
      <c r="J676" s="6" t="s">
        <v>473</v>
      </c>
      <c r="K676" s="12">
        <v>46120.468136574076</v>
      </c>
      <c r="L676" s="6" t="e" cm="1">
        <f t="array" ref="L676">LOOKUP(2^15,SEARCH(Tabela2[Palavras-Chave],Boletim4[[#This Row],[Objeto]],1),Tabela2[Palavras-Chave])</f>
        <v>#N/A</v>
      </c>
    </row>
    <row r="677" spans="1:12" ht="28.8" hidden="1" x14ac:dyDescent="0.3">
      <c r="A677" s="5">
        <v>18699682</v>
      </c>
      <c r="B677" s="6" t="s">
        <v>474</v>
      </c>
      <c r="C677" s="6" t="s">
        <v>475</v>
      </c>
      <c r="D677" s="8" t="s">
        <v>54</v>
      </c>
      <c r="E677" s="6" t="s">
        <v>55</v>
      </c>
      <c r="F677" s="6" t="s">
        <v>51</v>
      </c>
      <c r="G677" s="11" t="s">
        <v>56</v>
      </c>
      <c r="I677" s="10" t="s">
        <v>476</v>
      </c>
      <c r="J677" s="6" t="s">
        <v>138</v>
      </c>
      <c r="K677" s="12">
        <v>46120.502847222226</v>
      </c>
      <c r="L677" s="6" t="e" cm="1">
        <f t="array" ref="L677">LOOKUP(2^15,SEARCH(Tabela2[Palavras-Chave],Boletim4[[#This Row],[Objeto]],1),Tabela2[Palavras-Chave])</f>
        <v>#N/A</v>
      </c>
    </row>
    <row r="678" spans="1:12" ht="172.8" hidden="1" x14ac:dyDescent="0.3">
      <c r="A678" s="5">
        <v>18802205</v>
      </c>
      <c r="B678" s="6" t="s">
        <v>226</v>
      </c>
      <c r="C678" s="6" t="s">
        <v>53</v>
      </c>
      <c r="D678" s="8" t="s">
        <v>54</v>
      </c>
      <c r="E678" s="6" t="s">
        <v>55</v>
      </c>
      <c r="F678" s="6" t="s">
        <v>51</v>
      </c>
      <c r="G678" s="11" t="s">
        <v>56</v>
      </c>
      <c r="I678" s="10" t="s">
        <v>477</v>
      </c>
      <c r="J678" s="6" t="s">
        <v>478</v>
      </c>
      <c r="K678" s="12">
        <v>46120.520532407405</v>
      </c>
      <c r="L678" s="6" t="e" cm="1">
        <f t="array" ref="L678">LOOKUP(2^15,SEARCH(Tabela2[Palavras-Chave],Boletim4[[#This Row],[Objeto]],1),Tabela2[Palavras-Chave])</f>
        <v>#N/A</v>
      </c>
    </row>
    <row r="679" spans="1:12" ht="172.8" hidden="1" x14ac:dyDescent="0.3">
      <c r="A679" s="5">
        <v>18802216</v>
      </c>
      <c r="B679" s="6" t="s">
        <v>226</v>
      </c>
      <c r="C679" s="6" t="s">
        <v>53</v>
      </c>
      <c r="D679" s="8" t="s">
        <v>54</v>
      </c>
      <c r="E679" s="6" t="s">
        <v>55</v>
      </c>
      <c r="F679" s="6" t="s">
        <v>51</v>
      </c>
      <c r="G679" s="11" t="s">
        <v>56</v>
      </c>
      <c r="I679" s="10" t="s">
        <v>479</v>
      </c>
      <c r="J679" s="6" t="s">
        <v>480</v>
      </c>
      <c r="K679" s="12">
        <v>46120.532604166663</v>
      </c>
      <c r="L679" s="6" t="e" cm="1">
        <f t="array" ref="L679">LOOKUP(2^15,SEARCH(Tabela2[Palavras-Chave],Boletim4[[#This Row],[Objeto]],1),Tabela2[Palavras-Chave])</f>
        <v>#N/A</v>
      </c>
    </row>
    <row r="680" spans="1:12" ht="409.6" hidden="1" x14ac:dyDescent="0.3">
      <c r="A680" s="5">
        <v>18802589</v>
      </c>
      <c r="B680" s="6" t="s">
        <v>481</v>
      </c>
      <c r="C680" s="6" t="s">
        <v>53</v>
      </c>
      <c r="D680" s="8" t="s">
        <v>54</v>
      </c>
      <c r="E680" s="6" t="s">
        <v>352</v>
      </c>
      <c r="F680" s="6" t="s">
        <v>51</v>
      </c>
      <c r="G680" s="11" t="s">
        <v>56</v>
      </c>
      <c r="I680" s="10" t="s">
        <v>482</v>
      </c>
      <c r="J680" s="6" t="s">
        <v>483</v>
      </c>
      <c r="K680" s="12">
        <v>46120.534618055557</v>
      </c>
      <c r="L680" s="6" t="e" cm="1">
        <f t="array" ref="L680">LOOKUP(2^15,SEARCH(Tabela2[Palavras-Chave],Boletim4[[#This Row],[Objeto]],1),Tabela2[Palavras-Chave])</f>
        <v>#N/A</v>
      </c>
    </row>
    <row r="681" spans="1:12" ht="144" hidden="1" x14ac:dyDescent="0.3">
      <c r="A681" s="5">
        <v>18803378</v>
      </c>
      <c r="B681" s="6" t="s">
        <v>2656</v>
      </c>
      <c r="C681" s="6" t="s">
        <v>2657</v>
      </c>
      <c r="D681" s="8" t="s">
        <v>54</v>
      </c>
      <c r="E681" s="6" t="s">
        <v>198</v>
      </c>
      <c r="F681" s="6" t="s">
        <v>51</v>
      </c>
      <c r="G681" s="11" t="s">
        <v>56</v>
      </c>
      <c r="I681" s="10" t="s">
        <v>2658</v>
      </c>
      <c r="J681" s="6" t="s">
        <v>2659</v>
      </c>
      <c r="K681" s="12">
        <v>46120.557476851849</v>
      </c>
      <c r="L681" s="6" t="e" cm="1">
        <f t="array" ref="L681">LOOKUP(2^15,SEARCH(Tabela2[Palavras-Chave],Boletim4[[#This Row],[Objeto]],1),Tabela2[Palavras-Chave])</f>
        <v>#N/A</v>
      </c>
    </row>
    <row r="682" spans="1:12" ht="28.8" hidden="1" x14ac:dyDescent="0.3">
      <c r="A682" s="5">
        <v>18789570</v>
      </c>
      <c r="B682" s="6" t="s">
        <v>484</v>
      </c>
      <c r="C682" s="6" t="s">
        <v>243</v>
      </c>
      <c r="D682" s="8" t="s">
        <v>54</v>
      </c>
      <c r="E682" s="6" t="s">
        <v>55</v>
      </c>
      <c r="F682" s="6" t="s">
        <v>51</v>
      </c>
      <c r="G682" s="11" t="s">
        <v>56</v>
      </c>
      <c r="I682" s="10" t="s">
        <v>485</v>
      </c>
      <c r="J682" s="6" t="s">
        <v>138</v>
      </c>
      <c r="K682" s="12">
        <v>46120.578518518516</v>
      </c>
      <c r="L682" s="6" t="e" cm="1">
        <f t="array" ref="L682">LOOKUP(2^15,SEARCH(Tabela2[Palavras-Chave],Boletim4[[#This Row],[Objeto]],1),Tabela2[Palavras-Chave])</f>
        <v>#N/A</v>
      </c>
    </row>
    <row r="683" spans="1:12" ht="43.2" hidden="1" x14ac:dyDescent="0.3">
      <c r="A683" s="5">
        <v>18769576</v>
      </c>
      <c r="B683" s="6" t="s">
        <v>474</v>
      </c>
      <c r="C683" s="6" t="s">
        <v>475</v>
      </c>
      <c r="D683" s="8" t="s">
        <v>54</v>
      </c>
      <c r="E683" s="6" t="s">
        <v>55</v>
      </c>
      <c r="F683" s="6" t="s">
        <v>51</v>
      </c>
      <c r="G683" s="11" t="s">
        <v>56</v>
      </c>
      <c r="I683" s="10" t="s">
        <v>486</v>
      </c>
      <c r="J683" s="6" t="s">
        <v>179</v>
      </c>
      <c r="K683" s="12">
        <v>46120.580509259256</v>
      </c>
      <c r="L683" s="6" t="e" cm="1">
        <f t="array" ref="L683">LOOKUP(2^15,SEARCH(Tabela2[Palavras-Chave],Boletim4[[#This Row],[Objeto]],1),Tabela2[Palavras-Chave])</f>
        <v>#N/A</v>
      </c>
    </row>
    <row r="684" spans="1:12" ht="72" hidden="1" x14ac:dyDescent="0.3">
      <c r="A684" s="5">
        <v>18803765</v>
      </c>
      <c r="B684" s="6" t="s">
        <v>58</v>
      </c>
      <c r="C684" s="6" t="s">
        <v>53</v>
      </c>
      <c r="D684" s="8" t="s">
        <v>54</v>
      </c>
      <c r="E684" s="6" t="s">
        <v>487</v>
      </c>
      <c r="F684" s="6" t="s">
        <v>51</v>
      </c>
      <c r="G684" s="11" t="s">
        <v>56</v>
      </c>
      <c r="I684" s="10" t="s">
        <v>488</v>
      </c>
      <c r="J684" s="6" t="s">
        <v>489</v>
      </c>
      <c r="K684" s="12">
        <v>46120.588240740741</v>
      </c>
      <c r="L684" s="6" t="e" cm="1">
        <f t="array" ref="L684">LOOKUP(2^15,SEARCH(Tabela2[Palavras-Chave],Boletim4[[#This Row],[Objeto]],1),Tabela2[Palavras-Chave])</f>
        <v>#N/A</v>
      </c>
    </row>
    <row r="685" spans="1:12" ht="72" hidden="1" x14ac:dyDescent="0.3">
      <c r="A685" s="13">
        <v>18803780</v>
      </c>
      <c r="B685" s="10" t="s">
        <v>431</v>
      </c>
      <c r="C685" s="10" t="s">
        <v>53</v>
      </c>
      <c r="D685" s="15" t="s">
        <v>54</v>
      </c>
      <c r="E685" s="10" t="s">
        <v>490</v>
      </c>
      <c r="F685" s="10" t="s">
        <v>51</v>
      </c>
      <c r="G685" s="16" t="s">
        <v>56</v>
      </c>
      <c r="H685" s="24"/>
      <c r="I685" s="10" t="s">
        <v>491</v>
      </c>
      <c r="J685" s="10" t="s">
        <v>492</v>
      </c>
      <c r="K685" s="17">
        <v>46120.595381944448</v>
      </c>
      <c r="L685" s="6" t="e" cm="1">
        <f t="array" ref="L685">LOOKUP(2^15,SEARCH(Tabela2[Palavras-Chave],Boletim4[[#This Row],[Objeto]],1),Tabela2[Palavras-Chave])</f>
        <v>#N/A</v>
      </c>
    </row>
    <row r="686" spans="1:12" ht="72" hidden="1" x14ac:dyDescent="0.3">
      <c r="A686" s="5">
        <v>18803774</v>
      </c>
      <c r="B686" s="6" t="s">
        <v>150</v>
      </c>
      <c r="C686" s="6" t="s">
        <v>57</v>
      </c>
      <c r="D686" s="8" t="s">
        <v>54</v>
      </c>
      <c r="E686" s="6" t="s">
        <v>493</v>
      </c>
      <c r="F686" s="6" t="s">
        <v>51</v>
      </c>
      <c r="G686" s="11" t="s">
        <v>56</v>
      </c>
      <c r="I686" s="10" t="s">
        <v>494</v>
      </c>
      <c r="J686" s="6" t="s">
        <v>495</v>
      </c>
      <c r="K686" s="12">
        <v>46120.599560185183</v>
      </c>
      <c r="L686" s="6" t="e" cm="1">
        <f t="array" ref="L686">LOOKUP(2^15,SEARCH(Tabela2[Palavras-Chave],Boletim4[[#This Row],[Objeto]],1),Tabela2[Palavras-Chave])</f>
        <v>#N/A</v>
      </c>
    </row>
    <row r="687" spans="1:12" ht="86.4" hidden="1" x14ac:dyDescent="0.3">
      <c r="A687" s="5">
        <v>18656484</v>
      </c>
      <c r="B687" s="6" t="s">
        <v>150</v>
      </c>
      <c r="C687" s="6" t="s">
        <v>57</v>
      </c>
      <c r="D687" s="8" t="s">
        <v>54</v>
      </c>
      <c r="E687" s="6" t="s">
        <v>496</v>
      </c>
      <c r="F687" s="6" t="s">
        <v>51</v>
      </c>
      <c r="G687" s="11" t="s">
        <v>56</v>
      </c>
      <c r="I687" s="10" t="s">
        <v>497</v>
      </c>
      <c r="J687" s="6" t="s">
        <v>498</v>
      </c>
      <c r="K687" s="12">
        <v>46120.636157407411</v>
      </c>
      <c r="L687" s="6" t="e" cm="1">
        <f t="array" ref="L687">LOOKUP(2^15,SEARCH(Tabela2[Palavras-Chave],Boletim4[[#This Row],[Objeto]],1),Tabela2[Palavras-Chave])</f>
        <v>#N/A</v>
      </c>
    </row>
    <row r="688" spans="1:12" ht="86.4" hidden="1" x14ac:dyDescent="0.3">
      <c r="A688" s="5">
        <v>18712650</v>
      </c>
      <c r="B688" s="6" t="s">
        <v>150</v>
      </c>
      <c r="C688" s="6" t="s">
        <v>57</v>
      </c>
      <c r="D688" s="8" t="s">
        <v>54</v>
      </c>
      <c r="E688" s="6" t="s">
        <v>499</v>
      </c>
      <c r="F688" s="6" t="s">
        <v>51</v>
      </c>
      <c r="G688" s="11" t="s">
        <v>56</v>
      </c>
      <c r="I688" s="10" t="s">
        <v>500</v>
      </c>
      <c r="J688" s="6" t="s">
        <v>501</v>
      </c>
      <c r="K688" s="12">
        <v>46120.637557870374</v>
      </c>
      <c r="L688" s="6" t="e" cm="1">
        <f t="array" ref="L688">LOOKUP(2^15,SEARCH(Tabela2[Palavras-Chave],Boletim4[[#This Row],[Objeto]],1),Tabela2[Palavras-Chave])</f>
        <v>#N/A</v>
      </c>
    </row>
    <row r="689" spans="1:12" ht="86.4" hidden="1" x14ac:dyDescent="0.3">
      <c r="A689" s="5">
        <v>18761660</v>
      </c>
      <c r="B689" s="6" t="s">
        <v>150</v>
      </c>
      <c r="C689" s="6" t="s">
        <v>57</v>
      </c>
      <c r="D689" s="8" t="s">
        <v>54</v>
      </c>
      <c r="E689" s="6" t="s">
        <v>502</v>
      </c>
      <c r="F689" s="6" t="s">
        <v>51</v>
      </c>
      <c r="G689" s="11" t="s">
        <v>56</v>
      </c>
      <c r="I689" s="10" t="s">
        <v>312</v>
      </c>
      <c r="J689" s="6" t="s">
        <v>503</v>
      </c>
      <c r="K689" s="12">
        <v>46120.641724537039</v>
      </c>
      <c r="L689" s="6" t="e" cm="1">
        <f t="array" ref="L689">LOOKUP(2^15,SEARCH(Tabela2[Palavras-Chave],Boletim4[[#This Row],[Objeto]],1),Tabela2[Palavras-Chave])</f>
        <v>#N/A</v>
      </c>
    </row>
    <row r="690" spans="1:12" ht="86.4" hidden="1" x14ac:dyDescent="0.3">
      <c r="A690" s="5">
        <v>18767304</v>
      </c>
      <c r="B690" s="6" t="s">
        <v>150</v>
      </c>
      <c r="C690" s="6" t="s">
        <v>57</v>
      </c>
      <c r="D690" s="8" t="s">
        <v>54</v>
      </c>
      <c r="E690" s="6" t="s">
        <v>504</v>
      </c>
      <c r="F690" s="6" t="s">
        <v>51</v>
      </c>
      <c r="G690" s="11" t="s">
        <v>56</v>
      </c>
      <c r="I690" s="10" t="s">
        <v>505</v>
      </c>
      <c r="J690" s="6" t="s">
        <v>506</v>
      </c>
      <c r="K690" s="12">
        <v>46120.643113425926</v>
      </c>
      <c r="L690" s="6" t="e" cm="1">
        <f t="array" ref="L690">LOOKUP(2^15,SEARCH(Tabela2[Palavras-Chave],Boletim4[[#This Row],[Objeto]],1),Tabela2[Palavras-Chave])</f>
        <v>#N/A</v>
      </c>
    </row>
    <row r="691" spans="1:12" ht="86.4" hidden="1" x14ac:dyDescent="0.3">
      <c r="A691" s="13">
        <v>18776696</v>
      </c>
      <c r="B691" s="10" t="s">
        <v>150</v>
      </c>
      <c r="C691" s="10" t="s">
        <v>57</v>
      </c>
      <c r="D691" s="15" t="s">
        <v>54</v>
      </c>
      <c r="E691" s="10" t="s">
        <v>507</v>
      </c>
      <c r="F691" s="10" t="s">
        <v>51</v>
      </c>
      <c r="G691" s="16" t="s">
        <v>56</v>
      </c>
      <c r="H691" s="24"/>
      <c r="I691" s="10" t="s">
        <v>508</v>
      </c>
      <c r="J691" s="10" t="s">
        <v>509</v>
      </c>
      <c r="K691" s="17">
        <v>46120.643125000002</v>
      </c>
      <c r="L691" s="6" t="e" cm="1">
        <f t="array" ref="L691">LOOKUP(2^15,SEARCH(Tabela2[Palavras-Chave],Boletim4[[#This Row],[Objeto]],1),Tabela2[Palavras-Chave])</f>
        <v>#N/A</v>
      </c>
    </row>
    <row r="692" spans="1:12" ht="86.4" hidden="1" x14ac:dyDescent="0.3">
      <c r="A692" s="5">
        <v>18712649</v>
      </c>
      <c r="B692" s="6" t="s">
        <v>150</v>
      </c>
      <c r="C692" s="6" t="s">
        <v>57</v>
      </c>
      <c r="D692" s="8" t="s">
        <v>54</v>
      </c>
      <c r="E692" s="6" t="s">
        <v>510</v>
      </c>
      <c r="F692" s="6" t="s">
        <v>51</v>
      </c>
      <c r="G692" s="11" t="s">
        <v>56</v>
      </c>
      <c r="I692" s="10" t="s">
        <v>511</v>
      </c>
      <c r="J692" s="6" t="s">
        <v>512</v>
      </c>
      <c r="K692" s="12">
        <v>46120.647951388892</v>
      </c>
      <c r="L692" s="6" t="e" cm="1">
        <f t="array" ref="L692">LOOKUP(2^15,SEARCH(Tabela2[Palavras-Chave],Boletim4[[#This Row],[Objeto]],1),Tabela2[Palavras-Chave])</f>
        <v>#N/A</v>
      </c>
    </row>
    <row r="693" spans="1:12" ht="86.4" hidden="1" x14ac:dyDescent="0.3">
      <c r="A693" s="5">
        <v>18767307</v>
      </c>
      <c r="B693" s="6" t="s">
        <v>150</v>
      </c>
      <c r="C693" s="6" t="s">
        <v>57</v>
      </c>
      <c r="D693" s="8" t="s">
        <v>54</v>
      </c>
      <c r="E693" s="6" t="s">
        <v>513</v>
      </c>
      <c r="F693" s="6" t="s">
        <v>51</v>
      </c>
      <c r="G693" s="11" t="s">
        <v>56</v>
      </c>
      <c r="I693" s="10" t="s">
        <v>514</v>
      </c>
      <c r="J693" s="6" t="s">
        <v>515</v>
      </c>
      <c r="K693" s="12">
        <v>46120.648634259262</v>
      </c>
      <c r="L693" s="6" t="e" cm="1">
        <f t="array" ref="L693">LOOKUP(2^15,SEARCH(Tabela2[Palavras-Chave],Boletim4[[#This Row],[Objeto]],1),Tabela2[Palavras-Chave])</f>
        <v>#N/A</v>
      </c>
    </row>
    <row r="694" spans="1:12" ht="86.4" hidden="1" x14ac:dyDescent="0.3">
      <c r="A694" s="5">
        <v>18767303</v>
      </c>
      <c r="B694" s="6" t="s">
        <v>150</v>
      </c>
      <c r="C694" s="6" t="s">
        <v>57</v>
      </c>
      <c r="D694" s="8" t="s">
        <v>54</v>
      </c>
      <c r="E694" s="6" t="s">
        <v>516</v>
      </c>
      <c r="F694" s="6" t="s">
        <v>51</v>
      </c>
      <c r="G694" s="11" t="s">
        <v>56</v>
      </c>
      <c r="I694" s="10" t="s">
        <v>517</v>
      </c>
      <c r="J694" s="6" t="s">
        <v>518</v>
      </c>
      <c r="K694" s="12">
        <v>46120.650069444448</v>
      </c>
      <c r="L694" s="6" t="e" cm="1">
        <f t="array" ref="L694">LOOKUP(2^15,SEARCH(Tabela2[Palavras-Chave],Boletim4[[#This Row],[Objeto]],1),Tabela2[Palavras-Chave])</f>
        <v>#N/A</v>
      </c>
    </row>
    <row r="695" spans="1:12" ht="86.4" hidden="1" x14ac:dyDescent="0.3">
      <c r="A695" s="5">
        <v>18782354</v>
      </c>
      <c r="B695" s="6" t="s">
        <v>58</v>
      </c>
      <c r="C695" s="6" t="s">
        <v>53</v>
      </c>
      <c r="D695" s="8" t="s">
        <v>54</v>
      </c>
      <c r="E695" s="6" t="s">
        <v>519</v>
      </c>
      <c r="F695" s="6" t="s">
        <v>51</v>
      </c>
      <c r="G695" s="11" t="s">
        <v>56</v>
      </c>
      <c r="I695" s="10" t="s">
        <v>520</v>
      </c>
      <c r="J695" s="6" t="s">
        <v>521</v>
      </c>
      <c r="K695" s="12">
        <v>46120.651423611111</v>
      </c>
      <c r="L695" s="6" t="e" cm="1">
        <f t="array" ref="L695">LOOKUP(2^15,SEARCH(Tabela2[Palavras-Chave],Boletim4[[#This Row],[Objeto]],1),Tabela2[Palavras-Chave])</f>
        <v>#N/A</v>
      </c>
    </row>
    <row r="696" spans="1:12" ht="72" hidden="1" x14ac:dyDescent="0.3">
      <c r="A696" s="5">
        <v>18803787</v>
      </c>
      <c r="B696" s="6" t="s">
        <v>150</v>
      </c>
      <c r="C696" s="6" t="s">
        <v>57</v>
      </c>
      <c r="D696" s="8" t="s">
        <v>54</v>
      </c>
      <c r="E696" s="6" t="s">
        <v>2660</v>
      </c>
      <c r="F696" s="6" t="s">
        <v>51</v>
      </c>
      <c r="G696" s="11" t="s">
        <v>56</v>
      </c>
      <c r="I696" s="10" t="s">
        <v>2661</v>
      </c>
      <c r="J696" s="6" t="s">
        <v>2662</v>
      </c>
      <c r="K696" s="12">
        <v>46120.651828703703</v>
      </c>
      <c r="L696" s="6" t="e" cm="1">
        <f t="array" ref="L696">LOOKUP(2^15,SEARCH(Tabela2[Palavras-Chave],Boletim4[[#This Row],[Objeto]],1),Tabela2[Palavras-Chave])</f>
        <v>#N/A</v>
      </c>
    </row>
    <row r="697" spans="1:12" ht="100.8" hidden="1" x14ac:dyDescent="0.3">
      <c r="A697" s="5">
        <v>18762141</v>
      </c>
      <c r="B697" s="6" t="s">
        <v>522</v>
      </c>
      <c r="C697" s="6" t="s">
        <v>523</v>
      </c>
      <c r="D697" s="8" t="s">
        <v>54</v>
      </c>
      <c r="E697" s="6" t="s">
        <v>126</v>
      </c>
      <c r="F697" s="6" t="s">
        <v>51</v>
      </c>
      <c r="G697" s="11" t="s">
        <v>56</v>
      </c>
      <c r="I697" s="10" t="s">
        <v>524</v>
      </c>
      <c r="J697" s="6" t="s">
        <v>525</v>
      </c>
      <c r="K697" s="12">
        <v>46120.654803240737</v>
      </c>
      <c r="L697" s="6" t="e" cm="1">
        <f t="array" ref="L697">LOOKUP(2^15,SEARCH(Tabela2[Palavras-Chave],Boletim4[[#This Row],[Objeto]],1),Tabela2[Palavras-Chave])</f>
        <v>#N/A</v>
      </c>
    </row>
    <row r="698" spans="1:12" ht="86.4" hidden="1" x14ac:dyDescent="0.3">
      <c r="A698" s="5">
        <v>18779282</v>
      </c>
      <c r="B698" s="6" t="s">
        <v>150</v>
      </c>
      <c r="C698" s="6" t="s">
        <v>57</v>
      </c>
      <c r="D698" s="8" t="s">
        <v>54</v>
      </c>
      <c r="E698" s="6" t="s">
        <v>526</v>
      </c>
      <c r="F698" s="6" t="s">
        <v>51</v>
      </c>
      <c r="G698" s="11" t="s">
        <v>56</v>
      </c>
      <c r="I698" s="10" t="s">
        <v>527</v>
      </c>
      <c r="J698" s="6" t="s">
        <v>528</v>
      </c>
      <c r="K698" s="12">
        <v>46120.655081018522</v>
      </c>
      <c r="L698" s="6" t="e" cm="1">
        <f t="array" ref="L698">LOOKUP(2^15,SEARCH(Tabela2[Palavras-Chave],Boletim4[[#This Row],[Objeto]],1),Tabela2[Palavras-Chave])</f>
        <v>#N/A</v>
      </c>
    </row>
    <row r="699" spans="1:12" ht="72" hidden="1" x14ac:dyDescent="0.3">
      <c r="A699" s="5">
        <v>18803763</v>
      </c>
      <c r="B699" s="6" t="s">
        <v>150</v>
      </c>
      <c r="C699" s="6" t="s">
        <v>57</v>
      </c>
      <c r="D699" s="8" t="s">
        <v>54</v>
      </c>
      <c r="E699" s="6" t="s">
        <v>529</v>
      </c>
      <c r="F699" s="6" t="s">
        <v>51</v>
      </c>
      <c r="G699" s="11" t="s">
        <v>56</v>
      </c>
      <c r="I699" s="10" t="s">
        <v>310</v>
      </c>
      <c r="J699" s="6" t="s">
        <v>530</v>
      </c>
      <c r="K699" s="12">
        <v>46120.659490740742</v>
      </c>
      <c r="L699" s="6" t="e" cm="1">
        <f t="array" ref="L699">LOOKUP(2^15,SEARCH(Tabela2[Palavras-Chave],Boletim4[[#This Row],[Objeto]],1),Tabela2[Palavras-Chave])</f>
        <v>#N/A</v>
      </c>
    </row>
    <row r="700" spans="1:12" ht="72" hidden="1" x14ac:dyDescent="0.3">
      <c r="A700" s="5">
        <v>18803768</v>
      </c>
      <c r="B700" s="6" t="s">
        <v>153</v>
      </c>
      <c r="C700" s="6" t="s">
        <v>53</v>
      </c>
      <c r="D700" s="8" t="s">
        <v>54</v>
      </c>
      <c r="E700" s="6" t="s">
        <v>531</v>
      </c>
      <c r="F700" s="6" t="s">
        <v>51</v>
      </c>
      <c r="G700" s="11" t="s">
        <v>56</v>
      </c>
      <c r="I700" s="10" t="s">
        <v>532</v>
      </c>
      <c r="J700" s="6" t="s">
        <v>533</v>
      </c>
      <c r="K700" s="12">
        <v>46120.661516203705</v>
      </c>
      <c r="L700" s="6" t="e" cm="1">
        <f t="array" ref="L700">LOOKUP(2^15,SEARCH(Tabela2[Palavras-Chave],Boletim4[[#This Row],[Objeto]],1),Tabela2[Palavras-Chave])</f>
        <v>#N/A</v>
      </c>
    </row>
    <row r="701" spans="1:12" ht="86.4" hidden="1" x14ac:dyDescent="0.3">
      <c r="A701" s="5">
        <v>18735264</v>
      </c>
      <c r="B701" s="6" t="s">
        <v>150</v>
      </c>
      <c r="C701" s="6" t="s">
        <v>57</v>
      </c>
      <c r="D701" s="8" t="s">
        <v>54</v>
      </c>
      <c r="E701" s="6" t="s">
        <v>2663</v>
      </c>
      <c r="F701" s="6" t="s">
        <v>51</v>
      </c>
      <c r="G701" s="11" t="s">
        <v>56</v>
      </c>
      <c r="I701" s="10" t="s">
        <v>2664</v>
      </c>
      <c r="J701" s="6" t="s">
        <v>2665</v>
      </c>
      <c r="K701" s="12">
        <v>46120.664618055554</v>
      </c>
      <c r="L701" s="6" t="e" cm="1">
        <f t="array" ref="L701">LOOKUP(2^15,SEARCH(Tabela2[Palavras-Chave],Boletim4[[#This Row],[Objeto]],1),Tabela2[Palavras-Chave])</f>
        <v>#N/A</v>
      </c>
    </row>
    <row r="702" spans="1:12" ht="86.4" hidden="1" x14ac:dyDescent="0.3">
      <c r="A702" s="5">
        <v>18776645</v>
      </c>
      <c r="B702" s="6" t="s">
        <v>58</v>
      </c>
      <c r="C702" s="6" t="s">
        <v>53</v>
      </c>
      <c r="D702" s="8" t="s">
        <v>54</v>
      </c>
      <c r="E702" s="6" t="s">
        <v>2666</v>
      </c>
      <c r="F702" s="6" t="s">
        <v>51</v>
      </c>
      <c r="G702" s="11" t="s">
        <v>56</v>
      </c>
      <c r="I702" s="10" t="s">
        <v>2667</v>
      </c>
      <c r="J702" s="6" t="s">
        <v>2668</v>
      </c>
      <c r="K702" s="12">
        <v>46120.664618055554</v>
      </c>
      <c r="L702" s="6" t="e" cm="1">
        <f t="array" ref="L702">LOOKUP(2^15,SEARCH(Tabela2[Palavras-Chave],Boletim4[[#This Row],[Objeto]],1),Tabela2[Palavras-Chave])</f>
        <v>#N/A</v>
      </c>
    </row>
    <row r="703" spans="1:12" ht="86.4" hidden="1" x14ac:dyDescent="0.3">
      <c r="A703" s="5">
        <v>18722784</v>
      </c>
      <c r="B703" s="6" t="s">
        <v>431</v>
      </c>
      <c r="C703" s="6" t="s">
        <v>53</v>
      </c>
      <c r="D703" s="8" t="s">
        <v>54</v>
      </c>
      <c r="E703" s="6" t="s">
        <v>2669</v>
      </c>
      <c r="F703" s="6" t="s">
        <v>51</v>
      </c>
      <c r="G703" s="11" t="s">
        <v>56</v>
      </c>
      <c r="I703" s="10" t="s">
        <v>432</v>
      </c>
      <c r="J703" s="6" t="s">
        <v>2670</v>
      </c>
      <c r="K703" s="12">
        <v>46120.665312500001</v>
      </c>
      <c r="L703" s="6" t="e" cm="1">
        <f t="array" ref="L703">LOOKUP(2^15,SEARCH(Tabela2[Palavras-Chave],Boletim4[[#This Row],[Objeto]],1),Tabela2[Palavras-Chave])</f>
        <v>#N/A</v>
      </c>
    </row>
    <row r="704" spans="1:12" ht="28.8" hidden="1" x14ac:dyDescent="0.3">
      <c r="A704" s="5">
        <v>18745100</v>
      </c>
      <c r="B704" s="6" t="s">
        <v>484</v>
      </c>
      <c r="C704" s="6" t="s">
        <v>243</v>
      </c>
      <c r="D704" s="8" t="s">
        <v>54</v>
      </c>
      <c r="E704" s="6" t="s">
        <v>55</v>
      </c>
      <c r="F704" s="6" t="s">
        <v>51</v>
      </c>
      <c r="G704" s="11" t="s">
        <v>56</v>
      </c>
      <c r="I704" s="10" t="s">
        <v>534</v>
      </c>
      <c r="J704" s="6" t="s">
        <v>138</v>
      </c>
      <c r="K704" s="12">
        <v>46120.672951388886</v>
      </c>
      <c r="L704" s="6" t="e" cm="1">
        <f t="array" ref="L704">LOOKUP(2^15,SEARCH(Tabela2[Palavras-Chave],Boletim4[[#This Row],[Objeto]],1),Tabela2[Palavras-Chave])</f>
        <v>#N/A</v>
      </c>
    </row>
    <row r="705" spans="1:12" ht="72" hidden="1" x14ac:dyDescent="0.3">
      <c r="A705" s="5">
        <v>18791739</v>
      </c>
      <c r="B705" s="6" t="s">
        <v>293</v>
      </c>
      <c r="C705" s="6" t="s">
        <v>53</v>
      </c>
      <c r="D705" s="8" t="s">
        <v>54</v>
      </c>
      <c r="E705" s="6" t="s">
        <v>2671</v>
      </c>
      <c r="F705" s="6" t="s">
        <v>51</v>
      </c>
      <c r="G705" s="11" t="s">
        <v>56</v>
      </c>
      <c r="I705" s="10" t="s">
        <v>2672</v>
      </c>
      <c r="J705" s="6" t="s">
        <v>2673</v>
      </c>
      <c r="K705" s="12">
        <v>46120.674328703702</v>
      </c>
      <c r="L705" s="6" t="e" cm="1">
        <f t="array" ref="L705">LOOKUP(2^15,SEARCH(Tabela2[Palavras-Chave],Boletim4[[#This Row],[Objeto]],1),Tabela2[Palavras-Chave])</f>
        <v>#N/A</v>
      </c>
    </row>
    <row r="706" spans="1:12" ht="86.4" hidden="1" x14ac:dyDescent="0.3">
      <c r="A706" s="5">
        <v>18568049</v>
      </c>
      <c r="B706" s="6" t="s">
        <v>58</v>
      </c>
      <c r="C706" s="6" t="s">
        <v>53</v>
      </c>
      <c r="D706" s="8" t="s">
        <v>54</v>
      </c>
      <c r="E706" s="6" t="s">
        <v>2674</v>
      </c>
      <c r="F706" s="6" t="s">
        <v>51</v>
      </c>
      <c r="G706" s="11" t="s">
        <v>56</v>
      </c>
      <c r="I706" s="10" t="s">
        <v>2675</v>
      </c>
      <c r="J706" s="6" t="s">
        <v>2676</v>
      </c>
      <c r="K706" s="12">
        <v>46120.694965277777</v>
      </c>
      <c r="L706" s="6" t="e" cm="1">
        <f t="array" ref="L706">LOOKUP(2^15,SEARCH(Tabela2[Palavras-Chave],Boletim4[[#This Row],[Objeto]],1),Tabela2[Palavras-Chave])</f>
        <v>#N/A</v>
      </c>
    </row>
    <row r="707" spans="1:12" ht="86.4" hidden="1" x14ac:dyDescent="0.3">
      <c r="A707" s="5">
        <v>18702262</v>
      </c>
      <c r="B707" s="6" t="s">
        <v>150</v>
      </c>
      <c r="C707" s="6" t="s">
        <v>57</v>
      </c>
      <c r="D707" s="8" t="s">
        <v>54</v>
      </c>
      <c r="E707" s="6" t="s">
        <v>2677</v>
      </c>
      <c r="F707" s="6" t="s">
        <v>51</v>
      </c>
      <c r="G707" s="11" t="s">
        <v>56</v>
      </c>
      <c r="I707" s="10" t="s">
        <v>2678</v>
      </c>
      <c r="J707" s="6" t="s">
        <v>2679</v>
      </c>
      <c r="K707" s="12">
        <v>46120.695196759261</v>
      </c>
      <c r="L707" s="6" t="e" cm="1">
        <f t="array" ref="L707">LOOKUP(2^15,SEARCH(Tabela2[Palavras-Chave],Boletim4[[#This Row],[Objeto]],1),Tabela2[Palavras-Chave])</f>
        <v>#N/A</v>
      </c>
    </row>
    <row r="708" spans="1:12" ht="86.4" hidden="1" x14ac:dyDescent="0.3">
      <c r="A708" s="5">
        <v>18786773</v>
      </c>
      <c r="B708" s="6" t="s">
        <v>150</v>
      </c>
      <c r="C708" s="6" t="s">
        <v>57</v>
      </c>
      <c r="D708" s="8" t="s">
        <v>54</v>
      </c>
      <c r="E708" s="6" t="s">
        <v>535</v>
      </c>
      <c r="F708" s="6" t="s">
        <v>51</v>
      </c>
      <c r="G708" s="11" t="s">
        <v>56</v>
      </c>
      <c r="I708" s="10" t="s">
        <v>536</v>
      </c>
      <c r="J708" s="6" t="s">
        <v>537</v>
      </c>
      <c r="K708" s="12">
        <v>46120.696134259262</v>
      </c>
      <c r="L708" s="6" t="e" cm="1">
        <f t="array" ref="L708">LOOKUP(2^15,SEARCH(Tabela2[Palavras-Chave],Boletim4[[#This Row],[Objeto]],1),Tabela2[Palavras-Chave])</f>
        <v>#N/A</v>
      </c>
    </row>
    <row r="709" spans="1:12" ht="86.4" hidden="1" x14ac:dyDescent="0.3">
      <c r="A709" s="5">
        <v>18786774</v>
      </c>
      <c r="B709" s="6" t="s">
        <v>150</v>
      </c>
      <c r="C709" s="6" t="s">
        <v>57</v>
      </c>
      <c r="D709" s="8" t="s">
        <v>54</v>
      </c>
      <c r="E709" s="6" t="s">
        <v>538</v>
      </c>
      <c r="F709" s="6" t="s">
        <v>51</v>
      </c>
      <c r="G709" s="11" t="s">
        <v>56</v>
      </c>
      <c r="I709" s="10" t="s">
        <v>539</v>
      </c>
      <c r="J709" s="6" t="s">
        <v>540</v>
      </c>
      <c r="K709" s="12">
        <v>46120.726423611108</v>
      </c>
      <c r="L709" s="6" t="e" cm="1">
        <f t="array" ref="L709">LOOKUP(2^15,SEARCH(Tabela2[Palavras-Chave],Boletim4[[#This Row],[Objeto]],1),Tabela2[Palavras-Chave])</f>
        <v>#N/A</v>
      </c>
    </row>
    <row r="710" spans="1:12" ht="72" hidden="1" x14ac:dyDescent="0.3">
      <c r="A710" s="5">
        <v>18804611</v>
      </c>
      <c r="B710" s="6" t="s">
        <v>297</v>
      </c>
      <c r="C710" s="6" t="s">
        <v>53</v>
      </c>
      <c r="D710" s="8" t="s">
        <v>54</v>
      </c>
      <c r="E710" s="6" t="s">
        <v>55</v>
      </c>
      <c r="F710" s="6" t="s">
        <v>51</v>
      </c>
      <c r="G710" s="11" t="s">
        <v>56</v>
      </c>
      <c r="I710" s="10" t="s">
        <v>541</v>
      </c>
      <c r="J710" s="6" t="s">
        <v>542</v>
      </c>
      <c r="K710" s="12">
        <v>46120.727164351854</v>
      </c>
      <c r="L710" s="6" t="e" cm="1">
        <f t="array" ref="L710">LOOKUP(2^15,SEARCH(Tabela2[Palavras-Chave],Boletim4[[#This Row],[Objeto]],1),Tabela2[Palavras-Chave])</f>
        <v>#N/A</v>
      </c>
    </row>
    <row r="711" spans="1:12" ht="72" hidden="1" x14ac:dyDescent="0.3">
      <c r="A711" s="5">
        <v>18804856</v>
      </c>
      <c r="B711" s="6" t="s">
        <v>1242</v>
      </c>
      <c r="C711" s="6" t="s">
        <v>1243</v>
      </c>
      <c r="D711" s="8" t="s">
        <v>54</v>
      </c>
      <c r="E711" s="6" t="s">
        <v>2680</v>
      </c>
      <c r="F711" s="6" t="s">
        <v>51</v>
      </c>
      <c r="G711" s="11" t="s">
        <v>56</v>
      </c>
      <c r="I711" s="10" t="s">
        <v>2681</v>
      </c>
      <c r="J711" s="6" t="s">
        <v>2682</v>
      </c>
      <c r="K711" s="12">
        <v>46120.727326388886</v>
      </c>
      <c r="L711" s="6" t="e" cm="1">
        <f t="array" ref="L711">LOOKUP(2^15,SEARCH(Tabela2[Palavras-Chave],Boletim4[[#This Row],[Objeto]],1),Tabela2[Palavras-Chave])</f>
        <v>#N/A</v>
      </c>
    </row>
    <row r="712" spans="1:12" ht="158.4" hidden="1" x14ac:dyDescent="0.3">
      <c r="A712" s="5">
        <v>18805450</v>
      </c>
      <c r="B712" s="6" t="s">
        <v>543</v>
      </c>
      <c r="C712" s="6" t="s">
        <v>53</v>
      </c>
      <c r="D712" s="8" t="s">
        <v>54</v>
      </c>
      <c r="E712" s="6" t="s">
        <v>55</v>
      </c>
      <c r="F712" s="6" t="s">
        <v>51</v>
      </c>
      <c r="G712" s="11" t="s">
        <v>56</v>
      </c>
      <c r="I712" s="10" t="s">
        <v>544</v>
      </c>
      <c r="J712" s="6" t="s">
        <v>545</v>
      </c>
      <c r="K712" s="12">
        <v>46120.729212962964</v>
      </c>
      <c r="L712" s="6" t="e" cm="1">
        <f t="array" ref="L712">LOOKUP(2^15,SEARCH(Tabela2[Palavras-Chave],Boletim4[[#This Row],[Objeto]],1),Tabela2[Palavras-Chave])</f>
        <v>#N/A</v>
      </c>
    </row>
    <row r="713" spans="1:12" ht="158.4" hidden="1" x14ac:dyDescent="0.3">
      <c r="A713" s="5">
        <v>18804863</v>
      </c>
      <c r="B713" s="6" t="s">
        <v>226</v>
      </c>
      <c r="C713" s="6" t="s">
        <v>53</v>
      </c>
      <c r="D713" s="8" t="s">
        <v>54</v>
      </c>
      <c r="E713" s="6" t="s">
        <v>55</v>
      </c>
      <c r="F713" s="6" t="s">
        <v>51</v>
      </c>
      <c r="G713" s="11" t="s">
        <v>56</v>
      </c>
      <c r="I713" s="10" t="s">
        <v>546</v>
      </c>
      <c r="J713" s="6" t="s">
        <v>547</v>
      </c>
      <c r="K713" s="12">
        <v>46120.728680555556</v>
      </c>
      <c r="L713" s="6" t="e" cm="1">
        <f t="array" ref="L713">LOOKUP(2^15,SEARCH(Tabela2[Palavras-Chave],Boletim4[[#This Row],[Objeto]],1),Tabela2[Palavras-Chave])</f>
        <v>#N/A</v>
      </c>
    </row>
    <row r="714" spans="1:12" ht="144" hidden="1" x14ac:dyDescent="0.3">
      <c r="A714" s="5">
        <v>18805447</v>
      </c>
      <c r="B714" s="6" t="s">
        <v>308</v>
      </c>
      <c r="C714" s="6" t="s">
        <v>53</v>
      </c>
      <c r="D714" s="8" t="s">
        <v>54</v>
      </c>
      <c r="E714" s="6" t="s">
        <v>55</v>
      </c>
      <c r="F714" s="6" t="s">
        <v>51</v>
      </c>
      <c r="G714" s="11" t="s">
        <v>56</v>
      </c>
      <c r="I714" s="10" t="s">
        <v>548</v>
      </c>
      <c r="J714" s="6" t="s">
        <v>549</v>
      </c>
      <c r="K714" s="12">
        <v>46120.729884259257</v>
      </c>
      <c r="L714" s="6" t="e" cm="1">
        <f t="array" ref="L714">LOOKUP(2^15,SEARCH(Tabela2[Palavras-Chave],Boletim4[[#This Row],[Objeto]],1),Tabela2[Palavras-Chave])</f>
        <v>#N/A</v>
      </c>
    </row>
    <row r="715" spans="1:12" ht="172.8" hidden="1" x14ac:dyDescent="0.3">
      <c r="A715" s="5">
        <v>18804862</v>
      </c>
      <c r="B715" s="6" t="s">
        <v>226</v>
      </c>
      <c r="C715" s="6" t="s">
        <v>53</v>
      </c>
      <c r="D715" s="8" t="s">
        <v>54</v>
      </c>
      <c r="E715" s="6" t="s">
        <v>55</v>
      </c>
      <c r="F715" s="6" t="s">
        <v>51</v>
      </c>
      <c r="G715" s="11" t="s">
        <v>56</v>
      </c>
      <c r="I715" s="10" t="s">
        <v>550</v>
      </c>
      <c r="J715" s="6" t="s">
        <v>551</v>
      </c>
      <c r="K715" s="12">
        <v>46120.728761574072</v>
      </c>
      <c r="L715" s="6" t="e" cm="1">
        <f t="array" ref="L715">LOOKUP(2^15,SEARCH(Tabela2[Palavras-Chave],Boletim4[[#This Row],[Objeto]],1),Tabela2[Palavras-Chave])</f>
        <v>#N/A</v>
      </c>
    </row>
    <row r="716" spans="1:12" ht="158.4" hidden="1" x14ac:dyDescent="0.3">
      <c r="A716" s="5">
        <v>18805444</v>
      </c>
      <c r="B716" s="6" t="s">
        <v>552</v>
      </c>
      <c r="C716" s="6" t="s">
        <v>53</v>
      </c>
      <c r="D716" s="8" t="s">
        <v>54</v>
      </c>
      <c r="E716" s="6" t="s">
        <v>55</v>
      </c>
      <c r="F716" s="6" t="s">
        <v>51</v>
      </c>
      <c r="G716" s="11" t="s">
        <v>56</v>
      </c>
      <c r="I716" s="10" t="s">
        <v>553</v>
      </c>
      <c r="J716" s="6" t="s">
        <v>554</v>
      </c>
      <c r="K716" s="12">
        <v>46120.729895833334</v>
      </c>
      <c r="L716" s="6" t="e" cm="1">
        <f t="array" ref="L716">LOOKUP(2^15,SEARCH(Tabela2[Palavras-Chave],Boletim4[[#This Row],[Objeto]],1),Tabela2[Palavras-Chave])</f>
        <v>#N/A</v>
      </c>
    </row>
    <row r="717" spans="1:12" ht="158.4" hidden="1" x14ac:dyDescent="0.3">
      <c r="A717" s="5">
        <v>18805456</v>
      </c>
      <c r="B717" s="6" t="s">
        <v>555</v>
      </c>
      <c r="C717" s="6" t="s">
        <v>53</v>
      </c>
      <c r="D717" s="8" t="s">
        <v>54</v>
      </c>
      <c r="E717" s="6" t="s">
        <v>55</v>
      </c>
      <c r="F717" s="6" t="s">
        <v>51</v>
      </c>
      <c r="G717" s="11" t="s">
        <v>56</v>
      </c>
      <c r="I717" s="10" t="s">
        <v>556</v>
      </c>
      <c r="J717" s="6" t="s">
        <v>557</v>
      </c>
      <c r="K717" s="12">
        <v>46120.729895833334</v>
      </c>
      <c r="L717" s="6" t="e" cm="1">
        <f t="array" ref="L717">LOOKUP(2^15,SEARCH(Tabela2[Palavras-Chave],Boletim4[[#This Row],[Objeto]],1),Tabela2[Palavras-Chave])</f>
        <v>#N/A</v>
      </c>
    </row>
    <row r="718" spans="1:12" ht="172.8" hidden="1" x14ac:dyDescent="0.3">
      <c r="A718" s="5">
        <v>18805451</v>
      </c>
      <c r="B718" s="6" t="s">
        <v>308</v>
      </c>
      <c r="C718" s="6" t="s">
        <v>315</v>
      </c>
      <c r="D718" s="8" t="s">
        <v>54</v>
      </c>
      <c r="E718" s="6" t="s">
        <v>55</v>
      </c>
      <c r="F718" s="6" t="s">
        <v>51</v>
      </c>
      <c r="G718" s="11" t="s">
        <v>56</v>
      </c>
      <c r="I718" s="10" t="s">
        <v>558</v>
      </c>
      <c r="J718" s="6" t="s">
        <v>559</v>
      </c>
      <c r="K718" s="12">
        <v>46120.731296296297</v>
      </c>
      <c r="L718" s="6" t="e" cm="1">
        <f t="array" ref="L718">LOOKUP(2^15,SEARCH(Tabela2[Palavras-Chave],Boletim4[[#This Row],[Objeto]],1),Tabela2[Palavras-Chave])</f>
        <v>#N/A</v>
      </c>
    </row>
    <row r="719" spans="1:12" ht="158.4" hidden="1" x14ac:dyDescent="0.3">
      <c r="A719" s="5">
        <v>18805429</v>
      </c>
      <c r="B719" s="6" t="s">
        <v>226</v>
      </c>
      <c r="C719" s="6" t="s">
        <v>53</v>
      </c>
      <c r="D719" s="8" t="s">
        <v>54</v>
      </c>
      <c r="E719" s="6" t="s">
        <v>55</v>
      </c>
      <c r="F719" s="6" t="s">
        <v>51</v>
      </c>
      <c r="G719" s="11" t="s">
        <v>56</v>
      </c>
      <c r="I719" s="10" t="s">
        <v>560</v>
      </c>
      <c r="J719" s="6" t="s">
        <v>561</v>
      </c>
      <c r="K719" s="12">
        <v>46120.731296296297</v>
      </c>
      <c r="L719" s="6" t="e" cm="1">
        <f t="array" ref="L719">LOOKUP(2^15,SEARCH(Tabela2[Palavras-Chave],Boletim4[[#This Row],[Objeto]],1),Tabela2[Palavras-Chave])</f>
        <v>#N/A</v>
      </c>
    </row>
    <row r="720" spans="1:12" ht="72" hidden="1" x14ac:dyDescent="0.3">
      <c r="A720" s="5">
        <v>18803771</v>
      </c>
      <c r="B720" s="6" t="s">
        <v>58</v>
      </c>
      <c r="C720" s="6" t="s">
        <v>53</v>
      </c>
      <c r="D720" s="8" t="s">
        <v>54</v>
      </c>
      <c r="E720" s="6" t="s">
        <v>562</v>
      </c>
      <c r="F720" s="6" t="s">
        <v>51</v>
      </c>
      <c r="G720" s="11" t="s">
        <v>56</v>
      </c>
      <c r="I720" s="10" t="s">
        <v>563</v>
      </c>
      <c r="J720" s="6" t="s">
        <v>564</v>
      </c>
      <c r="K720" s="12">
        <v>46120.731863425928</v>
      </c>
      <c r="L720" s="6" t="e" cm="1">
        <f t="array" ref="L720">LOOKUP(2^15,SEARCH(Tabela2[Palavras-Chave],Boletim4[[#This Row],[Objeto]],1),Tabela2[Palavras-Chave])</f>
        <v>#N/A</v>
      </c>
    </row>
    <row r="721" spans="1:12" ht="144" hidden="1" x14ac:dyDescent="0.3">
      <c r="A721" s="5">
        <v>18805436</v>
      </c>
      <c r="B721" s="6" t="s">
        <v>565</v>
      </c>
      <c r="C721" s="6" t="s">
        <v>53</v>
      </c>
      <c r="D721" s="8" t="s">
        <v>54</v>
      </c>
      <c r="E721" s="6" t="s">
        <v>55</v>
      </c>
      <c r="F721" s="6" t="s">
        <v>51</v>
      </c>
      <c r="G721" s="11" t="s">
        <v>56</v>
      </c>
      <c r="I721" s="10" t="s">
        <v>566</v>
      </c>
      <c r="J721" s="6" t="s">
        <v>567</v>
      </c>
      <c r="K721" s="12">
        <v>46120.731990740744</v>
      </c>
      <c r="L721" s="6" t="e" cm="1">
        <f t="array" ref="L721">LOOKUP(2^15,SEARCH(Tabela2[Palavras-Chave],Boletim4[[#This Row],[Objeto]],1),Tabela2[Palavras-Chave])</f>
        <v>#N/A</v>
      </c>
    </row>
    <row r="722" spans="1:12" ht="158.4" hidden="1" x14ac:dyDescent="0.3">
      <c r="A722" s="5">
        <v>18805421</v>
      </c>
      <c r="B722" s="6" t="s">
        <v>226</v>
      </c>
      <c r="C722" s="6" t="s">
        <v>53</v>
      </c>
      <c r="D722" s="8" t="s">
        <v>54</v>
      </c>
      <c r="E722" s="6" t="s">
        <v>55</v>
      </c>
      <c r="F722" s="6" t="s">
        <v>51</v>
      </c>
      <c r="G722" s="11" t="s">
        <v>56</v>
      </c>
      <c r="I722" s="10" t="s">
        <v>568</v>
      </c>
      <c r="J722" s="6" t="s">
        <v>569</v>
      </c>
      <c r="K722" s="12">
        <v>46120.731990740744</v>
      </c>
      <c r="L722" s="6" t="e" cm="1">
        <f t="array" ref="L722">LOOKUP(2^15,SEARCH(Tabela2[Palavras-Chave],Boletim4[[#This Row],[Objeto]],1),Tabela2[Palavras-Chave])</f>
        <v>#N/A</v>
      </c>
    </row>
    <row r="723" spans="1:12" ht="158.4" hidden="1" x14ac:dyDescent="0.3">
      <c r="A723" s="5">
        <v>18805412</v>
      </c>
      <c r="B723" s="6" t="s">
        <v>226</v>
      </c>
      <c r="C723" s="6" t="s">
        <v>53</v>
      </c>
      <c r="D723" s="8" t="s">
        <v>54</v>
      </c>
      <c r="E723" s="6" t="s">
        <v>55</v>
      </c>
      <c r="F723" s="6" t="s">
        <v>51</v>
      </c>
      <c r="G723" s="11" t="s">
        <v>56</v>
      </c>
      <c r="I723" s="10" t="s">
        <v>570</v>
      </c>
      <c r="J723" s="6" t="s">
        <v>571</v>
      </c>
      <c r="K723" s="12">
        <v>46120.731990740744</v>
      </c>
      <c r="L723" s="6" t="e" cm="1">
        <f t="array" ref="L723">LOOKUP(2^15,SEARCH(Tabela2[Palavras-Chave],Boletim4[[#This Row],[Objeto]],1),Tabela2[Palavras-Chave])</f>
        <v>#N/A</v>
      </c>
    </row>
    <row r="724" spans="1:12" ht="86.4" hidden="1" x14ac:dyDescent="0.3">
      <c r="A724" s="5">
        <v>18787066</v>
      </c>
      <c r="B724" s="6" t="s">
        <v>150</v>
      </c>
      <c r="C724" s="6" t="s">
        <v>57</v>
      </c>
      <c r="D724" s="8" t="s">
        <v>54</v>
      </c>
      <c r="E724" s="6" t="s">
        <v>572</v>
      </c>
      <c r="F724" s="6" t="s">
        <v>51</v>
      </c>
      <c r="G724" s="11" t="s">
        <v>56</v>
      </c>
      <c r="I724" s="10" t="s">
        <v>573</v>
      </c>
      <c r="J724" s="6" t="s">
        <v>574</v>
      </c>
      <c r="K724" s="12">
        <v>46120.734756944446</v>
      </c>
      <c r="L724" s="6" t="e" cm="1">
        <f t="array" ref="L724">LOOKUP(2^15,SEARCH(Tabela2[Palavras-Chave],Boletim4[[#This Row],[Objeto]],1),Tabela2[Palavras-Chave])</f>
        <v>#N/A</v>
      </c>
    </row>
    <row r="725" spans="1:12" ht="158.4" hidden="1" x14ac:dyDescent="0.3">
      <c r="A725" s="5">
        <v>18805414</v>
      </c>
      <c r="B725" s="6" t="s">
        <v>226</v>
      </c>
      <c r="C725" s="6" t="s">
        <v>53</v>
      </c>
      <c r="D725" s="8" t="s">
        <v>54</v>
      </c>
      <c r="E725" s="6" t="s">
        <v>55</v>
      </c>
      <c r="F725" s="6" t="s">
        <v>51</v>
      </c>
      <c r="G725" s="11" t="s">
        <v>56</v>
      </c>
      <c r="I725" s="10" t="s">
        <v>575</v>
      </c>
      <c r="J725" s="6" t="s">
        <v>576</v>
      </c>
      <c r="K725" s="12">
        <v>46120.732685185183</v>
      </c>
      <c r="L725" s="6" t="e" cm="1">
        <f t="array" ref="L725">LOOKUP(2^15,SEARCH(Tabela2[Palavras-Chave],Boletim4[[#This Row],[Objeto]],1),Tabela2[Palavras-Chave])</f>
        <v>#N/A</v>
      </c>
    </row>
    <row r="726" spans="1:12" ht="172.8" hidden="1" x14ac:dyDescent="0.3">
      <c r="A726" s="5">
        <v>18805442</v>
      </c>
      <c r="B726" s="6" t="s">
        <v>226</v>
      </c>
      <c r="C726" s="6" t="s">
        <v>53</v>
      </c>
      <c r="D726" s="8" t="s">
        <v>54</v>
      </c>
      <c r="E726" s="6" t="s">
        <v>55</v>
      </c>
      <c r="F726" s="6" t="s">
        <v>51</v>
      </c>
      <c r="G726" s="11" t="s">
        <v>56</v>
      </c>
      <c r="I726" s="10" t="s">
        <v>550</v>
      </c>
      <c r="J726" s="6" t="s">
        <v>577</v>
      </c>
      <c r="K726" s="12">
        <v>46120.73337962963</v>
      </c>
      <c r="L726" s="6" t="e" cm="1">
        <f t="array" ref="L726">LOOKUP(2^15,SEARCH(Tabela2[Palavras-Chave],Boletim4[[#This Row],[Objeto]],1),Tabela2[Palavras-Chave])</f>
        <v>#N/A</v>
      </c>
    </row>
    <row r="727" spans="1:12" ht="158.4" x14ac:dyDescent="0.3">
      <c r="A727" s="5">
        <v>18805419</v>
      </c>
      <c r="B727" s="6" t="s">
        <v>226</v>
      </c>
      <c r="C727" s="6" t="s">
        <v>53</v>
      </c>
      <c r="D727" s="8" t="s">
        <v>54</v>
      </c>
      <c r="E727" s="6" t="s">
        <v>55</v>
      </c>
      <c r="F727" s="6" t="s">
        <v>51</v>
      </c>
      <c r="G727" s="11" t="s">
        <v>56</v>
      </c>
      <c r="H727" s="23">
        <v>2</v>
      </c>
      <c r="I727" s="10" t="s">
        <v>578</v>
      </c>
      <c r="J727" s="6" t="s">
        <v>579</v>
      </c>
      <c r="K727" s="12">
        <v>46120.733414351853</v>
      </c>
      <c r="L727" s="6" t="str" cm="1">
        <f t="array" ref="L727">LOOKUP(2^15,SEARCH(Tabela2[Palavras-Chave],Boletim4[[#This Row],[Objeto]],1),Tabela2[Palavras-Chave])</f>
        <v>UNIAO</v>
      </c>
    </row>
    <row r="728" spans="1:12" ht="158.4" hidden="1" x14ac:dyDescent="0.3">
      <c r="A728" s="5">
        <v>18805415</v>
      </c>
      <c r="B728" s="6" t="s">
        <v>226</v>
      </c>
      <c r="C728" s="6" t="s">
        <v>53</v>
      </c>
      <c r="D728" s="8" t="s">
        <v>54</v>
      </c>
      <c r="E728" s="6" t="s">
        <v>55</v>
      </c>
      <c r="F728" s="6" t="s">
        <v>51</v>
      </c>
      <c r="G728" s="11" t="s">
        <v>56</v>
      </c>
      <c r="I728" s="10" t="s">
        <v>580</v>
      </c>
      <c r="J728" s="6" t="s">
        <v>581</v>
      </c>
      <c r="K728" s="12">
        <v>46120.733414351853</v>
      </c>
      <c r="L728" s="6" t="e" cm="1">
        <f t="array" ref="L728">LOOKUP(2^15,SEARCH(Tabela2[Palavras-Chave],Boletim4[[#This Row],[Objeto]],1),Tabela2[Palavras-Chave])</f>
        <v>#N/A</v>
      </c>
    </row>
    <row r="729" spans="1:12" ht="86.4" hidden="1" x14ac:dyDescent="0.3">
      <c r="A729" s="5">
        <v>18776643</v>
      </c>
      <c r="B729" s="6" t="s">
        <v>191</v>
      </c>
      <c r="C729" s="6" t="s">
        <v>313</v>
      </c>
      <c r="D729" s="8" t="s">
        <v>54</v>
      </c>
      <c r="E729" s="6" t="s">
        <v>389</v>
      </c>
      <c r="F729" s="6" t="s">
        <v>51</v>
      </c>
      <c r="G729" s="11" t="s">
        <v>56</v>
      </c>
      <c r="I729" s="10" t="s">
        <v>582</v>
      </c>
      <c r="J729" s="6" t="s">
        <v>583</v>
      </c>
      <c r="K729" s="12">
        <v>46120.74795138889</v>
      </c>
      <c r="L729" s="6" t="e" cm="1">
        <f t="array" ref="L729">LOOKUP(2^15,SEARCH(Tabela2[Palavras-Chave],Boletim4[[#This Row],[Objeto]],1),Tabela2[Palavras-Chave])</f>
        <v>#N/A</v>
      </c>
    </row>
    <row r="730" spans="1:12" ht="172.8" hidden="1" x14ac:dyDescent="0.3">
      <c r="A730" s="5">
        <v>18805533</v>
      </c>
      <c r="B730" s="6" t="s">
        <v>314</v>
      </c>
      <c r="C730" s="6" t="s">
        <v>430</v>
      </c>
      <c r="D730" s="8" t="s">
        <v>54</v>
      </c>
      <c r="E730" s="6" t="s">
        <v>55</v>
      </c>
      <c r="F730" s="6" t="s">
        <v>51</v>
      </c>
      <c r="G730" s="11" t="s">
        <v>56</v>
      </c>
      <c r="I730" s="10" t="s">
        <v>584</v>
      </c>
      <c r="J730" s="6" t="s">
        <v>585</v>
      </c>
      <c r="K730" s="12">
        <v>46120.74795138889</v>
      </c>
      <c r="L730" s="6" t="e" cm="1">
        <f t="array" ref="L730">LOOKUP(2^15,SEARCH(Tabela2[Palavras-Chave],Boletim4[[#This Row],[Objeto]],1),Tabela2[Palavras-Chave])</f>
        <v>#N/A</v>
      </c>
    </row>
    <row r="731" spans="1:12" ht="72" hidden="1" x14ac:dyDescent="0.3">
      <c r="A731" s="5">
        <v>18803767</v>
      </c>
      <c r="B731" s="6" t="s">
        <v>58</v>
      </c>
      <c r="C731" s="6" t="s">
        <v>53</v>
      </c>
      <c r="D731" s="8" t="s">
        <v>54</v>
      </c>
      <c r="E731" s="6" t="s">
        <v>586</v>
      </c>
      <c r="F731" s="6" t="s">
        <v>51</v>
      </c>
      <c r="G731" s="11" t="s">
        <v>56</v>
      </c>
      <c r="I731" s="10" t="s">
        <v>587</v>
      </c>
      <c r="J731" s="6" t="s">
        <v>588</v>
      </c>
      <c r="K731" s="12">
        <v>46120.749537037038</v>
      </c>
      <c r="L731" s="6" t="e" cm="1">
        <f t="array" ref="L731">LOOKUP(2^15,SEARCH(Tabela2[Palavras-Chave],Boletim4[[#This Row],[Objeto]],1),Tabela2[Palavras-Chave])</f>
        <v>#N/A</v>
      </c>
    </row>
    <row r="732" spans="1:12" ht="244.8" hidden="1" x14ac:dyDescent="0.3">
      <c r="A732" s="5">
        <v>18805597</v>
      </c>
      <c r="B732" s="6" t="s">
        <v>589</v>
      </c>
      <c r="C732" s="6" t="s">
        <v>183</v>
      </c>
      <c r="D732" s="8" t="s">
        <v>54</v>
      </c>
      <c r="E732" s="6" t="s">
        <v>137</v>
      </c>
      <c r="F732" s="6" t="s">
        <v>51</v>
      </c>
      <c r="G732" s="11" t="s">
        <v>56</v>
      </c>
      <c r="I732" s="10" t="s">
        <v>590</v>
      </c>
      <c r="J732" s="6" t="s">
        <v>591</v>
      </c>
      <c r="K732" s="12">
        <v>46120.754618055558</v>
      </c>
      <c r="L732" s="6" t="e" cm="1">
        <f t="array" ref="L732">LOOKUP(2^15,SEARCH(Tabela2[Palavras-Chave],Boletim4[[#This Row],[Objeto]],1),Tabela2[Palavras-Chave])</f>
        <v>#N/A</v>
      </c>
    </row>
    <row r="733" spans="1:12" ht="72" x14ac:dyDescent="0.3">
      <c r="A733" s="5">
        <v>18803784</v>
      </c>
      <c r="B733" s="6" t="s">
        <v>191</v>
      </c>
      <c r="C733" s="6" t="s">
        <v>313</v>
      </c>
      <c r="D733" s="8" t="s">
        <v>54</v>
      </c>
      <c r="E733" s="6" t="s">
        <v>2683</v>
      </c>
      <c r="F733" s="6" t="s">
        <v>51</v>
      </c>
      <c r="G733" s="11" t="s">
        <v>56</v>
      </c>
      <c r="H733" s="23">
        <v>2</v>
      </c>
      <c r="I733" s="10" t="s">
        <v>2684</v>
      </c>
      <c r="J733" s="6" t="s">
        <v>2685</v>
      </c>
      <c r="K733" s="12">
        <v>46120.758831018517</v>
      </c>
      <c r="L733" s="6" t="str" cm="1">
        <f t="array" ref="L733">LOOKUP(2^15,SEARCH(Tabela2[Palavras-Chave],Boletim4[[#This Row],[Objeto]],1),Tabela2[Palavras-Chave])</f>
        <v>MEDIÇÃO</v>
      </c>
    </row>
    <row r="734" spans="1:12" ht="72" hidden="1" x14ac:dyDescent="0.3">
      <c r="A734" s="5">
        <v>18803781</v>
      </c>
      <c r="B734" s="6" t="s">
        <v>153</v>
      </c>
      <c r="C734" s="6" t="s">
        <v>53</v>
      </c>
      <c r="D734" s="8" t="s">
        <v>54</v>
      </c>
      <c r="E734" s="6" t="s">
        <v>592</v>
      </c>
      <c r="F734" s="6" t="s">
        <v>51</v>
      </c>
      <c r="G734" s="11" t="s">
        <v>56</v>
      </c>
      <c r="I734" s="10" t="s">
        <v>593</v>
      </c>
      <c r="J734" s="6" t="s">
        <v>594</v>
      </c>
      <c r="K734" s="12">
        <v>46120.761793981481</v>
      </c>
      <c r="L734" s="6" t="e" cm="1">
        <f t="array" ref="L734">LOOKUP(2^15,SEARCH(Tabela2[Palavras-Chave],Boletim4[[#This Row],[Objeto]],1),Tabela2[Palavras-Chave])</f>
        <v>#N/A</v>
      </c>
    </row>
    <row r="735" spans="1:12" ht="100.8" hidden="1" x14ac:dyDescent="0.3">
      <c r="A735" s="5">
        <v>18805740</v>
      </c>
      <c r="B735" s="6" t="s">
        <v>2686</v>
      </c>
      <c r="C735" s="6" t="s">
        <v>2687</v>
      </c>
      <c r="D735" s="8" t="s">
        <v>54</v>
      </c>
      <c r="E735" s="6" t="s">
        <v>244</v>
      </c>
      <c r="F735" s="6" t="s">
        <v>51</v>
      </c>
      <c r="G735" s="11" t="s">
        <v>56</v>
      </c>
      <c r="I735" s="10" t="s">
        <v>2688</v>
      </c>
      <c r="J735" s="6" t="s">
        <v>2689</v>
      </c>
      <c r="K735" s="12">
        <v>46120.764849537038</v>
      </c>
      <c r="L735" s="6" t="e" cm="1">
        <f t="array" ref="L735">LOOKUP(2^15,SEARCH(Tabela2[Palavras-Chave],Boletim4[[#This Row],[Objeto]],1),Tabela2[Palavras-Chave])</f>
        <v>#N/A</v>
      </c>
    </row>
    <row r="736" spans="1:12" ht="129.6" hidden="1" x14ac:dyDescent="0.3">
      <c r="A736" s="5">
        <v>18805541</v>
      </c>
      <c r="B736" s="6" t="s">
        <v>2690</v>
      </c>
      <c r="C736" s="6" t="s">
        <v>1288</v>
      </c>
      <c r="D736" s="8" t="s">
        <v>54</v>
      </c>
      <c r="E736" s="6" t="s">
        <v>116</v>
      </c>
      <c r="F736" s="6" t="s">
        <v>51</v>
      </c>
      <c r="G736" s="11" t="s">
        <v>56</v>
      </c>
      <c r="I736" s="10" t="s">
        <v>2691</v>
      </c>
      <c r="J736" s="6" t="s">
        <v>2692</v>
      </c>
      <c r="K736" s="12">
        <v>46120.768611111111</v>
      </c>
      <c r="L736" s="6" t="e" cm="1">
        <f t="array" ref="L736">LOOKUP(2^15,SEARCH(Tabela2[Palavras-Chave],Boletim4[[#This Row],[Objeto]],1),Tabela2[Palavras-Chave])</f>
        <v>#N/A</v>
      </c>
    </row>
    <row r="737" spans="1:12" ht="86.4" hidden="1" x14ac:dyDescent="0.3">
      <c r="A737" s="5">
        <v>18779296</v>
      </c>
      <c r="B737" s="6" t="s">
        <v>150</v>
      </c>
      <c r="C737" s="6" t="s">
        <v>57</v>
      </c>
      <c r="D737" s="8" t="s">
        <v>54</v>
      </c>
      <c r="E737" s="6" t="s">
        <v>595</v>
      </c>
      <c r="F737" s="6" t="s">
        <v>51</v>
      </c>
      <c r="G737" s="11" t="s">
        <v>56</v>
      </c>
      <c r="I737" s="10" t="s">
        <v>596</v>
      </c>
      <c r="J737" s="6" t="s">
        <v>597</v>
      </c>
      <c r="K737" s="12">
        <v>46120.775949074072</v>
      </c>
      <c r="L737" s="6" t="e" cm="1">
        <f t="array" ref="L737">LOOKUP(2^15,SEARCH(Tabela2[Palavras-Chave],Boletim4[[#This Row],[Objeto]],1),Tabela2[Palavras-Chave])</f>
        <v>#N/A</v>
      </c>
    </row>
    <row r="738" spans="1:12" ht="158.4" hidden="1" x14ac:dyDescent="0.3">
      <c r="A738" s="5">
        <v>18805418</v>
      </c>
      <c r="B738" s="6" t="s">
        <v>318</v>
      </c>
      <c r="C738" s="6" t="s">
        <v>53</v>
      </c>
      <c r="D738" s="8" t="s">
        <v>54</v>
      </c>
      <c r="E738" s="6" t="s">
        <v>55</v>
      </c>
      <c r="F738" s="6" t="s">
        <v>51</v>
      </c>
      <c r="G738" s="11" t="s">
        <v>56</v>
      </c>
      <c r="I738" s="10" t="s">
        <v>598</v>
      </c>
      <c r="J738" s="6" t="s">
        <v>599</v>
      </c>
      <c r="K738" s="12">
        <v>46120.809548611112</v>
      </c>
      <c r="L738" s="6" t="e" cm="1">
        <f t="array" ref="L738">LOOKUP(2^15,SEARCH(Tabela2[Palavras-Chave],Boletim4[[#This Row],[Objeto]],1),Tabela2[Palavras-Chave])</f>
        <v>#N/A</v>
      </c>
    </row>
    <row r="739" spans="1:12" ht="100.8" hidden="1" x14ac:dyDescent="0.3">
      <c r="A739" s="5">
        <v>18802429</v>
      </c>
      <c r="B739" s="6" t="s">
        <v>2693</v>
      </c>
      <c r="C739" s="6" t="s">
        <v>2694</v>
      </c>
      <c r="D739" s="8" t="s">
        <v>54</v>
      </c>
      <c r="E739" s="6" t="s">
        <v>249</v>
      </c>
      <c r="F739" s="6" t="s">
        <v>51</v>
      </c>
      <c r="G739" s="11" t="s">
        <v>56</v>
      </c>
      <c r="I739" s="10" t="s">
        <v>2695</v>
      </c>
      <c r="J739" s="6" t="s">
        <v>2696</v>
      </c>
      <c r="K739" s="12">
        <v>46120.811307870368</v>
      </c>
      <c r="L739" s="6" t="e" cm="1">
        <f t="array" ref="L739">LOOKUP(2^15,SEARCH(Tabela2[Palavras-Chave],Boletim4[[#This Row],[Objeto]],1),Tabela2[Palavras-Chave])</f>
        <v>#N/A</v>
      </c>
    </row>
    <row r="740" spans="1:12" ht="86.4" hidden="1" x14ac:dyDescent="0.3">
      <c r="A740" s="5">
        <v>18799169</v>
      </c>
      <c r="B740" s="6" t="s">
        <v>191</v>
      </c>
      <c r="C740" s="6" t="s">
        <v>311</v>
      </c>
      <c r="D740" s="8" t="s">
        <v>54</v>
      </c>
      <c r="E740" s="6" t="s">
        <v>600</v>
      </c>
      <c r="F740" s="6" t="s">
        <v>51</v>
      </c>
      <c r="G740" s="11" t="s">
        <v>56</v>
      </c>
      <c r="I740" s="10" t="s">
        <v>601</v>
      </c>
      <c r="J740" s="6" t="s">
        <v>602</v>
      </c>
      <c r="K740" s="12">
        <v>46120.827118055553</v>
      </c>
      <c r="L740" s="6" t="e" cm="1">
        <f t="array" ref="L740">LOOKUP(2^15,SEARCH(Tabela2[Palavras-Chave],Boletim4[[#This Row],[Objeto]],1),Tabela2[Palavras-Chave])</f>
        <v>#N/A</v>
      </c>
    </row>
    <row r="741" spans="1:12" ht="86.4" hidden="1" x14ac:dyDescent="0.3">
      <c r="A741" s="5">
        <v>18764133</v>
      </c>
      <c r="B741" s="6" t="s">
        <v>58</v>
      </c>
      <c r="C741" s="6" t="s">
        <v>53</v>
      </c>
      <c r="D741" s="8" t="s">
        <v>54</v>
      </c>
      <c r="E741" s="6" t="s">
        <v>603</v>
      </c>
      <c r="F741" s="6" t="s">
        <v>51</v>
      </c>
      <c r="G741" s="11" t="s">
        <v>56</v>
      </c>
      <c r="I741" s="10" t="s">
        <v>604</v>
      </c>
      <c r="J741" s="6" t="s">
        <v>605</v>
      </c>
      <c r="K741" s="12">
        <v>46120.839918981481</v>
      </c>
      <c r="L741" s="6" t="e" cm="1">
        <f t="array" ref="L741">LOOKUP(2^15,SEARCH(Tabela2[Palavras-Chave],Boletim4[[#This Row],[Objeto]],1),Tabela2[Palavras-Chave])</f>
        <v>#N/A</v>
      </c>
    </row>
    <row r="742" spans="1:12" ht="72" hidden="1" x14ac:dyDescent="0.3">
      <c r="A742" s="5">
        <v>18805745</v>
      </c>
      <c r="B742" s="6" t="s">
        <v>153</v>
      </c>
      <c r="C742" s="6" t="s">
        <v>53</v>
      </c>
      <c r="D742" s="8" t="s">
        <v>54</v>
      </c>
      <c r="E742" s="6" t="s">
        <v>606</v>
      </c>
      <c r="F742" s="6" t="s">
        <v>51</v>
      </c>
      <c r="G742" s="11" t="s">
        <v>56</v>
      </c>
      <c r="I742" s="10" t="s">
        <v>607</v>
      </c>
      <c r="J742" s="6" t="s">
        <v>608</v>
      </c>
      <c r="K742" s="12">
        <v>46120.85560185185</v>
      </c>
      <c r="L742" s="6" t="e" cm="1">
        <f t="array" ref="L742">LOOKUP(2^15,SEARCH(Tabela2[Palavras-Chave],Boletim4[[#This Row],[Objeto]],1),Tabela2[Palavras-Chave])</f>
        <v>#N/A</v>
      </c>
    </row>
    <row r="743" spans="1:12" ht="72" hidden="1" x14ac:dyDescent="0.3">
      <c r="A743" s="5">
        <v>18805522</v>
      </c>
      <c r="B743" s="6" t="s">
        <v>150</v>
      </c>
      <c r="C743" s="6" t="s">
        <v>57</v>
      </c>
      <c r="D743" s="8" t="s">
        <v>54</v>
      </c>
      <c r="E743" s="6" t="s">
        <v>609</v>
      </c>
      <c r="F743" s="6" t="s">
        <v>51</v>
      </c>
      <c r="G743" s="11" t="s">
        <v>56</v>
      </c>
      <c r="I743" s="10" t="s">
        <v>610</v>
      </c>
      <c r="J743" s="6" t="s">
        <v>611</v>
      </c>
      <c r="K743" s="12">
        <v>46120.862314814818</v>
      </c>
      <c r="L743" s="6" t="e" cm="1">
        <f t="array" ref="L743">LOOKUP(2^15,SEARCH(Tabela2[Palavras-Chave],Boletim4[[#This Row],[Objeto]],1),Tabela2[Palavras-Chave])</f>
        <v>#N/A</v>
      </c>
    </row>
    <row r="744" spans="1:12" ht="172.8" hidden="1" x14ac:dyDescent="0.3">
      <c r="A744" s="5">
        <v>18805417</v>
      </c>
      <c r="B744" s="6" t="s">
        <v>226</v>
      </c>
      <c r="C744" s="6" t="s">
        <v>53</v>
      </c>
      <c r="D744" s="8" t="s">
        <v>54</v>
      </c>
      <c r="E744" s="6" t="s">
        <v>55</v>
      </c>
      <c r="F744" s="6" t="s">
        <v>51</v>
      </c>
      <c r="G744" s="11" t="s">
        <v>56</v>
      </c>
      <c r="I744" s="10" t="s">
        <v>612</v>
      </c>
      <c r="J744" s="6" t="s">
        <v>613</v>
      </c>
      <c r="K744" s="12">
        <v>46120.862395833334</v>
      </c>
      <c r="L744" s="6" t="e" cm="1">
        <f t="array" ref="L744">LOOKUP(2^15,SEARCH(Tabela2[Palavras-Chave],Boletim4[[#This Row],[Objeto]],1),Tabela2[Palavras-Chave])</f>
        <v>#N/A</v>
      </c>
    </row>
    <row r="745" spans="1:12" ht="158.4" hidden="1" x14ac:dyDescent="0.3">
      <c r="A745" s="5">
        <v>18805416</v>
      </c>
      <c r="B745" s="6" t="s">
        <v>316</v>
      </c>
      <c r="C745" s="6" t="s">
        <v>317</v>
      </c>
      <c r="D745" s="8" t="s">
        <v>54</v>
      </c>
      <c r="E745" s="6" t="s">
        <v>55</v>
      </c>
      <c r="F745" s="6" t="s">
        <v>51</v>
      </c>
      <c r="G745" s="11" t="s">
        <v>56</v>
      </c>
      <c r="I745" s="10" t="s">
        <v>614</v>
      </c>
      <c r="J745" s="6" t="s">
        <v>615</v>
      </c>
      <c r="K745" s="12">
        <v>46120.862476851849</v>
      </c>
      <c r="L745" s="6" t="e" cm="1">
        <f t="array" ref="L745">LOOKUP(2^15,SEARCH(Tabela2[Palavras-Chave],Boletim4[[#This Row],[Objeto]],1),Tabela2[Palavras-Chave])</f>
        <v>#N/A</v>
      </c>
    </row>
    <row r="746" spans="1:12" ht="172.8" hidden="1" x14ac:dyDescent="0.3">
      <c r="A746" s="5">
        <v>18805407</v>
      </c>
      <c r="B746" s="6" t="s">
        <v>226</v>
      </c>
      <c r="C746" s="6" t="s">
        <v>53</v>
      </c>
      <c r="D746" s="8" t="s">
        <v>54</v>
      </c>
      <c r="E746" s="6" t="s">
        <v>55</v>
      </c>
      <c r="F746" s="6" t="s">
        <v>51</v>
      </c>
      <c r="G746" s="11" t="s">
        <v>56</v>
      </c>
      <c r="I746" s="10" t="s">
        <v>616</v>
      </c>
      <c r="J746" s="6" t="s">
        <v>617</v>
      </c>
      <c r="K746" s="12">
        <v>46120.862615740742</v>
      </c>
      <c r="L746" s="6" t="e" cm="1">
        <f t="array" ref="L746">LOOKUP(2^15,SEARCH(Tabela2[Palavras-Chave],Boletim4[[#This Row],[Objeto]],1),Tabela2[Palavras-Chave])</f>
        <v>#N/A</v>
      </c>
    </row>
    <row r="747" spans="1:12" ht="72" hidden="1" x14ac:dyDescent="0.3">
      <c r="A747" s="5">
        <v>18803766</v>
      </c>
      <c r="B747" s="6" t="s">
        <v>150</v>
      </c>
      <c r="C747" s="6" t="s">
        <v>57</v>
      </c>
      <c r="D747" s="8" t="s">
        <v>54</v>
      </c>
      <c r="E747" s="6" t="s">
        <v>618</v>
      </c>
      <c r="F747" s="6" t="s">
        <v>51</v>
      </c>
      <c r="G747" s="11" t="s">
        <v>56</v>
      </c>
      <c r="I747" s="10" t="s">
        <v>619</v>
      </c>
      <c r="J747" s="6" t="s">
        <v>620</v>
      </c>
      <c r="K747" s="12">
        <v>46120.871099537035</v>
      </c>
      <c r="L747" s="6" t="e" cm="1">
        <f t="array" ref="L747">LOOKUP(2^15,SEARCH(Tabela2[Palavras-Chave],Boletim4[[#This Row],[Objeto]],1),Tabela2[Palavras-Chave])</f>
        <v>#N/A</v>
      </c>
    </row>
    <row r="748" spans="1:12" ht="43.2" hidden="1" x14ac:dyDescent="0.3">
      <c r="A748" s="5">
        <v>18804407</v>
      </c>
      <c r="B748" s="6" t="s">
        <v>621</v>
      </c>
      <c r="C748" s="6" t="s">
        <v>622</v>
      </c>
      <c r="D748" s="8" t="s">
        <v>54</v>
      </c>
      <c r="E748" s="6" t="s">
        <v>55</v>
      </c>
      <c r="F748" s="6" t="s">
        <v>51</v>
      </c>
      <c r="G748" s="11" t="s">
        <v>56</v>
      </c>
      <c r="I748" s="10" t="s">
        <v>623</v>
      </c>
      <c r="J748" s="6" t="s">
        <v>90</v>
      </c>
      <c r="K748" s="12">
        <v>46120.883460648147</v>
      </c>
      <c r="L748" s="6" t="e" cm="1">
        <f t="array" ref="L748">LOOKUP(2^15,SEARCH(Tabela2[Palavras-Chave],Boletim4[[#This Row],[Objeto]],1),Tabela2[Palavras-Chave])</f>
        <v>#N/A</v>
      </c>
    </row>
    <row r="749" spans="1:12" ht="43.2" hidden="1" x14ac:dyDescent="0.3">
      <c r="A749" s="5">
        <v>18806451</v>
      </c>
      <c r="B749" s="6" t="s">
        <v>624</v>
      </c>
      <c r="C749" s="6" t="s">
        <v>622</v>
      </c>
      <c r="D749" s="8" t="s">
        <v>54</v>
      </c>
      <c r="E749" s="6" t="s">
        <v>110</v>
      </c>
      <c r="F749" s="6" t="s">
        <v>51</v>
      </c>
      <c r="G749" s="11">
        <v>46125.333333333336</v>
      </c>
      <c r="I749" s="10" t="s">
        <v>625</v>
      </c>
      <c r="J749" s="6" t="s">
        <v>626</v>
      </c>
      <c r="K749" s="12">
        <v>46120.888020833336</v>
      </c>
      <c r="L749" s="6" t="e" cm="1">
        <f t="array" ref="L749">LOOKUP(2^15,SEARCH(Tabela2[Palavras-Chave],Boletim4[[#This Row],[Objeto]],1),Tabela2[Palavras-Chave])</f>
        <v>#N/A</v>
      </c>
    </row>
    <row r="750" spans="1:12" ht="172.8" hidden="1" x14ac:dyDescent="0.3">
      <c r="A750" s="5">
        <v>18800857</v>
      </c>
      <c r="B750" s="6" t="s">
        <v>627</v>
      </c>
      <c r="C750" s="6" t="s">
        <v>628</v>
      </c>
      <c r="D750" s="8" t="s">
        <v>60</v>
      </c>
      <c r="E750" s="6" t="s">
        <v>629</v>
      </c>
      <c r="F750" s="6" t="s">
        <v>51</v>
      </c>
      <c r="G750" s="11">
        <v>46122.645833333336</v>
      </c>
      <c r="I750" s="10" t="s">
        <v>630</v>
      </c>
      <c r="J750" s="6" t="s">
        <v>631</v>
      </c>
      <c r="K750" s="12">
        <v>46120.409097222226</v>
      </c>
      <c r="L750" s="6" t="e" cm="1">
        <f t="array" ref="L750">LOOKUP(2^15,SEARCH(Tabela2[Palavras-Chave],Boletim4[[#This Row],[Objeto]],1),Tabela2[Palavras-Chave])</f>
        <v>#N/A</v>
      </c>
    </row>
    <row r="751" spans="1:12" ht="129.6" hidden="1" x14ac:dyDescent="0.3">
      <c r="A751" s="5">
        <v>18800907</v>
      </c>
      <c r="B751" s="6" t="s">
        <v>632</v>
      </c>
      <c r="C751" s="6" t="s">
        <v>59</v>
      </c>
      <c r="D751" s="8" t="s">
        <v>60</v>
      </c>
      <c r="E751" s="6" t="s">
        <v>633</v>
      </c>
      <c r="F751" s="6" t="s">
        <v>51</v>
      </c>
      <c r="G751" s="11">
        <v>46122.666666666664</v>
      </c>
      <c r="I751" s="10" t="s">
        <v>634</v>
      </c>
      <c r="J751" s="6" t="s">
        <v>635</v>
      </c>
      <c r="K751" s="12">
        <v>46120.409097222226</v>
      </c>
      <c r="L751" s="6" t="e" cm="1">
        <f t="array" ref="L751">LOOKUP(2^15,SEARCH(Tabela2[Palavras-Chave],Boletim4[[#This Row],[Objeto]],1),Tabela2[Palavras-Chave])</f>
        <v>#N/A</v>
      </c>
    </row>
    <row r="752" spans="1:12" ht="100.8" hidden="1" x14ac:dyDescent="0.3">
      <c r="A752" s="5">
        <v>18800905</v>
      </c>
      <c r="B752" s="6" t="s">
        <v>636</v>
      </c>
      <c r="C752" s="6" t="s">
        <v>59</v>
      </c>
      <c r="D752" s="8" t="s">
        <v>60</v>
      </c>
      <c r="E752" s="6" t="s">
        <v>637</v>
      </c>
      <c r="F752" s="6" t="s">
        <v>51</v>
      </c>
      <c r="G752" s="11">
        <v>46122.604166666664</v>
      </c>
      <c r="I752" s="10" t="s">
        <v>638</v>
      </c>
      <c r="J752" s="6" t="s">
        <v>639</v>
      </c>
      <c r="K752" s="12">
        <v>46120.409097222226</v>
      </c>
      <c r="L752" s="6" t="e" cm="1">
        <f t="array" ref="L752">LOOKUP(2^15,SEARCH(Tabela2[Palavras-Chave],Boletim4[[#This Row],[Objeto]],1),Tabela2[Palavras-Chave])</f>
        <v>#N/A</v>
      </c>
    </row>
    <row r="753" spans="1:12" ht="100.8" hidden="1" x14ac:dyDescent="0.3">
      <c r="A753" s="5">
        <v>18800828</v>
      </c>
      <c r="B753" s="6" t="s">
        <v>640</v>
      </c>
      <c r="C753" s="6" t="s">
        <v>641</v>
      </c>
      <c r="D753" s="8" t="s">
        <v>60</v>
      </c>
      <c r="E753" s="6" t="s">
        <v>642</v>
      </c>
      <c r="F753" s="6" t="s">
        <v>51</v>
      </c>
      <c r="G753" s="11">
        <v>46122.625</v>
      </c>
      <c r="I753" s="10" t="s">
        <v>643</v>
      </c>
      <c r="J753" s="6" t="s">
        <v>644</v>
      </c>
      <c r="K753" s="12">
        <v>46120.409108796295</v>
      </c>
      <c r="L753" s="6" t="e" cm="1">
        <f t="array" ref="L753">LOOKUP(2^15,SEARCH(Tabela2[Palavras-Chave],Boletim4[[#This Row],[Objeto]],1),Tabela2[Palavras-Chave])</f>
        <v>#N/A</v>
      </c>
    </row>
    <row r="754" spans="1:12" ht="86.4" hidden="1" x14ac:dyDescent="0.3">
      <c r="A754" s="5">
        <v>18800866</v>
      </c>
      <c r="B754" s="6" t="s">
        <v>645</v>
      </c>
      <c r="C754" s="6" t="s">
        <v>59</v>
      </c>
      <c r="D754" s="8" t="s">
        <v>60</v>
      </c>
      <c r="E754" s="6" t="s">
        <v>646</v>
      </c>
      <c r="F754" s="6" t="s">
        <v>51</v>
      </c>
      <c r="G754" s="11">
        <v>46122.625</v>
      </c>
      <c r="I754" s="10" t="s">
        <v>647</v>
      </c>
      <c r="J754" s="6" t="s">
        <v>648</v>
      </c>
      <c r="K754" s="12">
        <v>46120.409131944441</v>
      </c>
      <c r="L754" s="6" t="e" cm="1">
        <f t="array" ref="L754">LOOKUP(2^15,SEARCH(Tabela2[Palavras-Chave],Boletim4[[#This Row],[Objeto]],1),Tabela2[Palavras-Chave])</f>
        <v>#N/A</v>
      </c>
    </row>
    <row r="755" spans="1:12" hidden="1" x14ac:dyDescent="0.3">
      <c r="A755" s="5">
        <v>18801870</v>
      </c>
      <c r="B755" s="6" t="s">
        <v>194</v>
      </c>
      <c r="C755" s="6" t="s">
        <v>59</v>
      </c>
      <c r="D755" s="8" t="s">
        <v>60</v>
      </c>
      <c r="E755" s="6" t="s">
        <v>2697</v>
      </c>
      <c r="F755" s="6" t="s">
        <v>51</v>
      </c>
      <c r="G755" s="11" t="s">
        <v>56</v>
      </c>
      <c r="I755" s="10" t="s">
        <v>2698</v>
      </c>
      <c r="J755" s="6" t="s">
        <v>90</v>
      </c>
      <c r="K755" s="12">
        <v>46120.437280092592</v>
      </c>
      <c r="L755" s="6" t="e" cm="1">
        <f t="array" ref="L755">LOOKUP(2^15,SEARCH(Tabela2[Palavras-Chave],Boletim4[[#This Row],[Objeto]],1),Tabela2[Palavras-Chave])</f>
        <v>#N/A</v>
      </c>
    </row>
    <row r="756" spans="1:12" hidden="1" x14ac:dyDescent="0.3">
      <c r="A756" s="5">
        <v>18801869</v>
      </c>
      <c r="B756" s="6" t="s">
        <v>194</v>
      </c>
      <c r="C756" s="6" t="s">
        <v>59</v>
      </c>
      <c r="D756" s="8" t="s">
        <v>60</v>
      </c>
      <c r="E756" s="6" t="s">
        <v>2699</v>
      </c>
      <c r="F756" s="6" t="s">
        <v>51</v>
      </c>
      <c r="G756" s="11" t="s">
        <v>56</v>
      </c>
      <c r="I756" s="10" t="s">
        <v>2700</v>
      </c>
      <c r="J756" s="6" t="s">
        <v>90</v>
      </c>
      <c r="K756" s="12">
        <v>46120.437326388892</v>
      </c>
      <c r="L756" s="6" t="e" cm="1">
        <f t="array" ref="L756">LOOKUP(2^15,SEARCH(Tabela2[Palavras-Chave],Boletim4[[#This Row],[Objeto]],1),Tabela2[Palavras-Chave])</f>
        <v>#N/A</v>
      </c>
    </row>
    <row r="757" spans="1:12" hidden="1" x14ac:dyDescent="0.3">
      <c r="A757" s="5">
        <v>18801859</v>
      </c>
      <c r="B757" s="6" t="s">
        <v>194</v>
      </c>
      <c r="C757" s="6" t="s">
        <v>59</v>
      </c>
      <c r="D757" s="8" t="s">
        <v>60</v>
      </c>
      <c r="E757" s="6" t="s">
        <v>2701</v>
      </c>
      <c r="F757" s="6" t="s">
        <v>51</v>
      </c>
      <c r="G757" s="11" t="s">
        <v>56</v>
      </c>
      <c r="I757" s="10" t="s">
        <v>2702</v>
      </c>
      <c r="J757" s="6" t="s">
        <v>90</v>
      </c>
      <c r="K757" s="12">
        <v>46120.437673611108</v>
      </c>
      <c r="L757" s="6" t="e" cm="1">
        <f t="array" ref="L757">LOOKUP(2^15,SEARCH(Tabela2[Palavras-Chave],Boletim4[[#This Row],[Objeto]],1),Tabela2[Palavras-Chave])</f>
        <v>#N/A</v>
      </c>
    </row>
    <row r="758" spans="1:12" hidden="1" x14ac:dyDescent="0.3">
      <c r="A758" s="5">
        <v>18801856</v>
      </c>
      <c r="B758" s="6" t="s">
        <v>194</v>
      </c>
      <c r="C758" s="6" t="s">
        <v>59</v>
      </c>
      <c r="D758" s="8" t="s">
        <v>60</v>
      </c>
      <c r="E758" s="6" t="s">
        <v>649</v>
      </c>
      <c r="F758" s="6" t="s">
        <v>51</v>
      </c>
      <c r="G758" s="11" t="s">
        <v>56</v>
      </c>
      <c r="I758" s="10" t="s">
        <v>650</v>
      </c>
      <c r="J758" s="6" t="s">
        <v>90</v>
      </c>
      <c r="K758" s="12">
        <v>46120.437731481485</v>
      </c>
      <c r="L758" s="6" t="e" cm="1">
        <f t="array" ref="L758">LOOKUP(2^15,SEARCH(Tabela2[Palavras-Chave],Boletim4[[#This Row],[Objeto]],1),Tabela2[Palavras-Chave])</f>
        <v>#N/A</v>
      </c>
    </row>
    <row r="759" spans="1:12" ht="201.6" hidden="1" x14ac:dyDescent="0.3">
      <c r="A759" s="5">
        <v>18801317</v>
      </c>
      <c r="B759" s="6" t="s">
        <v>651</v>
      </c>
      <c r="C759" s="6" t="s">
        <v>319</v>
      </c>
      <c r="D759" s="8" t="s">
        <v>60</v>
      </c>
      <c r="E759" s="6" t="s">
        <v>652</v>
      </c>
      <c r="F759" s="6" t="s">
        <v>51</v>
      </c>
      <c r="G759" s="11">
        <v>46125.333333333336</v>
      </c>
      <c r="I759" s="10" t="s">
        <v>653</v>
      </c>
      <c r="J759" s="6" t="s">
        <v>654</v>
      </c>
      <c r="K759" s="12">
        <v>46120.459224537037</v>
      </c>
      <c r="L759" s="6" t="e" cm="1">
        <f t="array" ref="L759">LOOKUP(2^15,SEARCH(Tabela2[Palavras-Chave],Boletim4[[#This Row],[Objeto]],1),Tabela2[Palavras-Chave])</f>
        <v>#N/A</v>
      </c>
    </row>
    <row r="760" spans="1:12" ht="72" hidden="1" x14ac:dyDescent="0.3">
      <c r="A760" s="5">
        <v>18765089</v>
      </c>
      <c r="B760" s="6" t="s">
        <v>74</v>
      </c>
      <c r="C760" s="6" t="s">
        <v>59</v>
      </c>
      <c r="D760" s="8" t="s">
        <v>60</v>
      </c>
      <c r="E760" s="6" t="s">
        <v>2703</v>
      </c>
      <c r="F760" s="6" t="s">
        <v>51</v>
      </c>
      <c r="G760" s="11" t="s">
        <v>56</v>
      </c>
      <c r="I760" s="10" t="s">
        <v>2704</v>
      </c>
      <c r="J760" s="6" t="s">
        <v>2705</v>
      </c>
      <c r="K760" s="12">
        <v>46120.468124999999</v>
      </c>
      <c r="L760" s="6" t="e" cm="1">
        <f t="array" ref="L760">LOOKUP(2^15,SEARCH(Tabela2[Palavras-Chave],Boletim4[[#This Row],[Objeto]],1),Tabela2[Palavras-Chave])</f>
        <v>#N/A</v>
      </c>
    </row>
    <row r="761" spans="1:12" hidden="1" x14ac:dyDescent="0.3">
      <c r="A761" s="5">
        <v>18801851</v>
      </c>
      <c r="B761" s="6" t="s">
        <v>194</v>
      </c>
      <c r="C761" s="6" t="s">
        <v>59</v>
      </c>
      <c r="D761" s="8" t="s">
        <v>60</v>
      </c>
      <c r="E761" s="6" t="s">
        <v>2706</v>
      </c>
      <c r="F761" s="6" t="s">
        <v>51</v>
      </c>
      <c r="G761" s="11" t="s">
        <v>56</v>
      </c>
      <c r="I761" s="10" t="s">
        <v>2707</v>
      </c>
      <c r="J761" s="6" t="s">
        <v>90</v>
      </c>
      <c r="K761" s="12">
        <v>46120.505798611113</v>
      </c>
      <c r="L761" s="6" t="e" cm="1">
        <f t="array" ref="L761">LOOKUP(2^15,SEARCH(Tabela2[Palavras-Chave],Boletim4[[#This Row],[Objeto]],1),Tabela2[Palavras-Chave])</f>
        <v>#N/A</v>
      </c>
    </row>
    <row r="762" spans="1:12" ht="86.4" hidden="1" x14ac:dyDescent="0.3">
      <c r="A762" s="5">
        <v>18802164</v>
      </c>
      <c r="B762" s="6" t="s">
        <v>321</v>
      </c>
      <c r="C762" s="6" t="s">
        <v>59</v>
      </c>
      <c r="D762" s="8" t="s">
        <v>60</v>
      </c>
      <c r="E762" s="6" t="s">
        <v>655</v>
      </c>
      <c r="F762" s="6" t="s">
        <v>51</v>
      </c>
      <c r="G762" s="11">
        <v>46126.333333333336</v>
      </c>
      <c r="I762" s="10" t="s">
        <v>656</v>
      </c>
      <c r="J762" s="6" t="s">
        <v>657</v>
      </c>
      <c r="K762" s="12">
        <v>46120.510428240741</v>
      </c>
      <c r="L762" s="6" t="e" cm="1">
        <f t="array" ref="L762">LOOKUP(2^15,SEARCH(Tabela2[Palavras-Chave],Boletim4[[#This Row],[Objeto]],1),Tabela2[Palavras-Chave])</f>
        <v>#N/A</v>
      </c>
    </row>
    <row r="763" spans="1:12" hidden="1" x14ac:dyDescent="0.3">
      <c r="A763" s="5">
        <v>18801865</v>
      </c>
      <c r="B763" s="6" t="s">
        <v>194</v>
      </c>
      <c r="C763" s="6" t="s">
        <v>59</v>
      </c>
      <c r="D763" s="8" t="s">
        <v>60</v>
      </c>
      <c r="E763" s="6" t="s">
        <v>2708</v>
      </c>
      <c r="F763" s="6" t="s">
        <v>51</v>
      </c>
      <c r="G763" s="11" t="s">
        <v>56</v>
      </c>
      <c r="I763" s="10" t="s">
        <v>2709</v>
      </c>
      <c r="J763" s="6" t="s">
        <v>90</v>
      </c>
      <c r="K763" s="12">
        <v>46120.526076388887</v>
      </c>
      <c r="L763" s="6" t="e" cm="1">
        <f t="array" ref="L763">LOOKUP(2^15,SEARCH(Tabela2[Palavras-Chave],Boletim4[[#This Row],[Objeto]],1),Tabela2[Palavras-Chave])</f>
        <v>#N/A</v>
      </c>
    </row>
    <row r="764" spans="1:12" hidden="1" x14ac:dyDescent="0.3">
      <c r="A764" s="5">
        <v>18801860</v>
      </c>
      <c r="B764" s="6" t="s">
        <v>194</v>
      </c>
      <c r="C764" s="6" t="s">
        <v>59</v>
      </c>
      <c r="D764" s="8" t="s">
        <v>60</v>
      </c>
      <c r="E764" s="6" t="s">
        <v>2710</v>
      </c>
      <c r="F764" s="6" t="s">
        <v>51</v>
      </c>
      <c r="G764" s="11" t="s">
        <v>56</v>
      </c>
      <c r="I764" s="10" t="s">
        <v>2711</v>
      </c>
      <c r="J764" s="6" t="s">
        <v>90</v>
      </c>
      <c r="K764" s="12">
        <v>46120.526122685187</v>
      </c>
      <c r="L764" s="6" t="e" cm="1">
        <f t="array" ref="L764">LOOKUP(2^15,SEARCH(Tabela2[Palavras-Chave],Boletim4[[#This Row],[Objeto]],1),Tabela2[Palavras-Chave])</f>
        <v>#N/A</v>
      </c>
    </row>
    <row r="765" spans="1:12" ht="86.4" hidden="1" x14ac:dyDescent="0.3">
      <c r="A765" s="5">
        <v>18802082</v>
      </c>
      <c r="B765" s="6" t="s">
        <v>658</v>
      </c>
      <c r="C765" s="6" t="s">
        <v>59</v>
      </c>
      <c r="D765" s="8" t="s">
        <v>60</v>
      </c>
      <c r="E765" s="6" t="s">
        <v>659</v>
      </c>
      <c r="F765" s="6" t="s">
        <v>51</v>
      </c>
      <c r="G765" s="11">
        <v>46126.333333333336</v>
      </c>
      <c r="I765" s="10" t="s">
        <v>660</v>
      </c>
      <c r="J765" s="6" t="s">
        <v>661</v>
      </c>
      <c r="K765" s="12">
        <v>46120.528645833336</v>
      </c>
      <c r="L765" s="6" t="e" cm="1">
        <f t="array" ref="L765">LOOKUP(2^15,SEARCH(Tabela2[Palavras-Chave],Boletim4[[#This Row],[Objeto]],1),Tabela2[Palavras-Chave])</f>
        <v>#N/A</v>
      </c>
    </row>
    <row r="766" spans="1:12" hidden="1" x14ac:dyDescent="0.3">
      <c r="A766" s="5">
        <v>18801850</v>
      </c>
      <c r="B766" s="6" t="s">
        <v>194</v>
      </c>
      <c r="C766" s="6" t="s">
        <v>59</v>
      </c>
      <c r="D766" s="8" t="s">
        <v>60</v>
      </c>
      <c r="E766" s="6" t="s">
        <v>662</v>
      </c>
      <c r="F766" s="6" t="s">
        <v>51</v>
      </c>
      <c r="G766" s="11" t="s">
        <v>56</v>
      </c>
      <c r="I766" s="10" t="s">
        <v>663</v>
      </c>
      <c r="J766" s="6" t="s">
        <v>90</v>
      </c>
      <c r="K766" s="12">
        <v>46120.544814814813</v>
      </c>
      <c r="L766" s="6" t="e" cm="1">
        <f t="array" ref="L766">LOOKUP(2^15,SEARCH(Tabela2[Palavras-Chave],Boletim4[[#This Row],[Objeto]],1),Tabela2[Palavras-Chave])</f>
        <v>#N/A</v>
      </c>
    </row>
    <row r="767" spans="1:12" ht="100.8" hidden="1" x14ac:dyDescent="0.3">
      <c r="A767" s="5">
        <v>18801268</v>
      </c>
      <c r="B767" s="6" t="s">
        <v>664</v>
      </c>
      <c r="C767" s="6" t="s">
        <v>251</v>
      </c>
      <c r="D767" s="8" t="s">
        <v>60</v>
      </c>
      <c r="E767" s="6" t="s">
        <v>665</v>
      </c>
      <c r="F767" s="6" t="s">
        <v>51</v>
      </c>
      <c r="G767" s="11">
        <v>46122.75</v>
      </c>
      <c r="I767" s="10" t="s">
        <v>666</v>
      </c>
      <c r="J767" s="6" t="s">
        <v>667</v>
      </c>
      <c r="K767" s="12">
        <v>46120.555405092593</v>
      </c>
      <c r="L767" s="6" t="e" cm="1">
        <f t="array" ref="L767">LOOKUP(2^15,SEARCH(Tabela2[Palavras-Chave],Boletim4[[#This Row],[Objeto]],1),Tabela2[Palavras-Chave])</f>
        <v>#N/A</v>
      </c>
    </row>
    <row r="768" spans="1:12" hidden="1" x14ac:dyDescent="0.3">
      <c r="A768" s="5">
        <v>18801863</v>
      </c>
      <c r="B768" s="6" t="s">
        <v>194</v>
      </c>
      <c r="C768" s="6" t="s">
        <v>59</v>
      </c>
      <c r="D768" s="8" t="s">
        <v>60</v>
      </c>
      <c r="E768" s="6" t="s">
        <v>2712</v>
      </c>
      <c r="F768" s="6" t="s">
        <v>51</v>
      </c>
      <c r="G768" s="11" t="s">
        <v>56</v>
      </c>
      <c r="I768" s="10" t="s">
        <v>2713</v>
      </c>
      <c r="J768" s="6" t="s">
        <v>90</v>
      </c>
      <c r="K768" s="12">
        <v>46120.555879629632</v>
      </c>
      <c r="L768" s="6" t="e" cm="1">
        <f t="array" ref="L768">LOOKUP(2^15,SEARCH(Tabela2[Palavras-Chave],Boletim4[[#This Row],[Objeto]],1),Tabela2[Palavras-Chave])</f>
        <v>#N/A</v>
      </c>
    </row>
    <row r="769" spans="1:12" hidden="1" x14ac:dyDescent="0.3">
      <c r="A769" s="5">
        <v>18801855</v>
      </c>
      <c r="B769" s="6" t="s">
        <v>194</v>
      </c>
      <c r="C769" s="6" t="s">
        <v>59</v>
      </c>
      <c r="D769" s="8" t="s">
        <v>60</v>
      </c>
      <c r="E769" s="6" t="s">
        <v>668</v>
      </c>
      <c r="F769" s="6" t="s">
        <v>51</v>
      </c>
      <c r="G769" s="11" t="s">
        <v>56</v>
      </c>
      <c r="I769" s="10" t="s">
        <v>669</v>
      </c>
      <c r="J769" s="6" t="s">
        <v>90</v>
      </c>
      <c r="K769" s="12">
        <v>46120.556620370371</v>
      </c>
      <c r="L769" s="6" t="e" cm="1">
        <f t="array" ref="L769">LOOKUP(2^15,SEARCH(Tabela2[Palavras-Chave],Boletim4[[#This Row],[Objeto]],1),Tabela2[Palavras-Chave])</f>
        <v>#N/A</v>
      </c>
    </row>
    <row r="770" spans="1:12" ht="86.4" hidden="1" x14ac:dyDescent="0.3">
      <c r="A770" s="5">
        <v>18803282</v>
      </c>
      <c r="B770" s="6" t="s">
        <v>670</v>
      </c>
      <c r="C770" s="6" t="s">
        <v>319</v>
      </c>
      <c r="D770" s="8" t="s">
        <v>60</v>
      </c>
      <c r="E770" s="6" t="s">
        <v>671</v>
      </c>
      <c r="F770" s="6" t="s">
        <v>51</v>
      </c>
      <c r="G770" s="11">
        <v>46125.375</v>
      </c>
      <c r="I770" s="10" t="s">
        <v>672</v>
      </c>
      <c r="J770" s="6" t="s">
        <v>673</v>
      </c>
      <c r="K770" s="12">
        <v>46120.590520833335</v>
      </c>
      <c r="L770" s="6" t="e" cm="1">
        <f t="array" ref="L770">LOOKUP(2^15,SEARCH(Tabela2[Palavras-Chave],Boletim4[[#This Row],[Objeto]],1),Tabela2[Palavras-Chave])</f>
        <v>#N/A</v>
      </c>
    </row>
    <row r="771" spans="1:12" ht="28.8" hidden="1" x14ac:dyDescent="0.3">
      <c r="A771" s="5">
        <v>18779904</v>
      </c>
      <c r="B771" s="6" t="s">
        <v>217</v>
      </c>
      <c r="C771" s="6" t="s">
        <v>59</v>
      </c>
      <c r="D771" s="8" t="s">
        <v>60</v>
      </c>
      <c r="E771" s="6" t="s">
        <v>674</v>
      </c>
      <c r="F771" s="6" t="s">
        <v>51</v>
      </c>
      <c r="G771" s="11" t="s">
        <v>56</v>
      </c>
      <c r="I771" s="10" t="s">
        <v>675</v>
      </c>
      <c r="J771" s="6" t="s">
        <v>138</v>
      </c>
      <c r="K771" s="12">
        <v>46120.600752314815</v>
      </c>
      <c r="L771" s="6" t="e" cm="1">
        <f t="array" ref="L771">LOOKUP(2^15,SEARCH(Tabela2[Palavras-Chave],Boletim4[[#This Row],[Objeto]],1),Tabela2[Palavras-Chave])</f>
        <v>#N/A</v>
      </c>
    </row>
    <row r="772" spans="1:12" ht="100.8" hidden="1" x14ac:dyDescent="0.3">
      <c r="A772" s="5">
        <v>18801314</v>
      </c>
      <c r="B772" s="6" t="s">
        <v>676</v>
      </c>
      <c r="C772" s="6" t="s">
        <v>59</v>
      </c>
      <c r="D772" s="8" t="s">
        <v>60</v>
      </c>
      <c r="E772" s="6" t="s">
        <v>677</v>
      </c>
      <c r="F772" s="6" t="s">
        <v>51</v>
      </c>
      <c r="G772" s="11">
        <v>46122.708333333336</v>
      </c>
      <c r="I772" s="10" t="s">
        <v>678</v>
      </c>
      <c r="J772" s="6" t="s">
        <v>679</v>
      </c>
      <c r="K772" s="12">
        <v>46120.661111111112</v>
      </c>
      <c r="L772" s="6" t="e" cm="1">
        <f t="array" ref="L772">LOOKUP(2^15,SEARCH(Tabela2[Palavras-Chave],Boletim4[[#This Row],[Objeto]],1),Tabela2[Palavras-Chave])</f>
        <v>#N/A</v>
      </c>
    </row>
    <row r="773" spans="1:12" ht="158.4" hidden="1" x14ac:dyDescent="0.3">
      <c r="A773" s="5">
        <v>18803303</v>
      </c>
      <c r="B773" s="6" t="s">
        <v>680</v>
      </c>
      <c r="C773" s="6" t="s">
        <v>681</v>
      </c>
      <c r="D773" s="8" t="s">
        <v>60</v>
      </c>
      <c r="E773" s="6" t="s">
        <v>682</v>
      </c>
      <c r="F773" s="6" t="s">
        <v>51</v>
      </c>
      <c r="G773" s="11">
        <v>46125.5</v>
      </c>
      <c r="I773" s="10" t="s">
        <v>683</v>
      </c>
      <c r="J773" s="6" t="s">
        <v>684</v>
      </c>
      <c r="K773" s="12">
        <v>46120.672372685185</v>
      </c>
      <c r="L773" s="6" t="e" cm="1">
        <f t="array" ref="L773">LOOKUP(2^15,SEARCH(Tabela2[Palavras-Chave],Boletim4[[#This Row],[Objeto]],1),Tabela2[Palavras-Chave])</f>
        <v>#N/A</v>
      </c>
    </row>
    <row r="774" spans="1:12" ht="86.4" hidden="1" x14ac:dyDescent="0.3">
      <c r="A774" s="5">
        <v>18801277</v>
      </c>
      <c r="B774" s="6" t="s">
        <v>685</v>
      </c>
      <c r="C774" s="6" t="s">
        <v>356</v>
      </c>
      <c r="D774" s="8" t="s">
        <v>60</v>
      </c>
      <c r="E774" s="6" t="s">
        <v>686</v>
      </c>
      <c r="F774" s="6" t="s">
        <v>51</v>
      </c>
      <c r="G774" s="11">
        <v>46125.333333333336</v>
      </c>
      <c r="I774" s="10" t="s">
        <v>687</v>
      </c>
      <c r="J774" s="6" t="s">
        <v>688</v>
      </c>
      <c r="K774" s="12">
        <v>46120.671655092592</v>
      </c>
      <c r="L774" s="6" t="e" cm="1">
        <f t="array" ref="L774">LOOKUP(2^15,SEARCH(Tabela2[Palavras-Chave],Boletim4[[#This Row],[Objeto]],1),Tabela2[Palavras-Chave])</f>
        <v>#N/A</v>
      </c>
    </row>
    <row r="775" spans="1:12" ht="86.4" hidden="1" x14ac:dyDescent="0.3">
      <c r="A775" s="5">
        <v>18803290</v>
      </c>
      <c r="B775" s="6" t="s">
        <v>689</v>
      </c>
      <c r="C775" s="6" t="s">
        <v>59</v>
      </c>
      <c r="D775" s="8" t="s">
        <v>60</v>
      </c>
      <c r="E775" s="6" t="s">
        <v>690</v>
      </c>
      <c r="F775" s="6" t="s">
        <v>51</v>
      </c>
      <c r="G775" s="11">
        <v>46125.416666666664</v>
      </c>
      <c r="I775" s="10" t="s">
        <v>691</v>
      </c>
      <c r="J775" s="6" t="s">
        <v>692</v>
      </c>
      <c r="K775" s="12">
        <v>46120.672372685185</v>
      </c>
      <c r="L775" s="6" t="e" cm="1">
        <f t="array" ref="L775">LOOKUP(2^15,SEARCH(Tabela2[Palavras-Chave],Boletim4[[#This Row],[Objeto]],1),Tabela2[Palavras-Chave])</f>
        <v>#N/A</v>
      </c>
    </row>
    <row r="776" spans="1:12" ht="144" hidden="1" x14ac:dyDescent="0.3">
      <c r="A776" s="5">
        <v>18804589</v>
      </c>
      <c r="B776" s="6" t="s">
        <v>323</v>
      </c>
      <c r="C776" s="6" t="s">
        <v>252</v>
      </c>
      <c r="D776" s="8" t="s">
        <v>60</v>
      </c>
      <c r="E776" s="6" t="s">
        <v>693</v>
      </c>
      <c r="F776" s="6" t="s">
        <v>51</v>
      </c>
      <c r="G776" s="11">
        <v>46125.458333333336</v>
      </c>
      <c r="I776" s="10" t="s">
        <v>694</v>
      </c>
      <c r="J776" s="6" t="s">
        <v>695</v>
      </c>
      <c r="K776" s="12">
        <v>46120.675000000003</v>
      </c>
      <c r="L776" s="6" t="e" cm="1">
        <f t="array" ref="L776">LOOKUP(2^15,SEARCH(Tabela2[Palavras-Chave],Boletim4[[#This Row],[Objeto]],1),Tabela2[Palavras-Chave])</f>
        <v>#N/A</v>
      </c>
    </row>
    <row r="777" spans="1:12" ht="86.4" hidden="1" x14ac:dyDescent="0.3">
      <c r="A777" s="5">
        <v>18804416</v>
      </c>
      <c r="B777" s="6" t="s">
        <v>696</v>
      </c>
      <c r="C777" s="6" t="s">
        <v>697</v>
      </c>
      <c r="D777" s="8" t="s">
        <v>60</v>
      </c>
      <c r="E777" s="6" t="s">
        <v>698</v>
      </c>
      <c r="F777" s="6" t="s">
        <v>51</v>
      </c>
      <c r="G777" s="11">
        <v>46125.479166666664</v>
      </c>
      <c r="I777" s="10" t="s">
        <v>699</v>
      </c>
      <c r="J777" s="6" t="s">
        <v>700</v>
      </c>
      <c r="K777" s="12">
        <v>46120.679907407408</v>
      </c>
      <c r="L777" s="6" t="e" cm="1">
        <f t="array" ref="L777">LOOKUP(2^15,SEARCH(Tabela2[Palavras-Chave],Boletim4[[#This Row],[Objeto]],1),Tabela2[Palavras-Chave])</f>
        <v>#N/A</v>
      </c>
    </row>
    <row r="778" spans="1:12" ht="100.8" hidden="1" x14ac:dyDescent="0.3">
      <c r="A778" s="5">
        <v>18801767</v>
      </c>
      <c r="B778" s="6" t="s">
        <v>2714</v>
      </c>
      <c r="C778" s="6" t="s">
        <v>336</v>
      </c>
      <c r="D778" s="8" t="s">
        <v>60</v>
      </c>
      <c r="E778" s="6" t="s">
        <v>118</v>
      </c>
      <c r="F778" s="6" t="s">
        <v>51</v>
      </c>
      <c r="G778" s="11">
        <v>46122.625</v>
      </c>
      <c r="I778" s="10" t="s">
        <v>2715</v>
      </c>
      <c r="J778" s="6" t="s">
        <v>2716</v>
      </c>
      <c r="K778" s="12">
        <v>46120.701481481483</v>
      </c>
      <c r="L778" s="6" t="e" cm="1">
        <f t="array" ref="L778">LOOKUP(2^15,SEARCH(Tabela2[Palavras-Chave],Boletim4[[#This Row],[Objeto]],1),Tabela2[Palavras-Chave])</f>
        <v>#N/A</v>
      </c>
    </row>
    <row r="779" spans="1:12" ht="129.6" x14ac:dyDescent="0.3">
      <c r="A779" s="5">
        <v>18802468</v>
      </c>
      <c r="B779" s="6" t="s">
        <v>701</v>
      </c>
      <c r="C779" s="6" t="s">
        <v>702</v>
      </c>
      <c r="D779" s="8" t="s">
        <v>60</v>
      </c>
      <c r="E779" s="6" t="s">
        <v>141</v>
      </c>
      <c r="F779" s="6" t="s">
        <v>51</v>
      </c>
      <c r="G779" s="11">
        <v>46122.645833333336</v>
      </c>
      <c r="H779" s="23">
        <v>2</v>
      </c>
      <c r="I779" s="10" t="s">
        <v>703</v>
      </c>
      <c r="J779" s="6" t="s">
        <v>704</v>
      </c>
      <c r="K779" s="12">
        <v>46120.731099537035</v>
      </c>
      <c r="L779" s="6" t="str" cm="1">
        <f t="array" ref="L779">LOOKUP(2^15,SEARCH(Tabela2[Palavras-Chave],Boletim4[[#This Row],[Objeto]],1),Tabela2[Palavras-Chave])</f>
        <v>EFICIÊNCIA</v>
      </c>
    </row>
    <row r="780" spans="1:12" ht="86.4" hidden="1" x14ac:dyDescent="0.3">
      <c r="A780" s="5">
        <v>18803280</v>
      </c>
      <c r="B780" s="6" t="s">
        <v>645</v>
      </c>
      <c r="C780" s="6" t="s">
        <v>59</v>
      </c>
      <c r="D780" s="8" t="s">
        <v>60</v>
      </c>
      <c r="E780" s="6" t="s">
        <v>705</v>
      </c>
      <c r="F780" s="6" t="s">
        <v>51</v>
      </c>
      <c r="G780" s="11">
        <v>46126.458333333336</v>
      </c>
      <c r="I780" s="10" t="s">
        <v>706</v>
      </c>
      <c r="J780" s="6" t="s">
        <v>707</v>
      </c>
      <c r="K780" s="12">
        <v>46120.735613425924</v>
      </c>
      <c r="L780" s="6" t="e" cm="1">
        <f t="array" ref="L780">LOOKUP(2^15,SEARCH(Tabela2[Palavras-Chave],Boletim4[[#This Row],[Objeto]],1),Tabela2[Palavras-Chave])</f>
        <v>#N/A</v>
      </c>
    </row>
    <row r="781" spans="1:12" ht="158.4" hidden="1" x14ac:dyDescent="0.3">
      <c r="A781" s="5">
        <v>18803326</v>
      </c>
      <c r="B781" s="6" t="s">
        <v>708</v>
      </c>
      <c r="C781" s="6" t="s">
        <v>628</v>
      </c>
      <c r="D781" s="8" t="s">
        <v>60</v>
      </c>
      <c r="E781" s="6" t="s">
        <v>709</v>
      </c>
      <c r="F781" s="6" t="s">
        <v>51</v>
      </c>
      <c r="G781" s="11">
        <v>46125.375</v>
      </c>
      <c r="I781" s="10" t="s">
        <v>710</v>
      </c>
      <c r="J781" s="6" t="s">
        <v>711</v>
      </c>
      <c r="K781" s="12">
        <v>46120.738599537035</v>
      </c>
      <c r="L781" s="6" t="e" cm="1">
        <f t="array" ref="L781">LOOKUP(2^15,SEARCH(Tabela2[Palavras-Chave],Boletim4[[#This Row],[Objeto]],1),Tabela2[Palavras-Chave])</f>
        <v>#N/A</v>
      </c>
    </row>
    <row r="782" spans="1:12" hidden="1" x14ac:dyDescent="0.3">
      <c r="A782" s="5">
        <v>18801867</v>
      </c>
      <c r="B782" s="6" t="s">
        <v>194</v>
      </c>
      <c r="C782" s="6" t="s">
        <v>59</v>
      </c>
      <c r="D782" s="8" t="s">
        <v>60</v>
      </c>
      <c r="E782" s="6" t="s">
        <v>2717</v>
      </c>
      <c r="F782" s="6" t="s">
        <v>51</v>
      </c>
      <c r="G782" s="11" t="s">
        <v>56</v>
      </c>
      <c r="I782" s="10" t="s">
        <v>2718</v>
      </c>
      <c r="J782" s="6" t="s">
        <v>90</v>
      </c>
      <c r="K782" s="12">
        <v>46120.755393518521</v>
      </c>
      <c r="L782" s="6" t="e" cm="1">
        <f t="array" ref="L782">LOOKUP(2^15,SEARCH(Tabela2[Palavras-Chave],Boletim4[[#This Row],[Objeto]],1),Tabela2[Palavras-Chave])</f>
        <v>#N/A</v>
      </c>
    </row>
    <row r="783" spans="1:12" ht="86.4" hidden="1" x14ac:dyDescent="0.3">
      <c r="A783" s="5">
        <v>18804559</v>
      </c>
      <c r="B783" s="6" t="s">
        <v>712</v>
      </c>
      <c r="C783" s="6" t="s">
        <v>713</v>
      </c>
      <c r="D783" s="8" t="s">
        <v>60</v>
      </c>
      <c r="E783" s="6" t="s">
        <v>714</v>
      </c>
      <c r="F783" s="6" t="s">
        <v>51</v>
      </c>
      <c r="G783" s="11">
        <v>46125.5</v>
      </c>
      <c r="I783" s="10" t="s">
        <v>715</v>
      </c>
      <c r="J783" s="6" t="s">
        <v>716</v>
      </c>
      <c r="K783" s="12">
        <v>46120.758923611109</v>
      </c>
      <c r="L783" s="6" t="e" cm="1">
        <f t="array" ref="L783">LOOKUP(2^15,SEARCH(Tabela2[Palavras-Chave],Boletim4[[#This Row],[Objeto]],1),Tabela2[Palavras-Chave])</f>
        <v>#N/A</v>
      </c>
    </row>
    <row r="784" spans="1:12" ht="216" hidden="1" x14ac:dyDescent="0.3">
      <c r="A784" s="5">
        <v>18804563</v>
      </c>
      <c r="B784" s="6" t="s">
        <v>717</v>
      </c>
      <c r="C784" s="6" t="s">
        <v>59</v>
      </c>
      <c r="D784" s="8" t="s">
        <v>60</v>
      </c>
      <c r="E784" s="6" t="s">
        <v>718</v>
      </c>
      <c r="F784" s="6" t="s">
        <v>51</v>
      </c>
      <c r="G784" s="11">
        <v>46126.5</v>
      </c>
      <c r="I784" s="10" t="s">
        <v>719</v>
      </c>
      <c r="J784" s="6" t="s">
        <v>720</v>
      </c>
      <c r="K784" s="12">
        <v>46120.759201388886</v>
      </c>
      <c r="L784" s="6" t="e" cm="1">
        <f t="array" ref="L784">LOOKUP(2^15,SEARCH(Tabela2[Palavras-Chave],Boletim4[[#This Row],[Objeto]],1),Tabela2[Palavras-Chave])</f>
        <v>#N/A</v>
      </c>
    </row>
    <row r="785" spans="1:12" ht="100.8" hidden="1" x14ac:dyDescent="0.3">
      <c r="A785" s="5">
        <v>18805724</v>
      </c>
      <c r="B785" s="6" t="s">
        <v>2719</v>
      </c>
      <c r="C785" s="6" t="s">
        <v>319</v>
      </c>
      <c r="D785" s="8" t="s">
        <v>60</v>
      </c>
      <c r="E785" s="6" t="s">
        <v>110</v>
      </c>
      <c r="F785" s="6" t="s">
        <v>51</v>
      </c>
      <c r="G785" s="11" t="s">
        <v>56</v>
      </c>
      <c r="I785" s="10" t="s">
        <v>2720</v>
      </c>
      <c r="J785" s="6" t="s">
        <v>2721</v>
      </c>
      <c r="K785" s="12">
        <v>46120.762812499997</v>
      </c>
      <c r="L785" s="6" t="e" cm="1">
        <f t="array" ref="L785">LOOKUP(2^15,SEARCH(Tabela2[Palavras-Chave],Boletim4[[#This Row],[Objeto]],1),Tabela2[Palavras-Chave])</f>
        <v>#N/A</v>
      </c>
    </row>
    <row r="786" spans="1:12" ht="86.4" hidden="1" x14ac:dyDescent="0.3">
      <c r="A786" s="5">
        <v>18804506</v>
      </c>
      <c r="B786" s="6" t="s">
        <v>721</v>
      </c>
      <c r="C786" s="6" t="s">
        <v>697</v>
      </c>
      <c r="D786" s="8" t="s">
        <v>60</v>
      </c>
      <c r="E786" s="6" t="s">
        <v>722</v>
      </c>
      <c r="F786" s="6" t="s">
        <v>51</v>
      </c>
      <c r="G786" s="11">
        <v>46125.520833333336</v>
      </c>
      <c r="I786" s="10" t="s">
        <v>723</v>
      </c>
      <c r="J786" s="6" t="s">
        <v>724</v>
      </c>
      <c r="K786" s="12">
        <v>46120.766944444447</v>
      </c>
      <c r="L786" s="6" t="e" cm="1">
        <f t="array" ref="L786">LOOKUP(2^15,SEARCH(Tabela2[Palavras-Chave],Boletim4[[#This Row],[Objeto]],1),Tabela2[Palavras-Chave])</f>
        <v>#N/A</v>
      </c>
    </row>
    <row r="787" spans="1:12" ht="86.4" hidden="1" x14ac:dyDescent="0.3">
      <c r="A787" s="5">
        <v>18805799</v>
      </c>
      <c r="B787" s="6" t="s">
        <v>322</v>
      </c>
      <c r="C787" s="6" t="s">
        <v>59</v>
      </c>
      <c r="D787" s="8" t="s">
        <v>60</v>
      </c>
      <c r="E787" s="6" t="s">
        <v>725</v>
      </c>
      <c r="F787" s="6" t="s">
        <v>51</v>
      </c>
      <c r="G787" s="11">
        <v>46122.416666666664</v>
      </c>
      <c r="I787" s="10" t="s">
        <v>726</v>
      </c>
      <c r="J787" s="6" t="s">
        <v>727</v>
      </c>
      <c r="K787" s="12">
        <v>46120.770335648151</v>
      </c>
      <c r="L787" s="6" t="e" cm="1">
        <f t="array" ref="L787">LOOKUP(2^15,SEARCH(Tabela2[Palavras-Chave],Boletim4[[#This Row],[Objeto]],1),Tabela2[Palavras-Chave])</f>
        <v>#N/A</v>
      </c>
    </row>
    <row r="788" spans="1:12" ht="86.4" hidden="1" x14ac:dyDescent="0.3">
      <c r="A788" s="5">
        <v>18805786</v>
      </c>
      <c r="B788" s="6" t="s">
        <v>322</v>
      </c>
      <c r="C788" s="6" t="s">
        <v>59</v>
      </c>
      <c r="D788" s="8" t="s">
        <v>60</v>
      </c>
      <c r="E788" s="6" t="s">
        <v>728</v>
      </c>
      <c r="F788" s="6" t="s">
        <v>51</v>
      </c>
      <c r="G788" s="11">
        <v>46121.458333333336</v>
      </c>
      <c r="I788" s="10" t="s">
        <v>726</v>
      </c>
      <c r="J788" s="6" t="s">
        <v>727</v>
      </c>
      <c r="K788" s="12">
        <v>46120.77039351852</v>
      </c>
      <c r="L788" s="6" t="e" cm="1">
        <f t="array" ref="L788">LOOKUP(2^15,SEARCH(Tabela2[Palavras-Chave],Boletim4[[#This Row],[Objeto]],1),Tabela2[Palavras-Chave])</f>
        <v>#N/A</v>
      </c>
    </row>
    <row r="789" spans="1:12" hidden="1" x14ac:dyDescent="0.3">
      <c r="A789" s="5">
        <v>18801847</v>
      </c>
      <c r="B789" s="6" t="s">
        <v>194</v>
      </c>
      <c r="C789" s="6" t="s">
        <v>59</v>
      </c>
      <c r="D789" s="8" t="s">
        <v>60</v>
      </c>
      <c r="E789" s="6" t="s">
        <v>2722</v>
      </c>
      <c r="F789" s="6" t="s">
        <v>51</v>
      </c>
      <c r="G789" s="11" t="s">
        <v>56</v>
      </c>
      <c r="I789" s="10" t="s">
        <v>2723</v>
      </c>
      <c r="J789" s="6" t="s">
        <v>90</v>
      </c>
      <c r="K789" s="12">
        <v>46120.780613425923</v>
      </c>
      <c r="L789" s="6" t="e" cm="1">
        <f t="array" ref="L789">LOOKUP(2^15,SEARCH(Tabela2[Palavras-Chave],Boletim4[[#This Row],[Objeto]],1),Tabela2[Palavras-Chave])</f>
        <v>#N/A</v>
      </c>
    </row>
    <row r="790" spans="1:12" ht="187.2" hidden="1" x14ac:dyDescent="0.3">
      <c r="A790" s="5">
        <v>18805914</v>
      </c>
      <c r="B790" s="6" t="s">
        <v>729</v>
      </c>
      <c r="C790" s="6" t="s">
        <v>59</v>
      </c>
      <c r="D790" s="8" t="s">
        <v>60</v>
      </c>
      <c r="E790" s="6" t="s">
        <v>730</v>
      </c>
      <c r="F790" s="6" t="s">
        <v>51</v>
      </c>
      <c r="G790" s="11">
        <v>46128.333333333336</v>
      </c>
      <c r="I790" s="10" t="s">
        <v>731</v>
      </c>
      <c r="J790" s="6" t="s">
        <v>732</v>
      </c>
      <c r="K790" s="12">
        <v>46120.785381944443</v>
      </c>
      <c r="L790" s="6" t="e" cm="1">
        <f t="array" ref="L790">LOOKUP(2^15,SEARCH(Tabela2[Palavras-Chave],Boletim4[[#This Row],[Objeto]],1),Tabela2[Palavras-Chave])</f>
        <v>#N/A</v>
      </c>
    </row>
    <row r="791" spans="1:12" ht="100.8" hidden="1" x14ac:dyDescent="0.3">
      <c r="A791" s="5">
        <v>18805898</v>
      </c>
      <c r="B791" s="6" t="s">
        <v>733</v>
      </c>
      <c r="C791" s="6" t="s">
        <v>59</v>
      </c>
      <c r="D791" s="8" t="s">
        <v>60</v>
      </c>
      <c r="E791" s="6" t="s">
        <v>734</v>
      </c>
      <c r="F791" s="6" t="s">
        <v>51</v>
      </c>
      <c r="G791" s="11">
        <v>46126.5</v>
      </c>
      <c r="I791" s="10" t="s">
        <v>735</v>
      </c>
      <c r="J791" s="6" t="s">
        <v>736</v>
      </c>
      <c r="K791" s="12">
        <v>46120.78601851852</v>
      </c>
      <c r="L791" s="6" t="e" cm="1">
        <f t="array" ref="L791">LOOKUP(2^15,SEARCH(Tabela2[Palavras-Chave],Boletim4[[#This Row],[Objeto]],1),Tabela2[Palavras-Chave])</f>
        <v>#N/A</v>
      </c>
    </row>
    <row r="792" spans="1:12" ht="86.4" hidden="1" x14ac:dyDescent="0.3">
      <c r="A792" s="5">
        <v>18805878</v>
      </c>
      <c r="B792" s="6" t="s">
        <v>737</v>
      </c>
      <c r="C792" s="6" t="s">
        <v>738</v>
      </c>
      <c r="D792" s="8" t="s">
        <v>60</v>
      </c>
      <c r="E792" s="6" t="s">
        <v>739</v>
      </c>
      <c r="F792" s="6" t="s">
        <v>51</v>
      </c>
      <c r="G792" s="11">
        <v>46126.583333333336</v>
      </c>
      <c r="I792" s="10" t="s">
        <v>740</v>
      </c>
      <c r="J792" s="6" t="s">
        <v>741</v>
      </c>
      <c r="K792" s="12">
        <v>46120.786527777775</v>
      </c>
      <c r="L792" s="6" t="e" cm="1">
        <f t="array" ref="L792">LOOKUP(2^15,SEARCH(Tabela2[Palavras-Chave],Boletim4[[#This Row],[Objeto]],1),Tabela2[Palavras-Chave])</f>
        <v>#N/A</v>
      </c>
    </row>
    <row r="793" spans="1:12" hidden="1" x14ac:dyDescent="0.3">
      <c r="A793" s="5">
        <v>18801861</v>
      </c>
      <c r="B793" s="6" t="s">
        <v>194</v>
      </c>
      <c r="C793" s="6" t="s">
        <v>59</v>
      </c>
      <c r="D793" s="8" t="s">
        <v>60</v>
      </c>
      <c r="E793" s="6" t="s">
        <v>2724</v>
      </c>
      <c r="F793" s="6" t="s">
        <v>51</v>
      </c>
      <c r="G793" s="11" t="s">
        <v>56</v>
      </c>
      <c r="I793" s="10" t="s">
        <v>2725</v>
      </c>
      <c r="J793" s="6" t="s">
        <v>90</v>
      </c>
      <c r="K793" s="12">
        <v>46120.787974537037</v>
      </c>
      <c r="L793" s="6" t="e" cm="1">
        <f t="array" ref="L793">LOOKUP(2^15,SEARCH(Tabela2[Palavras-Chave],Boletim4[[#This Row],[Objeto]],1),Tabela2[Palavras-Chave])</f>
        <v>#N/A</v>
      </c>
    </row>
    <row r="794" spans="1:12" ht="86.4" hidden="1" x14ac:dyDescent="0.3">
      <c r="A794" s="5">
        <v>18801383</v>
      </c>
      <c r="B794" s="6" t="s">
        <v>645</v>
      </c>
      <c r="C794" s="6" t="s">
        <v>59</v>
      </c>
      <c r="D794" s="8" t="s">
        <v>60</v>
      </c>
      <c r="E794" s="6" t="s">
        <v>742</v>
      </c>
      <c r="F794" s="6" t="s">
        <v>51</v>
      </c>
      <c r="G794" s="11">
        <v>46126.375</v>
      </c>
      <c r="I794" s="10" t="s">
        <v>743</v>
      </c>
      <c r="J794" s="6" t="s">
        <v>744</v>
      </c>
      <c r="K794" s="12">
        <v>46120.817175925928</v>
      </c>
      <c r="L794" s="6" t="e" cm="1">
        <f t="array" ref="L794">LOOKUP(2^15,SEARCH(Tabela2[Palavras-Chave],Boletim4[[#This Row],[Objeto]],1),Tabela2[Palavras-Chave])</f>
        <v>#N/A</v>
      </c>
    </row>
    <row r="795" spans="1:12" ht="100.8" hidden="1" x14ac:dyDescent="0.3">
      <c r="A795" s="5">
        <v>18745593</v>
      </c>
      <c r="B795" s="6" t="s">
        <v>151</v>
      </c>
      <c r="C795" s="6" t="s">
        <v>59</v>
      </c>
      <c r="D795" s="8" t="s">
        <v>60</v>
      </c>
      <c r="E795" s="6" t="s">
        <v>745</v>
      </c>
      <c r="F795" s="6" t="s">
        <v>51</v>
      </c>
      <c r="G795" s="11">
        <v>46125.381944444445</v>
      </c>
      <c r="I795" s="10" t="s">
        <v>746</v>
      </c>
      <c r="J795" s="6" t="s">
        <v>747</v>
      </c>
      <c r="K795" s="12">
        <v>46120.872384259259</v>
      </c>
      <c r="L795" s="6" t="e" cm="1">
        <f t="array" ref="L795">LOOKUP(2^15,SEARCH(Tabela2[Palavras-Chave],Boletim4[[#This Row],[Objeto]],1),Tabela2[Palavras-Chave])</f>
        <v>#N/A</v>
      </c>
    </row>
    <row r="796" spans="1:12" ht="28.8" hidden="1" x14ac:dyDescent="0.3">
      <c r="A796" s="5">
        <v>18801885</v>
      </c>
      <c r="B796" s="6" t="s">
        <v>191</v>
      </c>
      <c r="C796" s="6" t="s">
        <v>88</v>
      </c>
      <c r="D796" s="8" t="s">
        <v>63</v>
      </c>
      <c r="E796" s="6" t="s">
        <v>748</v>
      </c>
      <c r="F796" s="6" t="s">
        <v>51</v>
      </c>
      <c r="G796" s="11" t="s">
        <v>56</v>
      </c>
      <c r="I796" s="10" t="s">
        <v>749</v>
      </c>
      <c r="J796" s="6" t="s">
        <v>90</v>
      </c>
      <c r="K796" s="12">
        <v>46120.573784722219</v>
      </c>
      <c r="L796" s="6" t="e" cm="1">
        <f t="array" ref="L796">LOOKUP(2^15,SEARCH(Tabela2[Palavras-Chave],Boletim4[[#This Row],[Objeto]],1),Tabela2[Palavras-Chave])</f>
        <v>#N/A</v>
      </c>
    </row>
    <row r="797" spans="1:12" ht="100.8" hidden="1" x14ac:dyDescent="0.3">
      <c r="A797" s="5">
        <v>18802048</v>
      </c>
      <c r="B797" s="6" t="s">
        <v>1389</v>
      </c>
      <c r="C797" s="6" t="s">
        <v>1390</v>
      </c>
      <c r="D797" s="8" t="s">
        <v>63</v>
      </c>
      <c r="E797" s="6" t="s">
        <v>2726</v>
      </c>
      <c r="F797" s="6" t="s">
        <v>51</v>
      </c>
      <c r="G797" s="11">
        <v>46122.666666666664</v>
      </c>
      <c r="I797" s="10" t="s">
        <v>2727</v>
      </c>
      <c r="J797" s="6" t="s">
        <v>2728</v>
      </c>
      <c r="K797" s="12">
        <v>46120.714143518519</v>
      </c>
      <c r="L797" s="6" t="e" cm="1">
        <f t="array" ref="L797">LOOKUP(2^15,SEARCH(Tabela2[Palavras-Chave],Boletim4[[#This Row],[Objeto]],1),Tabela2[Palavras-Chave])</f>
        <v>#N/A</v>
      </c>
    </row>
    <row r="798" spans="1:12" ht="43.2" hidden="1" x14ac:dyDescent="0.3">
      <c r="A798" s="5">
        <v>18801898</v>
      </c>
      <c r="B798" s="6" t="s">
        <v>325</v>
      </c>
      <c r="C798" s="6" t="s">
        <v>213</v>
      </c>
      <c r="D798" s="8" t="s">
        <v>64</v>
      </c>
      <c r="E798" s="6" t="s">
        <v>750</v>
      </c>
      <c r="F798" s="6" t="s">
        <v>51</v>
      </c>
      <c r="G798" s="11" t="s">
        <v>56</v>
      </c>
      <c r="I798" s="10" t="s">
        <v>751</v>
      </c>
      <c r="J798" s="6" t="s">
        <v>752</v>
      </c>
      <c r="K798" s="12">
        <v>46120.521504629629</v>
      </c>
      <c r="L798" s="6" t="e" cm="1">
        <f t="array" ref="L798">LOOKUP(2^15,SEARCH(Tabela2[Palavras-Chave],Boletim4[[#This Row],[Objeto]],1),Tabela2[Palavras-Chave])</f>
        <v>#N/A</v>
      </c>
    </row>
    <row r="799" spans="1:12" ht="43.2" hidden="1" x14ac:dyDescent="0.3">
      <c r="A799" s="5">
        <v>18801901</v>
      </c>
      <c r="B799" s="6" t="s">
        <v>753</v>
      </c>
      <c r="C799" s="6" t="s">
        <v>213</v>
      </c>
      <c r="D799" s="8" t="s">
        <v>64</v>
      </c>
      <c r="E799" s="6" t="s">
        <v>754</v>
      </c>
      <c r="F799" s="6" t="s">
        <v>51</v>
      </c>
      <c r="G799" s="11" t="s">
        <v>56</v>
      </c>
      <c r="I799" s="10" t="s">
        <v>755</v>
      </c>
      <c r="J799" s="6" t="s">
        <v>752</v>
      </c>
      <c r="K799" s="12">
        <v>46120.521562499998</v>
      </c>
      <c r="L799" s="6" t="e" cm="1">
        <f t="array" ref="L799">LOOKUP(2^15,SEARCH(Tabela2[Palavras-Chave],Boletim4[[#This Row],[Objeto]],1),Tabela2[Palavras-Chave])</f>
        <v>#N/A</v>
      </c>
    </row>
    <row r="800" spans="1:12" ht="43.2" x14ac:dyDescent="0.3">
      <c r="A800" s="5">
        <v>18801900</v>
      </c>
      <c r="B800" s="6" t="s">
        <v>325</v>
      </c>
      <c r="C800" s="6" t="s">
        <v>213</v>
      </c>
      <c r="D800" s="8" t="s">
        <v>64</v>
      </c>
      <c r="E800" s="6" t="s">
        <v>756</v>
      </c>
      <c r="F800" s="6" t="s">
        <v>51</v>
      </c>
      <c r="G800" s="11" t="s">
        <v>56</v>
      </c>
      <c r="H800" s="23">
        <v>2</v>
      </c>
      <c r="I800" s="10" t="s">
        <v>757</v>
      </c>
      <c r="J800" s="6" t="s">
        <v>758</v>
      </c>
      <c r="K800" s="12">
        <v>46120.583182870374</v>
      </c>
      <c r="L800" s="6" t="str" cm="1">
        <f t="array" ref="L800">LOOKUP(2^15,SEARCH(Tabela2[Palavras-Chave],Boletim4[[#This Row],[Objeto]],1),Tabela2[Palavras-Chave])</f>
        <v>RESERVAT</v>
      </c>
    </row>
    <row r="801" spans="1:12" ht="100.8" hidden="1" x14ac:dyDescent="0.3">
      <c r="A801" s="5">
        <v>18803718</v>
      </c>
      <c r="B801" s="6" t="s">
        <v>759</v>
      </c>
      <c r="C801" s="6" t="s">
        <v>760</v>
      </c>
      <c r="D801" s="8" t="s">
        <v>64</v>
      </c>
      <c r="E801" s="6" t="s">
        <v>761</v>
      </c>
      <c r="F801" s="6" t="s">
        <v>51</v>
      </c>
      <c r="G801" s="11">
        <v>46121.625</v>
      </c>
      <c r="I801" s="10" t="s">
        <v>762</v>
      </c>
      <c r="J801" s="6" t="s">
        <v>763</v>
      </c>
      <c r="K801" s="12">
        <v>46120.737905092596</v>
      </c>
      <c r="L801" s="6" t="e" cm="1">
        <f t="array" ref="L801">LOOKUP(2^15,SEARCH(Tabela2[Palavras-Chave],Boletim4[[#This Row],[Objeto]],1),Tabela2[Palavras-Chave])</f>
        <v>#N/A</v>
      </c>
    </row>
    <row r="802" spans="1:12" ht="100.8" hidden="1" x14ac:dyDescent="0.3">
      <c r="A802" s="5">
        <v>18804483</v>
      </c>
      <c r="B802" s="6" t="s">
        <v>764</v>
      </c>
      <c r="C802" s="6" t="s">
        <v>765</v>
      </c>
      <c r="D802" s="8" t="s">
        <v>64</v>
      </c>
      <c r="E802" s="6" t="s">
        <v>766</v>
      </c>
      <c r="F802" s="6" t="s">
        <v>51</v>
      </c>
      <c r="G802" s="11">
        <v>46125.486805555556</v>
      </c>
      <c r="I802" s="10" t="s">
        <v>767</v>
      </c>
      <c r="J802" s="6" t="s">
        <v>768</v>
      </c>
      <c r="K802" s="12">
        <v>46120.743287037039</v>
      </c>
      <c r="L802" s="6" t="e" cm="1">
        <f t="array" ref="L802">LOOKUP(2^15,SEARCH(Tabela2[Palavras-Chave],Boletim4[[#This Row],[Objeto]],1),Tabela2[Palavras-Chave])</f>
        <v>#N/A</v>
      </c>
    </row>
    <row r="803" spans="1:12" ht="86.4" hidden="1" x14ac:dyDescent="0.3">
      <c r="A803" s="5">
        <v>18801364</v>
      </c>
      <c r="B803" s="6" t="s">
        <v>2729</v>
      </c>
      <c r="C803" s="6" t="s">
        <v>101</v>
      </c>
      <c r="D803" s="8" t="s">
        <v>64</v>
      </c>
      <c r="E803" s="6" t="s">
        <v>2730</v>
      </c>
      <c r="F803" s="6" t="s">
        <v>51</v>
      </c>
      <c r="G803" s="11">
        <v>46127.333333333336</v>
      </c>
      <c r="I803" s="10" t="s">
        <v>2731</v>
      </c>
      <c r="J803" s="6" t="s">
        <v>2732</v>
      </c>
      <c r="K803" s="12">
        <v>46120.754374999997</v>
      </c>
      <c r="L803" s="6" t="e" cm="1">
        <f t="array" ref="L803">LOOKUP(2^15,SEARCH(Tabela2[Palavras-Chave],Boletim4[[#This Row],[Objeto]],1),Tabela2[Palavras-Chave])</f>
        <v>#N/A</v>
      </c>
    </row>
    <row r="804" spans="1:12" ht="43.2" hidden="1" x14ac:dyDescent="0.3">
      <c r="A804" s="5">
        <v>18805552</v>
      </c>
      <c r="B804" s="6" t="s">
        <v>2733</v>
      </c>
      <c r="C804" s="6" t="s">
        <v>2734</v>
      </c>
      <c r="D804" s="8" t="s">
        <v>64</v>
      </c>
      <c r="E804" s="6" t="s">
        <v>180</v>
      </c>
      <c r="F804" s="6" t="s">
        <v>51</v>
      </c>
      <c r="G804" s="11">
        <v>46125</v>
      </c>
      <c r="I804" s="10" t="s">
        <v>2735</v>
      </c>
      <c r="J804" s="6" t="s">
        <v>2736</v>
      </c>
      <c r="K804" s="12">
        <v>46120.77553240741</v>
      </c>
      <c r="L804" s="6" t="e" cm="1">
        <f t="array" ref="L804">LOOKUP(2^15,SEARCH(Tabela2[Palavras-Chave],Boletim4[[#This Row],[Objeto]],1),Tabela2[Palavras-Chave])</f>
        <v>#N/A</v>
      </c>
    </row>
    <row r="805" spans="1:12" ht="144" hidden="1" x14ac:dyDescent="0.3">
      <c r="A805" s="5">
        <v>18805852</v>
      </c>
      <c r="B805" s="6" t="s">
        <v>214</v>
      </c>
      <c r="C805" s="6" t="s">
        <v>215</v>
      </c>
      <c r="D805" s="8" t="s">
        <v>64</v>
      </c>
      <c r="E805" s="6" t="s">
        <v>769</v>
      </c>
      <c r="F805" s="6" t="s">
        <v>51</v>
      </c>
      <c r="G805" s="11">
        <v>46125.575694444444</v>
      </c>
      <c r="I805" s="10" t="s">
        <v>770</v>
      </c>
      <c r="J805" s="6" t="s">
        <v>771</v>
      </c>
      <c r="K805" s="12">
        <v>46120.787291666667</v>
      </c>
      <c r="L805" s="6" t="e" cm="1">
        <f t="array" ref="L805">LOOKUP(2^15,SEARCH(Tabela2[Palavras-Chave],Boletim4[[#This Row],[Objeto]],1),Tabela2[Palavras-Chave])</f>
        <v>#N/A</v>
      </c>
    </row>
    <row r="806" spans="1:12" ht="100.8" hidden="1" x14ac:dyDescent="0.3">
      <c r="A806" s="5">
        <v>18805891</v>
      </c>
      <c r="B806" s="6" t="s">
        <v>772</v>
      </c>
      <c r="C806" s="6" t="s">
        <v>101</v>
      </c>
      <c r="D806" s="8" t="s">
        <v>64</v>
      </c>
      <c r="E806" s="6" t="s">
        <v>351</v>
      </c>
      <c r="F806" s="6" t="s">
        <v>51</v>
      </c>
      <c r="G806" s="11">
        <v>46126.333333333336</v>
      </c>
      <c r="I806" s="10" t="s">
        <v>773</v>
      </c>
      <c r="J806" s="6" t="s">
        <v>774</v>
      </c>
      <c r="K806" s="12">
        <v>46120.79005787037</v>
      </c>
      <c r="L806" s="6" t="e" cm="1">
        <f t="array" ref="L806">LOOKUP(2^15,SEARCH(Tabela2[Palavras-Chave],Boletim4[[#This Row],[Objeto]],1),Tabela2[Palavras-Chave])</f>
        <v>#N/A</v>
      </c>
    </row>
    <row r="807" spans="1:12" ht="129.6" hidden="1" x14ac:dyDescent="0.3">
      <c r="A807" s="5">
        <v>18805893</v>
      </c>
      <c r="B807" s="6" t="s">
        <v>775</v>
      </c>
      <c r="C807" s="6" t="s">
        <v>215</v>
      </c>
      <c r="D807" s="8" t="s">
        <v>64</v>
      </c>
      <c r="E807" s="6" t="s">
        <v>776</v>
      </c>
      <c r="F807" s="6" t="s">
        <v>51</v>
      </c>
      <c r="G807" s="11">
        <v>46125.574999999997</v>
      </c>
      <c r="I807" s="10" t="s">
        <v>777</v>
      </c>
      <c r="J807" s="6" t="s">
        <v>778</v>
      </c>
      <c r="K807" s="12">
        <v>46120.790162037039</v>
      </c>
      <c r="L807" s="6" t="e" cm="1">
        <f t="array" ref="L807">LOOKUP(2^15,SEARCH(Tabela2[Palavras-Chave],Boletim4[[#This Row],[Objeto]],1),Tabela2[Palavras-Chave])</f>
        <v>#N/A</v>
      </c>
    </row>
    <row r="808" spans="1:12" ht="172.8" hidden="1" x14ac:dyDescent="0.3">
      <c r="A808" s="5">
        <v>18805887</v>
      </c>
      <c r="B808" s="6" t="s">
        <v>214</v>
      </c>
      <c r="C808" s="6" t="s">
        <v>215</v>
      </c>
      <c r="D808" s="8" t="s">
        <v>64</v>
      </c>
      <c r="E808" s="6" t="s">
        <v>779</v>
      </c>
      <c r="F808" s="6" t="s">
        <v>51</v>
      </c>
      <c r="G808" s="11">
        <v>46125.578472222223</v>
      </c>
      <c r="I808" s="10" t="s">
        <v>780</v>
      </c>
      <c r="J808" s="6" t="s">
        <v>781</v>
      </c>
      <c r="K808" s="12">
        <v>46120.850381944445</v>
      </c>
      <c r="L808" s="6" t="e" cm="1">
        <f t="array" ref="L808">LOOKUP(2^15,SEARCH(Tabela2[Palavras-Chave],Boletim4[[#This Row],[Objeto]],1),Tabela2[Palavras-Chave])</f>
        <v>#N/A</v>
      </c>
    </row>
    <row r="809" spans="1:12" ht="158.4" hidden="1" x14ac:dyDescent="0.3">
      <c r="A809" s="5">
        <v>18804578</v>
      </c>
      <c r="B809" s="6" t="s">
        <v>203</v>
      </c>
      <c r="C809" s="6" t="s">
        <v>204</v>
      </c>
      <c r="D809" s="8" t="s">
        <v>64</v>
      </c>
      <c r="E809" s="6" t="s">
        <v>782</v>
      </c>
      <c r="F809" s="6" t="s">
        <v>51</v>
      </c>
      <c r="G809" s="11">
        <v>46125.999305555553</v>
      </c>
      <c r="I809" s="10" t="s">
        <v>783</v>
      </c>
      <c r="J809" s="6" t="s">
        <v>784</v>
      </c>
      <c r="K809" s="12">
        <v>46120.869930555556</v>
      </c>
      <c r="L809" s="6" t="e" cm="1">
        <f t="array" ref="L809">LOOKUP(2^15,SEARCH(Tabela2[Palavras-Chave],Boletim4[[#This Row],[Objeto]],1),Tabela2[Palavras-Chave])</f>
        <v>#N/A</v>
      </c>
    </row>
    <row r="810" spans="1:12" ht="28.8" hidden="1" x14ac:dyDescent="0.3">
      <c r="A810" s="5">
        <v>18801724</v>
      </c>
      <c r="B810" s="6" t="s">
        <v>99</v>
      </c>
      <c r="C810" s="6" t="s">
        <v>65</v>
      </c>
      <c r="D810" s="8" t="s">
        <v>66</v>
      </c>
      <c r="E810" s="6" t="s">
        <v>2737</v>
      </c>
      <c r="F810" s="6" t="s">
        <v>51</v>
      </c>
      <c r="G810" s="11" t="s">
        <v>56</v>
      </c>
      <c r="I810" s="10" t="s">
        <v>2738</v>
      </c>
      <c r="J810" s="6" t="s">
        <v>132</v>
      </c>
      <c r="K810" s="12">
        <v>46120.457789351851</v>
      </c>
      <c r="L810" s="6" t="e" cm="1">
        <f t="array" ref="L810">LOOKUP(2^15,SEARCH(Tabela2[Palavras-Chave],Boletim4[[#This Row],[Objeto]],1),Tabela2[Palavras-Chave])</f>
        <v>#N/A</v>
      </c>
    </row>
    <row r="811" spans="1:12" ht="28.8" hidden="1" x14ac:dyDescent="0.3">
      <c r="A811" s="5">
        <v>18797724</v>
      </c>
      <c r="B811" s="6" t="s">
        <v>99</v>
      </c>
      <c r="C811" s="6" t="s">
        <v>65</v>
      </c>
      <c r="D811" s="8" t="s">
        <v>66</v>
      </c>
      <c r="E811" s="6" t="s">
        <v>2739</v>
      </c>
      <c r="F811" s="6" t="s">
        <v>51</v>
      </c>
      <c r="G811" s="11" t="s">
        <v>56</v>
      </c>
      <c r="I811" s="10" t="s">
        <v>2740</v>
      </c>
      <c r="J811" s="6" t="s">
        <v>131</v>
      </c>
      <c r="K811" s="12">
        <v>46120.468101851853</v>
      </c>
      <c r="L811" s="6" t="e" cm="1">
        <f t="array" ref="L811">LOOKUP(2^15,SEARCH(Tabela2[Palavras-Chave],Boletim4[[#This Row],[Objeto]],1),Tabela2[Palavras-Chave])</f>
        <v>#N/A</v>
      </c>
    </row>
    <row r="812" spans="1:12" ht="72" hidden="1" x14ac:dyDescent="0.3">
      <c r="A812" s="5">
        <v>18580467</v>
      </c>
      <c r="B812" s="6" t="s">
        <v>177</v>
      </c>
      <c r="C812" s="6" t="s">
        <v>65</v>
      </c>
      <c r="D812" s="8" t="s">
        <v>66</v>
      </c>
      <c r="E812" s="6" t="s">
        <v>785</v>
      </c>
      <c r="F812" s="6" t="s">
        <v>51</v>
      </c>
      <c r="G812" s="11" t="s">
        <v>56</v>
      </c>
      <c r="I812" s="10" t="s">
        <v>786</v>
      </c>
      <c r="J812" s="6" t="s">
        <v>787</v>
      </c>
      <c r="K812" s="12">
        <v>46120.468113425923</v>
      </c>
      <c r="L812" s="6" t="e" cm="1">
        <f t="array" ref="L812">LOOKUP(2^15,SEARCH(Tabela2[Palavras-Chave],Boletim4[[#This Row],[Objeto]],1),Tabela2[Palavras-Chave])</f>
        <v>#N/A</v>
      </c>
    </row>
    <row r="813" spans="1:12" ht="230.4" hidden="1" x14ac:dyDescent="0.3">
      <c r="A813" s="5">
        <v>18802347</v>
      </c>
      <c r="B813" s="6" t="s">
        <v>436</v>
      </c>
      <c r="C813" s="6" t="s">
        <v>437</v>
      </c>
      <c r="D813" s="8" t="s">
        <v>66</v>
      </c>
      <c r="E813" s="6" t="s">
        <v>788</v>
      </c>
      <c r="F813" s="6" t="s">
        <v>51</v>
      </c>
      <c r="G813" s="11" t="s">
        <v>56</v>
      </c>
      <c r="I813" s="10" t="s">
        <v>789</v>
      </c>
      <c r="J813" s="6" t="s">
        <v>790</v>
      </c>
      <c r="K813" s="12">
        <v>46120.483923611115</v>
      </c>
      <c r="L813" s="6" t="e" cm="1">
        <f t="array" ref="L813">LOOKUP(2^15,SEARCH(Tabela2[Palavras-Chave],Boletim4[[#This Row],[Objeto]],1),Tabela2[Palavras-Chave])</f>
        <v>#N/A</v>
      </c>
    </row>
    <row r="814" spans="1:12" ht="409.6" hidden="1" x14ac:dyDescent="0.3">
      <c r="A814" s="5">
        <v>18802351</v>
      </c>
      <c r="B814" s="6" t="s">
        <v>436</v>
      </c>
      <c r="C814" s="6" t="s">
        <v>437</v>
      </c>
      <c r="D814" s="8" t="s">
        <v>66</v>
      </c>
      <c r="E814" s="6" t="s">
        <v>791</v>
      </c>
      <c r="F814" s="6" t="s">
        <v>51</v>
      </c>
      <c r="G814" s="11" t="s">
        <v>56</v>
      </c>
      <c r="I814" s="10" t="s">
        <v>792</v>
      </c>
      <c r="J814" s="6" t="s">
        <v>790</v>
      </c>
      <c r="K814" s="12">
        <v>46120.484456018516</v>
      </c>
      <c r="L814" s="6" t="e" cm="1">
        <f t="array" ref="L814">LOOKUP(2^15,SEARCH(Tabela2[Palavras-Chave],Boletim4[[#This Row],[Objeto]],1),Tabela2[Palavras-Chave])</f>
        <v>#N/A</v>
      </c>
    </row>
    <row r="815" spans="1:12" ht="129.6" hidden="1" x14ac:dyDescent="0.3">
      <c r="A815" s="5">
        <v>18802349</v>
      </c>
      <c r="B815" s="6" t="s">
        <v>436</v>
      </c>
      <c r="C815" s="6" t="s">
        <v>437</v>
      </c>
      <c r="D815" s="8" t="s">
        <v>66</v>
      </c>
      <c r="E815" s="6" t="s">
        <v>793</v>
      </c>
      <c r="F815" s="6" t="s">
        <v>51</v>
      </c>
      <c r="G815" s="11" t="s">
        <v>56</v>
      </c>
      <c r="I815" s="10" t="s">
        <v>794</v>
      </c>
      <c r="J815" s="6" t="s">
        <v>790</v>
      </c>
      <c r="K815" s="12">
        <v>46120.484606481485</v>
      </c>
      <c r="L815" s="6" t="e" cm="1">
        <f t="array" ref="L815">LOOKUP(2^15,SEARCH(Tabela2[Palavras-Chave],Boletim4[[#This Row],[Objeto]],1),Tabela2[Palavras-Chave])</f>
        <v>#N/A</v>
      </c>
    </row>
    <row r="816" spans="1:12" ht="57.6" hidden="1" x14ac:dyDescent="0.3">
      <c r="A816" s="5">
        <v>18802344</v>
      </c>
      <c r="B816" s="6" t="s">
        <v>436</v>
      </c>
      <c r="C816" s="6" t="s">
        <v>437</v>
      </c>
      <c r="D816" s="8" t="s">
        <v>66</v>
      </c>
      <c r="E816" s="6" t="s">
        <v>2741</v>
      </c>
      <c r="F816" s="6" t="s">
        <v>51</v>
      </c>
      <c r="G816" s="11" t="s">
        <v>56</v>
      </c>
      <c r="I816" s="10" t="s">
        <v>2742</v>
      </c>
      <c r="J816" s="6" t="s">
        <v>2743</v>
      </c>
      <c r="K816" s="12">
        <v>46120.484930555554</v>
      </c>
      <c r="L816" s="6" t="e" cm="1">
        <f t="array" ref="L816">LOOKUP(2^15,SEARCH(Tabela2[Palavras-Chave],Boletim4[[#This Row],[Objeto]],1),Tabela2[Palavras-Chave])</f>
        <v>#N/A</v>
      </c>
    </row>
    <row r="817" spans="1:12" ht="187.2" x14ac:dyDescent="0.3">
      <c r="A817" s="5">
        <v>18802338</v>
      </c>
      <c r="B817" s="6" t="s">
        <v>436</v>
      </c>
      <c r="C817" s="6" t="s">
        <v>437</v>
      </c>
      <c r="D817" s="8" t="s">
        <v>66</v>
      </c>
      <c r="E817" s="6" t="s">
        <v>2744</v>
      </c>
      <c r="F817" s="6" t="s">
        <v>51</v>
      </c>
      <c r="G817" s="11" t="s">
        <v>56</v>
      </c>
      <c r="H817" s="23">
        <v>2</v>
      </c>
      <c r="I817" s="10" t="s">
        <v>2745</v>
      </c>
      <c r="J817" s="6" t="s">
        <v>438</v>
      </c>
      <c r="K817" s="12">
        <v>46120.486192129632</v>
      </c>
      <c r="L817" s="6" t="str" cm="1">
        <f t="array" ref="L817">LOOKUP(2^15,SEARCH(Tabela2[Palavras-Chave],Boletim4[[#This Row],[Objeto]],1),Tabela2[Palavras-Chave])</f>
        <v>INOX</v>
      </c>
    </row>
    <row r="818" spans="1:12" ht="129.6" hidden="1" x14ac:dyDescent="0.3">
      <c r="A818" s="5">
        <v>18802255</v>
      </c>
      <c r="B818" s="6" t="s">
        <v>99</v>
      </c>
      <c r="C818" s="6" t="s">
        <v>65</v>
      </c>
      <c r="D818" s="8" t="s">
        <v>66</v>
      </c>
      <c r="E818" s="6" t="s">
        <v>2746</v>
      </c>
      <c r="F818" s="6" t="s">
        <v>51</v>
      </c>
      <c r="G818" s="11" t="s">
        <v>56</v>
      </c>
      <c r="I818" s="10" t="s">
        <v>2747</v>
      </c>
      <c r="J818" s="6" t="s">
        <v>132</v>
      </c>
      <c r="K818" s="12">
        <v>46120.497511574074</v>
      </c>
      <c r="L818" s="6" t="e" cm="1">
        <f t="array" ref="L818">LOOKUP(2^15,SEARCH(Tabela2[Palavras-Chave],Boletim4[[#This Row],[Objeto]],1),Tabela2[Palavras-Chave])</f>
        <v>#N/A</v>
      </c>
    </row>
    <row r="819" spans="1:12" ht="28.8" hidden="1" x14ac:dyDescent="0.3">
      <c r="A819" s="5">
        <v>18802279</v>
      </c>
      <c r="B819" s="6" t="s">
        <v>99</v>
      </c>
      <c r="C819" s="6" t="s">
        <v>65</v>
      </c>
      <c r="D819" s="8" t="s">
        <v>66</v>
      </c>
      <c r="E819" s="6" t="s">
        <v>2748</v>
      </c>
      <c r="F819" s="6" t="s">
        <v>51</v>
      </c>
      <c r="G819" s="11" t="s">
        <v>56</v>
      </c>
      <c r="I819" s="10" t="s">
        <v>2749</v>
      </c>
      <c r="J819" s="6" t="s">
        <v>132</v>
      </c>
      <c r="K819" s="12">
        <v>46120.50236111111</v>
      </c>
      <c r="L819" s="6" t="e" cm="1">
        <f t="array" ref="L819">LOOKUP(2^15,SEARCH(Tabela2[Palavras-Chave],Boletim4[[#This Row],[Objeto]],1),Tabela2[Palavras-Chave])</f>
        <v>#N/A</v>
      </c>
    </row>
    <row r="820" spans="1:12" ht="28.8" hidden="1" x14ac:dyDescent="0.3">
      <c r="A820" s="5">
        <v>18802278</v>
      </c>
      <c r="B820" s="6" t="s">
        <v>99</v>
      </c>
      <c r="C820" s="6" t="s">
        <v>65</v>
      </c>
      <c r="D820" s="8" t="s">
        <v>66</v>
      </c>
      <c r="E820" s="6" t="s">
        <v>2750</v>
      </c>
      <c r="F820" s="6" t="s">
        <v>51</v>
      </c>
      <c r="G820" s="11" t="s">
        <v>56</v>
      </c>
      <c r="I820" s="10" t="s">
        <v>2751</v>
      </c>
      <c r="J820" s="6" t="s">
        <v>132</v>
      </c>
      <c r="K820" s="12">
        <v>46120.502476851849</v>
      </c>
      <c r="L820" s="6" t="e" cm="1">
        <f t="array" ref="L820">LOOKUP(2^15,SEARCH(Tabela2[Palavras-Chave],Boletim4[[#This Row],[Objeto]],1),Tabela2[Palavras-Chave])</f>
        <v>#N/A</v>
      </c>
    </row>
    <row r="821" spans="1:12" hidden="1" x14ac:dyDescent="0.3">
      <c r="A821" s="5">
        <v>18802268</v>
      </c>
      <c r="B821" s="6" t="s">
        <v>99</v>
      </c>
      <c r="C821" s="6" t="s">
        <v>65</v>
      </c>
      <c r="D821" s="8" t="s">
        <v>66</v>
      </c>
      <c r="E821" s="6" t="s">
        <v>2752</v>
      </c>
      <c r="F821" s="6" t="s">
        <v>51</v>
      </c>
      <c r="G821" s="11" t="s">
        <v>56</v>
      </c>
      <c r="I821" s="10" t="s">
        <v>2753</v>
      </c>
      <c r="J821" s="6" t="s">
        <v>132</v>
      </c>
      <c r="K821" s="12">
        <v>46120.505312499998</v>
      </c>
      <c r="L821" s="6" t="e" cm="1">
        <f t="array" ref="L821">LOOKUP(2^15,SEARCH(Tabela2[Palavras-Chave],Boletim4[[#This Row],[Objeto]],1),Tabela2[Palavras-Chave])</f>
        <v>#N/A</v>
      </c>
    </row>
    <row r="822" spans="1:12" ht="57.6" hidden="1" x14ac:dyDescent="0.3">
      <c r="A822" s="5">
        <v>18801748</v>
      </c>
      <c r="B822" s="6" t="s">
        <v>191</v>
      </c>
      <c r="C822" s="6" t="s">
        <v>65</v>
      </c>
      <c r="D822" s="8" t="s">
        <v>66</v>
      </c>
      <c r="E822" s="6" t="s">
        <v>795</v>
      </c>
      <c r="F822" s="6" t="s">
        <v>51</v>
      </c>
      <c r="G822" s="11" t="s">
        <v>56</v>
      </c>
      <c r="I822" s="10" t="s">
        <v>796</v>
      </c>
      <c r="J822" s="6" t="s">
        <v>797</v>
      </c>
      <c r="K822" s="12">
        <v>46120.517916666664</v>
      </c>
      <c r="L822" s="6" t="e" cm="1">
        <f t="array" ref="L822">LOOKUP(2^15,SEARCH(Tabela2[Palavras-Chave],Boletim4[[#This Row],[Objeto]],1),Tabela2[Palavras-Chave])</f>
        <v>#N/A</v>
      </c>
    </row>
    <row r="823" spans="1:12" ht="43.2" hidden="1" x14ac:dyDescent="0.3">
      <c r="A823" s="5">
        <v>18803092</v>
      </c>
      <c r="B823" s="6" t="s">
        <v>798</v>
      </c>
      <c r="C823" s="6" t="s">
        <v>799</v>
      </c>
      <c r="D823" s="8" t="s">
        <v>66</v>
      </c>
      <c r="E823" s="6" t="s">
        <v>161</v>
      </c>
      <c r="F823" s="6" t="s">
        <v>51</v>
      </c>
      <c r="G823" s="11">
        <v>46129.75</v>
      </c>
      <c r="I823" s="10" t="s">
        <v>800</v>
      </c>
      <c r="J823" s="6" t="s">
        <v>801</v>
      </c>
      <c r="K823" s="12">
        <v>46120.526562500003</v>
      </c>
      <c r="L823" s="6" t="e" cm="1">
        <f t="array" ref="L823">LOOKUP(2^15,SEARCH(Tabela2[Palavras-Chave],Boletim4[[#This Row],[Objeto]],1),Tabela2[Palavras-Chave])</f>
        <v>#N/A</v>
      </c>
    </row>
    <row r="824" spans="1:12" ht="100.8" hidden="1" x14ac:dyDescent="0.3">
      <c r="A824" s="5">
        <v>18802055</v>
      </c>
      <c r="B824" s="6" t="s">
        <v>802</v>
      </c>
      <c r="C824" s="6" t="s">
        <v>803</v>
      </c>
      <c r="D824" s="8" t="s">
        <v>66</v>
      </c>
      <c r="E824" s="6" t="s">
        <v>263</v>
      </c>
      <c r="F824" s="6" t="s">
        <v>51</v>
      </c>
      <c r="G824" s="11">
        <v>46125.353472222225</v>
      </c>
      <c r="I824" s="10" t="s">
        <v>804</v>
      </c>
      <c r="J824" s="6" t="s">
        <v>805</v>
      </c>
      <c r="K824" s="12">
        <v>46120.533125000002</v>
      </c>
      <c r="L824" s="6" t="e" cm="1">
        <f t="array" ref="L824">LOOKUP(2^15,SEARCH(Tabela2[Palavras-Chave],Boletim4[[#This Row],[Objeto]],1),Tabela2[Palavras-Chave])</f>
        <v>#N/A</v>
      </c>
    </row>
    <row r="825" spans="1:12" ht="86.4" hidden="1" x14ac:dyDescent="0.3">
      <c r="A825" s="5">
        <v>18801903</v>
      </c>
      <c r="B825" s="6" t="s">
        <v>2754</v>
      </c>
      <c r="C825" s="6" t="s">
        <v>2755</v>
      </c>
      <c r="D825" s="8" t="s">
        <v>66</v>
      </c>
      <c r="E825" s="6" t="s">
        <v>145</v>
      </c>
      <c r="F825" s="6" t="s">
        <v>51</v>
      </c>
      <c r="G825" s="11">
        <v>46125.333333333336</v>
      </c>
      <c r="I825" s="10" t="s">
        <v>2756</v>
      </c>
      <c r="J825" s="6" t="s">
        <v>2757</v>
      </c>
      <c r="K825" s="12">
        <v>46120.552233796298</v>
      </c>
      <c r="L825" s="6" t="e" cm="1">
        <f t="array" ref="L825">LOOKUP(2^15,SEARCH(Tabela2[Palavras-Chave],Boletim4[[#This Row],[Objeto]],1),Tabela2[Palavras-Chave])</f>
        <v>#N/A</v>
      </c>
    </row>
    <row r="826" spans="1:12" ht="72" hidden="1" x14ac:dyDescent="0.3">
      <c r="A826" s="5">
        <v>18798148</v>
      </c>
      <c r="B826" s="6" t="s">
        <v>806</v>
      </c>
      <c r="C826" s="6" t="s">
        <v>360</v>
      </c>
      <c r="D826" s="8" t="s">
        <v>66</v>
      </c>
      <c r="E826" s="6" t="s">
        <v>807</v>
      </c>
      <c r="F826" s="6" t="s">
        <v>51</v>
      </c>
      <c r="G826" s="11" t="s">
        <v>56</v>
      </c>
      <c r="I826" s="10" t="s">
        <v>808</v>
      </c>
      <c r="J826" s="6" t="s">
        <v>809</v>
      </c>
      <c r="K826" s="12">
        <v>46120.586921296293</v>
      </c>
      <c r="L826" s="6" t="e" cm="1">
        <f t="array" ref="L826">LOOKUP(2^15,SEARCH(Tabela2[Palavras-Chave],Boletim4[[#This Row],[Objeto]],1),Tabela2[Palavras-Chave])</f>
        <v>#N/A</v>
      </c>
    </row>
    <row r="827" spans="1:12" ht="28.8" hidden="1" x14ac:dyDescent="0.3">
      <c r="A827" s="5">
        <v>18802252</v>
      </c>
      <c r="B827" s="6" t="s">
        <v>99</v>
      </c>
      <c r="C827" s="6" t="s">
        <v>65</v>
      </c>
      <c r="D827" s="8" t="s">
        <v>66</v>
      </c>
      <c r="E827" s="6" t="s">
        <v>2758</v>
      </c>
      <c r="F827" s="6" t="s">
        <v>51</v>
      </c>
      <c r="G827" s="11" t="s">
        <v>56</v>
      </c>
      <c r="I827" s="10" t="s">
        <v>2759</v>
      </c>
      <c r="J827" s="6" t="s">
        <v>132</v>
      </c>
      <c r="K827" s="12">
        <v>46120.608587962961</v>
      </c>
      <c r="L827" s="6" t="e" cm="1">
        <f t="array" ref="L827">LOOKUP(2^15,SEARCH(Tabela2[Palavras-Chave],Boletim4[[#This Row],[Objeto]],1),Tabela2[Palavras-Chave])</f>
        <v>#N/A</v>
      </c>
    </row>
    <row r="828" spans="1:12" ht="28.8" hidden="1" x14ac:dyDescent="0.3">
      <c r="A828" s="5">
        <v>18802265</v>
      </c>
      <c r="B828" s="6" t="s">
        <v>99</v>
      </c>
      <c r="C828" s="6" t="s">
        <v>65</v>
      </c>
      <c r="D828" s="8" t="s">
        <v>66</v>
      </c>
      <c r="E828" s="6" t="s">
        <v>2760</v>
      </c>
      <c r="F828" s="6" t="s">
        <v>51</v>
      </c>
      <c r="G828" s="11" t="s">
        <v>56</v>
      </c>
      <c r="I828" s="10" t="s">
        <v>2761</v>
      </c>
      <c r="J828" s="6" t="s">
        <v>132</v>
      </c>
      <c r="K828" s="12">
        <v>46120.639641203707</v>
      </c>
      <c r="L828" s="6" t="e" cm="1">
        <f t="array" ref="L828">LOOKUP(2^15,SEARCH(Tabela2[Palavras-Chave],Boletim4[[#This Row],[Objeto]],1),Tabela2[Palavras-Chave])</f>
        <v>#N/A</v>
      </c>
    </row>
    <row r="829" spans="1:12" ht="57.6" hidden="1" x14ac:dyDescent="0.3">
      <c r="A829" s="5">
        <v>18804319</v>
      </c>
      <c r="B829" s="6" t="s">
        <v>99</v>
      </c>
      <c r="C829" s="6" t="s">
        <v>65</v>
      </c>
      <c r="D829" s="8" t="s">
        <v>66</v>
      </c>
      <c r="E829" s="6" t="s">
        <v>2762</v>
      </c>
      <c r="F829" s="6" t="s">
        <v>51</v>
      </c>
      <c r="G829" s="11" t="s">
        <v>56</v>
      </c>
      <c r="I829" s="10" t="s">
        <v>2763</v>
      </c>
      <c r="J829" s="6" t="s">
        <v>132</v>
      </c>
      <c r="K829" s="12">
        <v>46120.641724537039</v>
      </c>
      <c r="L829" s="6" t="e" cm="1">
        <f t="array" ref="L829">LOOKUP(2^15,SEARCH(Tabela2[Palavras-Chave],Boletim4[[#This Row],[Objeto]],1),Tabela2[Palavras-Chave])</f>
        <v>#N/A</v>
      </c>
    </row>
    <row r="830" spans="1:12" ht="43.2" hidden="1" x14ac:dyDescent="0.3">
      <c r="A830" s="5">
        <v>18804316</v>
      </c>
      <c r="B830" s="6" t="s">
        <v>99</v>
      </c>
      <c r="C830" s="6" t="s">
        <v>65</v>
      </c>
      <c r="D830" s="8" t="s">
        <v>66</v>
      </c>
      <c r="E830" s="6" t="s">
        <v>2764</v>
      </c>
      <c r="F830" s="6" t="s">
        <v>51</v>
      </c>
      <c r="G830" s="11" t="s">
        <v>56</v>
      </c>
      <c r="I830" s="10" t="s">
        <v>2765</v>
      </c>
      <c r="J830" s="6" t="s">
        <v>132</v>
      </c>
      <c r="K830" s="12">
        <v>46120.641782407409</v>
      </c>
      <c r="L830" s="6" t="e" cm="1">
        <f t="array" ref="L830">LOOKUP(2^15,SEARCH(Tabela2[Palavras-Chave],Boletim4[[#This Row],[Objeto]],1),Tabela2[Palavras-Chave])</f>
        <v>#N/A</v>
      </c>
    </row>
    <row r="831" spans="1:12" hidden="1" x14ac:dyDescent="0.3">
      <c r="A831" s="5">
        <v>18804310</v>
      </c>
      <c r="B831" s="6" t="s">
        <v>99</v>
      </c>
      <c r="C831" s="6" t="s">
        <v>65</v>
      </c>
      <c r="D831" s="8" t="s">
        <v>66</v>
      </c>
      <c r="E831" s="6" t="s">
        <v>810</v>
      </c>
      <c r="F831" s="6" t="s">
        <v>51</v>
      </c>
      <c r="G831" s="11" t="s">
        <v>56</v>
      </c>
      <c r="I831" s="10" t="s">
        <v>811</v>
      </c>
      <c r="J831" s="6" t="s">
        <v>132</v>
      </c>
      <c r="K831" s="12">
        <v>46120.648645833331</v>
      </c>
      <c r="L831" s="6" t="e" cm="1">
        <f t="array" ref="L831">LOOKUP(2^15,SEARCH(Tabela2[Palavras-Chave],Boletim4[[#This Row],[Objeto]],1),Tabela2[Palavras-Chave])</f>
        <v>#N/A</v>
      </c>
    </row>
    <row r="832" spans="1:12" ht="28.8" hidden="1" x14ac:dyDescent="0.3">
      <c r="A832" s="5">
        <v>18804369</v>
      </c>
      <c r="B832" s="6" t="s">
        <v>99</v>
      </c>
      <c r="C832" s="6" t="s">
        <v>65</v>
      </c>
      <c r="D832" s="8" t="s">
        <v>66</v>
      </c>
      <c r="E832" s="6" t="s">
        <v>2766</v>
      </c>
      <c r="F832" s="6" t="s">
        <v>51</v>
      </c>
      <c r="G832" s="11" t="s">
        <v>56</v>
      </c>
      <c r="I832" s="10" t="s">
        <v>2767</v>
      </c>
      <c r="J832" s="6" t="s">
        <v>132</v>
      </c>
      <c r="K832" s="12">
        <v>46120.650127314817</v>
      </c>
      <c r="L832" s="6" t="e" cm="1">
        <f t="array" ref="L832">LOOKUP(2^15,SEARCH(Tabela2[Palavras-Chave],Boletim4[[#This Row],[Objeto]],1),Tabela2[Palavras-Chave])</f>
        <v>#N/A</v>
      </c>
    </row>
    <row r="833" spans="1:12" ht="28.8" hidden="1" x14ac:dyDescent="0.3">
      <c r="A833" s="5">
        <v>18804362</v>
      </c>
      <c r="B833" s="6" t="s">
        <v>99</v>
      </c>
      <c r="C833" s="6" t="s">
        <v>65</v>
      </c>
      <c r="D833" s="8" t="s">
        <v>66</v>
      </c>
      <c r="E833" s="6" t="s">
        <v>2768</v>
      </c>
      <c r="F833" s="6" t="s">
        <v>51</v>
      </c>
      <c r="G833" s="11" t="s">
        <v>56</v>
      </c>
      <c r="I833" s="10" t="s">
        <v>2769</v>
      </c>
      <c r="J833" s="6" t="s">
        <v>132</v>
      </c>
      <c r="K833" s="12">
        <v>46120.650208333333</v>
      </c>
      <c r="L833" s="6" t="e" cm="1">
        <f t="array" ref="L833">LOOKUP(2^15,SEARCH(Tabela2[Palavras-Chave],Boletim4[[#This Row],[Objeto]],1),Tabela2[Palavras-Chave])</f>
        <v>#N/A</v>
      </c>
    </row>
    <row r="834" spans="1:12" ht="28.8" hidden="1" x14ac:dyDescent="0.3">
      <c r="A834" s="5">
        <v>18804370</v>
      </c>
      <c r="B834" s="6" t="s">
        <v>99</v>
      </c>
      <c r="C834" s="6" t="s">
        <v>65</v>
      </c>
      <c r="D834" s="8" t="s">
        <v>66</v>
      </c>
      <c r="E834" s="6" t="s">
        <v>812</v>
      </c>
      <c r="F834" s="6" t="s">
        <v>51</v>
      </c>
      <c r="G834" s="11" t="s">
        <v>56</v>
      </c>
      <c r="I834" s="10" t="s">
        <v>813</v>
      </c>
      <c r="J834" s="6" t="s">
        <v>132</v>
      </c>
      <c r="K834" s="12">
        <v>46120.65042824074</v>
      </c>
      <c r="L834" s="6" t="e" cm="1">
        <f t="array" ref="L834">LOOKUP(2^15,SEARCH(Tabela2[Palavras-Chave],Boletim4[[#This Row],[Objeto]],1),Tabela2[Palavras-Chave])</f>
        <v>#N/A</v>
      </c>
    </row>
    <row r="835" spans="1:12" hidden="1" x14ac:dyDescent="0.3">
      <c r="A835" s="5">
        <v>18804367</v>
      </c>
      <c r="B835" s="6" t="s">
        <v>99</v>
      </c>
      <c r="C835" s="6" t="s">
        <v>65</v>
      </c>
      <c r="D835" s="8" t="s">
        <v>66</v>
      </c>
      <c r="E835" s="6" t="s">
        <v>2770</v>
      </c>
      <c r="F835" s="6" t="s">
        <v>51</v>
      </c>
      <c r="G835" s="11" t="s">
        <v>56</v>
      </c>
      <c r="I835" s="10" t="s">
        <v>2771</v>
      </c>
      <c r="J835" s="6" t="s">
        <v>132</v>
      </c>
      <c r="K835" s="12">
        <v>46120.650520833333</v>
      </c>
      <c r="L835" s="6" t="e" cm="1">
        <f t="array" ref="L835">LOOKUP(2^15,SEARCH(Tabela2[Palavras-Chave],Boletim4[[#This Row],[Objeto]],1),Tabela2[Palavras-Chave])</f>
        <v>#N/A</v>
      </c>
    </row>
    <row r="836" spans="1:12" ht="28.8" hidden="1" x14ac:dyDescent="0.3">
      <c r="A836" s="5">
        <v>18804366</v>
      </c>
      <c r="B836" s="6" t="s">
        <v>99</v>
      </c>
      <c r="C836" s="6" t="s">
        <v>65</v>
      </c>
      <c r="D836" s="8" t="s">
        <v>66</v>
      </c>
      <c r="E836" s="6" t="s">
        <v>814</v>
      </c>
      <c r="F836" s="6" t="s">
        <v>51</v>
      </c>
      <c r="G836" s="11" t="s">
        <v>56</v>
      </c>
      <c r="I836" s="10" t="s">
        <v>813</v>
      </c>
      <c r="J836" s="6" t="s">
        <v>132</v>
      </c>
      <c r="K836" s="12">
        <v>46120.650578703702</v>
      </c>
      <c r="L836" s="6" t="e" cm="1">
        <f t="array" ref="L836">LOOKUP(2^15,SEARCH(Tabela2[Palavras-Chave],Boletim4[[#This Row],[Objeto]],1),Tabela2[Palavras-Chave])</f>
        <v>#N/A</v>
      </c>
    </row>
    <row r="837" spans="1:12" ht="28.8" hidden="1" x14ac:dyDescent="0.3">
      <c r="A837" s="5">
        <v>18804357</v>
      </c>
      <c r="B837" s="6" t="s">
        <v>99</v>
      </c>
      <c r="C837" s="6" t="s">
        <v>65</v>
      </c>
      <c r="D837" s="8" t="s">
        <v>66</v>
      </c>
      <c r="E837" s="6" t="s">
        <v>815</v>
      </c>
      <c r="F837" s="6" t="s">
        <v>51</v>
      </c>
      <c r="G837" s="11" t="s">
        <v>56</v>
      </c>
      <c r="I837" s="10" t="s">
        <v>813</v>
      </c>
      <c r="J837" s="6" t="s">
        <v>132</v>
      </c>
      <c r="K837" s="12">
        <v>46120.650636574072</v>
      </c>
      <c r="L837" s="6" t="e" cm="1">
        <f t="array" ref="L837">LOOKUP(2^15,SEARCH(Tabela2[Palavras-Chave],Boletim4[[#This Row],[Objeto]],1),Tabela2[Palavras-Chave])</f>
        <v>#N/A</v>
      </c>
    </row>
    <row r="838" spans="1:12" ht="28.8" hidden="1" x14ac:dyDescent="0.3">
      <c r="A838" s="5">
        <v>18804358</v>
      </c>
      <c r="B838" s="6" t="s">
        <v>99</v>
      </c>
      <c r="C838" s="6" t="s">
        <v>65</v>
      </c>
      <c r="D838" s="8" t="s">
        <v>66</v>
      </c>
      <c r="E838" s="6" t="s">
        <v>2772</v>
      </c>
      <c r="F838" s="6" t="s">
        <v>51</v>
      </c>
      <c r="G838" s="11" t="s">
        <v>56</v>
      </c>
      <c r="I838" s="10" t="s">
        <v>2773</v>
      </c>
      <c r="J838" s="6" t="s">
        <v>132</v>
      </c>
      <c r="K838" s="12">
        <v>46120.650694444441</v>
      </c>
      <c r="L838" s="6" t="e" cm="1">
        <f t="array" ref="L838">LOOKUP(2^15,SEARCH(Tabela2[Palavras-Chave],Boletim4[[#This Row],[Objeto]],1),Tabela2[Palavras-Chave])</f>
        <v>#N/A</v>
      </c>
    </row>
    <row r="839" spans="1:12" ht="72" hidden="1" x14ac:dyDescent="0.3">
      <c r="A839" s="5">
        <v>18746682</v>
      </c>
      <c r="B839" s="6" t="s">
        <v>74</v>
      </c>
      <c r="C839" s="6" t="s">
        <v>65</v>
      </c>
      <c r="D839" s="8" t="s">
        <v>66</v>
      </c>
      <c r="E839" s="6" t="s">
        <v>816</v>
      </c>
      <c r="F839" s="6" t="s">
        <v>51</v>
      </c>
      <c r="G839" s="11" t="s">
        <v>56</v>
      </c>
      <c r="I839" s="10" t="s">
        <v>817</v>
      </c>
      <c r="J839" s="6" t="s">
        <v>818</v>
      </c>
      <c r="K839" s="12">
        <v>46120.654895833337</v>
      </c>
      <c r="L839" s="6" t="e" cm="1">
        <f t="array" ref="L839">LOOKUP(2^15,SEARCH(Tabela2[Palavras-Chave],Boletim4[[#This Row],[Objeto]],1),Tabela2[Palavras-Chave])</f>
        <v>#N/A</v>
      </c>
    </row>
    <row r="840" spans="1:12" ht="72" hidden="1" x14ac:dyDescent="0.3">
      <c r="A840" s="5">
        <v>18793477</v>
      </c>
      <c r="B840" s="6" t="s">
        <v>191</v>
      </c>
      <c r="C840" s="6" t="s">
        <v>65</v>
      </c>
      <c r="D840" s="8" t="s">
        <v>66</v>
      </c>
      <c r="E840" s="6" t="s">
        <v>819</v>
      </c>
      <c r="F840" s="6" t="s">
        <v>51</v>
      </c>
      <c r="G840" s="11" t="s">
        <v>56</v>
      </c>
      <c r="I840" s="10" t="s">
        <v>820</v>
      </c>
      <c r="J840" s="6" t="s">
        <v>821</v>
      </c>
      <c r="K840" s="12">
        <v>46120.655763888892</v>
      </c>
      <c r="L840" s="6" t="e" cm="1">
        <f t="array" ref="L840">LOOKUP(2^15,SEARCH(Tabela2[Palavras-Chave],Boletim4[[#This Row],[Objeto]],1),Tabela2[Palavras-Chave])</f>
        <v>#N/A</v>
      </c>
    </row>
    <row r="841" spans="1:12" ht="100.8" hidden="1" x14ac:dyDescent="0.3">
      <c r="A841" s="5">
        <v>18803283</v>
      </c>
      <c r="B841" s="6" t="s">
        <v>822</v>
      </c>
      <c r="C841" s="6" t="s">
        <v>823</v>
      </c>
      <c r="D841" s="8" t="s">
        <v>66</v>
      </c>
      <c r="E841" s="6" t="s">
        <v>824</v>
      </c>
      <c r="F841" s="6" t="s">
        <v>51</v>
      </c>
      <c r="G841" s="11">
        <v>46125.999305555553</v>
      </c>
      <c r="I841" s="10" t="s">
        <v>825</v>
      </c>
      <c r="J841" s="6" t="s">
        <v>826</v>
      </c>
      <c r="K841" s="12">
        <v>46120.66300925926</v>
      </c>
      <c r="L841" s="6" t="e" cm="1">
        <f t="array" ref="L841">LOOKUP(2^15,SEARCH(Tabela2[Palavras-Chave],Boletim4[[#This Row],[Objeto]],1),Tabela2[Palavras-Chave])</f>
        <v>#N/A</v>
      </c>
    </row>
    <row r="842" spans="1:12" ht="115.2" hidden="1" x14ac:dyDescent="0.3">
      <c r="A842" s="5">
        <v>18803652</v>
      </c>
      <c r="B842" s="6" t="s">
        <v>827</v>
      </c>
      <c r="C842" s="6" t="s">
        <v>65</v>
      </c>
      <c r="D842" s="8" t="s">
        <v>66</v>
      </c>
      <c r="E842" s="6" t="s">
        <v>828</v>
      </c>
      <c r="F842" s="6" t="s">
        <v>51</v>
      </c>
      <c r="G842" s="11">
        <v>46122.333333333336</v>
      </c>
      <c r="I842" s="10" t="s">
        <v>829</v>
      </c>
      <c r="J842" s="6" t="s">
        <v>830</v>
      </c>
      <c r="K842" s="12">
        <v>46120.66306712963</v>
      </c>
      <c r="L842" s="6" t="e" cm="1">
        <f t="array" ref="L842">LOOKUP(2^15,SEARCH(Tabela2[Palavras-Chave],Boletim4[[#This Row],[Objeto]],1),Tabela2[Palavras-Chave])</f>
        <v>#N/A</v>
      </c>
    </row>
    <row r="843" spans="1:12" ht="43.2" hidden="1" x14ac:dyDescent="0.3">
      <c r="A843" s="5">
        <v>18800769</v>
      </c>
      <c r="B843" s="6" t="s">
        <v>831</v>
      </c>
      <c r="C843" s="6" t="s">
        <v>832</v>
      </c>
      <c r="D843" s="8" t="s">
        <v>66</v>
      </c>
      <c r="E843" s="6" t="s">
        <v>129</v>
      </c>
      <c r="F843" s="6" t="s">
        <v>51</v>
      </c>
      <c r="G843" s="11" t="s">
        <v>56</v>
      </c>
      <c r="I843" s="10" t="s">
        <v>833</v>
      </c>
      <c r="J843" s="6" t="s">
        <v>834</v>
      </c>
      <c r="K843" s="12">
        <v>46120.673564814817</v>
      </c>
      <c r="L843" s="6" t="e" cm="1">
        <f t="array" ref="L843">LOOKUP(2^15,SEARCH(Tabela2[Palavras-Chave],Boletim4[[#This Row],[Objeto]],1),Tabela2[Palavras-Chave])</f>
        <v>#N/A</v>
      </c>
    </row>
    <row r="844" spans="1:12" ht="230.4" hidden="1" x14ac:dyDescent="0.3">
      <c r="A844" s="5">
        <v>18790597</v>
      </c>
      <c r="B844" s="6" t="s">
        <v>298</v>
      </c>
      <c r="C844" s="6" t="s">
        <v>299</v>
      </c>
      <c r="D844" s="8" t="s">
        <v>66</v>
      </c>
      <c r="E844" s="6" t="s">
        <v>835</v>
      </c>
      <c r="F844" s="6" t="s">
        <v>51</v>
      </c>
      <c r="G844" s="11" t="s">
        <v>56</v>
      </c>
      <c r="I844" s="10" t="s">
        <v>836</v>
      </c>
      <c r="J844" s="6" t="s">
        <v>837</v>
      </c>
      <c r="K844" s="12">
        <v>46120.677812499998</v>
      </c>
      <c r="L844" s="6" t="e" cm="1">
        <f t="array" ref="L844">LOOKUP(2^15,SEARCH(Tabela2[Palavras-Chave],Boletim4[[#This Row],[Objeto]],1),Tabela2[Palavras-Chave])</f>
        <v>#N/A</v>
      </c>
    </row>
    <row r="845" spans="1:12" ht="115.2" hidden="1" x14ac:dyDescent="0.3">
      <c r="A845" s="5">
        <v>18787795</v>
      </c>
      <c r="B845" s="6" t="s">
        <v>838</v>
      </c>
      <c r="C845" s="6" t="s">
        <v>254</v>
      </c>
      <c r="D845" s="8" t="s">
        <v>66</v>
      </c>
      <c r="E845" s="6" t="s">
        <v>839</v>
      </c>
      <c r="F845" s="6" t="s">
        <v>51</v>
      </c>
      <c r="G845" s="11" t="s">
        <v>56</v>
      </c>
      <c r="I845" s="10" t="s">
        <v>840</v>
      </c>
      <c r="J845" s="6" t="s">
        <v>841</v>
      </c>
      <c r="K845" s="12">
        <v>46120.696157407408</v>
      </c>
      <c r="L845" s="6" t="e" cm="1">
        <f t="array" ref="L845">LOOKUP(2^15,SEARCH(Tabela2[Palavras-Chave],Boletim4[[#This Row],[Objeto]],1),Tabela2[Palavras-Chave])</f>
        <v>#N/A</v>
      </c>
    </row>
    <row r="846" spans="1:12" ht="409.6" hidden="1" x14ac:dyDescent="0.3">
      <c r="A846" s="5">
        <v>18795306</v>
      </c>
      <c r="B846" s="6" t="s">
        <v>298</v>
      </c>
      <c r="C846" s="6" t="s">
        <v>299</v>
      </c>
      <c r="D846" s="8" t="s">
        <v>66</v>
      </c>
      <c r="E846" s="6" t="s">
        <v>2774</v>
      </c>
      <c r="F846" s="6" t="s">
        <v>51</v>
      </c>
      <c r="G846" s="11" t="s">
        <v>56</v>
      </c>
      <c r="I846" s="10" t="s">
        <v>2775</v>
      </c>
      <c r="J846" s="6" t="s">
        <v>837</v>
      </c>
      <c r="K846" s="12">
        <v>46120.697013888886</v>
      </c>
      <c r="L846" s="6" t="e" cm="1">
        <f t="array" ref="L846">LOOKUP(2^15,SEARCH(Tabela2[Palavras-Chave],Boletim4[[#This Row],[Objeto]],1),Tabela2[Palavras-Chave])</f>
        <v>#N/A</v>
      </c>
    </row>
    <row r="847" spans="1:12" ht="28.8" hidden="1" x14ac:dyDescent="0.3">
      <c r="A847" s="5">
        <v>18802289</v>
      </c>
      <c r="B847" s="6" t="s">
        <v>99</v>
      </c>
      <c r="C847" s="6" t="s">
        <v>65</v>
      </c>
      <c r="D847" s="8" t="s">
        <v>66</v>
      </c>
      <c r="E847" s="6" t="s">
        <v>2776</v>
      </c>
      <c r="F847" s="6" t="s">
        <v>51</v>
      </c>
      <c r="G847" s="11" t="s">
        <v>56</v>
      </c>
      <c r="I847" s="10" t="s">
        <v>2777</v>
      </c>
      <c r="J847" s="6" t="s">
        <v>132</v>
      </c>
      <c r="K847" s="12">
        <v>46120.701747685183</v>
      </c>
      <c r="L847" s="6" t="e" cm="1">
        <f t="array" ref="L847">LOOKUP(2^15,SEARCH(Tabela2[Palavras-Chave],Boletim4[[#This Row],[Objeto]],1),Tabela2[Palavras-Chave])</f>
        <v>#N/A</v>
      </c>
    </row>
    <row r="848" spans="1:12" ht="28.8" hidden="1" x14ac:dyDescent="0.3">
      <c r="A848" s="5">
        <v>18802263</v>
      </c>
      <c r="B848" s="6" t="s">
        <v>99</v>
      </c>
      <c r="C848" s="6" t="s">
        <v>65</v>
      </c>
      <c r="D848" s="8" t="s">
        <v>66</v>
      </c>
      <c r="E848" s="6" t="s">
        <v>2778</v>
      </c>
      <c r="F848" s="6" t="s">
        <v>51</v>
      </c>
      <c r="G848" s="11" t="s">
        <v>56</v>
      </c>
      <c r="I848" s="10" t="s">
        <v>2779</v>
      </c>
      <c r="J848" s="6" t="s">
        <v>132</v>
      </c>
      <c r="K848" s="12">
        <v>46120.703784722224</v>
      </c>
      <c r="L848" s="6" t="e" cm="1">
        <f t="array" ref="L848">LOOKUP(2^15,SEARCH(Tabela2[Palavras-Chave],Boletim4[[#This Row],[Objeto]],1),Tabela2[Palavras-Chave])</f>
        <v>#N/A</v>
      </c>
    </row>
    <row r="849" spans="1:12" ht="57.6" hidden="1" x14ac:dyDescent="0.3">
      <c r="A849" s="5">
        <v>18802264</v>
      </c>
      <c r="B849" s="6" t="s">
        <v>99</v>
      </c>
      <c r="C849" s="6" t="s">
        <v>65</v>
      </c>
      <c r="D849" s="8" t="s">
        <v>66</v>
      </c>
      <c r="E849" s="6" t="s">
        <v>2780</v>
      </c>
      <c r="F849" s="6" t="s">
        <v>51</v>
      </c>
      <c r="G849" s="11" t="s">
        <v>56</v>
      </c>
      <c r="I849" s="10" t="s">
        <v>2781</v>
      </c>
      <c r="J849" s="6" t="s">
        <v>132</v>
      </c>
      <c r="K849" s="12">
        <v>46120.703842592593</v>
      </c>
      <c r="L849" s="6" t="e" cm="1">
        <f t="array" ref="L849">LOOKUP(2^15,SEARCH(Tabela2[Palavras-Chave],Boletim4[[#This Row],[Objeto]],1),Tabela2[Palavras-Chave])</f>
        <v>#N/A</v>
      </c>
    </row>
    <row r="850" spans="1:12" ht="28.8" hidden="1" x14ac:dyDescent="0.3">
      <c r="A850" s="5">
        <v>18802269</v>
      </c>
      <c r="B850" s="6" t="s">
        <v>99</v>
      </c>
      <c r="C850" s="6" t="s">
        <v>65</v>
      </c>
      <c r="D850" s="8" t="s">
        <v>66</v>
      </c>
      <c r="E850" s="6" t="s">
        <v>2782</v>
      </c>
      <c r="F850" s="6" t="s">
        <v>51</v>
      </c>
      <c r="G850" s="11" t="s">
        <v>56</v>
      </c>
      <c r="I850" s="10" t="s">
        <v>2783</v>
      </c>
      <c r="J850" s="6" t="s">
        <v>132</v>
      </c>
      <c r="K850" s="12">
        <v>46120.704004629632</v>
      </c>
      <c r="L850" s="6" t="e" cm="1">
        <f t="array" ref="L850">LOOKUP(2^15,SEARCH(Tabela2[Palavras-Chave],Boletim4[[#This Row],[Objeto]],1),Tabela2[Palavras-Chave])</f>
        <v>#N/A</v>
      </c>
    </row>
    <row r="851" spans="1:12" ht="28.8" hidden="1" x14ac:dyDescent="0.3">
      <c r="A851" s="5">
        <v>18802274</v>
      </c>
      <c r="B851" s="6" t="s">
        <v>99</v>
      </c>
      <c r="C851" s="6" t="s">
        <v>65</v>
      </c>
      <c r="D851" s="8" t="s">
        <v>66</v>
      </c>
      <c r="E851" s="6" t="s">
        <v>2784</v>
      </c>
      <c r="F851" s="6" t="s">
        <v>51</v>
      </c>
      <c r="G851" s="11" t="s">
        <v>56</v>
      </c>
      <c r="I851" s="10" t="s">
        <v>2785</v>
      </c>
      <c r="J851" s="6" t="s">
        <v>132</v>
      </c>
      <c r="K851" s="12">
        <v>46120.70417824074</v>
      </c>
      <c r="L851" s="6" t="e" cm="1">
        <f t="array" ref="L851">LOOKUP(2^15,SEARCH(Tabela2[Palavras-Chave],Boletim4[[#This Row],[Objeto]],1),Tabela2[Palavras-Chave])</f>
        <v>#N/A</v>
      </c>
    </row>
    <row r="852" spans="1:12" ht="28.8" hidden="1" x14ac:dyDescent="0.3">
      <c r="A852" s="5">
        <v>18802277</v>
      </c>
      <c r="B852" s="6" t="s">
        <v>99</v>
      </c>
      <c r="C852" s="6" t="s">
        <v>65</v>
      </c>
      <c r="D852" s="8" t="s">
        <v>66</v>
      </c>
      <c r="E852" s="6" t="s">
        <v>2786</v>
      </c>
      <c r="F852" s="6" t="s">
        <v>51</v>
      </c>
      <c r="G852" s="11" t="s">
        <v>56</v>
      </c>
      <c r="I852" s="10" t="s">
        <v>2787</v>
      </c>
      <c r="J852" s="6" t="s">
        <v>132</v>
      </c>
      <c r="K852" s="12">
        <v>46120.704780092594</v>
      </c>
      <c r="L852" s="6" t="e" cm="1">
        <f t="array" ref="L852">LOOKUP(2^15,SEARCH(Tabela2[Palavras-Chave],Boletim4[[#This Row],[Objeto]],1),Tabela2[Palavras-Chave])</f>
        <v>#N/A</v>
      </c>
    </row>
    <row r="853" spans="1:12" ht="57.6" hidden="1" x14ac:dyDescent="0.3">
      <c r="A853" s="5">
        <v>18804810</v>
      </c>
      <c r="B853" s="6" t="s">
        <v>436</v>
      </c>
      <c r="C853" s="6" t="s">
        <v>437</v>
      </c>
      <c r="D853" s="8" t="s">
        <v>66</v>
      </c>
      <c r="E853" s="6" t="s">
        <v>2788</v>
      </c>
      <c r="F853" s="6" t="s">
        <v>51</v>
      </c>
      <c r="G853" s="11" t="s">
        <v>56</v>
      </c>
      <c r="I853" s="10" t="s">
        <v>2789</v>
      </c>
      <c r="J853" s="6" t="s">
        <v>2743</v>
      </c>
      <c r="K853" s="12">
        <v>46120.714317129627</v>
      </c>
      <c r="L853" s="6" t="e" cm="1">
        <f t="array" ref="L853">LOOKUP(2^15,SEARCH(Tabela2[Palavras-Chave],Boletim4[[#This Row],[Objeto]],1),Tabela2[Palavras-Chave])</f>
        <v>#N/A</v>
      </c>
    </row>
    <row r="854" spans="1:12" ht="129.6" hidden="1" x14ac:dyDescent="0.3">
      <c r="A854" s="5">
        <v>18804808</v>
      </c>
      <c r="B854" s="6" t="s">
        <v>842</v>
      </c>
      <c r="C854" s="6" t="s">
        <v>233</v>
      </c>
      <c r="D854" s="8" t="s">
        <v>66</v>
      </c>
      <c r="E854" s="6" t="s">
        <v>843</v>
      </c>
      <c r="F854" s="6" t="s">
        <v>51</v>
      </c>
      <c r="G854" s="11" t="s">
        <v>56</v>
      </c>
      <c r="I854" s="10" t="s">
        <v>844</v>
      </c>
      <c r="J854" s="6" t="s">
        <v>845</v>
      </c>
      <c r="K854" s="12">
        <v>46120.714837962965</v>
      </c>
      <c r="L854" s="6" t="e" cm="1">
        <f t="array" ref="L854">LOOKUP(2^15,SEARCH(Tabela2[Palavras-Chave],Boletim4[[#This Row],[Objeto]],1),Tabela2[Palavras-Chave])</f>
        <v>#N/A</v>
      </c>
    </row>
    <row r="855" spans="1:12" ht="100.8" hidden="1" x14ac:dyDescent="0.3">
      <c r="A855" s="5">
        <v>18802294</v>
      </c>
      <c r="B855" s="6" t="s">
        <v>298</v>
      </c>
      <c r="C855" s="6" t="s">
        <v>299</v>
      </c>
      <c r="D855" s="8" t="s">
        <v>66</v>
      </c>
      <c r="E855" s="6" t="s">
        <v>846</v>
      </c>
      <c r="F855" s="6" t="s">
        <v>51</v>
      </c>
      <c r="G855" s="11" t="s">
        <v>56</v>
      </c>
      <c r="I855" s="10" t="s">
        <v>847</v>
      </c>
      <c r="J855" s="6" t="s">
        <v>848</v>
      </c>
      <c r="K855" s="12">
        <v>46120.717164351852</v>
      </c>
      <c r="L855" s="6" t="e" cm="1">
        <f t="array" ref="L855">LOOKUP(2^15,SEARCH(Tabela2[Palavras-Chave],Boletim4[[#This Row],[Objeto]],1),Tabela2[Palavras-Chave])</f>
        <v>#N/A</v>
      </c>
    </row>
    <row r="856" spans="1:12" hidden="1" x14ac:dyDescent="0.3">
      <c r="A856" s="5">
        <v>18802291</v>
      </c>
      <c r="B856" s="6" t="s">
        <v>99</v>
      </c>
      <c r="C856" s="6" t="s">
        <v>65</v>
      </c>
      <c r="D856" s="8" t="s">
        <v>66</v>
      </c>
      <c r="E856" s="6" t="s">
        <v>2790</v>
      </c>
      <c r="F856" s="6" t="s">
        <v>51</v>
      </c>
      <c r="G856" s="11" t="s">
        <v>56</v>
      </c>
      <c r="I856" s="10" t="s">
        <v>2791</v>
      </c>
      <c r="J856" s="6" t="s">
        <v>132</v>
      </c>
      <c r="K856" s="12">
        <v>46120.725011574075</v>
      </c>
      <c r="L856" s="6" t="e" cm="1">
        <f t="array" ref="L856">LOOKUP(2^15,SEARCH(Tabela2[Palavras-Chave],Boletim4[[#This Row],[Objeto]],1),Tabela2[Palavras-Chave])</f>
        <v>#N/A</v>
      </c>
    </row>
    <row r="857" spans="1:12" ht="28.8" x14ac:dyDescent="0.3">
      <c r="A857" s="5">
        <v>18804363</v>
      </c>
      <c r="B857" s="6" t="s">
        <v>99</v>
      </c>
      <c r="C857" s="6" t="s">
        <v>65</v>
      </c>
      <c r="D857" s="8" t="s">
        <v>66</v>
      </c>
      <c r="E857" s="6" t="s">
        <v>849</v>
      </c>
      <c r="F857" s="6" t="s">
        <v>51</v>
      </c>
      <c r="G857" s="11" t="s">
        <v>56</v>
      </c>
      <c r="H857" s="23">
        <v>2</v>
      </c>
      <c r="I857" s="10" t="s">
        <v>850</v>
      </c>
      <c r="J857" s="6" t="s">
        <v>132</v>
      </c>
      <c r="K857" s="12">
        <v>46120.734606481485</v>
      </c>
      <c r="L857" s="6" t="str" cm="1">
        <f t="array" ref="L857">LOOKUP(2^15,SEARCH(Tabela2[Palavras-Chave],Boletim4[[#This Row],[Objeto]],1),Tabela2[Palavras-Chave])</f>
        <v>ABRACADEIRA</v>
      </c>
    </row>
    <row r="858" spans="1:12" ht="28.8" hidden="1" x14ac:dyDescent="0.3">
      <c r="A858" s="5">
        <v>18804356</v>
      </c>
      <c r="B858" s="6" t="s">
        <v>99</v>
      </c>
      <c r="C858" s="6" t="s">
        <v>65</v>
      </c>
      <c r="D858" s="8" t="s">
        <v>66</v>
      </c>
      <c r="E858" s="6" t="s">
        <v>851</v>
      </c>
      <c r="F858" s="6" t="s">
        <v>51</v>
      </c>
      <c r="G858" s="11" t="s">
        <v>56</v>
      </c>
      <c r="I858" s="10" t="s">
        <v>852</v>
      </c>
      <c r="J858" s="6" t="s">
        <v>132</v>
      </c>
      <c r="K858" s="12">
        <v>46120.734664351854</v>
      </c>
      <c r="L858" s="6" t="e" cm="1">
        <f t="array" ref="L858">LOOKUP(2^15,SEARCH(Tabela2[Palavras-Chave],Boletim4[[#This Row],[Objeto]],1),Tabela2[Palavras-Chave])</f>
        <v>#N/A</v>
      </c>
    </row>
    <row r="859" spans="1:12" ht="100.8" hidden="1" x14ac:dyDescent="0.3">
      <c r="A859" s="5">
        <v>18803642</v>
      </c>
      <c r="B859" s="6" t="s">
        <v>853</v>
      </c>
      <c r="C859" s="6" t="s">
        <v>65</v>
      </c>
      <c r="D859" s="8" t="s">
        <v>66</v>
      </c>
      <c r="E859" s="6" t="s">
        <v>854</v>
      </c>
      <c r="F859" s="6" t="s">
        <v>51</v>
      </c>
      <c r="G859" s="11">
        <v>46125.375</v>
      </c>
      <c r="I859" s="10" t="s">
        <v>855</v>
      </c>
      <c r="J859" s="6" t="s">
        <v>856</v>
      </c>
      <c r="K859" s="12">
        <v>46120.736655092594</v>
      </c>
      <c r="L859" s="6" t="e" cm="1">
        <f t="array" ref="L859">LOOKUP(2^15,SEARCH(Tabela2[Palavras-Chave],Boletim4[[#This Row],[Objeto]],1),Tabela2[Palavras-Chave])</f>
        <v>#N/A</v>
      </c>
    </row>
    <row r="860" spans="1:12" ht="72" hidden="1" x14ac:dyDescent="0.3">
      <c r="A860" s="5">
        <v>18805617</v>
      </c>
      <c r="B860" s="6" t="s">
        <v>2792</v>
      </c>
      <c r="C860" s="6" t="s">
        <v>2793</v>
      </c>
      <c r="D860" s="8" t="s">
        <v>66</v>
      </c>
      <c r="E860" s="6" t="s">
        <v>119</v>
      </c>
      <c r="F860" s="6" t="s">
        <v>51</v>
      </c>
      <c r="G860" s="11">
        <v>46125.583333333336</v>
      </c>
      <c r="I860" s="10" t="s">
        <v>2794</v>
      </c>
      <c r="J860" s="6" t="s">
        <v>2795</v>
      </c>
      <c r="K860" s="12">
        <v>46120.747800925928</v>
      </c>
      <c r="L860" s="6" t="e" cm="1">
        <f t="array" ref="L860">LOOKUP(2^15,SEARCH(Tabela2[Palavras-Chave],Boletim4[[#This Row],[Objeto]],1),Tabela2[Palavras-Chave])</f>
        <v>#N/A</v>
      </c>
    </row>
    <row r="861" spans="1:12" ht="43.2" x14ac:dyDescent="0.3">
      <c r="A861" s="5">
        <v>18803519</v>
      </c>
      <c r="B861" s="6" t="s">
        <v>857</v>
      </c>
      <c r="C861" s="6" t="s">
        <v>858</v>
      </c>
      <c r="D861" s="8" t="s">
        <v>66</v>
      </c>
      <c r="E861" s="6" t="s">
        <v>220</v>
      </c>
      <c r="F861" s="6" t="s">
        <v>51</v>
      </c>
      <c r="G861" s="11" t="s">
        <v>56</v>
      </c>
      <c r="H861" s="23">
        <v>2</v>
      </c>
      <c r="I861" s="10" t="s">
        <v>859</v>
      </c>
      <c r="J861" s="6" t="s">
        <v>860</v>
      </c>
      <c r="K861" s="12">
        <v>46120.767534722225</v>
      </c>
      <c r="L861" s="6" t="str" cm="1">
        <f t="array" ref="L861">LOOKUP(2^15,SEARCH(Tabela2[Palavras-Chave],Boletim4[[#This Row],[Objeto]],1),Tabela2[Palavras-Chave])</f>
        <v>BOMBEAMENTO</v>
      </c>
    </row>
    <row r="862" spans="1:12" hidden="1" x14ac:dyDescent="0.3">
      <c r="A862" s="5">
        <v>18804313</v>
      </c>
      <c r="B862" s="6" t="s">
        <v>99</v>
      </c>
      <c r="C862" s="6" t="s">
        <v>65</v>
      </c>
      <c r="D862" s="8" t="s">
        <v>66</v>
      </c>
      <c r="E862" s="6" t="s">
        <v>2796</v>
      </c>
      <c r="F862" s="6" t="s">
        <v>51</v>
      </c>
      <c r="G862" s="11" t="s">
        <v>56</v>
      </c>
      <c r="I862" s="10" t="s">
        <v>2797</v>
      </c>
      <c r="J862" s="6" t="s">
        <v>132</v>
      </c>
      <c r="K862" s="12">
        <v>46120.767916666664</v>
      </c>
      <c r="L862" s="6" t="e" cm="1">
        <f t="array" ref="L862">LOOKUP(2^15,SEARCH(Tabela2[Palavras-Chave],Boletim4[[#This Row],[Objeto]],1),Tabela2[Palavras-Chave])</f>
        <v>#N/A</v>
      </c>
    </row>
    <row r="863" spans="1:12" ht="28.8" hidden="1" x14ac:dyDescent="0.3">
      <c r="A863" s="5">
        <v>18803509</v>
      </c>
      <c r="B863" s="6" t="s">
        <v>857</v>
      </c>
      <c r="C863" s="6" t="s">
        <v>858</v>
      </c>
      <c r="D863" s="8" t="s">
        <v>66</v>
      </c>
      <c r="E863" s="6" t="s">
        <v>824</v>
      </c>
      <c r="F863" s="6" t="s">
        <v>51</v>
      </c>
      <c r="G863" s="11" t="s">
        <v>56</v>
      </c>
      <c r="I863" s="10" t="s">
        <v>861</v>
      </c>
      <c r="J863" s="6" t="s">
        <v>860</v>
      </c>
      <c r="K863" s="12">
        <v>46120.768877314818</v>
      </c>
      <c r="L863" s="6" t="e" cm="1">
        <f t="array" ref="L863">LOOKUP(2^15,SEARCH(Tabela2[Palavras-Chave],Boletim4[[#This Row],[Objeto]],1),Tabela2[Palavras-Chave])</f>
        <v>#N/A</v>
      </c>
    </row>
    <row r="864" spans="1:12" ht="158.4" hidden="1" x14ac:dyDescent="0.3">
      <c r="A864" s="5">
        <v>18805975</v>
      </c>
      <c r="B864" s="6" t="s">
        <v>2798</v>
      </c>
      <c r="C864" s="6" t="s">
        <v>2799</v>
      </c>
      <c r="D864" s="8" t="s">
        <v>66</v>
      </c>
      <c r="E864" s="6" t="s">
        <v>139</v>
      </c>
      <c r="F864" s="6" t="s">
        <v>51</v>
      </c>
      <c r="G864" s="11" t="s">
        <v>56</v>
      </c>
      <c r="I864" s="10" t="s">
        <v>2800</v>
      </c>
      <c r="J864" s="6" t="s">
        <v>2801</v>
      </c>
      <c r="K864" s="12">
        <v>46120.789490740739</v>
      </c>
      <c r="L864" s="6" t="e" cm="1">
        <f t="array" ref="L864">LOOKUP(2^15,SEARCH(Tabela2[Palavras-Chave],Boletim4[[#This Row],[Objeto]],1),Tabela2[Palavras-Chave])</f>
        <v>#N/A</v>
      </c>
    </row>
    <row r="865" spans="1:12" ht="28.8" hidden="1" x14ac:dyDescent="0.3">
      <c r="A865" s="5">
        <v>18802288</v>
      </c>
      <c r="B865" s="6" t="s">
        <v>99</v>
      </c>
      <c r="C865" s="6" t="s">
        <v>65</v>
      </c>
      <c r="D865" s="8" t="s">
        <v>66</v>
      </c>
      <c r="E865" s="6" t="s">
        <v>2802</v>
      </c>
      <c r="F865" s="6" t="s">
        <v>51</v>
      </c>
      <c r="G865" s="11" t="s">
        <v>56</v>
      </c>
      <c r="I865" s="10" t="s">
        <v>2803</v>
      </c>
      <c r="J865" s="6" t="s">
        <v>132</v>
      </c>
      <c r="K865" s="12">
        <v>46120.80327546296</v>
      </c>
      <c r="L865" s="6" t="e" cm="1">
        <f t="array" ref="L865">LOOKUP(2^15,SEARCH(Tabela2[Palavras-Chave],Boletim4[[#This Row],[Objeto]],1),Tabela2[Palavras-Chave])</f>
        <v>#N/A</v>
      </c>
    </row>
    <row r="866" spans="1:12" ht="409.6" x14ac:dyDescent="0.3">
      <c r="A866" s="5">
        <v>18802343</v>
      </c>
      <c r="B866" s="6" t="s">
        <v>436</v>
      </c>
      <c r="C866" s="6" t="s">
        <v>437</v>
      </c>
      <c r="D866" s="8" t="s">
        <v>66</v>
      </c>
      <c r="E866" s="6" t="s">
        <v>862</v>
      </c>
      <c r="F866" s="6" t="s">
        <v>51</v>
      </c>
      <c r="G866" s="11" t="s">
        <v>56</v>
      </c>
      <c r="H866" s="23">
        <v>2</v>
      </c>
      <c r="I866" s="10" t="s">
        <v>863</v>
      </c>
      <c r="J866" s="6" t="s">
        <v>790</v>
      </c>
      <c r="K866" s="12">
        <v>46120.80982638889</v>
      </c>
      <c r="L866" s="6" t="str" cm="1">
        <f t="array" ref="L866">LOOKUP(2^15,SEARCH(Tabela2[Palavras-Chave],Boletim4[[#This Row],[Objeto]],1),Tabela2[Palavras-Chave])</f>
        <v>INOX</v>
      </c>
    </row>
    <row r="867" spans="1:12" ht="57.6" hidden="1" x14ac:dyDescent="0.3">
      <c r="A867" s="5">
        <v>18802346</v>
      </c>
      <c r="B867" s="6" t="s">
        <v>436</v>
      </c>
      <c r="C867" s="6" t="s">
        <v>437</v>
      </c>
      <c r="D867" s="8" t="s">
        <v>66</v>
      </c>
      <c r="E867" s="6" t="s">
        <v>864</v>
      </c>
      <c r="F867" s="6" t="s">
        <v>51</v>
      </c>
      <c r="G867" s="11" t="s">
        <v>56</v>
      </c>
      <c r="I867" s="10" t="s">
        <v>865</v>
      </c>
      <c r="J867" s="6" t="s">
        <v>790</v>
      </c>
      <c r="K867" s="12">
        <v>46120.810590277775</v>
      </c>
      <c r="L867" s="6" t="e" cm="1">
        <f t="array" ref="L867">LOOKUP(2^15,SEARCH(Tabela2[Palavras-Chave],Boletim4[[#This Row],[Objeto]],1),Tabela2[Palavras-Chave])</f>
        <v>#N/A</v>
      </c>
    </row>
    <row r="868" spans="1:12" ht="72" hidden="1" x14ac:dyDescent="0.3">
      <c r="A868" s="5">
        <v>18800245</v>
      </c>
      <c r="B868" s="6" t="s">
        <v>2804</v>
      </c>
      <c r="C868" s="6" t="s">
        <v>2805</v>
      </c>
      <c r="D868" s="8" t="s">
        <v>66</v>
      </c>
      <c r="E868" s="6" t="s">
        <v>244</v>
      </c>
      <c r="F868" s="6" t="s">
        <v>51</v>
      </c>
      <c r="G868" s="11">
        <v>46125.333333333336</v>
      </c>
      <c r="I868" s="10" t="s">
        <v>2806</v>
      </c>
      <c r="J868" s="6" t="s">
        <v>2807</v>
      </c>
      <c r="K868" s="12">
        <v>46120.823148148149</v>
      </c>
      <c r="L868" s="6" t="e" cm="1">
        <f t="array" ref="L868">LOOKUP(2^15,SEARCH(Tabela2[Palavras-Chave],Boletim4[[#This Row],[Objeto]],1),Tabela2[Palavras-Chave])</f>
        <v>#N/A</v>
      </c>
    </row>
    <row r="869" spans="1:12" ht="115.2" hidden="1" x14ac:dyDescent="0.3">
      <c r="A869" s="5">
        <v>18806385</v>
      </c>
      <c r="B869" s="6" t="s">
        <v>866</v>
      </c>
      <c r="C869" s="6" t="s">
        <v>299</v>
      </c>
      <c r="D869" s="8" t="s">
        <v>66</v>
      </c>
      <c r="E869" s="6" t="s">
        <v>105</v>
      </c>
      <c r="F869" s="6" t="s">
        <v>51</v>
      </c>
      <c r="G869" s="11">
        <v>46129.333333333336</v>
      </c>
      <c r="I869" s="10" t="s">
        <v>867</v>
      </c>
      <c r="J869" s="6" t="s">
        <v>868</v>
      </c>
      <c r="K869" s="12">
        <v>46120.860138888886</v>
      </c>
      <c r="L869" s="6" t="e" cm="1">
        <f t="array" ref="L869">LOOKUP(2^15,SEARCH(Tabela2[Palavras-Chave],Boletim4[[#This Row],[Objeto]],1),Tabela2[Palavras-Chave])</f>
        <v>#N/A</v>
      </c>
    </row>
    <row r="870" spans="1:12" ht="28.8" hidden="1" x14ac:dyDescent="0.3">
      <c r="A870" s="5">
        <v>18803563</v>
      </c>
      <c r="B870" s="6" t="s">
        <v>2808</v>
      </c>
      <c r="C870" s="6" t="s">
        <v>2809</v>
      </c>
      <c r="D870" s="8" t="s">
        <v>66</v>
      </c>
      <c r="E870" s="6" t="s">
        <v>2810</v>
      </c>
      <c r="F870" s="6" t="s">
        <v>51</v>
      </c>
      <c r="G870" s="11">
        <v>46122.333333333336</v>
      </c>
      <c r="I870" s="10" t="s">
        <v>2811</v>
      </c>
      <c r="J870" s="6" t="s">
        <v>2812</v>
      </c>
      <c r="K870" s="12">
        <v>46120.863680555558</v>
      </c>
      <c r="L870" s="6" t="e" cm="1">
        <f t="array" ref="L870">LOOKUP(2^15,SEARCH(Tabela2[Palavras-Chave],Boletim4[[#This Row],[Objeto]],1),Tabela2[Palavras-Chave])</f>
        <v>#N/A</v>
      </c>
    </row>
    <row r="871" spans="1:12" ht="43.2" hidden="1" x14ac:dyDescent="0.3">
      <c r="A871" s="5">
        <v>18803635</v>
      </c>
      <c r="B871" s="6" t="s">
        <v>2813</v>
      </c>
      <c r="C871" s="6" t="s">
        <v>2814</v>
      </c>
      <c r="D871" s="8" t="s">
        <v>66</v>
      </c>
      <c r="E871" s="6" t="s">
        <v>110</v>
      </c>
      <c r="F871" s="6" t="s">
        <v>51</v>
      </c>
      <c r="G871" s="11">
        <v>46140.5625</v>
      </c>
      <c r="I871" s="10" t="s">
        <v>2815</v>
      </c>
      <c r="J871" s="6" t="s">
        <v>2816</v>
      </c>
      <c r="K871" s="12">
        <v>46120.864849537036</v>
      </c>
      <c r="L871" s="6" t="e" cm="1">
        <f t="array" ref="L871">LOOKUP(2^15,SEARCH(Tabela2[Palavras-Chave],Boletim4[[#This Row],[Objeto]],1),Tabela2[Palavras-Chave])</f>
        <v>#N/A</v>
      </c>
    </row>
    <row r="872" spans="1:12" ht="100.8" hidden="1" x14ac:dyDescent="0.3">
      <c r="A872" s="5">
        <v>18803682</v>
      </c>
      <c r="B872" s="6" t="s">
        <v>869</v>
      </c>
      <c r="C872" s="6" t="s">
        <v>870</v>
      </c>
      <c r="D872" s="8" t="s">
        <v>66</v>
      </c>
      <c r="E872" s="6" t="s">
        <v>871</v>
      </c>
      <c r="F872" s="6" t="s">
        <v>51</v>
      </c>
      <c r="G872" s="11">
        <v>46122.354166666664</v>
      </c>
      <c r="I872" s="10" t="s">
        <v>872</v>
      </c>
      <c r="J872" s="6" t="s">
        <v>873</v>
      </c>
      <c r="K872" s="12">
        <v>46120.872488425928</v>
      </c>
      <c r="L872" s="6" t="e" cm="1">
        <f t="array" ref="L872">LOOKUP(2^15,SEARCH(Tabela2[Palavras-Chave],Boletim4[[#This Row],[Objeto]],1),Tabela2[Palavras-Chave])</f>
        <v>#N/A</v>
      </c>
    </row>
    <row r="873" spans="1:12" ht="172.8" hidden="1" x14ac:dyDescent="0.3">
      <c r="A873" s="5">
        <v>18804636</v>
      </c>
      <c r="B873" s="6" t="s">
        <v>838</v>
      </c>
      <c r="C873" s="6" t="s">
        <v>254</v>
      </c>
      <c r="D873" s="8" t="s">
        <v>66</v>
      </c>
      <c r="E873" s="6" t="s">
        <v>874</v>
      </c>
      <c r="F873" s="6" t="s">
        <v>51</v>
      </c>
      <c r="G873" s="11" t="s">
        <v>56</v>
      </c>
      <c r="I873" s="10" t="s">
        <v>875</v>
      </c>
      <c r="J873" s="6" t="s">
        <v>876</v>
      </c>
      <c r="K873" s="12">
        <v>46120.876307870371</v>
      </c>
      <c r="L873" s="6" t="e" cm="1">
        <f t="array" ref="L873">LOOKUP(2^15,SEARCH(Tabela2[Palavras-Chave],Boletim4[[#This Row],[Objeto]],1),Tabela2[Palavras-Chave])</f>
        <v>#N/A</v>
      </c>
    </row>
    <row r="874" spans="1:12" ht="158.4" hidden="1" x14ac:dyDescent="0.3">
      <c r="A874" s="5">
        <v>18804633</v>
      </c>
      <c r="B874" s="6" t="s">
        <v>838</v>
      </c>
      <c r="C874" s="6" t="s">
        <v>254</v>
      </c>
      <c r="D874" s="8" t="s">
        <v>66</v>
      </c>
      <c r="E874" s="6" t="s">
        <v>877</v>
      </c>
      <c r="F874" s="6" t="s">
        <v>51</v>
      </c>
      <c r="G874" s="11" t="s">
        <v>56</v>
      </c>
      <c r="I874" s="10" t="s">
        <v>878</v>
      </c>
      <c r="J874" s="6" t="s">
        <v>876</v>
      </c>
      <c r="K874" s="12">
        <v>46120.87636574074</v>
      </c>
      <c r="L874" s="6" t="e" cm="1">
        <f t="array" ref="L874">LOOKUP(2^15,SEARCH(Tabela2[Palavras-Chave],Boletim4[[#This Row],[Objeto]],1),Tabela2[Palavras-Chave])</f>
        <v>#N/A</v>
      </c>
    </row>
    <row r="875" spans="1:12" ht="129.6" hidden="1" x14ac:dyDescent="0.3">
      <c r="A875" s="5">
        <v>18803872</v>
      </c>
      <c r="B875" s="6" t="s">
        <v>2817</v>
      </c>
      <c r="C875" s="6" t="s">
        <v>2818</v>
      </c>
      <c r="D875" s="8" t="s">
        <v>67</v>
      </c>
      <c r="E875" s="6" t="s">
        <v>444</v>
      </c>
      <c r="F875" s="6" t="s">
        <v>51</v>
      </c>
      <c r="G875" s="11" t="s">
        <v>56</v>
      </c>
      <c r="I875" s="10" t="s">
        <v>2819</v>
      </c>
      <c r="J875" s="6" t="s">
        <v>2820</v>
      </c>
      <c r="K875" s="12">
        <v>46120.597893518519</v>
      </c>
      <c r="L875" s="6" t="e" cm="1">
        <f t="array" ref="L875">LOOKUP(2^15,SEARCH(Tabela2[Palavras-Chave],Boletim4[[#This Row],[Objeto]],1),Tabela2[Palavras-Chave])</f>
        <v>#N/A</v>
      </c>
    </row>
    <row r="876" spans="1:12" ht="244.8" hidden="1" x14ac:dyDescent="0.3">
      <c r="A876" s="5">
        <v>18803661</v>
      </c>
      <c r="B876" s="6" t="s">
        <v>879</v>
      </c>
      <c r="C876" s="6" t="s">
        <v>123</v>
      </c>
      <c r="D876" s="8" t="s">
        <v>67</v>
      </c>
      <c r="E876" s="6" t="s">
        <v>145</v>
      </c>
      <c r="F876" s="6" t="s">
        <v>51</v>
      </c>
      <c r="G876" s="11">
        <v>46122.354166666664</v>
      </c>
      <c r="I876" s="10" t="s">
        <v>880</v>
      </c>
      <c r="J876" s="6" t="s">
        <v>881</v>
      </c>
      <c r="K876" s="12">
        <v>46120.640104166669</v>
      </c>
      <c r="L876" s="6" t="e" cm="1">
        <f t="array" ref="L876">LOOKUP(2^15,SEARCH(Tabela2[Palavras-Chave],Boletim4[[#This Row],[Objeto]],1),Tabela2[Palavras-Chave])</f>
        <v>#N/A</v>
      </c>
    </row>
    <row r="877" spans="1:12" ht="28.8" hidden="1" x14ac:dyDescent="0.3">
      <c r="A877" s="5">
        <v>18791682</v>
      </c>
      <c r="B877" s="6" t="s">
        <v>217</v>
      </c>
      <c r="C877" s="6" t="s">
        <v>111</v>
      </c>
      <c r="D877" s="8" t="s">
        <v>91</v>
      </c>
      <c r="E877" s="6" t="s">
        <v>55</v>
      </c>
      <c r="F877" s="6" t="s">
        <v>51</v>
      </c>
      <c r="G877" s="11" t="s">
        <v>56</v>
      </c>
      <c r="I877" s="10" t="s">
        <v>2821</v>
      </c>
      <c r="J877" s="6" t="s">
        <v>138</v>
      </c>
      <c r="K877" s="12">
        <v>46120.583599537036</v>
      </c>
      <c r="L877" s="6" t="e" cm="1">
        <f t="array" ref="L877">LOOKUP(2^15,SEARCH(Tabela2[Palavras-Chave],Boletim4[[#This Row],[Objeto]],1),Tabela2[Palavras-Chave])</f>
        <v>#N/A</v>
      </c>
    </row>
    <row r="878" spans="1:12" ht="100.8" hidden="1" x14ac:dyDescent="0.3">
      <c r="A878" s="5">
        <v>18804592</v>
      </c>
      <c r="B878" s="6" t="s">
        <v>882</v>
      </c>
      <c r="C878" s="6" t="s">
        <v>883</v>
      </c>
      <c r="D878" s="8" t="s">
        <v>91</v>
      </c>
      <c r="E878" s="6" t="s">
        <v>761</v>
      </c>
      <c r="F878" s="6" t="s">
        <v>51</v>
      </c>
      <c r="G878" s="11">
        <v>46125.354166666664</v>
      </c>
      <c r="I878" s="10" t="s">
        <v>884</v>
      </c>
      <c r="J878" s="6" t="s">
        <v>885</v>
      </c>
      <c r="K878" s="12">
        <v>46120.731805555559</v>
      </c>
      <c r="L878" s="6" t="e" cm="1">
        <f t="array" ref="L878">LOOKUP(2^15,SEARCH(Tabela2[Palavras-Chave],Boletim4[[#This Row],[Objeto]],1),Tabela2[Palavras-Chave])</f>
        <v>#N/A</v>
      </c>
    </row>
    <row r="879" spans="1:12" ht="100.8" hidden="1" x14ac:dyDescent="0.3">
      <c r="A879" s="5">
        <v>18804771</v>
      </c>
      <c r="B879" s="6" t="s">
        <v>886</v>
      </c>
      <c r="C879" s="6" t="s">
        <v>887</v>
      </c>
      <c r="D879" s="8" t="s">
        <v>91</v>
      </c>
      <c r="E879" s="6" t="s">
        <v>147</v>
      </c>
      <c r="F879" s="6" t="s">
        <v>51</v>
      </c>
      <c r="G879" s="11">
        <v>46125.999305555553</v>
      </c>
      <c r="I879" s="10" t="s">
        <v>888</v>
      </c>
      <c r="J879" s="6" t="s">
        <v>889</v>
      </c>
      <c r="K879" s="12">
        <v>46120.744409722225</v>
      </c>
      <c r="L879" s="6" t="e" cm="1">
        <f t="array" ref="L879">LOOKUP(2^15,SEARCH(Tabela2[Palavras-Chave],Boletim4[[#This Row],[Objeto]],1),Tabela2[Palavras-Chave])</f>
        <v>#N/A</v>
      </c>
    </row>
    <row r="880" spans="1:12" ht="86.4" hidden="1" x14ac:dyDescent="0.3">
      <c r="A880" s="5">
        <v>18801352</v>
      </c>
      <c r="B880" s="6" t="s">
        <v>890</v>
      </c>
      <c r="C880" s="6" t="s">
        <v>130</v>
      </c>
      <c r="D880" s="8" t="s">
        <v>68</v>
      </c>
      <c r="E880" s="6" t="s">
        <v>891</v>
      </c>
      <c r="F880" s="6" t="s">
        <v>51</v>
      </c>
      <c r="G880" s="11">
        <v>46126.333333333336</v>
      </c>
      <c r="I880" s="10" t="s">
        <v>892</v>
      </c>
      <c r="J880" s="6" t="s">
        <v>893</v>
      </c>
      <c r="K880" s="12">
        <v>46120.576238425929</v>
      </c>
      <c r="L880" s="6" t="e" cm="1">
        <f t="array" ref="L880">LOOKUP(2^15,SEARCH(Tabela2[Palavras-Chave],Boletim4[[#This Row],[Objeto]],1),Tabela2[Palavras-Chave])</f>
        <v>#N/A</v>
      </c>
    </row>
    <row r="881" spans="1:12" ht="57.6" hidden="1" x14ac:dyDescent="0.3">
      <c r="A881" s="5">
        <v>18804996</v>
      </c>
      <c r="B881" s="6" t="s">
        <v>894</v>
      </c>
      <c r="C881" s="6" t="s">
        <v>130</v>
      </c>
      <c r="D881" s="8" t="s">
        <v>68</v>
      </c>
      <c r="E881" s="6" t="s">
        <v>147</v>
      </c>
      <c r="F881" s="6" t="s">
        <v>51</v>
      </c>
      <c r="G881" s="11" t="s">
        <v>56</v>
      </c>
      <c r="I881" s="10" t="s">
        <v>895</v>
      </c>
      <c r="J881" s="6" t="s">
        <v>896</v>
      </c>
      <c r="K881" s="12">
        <v>46120.75408564815</v>
      </c>
      <c r="L881" s="6" t="e" cm="1">
        <f t="array" ref="L881">LOOKUP(2^15,SEARCH(Tabela2[Palavras-Chave],Boletim4[[#This Row],[Objeto]],1),Tabela2[Palavras-Chave])</f>
        <v>#N/A</v>
      </c>
    </row>
    <row r="882" spans="1:12" ht="144" hidden="1" x14ac:dyDescent="0.3">
      <c r="A882" s="5">
        <v>18746430</v>
      </c>
      <c r="B882" s="6" t="s">
        <v>897</v>
      </c>
      <c r="C882" s="6" t="s">
        <v>898</v>
      </c>
      <c r="D882" s="8" t="s">
        <v>68</v>
      </c>
      <c r="E882" s="6" t="s">
        <v>899</v>
      </c>
      <c r="F882" s="6" t="s">
        <v>51</v>
      </c>
      <c r="G882" s="11">
        <v>46125.333333333336</v>
      </c>
      <c r="I882" s="10" t="s">
        <v>900</v>
      </c>
      <c r="J882" s="6" t="s">
        <v>901</v>
      </c>
      <c r="K882" s="12">
        <v>46120.859155092592</v>
      </c>
      <c r="L882" s="6" t="e" cm="1">
        <f t="array" ref="L882">LOOKUP(2^15,SEARCH(Tabela2[Palavras-Chave],Boletim4[[#This Row],[Objeto]],1),Tabela2[Palavras-Chave])</f>
        <v>#N/A</v>
      </c>
    </row>
    <row r="883" spans="1:12" ht="86.4" hidden="1" x14ac:dyDescent="0.3">
      <c r="A883" s="5">
        <v>18804496</v>
      </c>
      <c r="B883" s="6" t="s">
        <v>902</v>
      </c>
      <c r="C883" s="6" t="s">
        <v>130</v>
      </c>
      <c r="D883" s="8" t="s">
        <v>68</v>
      </c>
      <c r="E883" s="6" t="s">
        <v>147</v>
      </c>
      <c r="F883" s="6" t="s">
        <v>51</v>
      </c>
      <c r="G883" s="11">
        <v>46126.458333333336</v>
      </c>
      <c r="I883" s="10" t="s">
        <v>903</v>
      </c>
      <c r="J883" s="6" t="s">
        <v>904</v>
      </c>
      <c r="K883" s="12">
        <v>46120.880636574075</v>
      </c>
      <c r="L883" s="6" t="e" cm="1">
        <f t="array" ref="L883">LOOKUP(2^15,SEARCH(Tabela2[Palavras-Chave],Boletim4[[#This Row],[Objeto]],1),Tabela2[Palavras-Chave])</f>
        <v>#N/A</v>
      </c>
    </row>
    <row r="884" spans="1:12" ht="57.6" hidden="1" x14ac:dyDescent="0.3">
      <c r="A884" s="5">
        <v>18806369</v>
      </c>
      <c r="B884" s="6" t="s">
        <v>2822</v>
      </c>
      <c r="C884" s="6" t="s">
        <v>2823</v>
      </c>
      <c r="D884" s="8" t="s">
        <v>92</v>
      </c>
      <c r="E884" s="6" t="s">
        <v>2824</v>
      </c>
      <c r="F884" s="6" t="s">
        <v>51</v>
      </c>
      <c r="G884" s="11" t="s">
        <v>56</v>
      </c>
      <c r="I884" s="10" t="s">
        <v>2825</v>
      </c>
      <c r="J884" s="6" t="s">
        <v>2826</v>
      </c>
      <c r="K884" s="12">
        <v>46120.856423611112</v>
      </c>
      <c r="L884" s="6" t="e" cm="1">
        <f t="array" ref="L884">LOOKUP(2^15,SEARCH(Tabela2[Palavras-Chave],Boletim4[[#This Row],[Objeto]],1),Tabela2[Palavras-Chave])</f>
        <v>#N/A</v>
      </c>
    </row>
    <row r="885" spans="1:12" ht="86.4" hidden="1" x14ac:dyDescent="0.3">
      <c r="A885" s="5">
        <v>18801735</v>
      </c>
      <c r="B885" s="6" t="s">
        <v>905</v>
      </c>
      <c r="C885" s="6" t="s">
        <v>69</v>
      </c>
      <c r="D885" s="8" t="s">
        <v>70</v>
      </c>
      <c r="E885" s="6" t="s">
        <v>55</v>
      </c>
      <c r="F885" s="6" t="s">
        <v>51</v>
      </c>
      <c r="G885" s="11" t="s">
        <v>56</v>
      </c>
      <c r="I885" s="10" t="s">
        <v>906</v>
      </c>
      <c r="J885" s="6" t="s">
        <v>907</v>
      </c>
      <c r="K885" s="12">
        <v>46120.517743055556</v>
      </c>
      <c r="L885" s="6" t="e" cm="1">
        <f t="array" ref="L885">LOOKUP(2^15,SEARCH(Tabela2[Palavras-Chave],Boletim4[[#This Row],[Objeto]],1),Tabela2[Palavras-Chave])</f>
        <v>#N/A</v>
      </c>
    </row>
    <row r="886" spans="1:12" ht="259.2" hidden="1" x14ac:dyDescent="0.3">
      <c r="A886" s="5">
        <v>18805650</v>
      </c>
      <c r="B886" s="6" t="s">
        <v>908</v>
      </c>
      <c r="C886" s="6" t="s">
        <v>909</v>
      </c>
      <c r="D886" s="8" t="s">
        <v>70</v>
      </c>
      <c r="E886" s="6" t="s">
        <v>118</v>
      </c>
      <c r="F886" s="6" t="s">
        <v>51</v>
      </c>
      <c r="G886" s="11" t="s">
        <v>56</v>
      </c>
      <c r="I886" s="10" t="s">
        <v>910</v>
      </c>
      <c r="J886" s="6" t="s">
        <v>911</v>
      </c>
      <c r="K886" s="12">
        <v>46120.751342592594</v>
      </c>
      <c r="L886" s="6" t="e" cm="1">
        <f t="array" ref="L886">LOOKUP(2^15,SEARCH(Tabela2[Palavras-Chave],Boletim4[[#This Row],[Objeto]],1),Tabela2[Palavras-Chave])</f>
        <v>#N/A</v>
      </c>
    </row>
    <row r="887" spans="1:12" ht="100.8" hidden="1" x14ac:dyDescent="0.3">
      <c r="A887" s="5">
        <v>18805907</v>
      </c>
      <c r="B887" s="6" t="s">
        <v>271</v>
      </c>
      <c r="C887" s="6" t="s">
        <v>69</v>
      </c>
      <c r="D887" s="8" t="s">
        <v>70</v>
      </c>
      <c r="E887" s="6" t="s">
        <v>216</v>
      </c>
      <c r="F887" s="6" t="s">
        <v>51</v>
      </c>
      <c r="G887" s="11">
        <v>46126.333333333336</v>
      </c>
      <c r="I887" s="10" t="s">
        <v>912</v>
      </c>
      <c r="J887" s="6" t="s">
        <v>913</v>
      </c>
      <c r="K887" s="12">
        <v>46120.790405092594</v>
      </c>
      <c r="L887" s="6" t="e" cm="1">
        <f t="array" ref="L887">LOOKUP(2^15,SEARCH(Tabela2[Palavras-Chave],Boletim4[[#This Row],[Objeto]],1),Tabela2[Palavras-Chave])</f>
        <v>#N/A</v>
      </c>
    </row>
    <row r="888" spans="1:12" ht="86.4" hidden="1" x14ac:dyDescent="0.3">
      <c r="A888" s="5">
        <v>18805598</v>
      </c>
      <c r="B888" s="6" t="s">
        <v>914</v>
      </c>
      <c r="C888" s="6" t="s">
        <v>69</v>
      </c>
      <c r="D888" s="8" t="s">
        <v>70</v>
      </c>
      <c r="E888" s="6" t="s">
        <v>161</v>
      </c>
      <c r="F888" s="6" t="s">
        <v>51</v>
      </c>
      <c r="G888" s="11">
        <v>46122.375</v>
      </c>
      <c r="I888" s="10" t="s">
        <v>915</v>
      </c>
      <c r="J888" s="6" t="s">
        <v>916</v>
      </c>
      <c r="K888" s="12">
        <v>46120.860995370371</v>
      </c>
      <c r="L888" s="6" t="e" cm="1">
        <f t="array" ref="L888">LOOKUP(2^15,SEARCH(Tabela2[Palavras-Chave],Boletim4[[#This Row],[Objeto]],1),Tabela2[Palavras-Chave])</f>
        <v>#N/A</v>
      </c>
    </row>
    <row r="889" spans="1:12" ht="86.4" hidden="1" x14ac:dyDescent="0.3">
      <c r="A889" s="5">
        <v>18803705</v>
      </c>
      <c r="B889" s="6" t="s">
        <v>917</v>
      </c>
      <c r="C889" s="6" t="s">
        <v>69</v>
      </c>
      <c r="D889" s="8" t="s">
        <v>70</v>
      </c>
      <c r="E889" s="6" t="s">
        <v>918</v>
      </c>
      <c r="F889" s="6" t="s">
        <v>51</v>
      </c>
      <c r="G889" s="11">
        <v>46121.697916666664</v>
      </c>
      <c r="I889" s="10" t="s">
        <v>919</v>
      </c>
      <c r="J889" s="6" t="s">
        <v>920</v>
      </c>
      <c r="K889" s="12">
        <v>46120.870497685188</v>
      </c>
      <c r="L889" s="6" t="e" cm="1">
        <f t="array" ref="L889">LOOKUP(2^15,SEARCH(Tabela2[Palavras-Chave],Boletim4[[#This Row],[Objeto]],1),Tabela2[Palavras-Chave])</f>
        <v>#N/A</v>
      </c>
    </row>
    <row r="890" spans="1:12" ht="57.6" hidden="1" x14ac:dyDescent="0.3">
      <c r="A890" s="5">
        <v>18801888</v>
      </c>
      <c r="B890" s="6" t="s">
        <v>423</v>
      </c>
      <c r="C890" s="6" t="s">
        <v>237</v>
      </c>
      <c r="D890" s="8" t="s">
        <v>72</v>
      </c>
      <c r="E890" s="6" t="s">
        <v>2827</v>
      </c>
      <c r="F890" s="6" t="s">
        <v>51</v>
      </c>
      <c r="G890" s="11" t="s">
        <v>56</v>
      </c>
      <c r="I890" s="10" t="s">
        <v>2828</v>
      </c>
      <c r="J890" s="6" t="s">
        <v>2829</v>
      </c>
      <c r="K890" s="12">
        <v>46120.435046296298</v>
      </c>
      <c r="L890" s="6" t="e" cm="1">
        <f t="array" ref="L890">LOOKUP(2^15,SEARCH(Tabela2[Palavras-Chave],Boletim4[[#This Row],[Objeto]],1),Tabela2[Palavras-Chave])</f>
        <v>#N/A</v>
      </c>
    </row>
    <row r="891" spans="1:12" ht="129.6" hidden="1" x14ac:dyDescent="0.3">
      <c r="A891" s="5">
        <v>18699805</v>
      </c>
      <c r="B891" s="6" t="s">
        <v>156</v>
      </c>
      <c r="C891" s="6" t="s">
        <v>73</v>
      </c>
      <c r="D891" s="8" t="s">
        <v>72</v>
      </c>
      <c r="E891" s="6" t="s">
        <v>2830</v>
      </c>
      <c r="F891" s="6" t="s">
        <v>51</v>
      </c>
      <c r="G891" s="11">
        <v>46122.458333333336</v>
      </c>
      <c r="I891" s="10" t="s">
        <v>2831</v>
      </c>
      <c r="J891" s="6" t="s">
        <v>2832</v>
      </c>
      <c r="K891" s="12">
        <v>46120.695104166669</v>
      </c>
      <c r="L891" s="6" t="e" cm="1">
        <f t="array" ref="L891">LOOKUP(2^15,SEARCH(Tabela2[Palavras-Chave],Boletim4[[#This Row],[Objeto]],1),Tabela2[Palavras-Chave])</f>
        <v>#N/A</v>
      </c>
    </row>
    <row r="892" spans="1:12" ht="302.39999999999998" hidden="1" x14ac:dyDescent="0.3">
      <c r="A892" s="5">
        <v>18804849</v>
      </c>
      <c r="B892" s="6" t="s">
        <v>2833</v>
      </c>
      <c r="C892" s="6" t="s">
        <v>253</v>
      </c>
      <c r="D892" s="8" t="s">
        <v>72</v>
      </c>
      <c r="E892" s="6" t="s">
        <v>161</v>
      </c>
      <c r="F892" s="6" t="s">
        <v>51</v>
      </c>
      <c r="G892" s="11" t="s">
        <v>56</v>
      </c>
      <c r="I892" s="10" t="s">
        <v>2834</v>
      </c>
      <c r="J892" s="6" t="s">
        <v>2835</v>
      </c>
      <c r="K892" s="12">
        <v>46120.744317129633</v>
      </c>
      <c r="L892" s="6" t="e" cm="1">
        <f t="array" ref="L892">LOOKUP(2^15,SEARCH(Tabela2[Palavras-Chave],Boletim4[[#This Row],[Objeto]],1),Tabela2[Palavras-Chave])</f>
        <v>#N/A</v>
      </c>
    </row>
    <row r="893" spans="1:12" ht="100.8" hidden="1" x14ac:dyDescent="0.3">
      <c r="A893" s="5">
        <v>18804585</v>
      </c>
      <c r="B893" s="6" t="s">
        <v>921</v>
      </c>
      <c r="C893" s="6" t="s">
        <v>922</v>
      </c>
      <c r="D893" s="8" t="s">
        <v>72</v>
      </c>
      <c r="E893" s="6" t="s">
        <v>118</v>
      </c>
      <c r="F893" s="6" t="s">
        <v>51</v>
      </c>
      <c r="G893" s="11">
        <v>46129.333333333336</v>
      </c>
      <c r="I893" s="10" t="s">
        <v>923</v>
      </c>
      <c r="J893" s="6" t="s">
        <v>924</v>
      </c>
      <c r="K893" s="12">
        <v>46120.7496875</v>
      </c>
      <c r="L893" s="6" t="e" cm="1">
        <f t="array" ref="L893">LOOKUP(2^15,SEARCH(Tabela2[Palavras-Chave],Boletim4[[#This Row],[Objeto]],1),Tabela2[Palavras-Chave])</f>
        <v>#N/A</v>
      </c>
    </row>
    <row r="894" spans="1:12" ht="115.2" hidden="1" x14ac:dyDescent="0.3">
      <c r="A894" s="5">
        <v>18803650</v>
      </c>
      <c r="B894" s="6" t="s">
        <v>925</v>
      </c>
      <c r="C894" s="6" t="s">
        <v>926</v>
      </c>
      <c r="D894" s="8" t="s">
        <v>72</v>
      </c>
      <c r="E894" s="6" t="s">
        <v>927</v>
      </c>
      <c r="F894" s="6" t="s">
        <v>51</v>
      </c>
      <c r="G894" s="11">
        <v>46122.708333333336</v>
      </c>
      <c r="I894" s="10" t="s">
        <v>928</v>
      </c>
      <c r="J894" s="6" t="s">
        <v>929</v>
      </c>
      <c r="K894" s="12">
        <v>46120.764120370368</v>
      </c>
      <c r="L894" s="6" t="e" cm="1">
        <f t="array" ref="L894">LOOKUP(2^15,SEARCH(Tabela2[Palavras-Chave],Boletim4[[#This Row],[Objeto]],1),Tabela2[Palavras-Chave])</f>
        <v>#N/A</v>
      </c>
    </row>
    <row r="895" spans="1:12" ht="144" hidden="1" x14ac:dyDescent="0.3">
      <c r="A895" s="5">
        <v>18805947</v>
      </c>
      <c r="B895" s="6" t="s">
        <v>930</v>
      </c>
      <c r="C895" s="6" t="s">
        <v>73</v>
      </c>
      <c r="D895" s="8" t="s">
        <v>72</v>
      </c>
      <c r="E895" s="6" t="s">
        <v>330</v>
      </c>
      <c r="F895" s="6" t="s">
        <v>51</v>
      </c>
      <c r="G895" s="11">
        <v>46128.333333333336</v>
      </c>
      <c r="I895" s="10" t="s">
        <v>931</v>
      </c>
      <c r="J895" s="6" t="s">
        <v>932</v>
      </c>
      <c r="K895" s="12">
        <v>46120.791064814817</v>
      </c>
      <c r="L895" s="6" t="e" cm="1">
        <f t="array" ref="L895">LOOKUP(2^15,SEARCH(Tabela2[Palavras-Chave],Boletim4[[#This Row],[Objeto]],1),Tabela2[Palavras-Chave])</f>
        <v>#N/A</v>
      </c>
    </row>
    <row r="896" spans="1:12" ht="57.6" hidden="1" x14ac:dyDescent="0.3">
      <c r="A896" s="5">
        <v>18806085</v>
      </c>
      <c r="B896" s="6" t="s">
        <v>2836</v>
      </c>
      <c r="C896" s="6" t="s">
        <v>2837</v>
      </c>
      <c r="D896" s="8" t="s">
        <v>72</v>
      </c>
      <c r="E896" s="6" t="s">
        <v>105</v>
      </c>
      <c r="F896" s="6" t="s">
        <v>51</v>
      </c>
      <c r="G896" s="11" t="s">
        <v>56</v>
      </c>
      <c r="I896" s="10" t="s">
        <v>2838</v>
      </c>
      <c r="J896" s="6" t="s">
        <v>2839</v>
      </c>
      <c r="K896" s="12">
        <v>46120.81417824074</v>
      </c>
      <c r="L896" s="6" t="e" cm="1">
        <f t="array" ref="L896">LOOKUP(2^15,SEARCH(Tabela2[Palavras-Chave],Boletim4[[#This Row],[Objeto]],1),Tabela2[Palavras-Chave])</f>
        <v>#N/A</v>
      </c>
    </row>
    <row r="897" spans="1:12" ht="100.8" hidden="1" x14ac:dyDescent="0.3">
      <c r="A897" s="5">
        <v>18804498</v>
      </c>
      <c r="B897" s="6" t="s">
        <v>933</v>
      </c>
      <c r="C897" s="6" t="s">
        <v>73</v>
      </c>
      <c r="D897" s="8" t="s">
        <v>72</v>
      </c>
      <c r="E897" s="6" t="s">
        <v>197</v>
      </c>
      <c r="F897" s="6" t="s">
        <v>51</v>
      </c>
      <c r="G897" s="11">
        <v>46127.333333333336</v>
      </c>
      <c r="I897" s="10" t="s">
        <v>934</v>
      </c>
      <c r="J897" s="6" t="s">
        <v>935</v>
      </c>
      <c r="K897" s="12">
        <v>46120.879432870373</v>
      </c>
      <c r="L897" s="6" t="e" cm="1">
        <f t="array" ref="L897">LOOKUP(2^15,SEARCH(Tabela2[Palavras-Chave],Boletim4[[#This Row],[Objeto]],1),Tabela2[Palavras-Chave])</f>
        <v>#N/A</v>
      </c>
    </row>
    <row r="898" spans="1:12" ht="100.8" hidden="1" x14ac:dyDescent="0.3">
      <c r="A898" s="5">
        <v>18801365</v>
      </c>
      <c r="B898" s="6" t="s">
        <v>2840</v>
      </c>
      <c r="C898" s="6" t="s">
        <v>75</v>
      </c>
      <c r="D898" s="8" t="s">
        <v>76</v>
      </c>
      <c r="E898" s="6" t="s">
        <v>824</v>
      </c>
      <c r="F898" s="6" t="s">
        <v>51</v>
      </c>
      <c r="G898" s="11">
        <v>46126.416666666664</v>
      </c>
      <c r="I898" s="10" t="s">
        <v>2841</v>
      </c>
      <c r="J898" s="6" t="s">
        <v>2842</v>
      </c>
      <c r="K898" s="12">
        <v>46120.451678240737</v>
      </c>
      <c r="L898" s="6" t="e" cm="1">
        <f t="array" ref="L898">LOOKUP(2^15,SEARCH(Tabela2[Palavras-Chave],Boletim4[[#This Row],[Objeto]],1),Tabela2[Palavras-Chave])</f>
        <v>#N/A</v>
      </c>
    </row>
    <row r="899" spans="1:12" ht="100.8" hidden="1" x14ac:dyDescent="0.3">
      <c r="A899" s="5">
        <v>18801331</v>
      </c>
      <c r="B899" s="6" t="s">
        <v>1953</v>
      </c>
      <c r="C899" s="6" t="s">
        <v>75</v>
      </c>
      <c r="D899" s="8" t="s">
        <v>76</v>
      </c>
      <c r="E899" s="6" t="s">
        <v>2843</v>
      </c>
      <c r="F899" s="6" t="s">
        <v>51</v>
      </c>
      <c r="G899" s="11">
        <v>46125.375</v>
      </c>
      <c r="I899" s="10" t="s">
        <v>2844</v>
      </c>
      <c r="J899" s="6" t="s">
        <v>2845</v>
      </c>
      <c r="K899" s="12">
        <v>46120.452141203707</v>
      </c>
      <c r="L899" s="6" t="e" cm="1">
        <f t="array" ref="L899">LOOKUP(2^15,SEARCH(Tabela2[Palavras-Chave],Boletim4[[#This Row],[Objeto]],1),Tabela2[Palavras-Chave])</f>
        <v>#N/A</v>
      </c>
    </row>
    <row r="900" spans="1:12" ht="100.8" hidden="1" x14ac:dyDescent="0.3">
      <c r="A900" s="5">
        <v>18801344</v>
      </c>
      <c r="B900" s="6" t="s">
        <v>936</v>
      </c>
      <c r="C900" s="6" t="s">
        <v>75</v>
      </c>
      <c r="D900" s="8" t="s">
        <v>76</v>
      </c>
      <c r="E900" s="6" t="s">
        <v>118</v>
      </c>
      <c r="F900" s="6" t="s">
        <v>51</v>
      </c>
      <c r="G900" s="11">
        <v>46125.333333333336</v>
      </c>
      <c r="I900" s="10" t="s">
        <v>937</v>
      </c>
      <c r="J900" s="6" t="s">
        <v>938</v>
      </c>
      <c r="K900" s="12">
        <v>46120.452604166669</v>
      </c>
      <c r="L900" s="6" t="e" cm="1">
        <f t="array" ref="L900">LOOKUP(2^15,SEARCH(Tabela2[Palavras-Chave],Boletim4[[#This Row],[Objeto]],1),Tabela2[Palavras-Chave])</f>
        <v>#N/A</v>
      </c>
    </row>
    <row r="901" spans="1:12" ht="144" hidden="1" x14ac:dyDescent="0.3">
      <c r="A901" s="5">
        <v>18801349</v>
      </c>
      <c r="B901" s="6" t="s">
        <v>967</v>
      </c>
      <c r="C901" s="6" t="s">
        <v>75</v>
      </c>
      <c r="D901" s="8" t="s">
        <v>76</v>
      </c>
      <c r="E901" s="6" t="s">
        <v>444</v>
      </c>
      <c r="F901" s="6" t="s">
        <v>51</v>
      </c>
      <c r="G901" s="11">
        <v>46125.354166666664</v>
      </c>
      <c r="I901" s="10" t="s">
        <v>2846</v>
      </c>
      <c r="J901" s="6" t="s">
        <v>2847</v>
      </c>
      <c r="K901" s="12">
        <v>46120.452986111108</v>
      </c>
      <c r="L901" s="6" t="e" cm="1">
        <f t="array" ref="L901">LOOKUP(2^15,SEARCH(Tabela2[Palavras-Chave],Boletim4[[#This Row],[Objeto]],1),Tabela2[Palavras-Chave])</f>
        <v>#N/A</v>
      </c>
    </row>
    <row r="902" spans="1:12" ht="86.4" hidden="1" x14ac:dyDescent="0.3">
      <c r="A902" s="5">
        <v>18801350</v>
      </c>
      <c r="B902" s="6" t="s">
        <v>2848</v>
      </c>
      <c r="C902" s="6" t="s">
        <v>75</v>
      </c>
      <c r="D902" s="8" t="s">
        <v>76</v>
      </c>
      <c r="E902" s="6" t="s">
        <v>824</v>
      </c>
      <c r="F902" s="6" t="s">
        <v>51</v>
      </c>
      <c r="G902" s="11">
        <v>46125.333333333336</v>
      </c>
      <c r="I902" s="10" t="s">
        <v>2849</v>
      </c>
      <c r="J902" s="6" t="s">
        <v>2850</v>
      </c>
      <c r="K902" s="12">
        <v>46120.453125</v>
      </c>
      <c r="L902" s="6" t="e" cm="1">
        <f t="array" ref="L902">LOOKUP(2^15,SEARCH(Tabela2[Palavras-Chave],Boletim4[[#This Row],[Objeto]],1),Tabela2[Palavras-Chave])</f>
        <v>#N/A</v>
      </c>
    </row>
    <row r="903" spans="1:12" ht="86.4" hidden="1" x14ac:dyDescent="0.3">
      <c r="A903" s="5">
        <v>18801351</v>
      </c>
      <c r="B903" s="6" t="s">
        <v>2848</v>
      </c>
      <c r="C903" s="6" t="s">
        <v>75</v>
      </c>
      <c r="D903" s="8" t="s">
        <v>76</v>
      </c>
      <c r="E903" s="6" t="s">
        <v>824</v>
      </c>
      <c r="F903" s="6" t="s">
        <v>51</v>
      </c>
      <c r="G903" s="11">
        <v>46125.333333333336</v>
      </c>
      <c r="I903" s="10" t="s">
        <v>2849</v>
      </c>
      <c r="J903" s="6" t="s">
        <v>2850</v>
      </c>
      <c r="K903" s="12">
        <v>46120.453194444446</v>
      </c>
      <c r="L903" s="6" t="e" cm="1">
        <f t="array" ref="L903">LOOKUP(2^15,SEARCH(Tabela2[Palavras-Chave],Boletim4[[#This Row],[Objeto]],1),Tabela2[Palavras-Chave])</f>
        <v>#N/A</v>
      </c>
    </row>
    <row r="904" spans="1:12" ht="72" hidden="1" x14ac:dyDescent="0.3">
      <c r="A904" s="5">
        <v>18580466</v>
      </c>
      <c r="B904" s="6" t="s">
        <v>177</v>
      </c>
      <c r="C904" s="6" t="s">
        <v>75</v>
      </c>
      <c r="D904" s="8" t="s">
        <v>76</v>
      </c>
      <c r="E904" s="6" t="s">
        <v>785</v>
      </c>
      <c r="F904" s="6" t="s">
        <v>51</v>
      </c>
      <c r="G904" s="11" t="s">
        <v>56</v>
      </c>
      <c r="I904" s="10" t="s">
        <v>786</v>
      </c>
      <c r="J904" s="6" t="s">
        <v>787</v>
      </c>
      <c r="K904" s="12">
        <v>46120.465682870374</v>
      </c>
      <c r="L904" s="6" t="e" cm="1">
        <f t="array" ref="L904">LOOKUP(2^15,SEARCH(Tabela2[Palavras-Chave],Boletim4[[#This Row],[Objeto]],1),Tabela2[Palavras-Chave])</f>
        <v>#N/A</v>
      </c>
    </row>
    <row r="905" spans="1:12" ht="72" hidden="1" x14ac:dyDescent="0.3">
      <c r="A905" s="5">
        <v>18727977</v>
      </c>
      <c r="B905" s="6" t="s">
        <v>177</v>
      </c>
      <c r="C905" s="6" t="s">
        <v>75</v>
      </c>
      <c r="D905" s="8" t="s">
        <v>76</v>
      </c>
      <c r="E905" s="6" t="s">
        <v>333</v>
      </c>
      <c r="F905" s="6" t="s">
        <v>51</v>
      </c>
      <c r="G905" s="11" t="s">
        <v>56</v>
      </c>
      <c r="I905" s="10" t="s">
        <v>334</v>
      </c>
      <c r="J905" s="6" t="s">
        <v>2851</v>
      </c>
      <c r="K905" s="12">
        <v>46120.465740740743</v>
      </c>
      <c r="L905" s="6" t="e" cm="1">
        <f t="array" ref="L905">LOOKUP(2^15,SEARCH(Tabela2[Palavras-Chave],Boletim4[[#This Row],[Objeto]],1),Tabela2[Palavras-Chave])</f>
        <v>#N/A</v>
      </c>
    </row>
    <row r="906" spans="1:12" ht="72" hidden="1" x14ac:dyDescent="0.3">
      <c r="A906" s="5">
        <v>18765087</v>
      </c>
      <c r="B906" s="6" t="s">
        <v>74</v>
      </c>
      <c r="C906" s="6" t="s">
        <v>75</v>
      </c>
      <c r="D906" s="8" t="s">
        <v>76</v>
      </c>
      <c r="E906" s="6" t="s">
        <v>2703</v>
      </c>
      <c r="F906" s="6" t="s">
        <v>51</v>
      </c>
      <c r="G906" s="11" t="s">
        <v>56</v>
      </c>
      <c r="I906" s="10" t="s">
        <v>2704</v>
      </c>
      <c r="J906" s="6" t="s">
        <v>2705</v>
      </c>
      <c r="K906" s="12">
        <v>46120.465856481482</v>
      </c>
      <c r="L906" s="6" t="e" cm="1">
        <f t="array" ref="L906">LOOKUP(2^15,SEARCH(Tabela2[Palavras-Chave],Boletim4[[#This Row],[Objeto]],1),Tabela2[Palavras-Chave])</f>
        <v>#N/A</v>
      </c>
    </row>
    <row r="907" spans="1:12" ht="72" hidden="1" x14ac:dyDescent="0.3">
      <c r="A907" s="5">
        <v>18770011</v>
      </c>
      <c r="B907" s="6" t="s">
        <v>74</v>
      </c>
      <c r="C907" s="6" t="s">
        <v>75</v>
      </c>
      <c r="D907" s="8" t="s">
        <v>76</v>
      </c>
      <c r="E907" s="6" t="s">
        <v>471</v>
      </c>
      <c r="F907" s="6" t="s">
        <v>51</v>
      </c>
      <c r="G907" s="11" t="s">
        <v>56</v>
      </c>
      <c r="I907" s="10" t="s">
        <v>472</v>
      </c>
      <c r="J907" s="6" t="s">
        <v>473</v>
      </c>
      <c r="K907" s="12">
        <v>46120.465949074074</v>
      </c>
      <c r="L907" s="6" t="e" cm="1">
        <f t="array" ref="L907">LOOKUP(2^15,SEARCH(Tabela2[Palavras-Chave],Boletim4[[#This Row],[Objeto]],1),Tabela2[Palavras-Chave])</f>
        <v>#N/A</v>
      </c>
    </row>
    <row r="908" spans="1:12" ht="72" hidden="1" x14ac:dyDescent="0.3">
      <c r="A908" s="5">
        <v>18780322</v>
      </c>
      <c r="B908" s="6" t="s">
        <v>74</v>
      </c>
      <c r="C908" s="6" t="s">
        <v>75</v>
      </c>
      <c r="D908" s="8" t="s">
        <v>76</v>
      </c>
      <c r="E908" s="6" t="s">
        <v>939</v>
      </c>
      <c r="F908" s="6" t="s">
        <v>51</v>
      </c>
      <c r="G908" s="11" t="s">
        <v>56</v>
      </c>
      <c r="I908" s="10" t="s">
        <v>940</v>
      </c>
      <c r="J908" s="6" t="s">
        <v>941</v>
      </c>
      <c r="K908" s="12">
        <v>46120.466805555552</v>
      </c>
      <c r="L908" s="6" t="e" cm="1">
        <f t="array" ref="L908">LOOKUP(2^15,SEARCH(Tabela2[Palavras-Chave],Boletim4[[#This Row],[Objeto]],1),Tabela2[Palavras-Chave])</f>
        <v>#N/A</v>
      </c>
    </row>
    <row r="909" spans="1:12" ht="57.6" hidden="1" x14ac:dyDescent="0.3">
      <c r="A909" s="5">
        <v>18801798</v>
      </c>
      <c r="B909" s="6" t="s">
        <v>217</v>
      </c>
      <c r="C909" s="6" t="s">
        <v>75</v>
      </c>
      <c r="D909" s="8" t="s">
        <v>76</v>
      </c>
      <c r="E909" s="6" t="s">
        <v>942</v>
      </c>
      <c r="F909" s="6" t="s">
        <v>51</v>
      </c>
      <c r="G909" s="11" t="s">
        <v>56</v>
      </c>
      <c r="I909" s="10" t="s">
        <v>943</v>
      </c>
      <c r="J909" s="6" t="s">
        <v>944</v>
      </c>
      <c r="K909" s="12">
        <v>46120.494953703703</v>
      </c>
      <c r="L909" s="6" t="e" cm="1">
        <f t="array" ref="L909">LOOKUP(2^15,SEARCH(Tabela2[Palavras-Chave],Boletim4[[#This Row],[Objeto]],1),Tabela2[Palavras-Chave])</f>
        <v>#N/A</v>
      </c>
    </row>
    <row r="910" spans="1:12" ht="57.6" hidden="1" x14ac:dyDescent="0.3">
      <c r="A910" s="5">
        <v>18801800</v>
      </c>
      <c r="B910" s="6" t="s">
        <v>217</v>
      </c>
      <c r="C910" s="6" t="s">
        <v>75</v>
      </c>
      <c r="D910" s="8" t="s">
        <v>76</v>
      </c>
      <c r="E910" s="6" t="s">
        <v>945</v>
      </c>
      <c r="F910" s="6" t="s">
        <v>51</v>
      </c>
      <c r="G910" s="11" t="s">
        <v>56</v>
      </c>
      <c r="I910" s="10" t="s">
        <v>946</v>
      </c>
      <c r="J910" s="6" t="s">
        <v>947</v>
      </c>
      <c r="K910" s="12">
        <v>46120.521423611113</v>
      </c>
      <c r="L910" s="6" t="e" cm="1">
        <f t="array" ref="L910">LOOKUP(2^15,SEARCH(Tabela2[Palavras-Chave],Boletim4[[#This Row],[Objeto]],1),Tabela2[Palavras-Chave])</f>
        <v>#N/A</v>
      </c>
    </row>
    <row r="911" spans="1:12" ht="57.6" hidden="1" x14ac:dyDescent="0.3">
      <c r="A911" s="5">
        <v>18801799</v>
      </c>
      <c r="B911" s="6" t="s">
        <v>948</v>
      </c>
      <c r="C911" s="6" t="s">
        <v>390</v>
      </c>
      <c r="D911" s="8" t="s">
        <v>76</v>
      </c>
      <c r="E911" s="6" t="s">
        <v>949</v>
      </c>
      <c r="F911" s="6" t="s">
        <v>51</v>
      </c>
      <c r="G911" s="11" t="s">
        <v>56</v>
      </c>
      <c r="I911" s="10" t="s">
        <v>950</v>
      </c>
      <c r="J911" s="6" t="s">
        <v>951</v>
      </c>
      <c r="K911" s="12">
        <v>46120.523472222223</v>
      </c>
      <c r="L911" s="6" t="e" cm="1">
        <f t="array" ref="L911">LOOKUP(2^15,SEARCH(Tabela2[Palavras-Chave],Boletim4[[#This Row],[Objeto]],1),Tabela2[Palavras-Chave])</f>
        <v>#N/A</v>
      </c>
    </row>
    <row r="912" spans="1:12" ht="57.6" hidden="1" x14ac:dyDescent="0.3">
      <c r="A912" s="5">
        <v>18801790</v>
      </c>
      <c r="B912" s="6" t="s">
        <v>256</v>
      </c>
      <c r="C912" s="6" t="s">
        <v>75</v>
      </c>
      <c r="D912" s="8" t="s">
        <v>76</v>
      </c>
      <c r="E912" s="6" t="s">
        <v>55</v>
      </c>
      <c r="F912" s="6" t="s">
        <v>51</v>
      </c>
      <c r="G912" s="11" t="s">
        <v>56</v>
      </c>
      <c r="I912" s="10" t="s">
        <v>952</v>
      </c>
      <c r="J912" s="6" t="s">
        <v>953</v>
      </c>
      <c r="K912" s="12">
        <v>46120.546851851854</v>
      </c>
      <c r="L912" s="6" t="e" cm="1">
        <f t="array" ref="L912">LOOKUP(2^15,SEARCH(Tabela2[Palavras-Chave],Boletim4[[#This Row],[Objeto]],1),Tabela2[Palavras-Chave])</f>
        <v>#N/A</v>
      </c>
    </row>
    <row r="913" spans="1:12" ht="72" hidden="1" x14ac:dyDescent="0.3">
      <c r="A913" s="5">
        <v>18746681</v>
      </c>
      <c r="B913" s="6" t="s">
        <v>74</v>
      </c>
      <c r="C913" s="6" t="s">
        <v>75</v>
      </c>
      <c r="D913" s="8" t="s">
        <v>76</v>
      </c>
      <c r="E913" s="6" t="s">
        <v>816</v>
      </c>
      <c r="F913" s="6" t="s">
        <v>51</v>
      </c>
      <c r="G913" s="11" t="s">
        <v>56</v>
      </c>
      <c r="I913" s="10" t="s">
        <v>817</v>
      </c>
      <c r="J913" s="6" t="s">
        <v>818</v>
      </c>
      <c r="K913" s="12">
        <v>46120.652719907404</v>
      </c>
      <c r="L913" s="6" t="e" cm="1">
        <f t="array" ref="L913">LOOKUP(2^15,SEARCH(Tabela2[Palavras-Chave],Boletim4[[#This Row],[Objeto]],1),Tabela2[Palavras-Chave])</f>
        <v>#N/A</v>
      </c>
    </row>
    <row r="914" spans="1:12" ht="259.2" hidden="1" x14ac:dyDescent="0.3">
      <c r="A914" s="5">
        <v>18748508</v>
      </c>
      <c r="B914" s="6" t="s">
        <v>954</v>
      </c>
      <c r="C914" s="6" t="s">
        <v>955</v>
      </c>
      <c r="D914" s="8" t="s">
        <v>76</v>
      </c>
      <c r="E914" s="6" t="s">
        <v>165</v>
      </c>
      <c r="F914" s="6" t="s">
        <v>51</v>
      </c>
      <c r="G914" s="11" t="s">
        <v>56</v>
      </c>
      <c r="I914" s="10" t="s">
        <v>956</v>
      </c>
      <c r="J914" s="6" t="s">
        <v>957</v>
      </c>
      <c r="K914" s="12">
        <v>46120.654699074075</v>
      </c>
      <c r="L914" s="6" t="e" cm="1">
        <f t="array" ref="L914">LOOKUP(2^15,SEARCH(Tabela2[Palavras-Chave],Boletim4[[#This Row],[Objeto]],1),Tabela2[Palavras-Chave])</f>
        <v>#N/A</v>
      </c>
    </row>
    <row r="915" spans="1:12" ht="57.6" hidden="1" x14ac:dyDescent="0.3">
      <c r="A915" s="5">
        <v>18803157</v>
      </c>
      <c r="B915" s="6" t="s">
        <v>256</v>
      </c>
      <c r="C915" s="6" t="s">
        <v>75</v>
      </c>
      <c r="D915" s="8" t="s">
        <v>76</v>
      </c>
      <c r="E915" s="6" t="s">
        <v>958</v>
      </c>
      <c r="F915" s="6" t="s">
        <v>51</v>
      </c>
      <c r="G915" s="11" t="s">
        <v>56</v>
      </c>
      <c r="I915" s="10" t="s">
        <v>959</v>
      </c>
      <c r="J915" s="6" t="s">
        <v>960</v>
      </c>
      <c r="K915" s="12">
        <v>46120.663182870368</v>
      </c>
      <c r="L915" s="6" t="e" cm="1">
        <f t="array" ref="L915">LOOKUP(2^15,SEARCH(Tabela2[Palavras-Chave],Boletim4[[#This Row],[Objeto]],1),Tabela2[Palavras-Chave])</f>
        <v>#N/A</v>
      </c>
    </row>
    <row r="916" spans="1:12" ht="28.8" hidden="1" x14ac:dyDescent="0.3">
      <c r="A916" s="5">
        <v>18789615</v>
      </c>
      <c r="B916" s="6" t="s">
        <v>2852</v>
      </c>
      <c r="C916" s="6" t="s">
        <v>2853</v>
      </c>
      <c r="D916" s="8" t="s">
        <v>76</v>
      </c>
      <c r="E916" s="6" t="s">
        <v>55</v>
      </c>
      <c r="F916" s="6" t="s">
        <v>51</v>
      </c>
      <c r="G916" s="11" t="s">
        <v>56</v>
      </c>
      <c r="I916" s="10" t="s">
        <v>2854</v>
      </c>
      <c r="J916" s="6" t="s">
        <v>138</v>
      </c>
      <c r="K916" s="12">
        <v>46120.66747685185</v>
      </c>
      <c r="L916" s="6" t="e" cm="1">
        <f t="array" ref="L916">LOOKUP(2^15,SEARCH(Tabela2[Palavras-Chave],Boletim4[[#This Row],[Objeto]],1),Tabela2[Palavras-Chave])</f>
        <v>#N/A</v>
      </c>
    </row>
    <row r="917" spans="1:12" ht="43.2" hidden="1" x14ac:dyDescent="0.3">
      <c r="A917" s="5">
        <v>18675094</v>
      </c>
      <c r="B917" s="6" t="s">
        <v>961</v>
      </c>
      <c r="C917" s="6" t="s">
        <v>962</v>
      </c>
      <c r="D917" s="8" t="s">
        <v>76</v>
      </c>
      <c r="E917" s="6" t="s">
        <v>55</v>
      </c>
      <c r="F917" s="6" t="s">
        <v>51</v>
      </c>
      <c r="G917" s="11" t="s">
        <v>56</v>
      </c>
      <c r="I917" s="10" t="s">
        <v>963</v>
      </c>
      <c r="J917" s="6" t="s">
        <v>138</v>
      </c>
      <c r="K917" s="12">
        <v>46120.67019675926</v>
      </c>
      <c r="L917" s="6" t="e" cm="1">
        <f t="array" ref="L917">LOOKUP(2^15,SEARCH(Tabela2[Palavras-Chave],Boletim4[[#This Row],[Objeto]],1),Tabela2[Palavras-Chave])</f>
        <v>#N/A</v>
      </c>
    </row>
    <row r="918" spans="1:12" ht="43.2" hidden="1" x14ac:dyDescent="0.3">
      <c r="A918" s="5">
        <v>18779897</v>
      </c>
      <c r="B918" s="6" t="s">
        <v>2855</v>
      </c>
      <c r="C918" s="6" t="s">
        <v>391</v>
      </c>
      <c r="D918" s="8" t="s">
        <v>76</v>
      </c>
      <c r="E918" s="6" t="s">
        <v>55</v>
      </c>
      <c r="F918" s="6" t="s">
        <v>51</v>
      </c>
      <c r="G918" s="11" t="s">
        <v>56</v>
      </c>
      <c r="I918" s="10" t="s">
        <v>2856</v>
      </c>
      <c r="J918" s="6" t="s">
        <v>138</v>
      </c>
      <c r="K918" s="12">
        <v>46120.671574074076</v>
      </c>
      <c r="L918" s="6" t="e" cm="1">
        <f t="array" ref="L918">LOOKUP(2^15,SEARCH(Tabela2[Palavras-Chave],Boletim4[[#This Row],[Objeto]],1),Tabela2[Palavras-Chave])</f>
        <v>#N/A</v>
      </c>
    </row>
    <row r="919" spans="1:12" ht="28.8" hidden="1" x14ac:dyDescent="0.3">
      <c r="A919" s="5">
        <v>18793190</v>
      </c>
      <c r="B919" s="6" t="s">
        <v>2857</v>
      </c>
      <c r="C919" s="6" t="s">
        <v>2858</v>
      </c>
      <c r="D919" s="8" t="s">
        <v>76</v>
      </c>
      <c r="E919" s="6" t="s">
        <v>55</v>
      </c>
      <c r="F919" s="6" t="s">
        <v>51</v>
      </c>
      <c r="G919" s="11" t="s">
        <v>56</v>
      </c>
      <c r="I919" s="10" t="s">
        <v>2859</v>
      </c>
      <c r="J919" s="6" t="s">
        <v>138</v>
      </c>
      <c r="K919" s="12">
        <v>46120.675046296295</v>
      </c>
      <c r="L919" s="6" t="e" cm="1">
        <f t="array" ref="L919">LOOKUP(2^15,SEARCH(Tabela2[Palavras-Chave],Boletim4[[#This Row],[Objeto]],1),Tabela2[Palavras-Chave])</f>
        <v>#N/A</v>
      </c>
    </row>
    <row r="920" spans="1:12" ht="100.8" hidden="1" x14ac:dyDescent="0.3">
      <c r="A920" s="5">
        <v>18804543</v>
      </c>
      <c r="B920" s="6" t="s">
        <v>964</v>
      </c>
      <c r="C920" s="6" t="s">
        <v>75</v>
      </c>
      <c r="D920" s="8" t="s">
        <v>76</v>
      </c>
      <c r="E920" s="6" t="s">
        <v>330</v>
      </c>
      <c r="F920" s="6" t="s">
        <v>51</v>
      </c>
      <c r="G920" s="11">
        <v>46127.333333333336</v>
      </c>
      <c r="I920" s="10" t="s">
        <v>965</v>
      </c>
      <c r="J920" s="6" t="s">
        <v>966</v>
      </c>
      <c r="K920" s="12">
        <v>46120.673784722225</v>
      </c>
      <c r="L920" s="6" t="e" cm="1">
        <f t="array" ref="L920">LOOKUP(2^15,SEARCH(Tabela2[Palavras-Chave],Boletim4[[#This Row],[Objeto]],1),Tabela2[Palavras-Chave])</f>
        <v>#N/A</v>
      </c>
    </row>
    <row r="921" spans="1:12" ht="28.8" hidden="1" x14ac:dyDescent="0.3">
      <c r="A921" s="5">
        <v>18789608</v>
      </c>
      <c r="B921" s="6" t="s">
        <v>2857</v>
      </c>
      <c r="C921" s="6" t="s">
        <v>2858</v>
      </c>
      <c r="D921" s="8" t="s">
        <v>76</v>
      </c>
      <c r="E921" s="6" t="s">
        <v>55</v>
      </c>
      <c r="F921" s="6" t="s">
        <v>51</v>
      </c>
      <c r="G921" s="11" t="s">
        <v>56</v>
      </c>
      <c r="I921" s="10" t="s">
        <v>2860</v>
      </c>
      <c r="J921" s="6" t="s">
        <v>138</v>
      </c>
      <c r="K921" s="12">
        <v>46120.677129629628</v>
      </c>
      <c r="L921" s="6" t="e" cm="1">
        <f t="array" ref="L921">LOOKUP(2^15,SEARCH(Tabela2[Palavras-Chave],Boletim4[[#This Row],[Objeto]],1),Tabela2[Palavras-Chave])</f>
        <v>#N/A</v>
      </c>
    </row>
    <row r="922" spans="1:12" ht="28.8" hidden="1" x14ac:dyDescent="0.3">
      <c r="A922" s="5">
        <v>18801823</v>
      </c>
      <c r="B922" s="6" t="s">
        <v>2861</v>
      </c>
      <c r="C922" s="6" t="s">
        <v>2858</v>
      </c>
      <c r="D922" s="8" t="s">
        <v>76</v>
      </c>
      <c r="E922" s="6" t="s">
        <v>55</v>
      </c>
      <c r="F922" s="6" t="s">
        <v>51</v>
      </c>
      <c r="G922" s="11" t="s">
        <v>56</v>
      </c>
      <c r="I922" s="10" t="s">
        <v>2862</v>
      </c>
      <c r="J922" s="6" t="s">
        <v>90</v>
      </c>
      <c r="K922" s="12">
        <v>46120.702696759261</v>
      </c>
      <c r="L922" s="6" t="e" cm="1">
        <f t="array" ref="L922">LOOKUP(2^15,SEARCH(Tabela2[Palavras-Chave],Boletim4[[#This Row],[Objeto]],1),Tabela2[Palavras-Chave])</f>
        <v>#N/A</v>
      </c>
    </row>
    <row r="923" spans="1:12" ht="230.4" hidden="1" x14ac:dyDescent="0.3">
      <c r="A923" s="5">
        <v>18804597</v>
      </c>
      <c r="B923" s="6" t="s">
        <v>967</v>
      </c>
      <c r="C923" s="6" t="s">
        <v>75</v>
      </c>
      <c r="D923" s="8" t="s">
        <v>76</v>
      </c>
      <c r="E923" s="6" t="s">
        <v>260</v>
      </c>
      <c r="F923" s="6" t="s">
        <v>51</v>
      </c>
      <c r="G923" s="11">
        <v>46126.333333333336</v>
      </c>
      <c r="I923" s="10" t="s">
        <v>968</v>
      </c>
      <c r="J923" s="6" t="s">
        <v>969</v>
      </c>
      <c r="K923" s="12">
        <v>46120.727581018517</v>
      </c>
      <c r="L923" s="6" t="e" cm="1">
        <f t="array" ref="L923">LOOKUP(2^15,SEARCH(Tabela2[Palavras-Chave],Boletim4[[#This Row],[Objeto]],1),Tabela2[Palavras-Chave])</f>
        <v>#N/A</v>
      </c>
    </row>
    <row r="924" spans="1:12" ht="100.8" hidden="1" x14ac:dyDescent="0.3">
      <c r="A924" s="5">
        <v>18804582</v>
      </c>
      <c r="B924" s="6" t="s">
        <v>970</v>
      </c>
      <c r="C924" s="6" t="s">
        <v>75</v>
      </c>
      <c r="D924" s="8" t="s">
        <v>76</v>
      </c>
      <c r="E924" s="6" t="s">
        <v>329</v>
      </c>
      <c r="F924" s="6" t="s">
        <v>51</v>
      </c>
      <c r="G924" s="11">
        <v>46125.392361111109</v>
      </c>
      <c r="I924" s="10" t="s">
        <v>971</v>
      </c>
      <c r="J924" s="6" t="s">
        <v>972</v>
      </c>
      <c r="K924" s="12">
        <v>46120.732210648152</v>
      </c>
      <c r="L924" s="6" t="e" cm="1">
        <f t="array" ref="L924">LOOKUP(2^15,SEARCH(Tabela2[Palavras-Chave],Boletim4[[#This Row],[Objeto]],1),Tabela2[Palavras-Chave])</f>
        <v>#N/A</v>
      </c>
    </row>
    <row r="925" spans="1:12" ht="28.8" hidden="1" x14ac:dyDescent="0.3">
      <c r="A925" s="5">
        <v>18804717</v>
      </c>
      <c r="B925" s="6" t="s">
        <v>973</v>
      </c>
      <c r="C925" s="6" t="s">
        <v>75</v>
      </c>
      <c r="D925" s="8" t="s">
        <v>76</v>
      </c>
      <c r="E925" s="6" t="s">
        <v>974</v>
      </c>
      <c r="F925" s="6" t="s">
        <v>51</v>
      </c>
      <c r="G925" s="11" t="s">
        <v>56</v>
      </c>
      <c r="I925" s="10" t="s">
        <v>975</v>
      </c>
      <c r="J925" s="6" t="s">
        <v>190</v>
      </c>
      <c r="K925" s="12">
        <v>46120.732395833336</v>
      </c>
      <c r="L925" s="6" t="e" cm="1">
        <f t="array" ref="L925">LOOKUP(2^15,SEARCH(Tabela2[Palavras-Chave],Boletim4[[#This Row],[Objeto]],1),Tabela2[Palavras-Chave])</f>
        <v>#N/A</v>
      </c>
    </row>
    <row r="926" spans="1:12" ht="100.8" hidden="1" x14ac:dyDescent="0.3">
      <c r="A926" s="5">
        <v>18804527</v>
      </c>
      <c r="B926" s="6" t="s">
        <v>964</v>
      </c>
      <c r="C926" s="6" t="s">
        <v>75</v>
      </c>
      <c r="D926" s="8" t="s">
        <v>76</v>
      </c>
      <c r="E926" s="6" t="s">
        <v>197</v>
      </c>
      <c r="F926" s="6" t="s">
        <v>51</v>
      </c>
      <c r="G926" s="11">
        <v>46127.333333333336</v>
      </c>
      <c r="I926" s="10" t="s">
        <v>976</v>
      </c>
      <c r="J926" s="6" t="s">
        <v>977</v>
      </c>
      <c r="K926" s="12">
        <v>46120.757349537038</v>
      </c>
      <c r="L926" s="6" t="e" cm="1">
        <f t="array" ref="L926">LOOKUP(2^15,SEARCH(Tabela2[Palavras-Chave],Boletim4[[#This Row],[Objeto]],1),Tabela2[Palavras-Chave])</f>
        <v>#N/A</v>
      </c>
    </row>
    <row r="927" spans="1:12" ht="100.8" hidden="1" x14ac:dyDescent="0.3">
      <c r="A927" s="5">
        <v>18804602</v>
      </c>
      <c r="B927" s="6" t="s">
        <v>978</v>
      </c>
      <c r="C927" s="6" t="s">
        <v>979</v>
      </c>
      <c r="D927" s="8" t="s">
        <v>76</v>
      </c>
      <c r="E927" s="6" t="s">
        <v>129</v>
      </c>
      <c r="F927" s="6" t="s">
        <v>51</v>
      </c>
      <c r="G927" s="11">
        <v>46128.333333333336</v>
      </c>
      <c r="I927" s="10" t="s">
        <v>980</v>
      </c>
      <c r="J927" s="6" t="s">
        <v>981</v>
      </c>
      <c r="K927" s="12">
        <v>46120.762129629627</v>
      </c>
      <c r="L927" s="6" t="e" cm="1">
        <f t="array" ref="L927">LOOKUP(2^15,SEARCH(Tabela2[Palavras-Chave],Boletim4[[#This Row],[Objeto]],1),Tabela2[Palavras-Chave])</f>
        <v>#N/A</v>
      </c>
    </row>
    <row r="928" spans="1:12" ht="100.8" hidden="1" x14ac:dyDescent="0.3">
      <c r="A928" s="5">
        <v>18804521</v>
      </c>
      <c r="B928" s="6" t="s">
        <v>982</v>
      </c>
      <c r="C928" s="6" t="s">
        <v>983</v>
      </c>
      <c r="D928" s="8" t="s">
        <v>76</v>
      </c>
      <c r="E928" s="6" t="s">
        <v>335</v>
      </c>
      <c r="F928" s="6" t="s">
        <v>51</v>
      </c>
      <c r="G928" s="11">
        <v>46126.333333333336</v>
      </c>
      <c r="I928" s="10" t="s">
        <v>984</v>
      </c>
      <c r="J928" s="6" t="s">
        <v>985</v>
      </c>
      <c r="K928" s="12">
        <v>46120.788518518515</v>
      </c>
      <c r="L928" s="6" t="e" cm="1">
        <f t="array" ref="L928">LOOKUP(2^15,SEARCH(Tabela2[Palavras-Chave],Boletim4[[#This Row],[Objeto]],1),Tabela2[Palavras-Chave])</f>
        <v>#N/A</v>
      </c>
    </row>
    <row r="929" spans="1:12" ht="100.8" hidden="1" x14ac:dyDescent="0.3">
      <c r="A929" s="5">
        <v>18803657</v>
      </c>
      <c r="B929" s="6" t="s">
        <v>986</v>
      </c>
      <c r="C929" s="6" t="s">
        <v>75</v>
      </c>
      <c r="D929" s="8" t="s">
        <v>76</v>
      </c>
      <c r="E929" s="6" t="s">
        <v>110</v>
      </c>
      <c r="F929" s="6" t="s">
        <v>51</v>
      </c>
      <c r="G929" s="11">
        <v>46122.708333333336</v>
      </c>
      <c r="I929" s="10" t="s">
        <v>987</v>
      </c>
      <c r="J929" s="6" t="s">
        <v>988</v>
      </c>
      <c r="K929" s="12">
        <v>46120.86513888889</v>
      </c>
      <c r="L929" s="6" t="e" cm="1">
        <f t="array" ref="L929">LOOKUP(2^15,SEARCH(Tabela2[Palavras-Chave],Boletim4[[#This Row],[Objeto]],1),Tabela2[Palavras-Chave])</f>
        <v>#N/A</v>
      </c>
    </row>
    <row r="930" spans="1:12" ht="28.8" hidden="1" x14ac:dyDescent="0.3">
      <c r="A930" s="5">
        <v>18804720</v>
      </c>
      <c r="B930" s="6" t="s">
        <v>973</v>
      </c>
      <c r="C930" s="6" t="s">
        <v>75</v>
      </c>
      <c r="D930" s="8" t="s">
        <v>76</v>
      </c>
      <c r="E930" s="6" t="s">
        <v>2863</v>
      </c>
      <c r="F930" s="6" t="s">
        <v>51</v>
      </c>
      <c r="G930" s="11" t="s">
        <v>56</v>
      </c>
      <c r="I930" s="10" t="s">
        <v>2864</v>
      </c>
      <c r="J930" s="6" t="s">
        <v>190</v>
      </c>
      <c r="K930" s="12">
        <v>46120.868495370371</v>
      </c>
      <c r="L930" s="6" t="e" cm="1">
        <f t="array" ref="L930">LOOKUP(2^15,SEARCH(Tabela2[Palavras-Chave],Boletim4[[#This Row],[Objeto]],1),Tabela2[Palavras-Chave])</f>
        <v>#N/A</v>
      </c>
    </row>
    <row r="931" spans="1:12" ht="28.8" x14ac:dyDescent="0.3">
      <c r="A931" s="5">
        <v>18804719</v>
      </c>
      <c r="B931" s="6" t="s">
        <v>973</v>
      </c>
      <c r="C931" s="6" t="s">
        <v>75</v>
      </c>
      <c r="D931" s="8" t="s">
        <v>76</v>
      </c>
      <c r="E931" s="6" t="s">
        <v>989</v>
      </c>
      <c r="F931" s="6" t="s">
        <v>51</v>
      </c>
      <c r="G931" s="11" t="s">
        <v>56</v>
      </c>
      <c r="H931" s="23">
        <v>2</v>
      </c>
      <c r="I931" s="10" t="s">
        <v>990</v>
      </c>
      <c r="J931" s="6" t="s">
        <v>190</v>
      </c>
      <c r="K931" s="12">
        <v>46120.868622685186</v>
      </c>
      <c r="L931" s="6" t="str" cm="1">
        <f t="array" ref="L931">LOOKUP(2^15,SEARCH(Tabela2[Palavras-Chave],Boletim4[[#This Row],[Objeto]],1),Tabela2[Palavras-Chave])</f>
        <v>abraçadeira</v>
      </c>
    </row>
    <row r="932" spans="1:12" ht="28.8" hidden="1" x14ac:dyDescent="0.3">
      <c r="A932" s="5">
        <v>18804718</v>
      </c>
      <c r="B932" s="6" t="s">
        <v>973</v>
      </c>
      <c r="C932" s="6" t="s">
        <v>75</v>
      </c>
      <c r="D932" s="8" t="s">
        <v>76</v>
      </c>
      <c r="E932" s="6" t="s">
        <v>991</v>
      </c>
      <c r="F932" s="6" t="s">
        <v>51</v>
      </c>
      <c r="G932" s="11" t="s">
        <v>56</v>
      </c>
      <c r="I932" s="10" t="s">
        <v>992</v>
      </c>
      <c r="J932" s="6" t="s">
        <v>190</v>
      </c>
      <c r="K932" s="12">
        <v>46120.868958333333</v>
      </c>
      <c r="L932" s="6" t="e" cm="1">
        <f t="array" ref="L932">LOOKUP(2^15,SEARCH(Tabela2[Palavras-Chave],Boletim4[[#This Row],[Objeto]],1),Tabela2[Palavras-Chave])</f>
        <v>#N/A</v>
      </c>
    </row>
    <row r="933" spans="1:12" hidden="1" x14ac:dyDescent="0.3">
      <c r="A933" s="5">
        <v>18804705</v>
      </c>
      <c r="B933" s="6" t="s">
        <v>973</v>
      </c>
      <c r="C933" s="6" t="s">
        <v>75</v>
      </c>
      <c r="D933" s="8" t="s">
        <v>76</v>
      </c>
      <c r="E933" s="6" t="s">
        <v>332</v>
      </c>
      <c r="F933" s="6" t="s">
        <v>51</v>
      </c>
      <c r="G933" s="11" t="s">
        <v>56</v>
      </c>
      <c r="I933" s="10" t="s">
        <v>993</v>
      </c>
      <c r="J933" s="6" t="s">
        <v>190</v>
      </c>
      <c r="K933" s="12">
        <v>46120.869212962964</v>
      </c>
      <c r="L933" s="6" t="e" cm="1">
        <f t="array" ref="L933">LOOKUP(2^15,SEARCH(Tabela2[Palavras-Chave],Boletim4[[#This Row],[Objeto]],1),Tabela2[Palavras-Chave])</f>
        <v>#N/A</v>
      </c>
    </row>
    <row r="934" spans="1:12" hidden="1" x14ac:dyDescent="0.3">
      <c r="A934" s="5">
        <v>18804158</v>
      </c>
      <c r="B934" s="6" t="s">
        <v>973</v>
      </c>
      <c r="C934" s="6" t="s">
        <v>75</v>
      </c>
      <c r="D934" s="8" t="s">
        <v>76</v>
      </c>
      <c r="E934" s="6" t="s">
        <v>279</v>
      </c>
      <c r="F934" s="6" t="s">
        <v>51</v>
      </c>
      <c r="G934" s="11" t="s">
        <v>56</v>
      </c>
      <c r="I934" s="10" t="s">
        <v>2865</v>
      </c>
      <c r="J934" s="6" t="s">
        <v>190</v>
      </c>
      <c r="K934" s="12">
        <v>46120.875902777778</v>
      </c>
      <c r="L934" s="6" t="e" cm="1">
        <f t="array" ref="L934">LOOKUP(2^15,SEARCH(Tabela2[Palavras-Chave],Boletim4[[#This Row],[Objeto]],1),Tabela2[Palavras-Chave])</f>
        <v>#N/A</v>
      </c>
    </row>
    <row r="935" spans="1:12" ht="100.8" hidden="1" x14ac:dyDescent="0.3">
      <c r="A935" s="5">
        <v>18804478</v>
      </c>
      <c r="B935" s="6" t="s">
        <v>994</v>
      </c>
      <c r="C935" s="6" t="s">
        <v>75</v>
      </c>
      <c r="D935" s="8" t="s">
        <v>76</v>
      </c>
      <c r="E935" s="6" t="s">
        <v>264</v>
      </c>
      <c r="F935" s="6" t="s">
        <v>51</v>
      </c>
      <c r="G935" s="11">
        <v>46126.333333333336</v>
      </c>
      <c r="I935" s="10" t="s">
        <v>995</v>
      </c>
      <c r="J935" s="6" t="s">
        <v>996</v>
      </c>
      <c r="K935" s="12">
        <v>46120.882314814815</v>
      </c>
      <c r="L935" s="6" t="e" cm="1">
        <f t="array" ref="L935">LOOKUP(2^15,SEARCH(Tabela2[Palavras-Chave],Boletim4[[#This Row],[Objeto]],1),Tabela2[Palavras-Chave])</f>
        <v>#N/A</v>
      </c>
    </row>
    <row r="936" spans="1:12" hidden="1" x14ac:dyDescent="0.3">
      <c r="A936" s="5">
        <v>18804157</v>
      </c>
      <c r="B936" s="6" t="s">
        <v>973</v>
      </c>
      <c r="C936" s="6" t="s">
        <v>75</v>
      </c>
      <c r="D936" s="8" t="s">
        <v>76</v>
      </c>
      <c r="E936" s="6" t="s">
        <v>255</v>
      </c>
      <c r="F936" s="6" t="s">
        <v>51</v>
      </c>
      <c r="G936" s="11" t="s">
        <v>56</v>
      </c>
      <c r="I936" s="10" t="s">
        <v>997</v>
      </c>
      <c r="J936" s="6" t="s">
        <v>190</v>
      </c>
      <c r="K936" s="12">
        <v>46120.882476851853</v>
      </c>
      <c r="L936" s="6" t="e" cm="1">
        <f t="array" ref="L936">LOOKUP(2^15,SEARCH(Tabela2[Palavras-Chave],Boletim4[[#This Row],[Objeto]],1),Tabela2[Palavras-Chave])</f>
        <v>#N/A</v>
      </c>
    </row>
    <row r="937" spans="1:12" ht="100.8" hidden="1" x14ac:dyDescent="0.3">
      <c r="A937" s="5">
        <v>18801818</v>
      </c>
      <c r="B937" s="6" t="s">
        <v>998</v>
      </c>
      <c r="C937" s="6" t="s">
        <v>999</v>
      </c>
      <c r="D937" s="8" t="s">
        <v>77</v>
      </c>
      <c r="E937" s="6" t="s">
        <v>129</v>
      </c>
      <c r="F937" s="6" t="s">
        <v>51</v>
      </c>
      <c r="G937" s="11">
        <v>46122.833333333336</v>
      </c>
      <c r="I937" s="10" t="s">
        <v>1000</v>
      </c>
      <c r="J937" s="6" t="s">
        <v>1001</v>
      </c>
      <c r="K937" s="12">
        <v>46120.412777777776</v>
      </c>
      <c r="L937" s="6" t="e" cm="1">
        <f t="array" ref="L937">LOOKUP(2^15,SEARCH(Tabela2[Palavras-Chave],Boletim4[[#This Row],[Objeto]],1),Tabela2[Palavras-Chave])</f>
        <v>#N/A</v>
      </c>
    </row>
    <row r="938" spans="1:12" ht="129.6" hidden="1" x14ac:dyDescent="0.3">
      <c r="A938" s="5">
        <v>18802170</v>
      </c>
      <c r="B938" s="6" t="s">
        <v>1002</v>
      </c>
      <c r="C938" s="6" t="s">
        <v>102</v>
      </c>
      <c r="D938" s="8" t="s">
        <v>77</v>
      </c>
      <c r="E938" s="6" t="s">
        <v>139</v>
      </c>
      <c r="F938" s="6" t="s">
        <v>51</v>
      </c>
      <c r="G938" s="11">
        <v>46125.333333333336</v>
      </c>
      <c r="I938" s="10" t="s">
        <v>1003</v>
      </c>
      <c r="J938" s="6" t="s">
        <v>1004</v>
      </c>
      <c r="K938" s="12">
        <v>46120.496134259258</v>
      </c>
      <c r="L938" s="6" t="e" cm="1">
        <f t="array" ref="L938">LOOKUP(2^15,SEARCH(Tabela2[Palavras-Chave],Boletim4[[#This Row],[Objeto]],1),Tabela2[Palavras-Chave])</f>
        <v>#N/A</v>
      </c>
    </row>
    <row r="939" spans="1:12" ht="172.8" hidden="1" x14ac:dyDescent="0.3">
      <c r="A939" s="5">
        <v>18803373</v>
      </c>
      <c r="B939" s="6" t="s">
        <v>2866</v>
      </c>
      <c r="C939" s="6" t="s">
        <v>2867</v>
      </c>
      <c r="D939" s="8" t="s">
        <v>77</v>
      </c>
      <c r="E939" s="6" t="s">
        <v>173</v>
      </c>
      <c r="F939" s="6" t="s">
        <v>51</v>
      </c>
      <c r="G939" s="11" t="s">
        <v>56</v>
      </c>
      <c r="I939" s="10" t="s">
        <v>2868</v>
      </c>
      <c r="J939" s="6" t="s">
        <v>2869</v>
      </c>
      <c r="K939" s="12">
        <v>46120.65121527778</v>
      </c>
      <c r="L939" s="6" t="e" cm="1">
        <f t="array" ref="L939">LOOKUP(2^15,SEARCH(Tabela2[Palavras-Chave],Boletim4[[#This Row],[Objeto]],1),Tabela2[Palavras-Chave])</f>
        <v>#N/A</v>
      </c>
    </row>
    <row r="940" spans="1:12" ht="187.2" hidden="1" x14ac:dyDescent="0.3">
      <c r="A940" s="5">
        <v>18805639</v>
      </c>
      <c r="B940" s="6" t="s">
        <v>275</v>
      </c>
      <c r="C940" s="6" t="s">
        <v>102</v>
      </c>
      <c r="D940" s="8" t="s">
        <v>77</v>
      </c>
      <c r="E940" s="6" t="s">
        <v>1005</v>
      </c>
      <c r="F940" s="6" t="s">
        <v>51</v>
      </c>
      <c r="G940" s="11" t="s">
        <v>56</v>
      </c>
      <c r="I940" s="10" t="s">
        <v>1006</v>
      </c>
      <c r="J940" s="6" t="s">
        <v>1007</v>
      </c>
      <c r="K940" s="12">
        <v>46120.749988425923</v>
      </c>
      <c r="L940" s="6" t="e" cm="1">
        <f t="array" ref="L940">LOOKUP(2^15,SEARCH(Tabela2[Palavras-Chave],Boletim4[[#This Row],[Objeto]],1),Tabela2[Palavras-Chave])</f>
        <v>#N/A</v>
      </c>
    </row>
    <row r="941" spans="1:12" ht="72" hidden="1" x14ac:dyDescent="0.3">
      <c r="A941" s="5">
        <v>18805380</v>
      </c>
      <c r="B941" s="6" t="s">
        <v>2870</v>
      </c>
      <c r="C941" s="6" t="s">
        <v>2871</v>
      </c>
      <c r="D941" s="8" t="s">
        <v>77</v>
      </c>
      <c r="E941" s="6" t="s">
        <v>2872</v>
      </c>
      <c r="F941" s="6" t="s">
        <v>51</v>
      </c>
      <c r="G941" s="11">
        <v>46122</v>
      </c>
      <c r="I941" s="10" t="s">
        <v>2873</v>
      </c>
      <c r="J941" s="6" t="s">
        <v>2874</v>
      </c>
      <c r="K941" s="12">
        <v>46120.863240740742</v>
      </c>
      <c r="L941" s="6" t="e" cm="1">
        <f t="array" ref="L941">LOOKUP(2^15,SEARCH(Tabela2[Palavras-Chave],Boletim4[[#This Row],[Objeto]],1),Tabela2[Palavras-Chave])</f>
        <v>#N/A</v>
      </c>
    </row>
    <row r="942" spans="1:12" ht="43.2" hidden="1" x14ac:dyDescent="0.3">
      <c r="A942" s="5">
        <v>18806201</v>
      </c>
      <c r="B942" s="6" t="s">
        <v>1008</v>
      </c>
      <c r="C942" s="6" t="s">
        <v>1009</v>
      </c>
      <c r="D942" s="8" t="s">
        <v>78</v>
      </c>
      <c r="E942" s="6" t="s">
        <v>110</v>
      </c>
      <c r="F942" s="6" t="s">
        <v>51</v>
      </c>
      <c r="G942" s="11">
        <v>46125.75</v>
      </c>
      <c r="I942" s="10" t="s">
        <v>1010</v>
      </c>
      <c r="J942" s="6" t="s">
        <v>1011</v>
      </c>
      <c r="K942" s="12">
        <v>46120.870856481481</v>
      </c>
      <c r="L942" s="6" t="e" cm="1">
        <f t="array" ref="L942">LOOKUP(2^15,SEARCH(Tabela2[Palavras-Chave],Boletim4[[#This Row],[Objeto]],1),Tabela2[Palavras-Chave])</f>
        <v>#N/A</v>
      </c>
    </row>
    <row r="943" spans="1:12" ht="100.8" hidden="1" x14ac:dyDescent="0.3">
      <c r="A943" s="5">
        <v>18801887</v>
      </c>
      <c r="B943" s="6" t="s">
        <v>2875</v>
      </c>
      <c r="C943" s="6" t="s">
        <v>2876</v>
      </c>
      <c r="D943" s="8" t="s">
        <v>80</v>
      </c>
      <c r="E943" s="6" t="s">
        <v>2877</v>
      </c>
      <c r="F943" s="6" t="s">
        <v>51</v>
      </c>
      <c r="G943" s="11" t="s">
        <v>56</v>
      </c>
      <c r="I943" s="10" t="s">
        <v>2878</v>
      </c>
      <c r="J943" s="6" t="s">
        <v>2879</v>
      </c>
      <c r="K943" s="12">
        <v>46120.436064814814</v>
      </c>
      <c r="L943" s="6" t="e" cm="1">
        <f t="array" ref="L943">LOOKUP(2^15,SEARCH(Tabela2[Palavras-Chave],Boletim4[[#This Row],[Objeto]],1),Tabela2[Palavras-Chave])</f>
        <v>#N/A</v>
      </c>
    </row>
    <row r="944" spans="1:12" ht="115.2" hidden="1" x14ac:dyDescent="0.3">
      <c r="A944" s="5">
        <v>18802047</v>
      </c>
      <c r="B944" s="6" t="s">
        <v>1012</v>
      </c>
      <c r="C944" s="6" t="s">
        <v>1013</v>
      </c>
      <c r="D944" s="8" t="s">
        <v>80</v>
      </c>
      <c r="E944" s="6" t="s">
        <v>263</v>
      </c>
      <c r="F944" s="6" t="s">
        <v>51</v>
      </c>
      <c r="G944" s="11">
        <v>46125.416666666664</v>
      </c>
      <c r="I944" s="10" t="s">
        <v>1014</v>
      </c>
      <c r="J944" s="6" t="s">
        <v>1015</v>
      </c>
      <c r="K944" s="12">
        <v>46120.525578703702</v>
      </c>
      <c r="L944" s="6" t="e" cm="1">
        <f t="array" ref="L944">LOOKUP(2^15,SEARCH(Tabela2[Palavras-Chave],Boletim4[[#This Row],[Objeto]],1),Tabela2[Palavras-Chave])</f>
        <v>#N/A</v>
      </c>
    </row>
    <row r="945" spans="1:12" ht="100.8" hidden="1" x14ac:dyDescent="0.3">
      <c r="A945" s="5">
        <v>18801387</v>
      </c>
      <c r="B945" s="6" t="s">
        <v>1016</v>
      </c>
      <c r="C945" s="6" t="s">
        <v>464</v>
      </c>
      <c r="D945" s="8" t="s">
        <v>80</v>
      </c>
      <c r="E945" s="6" t="s">
        <v>197</v>
      </c>
      <c r="F945" s="6" t="s">
        <v>51</v>
      </c>
      <c r="G945" s="11">
        <v>46126.541666666664</v>
      </c>
      <c r="I945" s="10" t="s">
        <v>1017</v>
      </c>
      <c r="J945" s="6" t="s">
        <v>1018</v>
      </c>
      <c r="K945" s="12">
        <v>46120.527905092589</v>
      </c>
      <c r="L945" s="6" t="e" cm="1">
        <f t="array" ref="L945">LOOKUP(2^15,SEARCH(Tabela2[Palavras-Chave],Boletim4[[#This Row],[Objeto]],1),Tabela2[Palavras-Chave])</f>
        <v>#N/A</v>
      </c>
    </row>
    <row r="946" spans="1:12" ht="43.2" hidden="1" x14ac:dyDescent="0.3">
      <c r="A946" s="5">
        <v>18795684</v>
      </c>
      <c r="B946" s="6" t="s">
        <v>193</v>
      </c>
      <c r="C946" s="6" t="s">
        <v>79</v>
      </c>
      <c r="D946" s="8" t="s">
        <v>80</v>
      </c>
      <c r="E946" s="6" t="s">
        <v>1019</v>
      </c>
      <c r="F946" s="6" t="s">
        <v>51</v>
      </c>
      <c r="G946" s="11">
        <v>46122.590277777781</v>
      </c>
      <c r="I946" s="10" t="s">
        <v>1020</v>
      </c>
      <c r="J946" s="6" t="s">
        <v>1021</v>
      </c>
      <c r="K946" s="12">
        <v>46120.586967592593</v>
      </c>
      <c r="L946" s="6" t="e" cm="1">
        <f t="array" ref="L946">LOOKUP(2^15,SEARCH(Tabela2[Palavras-Chave],Boletim4[[#This Row],[Objeto]],1),Tabela2[Palavras-Chave])</f>
        <v>#N/A</v>
      </c>
    </row>
    <row r="947" spans="1:12" ht="57.6" hidden="1" x14ac:dyDescent="0.3">
      <c r="A947" s="5">
        <v>18768198</v>
      </c>
      <c r="B947" s="6" t="s">
        <v>278</v>
      </c>
      <c r="C947" s="6" t="s">
        <v>79</v>
      </c>
      <c r="D947" s="8" t="s">
        <v>80</v>
      </c>
      <c r="E947" s="6" t="s">
        <v>1022</v>
      </c>
      <c r="F947" s="6" t="s">
        <v>51</v>
      </c>
      <c r="G947" s="11">
        <v>46122.425000000003</v>
      </c>
      <c r="I947" s="10" t="s">
        <v>340</v>
      </c>
      <c r="J947" s="6" t="s">
        <v>1023</v>
      </c>
      <c r="K947" s="12">
        <v>46120.587592592594</v>
      </c>
      <c r="L947" s="6" t="e" cm="1">
        <f t="array" ref="L947">LOOKUP(2^15,SEARCH(Tabela2[Palavras-Chave],Boletim4[[#This Row],[Objeto]],1),Tabela2[Palavras-Chave])</f>
        <v>#N/A</v>
      </c>
    </row>
    <row r="948" spans="1:12" ht="43.2" hidden="1" x14ac:dyDescent="0.3">
      <c r="A948" s="5">
        <v>18804259</v>
      </c>
      <c r="B948" s="6" t="s">
        <v>2880</v>
      </c>
      <c r="C948" s="6" t="s">
        <v>79</v>
      </c>
      <c r="D948" s="8" t="s">
        <v>80</v>
      </c>
      <c r="E948" s="6" t="s">
        <v>2881</v>
      </c>
      <c r="F948" s="6" t="s">
        <v>51</v>
      </c>
      <c r="G948" s="11">
        <v>46120.583333333336</v>
      </c>
      <c r="I948" s="10" t="s">
        <v>2882</v>
      </c>
      <c r="J948" s="6" t="s">
        <v>2883</v>
      </c>
      <c r="K948" s="12">
        <v>46120.62159722222</v>
      </c>
      <c r="L948" s="6" t="e" cm="1">
        <f t="array" ref="L948">LOOKUP(2^15,SEARCH(Tabela2[Palavras-Chave],Boletim4[[#This Row],[Objeto]],1),Tabela2[Palavras-Chave])</f>
        <v>#N/A</v>
      </c>
    </row>
    <row r="949" spans="1:12" ht="57.6" hidden="1" x14ac:dyDescent="0.3">
      <c r="A949" s="5">
        <v>18803818</v>
      </c>
      <c r="B949" s="6" t="s">
        <v>1024</v>
      </c>
      <c r="C949" s="6" t="s">
        <v>1025</v>
      </c>
      <c r="D949" s="8" t="s">
        <v>80</v>
      </c>
      <c r="E949" s="6" t="s">
        <v>137</v>
      </c>
      <c r="F949" s="6" t="s">
        <v>51</v>
      </c>
      <c r="G949" s="11">
        <v>46122.708333333336</v>
      </c>
      <c r="I949" s="10" t="s">
        <v>1026</v>
      </c>
      <c r="J949" s="6" t="s">
        <v>1027</v>
      </c>
      <c r="K949" s="12">
        <v>46120.639594907407</v>
      </c>
      <c r="L949" s="6" t="e" cm="1">
        <f t="array" ref="L949">LOOKUP(2^15,SEARCH(Tabela2[Palavras-Chave],Boletim4[[#This Row],[Objeto]],1),Tabela2[Palavras-Chave])</f>
        <v>#N/A</v>
      </c>
    </row>
    <row r="950" spans="1:12" ht="57.6" hidden="1" x14ac:dyDescent="0.3">
      <c r="A950" s="5">
        <v>18801761</v>
      </c>
      <c r="B950" s="6" t="s">
        <v>300</v>
      </c>
      <c r="C950" s="6" t="s">
        <v>79</v>
      </c>
      <c r="D950" s="8" t="s">
        <v>80</v>
      </c>
      <c r="E950" s="6" t="s">
        <v>1028</v>
      </c>
      <c r="F950" s="6" t="s">
        <v>51</v>
      </c>
      <c r="G950" s="11" t="s">
        <v>56</v>
      </c>
      <c r="I950" s="10" t="s">
        <v>1029</v>
      </c>
      <c r="J950" s="6" t="s">
        <v>1030</v>
      </c>
      <c r="K950" s="12">
        <v>46120.700995370367</v>
      </c>
      <c r="L950" s="6" t="e" cm="1">
        <f t="array" ref="L950">LOOKUP(2^15,SEARCH(Tabela2[Palavras-Chave],Boletim4[[#This Row],[Objeto]],1),Tabela2[Palavras-Chave])</f>
        <v>#N/A</v>
      </c>
    </row>
    <row r="951" spans="1:12" ht="100.8" hidden="1" x14ac:dyDescent="0.3">
      <c r="A951" s="5">
        <v>18804570</v>
      </c>
      <c r="B951" s="6" t="s">
        <v>1031</v>
      </c>
      <c r="C951" s="6" t="s">
        <v>79</v>
      </c>
      <c r="D951" s="8" t="s">
        <v>80</v>
      </c>
      <c r="E951" s="6" t="s">
        <v>137</v>
      </c>
      <c r="F951" s="6" t="s">
        <v>51</v>
      </c>
      <c r="G951" s="11">
        <v>46125.333333333336</v>
      </c>
      <c r="I951" s="10" t="s">
        <v>1032</v>
      </c>
      <c r="J951" s="6" t="s">
        <v>1033</v>
      </c>
      <c r="K951" s="12">
        <v>46120.731180555558</v>
      </c>
      <c r="L951" s="6" t="e" cm="1">
        <f t="array" ref="L951">LOOKUP(2^15,SEARCH(Tabela2[Palavras-Chave],Boletim4[[#This Row],[Objeto]],1),Tabela2[Palavras-Chave])</f>
        <v>#N/A</v>
      </c>
    </row>
    <row r="952" spans="1:12" ht="100.8" hidden="1" x14ac:dyDescent="0.3">
      <c r="A952" s="5">
        <v>18804603</v>
      </c>
      <c r="B952" s="6" t="s">
        <v>1031</v>
      </c>
      <c r="C952" s="6" t="s">
        <v>79</v>
      </c>
      <c r="D952" s="8" t="s">
        <v>80</v>
      </c>
      <c r="E952" s="6" t="s">
        <v>342</v>
      </c>
      <c r="F952" s="6" t="s">
        <v>51</v>
      </c>
      <c r="G952" s="11">
        <v>46125.333333333336</v>
      </c>
      <c r="I952" s="10" t="s">
        <v>1034</v>
      </c>
      <c r="J952" s="6" t="s">
        <v>1035</v>
      </c>
      <c r="K952" s="12">
        <v>46120.731990740744</v>
      </c>
      <c r="L952" s="6" t="e" cm="1">
        <f t="array" ref="L952">LOOKUP(2^15,SEARCH(Tabela2[Palavras-Chave],Boletim4[[#This Row],[Objeto]],1),Tabela2[Palavras-Chave])</f>
        <v>#N/A</v>
      </c>
    </row>
    <row r="953" spans="1:12" ht="57.6" x14ac:dyDescent="0.3">
      <c r="A953" s="5">
        <v>18801762</v>
      </c>
      <c r="B953" s="6" t="s">
        <v>300</v>
      </c>
      <c r="C953" s="6" t="s">
        <v>79</v>
      </c>
      <c r="D953" s="8" t="s">
        <v>80</v>
      </c>
      <c r="E953" s="6" t="s">
        <v>1036</v>
      </c>
      <c r="F953" s="6" t="s">
        <v>51</v>
      </c>
      <c r="G953" s="11" t="s">
        <v>56</v>
      </c>
      <c r="H953" s="23">
        <v>2</v>
      </c>
      <c r="I953" s="10" t="s">
        <v>1037</v>
      </c>
      <c r="J953" s="6" t="s">
        <v>1038</v>
      </c>
      <c r="K953" s="12">
        <v>46120.749351851853</v>
      </c>
      <c r="L953" s="6" t="str" cm="1">
        <f t="array" ref="L953">LOOKUP(2^15,SEARCH(Tabela2[Palavras-Chave],Boletim4[[#This Row],[Objeto]],1),Tabela2[Palavras-Chave])</f>
        <v>MEDIÇÃO</v>
      </c>
    </row>
    <row r="954" spans="1:12" ht="43.2" hidden="1" x14ac:dyDescent="0.3">
      <c r="A954" s="5">
        <v>18801031</v>
      </c>
      <c r="B954" s="6" t="s">
        <v>2884</v>
      </c>
      <c r="C954" s="6" t="s">
        <v>1013</v>
      </c>
      <c r="D954" s="8" t="s">
        <v>80</v>
      </c>
      <c r="E954" s="6" t="s">
        <v>342</v>
      </c>
      <c r="F954" s="6" t="s">
        <v>51</v>
      </c>
      <c r="G954" s="11">
        <v>46125.540972222225</v>
      </c>
      <c r="I954" s="10" t="s">
        <v>2885</v>
      </c>
      <c r="J954" s="6" t="s">
        <v>2886</v>
      </c>
      <c r="K954" s="12">
        <v>46120.822928240741</v>
      </c>
      <c r="L954" s="6" t="e" cm="1">
        <f t="array" ref="L954">LOOKUP(2^15,SEARCH(Tabela2[Palavras-Chave],Boletim4[[#This Row],[Objeto]],1),Tabela2[Palavras-Chave])</f>
        <v>#N/A</v>
      </c>
    </row>
    <row r="955" spans="1:12" ht="100.8" hidden="1" x14ac:dyDescent="0.3">
      <c r="A955" s="5">
        <v>18805863</v>
      </c>
      <c r="B955" s="6" t="s">
        <v>1039</v>
      </c>
      <c r="C955" s="6" t="s">
        <v>1040</v>
      </c>
      <c r="D955" s="8" t="s">
        <v>80</v>
      </c>
      <c r="E955" s="6" t="s">
        <v>137</v>
      </c>
      <c r="F955" s="6" t="s">
        <v>51</v>
      </c>
      <c r="G955" s="11">
        <v>46127.375</v>
      </c>
      <c r="I955" s="10" t="s">
        <v>1041</v>
      </c>
      <c r="J955" s="6" t="s">
        <v>1042</v>
      </c>
      <c r="K955" s="12">
        <v>46120.852858796294</v>
      </c>
      <c r="L955" s="6" t="e" cm="1">
        <f t="array" ref="L955">LOOKUP(2^15,SEARCH(Tabela2[Palavras-Chave],Boletim4[[#This Row],[Objeto]],1),Tabela2[Palavras-Chave])</f>
        <v>#N/A</v>
      </c>
    </row>
    <row r="956" spans="1:12" ht="187.2" hidden="1" x14ac:dyDescent="0.3">
      <c r="A956" s="5">
        <v>18806439</v>
      </c>
      <c r="B956" s="6" t="s">
        <v>280</v>
      </c>
      <c r="C956" s="6" t="s">
        <v>281</v>
      </c>
      <c r="D956" s="8" t="s">
        <v>80</v>
      </c>
      <c r="E956" s="6" t="s">
        <v>2887</v>
      </c>
      <c r="F956" s="6" t="s">
        <v>51</v>
      </c>
      <c r="G956" s="11" t="s">
        <v>56</v>
      </c>
      <c r="I956" s="10" t="s">
        <v>2888</v>
      </c>
      <c r="J956" s="6" t="s">
        <v>2889</v>
      </c>
      <c r="K956" s="12">
        <v>46120.867754629631</v>
      </c>
      <c r="L956" s="6" t="e" cm="1">
        <f t="array" ref="L956">LOOKUP(2^15,SEARCH(Tabela2[Palavras-Chave],Boletim4[[#This Row],[Objeto]],1),Tabela2[Palavras-Chave])</f>
        <v>#N/A</v>
      </c>
    </row>
    <row r="957" spans="1:12" ht="72" hidden="1" x14ac:dyDescent="0.3">
      <c r="A957" s="5">
        <v>18727978</v>
      </c>
      <c r="B957" s="6" t="s">
        <v>177</v>
      </c>
      <c r="C957" s="6" t="s">
        <v>104</v>
      </c>
      <c r="D957" s="8" t="s">
        <v>81</v>
      </c>
      <c r="E957" s="6" t="s">
        <v>333</v>
      </c>
      <c r="F957" s="6" t="s">
        <v>51</v>
      </c>
      <c r="G957" s="11" t="s">
        <v>56</v>
      </c>
      <c r="I957" s="10" t="s">
        <v>334</v>
      </c>
      <c r="J957" s="6" t="s">
        <v>2851</v>
      </c>
      <c r="K957" s="12">
        <v>46120.468124999999</v>
      </c>
      <c r="L957" s="6" t="e" cm="1">
        <f t="array" ref="L957">LOOKUP(2^15,SEARCH(Tabela2[Palavras-Chave],Boletim4[[#This Row],[Objeto]],1),Tabela2[Palavras-Chave])</f>
        <v>#N/A</v>
      </c>
    </row>
    <row r="958" spans="1:12" ht="43.2" hidden="1" x14ac:dyDescent="0.3">
      <c r="A958" s="5">
        <v>18802074</v>
      </c>
      <c r="B958" s="6" t="s">
        <v>2890</v>
      </c>
      <c r="C958" s="6" t="s">
        <v>104</v>
      </c>
      <c r="D958" s="8" t="s">
        <v>81</v>
      </c>
      <c r="E958" s="6" t="s">
        <v>2891</v>
      </c>
      <c r="F958" s="6" t="s">
        <v>51</v>
      </c>
      <c r="G958" s="11" t="s">
        <v>56</v>
      </c>
      <c r="I958" s="10" t="s">
        <v>2892</v>
      </c>
      <c r="J958" s="6" t="s">
        <v>90</v>
      </c>
      <c r="K958" s="12">
        <v>46120.555324074077</v>
      </c>
      <c r="L958" s="6" t="e" cm="1">
        <f t="array" ref="L958">LOOKUP(2^15,SEARCH(Tabela2[Palavras-Chave],Boletim4[[#This Row],[Objeto]],1),Tabela2[Palavras-Chave])</f>
        <v>#N/A</v>
      </c>
    </row>
    <row r="959" spans="1:12" ht="100.8" hidden="1" x14ac:dyDescent="0.3">
      <c r="A959" s="5">
        <v>18801311</v>
      </c>
      <c r="B959" s="6" t="s">
        <v>1043</v>
      </c>
      <c r="C959" s="6" t="s">
        <v>1044</v>
      </c>
      <c r="D959" s="8" t="s">
        <v>81</v>
      </c>
      <c r="E959" s="6" t="s">
        <v>1045</v>
      </c>
      <c r="F959" s="6" t="s">
        <v>51</v>
      </c>
      <c r="G959" s="11">
        <v>46122.625</v>
      </c>
      <c r="I959" s="10" t="s">
        <v>1046</v>
      </c>
      <c r="J959" s="6" t="s">
        <v>1047</v>
      </c>
      <c r="K959" s="12">
        <v>46120.576412037037</v>
      </c>
      <c r="L959" s="6" t="e" cm="1">
        <f t="array" ref="L959">LOOKUP(2^15,SEARCH(Tabela2[Palavras-Chave],Boletim4[[#This Row],[Objeto]],1),Tabela2[Palavras-Chave])</f>
        <v>#N/A</v>
      </c>
    </row>
    <row r="960" spans="1:12" ht="100.8" hidden="1" x14ac:dyDescent="0.3">
      <c r="A960" s="5">
        <v>18795093</v>
      </c>
      <c r="B960" s="6" t="s">
        <v>1048</v>
      </c>
      <c r="C960" s="6" t="s">
        <v>1049</v>
      </c>
      <c r="D960" s="8" t="s">
        <v>81</v>
      </c>
      <c r="E960" s="6" t="s">
        <v>161</v>
      </c>
      <c r="F960" s="6" t="s">
        <v>51</v>
      </c>
      <c r="G960" s="11">
        <v>46126.333333333336</v>
      </c>
      <c r="I960" s="10" t="s">
        <v>1050</v>
      </c>
      <c r="J960" s="6" t="s">
        <v>1051</v>
      </c>
      <c r="K960" s="12">
        <v>46120.58761574074</v>
      </c>
      <c r="L960" s="6" t="e" cm="1">
        <f t="array" ref="L960">LOOKUP(2^15,SEARCH(Tabela2[Palavras-Chave],Boletim4[[#This Row],[Objeto]],1),Tabela2[Palavras-Chave])</f>
        <v>#N/A</v>
      </c>
    </row>
    <row r="961" spans="1:12" ht="244.8" hidden="1" x14ac:dyDescent="0.3">
      <c r="A961" s="5">
        <v>18804244</v>
      </c>
      <c r="B961" s="6" t="s">
        <v>1052</v>
      </c>
      <c r="C961" s="6" t="s">
        <v>1053</v>
      </c>
      <c r="D961" s="8" t="s">
        <v>81</v>
      </c>
      <c r="E961" s="6" t="s">
        <v>145</v>
      </c>
      <c r="F961" s="6" t="s">
        <v>51</v>
      </c>
      <c r="G961" s="11" t="s">
        <v>56</v>
      </c>
      <c r="I961" s="10" t="s">
        <v>1054</v>
      </c>
      <c r="J961" s="6" t="s">
        <v>1055</v>
      </c>
      <c r="K961" s="12">
        <v>46120.621388888889</v>
      </c>
      <c r="L961" s="6" t="e" cm="1">
        <f t="array" ref="L961">LOOKUP(2^15,SEARCH(Tabela2[Palavras-Chave],Boletim4[[#This Row],[Objeto]],1),Tabela2[Palavras-Chave])</f>
        <v>#N/A</v>
      </c>
    </row>
    <row r="962" spans="1:12" ht="100.8" hidden="1" x14ac:dyDescent="0.3">
      <c r="A962" s="5">
        <v>18805874</v>
      </c>
      <c r="B962" s="6" t="s">
        <v>1056</v>
      </c>
      <c r="C962" s="6" t="s">
        <v>1057</v>
      </c>
      <c r="D962" s="8" t="s">
        <v>81</v>
      </c>
      <c r="E962" s="6" t="s">
        <v>1058</v>
      </c>
      <c r="F962" s="6" t="s">
        <v>51</v>
      </c>
      <c r="G962" s="11">
        <v>46125.59375</v>
      </c>
      <c r="I962" s="10" t="s">
        <v>1059</v>
      </c>
      <c r="J962" s="6" t="s">
        <v>1060</v>
      </c>
      <c r="K962" s="12">
        <v>46120.782708333332</v>
      </c>
      <c r="L962" s="6" t="e" cm="1">
        <f t="array" ref="L962">LOOKUP(2^15,SEARCH(Tabela2[Palavras-Chave],Boletim4[[#This Row],[Objeto]],1),Tabela2[Palavras-Chave])</f>
        <v>#N/A</v>
      </c>
    </row>
    <row r="963" spans="1:12" ht="28.8" hidden="1" x14ac:dyDescent="0.3">
      <c r="A963" s="5">
        <v>18806170</v>
      </c>
      <c r="B963" s="6" t="s">
        <v>201</v>
      </c>
      <c r="C963" s="6" t="s">
        <v>202</v>
      </c>
      <c r="D963" s="8" t="s">
        <v>81</v>
      </c>
      <c r="E963" s="6" t="s">
        <v>359</v>
      </c>
      <c r="F963" s="6" t="s">
        <v>51</v>
      </c>
      <c r="G963" s="11" t="s">
        <v>56</v>
      </c>
      <c r="I963" s="10" t="s">
        <v>2893</v>
      </c>
      <c r="J963" s="6" t="s">
        <v>2894</v>
      </c>
      <c r="K963" s="12">
        <v>46120.823761574073</v>
      </c>
      <c r="L963" s="6" t="e" cm="1">
        <f t="array" ref="L963">LOOKUP(2^15,SEARCH(Tabela2[Palavras-Chave],Boletim4[[#This Row],[Objeto]],1),Tabela2[Palavras-Chave])</f>
        <v>#N/A</v>
      </c>
    </row>
    <row r="964" spans="1:12" ht="129.6" x14ac:dyDescent="0.3">
      <c r="A964" s="5">
        <v>18806216</v>
      </c>
      <c r="B964" s="6" t="s">
        <v>1061</v>
      </c>
      <c r="C964" s="6" t="s">
        <v>1062</v>
      </c>
      <c r="D964" s="8" t="s">
        <v>81</v>
      </c>
      <c r="E964" s="6" t="s">
        <v>342</v>
      </c>
      <c r="F964" s="6" t="s">
        <v>51</v>
      </c>
      <c r="G964" s="11" t="s">
        <v>56</v>
      </c>
      <c r="H964" s="23">
        <v>2</v>
      </c>
      <c r="I964" s="10" t="s">
        <v>1063</v>
      </c>
      <c r="J964" s="6" t="s">
        <v>1064</v>
      </c>
      <c r="K964" s="12">
        <v>46120.835127314815</v>
      </c>
      <c r="L964" s="6" t="str" cm="1">
        <f t="array" ref="L964">LOOKUP(2^15,SEARCH(Tabela2[Palavras-Chave],Boletim4[[#This Row],[Objeto]],1),Tabela2[Palavras-Chave])</f>
        <v>INOX</v>
      </c>
    </row>
    <row r="965" spans="1:12" ht="57.6" hidden="1" x14ac:dyDescent="0.3">
      <c r="A965" s="5">
        <v>18806310</v>
      </c>
      <c r="B965" s="6" t="s">
        <v>2895</v>
      </c>
      <c r="C965" s="6" t="s">
        <v>2896</v>
      </c>
      <c r="D965" s="8" t="s">
        <v>81</v>
      </c>
      <c r="E965" s="6" t="s">
        <v>125</v>
      </c>
      <c r="F965" s="6" t="s">
        <v>51</v>
      </c>
      <c r="G965" s="11">
        <v>46121.75</v>
      </c>
      <c r="I965" s="10" t="s">
        <v>2897</v>
      </c>
      <c r="J965" s="6" t="s">
        <v>2898</v>
      </c>
      <c r="K965" s="12">
        <v>46120.842453703706</v>
      </c>
      <c r="L965" s="6" t="e" cm="1">
        <f t="array" ref="L965">LOOKUP(2^15,SEARCH(Tabela2[Palavras-Chave],Boletim4[[#This Row],[Objeto]],1),Tabela2[Palavras-Chave])</f>
        <v>#N/A</v>
      </c>
    </row>
    <row r="966" spans="1:12" ht="201.6" hidden="1" x14ac:dyDescent="0.3">
      <c r="A966" s="5">
        <v>18804374</v>
      </c>
      <c r="B966" s="6" t="s">
        <v>282</v>
      </c>
      <c r="C966" s="6" t="s">
        <v>160</v>
      </c>
      <c r="D966" s="8" t="s">
        <v>93</v>
      </c>
      <c r="E966" s="6" t="s">
        <v>1065</v>
      </c>
      <c r="F966" s="6" t="s">
        <v>51</v>
      </c>
      <c r="G966" s="11" t="s">
        <v>56</v>
      </c>
      <c r="I966" s="10" t="s">
        <v>1066</v>
      </c>
      <c r="J966" s="6" t="s">
        <v>1067</v>
      </c>
      <c r="K966" s="12">
        <v>46120.695648148147</v>
      </c>
      <c r="L966" s="6" t="e" cm="1">
        <f t="array" ref="L966">LOOKUP(2^15,SEARCH(Tabela2[Palavras-Chave],Boletim4[[#This Row],[Objeto]],1),Tabela2[Palavras-Chave])</f>
        <v>#N/A</v>
      </c>
    </row>
    <row r="967" spans="1:12" ht="201.6" hidden="1" x14ac:dyDescent="0.3">
      <c r="A967" s="5">
        <v>18801409</v>
      </c>
      <c r="B967" s="6" t="s">
        <v>282</v>
      </c>
      <c r="C967" s="6" t="s">
        <v>160</v>
      </c>
      <c r="D967" s="8" t="s">
        <v>93</v>
      </c>
      <c r="E967" s="6" t="s">
        <v>1068</v>
      </c>
      <c r="F967" s="6" t="s">
        <v>51</v>
      </c>
      <c r="G967" s="11" t="s">
        <v>56</v>
      </c>
      <c r="I967" s="10" t="s">
        <v>1069</v>
      </c>
      <c r="J967" s="6" t="s">
        <v>1070</v>
      </c>
      <c r="K967" s="12">
        <v>46120.755682870367</v>
      </c>
      <c r="L967" s="6" t="e" cm="1">
        <f t="array" ref="L967">LOOKUP(2^15,SEARCH(Tabela2[Palavras-Chave],Boletim4[[#This Row],[Objeto]],1),Tabela2[Palavras-Chave])</f>
        <v>#N/A</v>
      </c>
    </row>
    <row r="968" spans="1:12" ht="201.6" hidden="1" x14ac:dyDescent="0.3">
      <c r="A968" s="5">
        <v>18804373</v>
      </c>
      <c r="B968" s="6" t="s">
        <v>282</v>
      </c>
      <c r="C968" s="6" t="s">
        <v>160</v>
      </c>
      <c r="D968" s="8" t="s">
        <v>93</v>
      </c>
      <c r="E968" s="6" t="s">
        <v>1071</v>
      </c>
      <c r="F968" s="6" t="s">
        <v>51</v>
      </c>
      <c r="G968" s="11" t="s">
        <v>56</v>
      </c>
      <c r="I968" s="10" t="s">
        <v>1072</v>
      </c>
      <c r="J968" s="6" t="s">
        <v>1073</v>
      </c>
      <c r="K968" s="12">
        <v>46120.879305555558</v>
      </c>
      <c r="L968" s="6" t="e" cm="1">
        <f t="array" ref="L968">LOOKUP(2^15,SEARCH(Tabela2[Palavras-Chave],Boletim4[[#This Row],[Objeto]],1),Tabela2[Palavras-Chave])</f>
        <v>#N/A</v>
      </c>
    </row>
    <row r="969" spans="1:12" ht="201.6" hidden="1" x14ac:dyDescent="0.3">
      <c r="A969" s="5">
        <v>18804375</v>
      </c>
      <c r="B969" s="6" t="s">
        <v>282</v>
      </c>
      <c r="C969" s="6" t="s">
        <v>160</v>
      </c>
      <c r="D969" s="8" t="s">
        <v>93</v>
      </c>
      <c r="E969" s="6" t="s">
        <v>1074</v>
      </c>
      <c r="F969" s="6" t="s">
        <v>51</v>
      </c>
      <c r="G969" s="11" t="s">
        <v>56</v>
      </c>
      <c r="I969" s="10" t="s">
        <v>1075</v>
      </c>
      <c r="J969" s="6" t="s">
        <v>1076</v>
      </c>
      <c r="K969" s="12">
        <v>46120.879560185182</v>
      </c>
      <c r="L969" s="6" t="e" cm="1">
        <f t="array" ref="L969">LOOKUP(2^15,SEARCH(Tabela2[Palavras-Chave],Boletim4[[#This Row],[Objeto]],1),Tabela2[Palavras-Chave])</f>
        <v>#N/A</v>
      </c>
    </row>
    <row r="970" spans="1:12" ht="273.60000000000002" x14ac:dyDescent="0.3">
      <c r="A970" s="5">
        <v>18742063</v>
      </c>
      <c r="B970" s="6" t="s">
        <v>1077</v>
      </c>
      <c r="C970" s="6" t="s">
        <v>1078</v>
      </c>
      <c r="D970" s="8" t="s">
        <v>82</v>
      </c>
      <c r="E970" s="6" t="s">
        <v>1079</v>
      </c>
      <c r="F970" s="6" t="s">
        <v>51</v>
      </c>
      <c r="G970" s="11">
        <v>46125.375</v>
      </c>
      <c r="H970" s="23">
        <v>2</v>
      </c>
      <c r="I970" s="10" t="s">
        <v>1080</v>
      </c>
      <c r="J970" s="6" t="s">
        <v>1081</v>
      </c>
      <c r="K970" s="12">
        <v>46120.419525462959</v>
      </c>
      <c r="L970" s="6" t="str" cm="1">
        <f t="array" ref="L970">LOOKUP(2^15,SEARCH(Tabela2[Palavras-Chave],Boletim4[[#This Row],[Objeto]],1),Tabela2[Palavras-Chave])</f>
        <v>BOMBEAMENTO</v>
      </c>
    </row>
    <row r="971" spans="1:12" ht="201.6" hidden="1" x14ac:dyDescent="0.3">
      <c r="A971" s="5">
        <v>18801325</v>
      </c>
      <c r="B971" s="6" t="s">
        <v>1082</v>
      </c>
      <c r="C971" s="6" t="s">
        <v>393</v>
      </c>
      <c r="D971" s="8" t="s">
        <v>82</v>
      </c>
      <c r="E971" s="6" t="s">
        <v>1083</v>
      </c>
      <c r="F971" s="6" t="s">
        <v>51</v>
      </c>
      <c r="G971" s="11">
        <v>46125.5</v>
      </c>
      <c r="I971" s="10" t="s">
        <v>1084</v>
      </c>
      <c r="J971" s="6" t="s">
        <v>1085</v>
      </c>
      <c r="K971" s="12">
        <v>46120.452060185184</v>
      </c>
      <c r="L971" s="6" t="e" cm="1">
        <f t="array" ref="L971">LOOKUP(2^15,SEARCH(Tabela2[Palavras-Chave],Boletim4[[#This Row],[Objeto]],1),Tabela2[Palavras-Chave])</f>
        <v>#N/A</v>
      </c>
    </row>
    <row r="972" spans="1:12" ht="72" hidden="1" x14ac:dyDescent="0.3">
      <c r="A972" s="5">
        <v>18802275</v>
      </c>
      <c r="B972" s="6" t="s">
        <v>74</v>
      </c>
      <c r="C972" s="6" t="s">
        <v>83</v>
      </c>
      <c r="D972" s="8" t="s">
        <v>82</v>
      </c>
      <c r="E972" s="6" t="s">
        <v>939</v>
      </c>
      <c r="F972" s="6" t="s">
        <v>51</v>
      </c>
      <c r="G972" s="11" t="s">
        <v>56</v>
      </c>
      <c r="I972" s="10" t="s">
        <v>940</v>
      </c>
      <c r="J972" s="6" t="s">
        <v>941</v>
      </c>
      <c r="K972" s="12">
        <v>46120.46947916667</v>
      </c>
      <c r="L972" s="6" t="e" cm="1">
        <f t="array" ref="L972">LOOKUP(2^15,SEARCH(Tabela2[Palavras-Chave],Boletim4[[#This Row],[Objeto]],1),Tabela2[Palavras-Chave])</f>
        <v>#N/A</v>
      </c>
    </row>
    <row r="973" spans="1:12" ht="100.8" hidden="1" x14ac:dyDescent="0.3">
      <c r="A973" s="5">
        <v>18801815</v>
      </c>
      <c r="B973" s="6" t="s">
        <v>1086</v>
      </c>
      <c r="C973" s="6" t="s">
        <v>348</v>
      </c>
      <c r="D973" s="8" t="s">
        <v>82</v>
      </c>
      <c r="E973" s="6" t="s">
        <v>1087</v>
      </c>
      <c r="F973" s="6" t="s">
        <v>51</v>
      </c>
      <c r="G973" s="11">
        <v>46125.374305555553</v>
      </c>
      <c r="I973" s="10" t="s">
        <v>1088</v>
      </c>
      <c r="J973" s="6" t="s">
        <v>1089</v>
      </c>
      <c r="K973" s="12">
        <v>46120.473275462966</v>
      </c>
      <c r="L973" s="6" t="e" cm="1">
        <f t="array" ref="L973">LOOKUP(2^15,SEARCH(Tabela2[Palavras-Chave],Boletim4[[#This Row],[Objeto]],1),Tabela2[Palavras-Chave])</f>
        <v>#N/A</v>
      </c>
    </row>
    <row r="974" spans="1:12" ht="72" hidden="1" x14ac:dyDescent="0.3">
      <c r="A974" s="5">
        <v>18802360</v>
      </c>
      <c r="B974" s="6" t="s">
        <v>181</v>
      </c>
      <c r="C974" s="6" t="s">
        <v>182</v>
      </c>
      <c r="D974" s="8" t="s">
        <v>82</v>
      </c>
      <c r="E974" s="6" t="s">
        <v>1090</v>
      </c>
      <c r="F974" s="6" t="s">
        <v>51</v>
      </c>
      <c r="G974" s="11" t="s">
        <v>56</v>
      </c>
      <c r="I974" s="10" t="s">
        <v>1091</v>
      </c>
      <c r="J974" s="6" t="s">
        <v>1092</v>
      </c>
      <c r="K974" s="12">
        <v>46120.477650462963</v>
      </c>
      <c r="L974" s="6" t="e" cm="1">
        <f t="array" ref="L974">LOOKUP(2^15,SEARCH(Tabela2[Palavras-Chave],Boletim4[[#This Row],[Objeto]],1),Tabela2[Palavras-Chave])</f>
        <v>#N/A</v>
      </c>
    </row>
    <row r="975" spans="1:12" ht="72" hidden="1" x14ac:dyDescent="0.3">
      <c r="A975" s="5">
        <v>18802356</v>
      </c>
      <c r="B975" s="6" t="s">
        <v>181</v>
      </c>
      <c r="C975" s="6" t="s">
        <v>182</v>
      </c>
      <c r="D975" s="8" t="s">
        <v>82</v>
      </c>
      <c r="E975" s="6" t="s">
        <v>1090</v>
      </c>
      <c r="F975" s="6" t="s">
        <v>51</v>
      </c>
      <c r="G975" s="11" t="s">
        <v>56</v>
      </c>
      <c r="I975" s="10" t="s">
        <v>1091</v>
      </c>
      <c r="J975" s="6" t="s">
        <v>1092</v>
      </c>
      <c r="K975" s="12">
        <v>46120.477685185186</v>
      </c>
      <c r="L975" s="6" t="e" cm="1">
        <f t="array" ref="L975">LOOKUP(2^15,SEARCH(Tabela2[Palavras-Chave],Boletim4[[#This Row],[Objeto]],1),Tabela2[Palavras-Chave])</f>
        <v>#N/A</v>
      </c>
    </row>
    <row r="976" spans="1:12" ht="100.8" hidden="1" x14ac:dyDescent="0.3">
      <c r="A976" s="5">
        <v>18801395</v>
      </c>
      <c r="B976" s="6" t="s">
        <v>1093</v>
      </c>
      <c r="C976" s="6" t="s">
        <v>83</v>
      </c>
      <c r="D976" s="8" t="s">
        <v>82</v>
      </c>
      <c r="E976" s="6" t="s">
        <v>1094</v>
      </c>
      <c r="F976" s="6" t="s">
        <v>51</v>
      </c>
      <c r="G976" s="11">
        <v>46127.333333333336</v>
      </c>
      <c r="I976" s="10" t="s">
        <v>1095</v>
      </c>
      <c r="J976" s="6" t="s">
        <v>1096</v>
      </c>
      <c r="K976" s="12">
        <v>46120.516342592593</v>
      </c>
      <c r="L976" s="6" t="e" cm="1">
        <f t="array" ref="L976">LOOKUP(2^15,SEARCH(Tabela2[Palavras-Chave],Boletim4[[#This Row],[Objeto]],1),Tabela2[Palavras-Chave])</f>
        <v>#N/A</v>
      </c>
    </row>
    <row r="977" spans="1:12" ht="100.8" hidden="1" x14ac:dyDescent="0.3">
      <c r="A977" s="5">
        <v>18801329</v>
      </c>
      <c r="B977" s="6" t="s">
        <v>1097</v>
      </c>
      <c r="C977" s="6" t="s">
        <v>1098</v>
      </c>
      <c r="D977" s="8" t="s">
        <v>82</v>
      </c>
      <c r="E977" s="6" t="s">
        <v>734</v>
      </c>
      <c r="F977" s="6" t="s">
        <v>51</v>
      </c>
      <c r="G977" s="11">
        <v>46125.375</v>
      </c>
      <c r="I977" s="10" t="s">
        <v>1099</v>
      </c>
      <c r="J977" s="6" t="s">
        <v>1100</v>
      </c>
      <c r="K977" s="12">
        <v>46120.519872685189</v>
      </c>
      <c r="L977" s="6" t="e" cm="1">
        <f t="array" ref="L977">LOOKUP(2^15,SEARCH(Tabela2[Palavras-Chave],Boletim4[[#This Row],[Objeto]],1),Tabela2[Palavras-Chave])</f>
        <v>#N/A</v>
      </c>
    </row>
    <row r="978" spans="1:12" ht="100.8" hidden="1" x14ac:dyDescent="0.3">
      <c r="A978" s="5">
        <v>18801319</v>
      </c>
      <c r="B978" s="6" t="s">
        <v>2899</v>
      </c>
      <c r="C978" s="6" t="s">
        <v>2900</v>
      </c>
      <c r="D978" s="8" t="s">
        <v>82</v>
      </c>
      <c r="E978" s="6" t="s">
        <v>2901</v>
      </c>
      <c r="F978" s="6" t="s">
        <v>51</v>
      </c>
      <c r="G978" s="11">
        <v>46122.999305555553</v>
      </c>
      <c r="I978" s="10" t="s">
        <v>2902</v>
      </c>
      <c r="J978" s="6" t="s">
        <v>2903</v>
      </c>
      <c r="K978" s="12">
        <v>46120.523287037038</v>
      </c>
      <c r="L978" s="6" t="e" cm="1">
        <f t="array" ref="L978">LOOKUP(2^15,SEARCH(Tabela2[Palavras-Chave],Boletim4[[#This Row],[Objeto]],1),Tabela2[Palavras-Chave])</f>
        <v>#N/A</v>
      </c>
    </row>
    <row r="979" spans="1:12" ht="28.8" hidden="1" x14ac:dyDescent="0.3">
      <c r="A979" s="5">
        <v>18801521</v>
      </c>
      <c r="B979" s="6" t="s">
        <v>1101</v>
      </c>
      <c r="C979" s="6" t="s">
        <v>1102</v>
      </c>
      <c r="D979" s="8" t="s">
        <v>82</v>
      </c>
      <c r="E979" s="6" t="s">
        <v>443</v>
      </c>
      <c r="F979" s="6" t="s">
        <v>51</v>
      </c>
      <c r="G979" s="11">
        <v>46122.708333333336</v>
      </c>
      <c r="I979" s="10" t="s">
        <v>1103</v>
      </c>
      <c r="J979" s="6" t="s">
        <v>1104</v>
      </c>
      <c r="K979" s="12">
        <v>46120.526400462964</v>
      </c>
      <c r="L979" s="6" t="e" cm="1">
        <f t="array" ref="L979">LOOKUP(2^15,SEARCH(Tabela2[Palavras-Chave],Boletim4[[#This Row],[Objeto]],1),Tabela2[Palavras-Chave])</f>
        <v>#N/A</v>
      </c>
    </row>
    <row r="980" spans="1:12" ht="86.4" hidden="1" x14ac:dyDescent="0.3">
      <c r="A980" s="5">
        <v>18802165</v>
      </c>
      <c r="B980" s="6" t="s">
        <v>1105</v>
      </c>
      <c r="C980" s="6" t="s">
        <v>83</v>
      </c>
      <c r="D980" s="8" t="s">
        <v>82</v>
      </c>
      <c r="E980" s="6" t="s">
        <v>105</v>
      </c>
      <c r="F980" s="6" t="s">
        <v>51</v>
      </c>
      <c r="G980" s="11">
        <v>46125.333333333336</v>
      </c>
      <c r="I980" s="10" t="s">
        <v>1106</v>
      </c>
      <c r="J980" s="6" t="s">
        <v>1107</v>
      </c>
      <c r="K980" s="12">
        <v>46120.530624999999</v>
      </c>
      <c r="L980" s="6" t="e" cm="1">
        <f t="array" ref="L980">LOOKUP(2^15,SEARCH(Tabela2[Palavras-Chave],Boletim4[[#This Row],[Objeto]],1),Tabela2[Palavras-Chave])</f>
        <v>#N/A</v>
      </c>
    </row>
    <row r="981" spans="1:12" ht="86.4" hidden="1" x14ac:dyDescent="0.3">
      <c r="A981" s="5">
        <v>18802166</v>
      </c>
      <c r="B981" s="6" t="s">
        <v>1105</v>
      </c>
      <c r="C981" s="6" t="s">
        <v>83</v>
      </c>
      <c r="D981" s="8" t="s">
        <v>82</v>
      </c>
      <c r="E981" s="6" t="s">
        <v>110</v>
      </c>
      <c r="F981" s="6" t="s">
        <v>51</v>
      </c>
      <c r="G981" s="11">
        <v>46125.333333333336</v>
      </c>
      <c r="I981" s="10" t="s">
        <v>1106</v>
      </c>
      <c r="J981" s="6" t="s">
        <v>1108</v>
      </c>
      <c r="K981" s="12">
        <v>46120.530729166669</v>
      </c>
      <c r="L981" s="6" t="e" cm="1">
        <f t="array" ref="L981">LOOKUP(2^15,SEARCH(Tabela2[Palavras-Chave],Boletim4[[#This Row],[Objeto]],1),Tabela2[Palavras-Chave])</f>
        <v>#N/A</v>
      </c>
    </row>
    <row r="982" spans="1:12" ht="244.8" hidden="1" x14ac:dyDescent="0.3">
      <c r="A982" s="5">
        <v>18801650</v>
      </c>
      <c r="B982" s="6" t="s">
        <v>1109</v>
      </c>
      <c r="C982" s="6" t="s">
        <v>1110</v>
      </c>
      <c r="D982" s="8" t="s">
        <v>82</v>
      </c>
      <c r="E982" s="6" t="s">
        <v>1111</v>
      </c>
      <c r="F982" s="6" t="s">
        <v>51</v>
      </c>
      <c r="G982" s="11" t="s">
        <v>56</v>
      </c>
      <c r="I982" s="10" t="s">
        <v>1112</v>
      </c>
      <c r="J982" s="6" t="s">
        <v>1113</v>
      </c>
      <c r="K982" s="12">
        <v>46120.576550925929</v>
      </c>
      <c r="L982" s="6" t="e" cm="1">
        <f t="array" ref="L982">LOOKUP(2^15,SEARCH(Tabela2[Palavras-Chave],Boletim4[[#This Row],[Objeto]],1),Tabela2[Palavras-Chave])</f>
        <v>#N/A</v>
      </c>
    </row>
    <row r="983" spans="1:12" ht="57.6" x14ac:dyDescent="0.3">
      <c r="A983" s="5">
        <v>18801515</v>
      </c>
      <c r="B983" s="6" t="s">
        <v>1101</v>
      </c>
      <c r="C983" s="6" t="s">
        <v>1102</v>
      </c>
      <c r="D983" s="8" t="s">
        <v>82</v>
      </c>
      <c r="E983" s="6" t="s">
        <v>1114</v>
      </c>
      <c r="F983" s="6" t="s">
        <v>51</v>
      </c>
      <c r="G983" s="11">
        <v>46122.725694444445</v>
      </c>
      <c r="H983" s="23">
        <v>2</v>
      </c>
      <c r="I983" s="10" t="s">
        <v>1115</v>
      </c>
      <c r="J983" s="6" t="s">
        <v>1116</v>
      </c>
      <c r="K983" s="12">
        <v>46120.589837962965</v>
      </c>
      <c r="L983" s="6" t="str" cm="1">
        <f t="array" ref="L983">LOOKUP(2^15,SEARCH(Tabela2[Palavras-Chave],Boletim4[[#This Row],[Objeto]],1),Tabela2[Palavras-Chave])</f>
        <v>RESERVAT</v>
      </c>
    </row>
    <row r="984" spans="1:12" ht="259.2" hidden="1" x14ac:dyDescent="0.3">
      <c r="A984" s="5">
        <v>18804234</v>
      </c>
      <c r="B984" s="6" t="s">
        <v>447</v>
      </c>
      <c r="C984" s="6" t="s">
        <v>448</v>
      </c>
      <c r="D984" s="8" t="s">
        <v>82</v>
      </c>
      <c r="E984" s="6" t="s">
        <v>2904</v>
      </c>
      <c r="F984" s="6" t="s">
        <v>51</v>
      </c>
      <c r="G984" s="11" t="s">
        <v>56</v>
      </c>
      <c r="I984" s="10" t="s">
        <v>2905</v>
      </c>
      <c r="J984" s="6" t="s">
        <v>2906</v>
      </c>
      <c r="K984" s="12">
        <v>46120.617349537039</v>
      </c>
      <c r="L984" s="6" t="e" cm="1">
        <f t="array" ref="L984">LOOKUP(2^15,SEARCH(Tabela2[Palavras-Chave],Boletim4[[#This Row],[Objeto]],1),Tabela2[Palavras-Chave])</f>
        <v>#N/A</v>
      </c>
    </row>
    <row r="985" spans="1:12" ht="259.2" hidden="1" x14ac:dyDescent="0.3">
      <c r="A985" s="5">
        <v>18804261</v>
      </c>
      <c r="B985" s="6" t="s">
        <v>2907</v>
      </c>
      <c r="C985" s="6" t="s">
        <v>448</v>
      </c>
      <c r="D985" s="8" t="s">
        <v>82</v>
      </c>
      <c r="E985" s="6" t="s">
        <v>2908</v>
      </c>
      <c r="F985" s="6" t="s">
        <v>51</v>
      </c>
      <c r="G985" s="11" t="s">
        <v>56</v>
      </c>
      <c r="I985" s="10" t="s">
        <v>2909</v>
      </c>
      <c r="J985" s="6" t="s">
        <v>2910</v>
      </c>
      <c r="K985" s="12">
        <v>46120.620300925926</v>
      </c>
      <c r="L985" s="6" t="e" cm="1">
        <f t="array" ref="L985">LOOKUP(2^15,SEARCH(Tabela2[Palavras-Chave],Boletim4[[#This Row],[Objeto]],1),Tabela2[Palavras-Chave])</f>
        <v>#N/A</v>
      </c>
    </row>
    <row r="986" spans="1:12" hidden="1" x14ac:dyDescent="0.3">
      <c r="A986" s="5">
        <v>18802415</v>
      </c>
      <c r="B986" s="6" t="s">
        <v>2274</v>
      </c>
      <c r="C986" s="6" t="s">
        <v>2275</v>
      </c>
      <c r="D986" s="8" t="s">
        <v>82</v>
      </c>
      <c r="E986" s="6" t="s">
        <v>2911</v>
      </c>
      <c r="F986" s="6" t="s">
        <v>51</v>
      </c>
      <c r="G986" s="11" t="s">
        <v>56</v>
      </c>
      <c r="I986" s="10" t="s">
        <v>2912</v>
      </c>
      <c r="J986" s="6" t="s">
        <v>169</v>
      </c>
      <c r="K986" s="12">
        <v>46120.643090277779</v>
      </c>
      <c r="L986" s="6" t="e" cm="1">
        <f t="array" ref="L986">LOOKUP(2^15,SEARCH(Tabela2[Palavras-Chave],Boletim4[[#This Row],[Objeto]],1),Tabela2[Palavras-Chave])</f>
        <v>#N/A</v>
      </c>
    </row>
    <row r="987" spans="1:12" ht="72" hidden="1" x14ac:dyDescent="0.3">
      <c r="A987" s="5">
        <v>18804335</v>
      </c>
      <c r="B987" s="6" t="s">
        <v>2913</v>
      </c>
      <c r="C987" s="6" t="s">
        <v>242</v>
      </c>
      <c r="D987" s="8" t="s">
        <v>82</v>
      </c>
      <c r="E987" s="6" t="s">
        <v>116</v>
      </c>
      <c r="F987" s="6" t="s">
        <v>51</v>
      </c>
      <c r="G987" s="11" t="s">
        <v>56</v>
      </c>
      <c r="I987" s="10" t="s">
        <v>2914</v>
      </c>
      <c r="J987" s="6" t="s">
        <v>2915</v>
      </c>
      <c r="K987" s="12">
        <v>46120.647326388891</v>
      </c>
      <c r="L987" s="6" t="e" cm="1">
        <f t="array" ref="L987">LOOKUP(2^15,SEARCH(Tabela2[Palavras-Chave],Boletim4[[#This Row],[Objeto]],1),Tabela2[Palavras-Chave])</f>
        <v>#N/A</v>
      </c>
    </row>
    <row r="988" spans="1:12" ht="129.6" hidden="1" x14ac:dyDescent="0.3">
      <c r="A988" s="5">
        <v>18786072</v>
      </c>
      <c r="B988" s="6" t="s">
        <v>229</v>
      </c>
      <c r="C988" s="6" t="s">
        <v>228</v>
      </c>
      <c r="D988" s="8" t="s">
        <v>82</v>
      </c>
      <c r="E988" s="6" t="s">
        <v>1117</v>
      </c>
      <c r="F988" s="6" t="s">
        <v>51</v>
      </c>
      <c r="G988" s="11">
        <v>46125.332638888889</v>
      </c>
      <c r="I988" s="10" t="s">
        <v>1118</v>
      </c>
      <c r="J988" s="6" t="s">
        <v>1119</v>
      </c>
      <c r="K988" s="12">
        <v>46120.654606481483</v>
      </c>
      <c r="L988" s="6" t="e" cm="1">
        <f t="array" ref="L988">LOOKUP(2^15,SEARCH(Tabela2[Palavras-Chave],Boletim4[[#This Row],[Objeto]],1),Tabela2[Palavras-Chave])</f>
        <v>#N/A</v>
      </c>
    </row>
    <row r="989" spans="1:12" ht="100.8" hidden="1" x14ac:dyDescent="0.3">
      <c r="A989" s="5">
        <v>18803310</v>
      </c>
      <c r="B989" s="6" t="s">
        <v>1120</v>
      </c>
      <c r="C989" s="6" t="s">
        <v>1121</v>
      </c>
      <c r="D989" s="8" t="s">
        <v>82</v>
      </c>
      <c r="E989" s="6" t="s">
        <v>304</v>
      </c>
      <c r="F989" s="6" t="s">
        <v>51</v>
      </c>
      <c r="G989" s="11">
        <v>46125.999305555553</v>
      </c>
      <c r="I989" s="10" t="s">
        <v>1122</v>
      </c>
      <c r="J989" s="6" t="s">
        <v>1123</v>
      </c>
      <c r="K989" s="12">
        <v>46120.659525462965</v>
      </c>
      <c r="L989" s="6" t="e" cm="1">
        <f t="array" ref="L989">LOOKUP(2^15,SEARCH(Tabela2[Palavras-Chave],Boletim4[[#This Row],[Objeto]],1),Tabela2[Palavras-Chave])</f>
        <v>#N/A</v>
      </c>
    </row>
    <row r="990" spans="1:12" ht="100.8" hidden="1" x14ac:dyDescent="0.3">
      <c r="A990" s="5">
        <v>18803291</v>
      </c>
      <c r="B990" s="6" t="s">
        <v>259</v>
      </c>
      <c r="C990" s="6" t="s">
        <v>83</v>
      </c>
      <c r="D990" s="8" t="s">
        <v>82</v>
      </c>
      <c r="E990" s="6" t="s">
        <v>1124</v>
      </c>
      <c r="F990" s="6" t="s">
        <v>51</v>
      </c>
      <c r="G990" s="11">
        <v>46126.333333333336</v>
      </c>
      <c r="I990" s="10" t="s">
        <v>1125</v>
      </c>
      <c r="J990" s="6" t="s">
        <v>1126</v>
      </c>
      <c r="K990" s="12">
        <v>46120.663969907408</v>
      </c>
      <c r="L990" s="6" t="e" cm="1">
        <f t="array" ref="L990">LOOKUP(2^15,SEARCH(Tabela2[Palavras-Chave],Boletim4[[#This Row],[Objeto]],1),Tabela2[Palavras-Chave])</f>
        <v>#N/A</v>
      </c>
    </row>
    <row r="991" spans="1:12" hidden="1" x14ac:dyDescent="0.3">
      <c r="A991" s="5">
        <v>18805080</v>
      </c>
      <c r="B991" s="6" t="s">
        <v>1127</v>
      </c>
      <c r="C991" s="6" t="s">
        <v>1128</v>
      </c>
      <c r="D991" s="8" t="s">
        <v>82</v>
      </c>
      <c r="E991" s="6" t="s">
        <v>1129</v>
      </c>
      <c r="F991" s="6" t="s">
        <v>51</v>
      </c>
      <c r="G991" s="11" t="s">
        <v>56</v>
      </c>
      <c r="I991" s="10" t="s">
        <v>1130</v>
      </c>
      <c r="J991" s="6" t="s">
        <v>169</v>
      </c>
      <c r="K991" s="12">
        <v>46120.709791666668</v>
      </c>
      <c r="L991" s="6" t="e" cm="1">
        <f t="array" ref="L991">LOOKUP(2^15,SEARCH(Tabela2[Palavras-Chave],Boletim4[[#This Row],[Objeto]],1),Tabela2[Palavras-Chave])</f>
        <v>#N/A</v>
      </c>
    </row>
    <row r="992" spans="1:12" ht="115.2" hidden="1" x14ac:dyDescent="0.3">
      <c r="A992" s="5">
        <v>18805264</v>
      </c>
      <c r="B992" s="6" t="s">
        <v>1131</v>
      </c>
      <c r="C992" s="6" t="s">
        <v>285</v>
      </c>
      <c r="D992" s="8" t="s">
        <v>82</v>
      </c>
      <c r="E992" s="6" t="s">
        <v>116</v>
      </c>
      <c r="F992" s="6" t="s">
        <v>51</v>
      </c>
      <c r="G992" s="11" t="s">
        <v>56</v>
      </c>
      <c r="I992" s="10" t="s">
        <v>1132</v>
      </c>
      <c r="J992" s="6" t="s">
        <v>1133</v>
      </c>
      <c r="K992" s="12">
        <v>46120.713159722225</v>
      </c>
      <c r="L992" s="6" t="e" cm="1">
        <f t="array" ref="L992">LOOKUP(2^15,SEARCH(Tabela2[Palavras-Chave],Boletim4[[#This Row],[Objeto]],1),Tabela2[Palavras-Chave])</f>
        <v>#N/A</v>
      </c>
    </row>
    <row r="993" spans="1:12" ht="115.2" hidden="1" x14ac:dyDescent="0.3">
      <c r="A993" s="5">
        <v>18805260</v>
      </c>
      <c r="B993" s="6" t="s">
        <v>1131</v>
      </c>
      <c r="C993" s="6" t="s">
        <v>285</v>
      </c>
      <c r="D993" s="8" t="s">
        <v>82</v>
      </c>
      <c r="E993" s="6" t="s">
        <v>116</v>
      </c>
      <c r="F993" s="6" t="s">
        <v>51</v>
      </c>
      <c r="G993" s="11" t="s">
        <v>56</v>
      </c>
      <c r="I993" s="10" t="s">
        <v>1134</v>
      </c>
      <c r="J993" s="6" t="s">
        <v>1133</v>
      </c>
      <c r="K993" s="12">
        <v>46120.713252314818</v>
      </c>
      <c r="L993" s="6" t="e" cm="1">
        <f t="array" ref="L993">LOOKUP(2^15,SEARCH(Tabela2[Palavras-Chave],Boletim4[[#This Row],[Objeto]],1),Tabela2[Palavras-Chave])</f>
        <v>#N/A</v>
      </c>
    </row>
    <row r="994" spans="1:12" ht="57.6" hidden="1" x14ac:dyDescent="0.3">
      <c r="A994" s="5">
        <v>18805254</v>
      </c>
      <c r="B994" s="6" t="s">
        <v>1131</v>
      </c>
      <c r="C994" s="6" t="s">
        <v>285</v>
      </c>
      <c r="D994" s="8" t="s">
        <v>82</v>
      </c>
      <c r="E994" s="6" t="s">
        <v>116</v>
      </c>
      <c r="F994" s="6" t="s">
        <v>51</v>
      </c>
      <c r="G994" s="11" t="s">
        <v>56</v>
      </c>
      <c r="I994" s="10" t="s">
        <v>1135</v>
      </c>
      <c r="J994" s="6" t="s">
        <v>1136</v>
      </c>
      <c r="K994" s="12">
        <v>46120.713483796295</v>
      </c>
      <c r="L994" s="6" t="e" cm="1">
        <f t="array" ref="L994">LOOKUP(2^15,SEARCH(Tabela2[Palavras-Chave],Boletim4[[#This Row],[Objeto]],1),Tabela2[Palavras-Chave])</f>
        <v>#N/A</v>
      </c>
    </row>
    <row r="995" spans="1:12" ht="28.8" hidden="1" x14ac:dyDescent="0.3">
      <c r="A995" s="5">
        <v>18795872</v>
      </c>
      <c r="B995" s="6" t="s">
        <v>449</v>
      </c>
      <c r="C995" s="6" t="s">
        <v>258</v>
      </c>
      <c r="D995" s="8" t="s">
        <v>82</v>
      </c>
      <c r="E995" s="6" t="s">
        <v>974</v>
      </c>
      <c r="F995" s="6" t="s">
        <v>51</v>
      </c>
      <c r="G995" s="11">
        <v>46126.333333333336</v>
      </c>
      <c r="I995" s="10" t="s">
        <v>1137</v>
      </c>
      <c r="J995" s="6" t="s">
        <v>90</v>
      </c>
      <c r="K995" s="12">
        <v>46120.717395833337</v>
      </c>
      <c r="L995" s="6" t="e" cm="1">
        <f t="array" ref="L995">LOOKUP(2^15,SEARCH(Tabela2[Palavras-Chave],Boletim4[[#This Row],[Objeto]],1),Tabela2[Palavras-Chave])</f>
        <v>#N/A</v>
      </c>
    </row>
    <row r="996" spans="1:12" ht="100.8" hidden="1" x14ac:dyDescent="0.3">
      <c r="A996" s="5">
        <v>18805293</v>
      </c>
      <c r="B996" s="6" t="s">
        <v>1131</v>
      </c>
      <c r="C996" s="6" t="s">
        <v>285</v>
      </c>
      <c r="D996" s="8" t="s">
        <v>82</v>
      </c>
      <c r="E996" s="6" t="s">
        <v>116</v>
      </c>
      <c r="F996" s="6" t="s">
        <v>51</v>
      </c>
      <c r="G996" s="11" t="s">
        <v>56</v>
      </c>
      <c r="I996" s="10" t="s">
        <v>1134</v>
      </c>
      <c r="J996" s="6" t="s">
        <v>2916</v>
      </c>
      <c r="K996" s="12">
        <v>46120.727465277778</v>
      </c>
      <c r="L996" s="6" t="e" cm="1">
        <f t="array" ref="L996">LOOKUP(2^15,SEARCH(Tabela2[Palavras-Chave],Boletim4[[#This Row],[Objeto]],1),Tabela2[Palavras-Chave])</f>
        <v>#N/A</v>
      </c>
    </row>
    <row r="997" spans="1:12" ht="100.8" hidden="1" x14ac:dyDescent="0.3">
      <c r="A997" s="5">
        <v>18805298</v>
      </c>
      <c r="B997" s="6" t="s">
        <v>1131</v>
      </c>
      <c r="C997" s="6" t="s">
        <v>285</v>
      </c>
      <c r="D997" s="8" t="s">
        <v>82</v>
      </c>
      <c r="E997" s="6" t="s">
        <v>116</v>
      </c>
      <c r="F997" s="6" t="s">
        <v>51</v>
      </c>
      <c r="G997" s="11" t="s">
        <v>56</v>
      </c>
      <c r="I997" s="10" t="s">
        <v>1132</v>
      </c>
      <c r="J997" s="6" t="s">
        <v>2916</v>
      </c>
      <c r="K997" s="12">
        <v>46120.72755787037</v>
      </c>
      <c r="L997" s="6" t="e" cm="1">
        <f t="array" ref="L997">LOOKUP(2^15,SEARCH(Tabela2[Palavras-Chave],Boletim4[[#This Row],[Objeto]],1),Tabela2[Palavras-Chave])</f>
        <v>#N/A</v>
      </c>
    </row>
    <row r="998" spans="1:12" ht="28.8" hidden="1" x14ac:dyDescent="0.3">
      <c r="A998" s="5">
        <v>18804704</v>
      </c>
      <c r="B998" s="6" t="s">
        <v>1138</v>
      </c>
      <c r="C998" s="6" t="s">
        <v>1139</v>
      </c>
      <c r="D998" s="8" t="s">
        <v>82</v>
      </c>
      <c r="E998" s="6" t="s">
        <v>1140</v>
      </c>
      <c r="F998" s="6" t="s">
        <v>51</v>
      </c>
      <c r="G998" s="11" t="s">
        <v>56</v>
      </c>
      <c r="I998" s="10" t="s">
        <v>1141</v>
      </c>
      <c r="J998" s="6" t="s">
        <v>190</v>
      </c>
      <c r="K998" s="12">
        <v>46120.730381944442</v>
      </c>
      <c r="L998" s="6" t="e" cm="1">
        <f t="array" ref="L998">LOOKUP(2^15,SEARCH(Tabela2[Palavras-Chave],Boletim4[[#This Row],[Objeto]],1),Tabela2[Palavras-Chave])</f>
        <v>#N/A</v>
      </c>
    </row>
    <row r="999" spans="1:12" ht="100.8" hidden="1" x14ac:dyDescent="0.3">
      <c r="A999" s="5">
        <v>18804494</v>
      </c>
      <c r="B999" s="6" t="s">
        <v>1142</v>
      </c>
      <c r="C999" s="6" t="s">
        <v>83</v>
      </c>
      <c r="D999" s="8" t="s">
        <v>82</v>
      </c>
      <c r="E999" s="6" t="s">
        <v>244</v>
      </c>
      <c r="F999" s="6" t="s">
        <v>51</v>
      </c>
      <c r="G999" s="11">
        <v>46128.333333333336</v>
      </c>
      <c r="I999" s="10" t="s">
        <v>1143</v>
      </c>
      <c r="J999" s="6" t="s">
        <v>1144</v>
      </c>
      <c r="K999" s="12">
        <v>46120.731226851851</v>
      </c>
      <c r="L999" s="6" t="e" cm="1">
        <f t="array" ref="L999">LOOKUP(2^15,SEARCH(Tabela2[Palavras-Chave],Boletim4[[#This Row],[Objeto]],1),Tabela2[Palavras-Chave])</f>
        <v>#N/A</v>
      </c>
    </row>
    <row r="1000" spans="1:12" ht="100.8" hidden="1" x14ac:dyDescent="0.3">
      <c r="A1000" s="5">
        <v>18805268</v>
      </c>
      <c r="B1000" s="6" t="s">
        <v>1131</v>
      </c>
      <c r="C1000" s="6" t="s">
        <v>285</v>
      </c>
      <c r="D1000" s="8" t="s">
        <v>82</v>
      </c>
      <c r="E1000" s="6" t="s">
        <v>116</v>
      </c>
      <c r="F1000" s="6" t="s">
        <v>51</v>
      </c>
      <c r="G1000" s="11" t="s">
        <v>56</v>
      </c>
      <c r="I1000" s="10" t="s">
        <v>1132</v>
      </c>
      <c r="J1000" s="6" t="s">
        <v>1145</v>
      </c>
      <c r="K1000" s="12">
        <v>46120.732546296298</v>
      </c>
      <c r="L1000" s="6" t="e" cm="1">
        <f t="array" ref="L1000">LOOKUP(2^15,SEARCH(Tabela2[Palavras-Chave],Boletim4[[#This Row],[Objeto]],1),Tabela2[Palavras-Chave])</f>
        <v>#N/A</v>
      </c>
    </row>
    <row r="1001" spans="1:12" ht="100.8" hidden="1" x14ac:dyDescent="0.3">
      <c r="A1001" s="5">
        <v>18804481</v>
      </c>
      <c r="B1001" s="6" t="s">
        <v>1146</v>
      </c>
      <c r="C1001" s="6" t="s">
        <v>1147</v>
      </c>
      <c r="D1001" s="8" t="s">
        <v>82</v>
      </c>
      <c r="E1001" s="6" t="s">
        <v>1148</v>
      </c>
      <c r="F1001" s="6" t="s">
        <v>51</v>
      </c>
      <c r="G1001" s="11">
        <v>46126.333333333336</v>
      </c>
      <c r="I1001" s="10" t="s">
        <v>1149</v>
      </c>
      <c r="J1001" s="6" t="s">
        <v>1150</v>
      </c>
      <c r="K1001" s="12">
        <v>46120.73296296296</v>
      </c>
      <c r="L1001" s="6" t="e" cm="1">
        <f t="array" ref="L1001">LOOKUP(2^15,SEARCH(Tabela2[Palavras-Chave],Boletim4[[#This Row],[Objeto]],1),Tabela2[Palavras-Chave])</f>
        <v>#N/A</v>
      </c>
    </row>
    <row r="1002" spans="1:12" ht="100.8" hidden="1" x14ac:dyDescent="0.3">
      <c r="A1002" s="5">
        <v>18804487</v>
      </c>
      <c r="B1002" s="6" t="s">
        <v>1151</v>
      </c>
      <c r="C1002" s="6" t="s">
        <v>1152</v>
      </c>
      <c r="D1002" s="8" t="s">
        <v>82</v>
      </c>
      <c r="E1002" s="6" t="s">
        <v>349</v>
      </c>
      <c r="F1002" s="6" t="s">
        <v>51</v>
      </c>
      <c r="G1002" s="11">
        <v>46127.333333333336</v>
      </c>
      <c r="I1002" s="10" t="s">
        <v>1153</v>
      </c>
      <c r="J1002" s="6" t="s">
        <v>1154</v>
      </c>
      <c r="K1002" s="12">
        <v>46120.73710648148</v>
      </c>
      <c r="L1002" s="6" t="e" cm="1">
        <f t="array" ref="L1002">LOOKUP(2^15,SEARCH(Tabela2[Palavras-Chave],Boletim4[[#This Row],[Objeto]],1),Tabela2[Palavras-Chave])</f>
        <v>#N/A</v>
      </c>
    </row>
    <row r="1003" spans="1:12" ht="28.8" hidden="1" x14ac:dyDescent="0.3">
      <c r="A1003" s="5">
        <v>18802089</v>
      </c>
      <c r="B1003" s="6" t="s">
        <v>218</v>
      </c>
      <c r="C1003" s="6" t="s">
        <v>154</v>
      </c>
      <c r="D1003" s="8" t="s">
        <v>82</v>
      </c>
      <c r="E1003" s="6" t="s">
        <v>1155</v>
      </c>
      <c r="F1003" s="6" t="s">
        <v>51</v>
      </c>
      <c r="G1003" s="11" t="s">
        <v>56</v>
      </c>
      <c r="I1003" s="10" t="s">
        <v>1156</v>
      </c>
      <c r="J1003" s="6" t="s">
        <v>219</v>
      </c>
      <c r="K1003" s="12">
        <v>46120.742673611108</v>
      </c>
      <c r="L1003" s="6" t="e" cm="1">
        <f t="array" ref="L1003">LOOKUP(2^15,SEARCH(Tabela2[Palavras-Chave],Boletim4[[#This Row],[Objeto]],1),Tabela2[Palavras-Chave])</f>
        <v>#N/A</v>
      </c>
    </row>
    <row r="1004" spans="1:12" ht="259.2" hidden="1" x14ac:dyDescent="0.3">
      <c r="A1004" s="5">
        <v>18805599</v>
      </c>
      <c r="B1004" s="6" t="s">
        <v>1157</v>
      </c>
      <c r="C1004" s="6" t="s">
        <v>1110</v>
      </c>
      <c r="D1004" s="8" t="s">
        <v>82</v>
      </c>
      <c r="E1004" s="6" t="s">
        <v>196</v>
      </c>
      <c r="F1004" s="6" t="s">
        <v>51</v>
      </c>
      <c r="G1004" s="11" t="s">
        <v>56</v>
      </c>
      <c r="I1004" s="10" t="s">
        <v>1158</v>
      </c>
      <c r="J1004" s="6" t="s">
        <v>1159</v>
      </c>
      <c r="K1004" s="12">
        <v>46120.745625000003</v>
      </c>
      <c r="L1004" s="6" t="e" cm="1">
        <f t="array" ref="L1004">LOOKUP(2^15,SEARCH(Tabela2[Palavras-Chave],Boletim4[[#This Row],[Objeto]],1),Tabela2[Palavras-Chave])</f>
        <v>#N/A</v>
      </c>
    </row>
    <row r="1005" spans="1:12" ht="100.8" hidden="1" x14ac:dyDescent="0.3">
      <c r="A1005" s="5">
        <v>18803439</v>
      </c>
      <c r="B1005" s="6" t="s">
        <v>414</v>
      </c>
      <c r="C1005" s="6" t="s">
        <v>415</v>
      </c>
      <c r="D1005" s="8" t="s">
        <v>82</v>
      </c>
      <c r="E1005" s="6" t="s">
        <v>1124</v>
      </c>
      <c r="F1005" s="6" t="s">
        <v>51</v>
      </c>
      <c r="G1005" s="11">
        <v>46134.333333333336</v>
      </c>
      <c r="I1005" s="10" t="s">
        <v>1160</v>
      </c>
      <c r="J1005" s="6" t="s">
        <v>1161</v>
      </c>
      <c r="K1005" s="12">
        <v>46120.754918981482</v>
      </c>
      <c r="L1005" s="6" t="e" cm="1">
        <f t="array" ref="L1005">LOOKUP(2^15,SEARCH(Tabela2[Palavras-Chave],Boletim4[[#This Row],[Objeto]],1),Tabela2[Palavras-Chave])</f>
        <v>#N/A</v>
      </c>
    </row>
    <row r="1006" spans="1:12" ht="43.2" x14ac:dyDescent="0.3">
      <c r="A1006" s="5">
        <v>18803516</v>
      </c>
      <c r="B1006" s="6" t="s">
        <v>1101</v>
      </c>
      <c r="C1006" s="6" t="s">
        <v>1102</v>
      </c>
      <c r="D1006" s="8" t="s">
        <v>82</v>
      </c>
      <c r="E1006" s="6" t="s">
        <v>341</v>
      </c>
      <c r="F1006" s="6" t="s">
        <v>51</v>
      </c>
      <c r="G1006" s="11">
        <v>46125.708333333336</v>
      </c>
      <c r="H1006" s="23">
        <v>2</v>
      </c>
      <c r="I1006" s="10" t="s">
        <v>1162</v>
      </c>
      <c r="J1006" s="6" t="s">
        <v>1163</v>
      </c>
      <c r="K1006" s="12">
        <v>46120.756145833337</v>
      </c>
      <c r="L1006" s="6" t="str" cm="1">
        <f t="array" ref="L1006">LOOKUP(2^15,SEARCH(Tabela2[Palavras-Chave],Boletim4[[#This Row],[Objeto]],1),Tabela2[Palavras-Chave])</f>
        <v>ELEVATÓRIA</v>
      </c>
    </row>
    <row r="1007" spans="1:12" ht="100.8" hidden="1" x14ac:dyDescent="0.3">
      <c r="A1007" s="5">
        <v>18803294</v>
      </c>
      <c r="B1007" s="6" t="s">
        <v>1120</v>
      </c>
      <c r="C1007" s="6" t="s">
        <v>1121</v>
      </c>
      <c r="D1007" s="8" t="s">
        <v>82</v>
      </c>
      <c r="E1007" s="6" t="s">
        <v>260</v>
      </c>
      <c r="F1007" s="6" t="s">
        <v>51</v>
      </c>
      <c r="G1007" s="11">
        <v>46125.999305555553</v>
      </c>
      <c r="I1007" s="10" t="s">
        <v>1164</v>
      </c>
      <c r="J1007" s="6" t="s">
        <v>1165</v>
      </c>
      <c r="K1007" s="12">
        <v>46120.759363425925</v>
      </c>
      <c r="L1007" s="6" t="e" cm="1">
        <f t="array" ref="L1007">LOOKUP(2^15,SEARCH(Tabela2[Palavras-Chave],Boletim4[[#This Row],[Objeto]],1),Tabela2[Palavras-Chave])</f>
        <v>#N/A</v>
      </c>
    </row>
    <row r="1008" spans="1:12" ht="100.8" hidden="1" x14ac:dyDescent="0.3">
      <c r="A1008" s="5">
        <v>18803306</v>
      </c>
      <c r="B1008" s="6" t="s">
        <v>343</v>
      </c>
      <c r="C1008" s="6" t="s">
        <v>344</v>
      </c>
      <c r="D1008" s="8" t="s">
        <v>82</v>
      </c>
      <c r="E1008" s="6" t="s">
        <v>1166</v>
      </c>
      <c r="F1008" s="6" t="s">
        <v>51</v>
      </c>
      <c r="G1008" s="11">
        <v>46125.354166666664</v>
      </c>
      <c r="I1008" s="10" t="s">
        <v>1167</v>
      </c>
      <c r="J1008" s="6" t="s">
        <v>1168</v>
      </c>
      <c r="K1008" s="12">
        <v>46120.761412037034</v>
      </c>
      <c r="L1008" s="6" t="e" cm="1">
        <f t="array" ref="L1008">LOOKUP(2^15,SEARCH(Tabela2[Palavras-Chave],Boletim4[[#This Row],[Objeto]],1),Tabela2[Palavras-Chave])</f>
        <v>#N/A</v>
      </c>
    </row>
    <row r="1009" spans="1:12" ht="273.60000000000002" hidden="1" x14ac:dyDescent="0.3">
      <c r="A1009" s="5">
        <v>18643219</v>
      </c>
      <c r="B1009" s="6" t="s">
        <v>445</v>
      </c>
      <c r="C1009" s="6" t="s">
        <v>446</v>
      </c>
      <c r="D1009" s="8" t="s">
        <v>82</v>
      </c>
      <c r="E1009" s="6" t="s">
        <v>108</v>
      </c>
      <c r="F1009" s="6" t="s">
        <v>51</v>
      </c>
      <c r="G1009" s="11" t="s">
        <v>56</v>
      </c>
      <c r="I1009" s="10" t="s">
        <v>1169</v>
      </c>
      <c r="J1009" s="6" t="s">
        <v>1170</v>
      </c>
      <c r="K1009" s="12">
        <v>46120.773796296293</v>
      </c>
      <c r="L1009" s="6" t="e" cm="1">
        <f t="array" ref="L1009">LOOKUP(2^15,SEARCH(Tabela2[Palavras-Chave],Boletim4[[#This Row],[Objeto]],1),Tabela2[Palavras-Chave])</f>
        <v>#N/A</v>
      </c>
    </row>
    <row r="1010" spans="1:12" ht="100.8" hidden="1" x14ac:dyDescent="0.3">
      <c r="A1010" s="5">
        <v>18805853</v>
      </c>
      <c r="B1010" s="6" t="s">
        <v>350</v>
      </c>
      <c r="C1010" s="6" t="s">
        <v>83</v>
      </c>
      <c r="D1010" s="8" t="s">
        <v>82</v>
      </c>
      <c r="E1010" s="6" t="s">
        <v>1171</v>
      </c>
      <c r="F1010" s="6" t="s">
        <v>51</v>
      </c>
      <c r="G1010" s="11">
        <v>46126.333333333336</v>
      </c>
      <c r="I1010" s="10" t="s">
        <v>1172</v>
      </c>
      <c r="J1010" s="6" t="s">
        <v>1173</v>
      </c>
      <c r="K1010" s="12">
        <v>46120.785636574074</v>
      </c>
      <c r="L1010" s="6" t="e" cm="1">
        <f t="array" ref="L1010">LOOKUP(2^15,SEARCH(Tabela2[Palavras-Chave],Boletim4[[#This Row],[Objeto]],1),Tabela2[Palavras-Chave])</f>
        <v>#N/A</v>
      </c>
    </row>
    <row r="1011" spans="1:12" ht="100.8" hidden="1" x14ac:dyDescent="0.3">
      <c r="A1011" s="5">
        <v>18805951</v>
      </c>
      <c r="B1011" s="6" t="s">
        <v>1174</v>
      </c>
      <c r="C1011" s="6" t="s">
        <v>83</v>
      </c>
      <c r="D1011" s="8" t="s">
        <v>82</v>
      </c>
      <c r="E1011" s="6" t="s">
        <v>1175</v>
      </c>
      <c r="F1011" s="6" t="s">
        <v>51</v>
      </c>
      <c r="G1011" s="11">
        <v>46129.333333333336</v>
      </c>
      <c r="I1011" s="10" t="s">
        <v>1176</v>
      </c>
      <c r="J1011" s="6" t="s">
        <v>1177</v>
      </c>
      <c r="K1011" s="12">
        <v>46120.785925925928</v>
      </c>
      <c r="L1011" s="6" t="e" cm="1">
        <f t="array" ref="L1011">LOOKUP(2^15,SEARCH(Tabela2[Palavras-Chave],Boletim4[[#This Row],[Objeto]],1),Tabela2[Palavras-Chave])</f>
        <v>#N/A</v>
      </c>
    </row>
    <row r="1012" spans="1:12" ht="86.4" hidden="1" x14ac:dyDescent="0.3">
      <c r="A1012" s="5">
        <v>18805882</v>
      </c>
      <c r="B1012" s="6" t="s">
        <v>1178</v>
      </c>
      <c r="C1012" s="6" t="s">
        <v>1179</v>
      </c>
      <c r="D1012" s="8" t="s">
        <v>82</v>
      </c>
      <c r="E1012" s="6" t="s">
        <v>263</v>
      </c>
      <c r="F1012" s="6" t="s">
        <v>51</v>
      </c>
      <c r="G1012" s="11">
        <v>46127.333333333336</v>
      </c>
      <c r="I1012" s="10" t="s">
        <v>1180</v>
      </c>
      <c r="J1012" s="6" t="s">
        <v>1181</v>
      </c>
      <c r="K1012" s="12">
        <v>46120.789976851855</v>
      </c>
      <c r="L1012" s="6" t="e" cm="1">
        <f t="array" ref="L1012">LOOKUP(2^15,SEARCH(Tabela2[Palavras-Chave],Boletim4[[#This Row],[Objeto]],1),Tabela2[Palavras-Chave])</f>
        <v>#N/A</v>
      </c>
    </row>
    <row r="1013" spans="1:12" ht="100.8" hidden="1" x14ac:dyDescent="0.3">
      <c r="A1013" s="5">
        <v>18805889</v>
      </c>
      <c r="B1013" s="6" t="s">
        <v>1182</v>
      </c>
      <c r="C1013" s="6" t="s">
        <v>1183</v>
      </c>
      <c r="D1013" s="8" t="s">
        <v>82</v>
      </c>
      <c r="E1013" s="6" t="s">
        <v>189</v>
      </c>
      <c r="F1013" s="6" t="s">
        <v>51</v>
      </c>
      <c r="G1013" s="11">
        <v>46126.334027777775</v>
      </c>
      <c r="I1013" s="10" t="s">
        <v>1184</v>
      </c>
      <c r="J1013" s="6" t="s">
        <v>1185</v>
      </c>
      <c r="K1013" s="12">
        <v>46120.802662037036</v>
      </c>
      <c r="L1013" s="6" t="e" cm="1">
        <f t="array" ref="L1013">LOOKUP(2^15,SEARCH(Tabela2[Palavras-Chave],Boletim4[[#This Row],[Objeto]],1),Tabela2[Palavras-Chave])</f>
        <v>#N/A</v>
      </c>
    </row>
    <row r="1014" spans="1:12" ht="100.8" hidden="1" x14ac:dyDescent="0.3">
      <c r="A1014" s="5">
        <v>18805924</v>
      </c>
      <c r="B1014" s="6" t="s">
        <v>181</v>
      </c>
      <c r="C1014" s="6" t="s">
        <v>182</v>
      </c>
      <c r="D1014" s="8" t="s">
        <v>82</v>
      </c>
      <c r="E1014" s="6" t="s">
        <v>1186</v>
      </c>
      <c r="F1014" s="6" t="s">
        <v>51</v>
      </c>
      <c r="G1014" s="11">
        <v>46127.340277777781</v>
      </c>
      <c r="I1014" s="10" t="s">
        <v>1187</v>
      </c>
      <c r="J1014" s="6" t="s">
        <v>1188</v>
      </c>
      <c r="K1014" s="12">
        <v>46120.816770833335</v>
      </c>
      <c r="L1014" s="6" t="e" cm="1">
        <f t="array" ref="L1014">LOOKUP(2^15,SEARCH(Tabela2[Palavras-Chave],Boletim4[[#This Row],[Objeto]],1),Tabela2[Palavras-Chave])</f>
        <v>#N/A</v>
      </c>
    </row>
    <row r="1015" spans="1:12" ht="331.2" hidden="1" x14ac:dyDescent="0.3">
      <c r="A1015" s="5">
        <v>18802391</v>
      </c>
      <c r="B1015" s="6" t="s">
        <v>2917</v>
      </c>
      <c r="C1015" s="6" t="s">
        <v>2918</v>
      </c>
      <c r="D1015" s="8" t="s">
        <v>82</v>
      </c>
      <c r="E1015" s="6" t="s">
        <v>2919</v>
      </c>
      <c r="F1015" s="6" t="s">
        <v>51</v>
      </c>
      <c r="G1015" s="11" t="s">
        <v>56</v>
      </c>
      <c r="I1015" s="10" t="s">
        <v>2920</v>
      </c>
      <c r="J1015" s="6" t="s">
        <v>2921</v>
      </c>
      <c r="K1015" s="12">
        <v>46120.821689814817</v>
      </c>
      <c r="L1015" s="6" t="e" cm="1">
        <f t="array" ref="L1015">LOOKUP(2^15,SEARCH(Tabela2[Palavras-Chave],Boletim4[[#This Row],[Objeto]],1),Tabela2[Palavras-Chave])</f>
        <v>#N/A</v>
      </c>
    </row>
    <row r="1016" spans="1:12" ht="302.39999999999998" hidden="1" x14ac:dyDescent="0.3">
      <c r="A1016" s="5">
        <v>18802302</v>
      </c>
      <c r="B1016" s="6" t="s">
        <v>2917</v>
      </c>
      <c r="C1016" s="6" t="s">
        <v>2918</v>
      </c>
      <c r="D1016" s="8" t="s">
        <v>82</v>
      </c>
      <c r="E1016" s="6" t="s">
        <v>2922</v>
      </c>
      <c r="F1016" s="6" t="s">
        <v>51</v>
      </c>
      <c r="G1016" s="11" t="s">
        <v>56</v>
      </c>
      <c r="I1016" s="10" t="s">
        <v>2923</v>
      </c>
      <c r="J1016" s="6" t="s">
        <v>2924</v>
      </c>
      <c r="K1016" s="12">
        <v>46120.82172453704</v>
      </c>
      <c r="L1016" s="6" t="e" cm="1">
        <f t="array" ref="L1016">LOOKUP(2^15,SEARCH(Tabela2[Palavras-Chave],Boletim4[[#This Row],[Objeto]],1),Tabela2[Palavras-Chave])</f>
        <v>#N/A</v>
      </c>
    </row>
    <row r="1017" spans="1:12" ht="302.39999999999998" hidden="1" x14ac:dyDescent="0.3">
      <c r="A1017" s="5">
        <v>18802287</v>
      </c>
      <c r="B1017" s="6" t="s">
        <v>2917</v>
      </c>
      <c r="C1017" s="6" t="s">
        <v>2918</v>
      </c>
      <c r="D1017" s="8" t="s">
        <v>82</v>
      </c>
      <c r="E1017" s="6" t="s">
        <v>2925</v>
      </c>
      <c r="F1017" s="6" t="s">
        <v>51</v>
      </c>
      <c r="G1017" s="11" t="s">
        <v>56</v>
      </c>
      <c r="I1017" s="10" t="s">
        <v>2926</v>
      </c>
      <c r="J1017" s="6" t="s">
        <v>2927</v>
      </c>
      <c r="K1017" s="12">
        <v>46120.821759259263</v>
      </c>
      <c r="L1017" s="6" t="e" cm="1">
        <f t="array" ref="L1017">LOOKUP(2^15,SEARCH(Tabela2[Palavras-Chave],Boletim4[[#This Row],[Objeto]],1),Tabela2[Palavras-Chave])</f>
        <v>#N/A</v>
      </c>
    </row>
    <row r="1018" spans="1:12" ht="86.4" hidden="1" x14ac:dyDescent="0.3">
      <c r="A1018" s="5">
        <v>18806294</v>
      </c>
      <c r="B1018" s="6" t="s">
        <v>1189</v>
      </c>
      <c r="C1018" s="6" t="s">
        <v>1190</v>
      </c>
      <c r="D1018" s="8" t="s">
        <v>82</v>
      </c>
      <c r="E1018" s="6" t="s">
        <v>246</v>
      </c>
      <c r="F1018" s="6" t="s">
        <v>51</v>
      </c>
      <c r="G1018" s="11">
        <v>46126.416666666664</v>
      </c>
      <c r="I1018" s="10" t="s">
        <v>1191</v>
      </c>
      <c r="J1018" s="6" t="s">
        <v>1192</v>
      </c>
      <c r="K1018" s="12">
        <v>46120.839606481481</v>
      </c>
      <c r="L1018" s="6" t="e" cm="1">
        <f t="array" ref="L1018">LOOKUP(2^15,SEARCH(Tabela2[Palavras-Chave],Boletim4[[#This Row],[Objeto]],1),Tabela2[Palavras-Chave])</f>
        <v>#N/A</v>
      </c>
    </row>
    <row r="1019" spans="1:12" ht="43.2" hidden="1" x14ac:dyDescent="0.3">
      <c r="A1019" s="5">
        <v>18806301</v>
      </c>
      <c r="B1019" s="6" t="s">
        <v>287</v>
      </c>
      <c r="C1019" s="6" t="s">
        <v>288</v>
      </c>
      <c r="D1019" s="8" t="s">
        <v>82</v>
      </c>
      <c r="E1019" s="6" t="s">
        <v>108</v>
      </c>
      <c r="F1019" s="6" t="s">
        <v>51</v>
      </c>
      <c r="G1019" s="11">
        <v>46122.333333333336</v>
      </c>
      <c r="I1019" s="10" t="s">
        <v>1193</v>
      </c>
      <c r="J1019" s="6" t="s">
        <v>1194</v>
      </c>
      <c r="K1019" s="12">
        <v>46120.841585648152</v>
      </c>
      <c r="L1019" s="6" t="e" cm="1">
        <f t="array" ref="L1019">LOOKUP(2^15,SEARCH(Tabela2[Palavras-Chave],Boletim4[[#This Row],[Objeto]],1),Tabela2[Palavras-Chave])</f>
        <v>#N/A</v>
      </c>
    </row>
    <row r="1020" spans="1:12" ht="115.2" hidden="1" x14ac:dyDescent="0.3">
      <c r="A1020" s="5">
        <v>18804098</v>
      </c>
      <c r="B1020" s="6" t="s">
        <v>229</v>
      </c>
      <c r="C1020" s="6" t="s">
        <v>228</v>
      </c>
      <c r="D1020" s="8" t="s">
        <v>82</v>
      </c>
      <c r="E1020" s="6" t="s">
        <v>1195</v>
      </c>
      <c r="F1020" s="6" t="s">
        <v>51</v>
      </c>
      <c r="G1020" s="11">
        <v>46125.332638888889</v>
      </c>
      <c r="I1020" s="10" t="s">
        <v>1196</v>
      </c>
      <c r="J1020" s="6" t="s">
        <v>1197</v>
      </c>
      <c r="K1020" s="12">
        <v>46120.875671296293</v>
      </c>
      <c r="L1020" s="6" t="e" cm="1">
        <f t="array" ref="L1020">LOOKUP(2^15,SEARCH(Tabela2[Palavras-Chave],Boletim4[[#This Row],[Objeto]],1),Tabela2[Palavras-Chave])</f>
        <v>#N/A</v>
      </c>
    </row>
    <row r="1021" spans="1:12" ht="115.2" hidden="1" x14ac:dyDescent="0.3">
      <c r="A1021" s="5">
        <v>18804608</v>
      </c>
      <c r="B1021" s="6" t="s">
        <v>343</v>
      </c>
      <c r="C1021" s="6" t="s">
        <v>344</v>
      </c>
      <c r="D1021" s="8" t="s">
        <v>82</v>
      </c>
      <c r="E1021" s="6" t="s">
        <v>1198</v>
      </c>
      <c r="F1021" s="6" t="s">
        <v>51</v>
      </c>
      <c r="G1021" s="11">
        <v>46125.381944444445</v>
      </c>
      <c r="I1021" s="10" t="s">
        <v>1199</v>
      </c>
      <c r="J1021" s="6" t="s">
        <v>1200</v>
      </c>
      <c r="K1021" s="12">
        <v>46120.876481481479</v>
      </c>
      <c r="L1021" s="6" t="e" cm="1">
        <f t="array" ref="L1021">LOOKUP(2^15,SEARCH(Tabela2[Palavras-Chave],Boletim4[[#This Row],[Objeto]],1),Tabela2[Palavras-Chave])</f>
        <v>#N/A</v>
      </c>
    </row>
    <row r="1022" spans="1:12" ht="100.8" hidden="1" x14ac:dyDescent="0.3">
      <c r="A1022" s="5">
        <v>18804569</v>
      </c>
      <c r="B1022" s="6" t="s">
        <v>259</v>
      </c>
      <c r="C1022" s="6" t="s">
        <v>83</v>
      </c>
      <c r="D1022" s="8" t="s">
        <v>82</v>
      </c>
      <c r="E1022" s="6" t="s">
        <v>1201</v>
      </c>
      <c r="F1022" s="6" t="s">
        <v>51</v>
      </c>
      <c r="G1022" s="11">
        <v>46128.333333333336</v>
      </c>
      <c r="I1022" s="10" t="s">
        <v>1202</v>
      </c>
      <c r="J1022" s="6" t="s">
        <v>1203</v>
      </c>
      <c r="K1022" s="12">
        <v>46120.876898148148</v>
      </c>
      <c r="L1022" s="6" t="e" cm="1">
        <f t="array" ref="L1022">LOOKUP(2^15,SEARCH(Tabela2[Palavras-Chave],Boletim4[[#This Row],[Objeto]],1),Tabela2[Palavras-Chave])</f>
        <v>#N/A</v>
      </c>
    </row>
    <row r="1023" spans="1:12" ht="100.8" hidden="1" x14ac:dyDescent="0.3">
      <c r="A1023" s="5">
        <v>18804525</v>
      </c>
      <c r="B1023" s="6" t="s">
        <v>1204</v>
      </c>
      <c r="C1023" s="6" t="s">
        <v>83</v>
      </c>
      <c r="D1023" s="8" t="s">
        <v>82</v>
      </c>
      <c r="E1023" s="6" t="s">
        <v>1205</v>
      </c>
      <c r="F1023" s="6" t="s">
        <v>51</v>
      </c>
      <c r="G1023" s="11">
        <v>46126.333333333336</v>
      </c>
      <c r="I1023" s="10" t="s">
        <v>1206</v>
      </c>
      <c r="J1023" s="6" t="s">
        <v>1207</v>
      </c>
      <c r="K1023" s="12">
        <v>46120.878854166665</v>
      </c>
      <c r="L1023" s="6" t="e" cm="1">
        <f t="array" ref="L1023">LOOKUP(2^15,SEARCH(Tabela2[Palavras-Chave],Boletim4[[#This Row],[Objeto]],1),Tabela2[Palavras-Chave])</f>
        <v>#N/A</v>
      </c>
    </row>
    <row r="1024" spans="1:12" ht="273.60000000000002" x14ac:dyDescent="0.3">
      <c r="A1024" s="5">
        <v>18803147</v>
      </c>
      <c r="B1024" s="6" t="s">
        <v>261</v>
      </c>
      <c r="C1024" s="6" t="s">
        <v>262</v>
      </c>
      <c r="D1024" s="8" t="s">
        <v>82</v>
      </c>
      <c r="E1024" s="6" t="s">
        <v>180</v>
      </c>
      <c r="F1024" s="6" t="s">
        <v>51</v>
      </c>
      <c r="G1024" s="11" t="s">
        <v>56</v>
      </c>
      <c r="H1024" s="23">
        <v>2</v>
      </c>
      <c r="I1024" s="10" t="s">
        <v>1208</v>
      </c>
      <c r="J1024" s="6" t="s">
        <v>1209</v>
      </c>
      <c r="K1024" s="12">
        <v>46120.887962962966</v>
      </c>
      <c r="L1024" s="6" t="str" cm="1">
        <f t="array" ref="L1024">LOOKUP(2^15,SEARCH(Tabela2[Palavras-Chave],Boletim4[[#This Row],[Objeto]],1),Tabela2[Palavras-Chave])</f>
        <v>DIAGNÓSTICO</v>
      </c>
    </row>
    <row r="1025" spans="1:12" ht="57.6" x14ac:dyDescent="0.3">
      <c r="A1025" s="5">
        <v>18801206</v>
      </c>
      <c r="B1025" s="6" t="s">
        <v>1210</v>
      </c>
      <c r="C1025" s="6" t="s">
        <v>1211</v>
      </c>
      <c r="D1025" s="8" t="s">
        <v>84</v>
      </c>
      <c r="E1025" s="6" t="s">
        <v>125</v>
      </c>
      <c r="F1025" s="6" t="s">
        <v>51</v>
      </c>
      <c r="G1025" s="11">
        <v>46121.354166666664</v>
      </c>
      <c r="H1025" s="23">
        <v>2</v>
      </c>
      <c r="I1025" s="10" t="s">
        <v>1212</v>
      </c>
      <c r="J1025" s="6" t="s">
        <v>1213</v>
      </c>
      <c r="K1025" s="12">
        <v>46120.736192129632</v>
      </c>
      <c r="L1025" s="6" t="str" cm="1">
        <f t="array" ref="L1025">LOOKUP(2^15,SEARCH(Tabela2[Palavras-Chave],Boletim4[[#This Row],[Objeto]],1),Tabela2[Palavras-Chave])</f>
        <v>RESERVAT</v>
      </c>
    </row>
    <row r="1026" spans="1:12" ht="115.2" hidden="1" x14ac:dyDescent="0.3">
      <c r="A1026" s="5">
        <v>18790976</v>
      </c>
      <c r="B1026" s="6" t="s">
        <v>1214</v>
      </c>
      <c r="C1026" s="6" t="s">
        <v>1215</v>
      </c>
      <c r="D1026" s="8" t="s">
        <v>72</v>
      </c>
      <c r="E1026" s="6" t="s">
        <v>126</v>
      </c>
      <c r="F1026" s="6" t="s">
        <v>85</v>
      </c>
      <c r="G1026" s="11">
        <v>46129.375</v>
      </c>
      <c r="I1026" s="10" t="s">
        <v>1216</v>
      </c>
      <c r="J1026" s="6" t="s">
        <v>1217</v>
      </c>
      <c r="K1026" s="12">
        <v>46120.618379629632</v>
      </c>
      <c r="L1026" s="6" t="e" cm="1">
        <f t="array" ref="L1026">LOOKUP(2^15,SEARCH(Tabela2[Palavras-Chave],Boletim4[[#This Row],[Objeto]],1),Tabela2[Palavras-Chave])</f>
        <v>#N/A</v>
      </c>
    </row>
    <row r="1027" spans="1:12" ht="72" hidden="1" x14ac:dyDescent="0.3">
      <c r="A1027" s="5">
        <v>18800794</v>
      </c>
      <c r="B1027" s="6" t="s">
        <v>1218</v>
      </c>
      <c r="C1027" s="6" t="s">
        <v>1219</v>
      </c>
      <c r="D1027" s="8" t="s">
        <v>86</v>
      </c>
      <c r="E1027" s="6" t="s">
        <v>274</v>
      </c>
      <c r="F1027" s="6" t="s">
        <v>85</v>
      </c>
      <c r="G1027" s="11">
        <v>46136.416666666664</v>
      </c>
      <c r="I1027" s="10" t="s">
        <v>1220</v>
      </c>
      <c r="J1027" s="6" t="s">
        <v>1221</v>
      </c>
      <c r="K1027" s="12">
        <v>46120.596574074072</v>
      </c>
      <c r="L1027" s="6" t="e" cm="1">
        <f t="array" ref="L1027">LOOKUP(2^15,SEARCH(Tabela2[Palavras-Chave],Boletim4[[#This Row],[Objeto]],1),Tabela2[Palavras-Chave])</f>
        <v>#N/A</v>
      </c>
    </row>
    <row r="1028" spans="1:12" ht="244.8" hidden="1" x14ac:dyDescent="0.3">
      <c r="A1028" s="5">
        <v>18803861</v>
      </c>
      <c r="B1028" s="6" t="s">
        <v>1218</v>
      </c>
      <c r="C1028" s="6" t="s">
        <v>1219</v>
      </c>
      <c r="D1028" s="8" t="s">
        <v>86</v>
      </c>
      <c r="E1028" s="6" t="s">
        <v>1222</v>
      </c>
      <c r="F1028" s="6" t="s">
        <v>85</v>
      </c>
      <c r="G1028" s="11" t="s">
        <v>56</v>
      </c>
      <c r="I1028" s="10" t="s">
        <v>1223</v>
      </c>
      <c r="J1028" s="6" t="s">
        <v>1224</v>
      </c>
      <c r="K1028" s="12">
        <v>46120.605104166665</v>
      </c>
      <c r="L1028" s="6" t="e" cm="1">
        <f t="array" ref="L1028">LOOKUP(2^15,SEARCH(Tabela2[Palavras-Chave],Boletim4[[#This Row],[Objeto]],1),Tabela2[Palavras-Chave])</f>
        <v>#N/A</v>
      </c>
    </row>
    <row r="1029" spans="1:12" ht="86.4" hidden="1" x14ac:dyDescent="0.3">
      <c r="A1029" s="5">
        <v>18802916</v>
      </c>
      <c r="B1029" s="6" t="s">
        <v>2928</v>
      </c>
      <c r="C1029" s="6" t="s">
        <v>87</v>
      </c>
      <c r="D1029" s="8" t="s">
        <v>86</v>
      </c>
      <c r="E1029" s="6" t="s">
        <v>173</v>
      </c>
      <c r="F1029" s="6" t="s">
        <v>85</v>
      </c>
      <c r="G1029" s="11" t="s">
        <v>56</v>
      </c>
      <c r="I1029" s="10" t="s">
        <v>2929</v>
      </c>
      <c r="J1029" s="6" t="s">
        <v>2930</v>
      </c>
      <c r="K1029" s="12">
        <v>46120.700960648152</v>
      </c>
      <c r="L1029" s="6" t="e" cm="1">
        <f t="array" ref="L1029">LOOKUP(2^15,SEARCH(Tabela2[Palavras-Chave],Boletim4[[#This Row],[Objeto]],1),Tabela2[Palavras-Chave])</f>
        <v>#N/A</v>
      </c>
    </row>
    <row r="1030" spans="1:12" ht="100.8" hidden="1" x14ac:dyDescent="0.3">
      <c r="A1030" s="5">
        <v>18787659</v>
      </c>
      <c r="B1030" s="6" t="s">
        <v>1225</v>
      </c>
      <c r="C1030" s="6" t="s">
        <v>1226</v>
      </c>
      <c r="D1030" s="8" t="s">
        <v>86</v>
      </c>
      <c r="E1030" s="6" t="s">
        <v>135</v>
      </c>
      <c r="F1030" s="6" t="s">
        <v>85</v>
      </c>
      <c r="G1030" s="11">
        <v>46129.375</v>
      </c>
      <c r="I1030" s="10" t="s">
        <v>1227</v>
      </c>
      <c r="J1030" s="6" t="s">
        <v>1228</v>
      </c>
      <c r="K1030" s="12">
        <v>46120.862858796296</v>
      </c>
      <c r="L1030" s="6" t="e" cm="1">
        <f t="array" ref="L1030">LOOKUP(2^15,SEARCH(Tabela2[Palavras-Chave],Boletim4[[#This Row],[Objeto]],1),Tabela2[Palavras-Chave])</f>
        <v>#N/A</v>
      </c>
    </row>
    <row r="1031" spans="1:12" ht="43.2" hidden="1" x14ac:dyDescent="0.3">
      <c r="A1031" s="5">
        <v>18806402</v>
      </c>
      <c r="B1031" s="6" t="s">
        <v>2931</v>
      </c>
      <c r="C1031" s="6" t="s">
        <v>2932</v>
      </c>
      <c r="D1031" s="8" t="s">
        <v>86</v>
      </c>
      <c r="E1031" s="6" t="s">
        <v>173</v>
      </c>
      <c r="F1031" s="6" t="s">
        <v>85</v>
      </c>
      <c r="G1031" s="11" t="s">
        <v>56</v>
      </c>
      <c r="I1031" s="10" t="s">
        <v>2933</v>
      </c>
      <c r="J1031" s="6" t="s">
        <v>2934</v>
      </c>
      <c r="K1031" s="12">
        <v>46120.887071759258</v>
      </c>
      <c r="L1031" s="6" t="e" cm="1">
        <f t="array" ref="L1031">LOOKUP(2^15,SEARCH(Tabela2[Palavras-Chave],Boletim4[[#This Row],[Objeto]],1),Tabela2[Palavras-Chave])</f>
        <v>#N/A</v>
      </c>
    </row>
    <row r="1032" spans="1:12" ht="72" hidden="1" x14ac:dyDescent="0.3">
      <c r="A1032" s="5">
        <v>18802251</v>
      </c>
      <c r="B1032" s="6" t="s">
        <v>74</v>
      </c>
      <c r="C1032" s="6" t="s">
        <v>52</v>
      </c>
      <c r="D1032" s="8" t="s">
        <v>50</v>
      </c>
      <c r="E1032" s="6" t="s">
        <v>1229</v>
      </c>
      <c r="F1032" s="6" t="s">
        <v>85</v>
      </c>
      <c r="G1032" s="11" t="s">
        <v>56</v>
      </c>
      <c r="I1032" s="10" t="s">
        <v>1230</v>
      </c>
      <c r="J1032" s="6" t="s">
        <v>1231</v>
      </c>
      <c r="K1032" s="12">
        <v>46120.503530092596</v>
      </c>
      <c r="L1032" s="6" t="e" cm="1">
        <f t="array" ref="L1032">LOOKUP(2^15,SEARCH(Tabela2[Palavras-Chave],Boletim4[[#This Row],[Objeto]],1),Tabela2[Palavras-Chave])</f>
        <v>#N/A</v>
      </c>
    </row>
    <row r="1033" spans="1:12" ht="72" hidden="1" x14ac:dyDescent="0.3">
      <c r="A1033" s="5">
        <v>18802237</v>
      </c>
      <c r="B1033" s="6" t="s">
        <v>74</v>
      </c>
      <c r="C1033" s="6" t="s">
        <v>52</v>
      </c>
      <c r="D1033" s="8" t="s">
        <v>50</v>
      </c>
      <c r="E1033" s="6" t="s">
        <v>1232</v>
      </c>
      <c r="F1033" s="6" t="s">
        <v>85</v>
      </c>
      <c r="G1033" s="11" t="s">
        <v>56</v>
      </c>
      <c r="I1033" s="10" t="s">
        <v>1233</v>
      </c>
      <c r="J1033" s="6" t="s">
        <v>1234</v>
      </c>
      <c r="K1033" s="12">
        <v>46120.529895833337</v>
      </c>
      <c r="L1033" s="6" t="e" cm="1">
        <f t="array" ref="L1033">LOOKUP(2^15,SEARCH(Tabela2[Palavras-Chave],Boletim4[[#This Row],[Objeto]],1),Tabela2[Palavras-Chave])</f>
        <v>#N/A</v>
      </c>
    </row>
    <row r="1034" spans="1:12" ht="100.8" hidden="1" x14ac:dyDescent="0.3">
      <c r="A1034" s="5">
        <v>18804112</v>
      </c>
      <c r="B1034" s="6" t="s">
        <v>2935</v>
      </c>
      <c r="C1034" s="6" t="s">
        <v>2936</v>
      </c>
      <c r="D1034" s="8" t="s">
        <v>50</v>
      </c>
      <c r="E1034" s="6" t="s">
        <v>207</v>
      </c>
      <c r="F1034" s="6" t="s">
        <v>85</v>
      </c>
      <c r="G1034" s="11">
        <v>46163.333333333336</v>
      </c>
      <c r="I1034" s="10" t="s">
        <v>2937</v>
      </c>
      <c r="J1034" s="6" t="s">
        <v>2938</v>
      </c>
      <c r="K1034" s="12">
        <v>46120.631539351853</v>
      </c>
      <c r="L1034" s="6" t="e" cm="1">
        <f t="array" ref="L1034">LOOKUP(2^15,SEARCH(Tabela2[Palavras-Chave],Boletim4[[#This Row],[Objeto]],1),Tabela2[Palavras-Chave])</f>
        <v>#N/A</v>
      </c>
    </row>
    <row r="1035" spans="1:12" ht="86.4" hidden="1" x14ac:dyDescent="0.3">
      <c r="A1035" s="5">
        <v>18806048</v>
      </c>
      <c r="B1035" s="6" t="s">
        <v>1235</v>
      </c>
      <c r="C1035" s="6" t="s">
        <v>52</v>
      </c>
      <c r="D1035" s="8" t="s">
        <v>50</v>
      </c>
      <c r="E1035" s="6" t="s">
        <v>1236</v>
      </c>
      <c r="F1035" s="6" t="s">
        <v>85</v>
      </c>
      <c r="G1035" s="11" t="s">
        <v>56</v>
      </c>
      <c r="I1035" s="10" t="s">
        <v>1237</v>
      </c>
      <c r="J1035" s="6" t="s">
        <v>1238</v>
      </c>
      <c r="K1035" s="12">
        <v>46120.817407407405</v>
      </c>
      <c r="L1035" s="6" t="e" cm="1">
        <f t="array" ref="L1035">LOOKUP(2^15,SEARCH(Tabela2[Palavras-Chave],Boletim4[[#This Row],[Objeto]],1),Tabela2[Palavras-Chave])</f>
        <v>#N/A</v>
      </c>
    </row>
    <row r="1036" spans="1:12" ht="187.2" hidden="1" x14ac:dyDescent="0.3">
      <c r="A1036" s="5">
        <v>18798178</v>
      </c>
      <c r="B1036" s="6" t="s">
        <v>1239</v>
      </c>
      <c r="C1036" s="6" t="s">
        <v>53</v>
      </c>
      <c r="D1036" s="8" t="s">
        <v>54</v>
      </c>
      <c r="E1036" s="6" t="s">
        <v>115</v>
      </c>
      <c r="F1036" s="6" t="s">
        <v>85</v>
      </c>
      <c r="G1036" s="11">
        <v>46136.416666666664</v>
      </c>
      <c r="I1036" s="10" t="s">
        <v>1240</v>
      </c>
      <c r="J1036" s="6" t="s">
        <v>1241</v>
      </c>
      <c r="K1036" s="12">
        <v>46120.389618055553</v>
      </c>
      <c r="L1036" s="6" t="e" cm="1">
        <f t="array" ref="L1036">LOOKUP(2^15,SEARCH(Tabela2[Palavras-Chave],Boletim4[[#This Row],[Objeto]],1),Tabela2[Palavras-Chave])</f>
        <v>#N/A</v>
      </c>
    </row>
    <row r="1037" spans="1:12" ht="158.4" hidden="1" x14ac:dyDescent="0.3">
      <c r="A1037" s="5">
        <v>18799579</v>
      </c>
      <c r="B1037" s="6" t="s">
        <v>1242</v>
      </c>
      <c r="C1037" s="6" t="s">
        <v>1243</v>
      </c>
      <c r="D1037" s="8" t="s">
        <v>54</v>
      </c>
      <c r="E1037" s="6" t="s">
        <v>223</v>
      </c>
      <c r="F1037" s="6" t="s">
        <v>85</v>
      </c>
      <c r="G1037" s="11">
        <v>46142.416666666664</v>
      </c>
      <c r="I1037" s="10" t="s">
        <v>1244</v>
      </c>
      <c r="J1037" s="6" t="s">
        <v>1245</v>
      </c>
      <c r="K1037" s="12">
        <v>46120.389618055553</v>
      </c>
      <c r="L1037" s="6" t="e" cm="1">
        <f t="array" ref="L1037">LOOKUP(2^15,SEARCH(Tabela2[Palavras-Chave],Boletim4[[#This Row],[Objeto]],1),Tabela2[Palavras-Chave])</f>
        <v>#N/A</v>
      </c>
    </row>
    <row r="1038" spans="1:12" ht="158.4" hidden="1" x14ac:dyDescent="0.3">
      <c r="A1038" s="5">
        <v>18799858</v>
      </c>
      <c r="B1038" s="6" t="s">
        <v>1242</v>
      </c>
      <c r="C1038" s="6" t="s">
        <v>1243</v>
      </c>
      <c r="D1038" s="8" t="s">
        <v>54</v>
      </c>
      <c r="E1038" s="6" t="s">
        <v>381</v>
      </c>
      <c r="F1038" s="6" t="s">
        <v>85</v>
      </c>
      <c r="G1038" s="11">
        <v>46135.416666666664</v>
      </c>
      <c r="I1038" s="10" t="s">
        <v>1246</v>
      </c>
      <c r="J1038" s="6" t="s">
        <v>1247</v>
      </c>
      <c r="K1038" s="12">
        <v>46120.38962962963</v>
      </c>
      <c r="L1038" s="6" t="e" cm="1">
        <f t="array" ref="L1038">LOOKUP(2^15,SEARCH(Tabela2[Palavras-Chave],Boletim4[[#This Row],[Objeto]],1),Tabela2[Palavras-Chave])</f>
        <v>#N/A</v>
      </c>
    </row>
    <row r="1039" spans="1:12" ht="86.4" hidden="1" x14ac:dyDescent="0.3">
      <c r="A1039" s="5">
        <v>18798425</v>
      </c>
      <c r="B1039" s="6" t="s">
        <v>1248</v>
      </c>
      <c r="C1039" s="6" t="s">
        <v>1249</v>
      </c>
      <c r="D1039" s="8" t="s">
        <v>54</v>
      </c>
      <c r="E1039" s="6" t="s">
        <v>120</v>
      </c>
      <c r="F1039" s="6" t="s">
        <v>85</v>
      </c>
      <c r="G1039" s="11" t="s">
        <v>56</v>
      </c>
      <c r="I1039" s="10" t="s">
        <v>1250</v>
      </c>
      <c r="J1039" s="6" t="s">
        <v>1251</v>
      </c>
      <c r="K1039" s="12">
        <v>46120.38962962963</v>
      </c>
      <c r="L1039" s="6" t="e" cm="1">
        <f t="array" ref="L1039">LOOKUP(2^15,SEARCH(Tabela2[Palavras-Chave],Boletim4[[#This Row],[Objeto]],1),Tabela2[Palavras-Chave])</f>
        <v>#N/A</v>
      </c>
    </row>
    <row r="1040" spans="1:12" ht="144" hidden="1" x14ac:dyDescent="0.3">
      <c r="A1040" s="5">
        <v>18793681</v>
      </c>
      <c r="B1040" s="6" t="s">
        <v>1252</v>
      </c>
      <c r="C1040" s="6" t="s">
        <v>53</v>
      </c>
      <c r="D1040" s="8" t="s">
        <v>54</v>
      </c>
      <c r="E1040" s="6" t="s">
        <v>124</v>
      </c>
      <c r="F1040" s="6" t="s">
        <v>85</v>
      </c>
      <c r="G1040" s="11">
        <v>46128.4375</v>
      </c>
      <c r="I1040" s="10" t="s">
        <v>1253</v>
      </c>
      <c r="J1040" s="6" t="s">
        <v>1254</v>
      </c>
      <c r="K1040" s="12">
        <v>46120.469456018516</v>
      </c>
      <c r="L1040" s="6" t="e" cm="1">
        <f t="array" ref="L1040">LOOKUP(2^15,SEARCH(Tabela2[Palavras-Chave],Boletim4[[#This Row],[Objeto]],1),Tabela2[Palavras-Chave])</f>
        <v>#N/A</v>
      </c>
    </row>
    <row r="1041" spans="1:12" ht="28.8" hidden="1" x14ac:dyDescent="0.3">
      <c r="A1041" s="5">
        <v>18790136</v>
      </c>
      <c r="B1041" s="6" t="s">
        <v>2939</v>
      </c>
      <c r="C1041" s="6" t="s">
        <v>2940</v>
      </c>
      <c r="D1041" s="8" t="s">
        <v>54</v>
      </c>
      <c r="E1041" s="6" t="s">
        <v>108</v>
      </c>
      <c r="F1041" s="6" t="s">
        <v>85</v>
      </c>
      <c r="G1041" s="11" t="s">
        <v>56</v>
      </c>
      <c r="I1041" s="10" t="s">
        <v>2941</v>
      </c>
      <c r="J1041" s="6" t="s">
        <v>2942</v>
      </c>
      <c r="K1041" s="12">
        <v>46120.452118055553</v>
      </c>
      <c r="L1041" s="6" t="e" cm="1">
        <f t="array" ref="L1041">LOOKUP(2^15,SEARCH(Tabela2[Palavras-Chave],Boletim4[[#This Row],[Objeto]],1),Tabela2[Palavras-Chave])</f>
        <v>#N/A</v>
      </c>
    </row>
    <row r="1042" spans="1:12" ht="273.60000000000002" x14ac:dyDescent="0.3">
      <c r="A1042" s="5">
        <v>18802450</v>
      </c>
      <c r="B1042" s="6" t="s">
        <v>1255</v>
      </c>
      <c r="C1042" s="6" t="s">
        <v>53</v>
      </c>
      <c r="D1042" s="8" t="s">
        <v>54</v>
      </c>
      <c r="E1042" s="6" t="s">
        <v>107</v>
      </c>
      <c r="F1042" s="6" t="s">
        <v>85</v>
      </c>
      <c r="G1042" s="11">
        <v>46139.416666666664</v>
      </c>
      <c r="H1042" s="23">
        <v>2</v>
      </c>
      <c r="I1042" s="10" t="s">
        <v>1256</v>
      </c>
      <c r="J1042" s="6" t="s">
        <v>1257</v>
      </c>
      <c r="K1042" s="12">
        <v>46120.50037037037</v>
      </c>
      <c r="L1042" s="6" t="str" cm="1">
        <f t="array" ref="L1042">LOOKUP(2^15,SEARCH(Tabela2[Palavras-Chave],Boletim4[[#This Row],[Objeto]],1),Tabela2[Palavras-Chave])</f>
        <v>TANQUE</v>
      </c>
    </row>
    <row r="1043" spans="1:12" ht="86.4" hidden="1" x14ac:dyDescent="0.3">
      <c r="A1043" s="5">
        <v>18802418</v>
      </c>
      <c r="B1043" s="6" t="s">
        <v>2943</v>
      </c>
      <c r="C1043" s="6" t="s">
        <v>2944</v>
      </c>
      <c r="D1043" s="8" t="s">
        <v>54</v>
      </c>
      <c r="E1043" s="6" t="s">
        <v>113</v>
      </c>
      <c r="F1043" s="6" t="s">
        <v>85</v>
      </c>
      <c r="G1043" s="11" t="s">
        <v>56</v>
      </c>
      <c r="I1043" s="10" t="s">
        <v>2945</v>
      </c>
      <c r="J1043" s="6" t="s">
        <v>2946</v>
      </c>
      <c r="K1043" s="12">
        <v>46120.514120370368</v>
      </c>
      <c r="L1043" s="6" t="e" cm="1">
        <f t="array" ref="L1043">LOOKUP(2^15,SEARCH(Tabela2[Palavras-Chave],Boletim4[[#This Row],[Objeto]],1),Tabela2[Palavras-Chave])</f>
        <v>#N/A</v>
      </c>
    </row>
    <row r="1044" spans="1:12" ht="86.4" hidden="1" x14ac:dyDescent="0.3">
      <c r="A1044" s="5">
        <v>18801432</v>
      </c>
      <c r="B1044" s="6" t="s">
        <v>1258</v>
      </c>
      <c r="C1044" s="6" t="s">
        <v>53</v>
      </c>
      <c r="D1044" s="8" t="s">
        <v>54</v>
      </c>
      <c r="E1044" s="6" t="s">
        <v>1259</v>
      </c>
      <c r="F1044" s="6" t="s">
        <v>85</v>
      </c>
      <c r="G1044" s="11" t="s">
        <v>56</v>
      </c>
      <c r="I1044" s="10" t="s">
        <v>1260</v>
      </c>
      <c r="J1044" s="6" t="s">
        <v>1261</v>
      </c>
      <c r="K1044" s="12">
        <v>46120.522407407407</v>
      </c>
      <c r="L1044" s="6" t="e" cm="1">
        <f t="array" ref="L1044">LOOKUP(2^15,SEARCH(Tabela2[Palavras-Chave],Boletim4[[#This Row],[Objeto]],1),Tabela2[Palavras-Chave])</f>
        <v>#N/A</v>
      </c>
    </row>
    <row r="1045" spans="1:12" ht="115.2" hidden="1" x14ac:dyDescent="0.3">
      <c r="A1045" s="5">
        <v>18802541</v>
      </c>
      <c r="B1045" s="6" t="s">
        <v>2947</v>
      </c>
      <c r="C1045" s="6" t="s">
        <v>2948</v>
      </c>
      <c r="D1045" s="8" t="s">
        <v>54</v>
      </c>
      <c r="E1045" s="6" t="s">
        <v>224</v>
      </c>
      <c r="F1045" s="6" t="s">
        <v>85</v>
      </c>
      <c r="G1045" s="11" t="s">
        <v>56</v>
      </c>
      <c r="I1045" s="10" t="s">
        <v>2949</v>
      </c>
      <c r="J1045" s="6" t="s">
        <v>2950</v>
      </c>
      <c r="K1045" s="12">
        <v>46120.523194444446</v>
      </c>
      <c r="L1045" s="6" t="e" cm="1">
        <f t="array" ref="L1045">LOOKUP(2^15,SEARCH(Tabela2[Palavras-Chave],Boletim4[[#This Row],[Objeto]],1),Tabela2[Palavras-Chave])</f>
        <v>#N/A</v>
      </c>
    </row>
    <row r="1046" spans="1:12" ht="115.2" hidden="1" x14ac:dyDescent="0.3">
      <c r="A1046" s="5">
        <v>18802546</v>
      </c>
      <c r="B1046" s="6" t="s">
        <v>1262</v>
      </c>
      <c r="C1046" s="6" t="s">
        <v>1263</v>
      </c>
      <c r="D1046" s="8" t="s">
        <v>54</v>
      </c>
      <c r="E1046" s="6" t="s">
        <v>176</v>
      </c>
      <c r="F1046" s="6" t="s">
        <v>85</v>
      </c>
      <c r="G1046" s="11" t="s">
        <v>56</v>
      </c>
      <c r="I1046" s="10" t="s">
        <v>1264</v>
      </c>
      <c r="J1046" s="6" t="s">
        <v>1265</v>
      </c>
      <c r="K1046" s="12">
        <v>46120.52511574074</v>
      </c>
      <c r="L1046" s="6" t="e" cm="1">
        <f t="array" ref="L1046">LOOKUP(2^15,SEARCH(Tabela2[Palavras-Chave],Boletim4[[#This Row],[Objeto]],1),Tabela2[Palavras-Chave])</f>
        <v>#N/A</v>
      </c>
    </row>
    <row r="1047" spans="1:12" ht="129.6" hidden="1" x14ac:dyDescent="0.3">
      <c r="A1047" s="5">
        <v>18802550</v>
      </c>
      <c r="B1047" s="6" t="s">
        <v>1266</v>
      </c>
      <c r="C1047" s="6" t="s">
        <v>53</v>
      </c>
      <c r="D1047" s="8" t="s">
        <v>54</v>
      </c>
      <c r="E1047" s="6" t="s">
        <v>1267</v>
      </c>
      <c r="F1047" s="6" t="s">
        <v>85</v>
      </c>
      <c r="G1047" s="11" t="s">
        <v>56</v>
      </c>
      <c r="I1047" s="10" t="s">
        <v>1268</v>
      </c>
      <c r="J1047" s="6" t="s">
        <v>1269</v>
      </c>
      <c r="K1047" s="12">
        <v>46120.525520833333</v>
      </c>
      <c r="L1047" s="6" t="e" cm="1">
        <f t="array" ref="L1047">LOOKUP(2^15,SEARCH(Tabela2[Palavras-Chave],Boletim4[[#This Row],[Objeto]],1),Tabela2[Palavras-Chave])</f>
        <v>#N/A</v>
      </c>
    </row>
    <row r="1048" spans="1:12" ht="115.2" hidden="1" x14ac:dyDescent="0.3">
      <c r="A1048" s="5">
        <v>18802563</v>
      </c>
      <c r="B1048" s="6" t="s">
        <v>1270</v>
      </c>
      <c r="C1048" s="6" t="s">
        <v>1271</v>
      </c>
      <c r="D1048" s="8" t="s">
        <v>54</v>
      </c>
      <c r="E1048" s="6" t="s">
        <v>176</v>
      </c>
      <c r="F1048" s="6" t="s">
        <v>85</v>
      </c>
      <c r="G1048" s="11" t="s">
        <v>56</v>
      </c>
      <c r="I1048" s="10" t="s">
        <v>1272</v>
      </c>
      <c r="J1048" s="6" t="s">
        <v>1273</v>
      </c>
      <c r="K1048" s="12">
        <v>46120.525833333333</v>
      </c>
      <c r="L1048" s="6" t="e" cm="1">
        <f t="array" ref="L1048">LOOKUP(2^15,SEARCH(Tabela2[Palavras-Chave],Boletim4[[#This Row],[Objeto]],1),Tabela2[Palavras-Chave])</f>
        <v>#N/A</v>
      </c>
    </row>
    <row r="1049" spans="1:12" ht="144" hidden="1" x14ac:dyDescent="0.3">
      <c r="A1049" s="5">
        <v>18802511</v>
      </c>
      <c r="B1049" s="6" t="s">
        <v>163</v>
      </c>
      <c r="C1049" s="6" t="s">
        <v>53</v>
      </c>
      <c r="D1049" s="8" t="s">
        <v>54</v>
      </c>
      <c r="E1049" s="6" t="s">
        <v>388</v>
      </c>
      <c r="F1049" s="6" t="s">
        <v>85</v>
      </c>
      <c r="G1049" s="11" t="s">
        <v>56</v>
      </c>
      <c r="I1049" s="10" t="s">
        <v>1274</v>
      </c>
      <c r="J1049" s="6" t="s">
        <v>1275</v>
      </c>
      <c r="K1049" s="12">
        <v>46120.666018518517</v>
      </c>
      <c r="L1049" s="6" t="e" cm="1">
        <f t="array" ref="L1049">LOOKUP(2^15,SEARCH(Tabela2[Palavras-Chave],Boletim4[[#This Row],[Objeto]],1),Tabela2[Palavras-Chave])</f>
        <v>#N/A</v>
      </c>
    </row>
    <row r="1050" spans="1:12" ht="187.2" hidden="1" x14ac:dyDescent="0.3">
      <c r="A1050" s="5">
        <v>18802509</v>
      </c>
      <c r="B1050" s="6" t="s">
        <v>163</v>
      </c>
      <c r="C1050" s="6" t="s">
        <v>53</v>
      </c>
      <c r="D1050" s="8" t="s">
        <v>54</v>
      </c>
      <c r="E1050" s="6" t="s">
        <v>1276</v>
      </c>
      <c r="F1050" s="6" t="s">
        <v>85</v>
      </c>
      <c r="G1050" s="11" t="s">
        <v>56</v>
      </c>
      <c r="I1050" s="10" t="s">
        <v>1277</v>
      </c>
      <c r="J1050" s="6" t="s">
        <v>1278</v>
      </c>
      <c r="K1050" s="12">
        <v>46120.66673611111</v>
      </c>
      <c r="L1050" s="6" t="e" cm="1">
        <f t="array" ref="L1050">LOOKUP(2^15,SEARCH(Tabela2[Palavras-Chave],Boletim4[[#This Row],[Objeto]],1),Tabela2[Palavras-Chave])</f>
        <v>#N/A</v>
      </c>
    </row>
    <row r="1051" spans="1:12" ht="115.2" hidden="1" x14ac:dyDescent="0.3">
      <c r="A1051" s="5">
        <v>18802564</v>
      </c>
      <c r="B1051" s="6" t="s">
        <v>1279</v>
      </c>
      <c r="C1051" s="6" t="s">
        <v>1280</v>
      </c>
      <c r="D1051" s="8" t="s">
        <v>54</v>
      </c>
      <c r="E1051" s="6" t="s">
        <v>268</v>
      </c>
      <c r="F1051" s="6" t="s">
        <v>85</v>
      </c>
      <c r="G1051" s="11" t="s">
        <v>56</v>
      </c>
      <c r="I1051" s="10" t="s">
        <v>1281</v>
      </c>
      <c r="J1051" s="6" t="s">
        <v>1282</v>
      </c>
      <c r="K1051" s="12">
        <v>46120.556180555555</v>
      </c>
      <c r="L1051" s="6" t="e" cm="1">
        <f t="array" ref="L1051">LOOKUP(2^15,SEARCH(Tabela2[Palavras-Chave],Boletim4[[#This Row],[Objeto]],1),Tabela2[Palavras-Chave])</f>
        <v>#N/A</v>
      </c>
    </row>
    <row r="1052" spans="1:12" ht="129.6" hidden="1" x14ac:dyDescent="0.3">
      <c r="A1052" s="5">
        <v>18802565</v>
      </c>
      <c r="B1052" s="6" t="s">
        <v>1283</v>
      </c>
      <c r="C1052" s="6" t="s">
        <v>53</v>
      </c>
      <c r="D1052" s="8" t="s">
        <v>54</v>
      </c>
      <c r="E1052" s="6" t="s">
        <v>1284</v>
      </c>
      <c r="F1052" s="6" t="s">
        <v>85</v>
      </c>
      <c r="G1052" s="11" t="s">
        <v>56</v>
      </c>
      <c r="I1052" s="10" t="s">
        <v>1285</v>
      </c>
      <c r="J1052" s="6" t="s">
        <v>1286</v>
      </c>
      <c r="K1052" s="12">
        <v>46120.567754629628</v>
      </c>
      <c r="L1052" s="6" t="e" cm="1">
        <f t="array" ref="L1052">LOOKUP(2^15,SEARCH(Tabela2[Palavras-Chave],Boletim4[[#This Row],[Objeto]],1),Tabela2[Palavras-Chave])</f>
        <v>#N/A</v>
      </c>
    </row>
    <row r="1053" spans="1:12" ht="86.4" hidden="1" x14ac:dyDescent="0.3">
      <c r="A1053" s="5">
        <v>18801878</v>
      </c>
      <c r="B1053" s="6" t="s">
        <v>1287</v>
      </c>
      <c r="C1053" s="6" t="s">
        <v>1288</v>
      </c>
      <c r="D1053" s="8" t="s">
        <v>54</v>
      </c>
      <c r="E1053" s="6" t="s">
        <v>1289</v>
      </c>
      <c r="F1053" s="6" t="s">
        <v>85</v>
      </c>
      <c r="G1053" s="11">
        <v>46161</v>
      </c>
      <c r="I1053" s="10" t="s">
        <v>1290</v>
      </c>
      <c r="J1053" s="6" t="s">
        <v>1291</v>
      </c>
      <c r="K1053" s="12">
        <v>46120.569363425922</v>
      </c>
      <c r="L1053" s="6" t="e" cm="1">
        <f t="array" ref="L1053">LOOKUP(2^15,SEARCH(Tabela2[Palavras-Chave],Boletim4[[#This Row],[Objeto]],1),Tabela2[Palavras-Chave])</f>
        <v>#N/A</v>
      </c>
    </row>
    <row r="1054" spans="1:12" ht="86.4" hidden="1" x14ac:dyDescent="0.3">
      <c r="A1054" s="5">
        <v>18801412</v>
      </c>
      <c r="B1054" s="6" t="s">
        <v>1242</v>
      </c>
      <c r="C1054" s="6" t="s">
        <v>1243</v>
      </c>
      <c r="D1054" s="8" t="s">
        <v>54</v>
      </c>
      <c r="E1054" s="6" t="s">
        <v>148</v>
      </c>
      <c r="F1054" s="6" t="s">
        <v>85</v>
      </c>
      <c r="G1054" s="11" t="s">
        <v>56</v>
      </c>
      <c r="I1054" s="10" t="s">
        <v>2951</v>
      </c>
      <c r="J1054" s="6" t="s">
        <v>2952</v>
      </c>
      <c r="K1054" s="12">
        <v>46120.588206018518</v>
      </c>
      <c r="L1054" s="6" t="e" cm="1">
        <f t="array" ref="L1054">LOOKUP(2^15,SEARCH(Tabela2[Palavras-Chave],Boletim4[[#This Row],[Objeto]],1),Tabela2[Palavras-Chave])</f>
        <v>#N/A</v>
      </c>
    </row>
    <row r="1055" spans="1:12" ht="259.2" hidden="1" x14ac:dyDescent="0.3">
      <c r="A1055" s="5">
        <v>18801609</v>
      </c>
      <c r="B1055" s="6" t="s">
        <v>1292</v>
      </c>
      <c r="C1055" s="6" t="s">
        <v>1293</v>
      </c>
      <c r="D1055" s="8" t="s">
        <v>54</v>
      </c>
      <c r="E1055" s="6" t="s">
        <v>124</v>
      </c>
      <c r="F1055" s="6" t="s">
        <v>85</v>
      </c>
      <c r="G1055" s="11" t="s">
        <v>56</v>
      </c>
      <c r="I1055" s="10" t="s">
        <v>1294</v>
      </c>
      <c r="J1055" s="6" t="s">
        <v>1295</v>
      </c>
      <c r="K1055" s="12">
        <v>46120.623229166667</v>
      </c>
      <c r="L1055" s="6" t="e" cm="1">
        <f t="array" ref="L1055">LOOKUP(2^15,SEARCH(Tabela2[Palavras-Chave],Boletim4[[#This Row],[Objeto]],1),Tabela2[Palavras-Chave])</f>
        <v>#N/A</v>
      </c>
    </row>
    <row r="1056" spans="1:12" ht="244.8" hidden="1" x14ac:dyDescent="0.3">
      <c r="A1056" s="5">
        <v>18803816</v>
      </c>
      <c r="B1056" s="6" t="s">
        <v>1296</v>
      </c>
      <c r="C1056" s="6" t="s">
        <v>1297</v>
      </c>
      <c r="D1056" s="8" t="s">
        <v>54</v>
      </c>
      <c r="E1056" s="6" t="s">
        <v>117</v>
      </c>
      <c r="F1056" s="6" t="s">
        <v>85</v>
      </c>
      <c r="G1056" s="11" t="s">
        <v>56</v>
      </c>
      <c r="I1056" s="10" t="s">
        <v>1298</v>
      </c>
      <c r="J1056" s="6" t="s">
        <v>1299</v>
      </c>
      <c r="K1056" s="12">
        <v>46120.635567129626</v>
      </c>
      <c r="L1056" s="6" t="e" cm="1">
        <f t="array" ref="L1056">LOOKUP(2^15,SEARCH(Tabela2[Palavras-Chave],Boletim4[[#This Row],[Objeto]],1),Tabela2[Palavras-Chave])</f>
        <v>#N/A</v>
      </c>
    </row>
    <row r="1057" spans="1:12" ht="230.4" hidden="1" x14ac:dyDescent="0.3">
      <c r="A1057" s="5">
        <v>18803435</v>
      </c>
      <c r="B1057" s="6" t="s">
        <v>163</v>
      </c>
      <c r="C1057" s="6" t="s">
        <v>53</v>
      </c>
      <c r="D1057" s="8" t="s">
        <v>54</v>
      </c>
      <c r="E1057" s="6" t="s">
        <v>2067</v>
      </c>
      <c r="F1057" s="6" t="s">
        <v>85</v>
      </c>
      <c r="G1057" s="11" t="s">
        <v>56</v>
      </c>
      <c r="I1057" s="10" t="s">
        <v>2953</v>
      </c>
      <c r="J1057" s="6" t="s">
        <v>2954</v>
      </c>
      <c r="K1057" s="12">
        <v>46120.640497685185</v>
      </c>
      <c r="L1057" s="6" t="e" cm="1">
        <f t="array" ref="L1057">LOOKUP(2^15,SEARCH(Tabela2[Palavras-Chave],Boletim4[[#This Row],[Objeto]],1),Tabela2[Palavras-Chave])</f>
        <v>#N/A</v>
      </c>
    </row>
    <row r="1058" spans="1:12" ht="259.2" hidden="1" x14ac:dyDescent="0.3">
      <c r="A1058" s="5">
        <v>18803938</v>
      </c>
      <c r="B1058" s="6" t="s">
        <v>1300</v>
      </c>
      <c r="C1058" s="6" t="s">
        <v>1301</v>
      </c>
      <c r="D1058" s="8" t="s">
        <v>54</v>
      </c>
      <c r="E1058" s="6" t="s">
        <v>122</v>
      </c>
      <c r="F1058" s="6" t="s">
        <v>85</v>
      </c>
      <c r="G1058" s="11" t="s">
        <v>56</v>
      </c>
      <c r="I1058" s="10" t="s">
        <v>1302</v>
      </c>
      <c r="J1058" s="6" t="s">
        <v>1303</v>
      </c>
      <c r="K1058" s="12">
        <v>46120.640625</v>
      </c>
      <c r="L1058" s="6" t="e" cm="1">
        <f t="array" ref="L1058">LOOKUP(2^15,SEARCH(Tabela2[Palavras-Chave],Boletim4[[#This Row],[Objeto]],1),Tabela2[Palavras-Chave])</f>
        <v>#N/A</v>
      </c>
    </row>
    <row r="1059" spans="1:12" ht="86.4" hidden="1" x14ac:dyDescent="0.3">
      <c r="A1059" s="5">
        <v>18801416</v>
      </c>
      <c r="B1059" s="6" t="s">
        <v>2955</v>
      </c>
      <c r="C1059" s="6" t="s">
        <v>53</v>
      </c>
      <c r="D1059" s="8" t="s">
        <v>54</v>
      </c>
      <c r="E1059" s="6" t="s">
        <v>2956</v>
      </c>
      <c r="F1059" s="6" t="s">
        <v>85</v>
      </c>
      <c r="G1059" s="11" t="s">
        <v>56</v>
      </c>
      <c r="I1059" s="10" t="s">
        <v>2957</v>
      </c>
      <c r="J1059" s="6" t="s">
        <v>2958</v>
      </c>
      <c r="K1059" s="12">
        <v>46120.64329861111</v>
      </c>
      <c r="L1059" s="6" t="e" cm="1">
        <f t="array" ref="L1059">LOOKUP(2^15,SEARCH(Tabela2[Palavras-Chave],Boletim4[[#This Row],[Objeto]],1),Tabela2[Palavras-Chave])</f>
        <v>#N/A</v>
      </c>
    </row>
    <row r="1060" spans="1:12" ht="244.8" hidden="1" x14ac:dyDescent="0.3">
      <c r="A1060" s="5">
        <v>18803496</v>
      </c>
      <c r="B1060" s="6" t="s">
        <v>1304</v>
      </c>
      <c r="C1060" s="6" t="s">
        <v>1305</v>
      </c>
      <c r="D1060" s="8" t="s">
        <v>54</v>
      </c>
      <c r="E1060" s="6" t="s">
        <v>122</v>
      </c>
      <c r="F1060" s="6" t="s">
        <v>85</v>
      </c>
      <c r="G1060" s="11" t="s">
        <v>56</v>
      </c>
      <c r="I1060" s="10" t="s">
        <v>1306</v>
      </c>
      <c r="J1060" s="6" t="s">
        <v>1307</v>
      </c>
      <c r="K1060" s="12">
        <v>46120.662222222221</v>
      </c>
      <c r="L1060" s="6" t="e" cm="1">
        <f t="array" ref="L1060">LOOKUP(2^15,SEARCH(Tabela2[Palavras-Chave],Boletim4[[#This Row],[Objeto]],1),Tabela2[Palavras-Chave])</f>
        <v>#N/A</v>
      </c>
    </row>
    <row r="1061" spans="1:12" ht="187.2" hidden="1" x14ac:dyDescent="0.3">
      <c r="A1061" s="5">
        <v>18802505</v>
      </c>
      <c r="B1061" s="6" t="s">
        <v>163</v>
      </c>
      <c r="C1061" s="6" t="s">
        <v>53</v>
      </c>
      <c r="D1061" s="8" t="s">
        <v>54</v>
      </c>
      <c r="E1061" s="6" t="s">
        <v>1308</v>
      </c>
      <c r="F1061" s="6" t="s">
        <v>85</v>
      </c>
      <c r="G1061" s="11" t="s">
        <v>56</v>
      </c>
      <c r="I1061" s="10" t="s">
        <v>1309</v>
      </c>
      <c r="J1061" s="6" t="s">
        <v>1310</v>
      </c>
      <c r="K1061" s="12">
        <v>46120.666018518517</v>
      </c>
      <c r="L1061" s="6" t="e" cm="1">
        <f t="array" ref="L1061">LOOKUP(2^15,SEARCH(Tabela2[Palavras-Chave],Boletim4[[#This Row],[Objeto]],1),Tabela2[Palavras-Chave])</f>
        <v>#N/A</v>
      </c>
    </row>
    <row r="1062" spans="1:12" ht="187.2" hidden="1" x14ac:dyDescent="0.3">
      <c r="A1062" s="5">
        <v>18802512</v>
      </c>
      <c r="B1062" s="6" t="s">
        <v>163</v>
      </c>
      <c r="C1062" s="6" t="s">
        <v>53</v>
      </c>
      <c r="D1062" s="8" t="s">
        <v>54</v>
      </c>
      <c r="E1062" s="6" t="s">
        <v>1311</v>
      </c>
      <c r="F1062" s="6" t="s">
        <v>85</v>
      </c>
      <c r="G1062" s="11">
        <v>46146.583333333336</v>
      </c>
      <c r="I1062" s="10" t="s">
        <v>1312</v>
      </c>
      <c r="J1062" s="6" t="s">
        <v>1313</v>
      </c>
      <c r="K1062" s="12">
        <v>46120.671956018516</v>
      </c>
      <c r="L1062" s="6" t="e" cm="1">
        <f t="array" ref="L1062">LOOKUP(2^15,SEARCH(Tabela2[Palavras-Chave],Boletim4[[#This Row],[Objeto]],1),Tabela2[Palavras-Chave])</f>
        <v>#N/A</v>
      </c>
    </row>
    <row r="1063" spans="1:12" ht="28.8" hidden="1" x14ac:dyDescent="0.3">
      <c r="A1063" s="5">
        <v>18804174</v>
      </c>
      <c r="B1063" s="6" t="s">
        <v>1314</v>
      </c>
      <c r="C1063" s="6" t="s">
        <v>1315</v>
      </c>
      <c r="D1063" s="8" t="s">
        <v>54</v>
      </c>
      <c r="E1063" s="6" t="s">
        <v>121</v>
      </c>
      <c r="F1063" s="6" t="s">
        <v>85</v>
      </c>
      <c r="G1063" s="11">
        <v>46132.354166666664</v>
      </c>
      <c r="I1063" s="10" t="s">
        <v>1316</v>
      </c>
      <c r="J1063" s="6" t="s">
        <v>1317</v>
      </c>
      <c r="K1063" s="12">
        <v>46120.722280092596</v>
      </c>
      <c r="L1063" s="6" t="e" cm="1">
        <f t="array" ref="L1063">LOOKUP(2^15,SEARCH(Tabela2[Palavras-Chave],Boletim4[[#This Row],[Objeto]],1),Tabela2[Palavras-Chave])</f>
        <v>#N/A</v>
      </c>
    </row>
    <row r="1064" spans="1:12" ht="43.2" x14ac:dyDescent="0.3">
      <c r="A1064" s="5">
        <v>18804960</v>
      </c>
      <c r="B1064" s="6" t="s">
        <v>293</v>
      </c>
      <c r="C1064" s="6" t="s">
        <v>53</v>
      </c>
      <c r="D1064" s="8" t="s">
        <v>54</v>
      </c>
      <c r="E1064" s="6" t="s">
        <v>456</v>
      </c>
      <c r="F1064" s="6" t="s">
        <v>85</v>
      </c>
      <c r="G1064" s="11" t="s">
        <v>56</v>
      </c>
      <c r="H1064" s="23">
        <v>2</v>
      </c>
      <c r="I1064" s="10" t="s">
        <v>1318</v>
      </c>
      <c r="J1064" s="6" t="s">
        <v>169</v>
      </c>
      <c r="K1064" s="12">
        <v>46120.72923611111</v>
      </c>
      <c r="L1064" s="6" t="str" cm="1">
        <f t="array" ref="L1064">LOOKUP(2^15,SEARCH(Tabela2[Palavras-Chave],Boletim4[[#This Row],[Objeto]],1),Tabela2[Palavras-Chave])</f>
        <v>RESERVAT</v>
      </c>
    </row>
    <row r="1065" spans="1:12" ht="86.4" hidden="1" x14ac:dyDescent="0.3">
      <c r="A1065" s="5">
        <v>18805203</v>
      </c>
      <c r="B1065" s="6" t="s">
        <v>1319</v>
      </c>
      <c r="C1065" s="6" t="s">
        <v>1320</v>
      </c>
      <c r="D1065" s="8" t="s">
        <v>54</v>
      </c>
      <c r="E1065" s="6" t="s">
        <v>128</v>
      </c>
      <c r="F1065" s="6" t="s">
        <v>85</v>
      </c>
      <c r="G1065" s="11" t="s">
        <v>56</v>
      </c>
      <c r="I1065" s="10" t="s">
        <v>1321</v>
      </c>
      <c r="J1065" s="6" t="s">
        <v>1322</v>
      </c>
      <c r="K1065" s="12">
        <v>46120.730949074074</v>
      </c>
      <c r="L1065" s="6" t="e" cm="1">
        <f t="array" ref="L1065">LOOKUP(2^15,SEARCH(Tabela2[Palavras-Chave],Boletim4[[#This Row],[Objeto]],1),Tabela2[Palavras-Chave])</f>
        <v>#N/A</v>
      </c>
    </row>
    <row r="1066" spans="1:12" ht="86.4" hidden="1" x14ac:dyDescent="0.3">
      <c r="A1066" s="5">
        <v>18805516</v>
      </c>
      <c r="B1066" s="6" t="s">
        <v>1323</v>
      </c>
      <c r="C1066" s="6" t="s">
        <v>1324</v>
      </c>
      <c r="D1066" s="8" t="s">
        <v>54</v>
      </c>
      <c r="E1066" s="6" t="s">
        <v>114</v>
      </c>
      <c r="F1066" s="6" t="s">
        <v>85</v>
      </c>
      <c r="G1066" s="11">
        <v>46139.375</v>
      </c>
      <c r="I1066" s="10" t="s">
        <v>1325</v>
      </c>
      <c r="J1066" s="6" t="s">
        <v>1326</v>
      </c>
      <c r="K1066" s="12">
        <v>46120.809884259259</v>
      </c>
      <c r="L1066" s="6" t="e" cm="1">
        <f t="array" ref="L1066">LOOKUP(2^15,SEARCH(Tabela2[Palavras-Chave],Boletim4[[#This Row],[Objeto]],1),Tabela2[Palavras-Chave])</f>
        <v>#N/A</v>
      </c>
    </row>
    <row r="1067" spans="1:12" ht="259.2" hidden="1" x14ac:dyDescent="0.3">
      <c r="A1067" s="5">
        <v>18801558</v>
      </c>
      <c r="B1067" s="6" t="s">
        <v>1292</v>
      </c>
      <c r="C1067" s="6" t="s">
        <v>1293</v>
      </c>
      <c r="D1067" s="8" t="s">
        <v>54</v>
      </c>
      <c r="E1067" s="6" t="s">
        <v>135</v>
      </c>
      <c r="F1067" s="6" t="s">
        <v>85</v>
      </c>
      <c r="G1067" s="11" t="s">
        <v>56</v>
      </c>
      <c r="I1067" s="10" t="s">
        <v>2959</v>
      </c>
      <c r="J1067" s="6" t="s">
        <v>2960</v>
      </c>
      <c r="K1067" s="12">
        <v>46120.74145833333</v>
      </c>
      <c r="L1067" s="6" t="e" cm="1">
        <f t="array" ref="L1067">LOOKUP(2^15,SEARCH(Tabela2[Palavras-Chave],Boletim4[[#This Row],[Objeto]],1),Tabela2[Palavras-Chave])</f>
        <v>#N/A</v>
      </c>
    </row>
    <row r="1068" spans="1:12" ht="43.2" hidden="1" x14ac:dyDescent="0.3">
      <c r="A1068" s="5">
        <v>18805609</v>
      </c>
      <c r="B1068" s="6" t="s">
        <v>2961</v>
      </c>
      <c r="C1068" s="6" t="s">
        <v>2962</v>
      </c>
      <c r="D1068" s="8" t="s">
        <v>54</v>
      </c>
      <c r="E1068" s="6" t="s">
        <v>110</v>
      </c>
      <c r="F1068" s="6" t="s">
        <v>85</v>
      </c>
      <c r="G1068" s="11" t="s">
        <v>56</v>
      </c>
      <c r="I1068" s="10" t="s">
        <v>2963</v>
      </c>
      <c r="J1068" s="6" t="s">
        <v>2964</v>
      </c>
      <c r="K1068" s="12">
        <v>46120.744513888887</v>
      </c>
      <c r="L1068" s="6" t="e" cm="1">
        <f t="array" ref="L1068">LOOKUP(2^15,SEARCH(Tabela2[Palavras-Chave],Boletim4[[#This Row],[Objeto]],1),Tabela2[Palavras-Chave])</f>
        <v>#N/A</v>
      </c>
    </row>
    <row r="1069" spans="1:12" ht="57.6" hidden="1" x14ac:dyDescent="0.3">
      <c r="A1069" s="5">
        <v>18805619</v>
      </c>
      <c r="B1069" s="6" t="s">
        <v>2965</v>
      </c>
      <c r="C1069" s="6" t="s">
        <v>2966</v>
      </c>
      <c r="D1069" s="8" t="s">
        <v>54</v>
      </c>
      <c r="E1069" s="6" t="s">
        <v>113</v>
      </c>
      <c r="F1069" s="6" t="s">
        <v>85</v>
      </c>
      <c r="G1069" s="11">
        <v>46135.416666666664</v>
      </c>
      <c r="I1069" s="10" t="s">
        <v>2967</v>
      </c>
      <c r="J1069" s="6" t="s">
        <v>2968</v>
      </c>
      <c r="K1069" s="12">
        <v>46120.745416666665</v>
      </c>
      <c r="L1069" s="6" t="e" cm="1">
        <f t="array" ref="L1069">LOOKUP(2^15,SEARCH(Tabela2[Palavras-Chave],Boletim4[[#This Row],[Objeto]],1),Tabela2[Palavras-Chave])</f>
        <v>#N/A</v>
      </c>
    </row>
    <row r="1070" spans="1:12" ht="72" hidden="1" x14ac:dyDescent="0.3">
      <c r="A1070" s="5">
        <v>18798504</v>
      </c>
      <c r="B1070" s="6" t="s">
        <v>1327</v>
      </c>
      <c r="C1070" s="6" t="s">
        <v>1328</v>
      </c>
      <c r="D1070" s="8" t="s">
        <v>54</v>
      </c>
      <c r="E1070" s="6" t="s">
        <v>124</v>
      </c>
      <c r="F1070" s="6" t="s">
        <v>85</v>
      </c>
      <c r="G1070" s="11">
        <v>46129.416666666664</v>
      </c>
      <c r="I1070" s="10" t="s">
        <v>1329</v>
      </c>
      <c r="J1070" s="6" t="s">
        <v>1330</v>
      </c>
      <c r="K1070" s="12">
        <v>46120.763206018521</v>
      </c>
      <c r="L1070" s="6" t="e" cm="1">
        <f t="array" ref="L1070">LOOKUP(2^15,SEARCH(Tabela2[Palavras-Chave],Boletim4[[#This Row],[Objeto]],1),Tabela2[Palavras-Chave])</f>
        <v>#N/A</v>
      </c>
    </row>
    <row r="1071" spans="1:12" ht="158.4" hidden="1" x14ac:dyDescent="0.3">
      <c r="A1071" s="5">
        <v>18803237</v>
      </c>
      <c r="B1071" s="6" t="s">
        <v>1331</v>
      </c>
      <c r="C1071" s="6" t="s">
        <v>1332</v>
      </c>
      <c r="D1071" s="8" t="s">
        <v>54</v>
      </c>
      <c r="E1071" s="6" t="s">
        <v>108</v>
      </c>
      <c r="F1071" s="6" t="s">
        <v>85</v>
      </c>
      <c r="G1071" s="11" t="s">
        <v>56</v>
      </c>
      <c r="I1071" s="10" t="s">
        <v>1333</v>
      </c>
      <c r="J1071" s="6" t="s">
        <v>1334</v>
      </c>
      <c r="K1071" s="12">
        <v>46120.815347222226</v>
      </c>
      <c r="L1071" s="6" t="e" cm="1">
        <f t="array" ref="L1071">LOOKUP(2^15,SEARCH(Tabela2[Palavras-Chave],Boletim4[[#This Row],[Objeto]],1),Tabela2[Palavras-Chave])</f>
        <v>#N/A</v>
      </c>
    </row>
    <row r="1072" spans="1:12" ht="100.8" hidden="1" x14ac:dyDescent="0.3">
      <c r="A1072" s="5">
        <v>18806142</v>
      </c>
      <c r="B1072" s="6" t="s">
        <v>354</v>
      </c>
      <c r="C1072" s="6" t="s">
        <v>355</v>
      </c>
      <c r="D1072" s="8" t="s">
        <v>54</v>
      </c>
      <c r="E1072" s="6" t="s">
        <v>155</v>
      </c>
      <c r="F1072" s="6" t="s">
        <v>85</v>
      </c>
      <c r="G1072" s="11" t="s">
        <v>56</v>
      </c>
      <c r="I1072" s="10" t="s">
        <v>1335</v>
      </c>
      <c r="J1072" s="6" t="s">
        <v>1336</v>
      </c>
      <c r="K1072" s="12">
        <v>46120.825729166667</v>
      </c>
      <c r="L1072" s="6" t="e" cm="1">
        <f t="array" ref="L1072">LOOKUP(2^15,SEARCH(Tabela2[Palavras-Chave],Boletim4[[#This Row],[Objeto]],1),Tabela2[Palavras-Chave])</f>
        <v>#N/A</v>
      </c>
    </row>
    <row r="1073" spans="1:12" ht="86.4" hidden="1" x14ac:dyDescent="0.3">
      <c r="A1073" s="5">
        <v>18806015</v>
      </c>
      <c r="B1073" s="6" t="s">
        <v>2969</v>
      </c>
      <c r="C1073" s="6" t="s">
        <v>2970</v>
      </c>
      <c r="D1073" s="8" t="s">
        <v>54</v>
      </c>
      <c r="E1073" s="6" t="s">
        <v>2971</v>
      </c>
      <c r="F1073" s="6" t="s">
        <v>85</v>
      </c>
      <c r="G1073" s="11" t="s">
        <v>56</v>
      </c>
      <c r="I1073" s="10" t="s">
        <v>2972</v>
      </c>
      <c r="J1073" s="6" t="s">
        <v>2973</v>
      </c>
      <c r="K1073" s="12">
        <v>46120.849236111113</v>
      </c>
      <c r="L1073" s="6" t="e" cm="1">
        <f t="array" ref="L1073">LOOKUP(2^15,SEARCH(Tabela2[Palavras-Chave],Boletim4[[#This Row],[Objeto]],1),Tabela2[Palavras-Chave])</f>
        <v>#N/A</v>
      </c>
    </row>
    <row r="1074" spans="1:12" ht="28.8" hidden="1" x14ac:dyDescent="0.3">
      <c r="A1074" s="5">
        <v>18793570</v>
      </c>
      <c r="B1074" s="6" t="s">
        <v>1337</v>
      </c>
      <c r="C1074" s="6" t="s">
        <v>1338</v>
      </c>
      <c r="D1074" s="8" t="s">
        <v>60</v>
      </c>
      <c r="E1074" s="6" t="s">
        <v>113</v>
      </c>
      <c r="F1074" s="6" t="s">
        <v>85</v>
      </c>
      <c r="G1074" s="11">
        <v>46134.375</v>
      </c>
      <c r="I1074" s="10" t="s">
        <v>1339</v>
      </c>
      <c r="J1074" s="6" t="s">
        <v>1340</v>
      </c>
      <c r="K1074" s="12">
        <v>46120.45076388889</v>
      </c>
      <c r="L1074" s="6" t="e" cm="1">
        <f t="array" ref="L1074">LOOKUP(2^15,SEARCH(Tabela2[Palavras-Chave],Boletim4[[#This Row],[Objeto]],1),Tabela2[Palavras-Chave])</f>
        <v>#N/A</v>
      </c>
    </row>
    <row r="1075" spans="1:12" ht="57.6" hidden="1" x14ac:dyDescent="0.3">
      <c r="A1075" s="5">
        <v>18802425</v>
      </c>
      <c r="B1075" s="6" t="s">
        <v>1341</v>
      </c>
      <c r="C1075" s="6" t="s">
        <v>1342</v>
      </c>
      <c r="D1075" s="8" t="s">
        <v>60</v>
      </c>
      <c r="E1075" s="6" t="s">
        <v>1343</v>
      </c>
      <c r="F1075" s="6" t="s">
        <v>85</v>
      </c>
      <c r="G1075" s="11">
        <v>46135.375</v>
      </c>
      <c r="I1075" s="10" t="s">
        <v>1344</v>
      </c>
      <c r="J1075" s="6" t="s">
        <v>1345</v>
      </c>
      <c r="K1075" s="12">
        <v>46120.505289351851</v>
      </c>
      <c r="L1075" s="6" t="e" cm="1">
        <f t="array" ref="L1075">LOOKUP(2^15,SEARCH(Tabela2[Palavras-Chave],Boletim4[[#This Row],[Objeto]],1),Tabela2[Palavras-Chave])</f>
        <v>#N/A</v>
      </c>
    </row>
    <row r="1076" spans="1:12" ht="86.4" hidden="1" x14ac:dyDescent="0.3">
      <c r="A1076" s="5">
        <v>18803538</v>
      </c>
      <c r="B1076" s="6" t="s">
        <v>1346</v>
      </c>
      <c r="C1076" s="6" t="s">
        <v>1347</v>
      </c>
      <c r="D1076" s="8" t="s">
        <v>60</v>
      </c>
      <c r="E1076" s="6" t="s">
        <v>1348</v>
      </c>
      <c r="F1076" s="6" t="s">
        <v>85</v>
      </c>
      <c r="G1076" s="11" t="s">
        <v>56</v>
      </c>
      <c r="I1076" s="10" t="s">
        <v>1349</v>
      </c>
      <c r="J1076" s="6" t="s">
        <v>1350</v>
      </c>
      <c r="K1076" s="12">
        <v>46120.585439814815</v>
      </c>
      <c r="L1076" s="6" t="e" cm="1">
        <f t="array" ref="L1076">LOOKUP(2^15,SEARCH(Tabela2[Palavras-Chave],Boletim4[[#This Row],[Objeto]],1),Tabela2[Palavras-Chave])</f>
        <v>#N/A</v>
      </c>
    </row>
    <row r="1077" spans="1:12" ht="86.4" hidden="1" x14ac:dyDescent="0.3">
      <c r="A1077" s="5">
        <v>18803493</v>
      </c>
      <c r="B1077" s="6" t="s">
        <v>151</v>
      </c>
      <c r="C1077" s="6" t="s">
        <v>59</v>
      </c>
      <c r="D1077" s="8" t="s">
        <v>60</v>
      </c>
      <c r="E1077" s="6" t="s">
        <v>1351</v>
      </c>
      <c r="F1077" s="6" t="s">
        <v>85</v>
      </c>
      <c r="G1077" s="11" t="s">
        <v>56</v>
      </c>
      <c r="I1077" s="10" t="s">
        <v>1352</v>
      </c>
      <c r="J1077" s="6" t="s">
        <v>1353</v>
      </c>
      <c r="K1077" s="12">
        <v>46120.662754629629</v>
      </c>
      <c r="L1077" s="6" t="e" cm="1">
        <f t="array" ref="L1077">LOOKUP(2^15,SEARCH(Tabela2[Palavras-Chave],Boletim4[[#This Row],[Objeto]],1),Tabela2[Palavras-Chave])</f>
        <v>#N/A</v>
      </c>
    </row>
    <row r="1078" spans="1:12" ht="86.4" hidden="1" x14ac:dyDescent="0.3">
      <c r="A1078" s="5">
        <v>18801775</v>
      </c>
      <c r="B1078" s="6" t="s">
        <v>1354</v>
      </c>
      <c r="C1078" s="6" t="s">
        <v>1355</v>
      </c>
      <c r="D1078" s="8" t="s">
        <v>60</v>
      </c>
      <c r="E1078" s="6" t="s">
        <v>1356</v>
      </c>
      <c r="F1078" s="6" t="s">
        <v>85</v>
      </c>
      <c r="G1078" s="11" t="s">
        <v>56</v>
      </c>
      <c r="I1078" s="10" t="s">
        <v>1357</v>
      </c>
      <c r="J1078" s="6" t="s">
        <v>1358</v>
      </c>
      <c r="K1078" s="12">
        <v>46120.70212962963</v>
      </c>
      <c r="L1078" s="6" t="e" cm="1">
        <f t="array" ref="L1078">LOOKUP(2^15,SEARCH(Tabela2[Palavras-Chave],Boletim4[[#This Row],[Objeto]],1),Tabela2[Palavras-Chave])</f>
        <v>#N/A</v>
      </c>
    </row>
    <row r="1079" spans="1:12" ht="86.4" hidden="1" x14ac:dyDescent="0.3">
      <c r="A1079" s="5">
        <v>18805208</v>
      </c>
      <c r="B1079" s="6" t="s">
        <v>1359</v>
      </c>
      <c r="C1079" s="6" t="s">
        <v>59</v>
      </c>
      <c r="D1079" s="8" t="s">
        <v>60</v>
      </c>
      <c r="E1079" s="6" t="s">
        <v>1360</v>
      </c>
      <c r="F1079" s="6" t="s">
        <v>85</v>
      </c>
      <c r="G1079" s="11" t="s">
        <v>56</v>
      </c>
      <c r="I1079" s="10" t="s">
        <v>1361</v>
      </c>
      <c r="J1079" s="6" t="s">
        <v>1362</v>
      </c>
      <c r="K1079" s="12">
        <v>46120.711863425924</v>
      </c>
      <c r="L1079" s="6" t="e" cm="1">
        <f t="array" ref="L1079">LOOKUP(2^15,SEARCH(Tabela2[Palavras-Chave],Boletim4[[#This Row],[Objeto]],1),Tabela2[Palavras-Chave])</f>
        <v>#N/A</v>
      </c>
    </row>
    <row r="1080" spans="1:12" ht="259.2" hidden="1" x14ac:dyDescent="0.3">
      <c r="A1080" s="5">
        <v>18806079</v>
      </c>
      <c r="B1080" s="6" t="s">
        <v>1363</v>
      </c>
      <c r="C1080" s="6" t="s">
        <v>320</v>
      </c>
      <c r="D1080" s="8" t="s">
        <v>60</v>
      </c>
      <c r="E1080" s="6" t="s">
        <v>1364</v>
      </c>
      <c r="F1080" s="6" t="s">
        <v>85</v>
      </c>
      <c r="G1080" s="11" t="s">
        <v>56</v>
      </c>
      <c r="I1080" s="10" t="s">
        <v>1365</v>
      </c>
      <c r="J1080" s="6" t="s">
        <v>1366</v>
      </c>
      <c r="K1080" s="12">
        <v>46120.831122685187</v>
      </c>
      <c r="L1080" s="6" t="e" cm="1">
        <f t="array" ref="L1080">LOOKUP(2^15,SEARCH(Tabela2[Palavras-Chave],Boletim4[[#This Row],[Objeto]],1),Tabela2[Palavras-Chave])</f>
        <v>#N/A</v>
      </c>
    </row>
    <row r="1081" spans="1:12" ht="57.6" hidden="1" x14ac:dyDescent="0.3">
      <c r="A1081" s="5">
        <v>18806315</v>
      </c>
      <c r="B1081" s="6" t="s">
        <v>1367</v>
      </c>
      <c r="C1081" s="6" t="s">
        <v>1368</v>
      </c>
      <c r="D1081" s="8" t="s">
        <v>60</v>
      </c>
      <c r="E1081" s="6" t="s">
        <v>1369</v>
      </c>
      <c r="F1081" s="6" t="s">
        <v>85</v>
      </c>
      <c r="G1081" s="11">
        <v>46135.354166666664</v>
      </c>
      <c r="I1081" s="10" t="s">
        <v>1370</v>
      </c>
      <c r="J1081" s="6" t="s">
        <v>1192</v>
      </c>
      <c r="K1081" s="12">
        <v>46120.8437962963</v>
      </c>
      <c r="L1081" s="6" t="e" cm="1">
        <f t="array" ref="L1081">LOOKUP(2^15,SEARCH(Tabela2[Palavras-Chave],Boletim4[[#This Row],[Objeto]],1),Tabela2[Palavras-Chave])</f>
        <v>#N/A</v>
      </c>
    </row>
    <row r="1082" spans="1:12" ht="201.6" hidden="1" x14ac:dyDescent="0.3">
      <c r="A1082" s="5">
        <v>18804345</v>
      </c>
      <c r="B1082" s="6" t="s">
        <v>2974</v>
      </c>
      <c r="C1082" s="6" t="s">
        <v>2975</v>
      </c>
      <c r="D1082" s="8" t="s">
        <v>60</v>
      </c>
      <c r="E1082" s="6" t="s">
        <v>127</v>
      </c>
      <c r="F1082" s="6" t="s">
        <v>85</v>
      </c>
      <c r="G1082" s="11" t="s">
        <v>56</v>
      </c>
      <c r="I1082" s="10" t="s">
        <v>2976</v>
      </c>
      <c r="J1082" s="6" t="s">
        <v>2977</v>
      </c>
      <c r="K1082" s="12">
        <v>46120.878831018519</v>
      </c>
      <c r="L1082" s="6" t="e" cm="1">
        <f t="array" ref="L1082">LOOKUP(2^15,SEARCH(Tabela2[Palavras-Chave],Boletim4[[#This Row],[Objeto]],1),Tabela2[Palavras-Chave])</f>
        <v>#N/A</v>
      </c>
    </row>
    <row r="1083" spans="1:12" ht="129.6" hidden="1" x14ac:dyDescent="0.3">
      <c r="A1083" s="5">
        <v>18802609</v>
      </c>
      <c r="B1083" s="6" t="s">
        <v>1371</v>
      </c>
      <c r="C1083" s="6" t="s">
        <v>61</v>
      </c>
      <c r="D1083" s="8" t="s">
        <v>62</v>
      </c>
      <c r="E1083" s="6" t="s">
        <v>286</v>
      </c>
      <c r="F1083" s="6" t="s">
        <v>85</v>
      </c>
      <c r="G1083" s="11" t="s">
        <v>56</v>
      </c>
      <c r="I1083" s="10" t="s">
        <v>1372</v>
      </c>
      <c r="J1083" s="6" t="s">
        <v>1373</v>
      </c>
      <c r="K1083" s="12">
        <v>46120.556712962964</v>
      </c>
      <c r="L1083" s="6" t="e" cm="1">
        <f t="array" ref="L1083">LOOKUP(2^15,SEARCH(Tabela2[Palavras-Chave],Boletim4[[#This Row],[Objeto]],1),Tabela2[Palavras-Chave])</f>
        <v>#N/A</v>
      </c>
    </row>
    <row r="1084" spans="1:12" ht="115.2" hidden="1" x14ac:dyDescent="0.3">
      <c r="A1084" s="5">
        <v>18802599</v>
      </c>
      <c r="B1084" s="6" t="s">
        <v>1374</v>
      </c>
      <c r="C1084" s="6" t="s">
        <v>61</v>
      </c>
      <c r="D1084" s="8" t="s">
        <v>62</v>
      </c>
      <c r="E1084" s="6" t="s">
        <v>1375</v>
      </c>
      <c r="F1084" s="6" t="s">
        <v>85</v>
      </c>
      <c r="G1084" s="11" t="s">
        <v>56</v>
      </c>
      <c r="I1084" s="10" t="s">
        <v>1376</v>
      </c>
      <c r="J1084" s="6" t="s">
        <v>1377</v>
      </c>
      <c r="K1084" s="12">
        <v>46120.60837962963</v>
      </c>
      <c r="L1084" s="6" t="e" cm="1">
        <f t="array" ref="L1084">LOOKUP(2^15,SEARCH(Tabela2[Palavras-Chave],Boletim4[[#This Row],[Objeto]],1),Tabela2[Palavras-Chave])</f>
        <v>#N/A</v>
      </c>
    </row>
    <row r="1085" spans="1:12" ht="115.2" hidden="1" x14ac:dyDescent="0.3">
      <c r="A1085" s="5">
        <v>18802603</v>
      </c>
      <c r="B1085" s="6" t="s">
        <v>1378</v>
      </c>
      <c r="C1085" s="6" t="s">
        <v>61</v>
      </c>
      <c r="D1085" s="8" t="s">
        <v>62</v>
      </c>
      <c r="E1085" s="6" t="s">
        <v>1379</v>
      </c>
      <c r="F1085" s="6" t="s">
        <v>85</v>
      </c>
      <c r="G1085" s="11" t="s">
        <v>56</v>
      </c>
      <c r="I1085" s="10" t="s">
        <v>1380</v>
      </c>
      <c r="J1085" s="6" t="s">
        <v>1381</v>
      </c>
      <c r="K1085" s="12">
        <v>46120.772303240738</v>
      </c>
      <c r="L1085" s="6" t="e" cm="1">
        <f t="array" ref="L1085">LOOKUP(2^15,SEARCH(Tabela2[Palavras-Chave],Boletim4[[#This Row],[Objeto]],1),Tabela2[Palavras-Chave])</f>
        <v>#N/A</v>
      </c>
    </row>
    <row r="1086" spans="1:12" ht="201.6" hidden="1" x14ac:dyDescent="0.3">
      <c r="A1086" s="5">
        <v>18805717</v>
      </c>
      <c r="B1086" s="6" t="s">
        <v>302</v>
      </c>
      <c r="C1086" s="6" t="s">
        <v>61</v>
      </c>
      <c r="D1086" s="8" t="s">
        <v>62</v>
      </c>
      <c r="E1086" s="6" t="s">
        <v>2978</v>
      </c>
      <c r="F1086" s="6" t="s">
        <v>85</v>
      </c>
      <c r="G1086" s="11" t="s">
        <v>56</v>
      </c>
      <c r="I1086" s="10" t="s">
        <v>2979</v>
      </c>
      <c r="J1086" s="6" t="s">
        <v>2980</v>
      </c>
      <c r="K1086" s="12">
        <v>46120.779027777775</v>
      </c>
      <c r="L1086" s="6" t="e" cm="1">
        <f t="array" ref="L1086">LOOKUP(2^15,SEARCH(Tabela2[Palavras-Chave],Boletim4[[#This Row],[Objeto]],1),Tabela2[Palavras-Chave])</f>
        <v>#N/A</v>
      </c>
    </row>
    <row r="1087" spans="1:12" ht="115.2" hidden="1" x14ac:dyDescent="0.3">
      <c r="A1087" s="5">
        <v>18804292</v>
      </c>
      <c r="B1087" s="6" t="s">
        <v>1382</v>
      </c>
      <c r="C1087" s="6" t="s">
        <v>61</v>
      </c>
      <c r="D1087" s="8" t="s">
        <v>62</v>
      </c>
      <c r="E1087" s="6" t="s">
        <v>387</v>
      </c>
      <c r="F1087" s="6" t="s">
        <v>85</v>
      </c>
      <c r="G1087" s="11">
        <v>46139.374305555553</v>
      </c>
      <c r="I1087" s="10" t="s">
        <v>1383</v>
      </c>
      <c r="J1087" s="6" t="s">
        <v>1384</v>
      </c>
      <c r="K1087" s="12">
        <v>46120.878645833334</v>
      </c>
      <c r="L1087" s="6" t="e" cm="1">
        <f t="array" ref="L1087">LOOKUP(2^15,SEARCH(Tabela2[Palavras-Chave],Boletim4[[#This Row],[Objeto]],1),Tabela2[Palavras-Chave])</f>
        <v>#N/A</v>
      </c>
    </row>
    <row r="1088" spans="1:12" ht="100.8" hidden="1" x14ac:dyDescent="0.3">
      <c r="A1088" s="5">
        <v>18791290</v>
      </c>
      <c r="B1088" s="6" t="s">
        <v>1385</v>
      </c>
      <c r="C1088" s="6" t="s">
        <v>1386</v>
      </c>
      <c r="D1088" s="8" t="s">
        <v>63</v>
      </c>
      <c r="E1088" s="6" t="s">
        <v>124</v>
      </c>
      <c r="F1088" s="6" t="s">
        <v>85</v>
      </c>
      <c r="G1088" s="11">
        <v>46134.540972222225</v>
      </c>
      <c r="I1088" s="10" t="s">
        <v>1387</v>
      </c>
      <c r="J1088" s="6" t="s">
        <v>1388</v>
      </c>
      <c r="K1088" s="12">
        <v>46120.389641203707</v>
      </c>
      <c r="L1088" s="6" t="e" cm="1">
        <f t="array" ref="L1088">LOOKUP(2^15,SEARCH(Tabela2[Palavras-Chave],Boletim4[[#This Row],[Objeto]],1),Tabela2[Palavras-Chave])</f>
        <v>#N/A</v>
      </c>
    </row>
    <row r="1089" spans="1:12" ht="72" hidden="1" x14ac:dyDescent="0.3">
      <c r="A1089" s="5">
        <v>18802244</v>
      </c>
      <c r="B1089" s="6" t="s">
        <v>74</v>
      </c>
      <c r="C1089" s="6" t="s">
        <v>88</v>
      </c>
      <c r="D1089" s="8" t="s">
        <v>63</v>
      </c>
      <c r="E1089" s="6" t="s">
        <v>2981</v>
      </c>
      <c r="F1089" s="6" t="s">
        <v>85</v>
      </c>
      <c r="G1089" s="11" t="s">
        <v>56</v>
      </c>
      <c r="I1089" s="10" t="s">
        <v>2982</v>
      </c>
      <c r="J1089" s="6" t="s">
        <v>2983</v>
      </c>
      <c r="K1089" s="12">
        <v>46120.468124999999</v>
      </c>
      <c r="L1089" s="6" t="e" cm="1">
        <f t="array" ref="L1089">LOOKUP(2^15,SEARCH(Tabela2[Palavras-Chave],Boletim4[[#This Row],[Objeto]],1),Tabela2[Palavras-Chave])</f>
        <v>#N/A</v>
      </c>
    </row>
    <row r="1090" spans="1:12" ht="100.8" hidden="1" x14ac:dyDescent="0.3">
      <c r="A1090" s="5">
        <v>18802038</v>
      </c>
      <c r="B1090" s="6" t="s">
        <v>1389</v>
      </c>
      <c r="C1090" s="6" t="s">
        <v>1390</v>
      </c>
      <c r="D1090" s="8" t="s">
        <v>63</v>
      </c>
      <c r="E1090" s="6" t="s">
        <v>1391</v>
      </c>
      <c r="F1090" s="6" t="s">
        <v>85</v>
      </c>
      <c r="G1090" s="11">
        <v>46126.333333333336</v>
      </c>
      <c r="I1090" s="10" t="s">
        <v>1392</v>
      </c>
      <c r="J1090" s="6" t="s">
        <v>1393</v>
      </c>
      <c r="K1090" s="12">
        <v>46120.516840277778</v>
      </c>
      <c r="L1090" s="6" t="e" cm="1">
        <f t="array" ref="L1090">LOOKUP(2^15,SEARCH(Tabela2[Palavras-Chave],Boletim4[[#This Row],[Objeto]],1),Tabela2[Palavras-Chave])</f>
        <v>#N/A</v>
      </c>
    </row>
    <row r="1091" spans="1:12" ht="115.2" hidden="1" x14ac:dyDescent="0.3">
      <c r="A1091" s="5">
        <v>18802524</v>
      </c>
      <c r="B1091" s="6" t="s">
        <v>2984</v>
      </c>
      <c r="C1091" s="6" t="s">
        <v>88</v>
      </c>
      <c r="D1091" s="8" t="s">
        <v>63</v>
      </c>
      <c r="E1091" s="6" t="s">
        <v>274</v>
      </c>
      <c r="F1091" s="6" t="s">
        <v>85</v>
      </c>
      <c r="G1091" s="11">
        <v>46127.583333333336</v>
      </c>
      <c r="I1091" s="10" t="s">
        <v>2985</v>
      </c>
      <c r="J1091" s="6" t="s">
        <v>2986</v>
      </c>
      <c r="K1091" s="12">
        <v>46120.521793981483</v>
      </c>
      <c r="L1091" s="6" t="e" cm="1">
        <f t="array" ref="L1091">LOOKUP(2^15,SEARCH(Tabela2[Palavras-Chave],Boletim4[[#This Row],[Objeto]],1),Tabela2[Palavras-Chave])</f>
        <v>#N/A</v>
      </c>
    </row>
    <row r="1092" spans="1:12" ht="72" hidden="1" x14ac:dyDescent="0.3">
      <c r="A1092" s="5">
        <v>18802231</v>
      </c>
      <c r="B1092" s="6" t="s">
        <v>74</v>
      </c>
      <c r="C1092" s="6" t="s">
        <v>88</v>
      </c>
      <c r="D1092" s="8" t="s">
        <v>63</v>
      </c>
      <c r="E1092" s="6" t="s">
        <v>1394</v>
      </c>
      <c r="F1092" s="6" t="s">
        <v>85</v>
      </c>
      <c r="G1092" s="11" t="s">
        <v>56</v>
      </c>
      <c r="I1092" s="10" t="s">
        <v>1395</v>
      </c>
      <c r="J1092" s="6" t="s">
        <v>1396</v>
      </c>
      <c r="K1092" s="12">
        <v>46120.529224537036</v>
      </c>
      <c r="L1092" s="6" t="e" cm="1">
        <f t="array" ref="L1092">LOOKUP(2^15,SEARCH(Tabela2[Palavras-Chave],Boletim4[[#This Row],[Objeto]],1),Tabela2[Palavras-Chave])</f>
        <v>#N/A</v>
      </c>
    </row>
    <row r="1093" spans="1:12" ht="57.6" hidden="1" x14ac:dyDescent="0.3">
      <c r="A1093" s="5">
        <v>18803760</v>
      </c>
      <c r="B1093" s="6" t="s">
        <v>2987</v>
      </c>
      <c r="C1093" s="6" t="s">
        <v>2988</v>
      </c>
      <c r="D1093" s="8" t="s">
        <v>63</v>
      </c>
      <c r="E1093" s="6" t="s">
        <v>2989</v>
      </c>
      <c r="F1093" s="6" t="s">
        <v>85</v>
      </c>
      <c r="G1093" s="11">
        <v>46136.354166666664</v>
      </c>
      <c r="I1093" s="10" t="s">
        <v>2990</v>
      </c>
      <c r="J1093" s="6" t="s">
        <v>2991</v>
      </c>
      <c r="K1093" s="12">
        <v>46120.588692129626</v>
      </c>
      <c r="L1093" s="6" t="e" cm="1">
        <f t="array" ref="L1093">LOOKUP(2^15,SEARCH(Tabela2[Palavras-Chave],Boletim4[[#This Row],[Objeto]],1),Tabela2[Palavras-Chave])</f>
        <v>#N/A</v>
      </c>
    </row>
    <row r="1094" spans="1:12" ht="244.8" hidden="1" x14ac:dyDescent="0.3">
      <c r="A1094" s="5">
        <v>18803896</v>
      </c>
      <c r="B1094" s="6" t="s">
        <v>1397</v>
      </c>
      <c r="C1094" s="6" t="s">
        <v>1398</v>
      </c>
      <c r="D1094" s="8" t="s">
        <v>63</v>
      </c>
      <c r="E1094" s="6" t="s">
        <v>125</v>
      </c>
      <c r="F1094" s="6" t="s">
        <v>85</v>
      </c>
      <c r="G1094" s="11" t="s">
        <v>56</v>
      </c>
      <c r="I1094" s="10" t="s">
        <v>1399</v>
      </c>
      <c r="J1094" s="6" t="s">
        <v>1400</v>
      </c>
      <c r="K1094" s="12">
        <v>46120.672731481478</v>
      </c>
      <c r="L1094" s="6" t="e" cm="1">
        <f t="array" ref="L1094">LOOKUP(2^15,SEARCH(Tabela2[Palavras-Chave],Boletim4[[#This Row],[Objeto]],1),Tabela2[Palavras-Chave])</f>
        <v>#N/A</v>
      </c>
    </row>
    <row r="1095" spans="1:12" ht="115.2" hidden="1" x14ac:dyDescent="0.3">
      <c r="A1095" s="5">
        <v>18805212</v>
      </c>
      <c r="B1095" s="6" t="s">
        <v>1401</v>
      </c>
      <c r="C1095" s="6" t="s">
        <v>1398</v>
      </c>
      <c r="D1095" s="8" t="s">
        <v>63</v>
      </c>
      <c r="E1095" s="6" t="s">
        <v>1402</v>
      </c>
      <c r="F1095" s="6" t="s">
        <v>85</v>
      </c>
      <c r="G1095" s="11" t="s">
        <v>56</v>
      </c>
      <c r="I1095" s="10" t="s">
        <v>1403</v>
      </c>
      <c r="J1095" s="6" t="s">
        <v>1404</v>
      </c>
      <c r="K1095" s="12">
        <v>46120.721574074072</v>
      </c>
      <c r="L1095" s="6" t="e" cm="1">
        <f t="array" ref="L1095">LOOKUP(2^15,SEARCH(Tabela2[Palavras-Chave],Boletim4[[#This Row],[Objeto]],1),Tabela2[Palavras-Chave])</f>
        <v>#N/A</v>
      </c>
    </row>
    <row r="1096" spans="1:12" ht="86.4" hidden="1" x14ac:dyDescent="0.3">
      <c r="A1096" s="5">
        <v>18805211</v>
      </c>
      <c r="B1096" s="6" t="s">
        <v>357</v>
      </c>
      <c r="C1096" s="6" t="s">
        <v>358</v>
      </c>
      <c r="D1096" s="8" t="s">
        <v>63</v>
      </c>
      <c r="E1096" s="6" t="s">
        <v>1402</v>
      </c>
      <c r="F1096" s="6" t="s">
        <v>85</v>
      </c>
      <c r="G1096" s="11" t="s">
        <v>56</v>
      </c>
      <c r="I1096" s="10" t="s">
        <v>1405</v>
      </c>
      <c r="J1096" s="6" t="s">
        <v>1406</v>
      </c>
      <c r="K1096" s="12">
        <v>46120.711863425924</v>
      </c>
      <c r="L1096" s="6" t="e" cm="1">
        <f t="array" ref="L1096">LOOKUP(2^15,SEARCH(Tabela2[Palavras-Chave],Boletim4[[#This Row],[Objeto]],1),Tabela2[Palavras-Chave])</f>
        <v>#N/A</v>
      </c>
    </row>
    <row r="1097" spans="1:12" ht="100.8" hidden="1" x14ac:dyDescent="0.3">
      <c r="A1097" s="5">
        <v>18804743</v>
      </c>
      <c r="B1097" s="6" t="s">
        <v>1407</v>
      </c>
      <c r="C1097" s="6" t="s">
        <v>1408</v>
      </c>
      <c r="D1097" s="8" t="s">
        <v>63</v>
      </c>
      <c r="E1097" s="6" t="s">
        <v>128</v>
      </c>
      <c r="F1097" s="6" t="s">
        <v>85</v>
      </c>
      <c r="G1097" s="11">
        <v>46136.375</v>
      </c>
      <c r="I1097" s="10" t="s">
        <v>1409</v>
      </c>
      <c r="J1097" s="6" t="s">
        <v>1410</v>
      </c>
      <c r="K1097" s="12">
        <v>46120.733969907407</v>
      </c>
      <c r="L1097" s="6" t="e" cm="1">
        <f t="array" ref="L1097">LOOKUP(2^15,SEARCH(Tabela2[Palavras-Chave],Boletim4[[#This Row],[Objeto]],1),Tabela2[Palavras-Chave])</f>
        <v>#N/A</v>
      </c>
    </row>
    <row r="1098" spans="1:12" ht="86.4" hidden="1" x14ac:dyDescent="0.3">
      <c r="A1098" s="5">
        <v>18805216</v>
      </c>
      <c r="B1098" s="6" t="s">
        <v>1411</v>
      </c>
      <c r="C1098" s="6" t="s">
        <v>1412</v>
      </c>
      <c r="D1098" s="8" t="s">
        <v>63</v>
      </c>
      <c r="E1098" s="6" t="s">
        <v>377</v>
      </c>
      <c r="F1098" s="6" t="s">
        <v>85</v>
      </c>
      <c r="G1098" s="11" t="s">
        <v>56</v>
      </c>
      <c r="I1098" s="10" t="s">
        <v>1413</v>
      </c>
      <c r="J1098" s="6" t="s">
        <v>1414</v>
      </c>
      <c r="K1098" s="12">
        <v>46120.742303240739</v>
      </c>
      <c r="L1098" s="6" t="e" cm="1">
        <f t="array" ref="L1098">LOOKUP(2^15,SEARCH(Tabela2[Palavras-Chave],Boletim4[[#This Row],[Objeto]],1),Tabela2[Palavras-Chave])</f>
        <v>#N/A</v>
      </c>
    </row>
    <row r="1099" spans="1:12" ht="86.4" hidden="1" x14ac:dyDescent="0.3">
      <c r="A1099" s="5">
        <v>18803472</v>
      </c>
      <c r="B1099" s="6" t="s">
        <v>1415</v>
      </c>
      <c r="C1099" s="6" t="s">
        <v>1416</v>
      </c>
      <c r="D1099" s="8" t="s">
        <v>63</v>
      </c>
      <c r="E1099" s="6" t="s">
        <v>121</v>
      </c>
      <c r="F1099" s="6" t="s">
        <v>85</v>
      </c>
      <c r="G1099" s="11" t="s">
        <v>56</v>
      </c>
      <c r="I1099" s="10" t="s">
        <v>1417</v>
      </c>
      <c r="J1099" s="6" t="s">
        <v>1418</v>
      </c>
      <c r="K1099" s="12">
        <v>46120.75440972222</v>
      </c>
      <c r="L1099" s="6" t="e" cm="1">
        <f t="array" ref="L1099">LOOKUP(2^15,SEARCH(Tabela2[Palavras-Chave],Boletim4[[#This Row],[Objeto]],1),Tabela2[Palavras-Chave])</f>
        <v>#N/A</v>
      </c>
    </row>
    <row r="1100" spans="1:12" ht="86.4" hidden="1" x14ac:dyDescent="0.3">
      <c r="A1100" s="5">
        <v>18803470</v>
      </c>
      <c r="B1100" s="6" t="s">
        <v>1401</v>
      </c>
      <c r="C1100" s="6" t="s">
        <v>1398</v>
      </c>
      <c r="D1100" s="8" t="s">
        <v>63</v>
      </c>
      <c r="E1100" s="6" t="s">
        <v>1222</v>
      </c>
      <c r="F1100" s="6" t="s">
        <v>85</v>
      </c>
      <c r="G1100" s="11" t="s">
        <v>56</v>
      </c>
      <c r="I1100" s="10" t="s">
        <v>2992</v>
      </c>
      <c r="J1100" s="6" t="s">
        <v>2993</v>
      </c>
      <c r="K1100" s="12">
        <v>46120.853587962964</v>
      </c>
      <c r="L1100" s="6" t="e" cm="1">
        <f t="array" ref="L1100">LOOKUP(2^15,SEARCH(Tabela2[Palavras-Chave],Boletim4[[#This Row],[Objeto]],1),Tabela2[Palavras-Chave])</f>
        <v>#N/A</v>
      </c>
    </row>
    <row r="1101" spans="1:12" ht="129.6" hidden="1" x14ac:dyDescent="0.3">
      <c r="A1101" s="5">
        <v>18798049</v>
      </c>
      <c r="B1101" s="6" t="s">
        <v>452</v>
      </c>
      <c r="C1101" s="6" t="s">
        <v>101</v>
      </c>
      <c r="D1101" s="8" t="s">
        <v>64</v>
      </c>
      <c r="E1101" s="6" t="s">
        <v>1419</v>
      </c>
      <c r="F1101" s="6" t="s">
        <v>85</v>
      </c>
      <c r="G1101" s="11">
        <v>46127.395833333336</v>
      </c>
      <c r="I1101" s="10" t="s">
        <v>1420</v>
      </c>
      <c r="J1101" s="6" t="s">
        <v>1421</v>
      </c>
      <c r="K1101" s="12">
        <v>46120.215474537035</v>
      </c>
      <c r="L1101" s="6" t="e" cm="1">
        <f t="array" ref="L1101">LOOKUP(2^15,SEARCH(Tabela2[Palavras-Chave],Boletim4[[#This Row],[Objeto]],1),Tabela2[Palavras-Chave])</f>
        <v>#N/A</v>
      </c>
    </row>
    <row r="1102" spans="1:12" ht="144" hidden="1" x14ac:dyDescent="0.3">
      <c r="A1102" s="5">
        <v>18801441</v>
      </c>
      <c r="B1102" s="6" t="s">
        <v>1422</v>
      </c>
      <c r="C1102" s="6" t="s">
        <v>1423</v>
      </c>
      <c r="D1102" s="8" t="s">
        <v>64</v>
      </c>
      <c r="E1102" s="6" t="s">
        <v>106</v>
      </c>
      <c r="F1102" s="6" t="s">
        <v>85</v>
      </c>
      <c r="G1102" s="11" t="s">
        <v>56</v>
      </c>
      <c r="I1102" s="10" t="s">
        <v>1424</v>
      </c>
      <c r="J1102" s="6" t="s">
        <v>1425</v>
      </c>
      <c r="K1102" s="12">
        <v>46120.457175925927</v>
      </c>
      <c r="L1102" s="6" t="e" cm="1">
        <f t="array" ref="L1102">LOOKUP(2^15,SEARCH(Tabela2[Palavras-Chave],Boletim4[[#This Row],[Objeto]],1),Tabela2[Palavras-Chave])</f>
        <v>#N/A</v>
      </c>
    </row>
    <row r="1103" spans="1:12" ht="244.8" hidden="1" x14ac:dyDescent="0.3">
      <c r="A1103" s="5">
        <v>18801686</v>
      </c>
      <c r="B1103" s="6" t="s">
        <v>1426</v>
      </c>
      <c r="C1103" s="6" t="s">
        <v>1427</v>
      </c>
      <c r="D1103" s="8" t="s">
        <v>64</v>
      </c>
      <c r="E1103" s="6" t="s">
        <v>134</v>
      </c>
      <c r="F1103" s="6" t="s">
        <v>85</v>
      </c>
      <c r="G1103" s="11" t="s">
        <v>56</v>
      </c>
      <c r="I1103" s="10" t="s">
        <v>1428</v>
      </c>
      <c r="J1103" s="6" t="s">
        <v>1429</v>
      </c>
      <c r="K1103" s="12">
        <v>46120.501469907409</v>
      </c>
      <c r="L1103" s="6" t="e" cm="1">
        <f t="array" ref="L1103">LOOKUP(2^15,SEARCH(Tabela2[Palavras-Chave],Boletim4[[#This Row],[Objeto]],1),Tabela2[Palavras-Chave])</f>
        <v>#N/A</v>
      </c>
    </row>
    <row r="1104" spans="1:12" ht="244.8" hidden="1" x14ac:dyDescent="0.3">
      <c r="A1104" s="5">
        <v>18801691</v>
      </c>
      <c r="B1104" s="6" t="s">
        <v>327</v>
      </c>
      <c r="C1104" s="6" t="s">
        <v>326</v>
      </c>
      <c r="D1104" s="8" t="s">
        <v>64</v>
      </c>
      <c r="E1104" s="6" t="s">
        <v>165</v>
      </c>
      <c r="F1104" s="6" t="s">
        <v>85</v>
      </c>
      <c r="G1104" s="11" t="s">
        <v>56</v>
      </c>
      <c r="I1104" s="10" t="s">
        <v>1430</v>
      </c>
      <c r="J1104" s="6" t="s">
        <v>1431</v>
      </c>
      <c r="K1104" s="12">
        <v>46120.52134259259</v>
      </c>
      <c r="L1104" s="6" t="e" cm="1">
        <f t="array" ref="L1104">LOOKUP(2^15,SEARCH(Tabela2[Palavras-Chave],Boletim4[[#This Row],[Objeto]],1),Tabela2[Palavras-Chave])</f>
        <v>#N/A</v>
      </c>
    </row>
    <row r="1105" spans="1:12" ht="259.2" hidden="1" x14ac:dyDescent="0.3">
      <c r="A1105" s="5">
        <v>18801587</v>
      </c>
      <c r="B1105" s="6" t="s">
        <v>1432</v>
      </c>
      <c r="C1105" s="6" t="s">
        <v>1433</v>
      </c>
      <c r="D1105" s="8" t="s">
        <v>64</v>
      </c>
      <c r="E1105" s="6" t="s">
        <v>124</v>
      </c>
      <c r="F1105" s="6" t="s">
        <v>85</v>
      </c>
      <c r="G1105" s="11" t="s">
        <v>56</v>
      </c>
      <c r="I1105" s="10" t="s">
        <v>1434</v>
      </c>
      <c r="J1105" s="6" t="s">
        <v>1435</v>
      </c>
      <c r="K1105" s="12">
        <v>46120.531122685185</v>
      </c>
      <c r="L1105" s="6" t="e" cm="1">
        <f t="array" ref="L1105">LOOKUP(2^15,SEARCH(Tabela2[Palavras-Chave],Boletim4[[#This Row],[Objeto]],1),Tabela2[Palavras-Chave])</f>
        <v>#N/A</v>
      </c>
    </row>
    <row r="1106" spans="1:12" ht="288" hidden="1" x14ac:dyDescent="0.3">
      <c r="A1106" s="5">
        <v>18803163</v>
      </c>
      <c r="B1106" s="6" t="s">
        <v>1436</v>
      </c>
      <c r="C1106" s="6" t="s">
        <v>1437</v>
      </c>
      <c r="D1106" s="8" t="s">
        <v>64</v>
      </c>
      <c r="E1106" s="6" t="s">
        <v>113</v>
      </c>
      <c r="F1106" s="6" t="s">
        <v>85</v>
      </c>
      <c r="G1106" s="11" t="s">
        <v>56</v>
      </c>
      <c r="I1106" s="10" t="s">
        <v>1438</v>
      </c>
      <c r="J1106" s="6" t="s">
        <v>1439</v>
      </c>
      <c r="K1106" s="12">
        <v>46120.532187500001</v>
      </c>
      <c r="L1106" s="6" t="e" cm="1">
        <f t="array" ref="L1106">LOOKUP(2^15,SEARCH(Tabela2[Palavras-Chave],Boletim4[[#This Row],[Objeto]],1),Tabela2[Palavras-Chave])</f>
        <v>#N/A</v>
      </c>
    </row>
    <row r="1107" spans="1:12" ht="28.8" hidden="1" x14ac:dyDescent="0.3">
      <c r="A1107" s="5">
        <v>18801215</v>
      </c>
      <c r="B1107" s="6" t="s">
        <v>175</v>
      </c>
      <c r="C1107" s="6" t="s">
        <v>101</v>
      </c>
      <c r="D1107" s="8" t="s">
        <v>64</v>
      </c>
      <c r="E1107" s="6" t="s">
        <v>106</v>
      </c>
      <c r="F1107" s="6" t="s">
        <v>85</v>
      </c>
      <c r="G1107" s="11">
        <v>46134.375</v>
      </c>
      <c r="I1107" s="10" t="s">
        <v>1440</v>
      </c>
      <c r="J1107" s="6" t="s">
        <v>1441</v>
      </c>
      <c r="K1107" s="12">
        <v>46120.540601851855</v>
      </c>
      <c r="L1107" s="6" t="e" cm="1">
        <f t="array" ref="L1107">LOOKUP(2^15,SEARCH(Tabela2[Palavras-Chave],Boletim4[[#This Row],[Objeto]],1),Tabela2[Palavras-Chave])</f>
        <v>#N/A</v>
      </c>
    </row>
    <row r="1108" spans="1:12" ht="115.2" hidden="1" x14ac:dyDescent="0.3">
      <c r="A1108" s="5">
        <v>18802639</v>
      </c>
      <c r="B1108" s="6" t="s">
        <v>1442</v>
      </c>
      <c r="C1108" s="6" t="s">
        <v>213</v>
      </c>
      <c r="D1108" s="8" t="s">
        <v>64</v>
      </c>
      <c r="E1108" s="6" t="s">
        <v>184</v>
      </c>
      <c r="F1108" s="6" t="s">
        <v>85</v>
      </c>
      <c r="G1108" s="11" t="s">
        <v>56</v>
      </c>
      <c r="I1108" s="10" t="s">
        <v>1443</v>
      </c>
      <c r="J1108" s="6" t="s">
        <v>1444</v>
      </c>
      <c r="K1108" s="12">
        <v>46120.60224537037</v>
      </c>
      <c r="L1108" s="6" t="e" cm="1">
        <f t="array" ref="L1108">LOOKUP(2^15,SEARCH(Tabela2[Palavras-Chave],Boletim4[[#This Row],[Objeto]],1),Tabela2[Palavras-Chave])</f>
        <v>#N/A</v>
      </c>
    </row>
    <row r="1109" spans="1:12" ht="244.8" hidden="1" x14ac:dyDescent="0.3">
      <c r="A1109" s="5">
        <v>18804238</v>
      </c>
      <c r="B1109" s="6" t="s">
        <v>1445</v>
      </c>
      <c r="C1109" s="6" t="s">
        <v>1446</v>
      </c>
      <c r="D1109" s="8" t="s">
        <v>64</v>
      </c>
      <c r="E1109" s="6" t="s">
        <v>126</v>
      </c>
      <c r="F1109" s="6" t="s">
        <v>85</v>
      </c>
      <c r="G1109" s="11" t="s">
        <v>56</v>
      </c>
      <c r="I1109" s="10" t="s">
        <v>1447</v>
      </c>
      <c r="J1109" s="6" t="s">
        <v>1448</v>
      </c>
      <c r="K1109" s="12">
        <v>46120.621863425928</v>
      </c>
      <c r="L1109" s="6" t="e" cm="1">
        <f t="array" ref="L1109">LOOKUP(2^15,SEARCH(Tabela2[Palavras-Chave],Boletim4[[#This Row],[Objeto]],1),Tabela2[Palavras-Chave])</f>
        <v>#N/A</v>
      </c>
    </row>
    <row r="1110" spans="1:12" ht="43.2" hidden="1" x14ac:dyDescent="0.3">
      <c r="A1110" s="5">
        <v>18803446</v>
      </c>
      <c r="B1110" s="6" t="s">
        <v>2994</v>
      </c>
      <c r="C1110" s="6" t="s">
        <v>2995</v>
      </c>
      <c r="D1110" s="8" t="s">
        <v>64</v>
      </c>
      <c r="E1110" s="6" t="s">
        <v>143</v>
      </c>
      <c r="F1110" s="6" t="s">
        <v>85</v>
      </c>
      <c r="G1110" s="11">
        <v>46134.375</v>
      </c>
      <c r="I1110" s="10" t="s">
        <v>2996</v>
      </c>
      <c r="J1110" s="6" t="s">
        <v>2997</v>
      </c>
      <c r="K1110" s="12">
        <v>46120.639409722222</v>
      </c>
      <c r="L1110" s="6" t="e" cm="1">
        <f t="array" ref="L1110">LOOKUP(2^15,SEARCH(Tabela2[Palavras-Chave],Boletim4[[#This Row],[Objeto]],1),Tabela2[Palavras-Chave])</f>
        <v>#N/A</v>
      </c>
    </row>
    <row r="1111" spans="1:12" ht="86.4" hidden="1" x14ac:dyDescent="0.3">
      <c r="A1111" s="5">
        <v>18801442</v>
      </c>
      <c r="B1111" s="6" t="s">
        <v>1445</v>
      </c>
      <c r="C1111" s="6" t="s">
        <v>1446</v>
      </c>
      <c r="D1111" s="8" t="s">
        <v>64</v>
      </c>
      <c r="E1111" s="6" t="s">
        <v>1449</v>
      </c>
      <c r="F1111" s="6" t="s">
        <v>85</v>
      </c>
      <c r="G1111" s="11" t="s">
        <v>56</v>
      </c>
      <c r="I1111" s="10" t="s">
        <v>1450</v>
      </c>
      <c r="J1111" s="6" t="s">
        <v>1451</v>
      </c>
      <c r="K1111" s="12">
        <v>46120.664479166669</v>
      </c>
      <c r="L1111" s="6" t="e" cm="1">
        <f t="array" ref="L1111">LOOKUP(2^15,SEARCH(Tabela2[Palavras-Chave],Boletim4[[#This Row],[Objeto]],1),Tabela2[Palavras-Chave])</f>
        <v>#N/A</v>
      </c>
    </row>
    <row r="1112" spans="1:12" ht="115.2" hidden="1" x14ac:dyDescent="0.3">
      <c r="A1112" s="5">
        <v>18804738</v>
      </c>
      <c r="B1112" s="6" t="s">
        <v>2998</v>
      </c>
      <c r="C1112" s="6" t="s">
        <v>2999</v>
      </c>
      <c r="D1112" s="8" t="s">
        <v>64</v>
      </c>
      <c r="E1112" s="6" t="s">
        <v>205</v>
      </c>
      <c r="F1112" s="6" t="s">
        <v>85</v>
      </c>
      <c r="G1112" s="11">
        <v>46142.354166666664</v>
      </c>
      <c r="I1112" s="10" t="s">
        <v>3000</v>
      </c>
      <c r="J1112" s="6" t="s">
        <v>3001</v>
      </c>
      <c r="K1112" s="12">
        <v>46120.72797453704</v>
      </c>
      <c r="L1112" s="6" t="e" cm="1">
        <f t="array" ref="L1112">LOOKUP(2^15,SEARCH(Tabela2[Palavras-Chave],Boletim4[[#This Row],[Objeto]],1),Tabela2[Palavras-Chave])</f>
        <v>#N/A</v>
      </c>
    </row>
    <row r="1113" spans="1:12" ht="244.8" hidden="1" x14ac:dyDescent="0.3">
      <c r="A1113" s="5">
        <v>18803904</v>
      </c>
      <c r="B1113" s="6" t="s">
        <v>1452</v>
      </c>
      <c r="C1113" s="6" t="s">
        <v>1453</v>
      </c>
      <c r="D1113" s="8" t="s">
        <v>64</v>
      </c>
      <c r="E1113" s="6" t="s">
        <v>155</v>
      </c>
      <c r="F1113" s="6" t="s">
        <v>85</v>
      </c>
      <c r="G1113" s="11" t="s">
        <v>56</v>
      </c>
      <c r="I1113" s="10" t="s">
        <v>1454</v>
      </c>
      <c r="J1113" s="6" t="s">
        <v>1455</v>
      </c>
      <c r="K1113" s="12">
        <v>46120.728888888887</v>
      </c>
      <c r="L1113" s="6" t="e" cm="1">
        <f t="array" ref="L1113">LOOKUP(2^15,SEARCH(Tabela2[Palavras-Chave],Boletim4[[#This Row],[Objeto]],1),Tabela2[Palavras-Chave])</f>
        <v>#N/A</v>
      </c>
    </row>
    <row r="1114" spans="1:12" ht="244.8" hidden="1" x14ac:dyDescent="0.3">
      <c r="A1114" s="5">
        <v>18804200</v>
      </c>
      <c r="B1114" s="6" t="s">
        <v>1456</v>
      </c>
      <c r="C1114" s="6" t="s">
        <v>1457</v>
      </c>
      <c r="D1114" s="8" t="s">
        <v>64</v>
      </c>
      <c r="E1114" s="6" t="s">
        <v>126</v>
      </c>
      <c r="F1114" s="6" t="s">
        <v>85</v>
      </c>
      <c r="G1114" s="11" t="s">
        <v>56</v>
      </c>
      <c r="I1114" s="10" t="s">
        <v>1458</v>
      </c>
      <c r="J1114" s="6" t="s">
        <v>1459</v>
      </c>
      <c r="K1114" s="12">
        <v>46120.73474537037</v>
      </c>
      <c r="L1114" s="6" t="e" cm="1">
        <f t="array" ref="L1114">LOOKUP(2^15,SEARCH(Tabela2[Palavras-Chave],Boletim4[[#This Row],[Objeto]],1),Tabela2[Palavras-Chave])</f>
        <v>#N/A</v>
      </c>
    </row>
    <row r="1115" spans="1:12" ht="172.8" hidden="1" x14ac:dyDescent="0.3">
      <c r="A1115" s="5">
        <v>18805194</v>
      </c>
      <c r="B1115" s="6" t="s">
        <v>1460</v>
      </c>
      <c r="C1115" s="6" t="s">
        <v>1461</v>
      </c>
      <c r="D1115" s="8" t="s">
        <v>64</v>
      </c>
      <c r="E1115" s="6" t="s">
        <v>453</v>
      </c>
      <c r="F1115" s="6" t="s">
        <v>85</v>
      </c>
      <c r="G1115" s="11" t="s">
        <v>56</v>
      </c>
      <c r="I1115" s="10" t="s">
        <v>1462</v>
      </c>
      <c r="J1115" s="6" t="s">
        <v>1463</v>
      </c>
      <c r="K1115" s="12">
        <v>46120.755856481483</v>
      </c>
      <c r="L1115" s="6" t="e" cm="1">
        <f t="array" ref="L1115">LOOKUP(2^15,SEARCH(Tabela2[Palavras-Chave],Boletim4[[#This Row],[Objeto]],1),Tabela2[Palavras-Chave])</f>
        <v>#N/A</v>
      </c>
    </row>
    <row r="1116" spans="1:12" ht="43.2" hidden="1" x14ac:dyDescent="0.3">
      <c r="A1116" s="5">
        <v>18806382</v>
      </c>
      <c r="B1116" s="6" t="s">
        <v>2994</v>
      </c>
      <c r="C1116" s="6" t="s">
        <v>2995</v>
      </c>
      <c r="D1116" s="8" t="s">
        <v>64</v>
      </c>
      <c r="E1116" s="6" t="s">
        <v>142</v>
      </c>
      <c r="F1116" s="6" t="s">
        <v>85</v>
      </c>
      <c r="G1116" s="11">
        <v>46134.416666666664</v>
      </c>
      <c r="I1116" s="10" t="s">
        <v>3002</v>
      </c>
      <c r="J1116" s="6" t="s">
        <v>3003</v>
      </c>
      <c r="K1116" s="12">
        <v>46120.857835648145</v>
      </c>
      <c r="L1116" s="6" t="e" cm="1">
        <f t="array" ref="L1116">LOOKUP(2^15,SEARCH(Tabela2[Palavras-Chave],Boletim4[[#This Row],[Objeto]],1),Tabela2[Palavras-Chave])</f>
        <v>#N/A</v>
      </c>
    </row>
    <row r="1117" spans="1:12" ht="43.2" hidden="1" x14ac:dyDescent="0.3">
      <c r="A1117" s="5">
        <v>18798900</v>
      </c>
      <c r="B1117" s="6" t="s">
        <v>1464</v>
      </c>
      <c r="C1117" s="6" t="s">
        <v>1465</v>
      </c>
      <c r="D1117" s="8" t="s">
        <v>64</v>
      </c>
      <c r="E1117" s="6" t="s">
        <v>366</v>
      </c>
      <c r="F1117" s="6" t="s">
        <v>85</v>
      </c>
      <c r="G1117" s="11">
        <v>46129.375</v>
      </c>
      <c r="I1117" s="10" t="s">
        <v>1466</v>
      </c>
      <c r="J1117" s="6" t="s">
        <v>1467</v>
      </c>
      <c r="K1117" s="12">
        <v>46120.871481481481</v>
      </c>
      <c r="L1117" s="6" t="e" cm="1">
        <f t="array" ref="L1117">LOOKUP(2^15,SEARCH(Tabela2[Palavras-Chave],Boletim4[[#This Row],[Objeto]],1),Tabela2[Palavras-Chave])</f>
        <v>#N/A</v>
      </c>
    </row>
    <row r="1118" spans="1:12" ht="201.6" hidden="1" x14ac:dyDescent="0.3">
      <c r="A1118" s="5">
        <v>18786484</v>
      </c>
      <c r="B1118" s="6" t="s">
        <v>3004</v>
      </c>
      <c r="C1118" s="6" t="s">
        <v>3005</v>
      </c>
      <c r="D1118" s="8" t="s">
        <v>89</v>
      </c>
      <c r="E1118" s="6" t="s">
        <v>127</v>
      </c>
      <c r="F1118" s="6" t="s">
        <v>85</v>
      </c>
      <c r="G1118" s="11" t="s">
        <v>56</v>
      </c>
      <c r="I1118" s="10" t="s">
        <v>3006</v>
      </c>
      <c r="J1118" s="6" t="s">
        <v>3007</v>
      </c>
      <c r="K1118" s="12">
        <v>46120.450775462959</v>
      </c>
      <c r="L1118" s="6" t="e" cm="1">
        <f t="array" ref="L1118">LOOKUP(2^15,SEARCH(Tabela2[Palavras-Chave],Boletim4[[#This Row],[Objeto]],1),Tabela2[Palavras-Chave])</f>
        <v>#N/A</v>
      </c>
    </row>
    <row r="1119" spans="1:12" ht="144" hidden="1" x14ac:dyDescent="0.3">
      <c r="A1119" s="5">
        <v>18787960</v>
      </c>
      <c r="B1119" s="6" t="s">
        <v>3008</v>
      </c>
      <c r="C1119" s="6" t="s">
        <v>3009</v>
      </c>
      <c r="D1119" s="8" t="s">
        <v>89</v>
      </c>
      <c r="E1119" s="6" t="s">
        <v>1402</v>
      </c>
      <c r="F1119" s="6" t="s">
        <v>85</v>
      </c>
      <c r="G1119" s="11" t="s">
        <v>56</v>
      </c>
      <c r="I1119" s="10" t="s">
        <v>3010</v>
      </c>
      <c r="J1119" s="6" t="s">
        <v>3011</v>
      </c>
      <c r="K1119" s="12">
        <v>46120.450787037036</v>
      </c>
      <c r="L1119" s="6" t="e" cm="1">
        <f t="array" ref="L1119">LOOKUP(2^15,SEARCH(Tabela2[Palavras-Chave],Boletim4[[#This Row],[Objeto]],1),Tabela2[Palavras-Chave])</f>
        <v>#N/A</v>
      </c>
    </row>
    <row r="1120" spans="1:12" ht="72" hidden="1" x14ac:dyDescent="0.3">
      <c r="A1120" s="5">
        <v>18794601</v>
      </c>
      <c r="B1120" s="6" t="s">
        <v>3012</v>
      </c>
      <c r="C1120" s="6" t="s">
        <v>3013</v>
      </c>
      <c r="D1120" s="8" t="s">
        <v>89</v>
      </c>
      <c r="E1120" s="6" t="s">
        <v>114</v>
      </c>
      <c r="F1120" s="6" t="s">
        <v>85</v>
      </c>
      <c r="G1120" s="11">
        <v>46134.416666666664</v>
      </c>
      <c r="I1120" s="10" t="s">
        <v>3014</v>
      </c>
      <c r="J1120" s="6" t="s">
        <v>3015</v>
      </c>
      <c r="K1120" s="12">
        <v>46120.450787037036</v>
      </c>
      <c r="L1120" s="6" t="e" cm="1">
        <f t="array" ref="L1120">LOOKUP(2^15,SEARCH(Tabela2[Palavras-Chave],Boletim4[[#This Row],[Objeto]],1),Tabela2[Palavras-Chave])</f>
        <v>#N/A</v>
      </c>
    </row>
    <row r="1121" spans="1:12" ht="43.2" hidden="1" x14ac:dyDescent="0.3">
      <c r="A1121" s="5">
        <v>18802324</v>
      </c>
      <c r="B1121" s="6" t="s">
        <v>3016</v>
      </c>
      <c r="C1121" s="6" t="s">
        <v>3017</v>
      </c>
      <c r="D1121" s="8" t="s">
        <v>89</v>
      </c>
      <c r="E1121" s="6" t="s">
        <v>135</v>
      </c>
      <c r="F1121" s="6" t="s">
        <v>85</v>
      </c>
      <c r="G1121" s="11">
        <v>46129.583333333336</v>
      </c>
      <c r="I1121" s="10" t="s">
        <v>3018</v>
      </c>
      <c r="J1121" s="6" t="s">
        <v>3019</v>
      </c>
      <c r="K1121" s="12">
        <v>46120.51667824074</v>
      </c>
      <c r="L1121" s="6" t="e" cm="1">
        <f t="array" ref="L1121">LOOKUP(2^15,SEARCH(Tabela2[Palavras-Chave],Boletim4[[#This Row],[Objeto]],1),Tabela2[Palavras-Chave])</f>
        <v>#N/A</v>
      </c>
    </row>
    <row r="1122" spans="1:12" ht="129.6" hidden="1" x14ac:dyDescent="0.3">
      <c r="A1122" s="5">
        <v>18802600</v>
      </c>
      <c r="B1122" s="6" t="s">
        <v>1468</v>
      </c>
      <c r="C1122" s="6" t="s">
        <v>159</v>
      </c>
      <c r="D1122" s="8" t="s">
        <v>89</v>
      </c>
      <c r="E1122" s="6" t="s">
        <v>230</v>
      </c>
      <c r="F1122" s="6" t="s">
        <v>85</v>
      </c>
      <c r="G1122" s="11" t="s">
        <v>56</v>
      </c>
      <c r="I1122" s="10" t="s">
        <v>1469</v>
      </c>
      <c r="J1122" s="6" t="s">
        <v>1470</v>
      </c>
      <c r="K1122" s="12">
        <v>46120.587233796294</v>
      </c>
      <c r="L1122" s="6" t="e" cm="1">
        <f t="array" ref="L1122">LOOKUP(2^15,SEARCH(Tabela2[Palavras-Chave],Boletim4[[#This Row],[Objeto]],1),Tabela2[Palavras-Chave])</f>
        <v>#N/A</v>
      </c>
    </row>
    <row r="1123" spans="1:12" ht="115.2" hidden="1" x14ac:dyDescent="0.3">
      <c r="A1123" s="5">
        <v>18802616</v>
      </c>
      <c r="B1123" s="6" t="s">
        <v>266</v>
      </c>
      <c r="C1123" s="6" t="s">
        <v>159</v>
      </c>
      <c r="D1123" s="8" t="s">
        <v>89</v>
      </c>
      <c r="E1123" s="6" t="s">
        <v>1471</v>
      </c>
      <c r="F1123" s="6" t="s">
        <v>85</v>
      </c>
      <c r="G1123" s="11" t="s">
        <v>56</v>
      </c>
      <c r="I1123" s="10" t="s">
        <v>1472</v>
      </c>
      <c r="J1123" s="6" t="s">
        <v>1473</v>
      </c>
      <c r="K1123" s="12">
        <v>46120.726203703707</v>
      </c>
      <c r="L1123" s="6" t="e" cm="1">
        <f t="array" ref="L1123">LOOKUP(2^15,SEARCH(Tabela2[Palavras-Chave],Boletim4[[#This Row],[Objeto]],1),Tabela2[Palavras-Chave])</f>
        <v>#N/A</v>
      </c>
    </row>
    <row r="1124" spans="1:12" ht="115.2" hidden="1" x14ac:dyDescent="0.3">
      <c r="A1124" s="5">
        <v>18804624</v>
      </c>
      <c r="B1124" s="6" t="s">
        <v>3020</v>
      </c>
      <c r="C1124" s="6" t="s">
        <v>159</v>
      </c>
      <c r="D1124" s="8" t="s">
        <v>89</v>
      </c>
      <c r="E1124" s="6" t="s">
        <v>3021</v>
      </c>
      <c r="F1124" s="6" t="s">
        <v>85</v>
      </c>
      <c r="G1124" s="11">
        <v>46135.385416666664</v>
      </c>
      <c r="I1124" s="10" t="s">
        <v>3022</v>
      </c>
      <c r="J1124" s="6" t="s">
        <v>3023</v>
      </c>
      <c r="K1124" s="12">
        <v>46120.732615740744</v>
      </c>
      <c r="L1124" s="6" t="e" cm="1">
        <f t="array" ref="L1124">LOOKUP(2^15,SEARCH(Tabela2[Palavras-Chave],Boletim4[[#This Row],[Objeto]],1),Tabela2[Palavras-Chave])</f>
        <v>#N/A</v>
      </c>
    </row>
    <row r="1125" spans="1:12" ht="115.2" hidden="1" x14ac:dyDescent="0.3">
      <c r="A1125" s="5">
        <v>18804625</v>
      </c>
      <c r="B1125" s="6" t="s">
        <v>3020</v>
      </c>
      <c r="C1125" s="6" t="s">
        <v>159</v>
      </c>
      <c r="D1125" s="8" t="s">
        <v>89</v>
      </c>
      <c r="E1125" s="6" t="s">
        <v>3024</v>
      </c>
      <c r="F1125" s="6" t="s">
        <v>85</v>
      </c>
      <c r="G1125" s="11">
        <v>46146.385416666664</v>
      </c>
      <c r="I1125" s="10" t="s">
        <v>3025</v>
      </c>
      <c r="J1125" s="6" t="s">
        <v>3026</v>
      </c>
      <c r="K1125" s="12">
        <v>46120.739872685182</v>
      </c>
      <c r="L1125" s="6" t="e" cm="1">
        <f t="array" ref="L1125">LOOKUP(2^15,SEARCH(Tabela2[Palavras-Chave],Boletim4[[#This Row],[Objeto]],1),Tabela2[Palavras-Chave])</f>
        <v>#N/A</v>
      </c>
    </row>
    <row r="1126" spans="1:12" ht="43.2" hidden="1" x14ac:dyDescent="0.3">
      <c r="A1126" s="5">
        <v>18805706</v>
      </c>
      <c r="B1126" s="6" t="s">
        <v>3027</v>
      </c>
      <c r="C1126" s="6" t="s">
        <v>3028</v>
      </c>
      <c r="D1126" s="8" t="s">
        <v>89</v>
      </c>
      <c r="E1126" s="6" t="s">
        <v>149</v>
      </c>
      <c r="F1126" s="6" t="s">
        <v>85</v>
      </c>
      <c r="G1126" s="11">
        <v>46136.333333333336</v>
      </c>
      <c r="I1126" s="10" t="s">
        <v>3029</v>
      </c>
      <c r="J1126" s="6" t="s">
        <v>3030</v>
      </c>
      <c r="K1126" s="12">
        <v>46120.765763888892</v>
      </c>
      <c r="L1126" s="6" t="e" cm="1">
        <f t="array" ref="L1126">LOOKUP(2^15,SEARCH(Tabela2[Palavras-Chave],Boletim4[[#This Row],[Objeto]],1),Tabela2[Palavras-Chave])</f>
        <v>#N/A</v>
      </c>
    </row>
    <row r="1127" spans="1:12" ht="86.4" hidden="1" x14ac:dyDescent="0.3">
      <c r="A1127" s="5">
        <v>18806039</v>
      </c>
      <c r="B1127" s="6" t="s">
        <v>1474</v>
      </c>
      <c r="C1127" s="6" t="s">
        <v>1475</v>
      </c>
      <c r="D1127" s="8" t="s">
        <v>89</v>
      </c>
      <c r="E1127" s="6" t="s">
        <v>134</v>
      </c>
      <c r="F1127" s="6" t="s">
        <v>85</v>
      </c>
      <c r="G1127" s="11" t="s">
        <v>56</v>
      </c>
      <c r="I1127" s="10" t="s">
        <v>1476</v>
      </c>
      <c r="J1127" s="6" t="s">
        <v>1477</v>
      </c>
      <c r="K1127" s="12">
        <v>46120.807673611111</v>
      </c>
      <c r="L1127" s="6" t="e" cm="1">
        <f t="array" ref="L1127">LOOKUP(2^15,SEARCH(Tabela2[Palavras-Chave],Boletim4[[#This Row],[Objeto]],1),Tabela2[Palavras-Chave])</f>
        <v>#N/A</v>
      </c>
    </row>
    <row r="1128" spans="1:12" ht="72" hidden="1" x14ac:dyDescent="0.3">
      <c r="A1128" s="5">
        <v>18806220</v>
      </c>
      <c r="B1128" s="6" t="s">
        <v>3031</v>
      </c>
      <c r="C1128" s="6" t="s">
        <v>3032</v>
      </c>
      <c r="D1128" s="8" t="s">
        <v>89</v>
      </c>
      <c r="E1128" s="6" t="s">
        <v>148</v>
      </c>
      <c r="F1128" s="6" t="s">
        <v>85</v>
      </c>
      <c r="G1128" s="11" t="s">
        <v>56</v>
      </c>
      <c r="I1128" s="10" t="s">
        <v>3033</v>
      </c>
      <c r="J1128" s="6" t="s">
        <v>3034</v>
      </c>
      <c r="K1128" s="12">
        <v>46120.837511574071</v>
      </c>
      <c r="L1128" s="6" t="e" cm="1">
        <f t="array" ref="L1128">LOOKUP(2^15,SEARCH(Tabela2[Palavras-Chave],Boletim4[[#This Row],[Objeto]],1),Tabela2[Palavras-Chave])</f>
        <v>#N/A</v>
      </c>
    </row>
    <row r="1129" spans="1:12" ht="86.4" hidden="1" x14ac:dyDescent="0.3">
      <c r="A1129" s="5">
        <v>18806225</v>
      </c>
      <c r="B1129" s="6" t="s">
        <v>3031</v>
      </c>
      <c r="C1129" s="6" t="s">
        <v>3032</v>
      </c>
      <c r="D1129" s="8" t="s">
        <v>89</v>
      </c>
      <c r="E1129" s="6" t="s">
        <v>149</v>
      </c>
      <c r="F1129" s="6" t="s">
        <v>85</v>
      </c>
      <c r="G1129" s="11" t="s">
        <v>56</v>
      </c>
      <c r="I1129" s="10" t="s">
        <v>3035</v>
      </c>
      <c r="J1129" s="6" t="s">
        <v>3036</v>
      </c>
      <c r="K1129" s="12">
        <v>46120.837569444448</v>
      </c>
      <c r="L1129" s="6" t="e" cm="1">
        <f t="array" ref="L1129">LOOKUP(2^15,SEARCH(Tabela2[Palavras-Chave],Boletim4[[#This Row],[Objeto]],1),Tabela2[Palavras-Chave])</f>
        <v>#N/A</v>
      </c>
    </row>
    <row r="1130" spans="1:12" ht="57.6" hidden="1" x14ac:dyDescent="0.3">
      <c r="A1130" s="5">
        <v>18797753</v>
      </c>
      <c r="B1130" s="6" t="s">
        <v>1478</v>
      </c>
      <c r="C1130" s="6" t="s">
        <v>1479</v>
      </c>
      <c r="D1130" s="8" t="s">
        <v>66</v>
      </c>
      <c r="E1130" s="6" t="s">
        <v>117</v>
      </c>
      <c r="F1130" s="6" t="s">
        <v>85</v>
      </c>
      <c r="G1130" s="11">
        <v>46135.583333333336</v>
      </c>
      <c r="I1130" s="10" t="s">
        <v>1480</v>
      </c>
      <c r="J1130" s="6" t="s">
        <v>1481</v>
      </c>
      <c r="K1130" s="12">
        <v>46120.389004629629</v>
      </c>
      <c r="L1130" s="6" t="e" cm="1">
        <f t="array" ref="L1130">LOOKUP(2^15,SEARCH(Tabela2[Palavras-Chave],Boletim4[[#This Row],[Objeto]],1),Tabela2[Palavras-Chave])</f>
        <v>#N/A</v>
      </c>
    </row>
    <row r="1131" spans="1:12" ht="43.2" hidden="1" x14ac:dyDescent="0.3">
      <c r="A1131" s="5">
        <v>18797479</v>
      </c>
      <c r="B1131" s="6" t="s">
        <v>1478</v>
      </c>
      <c r="C1131" s="6" t="s">
        <v>1479</v>
      </c>
      <c r="D1131" s="8" t="s">
        <v>66</v>
      </c>
      <c r="E1131" s="6" t="s">
        <v>120</v>
      </c>
      <c r="F1131" s="6" t="s">
        <v>85</v>
      </c>
      <c r="G1131" s="11">
        <v>46134.541666666664</v>
      </c>
      <c r="I1131" s="10" t="s">
        <v>1482</v>
      </c>
      <c r="J1131" s="6" t="s">
        <v>1483</v>
      </c>
      <c r="K1131" s="12">
        <v>46120.389004629629</v>
      </c>
      <c r="L1131" s="6" t="e" cm="1">
        <f t="array" ref="L1131">LOOKUP(2^15,SEARCH(Tabela2[Palavras-Chave],Boletim4[[#This Row],[Objeto]],1),Tabela2[Palavras-Chave])</f>
        <v>#N/A</v>
      </c>
    </row>
    <row r="1132" spans="1:12" ht="115.2" hidden="1" x14ac:dyDescent="0.3">
      <c r="A1132" s="5">
        <v>18802012</v>
      </c>
      <c r="B1132" s="6" t="s">
        <v>1484</v>
      </c>
      <c r="C1132" s="6" t="s">
        <v>1485</v>
      </c>
      <c r="D1132" s="8" t="s">
        <v>66</v>
      </c>
      <c r="E1132" s="6" t="s">
        <v>122</v>
      </c>
      <c r="F1132" s="6" t="s">
        <v>85</v>
      </c>
      <c r="G1132" s="11">
        <v>46134.374305555553</v>
      </c>
      <c r="I1132" s="10" t="s">
        <v>1486</v>
      </c>
      <c r="J1132" s="6" t="s">
        <v>1487</v>
      </c>
      <c r="K1132" s="12">
        <v>46120.445752314816</v>
      </c>
      <c r="L1132" s="6" t="e" cm="1">
        <f t="array" ref="L1132">LOOKUP(2^15,SEARCH(Tabela2[Palavras-Chave],Boletim4[[#This Row],[Objeto]],1),Tabela2[Palavras-Chave])</f>
        <v>#N/A</v>
      </c>
    </row>
    <row r="1133" spans="1:12" ht="28.8" hidden="1" x14ac:dyDescent="0.3">
      <c r="A1133" s="5">
        <v>18797404</v>
      </c>
      <c r="B1133" s="6" t="s">
        <v>1488</v>
      </c>
      <c r="C1133" s="6" t="s">
        <v>1489</v>
      </c>
      <c r="D1133" s="8" t="s">
        <v>66</v>
      </c>
      <c r="E1133" s="6" t="s">
        <v>110</v>
      </c>
      <c r="F1133" s="6" t="s">
        <v>85</v>
      </c>
      <c r="G1133" s="11">
        <v>46126.334027777775</v>
      </c>
      <c r="I1133" s="10" t="s">
        <v>1490</v>
      </c>
      <c r="J1133" s="6" t="s">
        <v>1491</v>
      </c>
      <c r="K1133" s="12">
        <v>46120.450798611113</v>
      </c>
      <c r="L1133" s="6" t="e" cm="1">
        <f t="array" ref="L1133">LOOKUP(2^15,SEARCH(Tabela2[Palavras-Chave],Boletim4[[#This Row],[Objeto]],1),Tabela2[Palavras-Chave])</f>
        <v>#N/A</v>
      </c>
    </row>
    <row r="1134" spans="1:12" ht="72" hidden="1" x14ac:dyDescent="0.3">
      <c r="A1134" s="5">
        <v>18802245</v>
      </c>
      <c r="B1134" s="6" t="s">
        <v>74</v>
      </c>
      <c r="C1134" s="6" t="s">
        <v>65</v>
      </c>
      <c r="D1134" s="8" t="s">
        <v>66</v>
      </c>
      <c r="E1134" s="6" t="s">
        <v>2981</v>
      </c>
      <c r="F1134" s="6" t="s">
        <v>85</v>
      </c>
      <c r="G1134" s="11" t="s">
        <v>56</v>
      </c>
      <c r="I1134" s="10" t="s">
        <v>2982</v>
      </c>
      <c r="J1134" s="6" t="s">
        <v>2983</v>
      </c>
      <c r="K1134" s="12">
        <v>46120.468124999999</v>
      </c>
      <c r="L1134" s="6" t="e" cm="1">
        <f t="array" ref="L1134">LOOKUP(2^15,SEARCH(Tabela2[Palavras-Chave],Boletim4[[#This Row],[Objeto]],1),Tabela2[Palavras-Chave])</f>
        <v>#N/A</v>
      </c>
    </row>
    <row r="1135" spans="1:12" ht="158.4" hidden="1" x14ac:dyDescent="0.3">
      <c r="A1135" s="5">
        <v>18801477</v>
      </c>
      <c r="B1135" s="6" t="s">
        <v>1492</v>
      </c>
      <c r="C1135" s="6" t="s">
        <v>1493</v>
      </c>
      <c r="D1135" s="8" t="s">
        <v>66</v>
      </c>
      <c r="E1135" s="6" t="s">
        <v>1494</v>
      </c>
      <c r="F1135" s="6" t="s">
        <v>85</v>
      </c>
      <c r="G1135" s="11" t="s">
        <v>56</v>
      </c>
      <c r="I1135" s="10" t="s">
        <v>1495</v>
      </c>
      <c r="J1135" s="6" t="s">
        <v>1496</v>
      </c>
      <c r="K1135" s="12">
        <v>46120.475405092591</v>
      </c>
      <c r="L1135" s="6" t="e" cm="1">
        <f t="array" ref="L1135">LOOKUP(2^15,SEARCH(Tabela2[Palavras-Chave],Boletim4[[#This Row],[Objeto]],1),Tabela2[Palavras-Chave])</f>
        <v>#N/A</v>
      </c>
    </row>
    <row r="1136" spans="1:12" ht="259.2" hidden="1" x14ac:dyDescent="0.3">
      <c r="A1136" s="5">
        <v>18801597</v>
      </c>
      <c r="B1136" s="6" t="s">
        <v>1497</v>
      </c>
      <c r="C1136" s="6" t="s">
        <v>1498</v>
      </c>
      <c r="D1136" s="8" t="s">
        <v>66</v>
      </c>
      <c r="E1136" s="6" t="s">
        <v>1499</v>
      </c>
      <c r="F1136" s="6" t="s">
        <v>85</v>
      </c>
      <c r="G1136" s="11" t="s">
        <v>56</v>
      </c>
      <c r="I1136" s="10" t="s">
        <v>1500</v>
      </c>
      <c r="J1136" s="6" t="s">
        <v>1501</v>
      </c>
      <c r="K1136" s="12">
        <v>46120.49181712963</v>
      </c>
      <c r="L1136" s="6" t="e" cm="1">
        <f t="array" ref="L1136">LOOKUP(2^15,SEARCH(Tabela2[Palavras-Chave],Boletim4[[#This Row],[Objeto]],1),Tabela2[Palavras-Chave])</f>
        <v>#N/A</v>
      </c>
    </row>
    <row r="1137" spans="1:12" ht="72" hidden="1" x14ac:dyDescent="0.3">
      <c r="A1137" s="5">
        <v>18802301</v>
      </c>
      <c r="B1137" s="6" t="s">
        <v>3037</v>
      </c>
      <c r="C1137" s="6" t="s">
        <v>3038</v>
      </c>
      <c r="D1137" s="8" t="s">
        <v>66</v>
      </c>
      <c r="E1137" s="6" t="s">
        <v>145</v>
      </c>
      <c r="F1137" s="6" t="s">
        <v>85</v>
      </c>
      <c r="G1137" s="11">
        <v>46127.333333333336</v>
      </c>
      <c r="I1137" s="10" t="s">
        <v>3039</v>
      </c>
      <c r="J1137" s="6" t="s">
        <v>3040</v>
      </c>
      <c r="K1137" s="12">
        <v>46120.501886574071</v>
      </c>
      <c r="L1137" s="6" t="e" cm="1">
        <f t="array" ref="L1137">LOOKUP(2^15,SEARCH(Tabela2[Palavras-Chave],Boletim4[[#This Row],[Objeto]],1),Tabela2[Palavras-Chave])</f>
        <v>#N/A</v>
      </c>
    </row>
    <row r="1138" spans="1:12" ht="86.4" hidden="1" x14ac:dyDescent="0.3">
      <c r="A1138" s="5">
        <v>18801460</v>
      </c>
      <c r="B1138" s="6" t="s">
        <v>2430</v>
      </c>
      <c r="C1138" s="6" t="s">
        <v>2431</v>
      </c>
      <c r="D1138" s="8" t="s">
        <v>66</v>
      </c>
      <c r="E1138" s="6" t="s">
        <v>3041</v>
      </c>
      <c r="F1138" s="6" t="s">
        <v>85</v>
      </c>
      <c r="G1138" s="11" t="s">
        <v>56</v>
      </c>
      <c r="I1138" s="10" t="s">
        <v>3042</v>
      </c>
      <c r="J1138" s="6" t="s">
        <v>3043</v>
      </c>
      <c r="K1138" s="12">
        <v>46120.518865740742</v>
      </c>
      <c r="L1138" s="6" t="e" cm="1">
        <f t="array" ref="L1138">LOOKUP(2^15,SEARCH(Tabela2[Palavras-Chave],Boletim4[[#This Row],[Objeto]],1),Tabela2[Palavras-Chave])</f>
        <v>#N/A</v>
      </c>
    </row>
    <row r="1139" spans="1:12" ht="129.6" hidden="1" x14ac:dyDescent="0.3">
      <c r="A1139" s="5">
        <v>18802805</v>
      </c>
      <c r="B1139" s="6" t="s">
        <v>1502</v>
      </c>
      <c r="C1139" s="6" t="s">
        <v>65</v>
      </c>
      <c r="D1139" s="8" t="s">
        <v>66</v>
      </c>
      <c r="E1139" s="6" t="s">
        <v>268</v>
      </c>
      <c r="F1139" s="6" t="s">
        <v>85</v>
      </c>
      <c r="G1139" s="11" t="s">
        <v>56</v>
      </c>
      <c r="I1139" s="10" t="s">
        <v>1503</v>
      </c>
      <c r="J1139" s="6" t="s">
        <v>1504</v>
      </c>
      <c r="K1139" s="12">
        <v>46120.519675925927</v>
      </c>
      <c r="L1139" s="6" t="e" cm="1">
        <f t="array" ref="L1139">LOOKUP(2^15,SEARCH(Tabela2[Palavras-Chave],Boletim4[[#This Row],[Objeto]],1),Tabela2[Palavras-Chave])</f>
        <v>#N/A</v>
      </c>
    </row>
    <row r="1140" spans="1:12" ht="100.8" hidden="1" x14ac:dyDescent="0.3">
      <c r="A1140" s="5">
        <v>18801459</v>
      </c>
      <c r="B1140" s="6" t="s">
        <v>1505</v>
      </c>
      <c r="C1140" s="6" t="s">
        <v>1506</v>
      </c>
      <c r="D1140" s="8" t="s">
        <v>66</v>
      </c>
      <c r="E1140" s="6" t="s">
        <v>121</v>
      </c>
      <c r="F1140" s="6" t="s">
        <v>85</v>
      </c>
      <c r="G1140" s="11" t="s">
        <v>56</v>
      </c>
      <c r="I1140" s="10" t="s">
        <v>1507</v>
      </c>
      <c r="J1140" s="6" t="s">
        <v>1508</v>
      </c>
      <c r="K1140" s="12">
        <v>46120.526458333334</v>
      </c>
      <c r="L1140" s="6" t="e" cm="1">
        <f t="array" ref="L1140">LOOKUP(2^15,SEARCH(Tabela2[Palavras-Chave],Boletim4[[#This Row],[Objeto]],1),Tabela2[Palavras-Chave])</f>
        <v>#N/A</v>
      </c>
    </row>
    <row r="1141" spans="1:12" ht="115.2" hidden="1" x14ac:dyDescent="0.3">
      <c r="A1141" s="5">
        <v>18802806</v>
      </c>
      <c r="B1141" s="6" t="s">
        <v>364</v>
      </c>
      <c r="C1141" s="6" t="s">
        <v>365</v>
      </c>
      <c r="D1141" s="8" t="s">
        <v>66</v>
      </c>
      <c r="E1141" s="6" t="s">
        <v>392</v>
      </c>
      <c r="F1141" s="6" t="s">
        <v>85</v>
      </c>
      <c r="G1141" s="11" t="s">
        <v>56</v>
      </c>
      <c r="I1141" s="10" t="s">
        <v>1509</v>
      </c>
      <c r="J1141" s="6" t="s">
        <v>1510</v>
      </c>
      <c r="K1141" s="12">
        <v>46120.528136574074</v>
      </c>
      <c r="L1141" s="6" t="e" cm="1">
        <f t="array" ref="L1141">LOOKUP(2^15,SEARCH(Tabela2[Palavras-Chave],Boletim4[[#This Row],[Objeto]],1),Tabela2[Palavras-Chave])</f>
        <v>#N/A</v>
      </c>
    </row>
    <row r="1142" spans="1:12" ht="43.2" hidden="1" x14ac:dyDescent="0.3">
      <c r="A1142" s="5">
        <v>18802229</v>
      </c>
      <c r="B1142" s="6" t="s">
        <v>1511</v>
      </c>
      <c r="C1142" s="6" t="s">
        <v>1512</v>
      </c>
      <c r="D1142" s="8" t="s">
        <v>66</v>
      </c>
      <c r="E1142" s="6" t="s">
        <v>166</v>
      </c>
      <c r="F1142" s="6" t="s">
        <v>85</v>
      </c>
      <c r="G1142" s="11">
        <v>46134.333333333336</v>
      </c>
      <c r="I1142" s="10" t="s">
        <v>1513</v>
      </c>
      <c r="J1142" s="6" t="s">
        <v>1514</v>
      </c>
      <c r="K1142" s="12">
        <v>46120.618159722224</v>
      </c>
      <c r="L1142" s="6" t="e" cm="1">
        <f t="array" ref="L1142">LOOKUP(2^15,SEARCH(Tabela2[Palavras-Chave],Boletim4[[#This Row],[Objeto]],1),Tabela2[Palavras-Chave])</f>
        <v>#N/A</v>
      </c>
    </row>
    <row r="1143" spans="1:12" ht="115.2" hidden="1" x14ac:dyDescent="0.3">
      <c r="A1143" s="5">
        <v>18801998</v>
      </c>
      <c r="B1143" s="6" t="s">
        <v>1484</v>
      </c>
      <c r="C1143" s="6" t="s">
        <v>1485</v>
      </c>
      <c r="D1143" s="8" t="s">
        <v>66</v>
      </c>
      <c r="E1143" s="6" t="s">
        <v>117</v>
      </c>
      <c r="F1143" s="6" t="s">
        <v>85</v>
      </c>
      <c r="G1143" s="11">
        <v>46135.374305555553</v>
      </c>
      <c r="I1143" s="10" t="s">
        <v>1515</v>
      </c>
      <c r="J1143" s="6" t="s">
        <v>1516</v>
      </c>
      <c r="K1143" s="12">
        <v>46120.556759259256</v>
      </c>
      <c r="L1143" s="6" t="e" cm="1">
        <f t="array" ref="L1143">LOOKUP(2^15,SEARCH(Tabela2[Palavras-Chave],Boletim4[[#This Row],[Objeto]],1),Tabela2[Palavras-Chave])</f>
        <v>#N/A</v>
      </c>
    </row>
    <row r="1144" spans="1:12" ht="100.8" hidden="1" x14ac:dyDescent="0.3">
      <c r="A1144" s="5">
        <v>18802471</v>
      </c>
      <c r="B1144" s="6" t="s">
        <v>1517</v>
      </c>
      <c r="C1144" s="6" t="s">
        <v>1518</v>
      </c>
      <c r="D1144" s="8" t="s">
        <v>66</v>
      </c>
      <c r="E1144" s="6" t="s">
        <v>108</v>
      </c>
      <c r="F1144" s="6" t="s">
        <v>85</v>
      </c>
      <c r="G1144" s="11">
        <v>46140.375</v>
      </c>
      <c r="I1144" s="10" t="s">
        <v>1519</v>
      </c>
      <c r="J1144" s="6" t="s">
        <v>1520</v>
      </c>
      <c r="K1144" s="12">
        <v>46120.618148148147</v>
      </c>
      <c r="L1144" s="6" t="e" cm="1">
        <f t="array" ref="L1144">LOOKUP(2^15,SEARCH(Tabela2[Palavras-Chave],Boletim4[[#This Row],[Objeto]],1),Tabela2[Palavras-Chave])</f>
        <v>#N/A</v>
      </c>
    </row>
    <row r="1145" spans="1:12" ht="244.8" hidden="1" x14ac:dyDescent="0.3">
      <c r="A1145" s="5">
        <v>18760948</v>
      </c>
      <c r="B1145" s="6" t="s">
        <v>2584</v>
      </c>
      <c r="C1145" s="6" t="s">
        <v>2585</v>
      </c>
      <c r="D1145" s="8" t="s">
        <v>66</v>
      </c>
      <c r="E1145" s="6" t="s">
        <v>108</v>
      </c>
      <c r="F1145" s="6" t="s">
        <v>85</v>
      </c>
      <c r="G1145" s="11" t="s">
        <v>56</v>
      </c>
      <c r="I1145" s="10" t="s">
        <v>3044</v>
      </c>
      <c r="J1145" s="6" t="s">
        <v>3045</v>
      </c>
      <c r="K1145" s="12">
        <v>46120.567997685182</v>
      </c>
      <c r="L1145" s="6" t="e" cm="1">
        <f t="array" ref="L1145">LOOKUP(2^15,SEARCH(Tabela2[Palavras-Chave],Boletim4[[#This Row],[Objeto]],1),Tabela2[Palavras-Chave])</f>
        <v>#N/A</v>
      </c>
    </row>
    <row r="1146" spans="1:12" ht="86.4" hidden="1" x14ac:dyDescent="0.3">
      <c r="A1146" s="5">
        <v>18803486</v>
      </c>
      <c r="B1146" s="6" t="s">
        <v>1521</v>
      </c>
      <c r="C1146" s="6" t="s">
        <v>1522</v>
      </c>
      <c r="D1146" s="8" t="s">
        <v>66</v>
      </c>
      <c r="E1146" s="6" t="s">
        <v>1499</v>
      </c>
      <c r="F1146" s="6" t="s">
        <v>85</v>
      </c>
      <c r="G1146" s="11" t="s">
        <v>56</v>
      </c>
      <c r="I1146" s="10" t="s">
        <v>1523</v>
      </c>
      <c r="J1146" s="6" t="s">
        <v>1524</v>
      </c>
      <c r="K1146" s="12">
        <v>46120.6174537037</v>
      </c>
      <c r="L1146" s="6" t="e" cm="1">
        <f t="array" ref="L1146">LOOKUP(2^15,SEARCH(Tabela2[Palavras-Chave],Boletim4[[#This Row],[Objeto]],1),Tabela2[Palavras-Chave])</f>
        <v>#N/A</v>
      </c>
    </row>
    <row r="1147" spans="1:12" ht="86.4" hidden="1" x14ac:dyDescent="0.3">
      <c r="A1147" s="5">
        <v>18676524</v>
      </c>
      <c r="B1147" s="6" t="s">
        <v>2471</v>
      </c>
      <c r="C1147" s="6" t="s">
        <v>2472</v>
      </c>
      <c r="D1147" s="8" t="s">
        <v>66</v>
      </c>
      <c r="E1147" s="6" t="s">
        <v>146</v>
      </c>
      <c r="F1147" s="6" t="s">
        <v>85</v>
      </c>
      <c r="G1147" s="11" t="s">
        <v>56</v>
      </c>
      <c r="I1147" s="10" t="s">
        <v>3046</v>
      </c>
      <c r="J1147" s="6" t="s">
        <v>3047</v>
      </c>
      <c r="K1147" s="12">
        <v>46120.568599537037</v>
      </c>
      <c r="L1147" s="6" t="e" cm="1">
        <f t="array" ref="L1147">LOOKUP(2^15,SEARCH(Tabela2[Palavras-Chave],Boletim4[[#This Row],[Objeto]],1),Tabela2[Palavras-Chave])</f>
        <v>#N/A</v>
      </c>
    </row>
    <row r="1148" spans="1:12" ht="273.60000000000002" hidden="1" x14ac:dyDescent="0.3">
      <c r="A1148" s="5">
        <v>18803143</v>
      </c>
      <c r="B1148" s="6" t="s">
        <v>3048</v>
      </c>
      <c r="C1148" s="6" t="s">
        <v>3049</v>
      </c>
      <c r="D1148" s="8" t="s">
        <v>66</v>
      </c>
      <c r="E1148" s="6" t="s">
        <v>454</v>
      </c>
      <c r="F1148" s="6" t="s">
        <v>85</v>
      </c>
      <c r="G1148" s="11" t="s">
        <v>56</v>
      </c>
      <c r="I1148" s="10" t="s">
        <v>3050</v>
      </c>
      <c r="J1148" s="6" t="s">
        <v>3051</v>
      </c>
      <c r="K1148" s="12">
        <v>46120.569432870368</v>
      </c>
      <c r="L1148" s="6" t="e" cm="1">
        <f t="array" ref="L1148">LOOKUP(2^15,SEARCH(Tabela2[Palavras-Chave],Boletim4[[#This Row],[Objeto]],1),Tabela2[Palavras-Chave])</f>
        <v>#N/A</v>
      </c>
    </row>
    <row r="1149" spans="1:12" ht="72" hidden="1" x14ac:dyDescent="0.3">
      <c r="A1149" s="5">
        <v>18796639</v>
      </c>
      <c r="B1149" s="6" t="s">
        <v>1525</v>
      </c>
      <c r="C1149" s="6" t="s">
        <v>1526</v>
      </c>
      <c r="D1149" s="8" t="s">
        <v>66</v>
      </c>
      <c r="E1149" s="6" t="s">
        <v>114</v>
      </c>
      <c r="F1149" s="6" t="s">
        <v>85</v>
      </c>
      <c r="G1149" s="11">
        <v>46140.374305555553</v>
      </c>
      <c r="I1149" s="10" t="s">
        <v>1527</v>
      </c>
      <c r="J1149" s="6" t="s">
        <v>1528</v>
      </c>
      <c r="K1149" s="12">
        <v>46120.586898148147</v>
      </c>
      <c r="L1149" s="6" t="e" cm="1">
        <f t="array" ref="L1149">LOOKUP(2^15,SEARCH(Tabela2[Palavras-Chave],Boletim4[[#This Row],[Objeto]],1),Tabela2[Palavras-Chave])</f>
        <v>#N/A</v>
      </c>
    </row>
    <row r="1150" spans="1:12" ht="129.6" hidden="1" x14ac:dyDescent="0.3">
      <c r="A1150" s="5">
        <v>18803116</v>
      </c>
      <c r="B1150" s="6" t="s">
        <v>3052</v>
      </c>
      <c r="C1150" s="6" t="s">
        <v>3053</v>
      </c>
      <c r="D1150" s="8" t="s">
        <v>66</v>
      </c>
      <c r="E1150" s="6" t="s">
        <v>3054</v>
      </c>
      <c r="F1150" s="6" t="s">
        <v>85</v>
      </c>
      <c r="G1150" s="11" t="s">
        <v>56</v>
      </c>
      <c r="I1150" s="10" t="s">
        <v>3055</v>
      </c>
      <c r="J1150" s="6" t="s">
        <v>3056</v>
      </c>
      <c r="K1150" s="12">
        <v>46120.60497685185</v>
      </c>
      <c r="L1150" s="6" t="e" cm="1">
        <f t="array" ref="L1150">LOOKUP(2^15,SEARCH(Tabela2[Palavras-Chave],Boletim4[[#This Row],[Objeto]],1),Tabela2[Palavras-Chave])</f>
        <v>#N/A</v>
      </c>
    </row>
    <row r="1151" spans="1:12" ht="115.2" hidden="1" x14ac:dyDescent="0.3">
      <c r="A1151" s="5">
        <v>18802788</v>
      </c>
      <c r="B1151" s="6" t="s">
        <v>1529</v>
      </c>
      <c r="C1151" s="6" t="s">
        <v>1530</v>
      </c>
      <c r="D1151" s="8" t="s">
        <v>66</v>
      </c>
      <c r="E1151" s="6" t="s">
        <v>157</v>
      </c>
      <c r="F1151" s="6" t="s">
        <v>85</v>
      </c>
      <c r="G1151" s="11" t="s">
        <v>56</v>
      </c>
      <c r="I1151" s="10" t="s">
        <v>1531</v>
      </c>
      <c r="J1151" s="6" t="s">
        <v>1532</v>
      </c>
      <c r="K1151" s="12">
        <v>46120.606932870367</v>
      </c>
      <c r="L1151" s="6" t="e" cm="1">
        <f t="array" ref="L1151">LOOKUP(2^15,SEARCH(Tabela2[Palavras-Chave],Boletim4[[#This Row],[Objeto]],1),Tabela2[Palavras-Chave])</f>
        <v>#N/A</v>
      </c>
    </row>
    <row r="1152" spans="1:12" ht="100.8" hidden="1" x14ac:dyDescent="0.3">
      <c r="A1152" s="5">
        <v>18804014</v>
      </c>
      <c r="B1152" s="6" t="s">
        <v>1533</v>
      </c>
      <c r="C1152" s="6" t="s">
        <v>1534</v>
      </c>
      <c r="D1152" s="8" t="s">
        <v>66</v>
      </c>
      <c r="E1152" s="6" t="s">
        <v>127</v>
      </c>
      <c r="F1152" s="6" t="s">
        <v>85</v>
      </c>
      <c r="G1152" s="11">
        <v>46139.333333333336</v>
      </c>
      <c r="I1152" s="10" t="s">
        <v>1535</v>
      </c>
      <c r="J1152" s="6" t="s">
        <v>1536</v>
      </c>
      <c r="K1152" s="12">
        <v>46120.611793981479</v>
      </c>
      <c r="L1152" s="6" t="e" cm="1">
        <f t="array" ref="L1152">LOOKUP(2^15,SEARCH(Tabela2[Palavras-Chave],Boletim4[[#This Row],[Objeto]],1),Tabela2[Palavras-Chave])</f>
        <v>#N/A</v>
      </c>
    </row>
    <row r="1153" spans="1:12" ht="72" hidden="1" x14ac:dyDescent="0.3">
      <c r="A1153" s="5">
        <v>18804172</v>
      </c>
      <c r="B1153" s="6" t="s">
        <v>1537</v>
      </c>
      <c r="C1153" s="6" t="s">
        <v>1538</v>
      </c>
      <c r="D1153" s="8" t="s">
        <v>66</v>
      </c>
      <c r="E1153" s="6" t="s">
        <v>1499</v>
      </c>
      <c r="F1153" s="6" t="s">
        <v>85</v>
      </c>
      <c r="G1153" s="11">
        <v>46134.334027777775</v>
      </c>
      <c r="I1153" s="10" t="s">
        <v>1539</v>
      </c>
      <c r="J1153" s="6" t="s">
        <v>1540</v>
      </c>
      <c r="K1153" s="12">
        <v>46120.624768518515</v>
      </c>
      <c r="L1153" s="6" t="e" cm="1">
        <f t="array" ref="L1153">LOOKUP(2^15,SEARCH(Tabela2[Palavras-Chave],Boletim4[[#This Row],[Objeto]],1),Tabela2[Palavras-Chave])</f>
        <v>#N/A</v>
      </c>
    </row>
    <row r="1154" spans="1:12" ht="100.8" hidden="1" x14ac:dyDescent="0.3">
      <c r="A1154" s="5">
        <v>18804074</v>
      </c>
      <c r="B1154" s="6" t="s">
        <v>1541</v>
      </c>
      <c r="C1154" s="6" t="s">
        <v>1542</v>
      </c>
      <c r="D1154" s="8" t="s">
        <v>66</v>
      </c>
      <c r="E1154" s="6" t="s">
        <v>165</v>
      </c>
      <c r="F1154" s="6" t="s">
        <v>85</v>
      </c>
      <c r="G1154" s="11">
        <v>46134.415972222225</v>
      </c>
      <c r="I1154" s="10" t="s">
        <v>1543</v>
      </c>
      <c r="J1154" s="6" t="s">
        <v>1544</v>
      </c>
      <c r="K1154" s="12">
        <v>46120.62736111111</v>
      </c>
      <c r="L1154" s="6" t="e" cm="1">
        <f t="array" ref="L1154">LOOKUP(2^15,SEARCH(Tabela2[Palavras-Chave],Boletim4[[#This Row],[Objeto]],1),Tabela2[Palavras-Chave])</f>
        <v>#N/A</v>
      </c>
    </row>
    <row r="1155" spans="1:12" ht="100.8" hidden="1" x14ac:dyDescent="0.3">
      <c r="A1155" s="5">
        <v>18804039</v>
      </c>
      <c r="B1155" s="6" t="s">
        <v>1545</v>
      </c>
      <c r="C1155" s="6" t="s">
        <v>1546</v>
      </c>
      <c r="D1155" s="8" t="s">
        <v>66</v>
      </c>
      <c r="E1155" s="6" t="s">
        <v>155</v>
      </c>
      <c r="F1155" s="6" t="s">
        <v>85</v>
      </c>
      <c r="G1155" s="11">
        <v>46134.333333333336</v>
      </c>
      <c r="I1155" s="10" t="s">
        <v>1547</v>
      </c>
      <c r="J1155" s="6" t="s">
        <v>1548</v>
      </c>
      <c r="K1155" s="12">
        <v>46120.634189814817</v>
      </c>
      <c r="L1155" s="6" t="e" cm="1">
        <f t="array" ref="L1155">LOOKUP(2^15,SEARCH(Tabela2[Palavras-Chave],Boletim4[[#This Row],[Objeto]],1),Tabela2[Palavras-Chave])</f>
        <v>#N/A</v>
      </c>
    </row>
    <row r="1156" spans="1:12" ht="129.6" hidden="1" x14ac:dyDescent="0.3">
      <c r="A1156" s="5">
        <v>18803865</v>
      </c>
      <c r="B1156" s="6" t="s">
        <v>1484</v>
      </c>
      <c r="C1156" s="6" t="s">
        <v>1485</v>
      </c>
      <c r="D1156" s="8" t="s">
        <v>66</v>
      </c>
      <c r="E1156" s="6" t="s">
        <v>115</v>
      </c>
      <c r="F1156" s="6" t="s">
        <v>85</v>
      </c>
      <c r="G1156" s="11">
        <v>46132.374305555553</v>
      </c>
      <c r="I1156" s="10" t="s">
        <v>1549</v>
      </c>
      <c r="J1156" s="6" t="s">
        <v>1550</v>
      </c>
      <c r="K1156" s="12">
        <v>46120.64025462963</v>
      </c>
      <c r="L1156" s="6" t="e" cm="1">
        <f t="array" ref="L1156">LOOKUP(2^15,SEARCH(Tabela2[Palavras-Chave],Boletim4[[#This Row],[Objeto]],1),Tabela2[Palavras-Chave])</f>
        <v>#N/A</v>
      </c>
    </row>
    <row r="1157" spans="1:12" ht="100.8" hidden="1" x14ac:dyDescent="0.3">
      <c r="A1157" s="5">
        <v>18802348</v>
      </c>
      <c r="B1157" s="6" t="s">
        <v>1551</v>
      </c>
      <c r="C1157" s="6" t="s">
        <v>65</v>
      </c>
      <c r="D1157" s="8" t="s">
        <v>66</v>
      </c>
      <c r="E1157" s="6" t="s">
        <v>1552</v>
      </c>
      <c r="F1157" s="6" t="s">
        <v>85</v>
      </c>
      <c r="G1157" s="11" t="s">
        <v>56</v>
      </c>
      <c r="I1157" s="10" t="s">
        <v>1553</v>
      </c>
      <c r="J1157" s="6" t="s">
        <v>1554</v>
      </c>
      <c r="K1157" s="12">
        <v>46120.64298611111</v>
      </c>
      <c r="L1157" s="6" t="e" cm="1">
        <f t="array" ref="L1157">LOOKUP(2^15,SEARCH(Tabela2[Palavras-Chave],Boletim4[[#This Row],[Objeto]],1),Tabela2[Palavras-Chave])</f>
        <v>#N/A</v>
      </c>
    </row>
    <row r="1158" spans="1:12" ht="115.2" hidden="1" x14ac:dyDescent="0.3">
      <c r="A1158" s="5">
        <v>18802786</v>
      </c>
      <c r="B1158" s="6" t="s">
        <v>1555</v>
      </c>
      <c r="C1158" s="6" t="s">
        <v>65</v>
      </c>
      <c r="D1158" s="8" t="s">
        <v>66</v>
      </c>
      <c r="E1158" s="6" t="s">
        <v>157</v>
      </c>
      <c r="F1158" s="6" t="s">
        <v>85</v>
      </c>
      <c r="G1158" s="11" t="s">
        <v>56</v>
      </c>
      <c r="I1158" s="10" t="s">
        <v>1556</v>
      </c>
      <c r="J1158" s="6" t="s">
        <v>1557</v>
      </c>
      <c r="K1158" s="12">
        <v>46120.656851851854</v>
      </c>
      <c r="L1158" s="6" t="e" cm="1">
        <f t="array" ref="L1158">LOOKUP(2^15,SEARCH(Tabela2[Palavras-Chave],Boletim4[[#This Row],[Objeto]],1),Tabela2[Palavras-Chave])</f>
        <v>#N/A</v>
      </c>
    </row>
    <row r="1159" spans="1:12" ht="129.6" hidden="1" x14ac:dyDescent="0.3">
      <c r="A1159" s="5">
        <v>18802807</v>
      </c>
      <c r="B1159" s="6" t="s">
        <v>1558</v>
      </c>
      <c r="C1159" s="6" t="s">
        <v>1559</v>
      </c>
      <c r="D1159" s="8" t="s">
        <v>66</v>
      </c>
      <c r="E1159" s="6" t="s">
        <v>284</v>
      </c>
      <c r="F1159" s="6" t="s">
        <v>85</v>
      </c>
      <c r="G1159" s="11" t="s">
        <v>56</v>
      </c>
      <c r="I1159" s="10" t="s">
        <v>1560</v>
      </c>
      <c r="J1159" s="6" t="s">
        <v>1561</v>
      </c>
      <c r="K1159" s="12">
        <v>46120.661041666666</v>
      </c>
      <c r="L1159" s="6" t="e" cm="1">
        <f t="array" ref="L1159">LOOKUP(2^15,SEARCH(Tabela2[Palavras-Chave],Boletim4[[#This Row],[Objeto]],1),Tabela2[Palavras-Chave])</f>
        <v>#N/A</v>
      </c>
    </row>
    <row r="1160" spans="1:12" ht="115.2" hidden="1" x14ac:dyDescent="0.3">
      <c r="A1160" s="5">
        <v>18802768</v>
      </c>
      <c r="B1160" s="6" t="s">
        <v>1562</v>
      </c>
      <c r="C1160" s="6" t="s">
        <v>233</v>
      </c>
      <c r="D1160" s="8" t="s">
        <v>66</v>
      </c>
      <c r="E1160" s="6" t="s">
        <v>140</v>
      </c>
      <c r="F1160" s="6" t="s">
        <v>85</v>
      </c>
      <c r="G1160" s="11" t="s">
        <v>56</v>
      </c>
      <c r="I1160" s="10" t="s">
        <v>1563</v>
      </c>
      <c r="J1160" s="6" t="s">
        <v>1564</v>
      </c>
      <c r="K1160" s="12">
        <v>46120.66265046296</v>
      </c>
      <c r="L1160" s="6" t="e" cm="1">
        <f t="array" ref="L1160">LOOKUP(2^15,SEARCH(Tabela2[Palavras-Chave],Boletim4[[#This Row],[Objeto]],1),Tabela2[Palavras-Chave])</f>
        <v>#N/A</v>
      </c>
    </row>
    <row r="1161" spans="1:12" ht="86.4" x14ac:dyDescent="0.3">
      <c r="A1161" s="5">
        <v>18803693</v>
      </c>
      <c r="B1161" s="6" t="s">
        <v>1565</v>
      </c>
      <c r="C1161" s="6" t="s">
        <v>1566</v>
      </c>
      <c r="D1161" s="8" t="s">
        <v>66</v>
      </c>
      <c r="E1161" s="6" t="s">
        <v>1567</v>
      </c>
      <c r="F1161" s="6" t="s">
        <v>85</v>
      </c>
      <c r="G1161" s="11" t="s">
        <v>56</v>
      </c>
      <c r="H1161" s="23">
        <v>2</v>
      </c>
      <c r="I1161" s="10" t="s">
        <v>1568</v>
      </c>
      <c r="J1161" s="6" t="s">
        <v>1569</v>
      </c>
      <c r="K1161" s="12">
        <v>46120.662870370368</v>
      </c>
      <c r="L1161" s="6" t="str" cm="1">
        <f t="array" ref="L1161">LOOKUP(2^15,SEARCH(Tabela2[Palavras-Chave],Boletim4[[#This Row],[Objeto]],1),Tabela2[Palavras-Chave])</f>
        <v>JUNTA</v>
      </c>
    </row>
    <row r="1162" spans="1:12" ht="100.8" hidden="1" x14ac:dyDescent="0.3">
      <c r="A1162" s="5">
        <v>18804736</v>
      </c>
      <c r="B1162" s="6" t="s">
        <v>866</v>
      </c>
      <c r="C1162" s="6" t="s">
        <v>299</v>
      </c>
      <c r="D1162" s="8" t="s">
        <v>66</v>
      </c>
      <c r="E1162" s="6" t="s">
        <v>402</v>
      </c>
      <c r="F1162" s="6" t="s">
        <v>85</v>
      </c>
      <c r="G1162" s="11">
        <v>46140.552083333336</v>
      </c>
      <c r="I1162" s="10" t="s">
        <v>1570</v>
      </c>
      <c r="J1162" s="6" t="s">
        <v>1571</v>
      </c>
      <c r="K1162" s="12">
        <v>46120.695949074077</v>
      </c>
      <c r="L1162" s="6" t="e" cm="1">
        <f t="array" ref="L1162">LOOKUP(2^15,SEARCH(Tabela2[Palavras-Chave],Boletim4[[#This Row],[Objeto]],1),Tabela2[Palavras-Chave])</f>
        <v>#N/A</v>
      </c>
    </row>
    <row r="1163" spans="1:12" ht="86.4" hidden="1" x14ac:dyDescent="0.3">
      <c r="A1163" s="5">
        <v>18805210</v>
      </c>
      <c r="B1163" s="6" t="s">
        <v>3057</v>
      </c>
      <c r="C1163" s="6" t="s">
        <v>3058</v>
      </c>
      <c r="D1163" s="8" t="s">
        <v>66</v>
      </c>
      <c r="E1163" s="6" t="s">
        <v>108</v>
      </c>
      <c r="F1163" s="6" t="s">
        <v>85</v>
      </c>
      <c r="G1163" s="11" t="s">
        <v>56</v>
      </c>
      <c r="I1163" s="10" t="s">
        <v>3059</v>
      </c>
      <c r="J1163" s="6" t="s">
        <v>3060</v>
      </c>
      <c r="K1163" s="12">
        <v>46120.742395833331</v>
      </c>
      <c r="L1163" s="6" t="e" cm="1">
        <f t="array" ref="L1163">LOOKUP(2^15,SEARCH(Tabela2[Palavras-Chave],Boletim4[[#This Row],[Objeto]],1),Tabela2[Palavras-Chave])</f>
        <v>#N/A</v>
      </c>
    </row>
    <row r="1164" spans="1:12" ht="72" hidden="1" x14ac:dyDescent="0.3">
      <c r="A1164" s="5">
        <v>18804298</v>
      </c>
      <c r="B1164" s="6" t="s">
        <v>367</v>
      </c>
      <c r="C1164" s="6" t="s">
        <v>368</v>
      </c>
      <c r="D1164" s="8" t="s">
        <v>66</v>
      </c>
      <c r="E1164" s="6" t="s">
        <v>148</v>
      </c>
      <c r="F1164" s="6" t="s">
        <v>85</v>
      </c>
      <c r="G1164" s="11">
        <v>46136.354166666664</v>
      </c>
      <c r="I1164" s="10" t="s">
        <v>1572</v>
      </c>
      <c r="J1164" s="6" t="s">
        <v>1573</v>
      </c>
      <c r="K1164" s="12">
        <v>46120.722268518519</v>
      </c>
      <c r="L1164" s="6" t="e" cm="1">
        <f t="array" ref="L1164">LOOKUP(2^15,SEARCH(Tabela2[Palavras-Chave],Boletim4[[#This Row],[Objeto]],1),Tabela2[Palavras-Chave])</f>
        <v>#N/A</v>
      </c>
    </row>
    <row r="1165" spans="1:12" ht="57.6" hidden="1" x14ac:dyDescent="0.3">
      <c r="A1165" s="5">
        <v>18804683</v>
      </c>
      <c r="B1165" s="6" t="s">
        <v>99</v>
      </c>
      <c r="C1165" s="6" t="s">
        <v>65</v>
      </c>
      <c r="D1165" s="8" t="s">
        <v>66</v>
      </c>
      <c r="E1165" s="6" t="s">
        <v>3061</v>
      </c>
      <c r="F1165" s="6" t="s">
        <v>85</v>
      </c>
      <c r="G1165" s="11">
        <v>46147.604166666664</v>
      </c>
      <c r="I1165" s="10" t="s">
        <v>3062</v>
      </c>
      <c r="J1165" s="6" t="s">
        <v>3063</v>
      </c>
      <c r="K1165" s="12">
        <v>46120.729664351849</v>
      </c>
      <c r="L1165" s="6" t="e" cm="1">
        <f t="array" ref="L1165">LOOKUP(2^15,SEARCH(Tabela2[Palavras-Chave],Boletim4[[#This Row],[Objeto]],1),Tabela2[Palavras-Chave])</f>
        <v>#N/A</v>
      </c>
    </row>
    <row r="1166" spans="1:12" ht="72" hidden="1" x14ac:dyDescent="0.3">
      <c r="A1166" s="5">
        <v>18804682</v>
      </c>
      <c r="B1166" s="6" t="s">
        <v>99</v>
      </c>
      <c r="C1166" s="6" t="s">
        <v>65</v>
      </c>
      <c r="D1166" s="8" t="s">
        <v>66</v>
      </c>
      <c r="E1166" s="6" t="s">
        <v>3064</v>
      </c>
      <c r="F1166" s="6" t="s">
        <v>85</v>
      </c>
      <c r="G1166" s="11">
        <v>46147.354166666664</v>
      </c>
      <c r="I1166" s="10" t="s">
        <v>3065</v>
      </c>
      <c r="J1166" s="6" t="s">
        <v>3066</v>
      </c>
      <c r="K1166" s="12">
        <v>46120.729699074072</v>
      </c>
      <c r="L1166" s="6" t="e" cm="1">
        <f t="array" ref="L1166">LOOKUP(2^15,SEARCH(Tabela2[Palavras-Chave],Boletim4[[#This Row],[Objeto]],1),Tabela2[Palavras-Chave])</f>
        <v>#N/A</v>
      </c>
    </row>
    <row r="1167" spans="1:12" ht="115.2" hidden="1" x14ac:dyDescent="0.3">
      <c r="A1167" s="5">
        <v>18802796</v>
      </c>
      <c r="B1167" s="6" t="s">
        <v>1555</v>
      </c>
      <c r="C1167" s="6" t="s">
        <v>65</v>
      </c>
      <c r="D1167" s="8" t="s">
        <v>66</v>
      </c>
      <c r="E1167" s="6" t="s">
        <v>112</v>
      </c>
      <c r="F1167" s="6" t="s">
        <v>85</v>
      </c>
      <c r="G1167" s="11" t="s">
        <v>56</v>
      </c>
      <c r="I1167" s="10" t="s">
        <v>1574</v>
      </c>
      <c r="J1167" s="6" t="s">
        <v>1575</v>
      </c>
      <c r="K1167" s="12">
        <v>46120.733981481484</v>
      </c>
      <c r="L1167" s="6" t="e" cm="1">
        <f t="array" ref="L1167">LOOKUP(2^15,SEARCH(Tabela2[Palavras-Chave],Boletim4[[#This Row],[Objeto]],1),Tabela2[Palavras-Chave])</f>
        <v>#N/A</v>
      </c>
    </row>
    <row r="1168" spans="1:12" ht="115.2" hidden="1" x14ac:dyDescent="0.3">
      <c r="A1168" s="5">
        <v>18802730</v>
      </c>
      <c r="B1168" s="6" t="s">
        <v>1576</v>
      </c>
      <c r="C1168" s="6" t="s">
        <v>233</v>
      </c>
      <c r="D1168" s="8" t="s">
        <v>66</v>
      </c>
      <c r="E1168" s="6" t="s">
        <v>157</v>
      </c>
      <c r="F1168" s="6" t="s">
        <v>85</v>
      </c>
      <c r="G1168" s="11" t="s">
        <v>56</v>
      </c>
      <c r="I1168" s="10" t="s">
        <v>1577</v>
      </c>
      <c r="J1168" s="6" t="s">
        <v>1578</v>
      </c>
      <c r="K1168" s="12">
        <v>46120.734756944446</v>
      </c>
      <c r="L1168" s="6" t="e" cm="1">
        <f t="array" ref="L1168">LOOKUP(2^15,SEARCH(Tabela2[Palavras-Chave],Boletim4[[#This Row],[Objeto]],1),Tabela2[Palavras-Chave])</f>
        <v>#N/A</v>
      </c>
    </row>
    <row r="1169" spans="1:12" ht="259.2" hidden="1" x14ac:dyDescent="0.3">
      <c r="A1169" s="5">
        <v>18801643</v>
      </c>
      <c r="B1169" s="6" t="s">
        <v>3067</v>
      </c>
      <c r="C1169" s="6" t="s">
        <v>3068</v>
      </c>
      <c r="D1169" s="8" t="s">
        <v>66</v>
      </c>
      <c r="E1169" s="6" t="s">
        <v>381</v>
      </c>
      <c r="F1169" s="6" t="s">
        <v>85</v>
      </c>
      <c r="G1169" s="11" t="s">
        <v>56</v>
      </c>
      <c r="I1169" s="10" t="s">
        <v>3069</v>
      </c>
      <c r="J1169" s="6" t="s">
        <v>3070</v>
      </c>
      <c r="K1169" s="12">
        <v>46120.735439814816</v>
      </c>
      <c r="L1169" s="6" t="e" cm="1">
        <f t="array" ref="L1169">LOOKUP(2^15,SEARCH(Tabela2[Palavras-Chave],Boletim4[[#This Row],[Objeto]],1),Tabela2[Palavras-Chave])</f>
        <v>#N/A</v>
      </c>
    </row>
    <row r="1170" spans="1:12" ht="115.2" hidden="1" x14ac:dyDescent="0.3">
      <c r="A1170" s="5">
        <v>18802785</v>
      </c>
      <c r="B1170" s="6" t="s">
        <v>363</v>
      </c>
      <c r="C1170" s="6" t="s">
        <v>328</v>
      </c>
      <c r="D1170" s="8" t="s">
        <v>66</v>
      </c>
      <c r="E1170" s="6" t="s">
        <v>152</v>
      </c>
      <c r="F1170" s="6" t="s">
        <v>85</v>
      </c>
      <c r="G1170" s="11" t="s">
        <v>56</v>
      </c>
      <c r="I1170" s="10" t="s">
        <v>1579</v>
      </c>
      <c r="J1170" s="6" t="s">
        <v>1580</v>
      </c>
      <c r="K1170" s="12">
        <v>46120.735925925925</v>
      </c>
      <c r="L1170" s="6" t="e" cm="1">
        <f t="array" ref="L1170">LOOKUP(2^15,SEARCH(Tabela2[Palavras-Chave],Boletim4[[#This Row],[Objeto]],1),Tabela2[Palavras-Chave])</f>
        <v>#N/A</v>
      </c>
    </row>
    <row r="1171" spans="1:12" ht="115.2" hidden="1" x14ac:dyDescent="0.3">
      <c r="A1171" s="5">
        <v>18802770</v>
      </c>
      <c r="B1171" s="6" t="s">
        <v>1581</v>
      </c>
      <c r="C1171" s="6" t="s">
        <v>1566</v>
      </c>
      <c r="D1171" s="8" t="s">
        <v>66</v>
      </c>
      <c r="E1171" s="6" t="s">
        <v>238</v>
      </c>
      <c r="F1171" s="6" t="s">
        <v>85</v>
      </c>
      <c r="G1171" s="11" t="s">
        <v>56</v>
      </c>
      <c r="I1171" s="10" t="s">
        <v>1582</v>
      </c>
      <c r="J1171" s="6" t="s">
        <v>1583</v>
      </c>
      <c r="K1171" s="12">
        <v>46120.736087962963</v>
      </c>
      <c r="L1171" s="6" t="e" cm="1">
        <f t="array" ref="L1171">LOOKUP(2^15,SEARCH(Tabela2[Palavras-Chave],Boletim4[[#This Row],[Objeto]],1),Tabela2[Palavras-Chave])</f>
        <v>#N/A</v>
      </c>
    </row>
    <row r="1172" spans="1:12" ht="57.6" hidden="1" x14ac:dyDescent="0.3">
      <c r="A1172" s="5">
        <v>18805514</v>
      </c>
      <c r="B1172" s="6" t="s">
        <v>361</v>
      </c>
      <c r="C1172" s="6" t="s">
        <v>362</v>
      </c>
      <c r="D1172" s="8" t="s">
        <v>66</v>
      </c>
      <c r="E1172" s="6" t="s">
        <v>128</v>
      </c>
      <c r="F1172" s="6" t="s">
        <v>85</v>
      </c>
      <c r="G1172" s="11">
        <v>46135.333333333336</v>
      </c>
      <c r="I1172" s="10" t="s">
        <v>1584</v>
      </c>
      <c r="J1172" s="6" t="s">
        <v>1585</v>
      </c>
      <c r="K1172" s="12">
        <v>46120.82571759259</v>
      </c>
      <c r="L1172" s="6" t="e" cm="1">
        <f t="array" ref="L1172">LOOKUP(2^15,SEARCH(Tabela2[Palavras-Chave],Boletim4[[#This Row],[Objeto]],1),Tabela2[Palavras-Chave])</f>
        <v>#N/A</v>
      </c>
    </row>
    <row r="1173" spans="1:12" ht="86.4" hidden="1" x14ac:dyDescent="0.3">
      <c r="A1173" s="5">
        <v>18804225</v>
      </c>
      <c r="B1173" s="6" t="s">
        <v>1586</v>
      </c>
      <c r="C1173" s="6" t="s">
        <v>1587</v>
      </c>
      <c r="D1173" s="8" t="s">
        <v>66</v>
      </c>
      <c r="E1173" s="6" t="s">
        <v>223</v>
      </c>
      <c r="F1173" s="6" t="s">
        <v>85</v>
      </c>
      <c r="G1173" s="11">
        <v>46132.395833333336</v>
      </c>
      <c r="I1173" s="10" t="s">
        <v>1588</v>
      </c>
      <c r="J1173" s="6" t="s">
        <v>1589</v>
      </c>
      <c r="K1173" s="12">
        <v>46120.738252314812</v>
      </c>
      <c r="L1173" s="6" t="e" cm="1">
        <f t="array" ref="L1173">LOOKUP(2^15,SEARCH(Tabela2[Palavras-Chave],Boletim4[[#This Row],[Objeto]],1),Tabela2[Palavras-Chave])</f>
        <v>#N/A</v>
      </c>
    </row>
    <row r="1174" spans="1:12" ht="57.6" hidden="1" x14ac:dyDescent="0.3">
      <c r="A1174" s="5">
        <v>18804462</v>
      </c>
      <c r="B1174" s="6" t="s">
        <v>3071</v>
      </c>
      <c r="C1174" s="6" t="s">
        <v>65</v>
      </c>
      <c r="D1174" s="8" t="s">
        <v>66</v>
      </c>
      <c r="E1174" s="6" t="s">
        <v>3072</v>
      </c>
      <c r="F1174" s="6" t="s">
        <v>85</v>
      </c>
      <c r="G1174" s="11" t="s">
        <v>56</v>
      </c>
      <c r="I1174" s="10" t="s">
        <v>3073</v>
      </c>
      <c r="J1174" s="6" t="s">
        <v>3074</v>
      </c>
      <c r="K1174" s="12">
        <v>46120.746782407405</v>
      </c>
      <c r="L1174" s="6" t="e" cm="1">
        <f t="array" ref="L1174">LOOKUP(2^15,SEARCH(Tabela2[Palavras-Chave],Boletim4[[#This Row],[Objeto]],1),Tabela2[Palavras-Chave])</f>
        <v>#N/A</v>
      </c>
    </row>
    <row r="1175" spans="1:12" ht="129.6" hidden="1" x14ac:dyDescent="0.3">
      <c r="A1175" s="5">
        <v>18804818</v>
      </c>
      <c r="B1175" s="6" t="s">
        <v>3071</v>
      </c>
      <c r="C1175" s="6" t="s">
        <v>65</v>
      </c>
      <c r="D1175" s="8" t="s">
        <v>66</v>
      </c>
      <c r="E1175" s="6" t="s">
        <v>404</v>
      </c>
      <c r="F1175" s="6" t="s">
        <v>85</v>
      </c>
      <c r="G1175" s="11">
        <v>46147.375</v>
      </c>
      <c r="I1175" s="10" t="s">
        <v>3075</v>
      </c>
      <c r="J1175" s="6" t="s">
        <v>3076</v>
      </c>
      <c r="K1175" s="12">
        <v>46120.747187499997</v>
      </c>
      <c r="L1175" s="6" t="e" cm="1">
        <f t="array" ref="L1175">LOOKUP(2^15,SEARCH(Tabela2[Palavras-Chave],Boletim4[[#This Row],[Objeto]],1),Tabela2[Palavras-Chave])</f>
        <v>#N/A</v>
      </c>
    </row>
    <row r="1176" spans="1:12" ht="43.2" hidden="1" x14ac:dyDescent="0.3">
      <c r="A1176" s="5">
        <v>18804667</v>
      </c>
      <c r="B1176" s="6" t="s">
        <v>1590</v>
      </c>
      <c r="C1176" s="6" t="s">
        <v>1591</v>
      </c>
      <c r="D1176" s="8" t="s">
        <v>66</v>
      </c>
      <c r="E1176" s="6" t="s">
        <v>1499</v>
      </c>
      <c r="F1176" s="6" t="s">
        <v>85</v>
      </c>
      <c r="G1176" s="11">
        <v>46134.375</v>
      </c>
      <c r="I1176" s="10" t="s">
        <v>1592</v>
      </c>
      <c r="J1176" s="6" t="s">
        <v>1593</v>
      </c>
      <c r="K1176" s="12">
        <v>46120.753495370373</v>
      </c>
      <c r="L1176" s="6" t="e" cm="1">
        <f t="array" ref="L1176">LOOKUP(2^15,SEARCH(Tabela2[Palavras-Chave],Boletim4[[#This Row],[Objeto]],1),Tabela2[Palavras-Chave])</f>
        <v>#N/A</v>
      </c>
    </row>
    <row r="1177" spans="1:12" ht="115.2" hidden="1" x14ac:dyDescent="0.3">
      <c r="A1177" s="5">
        <v>18805640</v>
      </c>
      <c r="B1177" s="6" t="s">
        <v>1594</v>
      </c>
      <c r="C1177" s="6" t="s">
        <v>1595</v>
      </c>
      <c r="D1177" s="8" t="s">
        <v>66</v>
      </c>
      <c r="E1177" s="6" t="s">
        <v>435</v>
      </c>
      <c r="F1177" s="6" t="s">
        <v>85</v>
      </c>
      <c r="G1177" s="11">
        <v>46129.333333333336</v>
      </c>
      <c r="I1177" s="10" t="s">
        <v>1596</v>
      </c>
      <c r="J1177" s="6" t="s">
        <v>1597</v>
      </c>
      <c r="K1177" s="12">
        <v>46120.758958333332</v>
      </c>
      <c r="L1177" s="6" t="e" cm="1">
        <f t="array" ref="L1177">LOOKUP(2^15,SEARCH(Tabela2[Palavras-Chave],Boletim4[[#This Row],[Objeto]],1),Tabela2[Palavras-Chave])</f>
        <v>#N/A</v>
      </c>
    </row>
    <row r="1178" spans="1:12" ht="43.2" hidden="1" x14ac:dyDescent="0.3">
      <c r="A1178" s="5">
        <v>18804651</v>
      </c>
      <c r="B1178" s="6" t="s">
        <v>1598</v>
      </c>
      <c r="C1178" s="6" t="s">
        <v>1599</v>
      </c>
      <c r="D1178" s="8" t="s">
        <v>66</v>
      </c>
      <c r="E1178" s="6" t="s">
        <v>120</v>
      </c>
      <c r="F1178" s="6" t="s">
        <v>85</v>
      </c>
      <c r="G1178" s="11">
        <v>46135.375</v>
      </c>
      <c r="I1178" s="10" t="s">
        <v>1600</v>
      </c>
      <c r="J1178" s="6" t="s">
        <v>1601</v>
      </c>
      <c r="K1178" s="12">
        <v>46120.759780092594</v>
      </c>
      <c r="L1178" s="6" t="e" cm="1">
        <f t="array" ref="L1178">LOOKUP(2^15,SEARCH(Tabela2[Palavras-Chave],Boletim4[[#This Row],[Objeto]],1),Tabela2[Palavras-Chave])</f>
        <v>#N/A</v>
      </c>
    </row>
    <row r="1179" spans="1:12" ht="244.8" hidden="1" x14ac:dyDescent="0.3">
      <c r="A1179" s="5">
        <v>18805656</v>
      </c>
      <c r="B1179" s="6" t="s">
        <v>1602</v>
      </c>
      <c r="C1179" s="6" t="s">
        <v>1603</v>
      </c>
      <c r="D1179" s="8" t="s">
        <v>66</v>
      </c>
      <c r="E1179" s="6" t="s">
        <v>134</v>
      </c>
      <c r="F1179" s="6" t="s">
        <v>85</v>
      </c>
      <c r="G1179" s="11" t="s">
        <v>56</v>
      </c>
      <c r="I1179" s="10" t="s">
        <v>1604</v>
      </c>
      <c r="J1179" s="6" t="s">
        <v>1605</v>
      </c>
      <c r="K1179" s="12">
        <v>46120.762048611112</v>
      </c>
      <c r="L1179" s="6" t="e" cm="1">
        <f t="array" ref="L1179">LOOKUP(2^15,SEARCH(Tabela2[Palavras-Chave],Boletim4[[#This Row],[Objeto]],1),Tabela2[Palavras-Chave])</f>
        <v>#N/A</v>
      </c>
    </row>
    <row r="1180" spans="1:12" ht="72" x14ac:dyDescent="0.3">
      <c r="A1180" s="5">
        <v>18805757</v>
      </c>
      <c r="B1180" s="6" t="s">
        <v>1606</v>
      </c>
      <c r="C1180" s="6" t="s">
        <v>1607</v>
      </c>
      <c r="D1180" s="8" t="s">
        <v>66</v>
      </c>
      <c r="E1180" s="6" t="s">
        <v>143</v>
      </c>
      <c r="F1180" s="6" t="s">
        <v>85</v>
      </c>
      <c r="G1180" s="11">
        <v>46146.354166666664</v>
      </c>
      <c r="H1180" s="23">
        <v>2</v>
      </c>
      <c r="I1180" s="10" t="s">
        <v>1608</v>
      </c>
      <c r="J1180" s="6" t="s">
        <v>1609</v>
      </c>
      <c r="K1180" s="12">
        <v>46120.80976851852</v>
      </c>
      <c r="L1180" s="6" t="str" cm="1">
        <f t="array" ref="L1180">LOOKUP(2^15,SEARCH(Tabela2[Palavras-Chave],Boletim4[[#This Row],[Objeto]],1),Tabela2[Palavras-Chave])</f>
        <v>BOMBEAMENTO</v>
      </c>
    </row>
    <row r="1181" spans="1:12" ht="100.8" hidden="1" x14ac:dyDescent="0.3">
      <c r="A1181" s="5">
        <v>18805756</v>
      </c>
      <c r="B1181" s="6" t="s">
        <v>373</v>
      </c>
      <c r="C1181" s="6" t="s">
        <v>233</v>
      </c>
      <c r="D1181" s="8" t="s">
        <v>66</v>
      </c>
      <c r="E1181" s="6" t="s">
        <v>265</v>
      </c>
      <c r="F1181" s="6" t="s">
        <v>85</v>
      </c>
      <c r="G1181" s="11">
        <v>46139.354166666664</v>
      </c>
      <c r="I1181" s="10" t="s">
        <v>1610</v>
      </c>
      <c r="J1181" s="6" t="s">
        <v>1611</v>
      </c>
      <c r="K1181" s="12">
        <v>46120.829039351855</v>
      </c>
      <c r="L1181" s="6" t="e" cm="1">
        <f t="array" ref="L1181">LOOKUP(2^15,SEARCH(Tabela2[Palavras-Chave],Boletim4[[#This Row],[Objeto]],1),Tabela2[Palavras-Chave])</f>
        <v>#N/A</v>
      </c>
    </row>
    <row r="1182" spans="1:12" ht="57.6" hidden="1" x14ac:dyDescent="0.3">
      <c r="A1182" s="5">
        <v>18804688</v>
      </c>
      <c r="B1182" s="6" t="s">
        <v>99</v>
      </c>
      <c r="C1182" s="6" t="s">
        <v>65</v>
      </c>
      <c r="D1182" s="8" t="s">
        <v>66</v>
      </c>
      <c r="E1182" s="6" t="s">
        <v>3077</v>
      </c>
      <c r="F1182" s="6" t="s">
        <v>85</v>
      </c>
      <c r="G1182" s="11">
        <v>46140.375</v>
      </c>
      <c r="I1182" s="10" t="s">
        <v>3078</v>
      </c>
      <c r="J1182" s="6" t="s">
        <v>3079</v>
      </c>
      <c r="K1182" s="12">
        <v>46120.767685185187</v>
      </c>
      <c r="L1182" s="6" t="e" cm="1">
        <f t="array" ref="L1182">LOOKUP(2^15,SEARCH(Tabela2[Palavras-Chave],Boletim4[[#This Row],[Objeto]],1),Tabela2[Palavras-Chave])</f>
        <v>#N/A</v>
      </c>
    </row>
    <row r="1183" spans="1:12" ht="72" hidden="1" x14ac:dyDescent="0.3">
      <c r="A1183" s="5">
        <v>18803928</v>
      </c>
      <c r="B1183" s="6" t="s">
        <v>1612</v>
      </c>
      <c r="C1183" s="6" t="s">
        <v>1613</v>
      </c>
      <c r="D1183" s="8" t="s">
        <v>66</v>
      </c>
      <c r="E1183" s="6" t="s">
        <v>142</v>
      </c>
      <c r="F1183" s="6" t="s">
        <v>85</v>
      </c>
      <c r="G1183" s="11">
        <v>46136.332638888889</v>
      </c>
      <c r="I1183" s="10" t="s">
        <v>1614</v>
      </c>
      <c r="J1183" s="6" t="s">
        <v>1615</v>
      </c>
      <c r="K1183" s="12">
        <v>46120.777592592596</v>
      </c>
      <c r="L1183" s="6" t="e" cm="1">
        <f t="array" ref="L1183">LOOKUP(2^15,SEARCH(Tabela2[Palavras-Chave],Boletim4[[#This Row],[Objeto]],1),Tabela2[Palavras-Chave])</f>
        <v>#N/A</v>
      </c>
    </row>
    <row r="1184" spans="1:12" ht="43.2" hidden="1" x14ac:dyDescent="0.3">
      <c r="A1184" s="5">
        <v>18805729</v>
      </c>
      <c r="B1184" s="6" t="s">
        <v>3080</v>
      </c>
      <c r="C1184" s="6" t="s">
        <v>3081</v>
      </c>
      <c r="D1184" s="8" t="s">
        <v>66</v>
      </c>
      <c r="E1184" s="6" t="s">
        <v>244</v>
      </c>
      <c r="F1184" s="6" t="s">
        <v>85</v>
      </c>
      <c r="G1184" s="11" t="s">
        <v>56</v>
      </c>
      <c r="I1184" s="10" t="s">
        <v>3082</v>
      </c>
      <c r="J1184" s="6" t="s">
        <v>3083</v>
      </c>
      <c r="K1184" s="12">
        <v>46120.805219907408</v>
      </c>
      <c r="L1184" s="6" t="e" cm="1">
        <f t="array" ref="L1184">LOOKUP(2^15,SEARCH(Tabela2[Palavras-Chave],Boletim4[[#This Row],[Objeto]],1),Tabela2[Palavras-Chave])</f>
        <v>#N/A</v>
      </c>
    </row>
    <row r="1185" spans="1:12" ht="86.4" hidden="1" x14ac:dyDescent="0.3">
      <c r="A1185" s="5">
        <v>18806068</v>
      </c>
      <c r="B1185" s="6" t="s">
        <v>1616</v>
      </c>
      <c r="C1185" s="6" t="s">
        <v>1617</v>
      </c>
      <c r="D1185" s="8" t="s">
        <v>66</v>
      </c>
      <c r="E1185" s="6" t="s">
        <v>374</v>
      </c>
      <c r="F1185" s="6" t="s">
        <v>85</v>
      </c>
      <c r="G1185" s="11" t="s">
        <v>56</v>
      </c>
      <c r="I1185" s="10" t="s">
        <v>1618</v>
      </c>
      <c r="J1185" s="6" t="s">
        <v>1619</v>
      </c>
      <c r="K1185" s="12">
        <v>46120.813935185186</v>
      </c>
      <c r="L1185" s="6" t="e" cm="1">
        <f t="array" ref="L1185">LOOKUP(2^15,SEARCH(Tabela2[Palavras-Chave],Boletim4[[#This Row],[Objeto]],1),Tabela2[Palavras-Chave])</f>
        <v>#N/A</v>
      </c>
    </row>
    <row r="1186" spans="1:12" ht="115.2" hidden="1" x14ac:dyDescent="0.3">
      <c r="A1186" s="5">
        <v>18798064</v>
      </c>
      <c r="B1186" s="6" t="s">
        <v>1620</v>
      </c>
      <c r="C1186" s="6" t="s">
        <v>1542</v>
      </c>
      <c r="D1186" s="8" t="s">
        <v>66</v>
      </c>
      <c r="E1186" s="6" t="s">
        <v>114</v>
      </c>
      <c r="F1186" s="6" t="s">
        <v>85</v>
      </c>
      <c r="G1186" s="11">
        <v>46162.395833333336</v>
      </c>
      <c r="I1186" s="10" t="s">
        <v>1621</v>
      </c>
      <c r="J1186" s="6" t="s">
        <v>1622</v>
      </c>
      <c r="K1186" s="12">
        <v>46120.816724537035</v>
      </c>
      <c r="L1186" s="6" t="e" cm="1">
        <f t="array" ref="L1186">LOOKUP(2^15,SEARCH(Tabela2[Palavras-Chave],Boletim4[[#This Row],[Objeto]],1),Tabela2[Palavras-Chave])</f>
        <v>#N/A</v>
      </c>
    </row>
    <row r="1187" spans="1:12" ht="86.4" hidden="1" x14ac:dyDescent="0.3">
      <c r="A1187" s="5">
        <v>18806178</v>
      </c>
      <c r="B1187" s="6" t="s">
        <v>1623</v>
      </c>
      <c r="C1187" s="6" t="s">
        <v>1624</v>
      </c>
      <c r="D1187" s="8" t="s">
        <v>66</v>
      </c>
      <c r="E1187" s="6" t="s">
        <v>1625</v>
      </c>
      <c r="F1187" s="6" t="s">
        <v>85</v>
      </c>
      <c r="G1187" s="11" t="s">
        <v>56</v>
      </c>
      <c r="I1187" s="10" t="s">
        <v>1626</v>
      </c>
      <c r="J1187" s="6" t="s">
        <v>1627</v>
      </c>
      <c r="K1187" s="12">
        <v>46120.823541666665</v>
      </c>
      <c r="L1187" s="6" t="e" cm="1">
        <f t="array" ref="L1187">LOOKUP(2^15,SEARCH(Tabela2[Palavras-Chave],Boletim4[[#This Row],[Objeto]],1),Tabela2[Palavras-Chave])</f>
        <v>#N/A</v>
      </c>
    </row>
    <row r="1188" spans="1:12" ht="57.6" hidden="1" x14ac:dyDescent="0.3">
      <c r="A1188" s="5">
        <v>18806195</v>
      </c>
      <c r="B1188" s="6" t="s">
        <v>3084</v>
      </c>
      <c r="C1188" s="6" t="s">
        <v>3085</v>
      </c>
      <c r="D1188" s="8" t="s">
        <v>66</v>
      </c>
      <c r="E1188" s="6" t="s">
        <v>148</v>
      </c>
      <c r="F1188" s="6" t="s">
        <v>85</v>
      </c>
      <c r="G1188" s="11" t="s">
        <v>56</v>
      </c>
      <c r="I1188" s="10" t="s">
        <v>3086</v>
      </c>
      <c r="J1188" s="6" t="s">
        <v>3087</v>
      </c>
      <c r="K1188" s="12">
        <v>46120.837326388886</v>
      </c>
      <c r="L1188" s="6" t="e" cm="1">
        <f t="array" ref="L1188">LOOKUP(2^15,SEARCH(Tabela2[Palavras-Chave],Boletim4[[#This Row],[Objeto]],1),Tabela2[Palavras-Chave])</f>
        <v>#N/A</v>
      </c>
    </row>
    <row r="1189" spans="1:12" ht="28.8" hidden="1" x14ac:dyDescent="0.3">
      <c r="A1189" s="5">
        <v>18806236</v>
      </c>
      <c r="B1189" s="6" t="s">
        <v>1616</v>
      </c>
      <c r="C1189" s="6" t="s">
        <v>1617</v>
      </c>
      <c r="D1189" s="8" t="s">
        <v>66</v>
      </c>
      <c r="E1189" s="6" t="s">
        <v>155</v>
      </c>
      <c r="F1189" s="6" t="s">
        <v>85</v>
      </c>
      <c r="G1189" s="11">
        <v>46136.333333333336</v>
      </c>
      <c r="I1189" s="10" t="s">
        <v>3088</v>
      </c>
      <c r="J1189" s="6" t="s">
        <v>3089</v>
      </c>
      <c r="K1189" s="12">
        <v>46120.837997685187</v>
      </c>
      <c r="L1189" s="6" t="e" cm="1">
        <f t="array" ref="L1189">LOOKUP(2^15,SEARCH(Tabela2[Palavras-Chave],Boletim4[[#This Row],[Objeto]],1),Tabela2[Palavras-Chave])</f>
        <v>#N/A</v>
      </c>
    </row>
    <row r="1190" spans="1:12" ht="115.2" hidden="1" x14ac:dyDescent="0.3">
      <c r="A1190" s="5">
        <v>18781869</v>
      </c>
      <c r="B1190" s="6" t="s">
        <v>416</v>
      </c>
      <c r="C1190" s="6" t="s">
        <v>65</v>
      </c>
      <c r="D1190" s="8" t="s">
        <v>66</v>
      </c>
      <c r="E1190" s="6" t="s">
        <v>1628</v>
      </c>
      <c r="F1190" s="6" t="s">
        <v>85</v>
      </c>
      <c r="G1190" s="11" t="s">
        <v>56</v>
      </c>
      <c r="I1190" s="10" t="s">
        <v>1629</v>
      </c>
      <c r="J1190" s="6" t="s">
        <v>1630</v>
      </c>
      <c r="K1190" s="12">
        <v>46120.839930555558</v>
      </c>
      <c r="L1190" s="6" t="e" cm="1">
        <f t="array" ref="L1190">LOOKUP(2^15,SEARCH(Tabela2[Palavras-Chave],Boletim4[[#This Row],[Objeto]],1),Tabela2[Palavras-Chave])</f>
        <v>#N/A</v>
      </c>
    </row>
    <row r="1191" spans="1:12" ht="259.2" hidden="1" x14ac:dyDescent="0.3">
      <c r="A1191" s="5">
        <v>18805364</v>
      </c>
      <c r="B1191" s="6" t="s">
        <v>371</v>
      </c>
      <c r="C1191" s="6" t="s">
        <v>231</v>
      </c>
      <c r="D1191" s="8" t="s">
        <v>66</v>
      </c>
      <c r="E1191" s="6" t="s">
        <v>106</v>
      </c>
      <c r="F1191" s="6" t="s">
        <v>85</v>
      </c>
      <c r="G1191" s="11" t="s">
        <v>56</v>
      </c>
      <c r="I1191" s="10" t="s">
        <v>1631</v>
      </c>
      <c r="J1191" s="6" t="s">
        <v>1632</v>
      </c>
      <c r="K1191" s="12">
        <v>46120.871122685188</v>
      </c>
      <c r="L1191" s="6" t="e" cm="1">
        <f t="array" ref="L1191">LOOKUP(2^15,SEARCH(Tabela2[Palavras-Chave],Boletim4[[#This Row],[Objeto]],1),Tabela2[Palavras-Chave])</f>
        <v>#N/A</v>
      </c>
    </row>
    <row r="1192" spans="1:12" hidden="1" x14ac:dyDescent="0.3">
      <c r="A1192" s="5">
        <v>18804643</v>
      </c>
      <c r="B1192" s="6" t="s">
        <v>248</v>
      </c>
      <c r="C1192" s="6" t="s">
        <v>65</v>
      </c>
      <c r="D1192" s="8" t="s">
        <v>66</v>
      </c>
      <c r="E1192" s="6" t="s">
        <v>1633</v>
      </c>
      <c r="F1192" s="6" t="s">
        <v>85</v>
      </c>
      <c r="G1192" s="11" t="s">
        <v>56</v>
      </c>
      <c r="I1192" s="10" t="s">
        <v>1634</v>
      </c>
      <c r="J1192" s="6" t="s">
        <v>1635</v>
      </c>
      <c r="K1192" s="12">
        <v>46120.875659722224</v>
      </c>
      <c r="L1192" s="6" t="e" cm="1">
        <f t="array" ref="L1192">LOOKUP(2^15,SEARCH(Tabela2[Palavras-Chave],Boletim4[[#This Row],[Objeto]],1),Tabela2[Palavras-Chave])</f>
        <v>#N/A</v>
      </c>
    </row>
    <row r="1193" spans="1:12" hidden="1" x14ac:dyDescent="0.3">
      <c r="A1193" s="5">
        <v>18804640</v>
      </c>
      <c r="B1193" s="6" t="s">
        <v>3090</v>
      </c>
      <c r="C1193" s="6" t="s">
        <v>65</v>
      </c>
      <c r="D1193" s="8" t="s">
        <v>66</v>
      </c>
      <c r="E1193" s="6" t="s">
        <v>3091</v>
      </c>
      <c r="F1193" s="6" t="s">
        <v>85</v>
      </c>
      <c r="G1193" s="11" t="s">
        <v>56</v>
      </c>
      <c r="I1193" s="10" t="s">
        <v>3092</v>
      </c>
      <c r="J1193" s="6" t="s">
        <v>3093</v>
      </c>
      <c r="K1193" s="12">
        <v>46120.875983796293</v>
      </c>
      <c r="L1193" s="6" t="e" cm="1">
        <f t="array" ref="L1193">LOOKUP(2^15,SEARCH(Tabela2[Palavras-Chave],Boletim4[[#This Row],[Objeto]],1),Tabela2[Palavras-Chave])</f>
        <v>#N/A</v>
      </c>
    </row>
    <row r="1194" spans="1:12" ht="43.2" hidden="1" x14ac:dyDescent="0.3">
      <c r="A1194" s="5">
        <v>18804203</v>
      </c>
      <c r="B1194" s="6" t="s">
        <v>3094</v>
      </c>
      <c r="C1194" s="6" t="s">
        <v>3095</v>
      </c>
      <c r="D1194" s="8" t="s">
        <v>66</v>
      </c>
      <c r="E1194" s="6" t="s">
        <v>134</v>
      </c>
      <c r="F1194" s="6" t="s">
        <v>85</v>
      </c>
      <c r="G1194" s="11">
        <v>46140.364583333336</v>
      </c>
      <c r="I1194" s="10" t="s">
        <v>3096</v>
      </c>
      <c r="J1194" s="6" t="s">
        <v>3097</v>
      </c>
      <c r="K1194" s="12">
        <v>46120.883402777778</v>
      </c>
      <c r="L1194" s="6" t="e" cm="1">
        <f t="array" ref="L1194">LOOKUP(2^15,SEARCH(Tabela2[Palavras-Chave],Boletim4[[#This Row],[Objeto]],1),Tabela2[Palavras-Chave])</f>
        <v>#N/A</v>
      </c>
    </row>
    <row r="1195" spans="1:12" ht="57.6" hidden="1" x14ac:dyDescent="0.3">
      <c r="A1195" s="5">
        <v>18804220</v>
      </c>
      <c r="B1195" s="6" t="s">
        <v>3098</v>
      </c>
      <c r="C1195" s="6" t="s">
        <v>3099</v>
      </c>
      <c r="D1195" s="8" t="s">
        <v>66</v>
      </c>
      <c r="E1195" s="6" t="s">
        <v>126</v>
      </c>
      <c r="F1195" s="6" t="s">
        <v>85</v>
      </c>
      <c r="G1195" s="11">
        <v>46139.354166666664</v>
      </c>
      <c r="I1195" s="10" t="s">
        <v>3100</v>
      </c>
      <c r="J1195" s="6" t="s">
        <v>3101</v>
      </c>
      <c r="K1195" s="12">
        <v>46120.884143518517</v>
      </c>
      <c r="L1195" s="6" t="e" cm="1">
        <f t="array" ref="L1195">LOOKUP(2^15,SEARCH(Tabela2[Palavras-Chave],Boletim4[[#This Row],[Objeto]],1),Tabela2[Palavras-Chave])</f>
        <v>#N/A</v>
      </c>
    </row>
    <row r="1196" spans="1:12" ht="115.2" hidden="1" x14ac:dyDescent="0.3">
      <c r="A1196" s="5">
        <v>18804768</v>
      </c>
      <c r="B1196" s="6" t="s">
        <v>1636</v>
      </c>
      <c r="C1196" s="6" t="s">
        <v>200</v>
      </c>
      <c r="D1196" s="8" t="s">
        <v>66</v>
      </c>
      <c r="E1196" s="6" t="s">
        <v>117</v>
      </c>
      <c r="F1196" s="6" t="s">
        <v>85</v>
      </c>
      <c r="G1196" s="11">
        <v>46135.354166666664</v>
      </c>
      <c r="I1196" s="10" t="s">
        <v>1637</v>
      </c>
      <c r="J1196" s="6" t="s">
        <v>1638</v>
      </c>
      <c r="K1196" s="12">
        <v>46120.888877314814</v>
      </c>
      <c r="L1196" s="6" t="e" cm="1">
        <f t="array" ref="L1196">LOOKUP(2^15,SEARCH(Tabela2[Palavras-Chave],Boletim4[[#This Row],[Objeto]],1),Tabela2[Palavras-Chave])</f>
        <v>#N/A</v>
      </c>
    </row>
    <row r="1197" spans="1:12" ht="115.2" hidden="1" x14ac:dyDescent="0.3">
      <c r="A1197" s="5">
        <v>18804050</v>
      </c>
      <c r="B1197" s="6" t="s">
        <v>1639</v>
      </c>
      <c r="C1197" s="6" t="s">
        <v>1640</v>
      </c>
      <c r="D1197" s="8" t="s">
        <v>66</v>
      </c>
      <c r="E1197" s="6" t="s">
        <v>128</v>
      </c>
      <c r="F1197" s="6" t="s">
        <v>85</v>
      </c>
      <c r="G1197" s="11">
        <v>46134.364583333336</v>
      </c>
      <c r="I1197" s="10" t="s">
        <v>1641</v>
      </c>
      <c r="J1197" s="6" t="s">
        <v>1642</v>
      </c>
      <c r="K1197" s="12">
        <v>46120.889027777775</v>
      </c>
      <c r="L1197" s="6" t="e" cm="1">
        <f t="array" ref="L1197">LOOKUP(2^15,SEARCH(Tabela2[Palavras-Chave],Boletim4[[#This Row],[Objeto]],1),Tabela2[Palavras-Chave])</f>
        <v>#N/A</v>
      </c>
    </row>
    <row r="1198" spans="1:12" ht="172.8" x14ac:dyDescent="0.3">
      <c r="A1198" s="5">
        <v>18802631</v>
      </c>
      <c r="B1198" s="6" t="s">
        <v>1643</v>
      </c>
      <c r="C1198" s="6" t="s">
        <v>1644</v>
      </c>
      <c r="D1198" s="8" t="s">
        <v>67</v>
      </c>
      <c r="E1198" s="6" t="s">
        <v>157</v>
      </c>
      <c r="F1198" s="6" t="s">
        <v>85</v>
      </c>
      <c r="G1198" s="11" t="s">
        <v>56</v>
      </c>
      <c r="H1198" s="23">
        <v>2</v>
      </c>
      <c r="I1198" s="10" t="s">
        <v>1645</v>
      </c>
      <c r="J1198" s="6" t="s">
        <v>1646</v>
      </c>
      <c r="K1198" s="12">
        <v>46120.546805555554</v>
      </c>
      <c r="L1198" s="6" t="str" cm="1">
        <f t="array" ref="L1198">LOOKUP(2^15,SEARCH(Tabela2[Palavras-Chave],Boletim4[[#This Row],[Objeto]],1),Tabela2[Palavras-Chave])</f>
        <v>TANQUE</v>
      </c>
    </row>
    <row r="1199" spans="1:12" ht="144" hidden="1" x14ac:dyDescent="0.3">
      <c r="A1199" s="5">
        <v>18802638</v>
      </c>
      <c r="B1199" s="6" t="s">
        <v>1647</v>
      </c>
      <c r="C1199" s="6" t="s">
        <v>123</v>
      </c>
      <c r="D1199" s="8" t="s">
        <v>67</v>
      </c>
      <c r="E1199" s="6" t="s">
        <v>286</v>
      </c>
      <c r="F1199" s="6" t="s">
        <v>85</v>
      </c>
      <c r="G1199" s="11" t="s">
        <v>56</v>
      </c>
      <c r="I1199" s="10" t="s">
        <v>1648</v>
      </c>
      <c r="J1199" s="6" t="s">
        <v>1649</v>
      </c>
      <c r="K1199" s="12">
        <v>46120.596087962964</v>
      </c>
      <c r="L1199" s="6" t="e" cm="1">
        <f t="array" ref="L1199">LOOKUP(2^15,SEARCH(Tabela2[Palavras-Chave],Boletim4[[#This Row],[Objeto]],1),Tabela2[Palavras-Chave])</f>
        <v>#N/A</v>
      </c>
    </row>
    <row r="1200" spans="1:12" ht="259.2" hidden="1" x14ac:dyDescent="0.3">
      <c r="A1200" s="5">
        <v>18803927</v>
      </c>
      <c r="B1200" s="6" t="s">
        <v>3102</v>
      </c>
      <c r="C1200" s="6" t="s">
        <v>3103</v>
      </c>
      <c r="D1200" s="8" t="s">
        <v>67</v>
      </c>
      <c r="E1200" s="6" t="s">
        <v>426</v>
      </c>
      <c r="F1200" s="6" t="s">
        <v>85</v>
      </c>
      <c r="G1200" s="11" t="s">
        <v>56</v>
      </c>
      <c r="I1200" s="10" t="s">
        <v>3104</v>
      </c>
      <c r="J1200" s="6" t="s">
        <v>3105</v>
      </c>
      <c r="K1200" s="12">
        <v>46120.60434027778</v>
      </c>
      <c r="L1200" s="6" t="e" cm="1">
        <f t="array" ref="L1200">LOOKUP(2^15,SEARCH(Tabela2[Palavras-Chave],Boletim4[[#This Row],[Objeto]],1),Tabela2[Palavras-Chave])</f>
        <v>#N/A</v>
      </c>
    </row>
    <row r="1201" spans="1:12" ht="43.2" hidden="1" x14ac:dyDescent="0.3">
      <c r="A1201" s="5">
        <v>18804152</v>
      </c>
      <c r="B1201" s="6" t="s">
        <v>1650</v>
      </c>
      <c r="C1201" s="6" t="s">
        <v>1651</v>
      </c>
      <c r="D1201" s="8" t="s">
        <v>67</v>
      </c>
      <c r="E1201" s="6" t="s">
        <v>128</v>
      </c>
      <c r="F1201" s="6" t="s">
        <v>85</v>
      </c>
      <c r="G1201" s="11">
        <v>46134.375</v>
      </c>
      <c r="I1201" s="10" t="s">
        <v>1652</v>
      </c>
      <c r="J1201" s="6" t="s">
        <v>90</v>
      </c>
      <c r="K1201" s="12">
        <v>46120.612835648149</v>
      </c>
      <c r="L1201" s="6" t="e" cm="1">
        <f t="array" ref="L1201">LOOKUP(2^15,SEARCH(Tabela2[Palavras-Chave],Boletim4[[#This Row],[Objeto]],1),Tabela2[Palavras-Chave])</f>
        <v>#N/A</v>
      </c>
    </row>
    <row r="1202" spans="1:12" ht="115.2" hidden="1" x14ac:dyDescent="0.3">
      <c r="A1202" s="5">
        <v>18804020</v>
      </c>
      <c r="B1202" s="6" t="s">
        <v>1653</v>
      </c>
      <c r="C1202" s="6" t="s">
        <v>1654</v>
      </c>
      <c r="D1202" s="8" t="s">
        <v>67</v>
      </c>
      <c r="E1202" s="6" t="s">
        <v>117</v>
      </c>
      <c r="F1202" s="6" t="s">
        <v>85</v>
      </c>
      <c r="G1202" s="11">
        <v>46140.375</v>
      </c>
      <c r="I1202" s="10" t="s">
        <v>1655</v>
      </c>
      <c r="J1202" s="6" t="s">
        <v>1656</v>
      </c>
      <c r="K1202" s="12">
        <v>46120.639351851853</v>
      </c>
      <c r="L1202" s="6" t="e" cm="1">
        <f t="array" ref="L1202">LOOKUP(2^15,SEARCH(Tabela2[Palavras-Chave],Boletim4[[#This Row],[Objeto]],1),Tabela2[Palavras-Chave])</f>
        <v>#N/A</v>
      </c>
    </row>
    <row r="1203" spans="1:12" ht="259.2" hidden="1" x14ac:dyDescent="0.3">
      <c r="A1203" s="5">
        <v>18803944</v>
      </c>
      <c r="B1203" s="6" t="s">
        <v>1657</v>
      </c>
      <c r="C1203" s="6" t="s">
        <v>1658</v>
      </c>
      <c r="D1203" s="8" t="s">
        <v>67</v>
      </c>
      <c r="E1203" s="6" t="s">
        <v>135</v>
      </c>
      <c r="F1203" s="6" t="s">
        <v>85</v>
      </c>
      <c r="G1203" s="11" t="s">
        <v>56</v>
      </c>
      <c r="I1203" s="10" t="s">
        <v>1659</v>
      </c>
      <c r="J1203" s="6" t="s">
        <v>1660</v>
      </c>
      <c r="K1203" s="12">
        <v>46120.661400462966</v>
      </c>
      <c r="L1203" s="6" t="e" cm="1">
        <f t="array" ref="L1203">LOOKUP(2^15,SEARCH(Tabela2[Palavras-Chave],Boletim4[[#This Row],[Objeto]],1),Tabela2[Palavras-Chave])</f>
        <v>#N/A</v>
      </c>
    </row>
    <row r="1204" spans="1:12" ht="43.2" hidden="1" x14ac:dyDescent="0.3">
      <c r="A1204" s="5">
        <v>18805355</v>
      </c>
      <c r="B1204" s="6" t="s">
        <v>1661</v>
      </c>
      <c r="C1204" s="6" t="s">
        <v>123</v>
      </c>
      <c r="D1204" s="8" t="s">
        <v>67</v>
      </c>
      <c r="E1204" s="6" t="s">
        <v>117</v>
      </c>
      <c r="F1204" s="6" t="s">
        <v>85</v>
      </c>
      <c r="G1204" s="11">
        <v>46140.375</v>
      </c>
      <c r="I1204" s="10" t="s">
        <v>1662</v>
      </c>
      <c r="J1204" s="6" t="s">
        <v>190</v>
      </c>
      <c r="K1204" s="12">
        <v>46120.72016203704</v>
      </c>
      <c r="L1204" s="6" t="e" cm="1">
        <f t="array" ref="L1204">LOOKUP(2^15,SEARCH(Tabela2[Palavras-Chave],Boletim4[[#This Row],[Objeto]],1),Tabela2[Palavras-Chave])</f>
        <v>#N/A</v>
      </c>
    </row>
    <row r="1205" spans="1:12" ht="259.2" hidden="1" x14ac:dyDescent="0.3">
      <c r="A1205" s="5">
        <v>18803842</v>
      </c>
      <c r="B1205" s="6" t="s">
        <v>1663</v>
      </c>
      <c r="C1205" s="6" t="s">
        <v>1664</v>
      </c>
      <c r="D1205" s="8" t="s">
        <v>67</v>
      </c>
      <c r="E1205" s="6" t="s">
        <v>134</v>
      </c>
      <c r="F1205" s="6" t="s">
        <v>85</v>
      </c>
      <c r="G1205" s="11" t="s">
        <v>56</v>
      </c>
      <c r="I1205" s="10" t="s">
        <v>1665</v>
      </c>
      <c r="J1205" s="6" t="s">
        <v>1666</v>
      </c>
      <c r="K1205" s="12">
        <v>46120.761712962965</v>
      </c>
      <c r="L1205" s="6" t="e" cm="1">
        <f t="array" ref="L1205">LOOKUP(2^15,SEARCH(Tabela2[Palavras-Chave],Boletim4[[#This Row],[Objeto]],1),Tabela2[Palavras-Chave])</f>
        <v>#N/A</v>
      </c>
    </row>
    <row r="1206" spans="1:12" ht="259.2" hidden="1" x14ac:dyDescent="0.3">
      <c r="A1206" s="5">
        <v>18805367</v>
      </c>
      <c r="B1206" s="6" t="s">
        <v>1667</v>
      </c>
      <c r="C1206" s="6" t="s">
        <v>1668</v>
      </c>
      <c r="D1206" s="8" t="s">
        <v>67</v>
      </c>
      <c r="E1206" s="6" t="s">
        <v>1669</v>
      </c>
      <c r="F1206" s="6" t="s">
        <v>85</v>
      </c>
      <c r="G1206" s="11" t="s">
        <v>56</v>
      </c>
      <c r="I1206" s="10" t="s">
        <v>1670</v>
      </c>
      <c r="J1206" s="6" t="s">
        <v>1671</v>
      </c>
      <c r="K1206" s="12">
        <v>46120.771655092591</v>
      </c>
      <c r="L1206" s="6" t="e" cm="1">
        <f t="array" ref="L1206">LOOKUP(2^15,SEARCH(Tabela2[Palavras-Chave],Boletim4[[#This Row],[Objeto]],1),Tabela2[Palavras-Chave])</f>
        <v>#N/A</v>
      </c>
    </row>
    <row r="1207" spans="1:12" ht="244.8" hidden="1" x14ac:dyDescent="0.3">
      <c r="A1207" s="5">
        <v>18805334</v>
      </c>
      <c r="B1207" s="6" t="s">
        <v>375</v>
      </c>
      <c r="C1207" s="6" t="s">
        <v>376</v>
      </c>
      <c r="D1207" s="8" t="s">
        <v>67</v>
      </c>
      <c r="E1207" s="6" t="s">
        <v>128</v>
      </c>
      <c r="F1207" s="6" t="s">
        <v>85</v>
      </c>
      <c r="G1207" s="11" t="s">
        <v>56</v>
      </c>
      <c r="I1207" s="10" t="s">
        <v>1672</v>
      </c>
      <c r="J1207" s="6" t="s">
        <v>1673</v>
      </c>
      <c r="K1207" s="12">
        <v>46120.773680555554</v>
      </c>
      <c r="L1207" s="6" t="e" cm="1">
        <f t="array" ref="L1207">LOOKUP(2^15,SEARCH(Tabela2[Palavras-Chave],Boletim4[[#This Row],[Objeto]],1),Tabela2[Palavras-Chave])</f>
        <v>#N/A</v>
      </c>
    </row>
    <row r="1208" spans="1:12" ht="273.60000000000002" hidden="1" x14ac:dyDescent="0.3">
      <c r="A1208" s="5">
        <v>18802110</v>
      </c>
      <c r="B1208" s="6" t="s">
        <v>234</v>
      </c>
      <c r="C1208" s="6" t="s">
        <v>227</v>
      </c>
      <c r="D1208" s="8" t="s">
        <v>91</v>
      </c>
      <c r="E1208" s="6" t="s">
        <v>121</v>
      </c>
      <c r="F1208" s="6" t="s">
        <v>85</v>
      </c>
      <c r="G1208" s="11" t="s">
        <v>56</v>
      </c>
      <c r="I1208" s="10" t="s">
        <v>1674</v>
      </c>
      <c r="J1208" s="6" t="s">
        <v>1675</v>
      </c>
      <c r="K1208" s="12">
        <v>46120.458368055559</v>
      </c>
      <c r="L1208" s="6" t="e" cm="1">
        <f t="array" ref="L1208">LOOKUP(2^15,SEARCH(Tabela2[Palavras-Chave],Boletim4[[#This Row],[Objeto]],1),Tabela2[Palavras-Chave])</f>
        <v>#N/A</v>
      </c>
    </row>
    <row r="1209" spans="1:12" ht="115.2" hidden="1" x14ac:dyDescent="0.3">
      <c r="A1209" s="5">
        <v>18802834</v>
      </c>
      <c r="B1209" s="6" t="s">
        <v>1676</v>
      </c>
      <c r="C1209" s="6" t="s">
        <v>111</v>
      </c>
      <c r="D1209" s="8" t="s">
        <v>91</v>
      </c>
      <c r="E1209" s="6" t="s">
        <v>1677</v>
      </c>
      <c r="F1209" s="6" t="s">
        <v>85</v>
      </c>
      <c r="G1209" s="11" t="s">
        <v>56</v>
      </c>
      <c r="I1209" s="10" t="s">
        <v>1678</v>
      </c>
      <c r="J1209" s="6" t="s">
        <v>1679</v>
      </c>
      <c r="K1209" s="12">
        <v>46120.519456018519</v>
      </c>
      <c r="L1209" s="6" t="e" cm="1">
        <f t="array" ref="L1209">LOOKUP(2^15,SEARCH(Tabela2[Palavras-Chave],Boletim4[[#This Row],[Objeto]],1),Tabela2[Palavras-Chave])</f>
        <v>#N/A</v>
      </c>
    </row>
    <row r="1210" spans="1:12" ht="172.8" hidden="1" x14ac:dyDescent="0.3">
      <c r="A1210" s="5">
        <v>18794267</v>
      </c>
      <c r="B1210" s="6" t="s">
        <v>3106</v>
      </c>
      <c r="C1210" s="6" t="s">
        <v>111</v>
      </c>
      <c r="D1210" s="8" t="s">
        <v>91</v>
      </c>
      <c r="E1210" s="6" t="s">
        <v>3107</v>
      </c>
      <c r="F1210" s="6" t="s">
        <v>85</v>
      </c>
      <c r="G1210" s="11">
        <v>46148.375</v>
      </c>
      <c r="I1210" s="10" t="s">
        <v>3108</v>
      </c>
      <c r="J1210" s="6" t="s">
        <v>3109</v>
      </c>
      <c r="K1210" s="12">
        <v>46120.587581018517</v>
      </c>
      <c r="L1210" s="6" t="e" cm="1">
        <f t="array" ref="L1210">LOOKUP(2^15,SEARCH(Tabela2[Palavras-Chave],Boletim4[[#This Row],[Objeto]],1),Tabela2[Palavras-Chave])</f>
        <v>#N/A</v>
      </c>
    </row>
    <row r="1211" spans="1:12" ht="259.2" hidden="1" x14ac:dyDescent="0.3">
      <c r="A1211" s="5">
        <v>18801577</v>
      </c>
      <c r="B1211" s="6" t="s">
        <v>1680</v>
      </c>
      <c r="C1211" s="6" t="s">
        <v>1681</v>
      </c>
      <c r="D1211" s="8" t="s">
        <v>91</v>
      </c>
      <c r="E1211" s="6" t="s">
        <v>148</v>
      </c>
      <c r="F1211" s="6" t="s">
        <v>85</v>
      </c>
      <c r="G1211" s="11" t="s">
        <v>56</v>
      </c>
      <c r="I1211" s="10" t="s">
        <v>1682</v>
      </c>
      <c r="J1211" s="6" t="s">
        <v>1683</v>
      </c>
      <c r="K1211" s="12">
        <v>46120.588472222225</v>
      </c>
      <c r="L1211" s="6" t="e" cm="1">
        <f t="array" ref="L1211">LOOKUP(2^15,SEARCH(Tabela2[Palavras-Chave],Boletim4[[#This Row],[Objeto]],1),Tabela2[Palavras-Chave])</f>
        <v>#N/A</v>
      </c>
    </row>
    <row r="1212" spans="1:12" ht="259.2" hidden="1" x14ac:dyDescent="0.3">
      <c r="A1212" s="5">
        <v>18801567</v>
      </c>
      <c r="B1212" s="6" t="s">
        <v>1684</v>
      </c>
      <c r="C1212" s="6" t="s">
        <v>1685</v>
      </c>
      <c r="D1212" s="8" t="s">
        <v>91</v>
      </c>
      <c r="E1212" s="6" t="s">
        <v>109</v>
      </c>
      <c r="F1212" s="6" t="s">
        <v>85</v>
      </c>
      <c r="G1212" s="11" t="s">
        <v>56</v>
      </c>
      <c r="I1212" s="10" t="s">
        <v>1686</v>
      </c>
      <c r="J1212" s="6" t="s">
        <v>1687</v>
      </c>
      <c r="K1212" s="12">
        <v>46120.625925925924</v>
      </c>
      <c r="L1212" s="6" t="e" cm="1">
        <f t="array" ref="L1212">LOOKUP(2^15,SEARCH(Tabela2[Palavras-Chave],Boletim4[[#This Row],[Objeto]],1),Tabela2[Palavras-Chave])</f>
        <v>#N/A</v>
      </c>
    </row>
    <row r="1213" spans="1:12" ht="259.2" hidden="1" x14ac:dyDescent="0.3">
      <c r="A1213" s="5">
        <v>18789416</v>
      </c>
      <c r="B1213" s="6" t="s">
        <v>439</v>
      </c>
      <c r="C1213" s="6" t="s">
        <v>227</v>
      </c>
      <c r="D1213" s="8" t="s">
        <v>91</v>
      </c>
      <c r="E1213" s="6" t="s">
        <v>207</v>
      </c>
      <c r="F1213" s="6" t="s">
        <v>85</v>
      </c>
      <c r="G1213" s="11" t="s">
        <v>56</v>
      </c>
      <c r="I1213" s="10" t="s">
        <v>3110</v>
      </c>
      <c r="J1213" s="6" t="s">
        <v>3111</v>
      </c>
      <c r="K1213" s="12">
        <v>46120.721620370372</v>
      </c>
      <c r="L1213" s="6" t="e" cm="1">
        <f t="array" ref="L1213">LOOKUP(2^15,SEARCH(Tabela2[Palavras-Chave],Boletim4[[#This Row],[Objeto]],1),Tabela2[Palavras-Chave])</f>
        <v>#N/A</v>
      </c>
    </row>
    <row r="1214" spans="1:12" ht="259.2" hidden="1" x14ac:dyDescent="0.3">
      <c r="A1214" s="5">
        <v>18801612</v>
      </c>
      <c r="B1214" s="6" t="s">
        <v>1688</v>
      </c>
      <c r="C1214" s="6" t="s">
        <v>269</v>
      </c>
      <c r="D1214" s="8" t="s">
        <v>91</v>
      </c>
      <c r="E1214" s="6" t="s">
        <v>1222</v>
      </c>
      <c r="F1214" s="6" t="s">
        <v>85</v>
      </c>
      <c r="G1214" s="11" t="s">
        <v>56</v>
      </c>
      <c r="I1214" s="10" t="s">
        <v>1689</v>
      </c>
      <c r="J1214" s="6" t="s">
        <v>1690</v>
      </c>
      <c r="K1214" s="12">
        <v>46120.723692129628</v>
      </c>
      <c r="L1214" s="6" t="e" cm="1">
        <f t="array" ref="L1214">LOOKUP(2^15,SEARCH(Tabela2[Palavras-Chave],Boletim4[[#This Row],[Objeto]],1),Tabela2[Palavras-Chave])</f>
        <v>#N/A</v>
      </c>
    </row>
    <row r="1215" spans="1:12" ht="158.4" x14ac:dyDescent="0.3">
      <c r="A1215" s="5">
        <v>18804619</v>
      </c>
      <c r="B1215" s="6" t="s">
        <v>1691</v>
      </c>
      <c r="C1215" s="6" t="s">
        <v>1692</v>
      </c>
      <c r="D1215" s="8" t="s">
        <v>91</v>
      </c>
      <c r="E1215" s="6" t="s">
        <v>143</v>
      </c>
      <c r="F1215" s="6" t="s">
        <v>85</v>
      </c>
      <c r="G1215" s="11">
        <v>46134.354166666664</v>
      </c>
      <c r="H1215" s="23">
        <v>2</v>
      </c>
      <c r="I1215" s="10" t="s">
        <v>1693</v>
      </c>
      <c r="J1215" s="6" t="s">
        <v>1694</v>
      </c>
      <c r="K1215" s="12">
        <v>46120.753055555557</v>
      </c>
      <c r="L1215" s="6" t="str" cm="1">
        <f t="array" ref="L1215">LOOKUP(2^15,SEARCH(Tabela2[Palavras-Chave],Boletim4[[#This Row],[Objeto]],1),Tabela2[Palavras-Chave])</f>
        <v>DIAGNÓSTICO</v>
      </c>
    </row>
    <row r="1216" spans="1:12" ht="100.8" hidden="1" x14ac:dyDescent="0.3">
      <c r="A1216" s="5">
        <v>18798635</v>
      </c>
      <c r="B1216" s="6" t="s">
        <v>1695</v>
      </c>
      <c r="C1216" s="6" t="s">
        <v>1696</v>
      </c>
      <c r="D1216" s="8" t="s">
        <v>68</v>
      </c>
      <c r="E1216" s="6" t="s">
        <v>124</v>
      </c>
      <c r="F1216" s="6" t="s">
        <v>85</v>
      </c>
      <c r="G1216" s="11">
        <v>46135.374305555553</v>
      </c>
      <c r="I1216" s="10" t="s">
        <v>1697</v>
      </c>
      <c r="J1216" s="6" t="s">
        <v>1698</v>
      </c>
      <c r="K1216" s="12">
        <v>46120.388252314813</v>
      </c>
      <c r="L1216" s="6" t="e" cm="1">
        <f t="array" ref="L1216">LOOKUP(2^15,SEARCH(Tabela2[Palavras-Chave],Boletim4[[#This Row],[Objeto]],1),Tabela2[Palavras-Chave])</f>
        <v>#N/A</v>
      </c>
    </row>
    <row r="1217" spans="1:12" ht="115.2" hidden="1" x14ac:dyDescent="0.3">
      <c r="A1217" s="5">
        <v>18802016</v>
      </c>
      <c r="B1217" s="6" t="s">
        <v>1699</v>
      </c>
      <c r="C1217" s="6" t="s">
        <v>1696</v>
      </c>
      <c r="D1217" s="8" t="s">
        <v>68</v>
      </c>
      <c r="E1217" s="6" t="s">
        <v>117</v>
      </c>
      <c r="F1217" s="6" t="s">
        <v>85</v>
      </c>
      <c r="G1217" s="11">
        <v>46134.374305555553</v>
      </c>
      <c r="I1217" s="10" t="s">
        <v>1700</v>
      </c>
      <c r="J1217" s="6" t="s">
        <v>1701</v>
      </c>
      <c r="K1217" s="12">
        <v>46120.445196759261</v>
      </c>
      <c r="L1217" s="6" t="e" cm="1">
        <f t="array" ref="L1217">LOOKUP(2^15,SEARCH(Tabela2[Palavras-Chave],Boletim4[[#This Row],[Objeto]],1),Tabela2[Palavras-Chave])</f>
        <v>#N/A</v>
      </c>
    </row>
    <row r="1218" spans="1:12" ht="100.8" hidden="1" x14ac:dyDescent="0.3">
      <c r="A1218" s="5">
        <v>18802011</v>
      </c>
      <c r="B1218" s="6" t="s">
        <v>1702</v>
      </c>
      <c r="C1218" s="6" t="s">
        <v>1703</v>
      </c>
      <c r="D1218" s="8" t="s">
        <v>68</v>
      </c>
      <c r="E1218" s="6" t="s">
        <v>106</v>
      </c>
      <c r="F1218" s="6" t="s">
        <v>85</v>
      </c>
      <c r="G1218" s="11">
        <v>46134.4375</v>
      </c>
      <c r="I1218" s="10" t="s">
        <v>1704</v>
      </c>
      <c r="J1218" s="6" t="s">
        <v>1705</v>
      </c>
      <c r="K1218" s="12">
        <v>46120.446817129632</v>
      </c>
      <c r="L1218" s="6" t="e" cm="1">
        <f t="array" ref="L1218">LOOKUP(2^15,SEARCH(Tabela2[Palavras-Chave],Boletim4[[#This Row],[Objeto]],1),Tabela2[Palavras-Chave])</f>
        <v>#N/A</v>
      </c>
    </row>
    <row r="1219" spans="1:12" ht="115.2" hidden="1" x14ac:dyDescent="0.3">
      <c r="A1219" s="5">
        <v>18803427</v>
      </c>
      <c r="B1219" s="6" t="s">
        <v>3112</v>
      </c>
      <c r="C1219" s="6" t="s">
        <v>3113</v>
      </c>
      <c r="D1219" s="8" t="s">
        <v>68</v>
      </c>
      <c r="E1219" s="6" t="s">
        <v>114</v>
      </c>
      <c r="F1219" s="6" t="s">
        <v>85</v>
      </c>
      <c r="G1219" s="11">
        <v>46139.361111111109</v>
      </c>
      <c r="I1219" s="10" t="s">
        <v>3114</v>
      </c>
      <c r="J1219" s="6" t="s">
        <v>3115</v>
      </c>
      <c r="K1219" s="12">
        <v>46120.588136574072</v>
      </c>
      <c r="L1219" s="6" t="e" cm="1">
        <f t="array" ref="L1219">LOOKUP(2^15,SEARCH(Tabela2[Palavras-Chave],Boletim4[[#This Row],[Objeto]],1),Tabela2[Palavras-Chave])</f>
        <v>#N/A</v>
      </c>
    </row>
    <row r="1220" spans="1:12" ht="115.2" hidden="1" x14ac:dyDescent="0.3">
      <c r="A1220" s="5">
        <v>18804755</v>
      </c>
      <c r="B1220" s="6" t="s">
        <v>1706</v>
      </c>
      <c r="C1220" s="6" t="s">
        <v>1707</v>
      </c>
      <c r="D1220" s="8" t="s">
        <v>68</v>
      </c>
      <c r="E1220" s="6" t="s">
        <v>407</v>
      </c>
      <c r="F1220" s="6" t="s">
        <v>85</v>
      </c>
      <c r="G1220" s="11">
        <v>46134.332638888889</v>
      </c>
      <c r="I1220" s="10" t="s">
        <v>1708</v>
      </c>
      <c r="J1220" s="6" t="s">
        <v>1709</v>
      </c>
      <c r="K1220" s="12">
        <v>46120.724699074075</v>
      </c>
      <c r="L1220" s="6" t="e" cm="1">
        <f t="array" ref="L1220">LOOKUP(2^15,SEARCH(Tabela2[Palavras-Chave],Boletim4[[#This Row],[Objeto]],1),Tabela2[Palavras-Chave])</f>
        <v>#N/A</v>
      </c>
    </row>
    <row r="1221" spans="1:12" ht="57.6" hidden="1" x14ac:dyDescent="0.3">
      <c r="A1221" s="5">
        <v>18805829</v>
      </c>
      <c r="B1221" s="6" t="s">
        <v>3116</v>
      </c>
      <c r="C1221" s="6" t="s">
        <v>3117</v>
      </c>
      <c r="D1221" s="8" t="s">
        <v>68</v>
      </c>
      <c r="E1221" s="6" t="s">
        <v>232</v>
      </c>
      <c r="F1221" s="6" t="s">
        <v>85</v>
      </c>
      <c r="G1221" s="11" t="s">
        <v>56</v>
      </c>
      <c r="I1221" s="10" t="s">
        <v>3118</v>
      </c>
      <c r="J1221" s="6" t="s">
        <v>3119</v>
      </c>
      <c r="K1221" s="12">
        <v>46120.77851851852</v>
      </c>
      <c r="L1221" s="6" t="e" cm="1">
        <f t="array" ref="L1221">LOOKUP(2^15,SEARCH(Tabela2[Palavras-Chave],Boletim4[[#This Row],[Objeto]],1),Tabela2[Palavras-Chave])</f>
        <v>#N/A</v>
      </c>
    </row>
    <row r="1222" spans="1:12" ht="57.6" hidden="1" x14ac:dyDescent="0.3">
      <c r="A1222" s="5">
        <v>18806394</v>
      </c>
      <c r="B1222" s="6" t="s">
        <v>3120</v>
      </c>
      <c r="C1222" s="6" t="s">
        <v>3121</v>
      </c>
      <c r="D1222" s="8" t="s">
        <v>68</v>
      </c>
      <c r="E1222" s="6" t="s">
        <v>135</v>
      </c>
      <c r="F1222" s="6" t="s">
        <v>85</v>
      </c>
      <c r="G1222" s="11">
        <v>46132.416666666664</v>
      </c>
      <c r="I1222" s="10" t="s">
        <v>3122</v>
      </c>
      <c r="J1222" s="6" t="s">
        <v>3123</v>
      </c>
      <c r="K1222" s="12">
        <v>46120.886018518519</v>
      </c>
      <c r="L1222" s="6" t="e" cm="1">
        <f t="array" ref="L1222">LOOKUP(2^15,SEARCH(Tabela2[Palavras-Chave],Boletim4[[#This Row],[Objeto]],1),Tabela2[Palavras-Chave])</f>
        <v>#N/A</v>
      </c>
    </row>
    <row r="1223" spans="1:12" ht="100.8" hidden="1" x14ac:dyDescent="0.3">
      <c r="A1223" s="5">
        <v>18802020</v>
      </c>
      <c r="B1223" s="6" t="s">
        <v>290</v>
      </c>
      <c r="C1223" s="6" t="s">
        <v>283</v>
      </c>
      <c r="D1223" s="8" t="s">
        <v>92</v>
      </c>
      <c r="E1223" s="6" t="s">
        <v>117</v>
      </c>
      <c r="F1223" s="6" t="s">
        <v>85</v>
      </c>
      <c r="G1223" s="11">
        <v>46134</v>
      </c>
      <c r="I1223" s="10" t="s">
        <v>1710</v>
      </c>
      <c r="J1223" s="6" t="s">
        <v>1711</v>
      </c>
      <c r="K1223" s="12">
        <v>46120.445208333331</v>
      </c>
      <c r="L1223" s="6" t="e" cm="1">
        <f t="array" ref="L1223">LOOKUP(2^15,SEARCH(Tabela2[Palavras-Chave],Boletim4[[#This Row],[Objeto]],1),Tabela2[Palavras-Chave])</f>
        <v>#N/A</v>
      </c>
    </row>
    <row r="1224" spans="1:12" ht="86.4" hidden="1" x14ac:dyDescent="0.3">
      <c r="A1224" s="5">
        <v>18791357</v>
      </c>
      <c r="B1224" s="6" t="s">
        <v>1712</v>
      </c>
      <c r="C1224" s="6" t="s">
        <v>1713</v>
      </c>
      <c r="D1224" s="8" t="s">
        <v>92</v>
      </c>
      <c r="E1224" s="6" t="s">
        <v>114</v>
      </c>
      <c r="F1224" s="6" t="s">
        <v>85</v>
      </c>
      <c r="G1224" s="11">
        <v>46211.375</v>
      </c>
      <c r="I1224" s="10" t="s">
        <v>1714</v>
      </c>
      <c r="J1224" s="6" t="s">
        <v>1715</v>
      </c>
      <c r="K1224" s="12">
        <v>46120.450775462959</v>
      </c>
      <c r="L1224" s="6" t="e" cm="1">
        <f t="array" ref="L1224">LOOKUP(2^15,SEARCH(Tabela2[Palavras-Chave],Boletim4[[#This Row],[Objeto]],1),Tabela2[Palavras-Chave])</f>
        <v>#N/A</v>
      </c>
    </row>
    <row r="1225" spans="1:12" ht="100.8" hidden="1" x14ac:dyDescent="0.3">
      <c r="A1225" s="5">
        <v>18793274</v>
      </c>
      <c r="B1225" s="6" t="s">
        <v>1716</v>
      </c>
      <c r="C1225" s="6" t="s">
        <v>1717</v>
      </c>
      <c r="D1225" s="8" t="s">
        <v>92</v>
      </c>
      <c r="E1225" s="6" t="s">
        <v>172</v>
      </c>
      <c r="F1225" s="6" t="s">
        <v>85</v>
      </c>
      <c r="G1225" s="11">
        <v>46127.374305555553</v>
      </c>
      <c r="I1225" s="10" t="s">
        <v>1718</v>
      </c>
      <c r="J1225" s="6" t="s">
        <v>1719</v>
      </c>
      <c r="K1225" s="12">
        <v>46120.502812500003</v>
      </c>
      <c r="L1225" s="6" t="e" cm="1">
        <f t="array" ref="L1225">LOOKUP(2^15,SEARCH(Tabela2[Palavras-Chave],Boletim4[[#This Row],[Objeto]],1),Tabela2[Palavras-Chave])</f>
        <v>#N/A</v>
      </c>
    </row>
    <row r="1226" spans="1:12" ht="100.8" hidden="1" x14ac:dyDescent="0.3">
      <c r="A1226" s="5">
        <v>18789825</v>
      </c>
      <c r="B1226" s="6" t="s">
        <v>1716</v>
      </c>
      <c r="C1226" s="6" t="s">
        <v>1717</v>
      </c>
      <c r="D1226" s="8" t="s">
        <v>92</v>
      </c>
      <c r="E1226" s="6" t="s">
        <v>212</v>
      </c>
      <c r="F1226" s="6" t="s">
        <v>85</v>
      </c>
      <c r="G1226" s="11">
        <v>46126.561805555553</v>
      </c>
      <c r="I1226" s="10" t="s">
        <v>1720</v>
      </c>
      <c r="J1226" s="6" t="s">
        <v>1721</v>
      </c>
      <c r="K1226" s="12">
        <v>46120.502824074072</v>
      </c>
      <c r="L1226" s="6" t="e" cm="1">
        <f t="array" ref="L1226">LOOKUP(2^15,SEARCH(Tabela2[Palavras-Chave],Boletim4[[#This Row],[Objeto]],1),Tabela2[Palavras-Chave])</f>
        <v>#N/A</v>
      </c>
    </row>
    <row r="1227" spans="1:12" ht="100.8" hidden="1" x14ac:dyDescent="0.3">
      <c r="A1227" s="5">
        <v>18799776</v>
      </c>
      <c r="B1227" s="6" t="s">
        <v>1722</v>
      </c>
      <c r="C1227" s="6" t="s">
        <v>1723</v>
      </c>
      <c r="D1227" s="8" t="s">
        <v>92</v>
      </c>
      <c r="E1227" s="6" t="s">
        <v>134</v>
      </c>
      <c r="F1227" s="6" t="s">
        <v>85</v>
      </c>
      <c r="G1227" s="11">
        <v>46135.374305555553</v>
      </c>
      <c r="I1227" s="10" t="s">
        <v>1724</v>
      </c>
      <c r="J1227" s="6" t="s">
        <v>1725</v>
      </c>
      <c r="K1227" s="12">
        <v>46120.502835648149</v>
      </c>
      <c r="L1227" s="6" t="e" cm="1">
        <f t="array" ref="L1227">LOOKUP(2^15,SEARCH(Tabela2[Palavras-Chave],Boletim4[[#This Row],[Objeto]],1),Tabela2[Palavras-Chave])</f>
        <v>#N/A</v>
      </c>
    </row>
    <row r="1228" spans="1:12" ht="86.4" hidden="1" x14ac:dyDescent="0.3">
      <c r="A1228" s="5">
        <v>18804276</v>
      </c>
      <c r="B1228" s="6" t="s">
        <v>3124</v>
      </c>
      <c r="C1228" s="6" t="s">
        <v>3125</v>
      </c>
      <c r="D1228" s="8" t="s">
        <v>92</v>
      </c>
      <c r="E1228" s="6" t="s">
        <v>120</v>
      </c>
      <c r="F1228" s="6" t="s">
        <v>85</v>
      </c>
      <c r="G1228" s="11" t="s">
        <v>56</v>
      </c>
      <c r="I1228" s="10" t="s">
        <v>3126</v>
      </c>
      <c r="J1228" s="6" t="s">
        <v>3127</v>
      </c>
      <c r="K1228" s="12">
        <v>46120.625393518516</v>
      </c>
      <c r="L1228" s="6" t="e" cm="1">
        <f t="array" ref="L1228">LOOKUP(2^15,SEARCH(Tabela2[Palavras-Chave],Boletim4[[#This Row],[Objeto]],1),Tabela2[Palavras-Chave])</f>
        <v>#N/A</v>
      </c>
    </row>
    <row r="1229" spans="1:12" ht="115.2" hidden="1" x14ac:dyDescent="0.3">
      <c r="A1229" s="5">
        <v>18804042</v>
      </c>
      <c r="B1229" s="6" t="s">
        <v>1726</v>
      </c>
      <c r="C1229" s="6" t="s">
        <v>1727</v>
      </c>
      <c r="D1229" s="8" t="s">
        <v>92</v>
      </c>
      <c r="E1229" s="6" t="s">
        <v>381</v>
      </c>
      <c r="F1229" s="6" t="s">
        <v>85</v>
      </c>
      <c r="G1229" s="11">
        <v>46134.374305555553</v>
      </c>
      <c r="I1229" s="10" t="s">
        <v>1728</v>
      </c>
      <c r="J1229" s="6" t="s">
        <v>1729</v>
      </c>
      <c r="K1229" s="12">
        <v>46120.634062500001</v>
      </c>
      <c r="L1229" s="6" t="e" cm="1">
        <f t="array" ref="L1229">LOOKUP(2^15,SEARCH(Tabela2[Palavras-Chave],Boletim4[[#This Row],[Objeto]],1),Tabela2[Palavras-Chave])</f>
        <v>#N/A</v>
      </c>
    </row>
    <row r="1230" spans="1:12" ht="100.8" hidden="1" x14ac:dyDescent="0.3">
      <c r="A1230" s="5">
        <v>18804751</v>
      </c>
      <c r="B1230" s="6" t="s">
        <v>1730</v>
      </c>
      <c r="C1230" s="6" t="s">
        <v>1731</v>
      </c>
      <c r="D1230" s="8" t="s">
        <v>92</v>
      </c>
      <c r="E1230" s="6" t="s">
        <v>120</v>
      </c>
      <c r="F1230" s="6" t="s">
        <v>85</v>
      </c>
      <c r="G1230" s="11">
        <v>46134.353472222225</v>
      </c>
      <c r="I1230" s="10" t="s">
        <v>1732</v>
      </c>
      <c r="J1230" s="6" t="s">
        <v>1733</v>
      </c>
      <c r="K1230" s="12">
        <v>46120.731608796297</v>
      </c>
      <c r="L1230" s="6" t="e" cm="1">
        <f t="array" ref="L1230">LOOKUP(2^15,SEARCH(Tabela2[Palavras-Chave],Boletim4[[#This Row],[Objeto]],1),Tabela2[Palavras-Chave])</f>
        <v>#N/A</v>
      </c>
    </row>
    <row r="1231" spans="1:12" ht="86.4" hidden="1" x14ac:dyDescent="0.3">
      <c r="A1231" s="5">
        <v>18806363</v>
      </c>
      <c r="B1231" s="6" t="s">
        <v>250</v>
      </c>
      <c r="C1231" s="6" t="s">
        <v>100</v>
      </c>
      <c r="D1231" s="8" t="s">
        <v>92</v>
      </c>
      <c r="E1231" s="6" t="s">
        <v>1868</v>
      </c>
      <c r="F1231" s="6" t="s">
        <v>85</v>
      </c>
      <c r="G1231" s="11">
        <v>46146.416666666664</v>
      </c>
      <c r="I1231" s="10" t="s">
        <v>3128</v>
      </c>
      <c r="J1231" s="6" t="s">
        <v>3129</v>
      </c>
      <c r="K1231" s="12">
        <v>46120.88722222222</v>
      </c>
      <c r="L1231" s="6" t="e" cm="1">
        <f t="array" ref="L1231">LOOKUP(2^15,SEARCH(Tabela2[Palavras-Chave],Boletim4[[#This Row],[Objeto]],1),Tabela2[Palavras-Chave])</f>
        <v>#N/A</v>
      </c>
    </row>
    <row r="1232" spans="1:12" ht="72" hidden="1" x14ac:dyDescent="0.3">
      <c r="A1232" s="5">
        <v>18802246</v>
      </c>
      <c r="B1232" s="6" t="s">
        <v>74</v>
      </c>
      <c r="C1232" s="6" t="s">
        <v>69</v>
      </c>
      <c r="D1232" s="8" t="s">
        <v>70</v>
      </c>
      <c r="E1232" s="6" t="s">
        <v>2981</v>
      </c>
      <c r="F1232" s="6" t="s">
        <v>85</v>
      </c>
      <c r="G1232" s="11" t="s">
        <v>56</v>
      </c>
      <c r="I1232" s="10" t="s">
        <v>2982</v>
      </c>
      <c r="J1232" s="6" t="s">
        <v>2983</v>
      </c>
      <c r="K1232" s="12">
        <v>46120.468136574076</v>
      </c>
      <c r="L1232" s="6" t="e" cm="1">
        <f t="array" ref="L1232">LOOKUP(2^15,SEARCH(Tabela2[Palavras-Chave],Boletim4[[#This Row],[Objeto]],1),Tabela2[Palavras-Chave])</f>
        <v>#N/A</v>
      </c>
    </row>
    <row r="1233" spans="1:12" ht="100.8" hidden="1" x14ac:dyDescent="0.3">
      <c r="A1233" s="5">
        <v>18802002</v>
      </c>
      <c r="B1233" s="6" t="s">
        <v>1734</v>
      </c>
      <c r="C1233" s="6" t="s">
        <v>1735</v>
      </c>
      <c r="D1233" s="8" t="s">
        <v>70</v>
      </c>
      <c r="E1233" s="6" t="s">
        <v>135</v>
      </c>
      <c r="F1233" s="6" t="s">
        <v>85</v>
      </c>
      <c r="G1233" s="11">
        <v>46134.375</v>
      </c>
      <c r="I1233" s="10" t="s">
        <v>1736</v>
      </c>
      <c r="J1233" s="6" t="s">
        <v>1737</v>
      </c>
      <c r="K1233" s="12">
        <v>46120.475486111114</v>
      </c>
      <c r="L1233" s="6" t="e" cm="1">
        <f t="array" ref="L1233">LOOKUP(2^15,SEARCH(Tabela2[Palavras-Chave],Boletim4[[#This Row],[Objeto]],1),Tabela2[Palavras-Chave])</f>
        <v>#N/A</v>
      </c>
    </row>
    <row r="1234" spans="1:12" ht="72" hidden="1" x14ac:dyDescent="0.3">
      <c r="A1234" s="5">
        <v>18802238</v>
      </c>
      <c r="B1234" s="6" t="s">
        <v>74</v>
      </c>
      <c r="C1234" s="6" t="s">
        <v>69</v>
      </c>
      <c r="D1234" s="8" t="s">
        <v>70</v>
      </c>
      <c r="E1234" s="6" t="s">
        <v>1232</v>
      </c>
      <c r="F1234" s="6" t="s">
        <v>85</v>
      </c>
      <c r="G1234" s="11" t="s">
        <v>56</v>
      </c>
      <c r="I1234" s="10" t="s">
        <v>1233</v>
      </c>
      <c r="J1234" s="6" t="s">
        <v>1234</v>
      </c>
      <c r="K1234" s="12">
        <v>46120.529907407406</v>
      </c>
      <c r="L1234" s="6" t="e" cm="1">
        <f t="array" ref="L1234">LOOKUP(2^15,SEARCH(Tabela2[Palavras-Chave],Boletim4[[#This Row],[Objeto]],1),Tabela2[Palavras-Chave])</f>
        <v>#N/A</v>
      </c>
    </row>
    <row r="1235" spans="1:12" ht="187.2" hidden="1" x14ac:dyDescent="0.3">
      <c r="A1235" s="5">
        <v>18803431</v>
      </c>
      <c r="B1235" s="6" t="s">
        <v>331</v>
      </c>
      <c r="C1235" s="6" t="s">
        <v>69</v>
      </c>
      <c r="D1235" s="8" t="s">
        <v>70</v>
      </c>
      <c r="E1235" s="6" t="s">
        <v>171</v>
      </c>
      <c r="F1235" s="6" t="s">
        <v>85</v>
      </c>
      <c r="G1235" s="11">
        <v>46156.458333333336</v>
      </c>
      <c r="I1235" s="10" t="s">
        <v>3130</v>
      </c>
      <c r="J1235" s="6" t="s">
        <v>3131</v>
      </c>
      <c r="K1235" s="12">
        <v>46120.567233796297</v>
      </c>
      <c r="L1235" s="6" t="e" cm="1">
        <f t="array" ref="L1235">LOOKUP(2^15,SEARCH(Tabela2[Palavras-Chave],Boletim4[[#This Row],[Objeto]],1),Tabela2[Palavras-Chave])</f>
        <v>#N/A</v>
      </c>
    </row>
    <row r="1236" spans="1:12" ht="129.6" hidden="1" x14ac:dyDescent="0.3">
      <c r="A1236" s="5">
        <v>18802447</v>
      </c>
      <c r="B1236" s="6" t="s">
        <v>1762</v>
      </c>
      <c r="C1236" s="6" t="s">
        <v>69</v>
      </c>
      <c r="D1236" s="8" t="s">
        <v>70</v>
      </c>
      <c r="E1236" s="6" t="s">
        <v>3132</v>
      </c>
      <c r="F1236" s="6" t="s">
        <v>85</v>
      </c>
      <c r="G1236" s="11">
        <v>46139.375</v>
      </c>
      <c r="I1236" s="10" t="s">
        <v>3133</v>
      </c>
      <c r="J1236" s="6" t="s">
        <v>3134</v>
      </c>
      <c r="K1236" s="12">
        <v>46120.57372685185</v>
      </c>
      <c r="L1236" s="6" t="e" cm="1">
        <f t="array" ref="L1236">LOOKUP(2^15,SEARCH(Tabela2[Palavras-Chave],Boletim4[[#This Row],[Objeto]],1),Tabela2[Palavras-Chave])</f>
        <v>#N/A</v>
      </c>
    </row>
    <row r="1237" spans="1:12" ht="216" hidden="1" x14ac:dyDescent="0.3">
      <c r="A1237" s="5">
        <v>18803423</v>
      </c>
      <c r="B1237" s="6" t="s">
        <v>331</v>
      </c>
      <c r="C1237" s="6" t="s">
        <v>69</v>
      </c>
      <c r="D1237" s="8" t="s">
        <v>70</v>
      </c>
      <c r="E1237" s="6" t="s">
        <v>158</v>
      </c>
      <c r="F1237" s="6" t="s">
        <v>85</v>
      </c>
      <c r="G1237" s="11">
        <v>46155.458333333336</v>
      </c>
      <c r="I1237" s="10" t="s">
        <v>3135</v>
      </c>
      <c r="J1237" s="6" t="s">
        <v>3136</v>
      </c>
      <c r="K1237" s="12">
        <v>46120.579247685186</v>
      </c>
      <c r="L1237" s="6" t="e" cm="1">
        <f t="array" ref="L1237">LOOKUP(2^15,SEARCH(Tabela2[Palavras-Chave],Boletim4[[#This Row],[Objeto]],1),Tabela2[Palavras-Chave])</f>
        <v>#N/A</v>
      </c>
    </row>
    <row r="1238" spans="1:12" ht="158.4" hidden="1" x14ac:dyDescent="0.3">
      <c r="A1238" s="5">
        <v>18803438</v>
      </c>
      <c r="B1238" s="6" t="s">
        <v>331</v>
      </c>
      <c r="C1238" s="6" t="s">
        <v>69</v>
      </c>
      <c r="D1238" s="8" t="s">
        <v>70</v>
      </c>
      <c r="E1238" s="6" t="s">
        <v>301</v>
      </c>
      <c r="F1238" s="6" t="s">
        <v>85</v>
      </c>
      <c r="G1238" s="11">
        <v>46162.458333333336</v>
      </c>
      <c r="I1238" s="10" t="s">
        <v>3137</v>
      </c>
      <c r="J1238" s="6" t="s">
        <v>3138</v>
      </c>
      <c r="K1238" s="12">
        <v>46120.579421296294</v>
      </c>
      <c r="L1238" s="6" t="e" cm="1">
        <f t="array" ref="L1238">LOOKUP(2^15,SEARCH(Tabela2[Palavras-Chave],Boletim4[[#This Row],[Objeto]],1),Tabela2[Palavras-Chave])</f>
        <v>#N/A</v>
      </c>
    </row>
    <row r="1239" spans="1:12" ht="86.4" hidden="1" x14ac:dyDescent="0.3">
      <c r="A1239" s="5">
        <v>18803788</v>
      </c>
      <c r="B1239" s="6" t="s">
        <v>1738</v>
      </c>
      <c r="C1239" s="6" t="s">
        <v>69</v>
      </c>
      <c r="D1239" s="8" t="s">
        <v>70</v>
      </c>
      <c r="E1239" s="6" t="s">
        <v>1739</v>
      </c>
      <c r="F1239" s="6" t="s">
        <v>85</v>
      </c>
      <c r="G1239" s="11" t="s">
        <v>56</v>
      </c>
      <c r="I1239" s="10" t="s">
        <v>1740</v>
      </c>
      <c r="J1239" s="6" t="s">
        <v>1741</v>
      </c>
      <c r="K1239" s="12">
        <v>46120.617430555554</v>
      </c>
      <c r="L1239" s="6" t="e" cm="1">
        <f t="array" ref="L1239">LOOKUP(2^15,SEARCH(Tabela2[Palavras-Chave],Boletim4[[#This Row],[Objeto]],1),Tabela2[Palavras-Chave])</f>
        <v>#N/A</v>
      </c>
    </row>
    <row r="1240" spans="1:12" ht="244.8" hidden="1" x14ac:dyDescent="0.3">
      <c r="A1240" s="5">
        <v>18803857</v>
      </c>
      <c r="B1240" s="6" t="s">
        <v>1742</v>
      </c>
      <c r="C1240" s="6" t="s">
        <v>1743</v>
      </c>
      <c r="D1240" s="8" t="s">
        <v>70</v>
      </c>
      <c r="E1240" s="6" t="s">
        <v>135</v>
      </c>
      <c r="F1240" s="6" t="s">
        <v>85</v>
      </c>
      <c r="G1240" s="11" t="s">
        <v>56</v>
      </c>
      <c r="I1240" s="10" t="s">
        <v>1744</v>
      </c>
      <c r="J1240" s="6" t="s">
        <v>1745</v>
      </c>
      <c r="K1240" s="12">
        <v>46120.604826388888</v>
      </c>
      <c r="L1240" s="6" t="e" cm="1">
        <f t="array" ref="L1240">LOOKUP(2^15,SEARCH(Tabela2[Palavras-Chave],Boletim4[[#This Row],[Objeto]],1),Tabela2[Palavras-Chave])</f>
        <v>#N/A</v>
      </c>
    </row>
    <row r="1241" spans="1:12" ht="115.2" hidden="1" x14ac:dyDescent="0.3">
      <c r="A1241" s="5">
        <v>18802833</v>
      </c>
      <c r="B1241" s="6" t="s">
        <v>1746</v>
      </c>
      <c r="C1241" s="6" t="s">
        <v>1747</v>
      </c>
      <c r="D1241" s="8" t="s">
        <v>70</v>
      </c>
      <c r="E1241" s="6" t="s">
        <v>230</v>
      </c>
      <c r="F1241" s="6" t="s">
        <v>85</v>
      </c>
      <c r="G1241" s="11" t="s">
        <v>56</v>
      </c>
      <c r="I1241" s="10" t="s">
        <v>1748</v>
      </c>
      <c r="J1241" s="6" t="s">
        <v>1749</v>
      </c>
      <c r="K1241" s="12">
        <v>46120.628842592596</v>
      </c>
      <c r="L1241" s="6" t="e" cm="1">
        <f t="array" ref="L1241">LOOKUP(2^15,SEARCH(Tabela2[Palavras-Chave],Boletim4[[#This Row],[Objeto]],1),Tabela2[Palavras-Chave])</f>
        <v>#N/A</v>
      </c>
    </row>
    <row r="1242" spans="1:12" ht="244.8" hidden="1" x14ac:dyDescent="0.3">
      <c r="A1242" s="5">
        <v>18805343</v>
      </c>
      <c r="B1242" s="6" t="s">
        <v>1750</v>
      </c>
      <c r="C1242" s="6" t="s">
        <v>1751</v>
      </c>
      <c r="D1242" s="8" t="s">
        <v>70</v>
      </c>
      <c r="E1242" s="6" t="s">
        <v>117</v>
      </c>
      <c r="F1242" s="6" t="s">
        <v>85</v>
      </c>
      <c r="G1242" s="11" t="s">
        <v>56</v>
      </c>
      <c r="I1242" s="10" t="s">
        <v>1752</v>
      </c>
      <c r="J1242" s="6" t="s">
        <v>1753</v>
      </c>
      <c r="K1242" s="12">
        <v>46120.721562500003</v>
      </c>
      <c r="L1242" s="6" t="e" cm="1">
        <f t="array" ref="L1242">LOOKUP(2^15,SEARCH(Tabela2[Palavras-Chave],Boletim4[[#This Row],[Objeto]],1),Tabela2[Palavras-Chave])</f>
        <v>#N/A</v>
      </c>
    </row>
    <row r="1243" spans="1:12" ht="244.8" hidden="1" x14ac:dyDescent="0.3">
      <c r="A1243" s="5">
        <v>18805326</v>
      </c>
      <c r="B1243" s="6" t="s">
        <v>1754</v>
      </c>
      <c r="C1243" s="6" t="s">
        <v>1755</v>
      </c>
      <c r="D1243" s="8" t="s">
        <v>70</v>
      </c>
      <c r="E1243" s="6" t="s">
        <v>127</v>
      </c>
      <c r="F1243" s="6" t="s">
        <v>85</v>
      </c>
      <c r="G1243" s="11" t="s">
        <v>56</v>
      </c>
      <c r="I1243" s="10" t="s">
        <v>1756</v>
      </c>
      <c r="J1243" s="6" t="s">
        <v>1757</v>
      </c>
      <c r="K1243" s="12">
        <v>46120.72693287037</v>
      </c>
      <c r="L1243" s="6" t="e" cm="1">
        <f t="array" ref="L1243">LOOKUP(2^15,SEARCH(Tabela2[Palavras-Chave],Boletim4[[#This Row],[Objeto]],1),Tabela2[Palavras-Chave])</f>
        <v>#N/A</v>
      </c>
    </row>
    <row r="1244" spans="1:12" ht="244.8" hidden="1" x14ac:dyDescent="0.3">
      <c r="A1244" s="5">
        <v>18805616</v>
      </c>
      <c r="B1244" s="6" t="s">
        <v>1758</v>
      </c>
      <c r="C1244" s="6" t="s">
        <v>1759</v>
      </c>
      <c r="D1244" s="8" t="s">
        <v>70</v>
      </c>
      <c r="E1244" s="6" t="s">
        <v>128</v>
      </c>
      <c r="F1244" s="6" t="s">
        <v>85</v>
      </c>
      <c r="G1244" s="11" t="s">
        <v>56</v>
      </c>
      <c r="I1244" s="10" t="s">
        <v>1760</v>
      </c>
      <c r="J1244" s="6" t="s">
        <v>1761</v>
      </c>
      <c r="K1244" s="12">
        <v>46120.759108796294</v>
      </c>
      <c r="L1244" s="6" t="e" cm="1">
        <f t="array" ref="L1244">LOOKUP(2^15,SEARCH(Tabela2[Palavras-Chave],Boletim4[[#This Row],[Objeto]],1),Tabela2[Palavras-Chave])</f>
        <v>#N/A</v>
      </c>
    </row>
    <row r="1245" spans="1:12" ht="144" x14ac:dyDescent="0.3">
      <c r="A1245" s="5">
        <v>18802437</v>
      </c>
      <c r="B1245" s="6" t="s">
        <v>1762</v>
      </c>
      <c r="C1245" s="6" t="s">
        <v>69</v>
      </c>
      <c r="D1245" s="8" t="s">
        <v>70</v>
      </c>
      <c r="E1245" s="6" t="s">
        <v>1763</v>
      </c>
      <c r="F1245" s="6" t="s">
        <v>85</v>
      </c>
      <c r="G1245" s="11">
        <v>46128.375</v>
      </c>
      <c r="H1245" s="23">
        <v>2</v>
      </c>
      <c r="I1245" s="10" t="s">
        <v>1764</v>
      </c>
      <c r="J1245" s="6" t="s">
        <v>1765</v>
      </c>
      <c r="K1245" s="12">
        <v>46120.759918981479</v>
      </c>
      <c r="L1245" s="6" t="str" cm="1">
        <f t="array" ref="L1245">LOOKUP(2^15,SEARCH(Tabela2[Palavras-Chave],Boletim4[[#This Row],[Objeto]],1),Tabela2[Palavras-Chave])</f>
        <v>BOOSTER</v>
      </c>
    </row>
    <row r="1246" spans="1:12" ht="259.2" hidden="1" x14ac:dyDescent="0.3">
      <c r="A1246" s="5">
        <v>18804248</v>
      </c>
      <c r="B1246" s="6" t="s">
        <v>1766</v>
      </c>
      <c r="C1246" s="6" t="s">
        <v>378</v>
      </c>
      <c r="D1246" s="8" t="s">
        <v>70</v>
      </c>
      <c r="E1246" s="6" t="s">
        <v>134</v>
      </c>
      <c r="F1246" s="6" t="s">
        <v>85</v>
      </c>
      <c r="G1246" s="11" t="s">
        <v>56</v>
      </c>
      <c r="I1246" s="10" t="s">
        <v>1767</v>
      </c>
      <c r="J1246" s="6" t="s">
        <v>1768</v>
      </c>
      <c r="K1246" s="12">
        <v>46120.760451388887</v>
      </c>
      <c r="L1246" s="6" t="e" cm="1">
        <f t="array" ref="L1246">LOOKUP(2^15,SEARCH(Tabela2[Palavras-Chave],Boletim4[[#This Row],[Objeto]],1),Tabela2[Palavras-Chave])</f>
        <v>#N/A</v>
      </c>
    </row>
    <row r="1247" spans="1:12" ht="100.8" hidden="1" x14ac:dyDescent="0.3">
      <c r="A1247" s="5">
        <v>18805673</v>
      </c>
      <c r="B1247" s="6" t="s">
        <v>331</v>
      </c>
      <c r="C1247" s="6" t="s">
        <v>69</v>
      </c>
      <c r="D1247" s="8" t="s">
        <v>70</v>
      </c>
      <c r="E1247" s="6" t="s">
        <v>127</v>
      </c>
      <c r="F1247" s="6" t="s">
        <v>85</v>
      </c>
      <c r="G1247" s="11" t="s">
        <v>56</v>
      </c>
      <c r="I1247" s="10" t="s">
        <v>3139</v>
      </c>
      <c r="J1247" s="6" t="s">
        <v>3140</v>
      </c>
      <c r="K1247" s="12">
        <v>46120.76116898148</v>
      </c>
      <c r="L1247" s="6" t="e" cm="1">
        <f t="array" ref="L1247">LOOKUP(2^15,SEARCH(Tabela2[Palavras-Chave],Boletim4[[#This Row],[Objeto]],1),Tabela2[Palavras-Chave])</f>
        <v>#N/A</v>
      </c>
    </row>
    <row r="1248" spans="1:12" ht="115.2" hidden="1" x14ac:dyDescent="0.3">
      <c r="A1248" s="5">
        <v>18802842</v>
      </c>
      <c r="B1248" s="6" t="s">
        <v>1769</v>
      </c>
      <c r="C1248" s="6" t="s">
        <v>69</v>
      </c>
      <c r="D1248" s="8" t="s">
        <v>70</v>
      </c>
      <c r="E1248" s="6" t="s">
        <v>232</v>
      </c>
      <c r="F1248" s="6" t="s">
        <v>85</v>
      </c>
      <c r="G1248" s="11" t="s">
        <v>56</v>
      </c>
      <c r="I1248" s="10" t="s">
        <v>1770</v>
      </c>
      <c r="J1248" s="6" t="s">
        <v>1771</v>
      </c>
      <c r="K1248" s="12">
        <v>46120.858680555553</v>
      </c>
      <c r="L1248" s="6" t="e" cm="1">
        <f t="array" ref="L1248">LOOKUP(2^15,SEARCH(Tabela2[Palavras-Chave],Boletim4[[#This Row],[Objeto]],1),Tabela2[Palavras-Chave])</f>
        <v>#N/A</v>
      </c>
    </row>
    <row r="1249" spans="1:12" ht="115.2" hidden="1" x14ac:dyDescent="0.3">
      <c r="A1249" s="5">
        <v>18803456</v>
      </c>
      <c r="B1249" s="6" t="s">
        <v>331</v>
      </c>
      <c r="C1249" s="6" t="s">
        <v>69</v>
      </c>
      <c r="D1249" s="8" t="s">
        <v>70</v>
      </c>
      <c r="E1249" s="6" t="s">
        <v>1772</v>
      </c>
      <c r="F1249" s="6" t="s">
        <v>85</v>
      </c>
      <c r="G1249" s="11">
        <v>46160.458333333336</v>
      </c>
      <c r="I1249" s="10" t="s">
        <v>1773</v>
      </c>
      <c r="J1249" s="6" t="s">
        <v>1774</v>
      </c>
      <c r="K1249" s="12">
        <v>46120.901296296295</v>
      </c>
      <c r="L1249" s="6" t="e" cm="1">
        <f t="array" ref="L1249">LOOKUP(2^15,SEARCH(Tabela2[Palavras-Chave],Boletim4[[#This Row],[Objeto]],1),Tabela2[Palavras-Chave])</f>
        <v>#N/A</v>
      </c>
    </row>
    <row r="1250" spans="1:12" ht="28.8" hidden="1" x14ac:dyDescent="0.3">
      <c r="A1250" s="5">
        <v>18800926</v>
      </c>
      <c r="B1250" s="6" t="s">
        <v>1775</v>
      </c>
      <c r="C1250" s="6" t="s">
        <v>1776</v>
      </c>
      <c r="D1250" s="8" t="s">
        <v>71</v>
      </c>
      <c r="E1250" s="6" t="s">
        <v>113</v>
      </c>
      <c r="F1250" s="6" t="s">
        <v>85</v>
      </c>
      <c r="G1250" s="11">
        <v>46132.354166666664</v>
      </c>
      <c r="I1250" s="10" t="s">
        <v>1777</v>
      </c>
      <c r="J1250" s="6" t="s">
        <v>1778</v>
      </c>
      <c r="K1250" s="12">
        <v>46120.388356481482</v>
      </c>
      <c r="L1250" s="6" t="e" cm="1">
        <f t="array" ref="L1250">LOOKUP(2^15,SEARCH(Tabela2[Palavras-Chave],Boletim4[[#This Row],[Objeto]],1),Tabela2[Palavras-Chave])</f>
        <v>#N/A</v>
      </c>
    </row>
    <row r="1251" spans="1:12" ht="172.8" hidden="1" x14ac:dyDescent="0.3">
      <c r="A1251" s="5">
        <v>18803426</v>
      </c>
      <c r="B1251" s="6" t="s">
        <v>3141</v>
      </c>
      <c r="C1251" s="6" t="s">
        <v>3142</v>
      </c>
      <c r="D1251" s="8" t="s">
        <v>71</v>
      </c>
      <c r="E1251" s="6" t="s">
        <v>207</v>
      </c>
      <c r="F1251" s="6" t="s">
        <v>85</v>
      </c>
      <c r="G1251" s="11">
        <v>46136.416666666664</v>
      </c>
      <c r="I1251" s="10" t="s">
        <v>3143</v>
      </c>
      <c r="J1251" s="6" t="s">
        <v>3144</v>
      </c>
      <c r="K1251" s="12">
        <v>46120.562534722223</v>
      </c>
      <c r="L1251" s="6" t="e" cm="1">
        <f t="array" ref="L1251">LOOKUP(2^15,SEARCH(Tabela2[Palavras-Chave],Boletim4[[#This Row],[Objeto]],1),Tabela2[Palavras-Chave])</f>
        <v>#N/A</v>
      </c>
    </row>
    <row r="1252" spans="1:12" ht="129.6" hidden="1" x14ac:dyDescent="0.3">
      <c r="A1252" s="5">
        <v>18802870</v>
      </c>
      <c r="B1252" s="6" t="s">
        <v>1779</v>
      </c>
      <c r="C1252" s="6" t="s">
        <v>133</v>
      </c>
      <c r="D1252" s="8" t="s">
        <v>71</v>
      </c>
      <c r="E1252" s="6" t="s">
        <v>1780</v>
      </c>
      <c r="F1252" s="6" t="s">
        <v>85</v>
      </c>
      <c r="G1252" s="11" t="s">
        <v>56</v>
      </c>
      <c r="I1252" s="10" t="s">
        <v>1781</v>
      </c>
      <c r="J1252" s="6" t="s">
        <v>1782</v>
      </c>
      <c r="K1252" s="12">
        <v>46120.588356481479</v>
      </c>
      <c r="L1252" s="6" t="e" cm="1">
        <f t="array" ref="L1252">LOOKUP(2^15,SEARCH(Tabela2[Palavras-Chave],Boletim4[[#This Row],[Objeto]],1),Tabela2[Palavras-Chave])</f>
        <v>#N/A</v>
      </c>
    </row>
    <row r="1253" spans="1:12" ht="129.6" hidden="1" x14ac:dyDescent="0.3">
      <c r="A1253" s="5">
        <v>18802854</v>
      </c>
      <c r="B1253" s="6" t="s">
        <v>1779</v>
      </c>
      <c r="C1253" s="6" t="s">
        <v>133</v>
      </c>
      <c r="D1253" s="8" t="s">
        <v>71</v>
      </c>
      <c r="E1253" s="6" t="s">
        <v>1783</v>
      </c>
      <c r="F1253" s="6" t="s">
        <v>85</v>
      </c>
      <c r="G1253" s="11" t="s">
        <v>56</v>
      </c>
      <c r="I1253" s="10" t="s">
        <v>1784</v>
      </c>
      <c r="J1253" s="6" t="s">
        <v>1785</v>
      </c>
      <c r="K1253" s="12">
        <v>46120.588391203702</v>
      </c>
      <c r="L1253" s="6" t="e" cm="1">
        <f t="array" ref="L1253">LOOKUP(2^15,SEARCH(Tabela2[Palavras-Chave],Boletim4[[#This Row],[Objeto]],1),Tabela2[Palavras-Chave])</f>
        <v>#N/A</v>
      </c>
    </row>
    <row r="1254" spans="1:12" ht="86.4" hidden="1" x14ac:dyDescent="0.3">
      <c r="A1254" s="5">
        <v>18801481</v>
      </c>
      <c r="B1254" s="6" t="s">
        <v>379</v>
      </c>
      <c r="C1254" s="6" t="s">
        <v>380</v>
      </c>
      <c r="D1254" s="8" t="s">
        <v>71</v>
      </c>
      <c r="E1254" s="6" t="s">
        <v>461</v>
      </c>
      <c r="F1254" s="6" t="s">
        <v>85</v>
      </c>
      <c r="G1254" s="11" t="s">
        <v>56</v>
      </c>
      <c r="I1254" s="10" t="s">
        <v>3145</v>
      </c>
      <c r="J1254" s="6" t="s">
        <v>3146</v>
      </c>
      <c r="K1254" s="12">
        <v>46120.743055555555</v>
      </c>
      <c r="L1254" s="6" t="e" cm="1">
        <f t="array" ref="L1254">LOOKUP(2^15,SEARCH(Tabela2[Palavras-Chave],Boletim4[[#This Row],[Objeto]],1),Tabela2[Palavras-Chave])</f>
        <v>#N/A</v>
      </c>
    </row>
    <row r="1255" spans="1:12" ht="43.2" hidden="1" x14ac:dyDescent="0.3">
      <c r="A1255" s="5">
        <v>18805629</v>
      </c>
      <c r="B1255" s="6" t="s">
        <v>1786</v>
      </c>
      <c r="C1255" s="6" t="s">
        <v>1787</v>
      </c>
      <c r="D1255" s="8" t="s">
        <v>71</v>
      </c>
      <c r="E1255" s="6" t="s">
        <v>115</v>
      </c>
      <c r="F1255" s="6" t="s">
        <v>85</v>
      </c>
      <c r="G1255" s="11">
        <v>46134.375</v>
      </c>
      <c r="I1255" s="10" t="s">
        <v>1788</v>
      </c>
      <c r="J1255" s="6" t="s">
        <v>1789</v>
      </c>
      <c r="K1255" s="12">
        <v>46120.746990740743</v>
      </c>
      <c r="L1255" s="6" t="e" cm="1">
        <f t="array" ref="L1255">LOOKUP(2^15,SEARCH(Tabela2[Palavras-Chave],Boletim4[[#This Row],[Objeto]],1),Tabela2[Palavras-Chave])</f>
        <v>#N/A</v>
      </c>
    </row>
    <row r="1256" spans="1:12" ht="100.8" hidden="1" x14ac:dyDescent="0.3">
      <c r="A1256" s="5">
        <v>18804453</v>
      </c>
      <c r="B1256" s="6" t="s">
        <v>3147</v>
      </c>
      <c r="C1256" s="6" t="s">
        <v>133</v>
      </c>
      <c r="D1256" s="8" t="s">
        <v>71</v>
      </c>
      <c r="E1256" s="6" t="s">
        <v>3148</v>
      </c>
      <c r="F1256" s="6" t="s">
        <v>85</v>
      </c>
      <c r="G1256" s="11">
        <v>46136.416666666664</v>
      </c>
      <c r="I1256" s="10" t="s">
        <v>3149</v>
      </c>
      <c r="J1256" s="6" t="s">
        <v>3150</v>
      </c>
      <c r="K1256" s="12">
        <v>46120.8828587963</v>
      </c>
      <c r="L1256" s="6" t="e" cm="1">
        <f t="array" ref="L1256">LOOKUP(2^15,SEARCH(Tabela2[Palavras-Chave],Boletim4[[#This Row],[Objeto]],1),Tabela2[Palavras-Chave])</f>
        <v>#N/A</v>
      </c>
    </row>
    <row r="1257" spans="1:12" ht="86.4" hidden="1" x14ac:dyDescent="0.3">
      <c r="A1257" s="5">
        <v>18800615</v>
      </c>
      <c r="B1257" s="6" t="s">
        <v>1790</v>
      </c>
      <c r="C1257" s="6" t="s">
        <v>1791</v>
      </c>
      <c r="D1257" s="8" t="s">
        <v>72</v>
      </c>
      <c r="E1257" s="6" t="s">
        <v>134</v>
      </c>
      <c r="F1257" s="6" t="s">
        <v>85</v>
      </c>
      <c r="G1257" s="11" t="s">
        <v>56</v>
      </c>
      <c r="I1257" s="10" t="s">
        <v>1792</v>
      </c>
      <c r="J1257" s="6" t="s">
        <v>1793</v>
      </c>
      <c r="K1257" s="12">
        <v>46120.388356481482</v>
      </c>
      <c r="L1257" s="6" t="e" cm="1">
        <f t="array" ref="L1257">LOOKUP(2^15,SEARCH(Tabela2[Palavras-Chave],Boletim4[[#This Row],[Objeto]],1),Tabela2[Palavras-Chave])</f>
        <v>#N/A</v>
      </c>
    </row>
    <row r="1258" spans="1:12" ht="86.4" hidden="1" x14ac:dyDescent="0.3">
      <c r="A1258" s="5">
        <v>18795164</v>
      </c>
      <c r="B1258" s="6" t="s">
        <v>1794</v>
      </c>
      <c r="C1258" s="6" t="s">
        <v>1795</v>
      </c>
      <c r="D1258" s="8" t="s">
        <v>72</v>
      </c>
      <c r="E1258" s="6" t="s">
        <v>381</v>
      </c>
      <c r="F1258" s="6" t="s">
        <v>85</v>
      </c>
      <c r="G1258" s="11" t="s">
        <v>56</v>
      </c>
      <c r="I1258" s="10" t="s">
        <v>1796</v>
      </c>
      <c r="J1258" s="6" t="s">
        <v>1797</v>
      </c>
      <c r="K1258" s="12">
        <v>46120.388935185183</v>
      </c>
      <c r="L1258" s="6" t="e" cm="1">
        <f t="array" ref="L1258">LOOKUP(2^15,SEARCH(Tabela2[Palavras-Chave],Boletim4[[#This Row],[Objeto]],1),Tabela2[Palavras-Chave])</f>
        <v>#N/A</v>
      </c>
    </row>
    <row r="1259" spans="1:12" ht="115.2" hidden="1" x14ac:dyDescent="0.3">
      <c r="A1259" s="5">
        <v>18800924</v>
      </c>
      <c r="B1259" s="6" t="s">
        <v>1798</v>
      </c>
      <c r="C1259" s="6" t="s">
        <v>1799</v>
      </c>
      <c r="D1259" s="8" t="s">
        <v>72</v>
      </c>
      <c r="E1259" s="6" t="s">
        <v>141</v>
      </c>
      <c r="F1259" s="6" t="s">
        <v>85</v>
      </c>
      <c r="G1259" s="11">
        <v>46125.333333333336</v>
      </c>
      <c r="I1259" s="10" t="s">
        <v>1800</v>
      </c>
      <c r="J1259" s="6" t="s">
        <v>1801</v>
      </c>
      <c r="K1259" s="12">
        <v>46120.388969907406</v>
      </c>
      <c r="L1259" s="6" t="e" cm="1">
        <f t="array" ref="L1259">LOOKUP(2^15,SEARCH(Tabela2[Palavras-Chave],Boletim4[[#This Row],[Objeto]],1),Tabela2[Palavras-Chave])</f>
        <v>#N/A</v>
      </c>
    </row>
    <row r="1260" spans="1:12" ht="86.4" hidden="1" x14ac:dyDescent="0.3">
      <c r="A1260" s="5">
        <v>18798439</v>
      </c>
      <c r="B1260" s="6" t="s">
        <v>1802</v>
      </c>
      <c r="C1260" s="6" t="s">
        <v>1803</v>
      </c>
      <c r="D1260" s="8" t="s">
        <v>72</v>
      </c>
      <c r="E1260" s="6" t="s">
        <v>148</v>
      </c>
      <c r="F1260" s="6" t="s">
        <v>85</v>
      </c>
      <c r="G1260" s="11" t="s">
        <v>56</v>
      </c>
      <c r="I1260" s="10" t="s">
        <v>1804</v>
      </c>
      <c r="J1260" s="6" t="s">
        <v>1805</v>
      </c>
      <c r="K1260" s="12">
        <v>46120.388981481483</v>
      </c>
      <c r="L1260" s="6" t="e" cm="1">
        <f t="array" ref="L1260">LOOKUP(2^15,SEARCH(Tabela2[Palavras-Chave],Boletim4[[#This Row],[Objeto]],1),Tabela2[Palavras-Chave])</f>
        <v>#N/A</v>
      </c>
    </row>
    <row r="1261" spans="1:12" ht="259.2" hidden="1" x14ac:dyDescent="0.3">
      <c r="A1261" s="5">
        <v>18801592</v>
      </c>
      <c r="B1261" s="6" t="s">
        <v>1806</v>
      </c>
      <c r="C1261" s="6" t="s">
        <v>1807</v>
      </c>
      <c r="D1261" s="8" t="s">
        <v>72</v>
      </c>
      <c r="E1261" s="6" t="s">
        <v>120</v>
      </c>
      <c r="F1261" s="6" t="s">
        <v>85</v>
      </c>
      <c r="G1261" s="11" t="s">
        <v>56</v>
      </c>
      <c r="I1261" s="10" t="s">
        <v>1808</v>
      </c>
      <c r="J1261" s="6" t="s">
        <v>1809</v>
      </c>
      <c r="K1261" s="12">
        <v>46120.456736111111</v>
      </c>
      <c r="L1261" s="6" t="e" cm="1">
        <f t="array" ref="L1261">LOOKUP(2^15,SEARCH(Tabela2[Palavras-Chave],Boletim4[[#This Row],[Objeto]],1),Tabela2[Palavras-Chave])</f>
        <v>#N/A</v>
      </c>
    </row>
    <row r="1262" spans="1:12" ht="259.2" hidden="1" x14ac:dyDescent="0.3">
      <c r="A1262" s="5">
        <v>18801599</v>
      </c>
      <c r="B1262" s="6" t="s">
        <v>1810</v>
      </c>
      <c r="C1262" s="6" t="s">
        <v>1811</v>
      </c>
      <c r="D1262" s="8" t="s">
        <v>72</v>
      </c>
      <c r="E1262" s="6" t="s">
        <v>456</v>
      </c>
      <c r="F1262" s="6" t="s">
        <v>85</v>
      </c>
      <c r="G1262" s="11" t="s">
        <v>56</v>
      </c>
      <c r="I1262" s="10" t="s">
        <v>1812</v>
      </c>
      <c r="J1262" s="6" t="s">
        <v>1813</v>
      </c>
      <c r="K1262" s="12">
        <v>46120.491944444446</v>
      </c>
      <c r="L1262" s="6" t="e" cm="1">
        <f t="array" ref="L1262">LOOKUP(2^15,SEARCH(Tabela2[Palavras-Chave],Boletim4[[#This Row],[Objeto]],1),Tabela2[Palavras-Chave])</f>
        <v>#N/A</v>
      </c>
    </row>
    <row r="1263" spans="1:12" ht="244.8" hidden="1" x14ac:dyDescent="0.3">
      <c r="A1263" s="5">
        <v>18801669</v>
      </c>
      <c r="B1263" s="6" t="s">
        <v>1814</v>
      </c>
      <c r="C1263" s="6" t="s">
        <v>1815</v>
      </c>
      <c r="D1263" s="8" t="s">
        <v>72</v>
      </c>
      <c r="E1263" s="6" t="s">
        <v>143</v>
      </c>
      <c r="F1263" s="6" t="s">
        <v>85</v>
      </c>
      <c r="G1263" s="11" t="s">
        <v>56</v>
      </c>
      <c r="I1263" s="10" t="s">
        <v>1816</v>
      </c>
      <c r="J1263" s="6" t="s">
        <v>1817</v>
      </c>
      <c r="K1263" s="12">
        <v>46120.493738425925</v>
      </c>
      <c r="L1263" s="6" t="e" cm="1">
        <f t="array" ref="L1263">LOOKUP(2^15,SEARCH(Tabela2[Palavras-Chave],Boletim4[[#This Row],[Objeto]],1),Tabela2[Palavras-Chave])</f>
        <v>#N/A</v>
      </c>
    </row>
    <row r="1264" spans="1:12" ht="115.2" hidden="1" x14ac:dyDescent="0.3">
      <c r="A1264" s="5">
        <v>18802711</v>
      </c>
      <c r="B1264" s="6" t="s">
        <v>384</v>
      </c>
      <c r="C1264" s="6" t="s">
        <v>206</v>
      </c>
      <c r="D1264" s="8" t="s">
        <v>72</v>
      </c>
      <c r="E1264" s="6" t="s">
        <v>1818</v>
      </c>
      <c r="F1264" s="6" t="s">
        <v>85</v>
      </c>
      <c r="G1264" s="11" t="s">
        <v>56</v>
      </c>
      <c r="I1264" s="10" t="s">
        <v>1819</v>
      </c>
      <c r="J1264" s="6" t="s">
        <v>1820</v>
      </c>
      <c r="K1264" s="12">
        <v>46120.516493055555</v>
      </c>
      <c r="L1264" s="6" t="e" cm="1">
        <f t="array" ref="L1264">LOOKUP(2^15,SEARCH(Tabela2[Palavras-Chave],Boletim4[[#This Row],[Objeto]],1),Tabela2[Palavras-Chave])</f>
        <v>#N/A</v>
      </c>
    </row>
    <row r="1265" spans="1:12" ht="288" hidden="1" x14ac:dyDescent="0.3">
      <c r="A1265" s="5">
        <v>18801632</v>
      </c>
      <c r="B1265" s="6" t="s">
        <v>235</v>
      </c>
      <c r="C1265" s="6" t="s">
        <v>236</v>
      </c>
      <c r="D1265" s="8" t="s">
        <v>72</v>
      </c>
      <c r="E1265" s="6" t="s">
        <v>143</v>
      </c>
      <c r="F1265" s="6" t="s">
        <v>85</v>
      </c>
      <c r="G1265" s="11" t="s">
        <v>56</v>
      </c>
      <c r="I1265" s="10" t="s">
        <v>1821</v>
      </c>
      <c r="J1265" s="6" t="s">
        <v>1822</v>
      </c>
      <c r="K1265" s="12">
        <v>46120.517847222225</v>
      </c>
      <c r="L1265" s="6" t="e" cm="1">
        <f t="array" ref="L1265">LOOKUP(2^15,SEARCH(Tabela2[Palavras-Chave],Boletim4[[#This Row],[Objeto]],1),Tabela2[Palavras-Chave])</f>
        <v>#N/A</v>
      </c>
    </row>
    <row r="1266" spans="1:12" ht="115.2" hidden="1" x14ac:dyDescent="0.3">
      <c r="A1266" s="5">
        <v>18802706</v>
      </c>
      <c r="B1266" s="6" t="s">
        <v>1823</v>
      </c>
      <c r="C1266" s="6" t="s">
        <v>1824</v>
      </c>
      <c r="D1266" s="8" t="s">
        <v>72</v>
      </c>
      <c r="E1266" s="6" t="s">
        <v>184</v>
      </c>
      <c r="F1266" s="6" t="s">
        <v>85</v>
      </c>
      <c r="G1266" s="11" t="s">
        <v>56</v>
      </c>
      <c r="I1266" s="10" t="s">
        <v>1825</v>
      </c>
      <c r="J1266" s="6" t="s">
        <v>1826</v>
      </c>
      <c r="K1266" s="12">
        <v>46120.525682870371</v>
      </c>
      <c r="L1266" s="6" t="e" cm="1">
        <f t="array" ref="L1266">LOOKUP(2^15,SEARCH(Tabela2[Palavras-Chave],Boletim4[[#This Row],[Objeto]],1),Tabela2[Palavras-Chave])</f>
        <v>#N/A</v>
      </c>
    </row>
    <row r="1267" spans="1:12" ht="72" hidden="1" x14ac:dyDescent="0.3">
      <c r="A1267" s="5">
        <v>18802232</v>
      </c>
      <c r="B1267" s="6" t="s">
        <v>74</v>
      </c>
      <c r="C1267" s="6" t="s">
        <v>73</v>
      </c>
      <c r="D1267" s="8" t="s">
        <v>72</v>
      </c>
      <c r="E1267" s="6" t="s">
        <v>1394</v>
      </c>
      <c r="F1267" s="6" t="s">
        <v>85</v>
      </c>
      <c r="G1267" s="11" t="s">
        <v>56</v>
      </c>
      <c r="I1267" s="10" t="s">
        <v>1395</v>
      </c>
      <c r="J1267" s="6" t="s">
        <v>1396</v>
      </c>
      <c r="K1267" s="12">
        <v>46120.529236111113</v>
      </c>
      <c r="L1267" s="6" t="e" cm="1">
        <f t="array" ref="L1267">LOOKUP(2^15,SEARCH(Tabela2[Palavras-Chave],Boletim4[[#This Row],[Objeto]],1),Tabela2[Palavras-Chave])</f>
        <v>#N/A</v>
      </c>
    </row>
    <row r="1268" spans="1:12" ht="115.2" hidden="1" x14ac:dyDescent="0.3">
      <c r="A1268" s="5">
        <v>18802762</v>
      </c>
      <c r="B1268" s="6" t="s">
        <v>1827</v>
      </c>
      <c r="C1268" s="6" t="s">
        <v>1828</v>
      </c>
      <c r="D1268" s="8" t="s">
        <v>72</v>
      </c>
      <c r="E1268" s="6" t="s">
        <v>1677</v>
      </c>
      <c r="F1268" s="6" t="s">
        <v>85</v>
      </c>
      <c r="G1268" s="11" t="s">
        <v>56</v>
      </c>
      <c r="I1268" s="10" t="s">
        <v>1829</v>
      </c>
      <c r="J1268" s="6" t="s">
        <v>1830</v>
      </c>
      <c r="K1268" s="12">
        <v>46120.527129629627</v>
      </c>
      <c r="L1268" s="6" t="e" cm="1">
        <f t="array" ref="L1268">LOOKUP(2^15,SEARCH(Tabela2[Palavras-Chave],Boletim4[[#This Row],[Objeto]],1),Tabela2[Palavras-Chave])</f>
        <v>#N/A</v>
      </c>
    </row>
    <row r="1269" spans="1:12" ht="72" hidden="1" x14ac:dyDescent="0.3">
      <c r="A1269" s="5">
        <v>18802239</v>
      </c>
      <c r="B1269" s="6" t="s">
        <v>74</v>
      </c>
      <c r="C1269" s="6" t="s">
        <v>73</v>
      </c>
      <c r="D1269" s="8" t="s">
        <v>72</v>
      </c>
      <c r="E1269" s="6" t="s">
        <v>1232</v>
      </c>
      <c r="F1269" s="6" t="s">
        <v>85</v>
      </c>
      <c r="G1269" s="11" t="s">
        <v>56</v>
      </c>
      <c r="I1269" s="10" t="s">
        <v>1233</v>
      </c>
      <c r="J1269" s="6" t="s">
        <v>1234</v>
      </c>
      <c r="K1269" s="12">
        <v>46120.529907407406</v>
      </c>
      <c r="L1269" s="6" t="e" cm="1">
        <f t="array" ref="L1269">LOOKUP(2^15,SEARCH(Tabela2[Palavras-Chave],Boletim4[[#This Row],[Objeto]],1),Tabela2[Palavras-Chave])</f>
        <v>#N/A</v>
      </c>
    </row>
    <row r="1270" spans="1:12" ht="144" hidden="1" x14ac:dyDescent="0.3">
      <c r="A1270" s="5">
        <v>18802744</v>
      </c>
      <c r="B1270" s="6" t="s">
        <v>457</v>
      </c>
      <c r="C1270" s="6" t="s">
        <v>385</v>
      </c>
      <c r="D1270" s="8" t="s">
        <v>72</v>
      </c>
      <c r="E1270" s="6" t="s">
        <v>1471</v>
      </c>
      <c r="F1270" s="6" t="s">
        <v>85</v>
      </c>
      <c r="G1270" s="11" t="s">
        <v>56</v>
      </c>
      <c r="I1270" s="10" t="s">
        <v>1831</v>
      </c>
      <c r="J1270" s="6" t="s">
        <v>1832</v>
      </c>
      <c r="K1270" s="12">
        <v>46120.542523148149</v>
      </c>
      <c r="L1270" s="6" t="e" cm="1">
        <f t="array" ref="L1270">LOOKUP(2^15,SEARCH(Tabela2[Palavras-Chave],Boletim4[[#This Row],[Objeto]],1),Tabela2[Palavras-Chave])</f>
        <v>#N/A</v>
      </c>
    </row>
    <row r="1271" spans="1:12" ht="259.2" hidden="1" x14ac:dyDescent="0.3">
      <c r="A1271" s="5">
        <v>18801569</v>
      </c>
      <c r="B1271" s="6" t="s">
        <v>1833</v>
      </c>
      <c r="C1271" s="6" t="s">
        <v>1834</v>
      </c>
      <c r="D1271" s="8" t="s">
        <v>72</v>
      </c>
      <c r="E1271" s="6" t="s">
        <v>223</v>
      </c>
      <c r="F1271" s="6" t="s">
        <v>85</v>
      </c>
      <c r="G1271" s="11" t="s">
        <v>56</v>
      </c>
      <c r="I1271" s="10" t="s">
        <v>1835</v>
      </c>
      <c r="J1271" s="6" t="s">
        <v>1836</v>
      </c>
      <c r="K1271" s="12">
        <v>46120.563032407408</v>
      </c>
      <c r="L1271" s="6" t="e" cm="1">
        <f t="array" ref="L1271">LOOKUP(2^15,SEARCH(Tabela2[Palavras-Chave],Boletim4[[#This Row],[Objeto]],1),Tabela2[Palavras-Chave])</f>
        <v>#N/A</v>
      </c>
    </row>
    <row r="1272" spans="1:12" ht="273.60000000000002" hidden="1" x14ac:dyDescent="0.3">
      <c r="A1272" s="5">
        <v>18801571</v>
      </c>
      <c r="B1272" s="6" t="s">
        <v>424</v>
      </c>
      <c r="C1272" s="6" t="s">
        <v>425</v>
      </c>
      <c r="D1272" s="8" t="s">
        <v>72</v>
      </c>
      <c r="E1272" s="6" t="s">
        <v>1669</v>
      </c>
      <c r="F1272" s="6" t="s">
        <v>85</v>
      </c>
      <c r="G1272" s="11" t="s">
        <v>56</v>
      </c>
      <c r="I1272" s="10" t="s">
        <v>1837</v>
      </c>
      <c r="J1272" s="6" t="s">
        <v>1838</v>
      </c>
      <c r="K1272" s="12">
        <v>46120.564212962963</v>
      </c>
      <c r="L1272" s="6" t="e" cm="1">
        <f t="array" ref="L1272">LOOKUP(2^15,SEARCH(Tabela2[Palavras-Chave],Boletim4[[#This Row],[Objeto]],1),Tabela2[Palavras-Chave])</f>
        <v>#N/A</v>
      </c>
    </row>
    <row r="1273" spans="1:12" ht="115.2" hidden="1" x14ac:dyDescent="0.3">
      <c r="A1273" s="5">
        <v>18800365</v>
      </c>
      <c r="B1273" s="6" t="s">
        <v>1839</v>
      </c>
      <c r="C1273" s="6" t="s">
        <v>1840</v>
      </c>
      <c r="D1273" s="8" t="s">
        <v>72</v>
      </c>
      <c r="E1273" s="6" t="s">
        <v>125</v>
      </c>
      <c r="F1273" s="6" t="s">
        <v>85</v>
      </c>
      <c r="G1273" s="11" t="s">
        <v>56</v>
      </c>
      <c r="I1273" s="10" t="s">
        <v>1841</v>
      </c>
      <c r="J1273" s="6" t="s">
        <v>1842</v>
      </c>
      <c r="K1273" s="12">
        <v>46120.586863425924</v>
      </c>
      <c r="L1273" s="6" t="e" cm="1">
        <f t="array" ref="L1273">LOOKUP(2^15,SEARCH(Tabela2[Palavras-Chave],Boletim4[[#This Row],[Objeto]],1),Tabela2[Palavras-Chave])</f>
        <v>#N/A</v>
      </c>
    </row>
    <row r="1274" spans="1:12" ht="129.6" hidden="1" x14ac:dyDescent="0.3">
      <c r="A1274" s="5">
        <v>18802691</v>
      </c>
      <c r="B1274" s="6" t="s">
        <v>239</v>
      </c>
      <c r="C1274" s="6" t="s">
        <v>240</v>
      </c>
      <c r="D1274" s="8" t="s">
        <v>72</v>
      </c>
      <c r="E1274" s="6" t="s">
        <v>267</v>
      </c>
      <c r="F1274" s="6" t="s">
        <v>85</v>
      </c>
      <c r="G1274" s="11" t="s">
        <v>56</v>
      </c>
      <c r="I1274" s="10" t="s">
        <v>1843</v>
      </c>
      <c r="J1274" s="6" t="s">
        <v>1844</v>
      </c>
      <c r="K1274" s="12">
        <v>46120.586840277778</v>
      </c>
      <c r="L1274" s="6" t="e" cm="1">
        <f t="array" ref="L1274">LOOKUP(2^15,SEARCH(Tabela2[Palavras-Chave],Boletim4[[#This Row],[Objeto]],1),Tabela2[Palavras-Chave])</f>
        <v>#N/A</v>
      </c>
    </row>
    <row r="1275" spans="1:12" ht="259.2" hidden="1" x14ac:dyDescent="0.3">
      <c r="A1275" s="5">
        <v>18803826</v>
      </c>
      <c r="B1275" s="6" t="s">
        <v>3151</v>
      </c>
      <c r="C1275" s="6" t="s">
        <v>3152</v>
      </c>
      <c r="D1275" s="8" t="s">
        <v>72</v>
      </c>
      <c r="E1275" s="6" t="s">
        <v>127</v>
      </c>
      <c r="F1275" s="6" t="s">
        <v>85</v>
      </c>
      <c r="G1275" s="11" t="s">
        <v>56</v>
      </c>
      <c r="I1275" s="10" t="s">
        <v>3153</v>
      </c>
      <c r="J1275" s="6" t="s">
        <v>3154</v>
      </c>
      <c r="K1275" s="12">
        <v>46120.598680555559</v>
      </c>
      <c r="L1275" s="6" t="e" cm="1">
        <f t="array" ref="L1275">LOOKUP(2^15,SEARCH(Tabela2[Palavras-Chave],Boletim4[[#This Row],[Objeto]],1),Tabela2[Palavras-Chave])</f>
        <v>#N/A</v>
      </c>
    </row>
    <row r="1276" spans="1:12" ht="129.6" hidden="1" x14ac:dyDescent="0.3">
      <c r="A1276" s="5">
        <v>18803234</v>
      </c>
      <c r="B1276" s="6" t="s">
        <v>3155</v>
      </c>
      <c r="C1276" s="6" t="s">
        <v>3156</v>
      </c>
      <c r="D1276" s="8" t="s">
        <v>72</v>
      </c>
      <c r="E1276" s="6" t="s">
        <v>221</v>
      </c>
      <c r="F1276" s="6" t="s">
        <v>85</v>
      </c>
      <c r="G1276" s="11" t="s">
        <v>56</v>
      </c>
      <c r="I1276" s="10" t="s">
        <v>3157</v>
      </c>
      <c r="J1276" s="6" t="s">
        <v>3158</v>
      </c>
      <c r="K1276" s="12">
        <v>46120.598819444444</v>
      </c>
      <c r="L1276" s="6" t="e" cm="1">
        <f t="array" ref="L1276">LOOKUP(2^15,SEARCH(Tabela2[Palavras-Chave],Boletim4[[#This Row],[Objeto]],1),Tabela2[Palavras-Chave])</f>
        <v>#N/A</v>
      </c>
    </row>
    <row r="1277" spans="1:12" ht="259.2" hidden="1" x14ac:dyDescent="0.3">
      <c r="A1277" s="5">
        <v>18803964</v>
      </c>
      <c r="B1277" s="6" t="s">
        <v>421</v>
      </c>
      <c r="C1277" s="6" t="s">
        <v>422</v>
      </c>
      <c r="D1277" s="8" t="s">
        <v>72</v>
      </c>
      <c r="E1277" s="6" t="s">
        <v>134</v>
      </c>
      <c r="F1277" s="6" t="s">
        <v>85</v>
      </c>
      <c r="G1277" s="11" t="s">
        <v>56</v>
      </c>
      <c r="I1277" s="10" t="s">
        <v>1845</v>
      </c>
      <c r="J1277" s="6" t="s">
        <v>1846</v>
      </c>
      <c r="K1277" s="12">
        <v>46120.608067129629</v>
      </c>
      <c r="L1277" s="6" t="e" cm="1">
        <f t="array" ref="L1277">LOOKUP(2^15,SEARCH(Tabela2[Palavras-Chave],Boletim4[[#This Row],[Objeto]],1),Tabela2[Palavras-Chave])</f>
        <v>#N/A</v>
      </c>
    </row>
    <row r="1278" spans="1:12" ht="100.8" hidden="1" x14ac:dyDescent="0.3">
      <c r="A1278" s="5">
        <v>18804008</v>
      </c>
      <c r="B1278" s="6" t="s">
        <v>1847</v>
      </c>
      <c r="C1278" s="6" t="s">
        <v>1848</v>
      </c>
      <c r="D1278" s="8" t="s">
        <v>72</v>
      </c>
      <c r="E1278" s="6" t="s">
        <v>1849</v>
      </c>
      <c r="F1278" s="6" t="s">
        <v>85</v>
      </c>
      <c r="G1278" s="11">
        <v>46146.374305555553</v>
      </c>
      <c r="I1278" s="10" t="s">
        <v>1850</v>
      </c>
      <c r="J1278" s="6" t="s">
        <v>1851</v>
      </c>
      <c r="K1278" s="12">
        <v>46120.61041666667</v>
      </c>
      <c r="L1278" s="6" t="e" cm="1">
        <f t="array" ref="L1278">LOOKUP(2^15,SEARCH(Tabela2[Palavras-Chave],Boletim4[[#This Row],[Objeto]],1),Tabela2[Palavras-Chave])</f>
        <v>#N/A</v>
      </c>
    </row>
    <row r="1279" spans="1:12" ht="57.6" hidden="1" x14ac:dyDescent="0.3">
      <c r="A1279" s="5">
        <v>18803991</v>
      </c>
      <c r="B1279" s="6" t="s">
        <v>3159</v>
      </c>
      <c r="C1279" s="6" t="s">
        <v>3160</v>
      </c>
      <c r="D1279" s="8" t="s">
        <v>72</v>
      </c>
      <c r="E1279" s="6" t="s">
        <v>128</v>
      </c>
      <c r="F1279" s="6" t="s">
        <v>85</v>
      </c>
      <c r="G1279" s="11">
        <v>46135.375</v>
      </c>
      <c r="I1279" s="10" t="s">
        <v>3161</v>
      </c>
      <c r="J1279" s="6" t="s">
        <v>3162</v>
      </c>
      <c r="K1279" s="12">
        <v>46120.636979166666</v>
      </c>
      <c r="L1279" s="6" t="e" cm="1">
        <f t="array" ref="L1279">LOOKUP(2^15,SEARCH(Tabela2[Palavras-Chave],Boletim4[[#This Row],[Objeto]],1),Tabela2[Palavras-Chave])</f>
        <v>#N/A</v>
      </c>
    </row>
    <row r="1280" spans="1:12" ht="244.8" x14ac:dyDescent="0.3">
      <c r="A1280" s="5">
        <v>18803811</v>
      </c>
      <c r="B1280" s="6" t="s">
        <v>1852</v>
      </c>
      <c r="C1280" s="6" t="s">
        <v>1853</v>
      </c>
      <c r="D1280" s="8" t="s">
        <v>72</v>
      </c>
      <c r="E1280" s="6" t="s">
        <v>166</v>
      </c>
      <c r="F1280" s="6" t="s">
        <v>85</v>
      </c>
      <c r="G1280" s="11" t="s">
        <v>56</v>
      </c>
      <c r="H1280" s="23">
        <v>2</v>
      </c>
      <c r="I1280" s="10" t="s">
        <v>1854</v>
      </c>
      <c r="J1280" s="6" t="s">
        <v>1855</v>
      </c>
      <c r="K1280" s="12">
        <v>46120.64199074074</v>
      </c>
      <c r="L1280" s="6" t="str" cm="1">
        <f t="array" ref="L1280">LOOKUP(2^15,SEARCH(Tabela2[Palavras-Chave],Boletim4[[#This Row],[Objeto]],1),Tabela2[Palavras-Chave])</f>
        <v>BOMBEAMENTO</v>
      </c>
    </row>
    <row r="1281" spans="1:12" ht="158.4" hidden="1" x14ac:dyDescent="0.3">
      <c r="A1281" s="5">
        <v>18802759</v>
      </c>
      <c r="B1281" s="6" t="s">
        <v>1856</v>
      </c>
      <c r="C1281" s="6" t="s">
        <v>1857</v>
      </c>
      <c r="D1281" s="8" t="s">
        <v>72</v>
      </c>
      <c r="E1281" s="6" t="s">
        <v>1858</v>
      </c>
      <c r="F1281" s="6" t="s">
        <v>85</v>
      </c>
      <c r="G1281" s="11" t="s">
        <v>56</v>
      </c>
      <c r="I1281" s="10" t="s">
        <v>1859</v>
      </c>
      <c r="J1281" s="6" t="s">
        <v>1860</v>
      </c>
      <c r="K1281" s="12">
        <v>46120.664120370369</v>
      </c>
      <c r="L1281" s="6" t="e" cm="1">
        <f t="array" ref="L1281">LOOKUP(2^15,SEARCH(Tabela2[Palavras-Chave],Boletim4[[#This Row],[Objeto]],1),Tabela2[Palavras-Chave])</f>
        <v>#N/A</v>
      </c>
    </row>
    <row r="1282" spans="1:12" ht="158.4" hidden="1" x14ac:dyDescent="0.3">
      <c r="A1282" s="5">
        <v>18802718</v>
      </c>
      <c r="B1282" s="6" t="s">
        <v>1856</v>
      </c>
      <c r="C1282" s="6" t="s">
        <v>1857</v>
      </c>
      <c r="D1282" s="8" t="s">
        <v>72</v>
      </c>
      <c r="E1282" s="6" t="s">
        <v>1861</v>
      </c>
      <c r="F1282" s="6" t="s">
        <v>85</v>
      </c>
      <c r="G1282" s="11" t="s">
        <v>56</v>
      </c>
      <c r="I1282" s="10" t="s">
        <v>1862</v>
      </c>
      <c r="J1282" s="6" t="s">
        <v>1863</v>
      </c>
      <c r="K1282" s="12">
        <v>46120.664236111108</v>
      </c>
      <c r="L1282" s="6" t="e" cm="1">
        <f t="array" ref="L1282">LOOKUP(2^15,SEARCH(Tabela2[Palavras-Chave],Boletim4[[#This Row],[Objeto]],1),Tabela2[Palavras-Chave])</f>
        <v>#N/A</v>
      </c>
    </row>
    <row r="1283" spans="1:12" ht="115.2" hidden="1" x14ac:dyDescent="0.3">
      <c r="A1283" s="5">
        <v>18802709</v>
      </c>
      <c r="B1283" s="6" t="s">
        <v>1864</v>
      </c>
      <c r="C1283" s="6" t="s">
        <v>1865</v>
      </c>
      <c r="D1283" s="8" t="s">
        <v>72</v>
      </c>
      <c r="E1283" s="6" t="s">
        <v>394</v>
      </c>
      <c r="F1283" s="6" t="s">
        <v>85</v>
      </c>
      <c r="G1283" s="11" t="s">
        <v>56</v>
      </c>
      <c r="I1283" s="10" t="s">
        <v>1866</v>
      </c>
      <c r="J1283" s="6" t="s">
        <v>1867</v>
      </c>
      <c r="K1283" s="12">
        <v>46120.664768518516</v>
      </c>
      <c r="L1283" s="6" t="e" cm="1">
        <f t="array" ref="L1283">LOOKUP(2^15,SEARCH(Tabela2[Palavras-Chave],Boletim4[[#This Row],[Objeto]],1),Tabela2[Palavras-Chave])</f>
        <v>#N/A</v>
      </c>
    </row>
    <row r="1284" spans="1:12" ht="100.8" hidden="1" x14ac:dyDescent="0.3">
      <c r="A1284" s="5">
        <v>18805219</v>
      </c>
      <c r="B1284" s="6" t="s">
        <v>272</v>
      </c>
      <c r="C1284" s="6" t="s">
        <v>273</v>
      </c>
      <c r="D1284" s="8" t="s">
        <v>72</v>
      </c>
      <c r="E1284" s="6" t="s">
        <v>1868</v>
      </c>
      <c r="F1284" s="6" t="s">
        <v>85</v>
      </c>
      <c r="G1284" s="11" t="s">
        <v>56</v>
      </c>
      <c r="I1284" s="10" t="s">
        <v>1869</v>
      </c>
      <c r="J1284" s="6" t="s">
        <v>1870</v>
      </c>
      <c r="K1284" s="12">
        <v>46120.712916666664</v>
      </c>
      <c r="L1284" s="6" t="e" cm="1">
        <f t="array" ref="L1284">LOOKUP(2^15,SEARCH(Tabela2[Palavras-Chave],Boletim4[[#This Row],[Objeto]],1),Tabela2[Palavras-Chave])</f>
        <v>#N/A</v>
      </c>
    </row>
    <row r="1285" spans="1:12" ht="100.8" hidden="1" x14ac:dyDescent="0.3">
      <c r="A1285" s="5">
        <v>18790282</v>
      </c>
      <c r="B1285" s="6" t="s">
        <v>1871</v>
      </c>
      <c r="C1285" s="6" t="s">
        <v>1872</v>
      </c>
      <c r="D1285" s="8" t="s">
        <v>72</v>
      </c>
      <c r="E1285" s="6" t="s">
        <v>126</v>
      </c>
      <c r="F1285" s="6" t="s">
        <v>85</v>
      </c>
      <c r="G1285" s="11">
        <v>46134.625</v>
      </c>
      <c r="I1285" s="10" t="s">
        <v>1873</v>
      </c>
      <c r="J1285" s="6" t="s">
        <v>1874</v>
      </c>
      <c r="K1285" s="12">
        <v>46120.721620370372</v>
      </c>
      <c r="L1285" s="6" t="e" cm="1">
        <f t="array" ref="L1285">LOOKUP(2^15,SEARCH(Tabela2[Palavras-Chave],Boletim4[[#This Row],[Objeto]],1),Tabela2[Palavras-Chave])</f>
        <v>#N/A</v>
      </c>
    </row>
    <row r="1286" spans="1:12" ht="259.2" hidden="1" x14ac:dyDescent="0.3">
      <c r="A1286" s="5">
        <v>18801637</v>
      </c>
      <c r="B1286" s="6" t="s">
        <v>3163</v>
      </c>
      <c r="C1286" s="6" t="s">
        <v>3164</v>
      </c>
      <c r="D1286" s="8" t="s">
        <v>72</v>
      </c>
      <c r="E1286" s="6" t="s">
        <v>146</v>
      </c>
      <c r="F1286" s="6" t="s">
        <v>85</v>
      </c>
      <c r="G1286" s="11" t="s">
        <v>56</v>
      </c>
      <c r="I1286" s="10" t="s">
        <v>3165</v>
      </c>
      <c r="J1286" s="6" t="s">
        <v>3166</v>
      </c>
      <c r="K1286" s="12">
        <v>46120.720196759263</v>
      </c>
      <c r="L1286" s="6" t="e" cm="1">
        <f t="array" ref="L1286">LOOKUP(2^15,SEARCH(Tabela2[Palavras-Chave],Boletim4[[#This Row],[Objeto]],1),Tabela2[Palavras-Chave])</f>
        <v>#N/A</v>
      </c>
    </row>
    <row r="1287" spans="1:12" ht="115.2" hidden="1" x14ac:dyDescent="0.3">
      <c r="A1287" s="5">
        <v>18802698</v>
      </c>
      <c r="B1287" s="6" t="s">
        <v>1823</v>
      </c>
      <c r="C1287" s="6" t="s">
        <v>1824</v>
      </c>
      <c r="D1287" s="8" t="s">
        <v>72</v>
      </c>
      <c r="E1287" s="6" t="s">
        <v>157</v>
      </c>
      <c r="F1287" s="6" t="s">
        <v>85</v>
      </c>
      <c r="G1287" s="11" t="s">
        <v>56</v>
      </c>
      <c r="I1287" s="10" t="s">
        <v>1875</v>
      </c>
      <c r="J1287" s="6" t="s">
        <v>1876</v>
      </c>
      <c r="K1287" s="12">
        <v>46120.731979166667</v>
      </c>
      <c r="L1287" s="6" t="e" cm="1">
        <f t="array" ref="L1287">LOOKUP(2^15,SEARCH(Tabela2[Palavras-Chave],Boletim4[[#This Row],[Objeto]],1),Tabela2[Palavras-Chave])</f>
        <v>#N/A</v>
      </c>
    </row>
    <row r="1288" spans="1:12" ht="115.2" hidden="1" x14ac:dyDescent="0.3">
      <c r="A1288" s="5">
        <v>18802708</v>
      </c>
      <c r="B1288" s="6" t="s">
        <v>1877</v>
      </c>
      <c r="C1288" s="6" t="s">
        <v>1878</v>
      </c>
      <c r="D1288" s="8" t="s">
        <v>72</v>
      </c>
      <c r="E1288" s="6" t="s">
        <v>230</v>
      </c>
      <c r="F1288" s="6" t="s">
        <v>85</v>
      </c>
      <c r="G1288" s="11" t="s">
        <v>56</v>
      </c>
      <c r="I1288" s="10" t="s">
        <v>1879</v>
      </c>
      <c r="J1288" s="6" t="s">
        <v>1880</v>
      </c>
      <c r="K1288" s="12">
        <v>46120.732268518521</v>
      </c>
      <c r="L1288" s="6" t="e" cm="1">
        <f t="array" ref="L1288">LOOKUP(2^15,SEARCH(Tabela2[Palavras-Chave],Boletim4[[#This Row],[Objeto]],1),Tabela2[Palavras-Chave])</f>
        <v>#N/A</v>
      </c>
    </row>
    <row r="1289" spans="1:12" ht="144" hidden="1" x14ac:dyDescent="0.3">
      <c r="A1289" s="5">
        <v>18802731</v>
      </c>
      <c r="B1289" s="6" t="s">
        <v>1881</v>
      </c>
      <c r="C1289" s="6" t="s">
        <v>1882</v>
      </c>
      <c r="D1289" s="8" t="s">
        <v>72</v>
      </c>
      <c r="E1289" s="6" t="s">
        <v>224</v>
      </c>
      <c r="F1289" s="6" t="s">
        <v>85</v>
      </c>
      <c r="G1289" s="11" t="s">
        <v>56</v>
      </c>
      <c r="I1289" s="10" t="s">
        <v>1883</v>
      </c>
      <c r="J1289" s="6" t="s">
        <v>1884</v>
      </c>
      <c r="K1289" s="12">
        <v>46120.733043981483</v>
      </c>
      <c r="L1289" s="6" t="e" cm="1">
        <f t="array" ref="L1289">LOOKUP(2^15,SEARCH(Tabela2[Palavras-Chave],Boletim4[[#This Row],[Objeto]],1),Tabela2[Palavras-Chave])</f>
        <v>#N/A</v>
      </c>
    </row>
    <row r="1290" spans="1:12" ht="288" hidden="1" x14ac:dyDescent="0.3">
      <c r="A1290" s="5">
        <v>18805538</v>
      </c>
      <c r="B1290" s="6" t="s">
        <v>3167</v>
      </c>
      <c r="C1290" s="6" t="s">
        <v>3168</v>
      </c>
      <c r="D1290" s="8" t="s">
        <v>72</v>
      </c>
      <c r="E1290" s="6" t="s">
        <v>149</v>
      </c>
      <c r="F1290" s="6" t="s">
        <v>85</v>
      </c>
      <c r="G1290" s="11" t="s">
        <v>56</v>
      </c>
      <c r="I1290" s="10" t="s">
        <v>3169</v>
      </c>
      <c r="J1290" s="6" t="s">
        <v>3170</v>
      </c>
      <c r="K1290" s="12">
        <v>46120.73777777778</v>
      </c>
      <c r="L1290" s="6" t="e" cm="1">
        <f t="array" ref="L1290">LOOKUP(2^15,SEARCH(Tabela2[Palavras-Chave],Boletim4[[#This Row],[Objeto]],1),Tabela2[Palavras-Chave])</f>
        <v>#N/A</v>
      </c>
    </row>
    <row r="1291" spans="1:12" ht="144" hidden="1" x14ac:dyDescent="0.3">
      <c r="A1291" s="5">
        <v>18804287</v>
      </c>
      <c r="B1291" s="6" t="s">
        <v>156</v>
      </c>
      <c r="C1291" s="6" t="s">
        <v>73</v>
      </c>
      <c r="D1291" s="8" t="s">
        <v>72</v>
      </c>
      <c r="E1291" s="6" t="s">
        <v>1885</v>
      </c>
      <c r="F1291" s="6" t="s">
        <v>85</v>
      </c>
      <c r="G1291" s="11">
        <v>46196.416666666664</v>
      </c>
      <c r="I1291" s="10" t="s">
        <v>1886</v>
      </c>
      <c r="J1291" s="6" t="s">
        <v>1887</v>
      </c>
      <c r="K1291" s="12">
        <v>46120.743159722224</v>
      </c>
      <c r="L1291" s="6" t="e" cm="1">
        <f t="array" ref="L1291">LOOKUP(2^15,SEARCH(Tabela2[Palavras-Chave],Boletim4[[#This Row],[Objeto]],1),Tabela2[Palavras-Chave])</f>
        <v>#N/A</v>
      </c>
    </row>
    <row r="1292" spans="1:12" ht="259.2" hidden="1" x14ac:dyDescent="0.3">
      <c r="A1292" s="5">
        <v>18805374</v>
      </c>
      <c r="B1292" s="6" t="s">
        <v>1888</v>
      </c>
      <c r="C1292" s="6" t="s">
        <v>1889</v>
      </c>
      <c r="D1292" s="8" t="s">
        <v>72</v>
      </c>
      <c r="E1292" s="6" t="s">
        <v>139</v>
      </c>
      <c r="F1292" s="6" t="s">
        <v>85</v>
      </c>
      <c r="G1292" s="11" t="s">
        <v>56</v>
      </c>
      <c r="I1292" s="10" t="s">
        <v>1890</v>
      </c>
      <c r="J1292" s="6" t="s">
        <v>1891</v>
      </c>
      <c r="K1292" s="12">
        <v>46120.74422453704</v>
      </c>
      <c r="L1292" s="6" t="e" cm="1">
        <f t="array" ref="L1292">LOOKUP(2^15,SEARCH(Tabela2[Palavras-Chave],Boletim4[[#This Row],[Objeto]],1),Tabela2[Palavras-Chave])</f>
        <v>#N/A</v>
      </c>
    </row>
    <row r="1293" spans="1:12" ht="273.60000000000002" hidden="1" x14ac:dyDescent="0.3">
      <c r="A1293" s="5">
        <v>18801651</v>
      </c>
      <c r="B1293" s="6" t="s">
        <v>1892</v>
      </c>
      <c r="C1293" s="6" t="s">
        <v>1893</v>
      </c>
      <c r="D1293" s="8" t="s">
        <v>72</v>
      </c>
      <c r="E1293" s="6" t="s">
        <v>198</v>
      </c>
      <c r="F1293" s="6" t="s">
        <v>85</v>
      </c>
      <c r="G1293" s="11" t="s">
        <v>56</v>
      </c>
      <c r="I1293" s="10" t="s">
        <v>1894</v>
      </c>
      <c r="J1293" s="6" t="s">
        <v>1895</v>
      </c>
      <c r="K1293" s="12">
        <v>46120.755509259259</v>
      </c>
      <c r="L1293" s="6" t="e" cm="1">
        <f t="array" ref="L1293">LOOKUP(2^15,SEARCH(Tabela2[Palavras-Chave],Boletim4[[#This Row],[Objeto]],1),Tabela2[Palavras-Chave])</f>
        <v>#N/A</v>
      </c>
    </row>
    <row r="1294" spans="1:12" ht="259.2" hidden="1" x14ac:dyDescent="0.3">
      <c r="A1294" s="5">
        <v>18805371</v>
      </c>
      <c r="B1294" s="6" t="s">
        <v>1896</v>
      </c>
      <c r="C1294" s="6" t="s">
        <v>1897</v>
      </c>
      <c r="D1294" s="8" t="s">
        <v>72</v>
      </c>
      <c r="E1294" s="6" t="s">
        <v>377</v>
      </c>
      <c r="F1294" s="6" t="s">
        <v>85</v>
      </c>
      <c r="G1294" s="11" t="s">
        <v>56</v>
      </c>
      <c r="I1294" s="10" t="s">
        <v>1898</v>
      </c>
      <c r="J1294" s="6" t="s">
        <v>1899</v>
      </c>
      <c r="K1294" s="12">
        <v>46120.755891203706</v>
      </c>
      <c r="L1294" s="6" t="e" cm="1">
        <f t="array" ref="L1294">LOOKUP(2^15,SEARCH(Tabela2[Palavras-Chave],Boletim4[[#This Row],[Objeto]],1),Tabela2[Palavras-Chave])</f>
        <v>#N/A</v>
      </c>
    </row>
    <row r="1295" spans="1:12" ht="86.4" hidden="1" x14ac:dyDescent="0.3">
      <c r="A1295" s="5">
        <v>18804123</v>
      </c>
      <c r="B1295" s="6" t="s">
        <v>156</v>
      </c>
      <c r="C1295" s="6" t="s">
        <v>73</v>
      </c>
      <c r="D1295" s="8" t="s">
        <v>72</v>
      </c>
      <c r="E1295" s="6" t="s">
        <v>1900</v>
      </c>
      <c r="F1295" s="6" t="s">
        <v>85</v>
      </c>
      <c r="G1295" s="11">
        <v>46136.375</v>
      </c>
      <c r="I1295" s="10" t="s">
        <v>1901</v>
      </c>
      <c r="J1295" s="6" t="s">
        <v>1902</v>
      </c>
      <c r="K1295" s="12">
        <v>46120.760243055556</v>
      </c>
      <c r="L1295" s="6" t="e" cm="1">
        <f t="array" ref="L1295">LOOKUP(2^15,SEARCH(Tabela2[Palavras-Chave],Boletim4[[#This Row],[Objeto]],1),Tabela2[Palavras-Chave])</f>
        <v>#N/A</v>
      </c>
    </row>
    <row r="1296" spans="1:12" ht="57.6" hidden="1" x14ac:dyDescent="0.3">
      <c r="A1296" s="5">
        <v>18803498</v>
      </c>
      <c r="B1296" s="6" t="s">
        <v>1903</v>
      </c>
      <c r="C1296" s="6" t="s">
        <v>1904</v>
      </c>
      <c r="D1296" s="8" t="s">
        <v>72</v>
      </c>
      <c r="E1296" s="6" t="s">
        <v>461</v>
      </c>
      <c r="F1296" s="6" t="s">
        <v>85</v>
      </c>
      <c r="G1296" s="11">
        <v>46135.375</v>
      </c>
      <c r="I1296" s="10" t="s">
        <v>1905</v>
      </c>
      <c r="J1296" s="6" t="s">
        <v>1906</v>
      </c>
      <c r="K1296" s="12">
        <v>46120.773148148146</v>
      </c>
      <c r="L1296" s="6" t="e" cm="1">
        <f t="array" ref="L1296">LOOKUP(2^15,SEARCH(Tabela2[Palavras-Chave],Boletim4[[#This Row],[Objeto]],1),Tabela2[Palavras-Chave])</f>
        <v>#N/A</v>
      </c>
    </row>
    <row r="1297" spans="1:12" ht="86.4" x14ac:dyDescent="0.3">
      <c r="A1297" s="5">
        <v>18801423</v>
      </c>
      <c r="B1297" s="6" t="s">
        <v>1907</v>
      </c>
      <c r="C1297" s="6" t="s">
        <v>73</v>
      </c>
      <c r="D1297" s="8" t="s">
        <v>72</v>
      </c>
      <c r="E1297" s="6" t="s">
        <v>1908</v>
      </c>
      <c r="F1297" s="6" t="s">
        <v>85</v>
      </c>
      <c r="G1297" s="11" t="s">
        <v>56</v>
      </c>
      <c r="H1297" s="23">
        <v>2</v>
      </c>
      <c r="I1297" s="10" t="s">
        <v>1909</v>
      </c>
      <c r="J1297" s="6" t="s">
        <v>1910</v>
      </c>
      <c r="K1297" s="12">
        <v>46120.781828703701</v>
      </c>
      <c r="L1297" s="6" t="str" cm="1">
        <f t="array" ref="L1297">LOOKUP(2^15,SEARCH(Tabela2[Palavras-Chave],Boletim4[[#This Row],[Objeto]],1),Tabela2[Palavras-Chave])</f>
        <v>MEDIÇÃO</v>
      </c>
    </row>
    <row r="1298" spans="1:12" ht="57.6" hidden="1" x14ac:dyDescent="0.3">
      <c r="A1298" s="5">
        <v>18804689</v>
      </c>
      <c r="B1298" s="6" t="s">
        <v>3171</v>
      </c>
      <c r="C1298" s="6" t="s">
        <v>3172</v>
      </c>
      <c r="D1298" s="8" t="s">
        <v>72</v>
      </c>
      <c r="E1298" s="6" t="s">
        <v>113</v>
      </c>
      <c r="F1298" s="6" t="s">
        <v>85</v>
      </c>
      <c r="G1298" s="11">
        <v>46141.375694444447</v>
      </c>
      <c r="I1298" s="10" t="s">
        <v>3173</v>
      </c>
      <c r="J1298" s="6" t="s">
        <v>90</v>
      </c>
      <c r="K1298" s="12">
        <v>46120.869687500002</v>
      </c>
      <c r="L1298" s="6" t="e" cm="1">
        <f t="array" ref="L1298">LOOKUP(2^15,SEARCH(Tabela2[Palavras-Chave],Boletim4[[#This Row],[Objeto]],1),Tabela2[Palavras-Chave])</f>
        <v>#N/A</v>
      </c>
    </row>
    <row r="1299" spans="1:12" ht="86.4" hidden="1" x14ac:dyDescent="0.3">
      <c r="A1299" s="5">
        <v>18804126</v>
      </c>
      <c r="B1299" s="6" t="s">
        <v>156</v>
      </c>
      <c r="C1299" s="6" t="s">
        <v>73</v>
      </c>
      <c r="D1299" s="8" t="s">
        <v>72</v>
      </c>
      <c r="E1299" s="6" t="s">
        <v>1911</v>
      </c>
      <c r="F1299" s="6" t="s">
        <v>85</v>
      </c>
      <c r="G1299" s="11">
        <v>46136.375</v>
      </c>
      <c r="I1299" s="10" t="s">
        <v>1912</v>
      </c>
      <c r="J1299" s="6" t="s">
        <v>1902</v>
      </c>
      <c r="K1299" s="12">
        <v>46120.882314814815</v>
      </c>
      <c r="L1299" s="6" t="e" cm="1">
        <f t="array" ref="L1299">LOOKUP(2^15,SEARCH(Tabela2[Palavras-Chave],Boletim4[[#This Row],[Objeto]],1),Tabela2[Palavras-Chave])</f>
        <v>#N/A</v>
      </c>
    </row>
    <row r="1300" spans="1:12" ht="86.4" hidden="1" x14ac:dyDescent="0.3">
      <c r="A1300" s="5">
        <v>18804127</v>
      </c>
      <c r="B1300" s="6" t="s">
        <v>156</v>
      </c>
      <c r="C1300" s="6" t="s">
        <v>73</v>
      </c>
      <c r="D1300" s="8" t="s">
        <v>72</v>
      </c>
      <c r="E1300" s="6" t="s">
        <v>1913</v>
      </c>
      <c r="F1300" s="6" t="s">
        <v>85</v>
      </c>
      <c r="G1300" s="11">
        <v>46135.375</v>
      </c>
      <c r="I1300" s="10" t="s">
        <v>1914</v>
      </c>
      <c r="J1300" s="6" t="s">
        <v>1915</v>
      </c>
      <c r="K1300" s="12">
        <v>46120.882361111115</v>
      </c>
      <c r="L1300" s="6" t="e" cm="1">
        <f t="array" ref="L1300">LOOKUP(2^15,SEARCH(Tabela2[Palavras-Chave],Boletim4[[#This Row],[Objeto]],1),Tabela2[Palavras-Chave])</f>
        <v>#N/A</v>
      </c>
    </row>
    <row r="1301" spans="1:12" ht="72" hidden="1" x14ac:dyDescent="0.3">
      <c r="A1301" s="5">
        <v>18804142</v>
      </c>
      <c r="B1301" s="6" t="s">
        <v>1916</v>
      </c>
      <c r="C1301" s="6" t="s">
        <v>1917</v>
      </c>
      <c r="D1301" s="8" t="s">
        <v>72</v>
      </c>
      <c r="E1301" s="6" t="s">
        <v>142</v>
      </c>
      <c r="F1301" s="6" t="s">
        <v>85</v>
      </c>
      <c r="G1301" s="11">
        <v>46135.375</v>
      </c>
      <c r="I1301" s="10" t="s">
        <v>1918</v>
      </c>
      <c r="J1301" s="6" t="s">
        <v>90</v>
      </c>
      <c r="K1301" s="12">
        <v>46120.885254629633</v>
      </c>
      <c r="L1301" s="6" t="e" cm="1">
        <f t="array" ref="L1301">LOOKUP(2^15,SEARCH(Tabela2[Palavras-Chave],Boletim4[[#This Row],[Objeto]],1),Tabela2[Palavras-Chave])</f>
        <v>#N/A</v>
      </c>
    </row>
    <row r="1302" spans="1:12" ht="100.8" hidden="1" x14ac:dyDescent="0.3">
      <c r="A1302" s="5">
        <v>18803087</v>
      </c>
      <c r="B1302" s="6" t="s">
        <v>1919</v>
      </c>
      <c r="C1302" s="6" t="s">
        <v>1920</v>
      </c>
      <c r="D1302" s="8" t="s">
        <v>72</v>
      </c>
      <c r="E1302" s="6" t="s">
        <v>110</v>
      </c>
      <c r="F1302" s="6" t="s">
        <v>85</v>
      </c>
      <c r="G1302" s="11">
        <v>46126.375</v>
      </c>
      <c r="I1302" s="10" t="s">
        <v>1921</v>
      </c>
      <c r="J1302" s="6" t="s">
        <v>1922</v>
      </c>
      <c r="K1302" s="12">
        <v>46120.891944444447</v>
      </c>
      <c r="L1302" s="6" t="e" cm="1">
        <f t="array" ref="L1302">LOOKUP(2^15,SEARCH(Tabela2[Palavras-Chave],Boletim4[[#This Row],[Objeto]],1),Tabela2[Palavras-Chave])</f>
        <v>#N/A</v>
      </c>
    </row>
    <row r="1303" spans="1:12" ht="72" hidden="1" x14ac:dyDescent="0.3">
      <c r="A1303" s="5">
        <v>18802243</v>
      </c>
      <c r="B1303" s="6" t="s">
        <v>74</v>
      </c>
      <c r="C1303" s="6" t="s">
        <v>75</v>
      </c>
      <c r="D1303" s="8" t="s">
        <v>76</v>
      </c>
      <c r="E1303" s="6" t="s">
        <v>2981</v>
      </c>
      <c r="F1303" s="6" t="s">
        <v>85</v>
      </c>
      <c r="G1303" s="11" t="s">
        <v>56</v>
      </c>
      <c r="I1303" s="10" t="s">
        <v>2982</v>
      </c>
      <c r="J1303" s="6" t="s">
        <v>2983</v>
      </c>
      <c r="K1303" s="12">
        <v>46120.46601851852</v>
      </c>
      <c r="L1303" s="6" t="e" cm="1">
        <f t="array" ref="L1303">LOOKUP(2^15,SEARCH(Tabela2[Palavras-Chave],Boletim4[[#This Row],[Objeto]],1),Tabela2[Palavras-Chave])</f>
        <v>#N/A</v>
      </c>
    </row>
    <row r="1304" spans="1:12" ht="72" hidden="1" x14ac:dyDescent="0.3">
      <c r="A1304" s="5">
        <v>18802250</v>
      </c>
      <c r="B1304" s="6" t="s">
        <v>74</v>
      </c>
      <c r="C1304" s="6" t="s">
        <v>75</v>
      </c>
      <c r="D1304" s="8" t="s">
        <v>76</v>
      </c>
      <c r="E1304" s="6" t="s">
        <v>1229</v>
      </c>
      <c r="F1304" s="6" t="s">
        <v>85</v>
      </c>
      <c r="G1304" s="11" t="s">
        <v>56</v>
      </c>
      <c r="I1304" s="10" t="s">
        <v>1230</v>
      </c>
      <c r="J1304" s="6" t="s">
        <v>1231</v>
      </c>
      <c r="K1304" s="12">
        <v>46120.501273148147</v>
      </c>
      <c r="L1304" s="6" t="e" cm="1">
        <f t="array" ref="L1304">LOOKUP(2^15,SEARCH(Tabela2[Palavras-Chave],Boletim4[[#This Row],[Objeto]],1),Tabela2[Palavras-Chave])</f>
        <v>#N/A</v>
      </c>
    </row>
    <row r="1305" spans="1:12" ht="72" hidden="1" x14ac:dyDescent="0.3">
      <c r="A1305" s="5">
        <v>18802248</v>
      </c>
      <c r="B1305" s="6" t="s">
        <v>74</v>
      </c>
      <c r="C1305" s="6" t="s">
        <v>75</v>
      </c>
      <c r="D1305" s="8" t="s">
        <v>76</v>
      </c>
      <c r="E1305" s="6" t="s">
        <v>1923</v>
      </c>
      <c r="F1305" s="6" t="s">
        <v>85</v>
      </c>
      <c r="G1305" s="11" t="s">
        <v>56</v>
      </c>
      <c r="I1305" s="10" t="s">
        <v>1924</v>
      </c>
      <c r="J1305" s="6" t="s">
        <v>1925</v>
      </c>
      <c r="K1305" s="12">
        <v>46120.50136574074</v>
      </c>
      <c r="L1305" s="6" t="e" cm="1">
        <f t="array" ref="L1305">LOOKUP(2^15,SEARCH(Tabela2[Palavras-Chave],Boletim4[[#This Row],[Objeto]],1),Tabela2[Palavras-Chave])</f>
        <v>#N/A</v>
      </c>
    </row>
    <row r="1306" spans="1:12" ht="72" hidden="1" x14ac:dyDescent="0.3">
      <c r="A1306" s="5">
        <v>18802224</v>
      </c>
      <c r="B1306" s="6" t="s">
        <v>74</v>
      </c>
      <c r="C1306" s="6" t="s">
        <v>75</v>
      </c>
      <c r="D1306" s="8" t="s">
        <v>76</v>
      </c>
      <c r="E1306" s="6" t="s">
        <v>1926</v>
      </c>
      <c r="F1306" s="6" t="s">
        <v>85</v>
      </c>
      <c r="G1306" s="11" t="s">
        <v>56</v>
      </c>
      <c r="I1306" s="10" t="s">
        <v>353</v>
      </c>
      <c r="J1306" s="6" t="s">
        <v>1927</v>
      </c>
      <c r="K1306" s="12">
        <v>46120.525613425925</v>
      </c>
      <c r="L1306" s="6" t="e" cm="1">
        <f t="array" ref="L1306">LOOKUP(2^15,SEARCH(Tabela2[Palavras-Chave],Boletim4[[#This Row],[Objeto]],1),Tabela2[Palavras-Chave])</f>
        <v>#N/A</v>
      </c>
    </row>
    <row r="1307" spans="1:12" ht="72" hidden="1" x14ac:dyDescent="0.3">
      <c r="A1307" s="5">
        <v>18802227</v>
      </c>
      <c r="B1307" s="6" t="s">
        <v>74</v>
      </c>
      <c r="C1307" s="6" t="s">
        <v>75</v>
      </c>
      <c r="D1307" s="8" t="s">
        <v>76</v>
      </c>
      <c r="E1307" s="6" t="s">
        <v>1394</v>
      </c>
      <c r="F1307" s="6" t="s">
        <v>85</v>
      </c>
      <c r="G1307" s="11" t="s">
        <v>56</v>
      </c>
      <c r="I1307" s="10" t="s">
        <v>1395</v>
      </c>
      <c r="J1307" s="6" t="s">
        <v>1396</v>
      </c>
      <c r="K1307" s="12">
        <v>46120.526921296296</v>
      </c>
      <c r="L1307" s="6" t="e" cm="1">
        <f t="array" ref="L1307">LOOKUP(2^15,SEARCH(Tabela2[Palavras-Chave],Boletim4[[#This Row],[Objeto]],1),Tabela2[Palavras-Chave])</f>
        <v>#N/A</v>
      </c>
    </row>
    <row r="1308" spans="1:12" ht="72" hidden="1" x14ac:dyDescent="0.3">
      <c r="A1308" s="5">
        <v>18802234</v>
      </c>
      <c r="B1308" s="6" t="s">
        <v>74</v>
      </c>
      <c r="C1308" s="6" t="s">
        <v>75</v>
      </c>
      <c r="D1308" s="8" t="s">
        <v>76</v>
      </c>
      <c r="E1308" s="6" t="s">
        <v>1232</v>
      </c>
      <c r="F1308" s="6" t="s">
        <v>85</v>
      </c>
      <c r="G1308" s="11" t="s">
        <v>56</v>
      </c>
      <c r="I1308" s="10" t="s">
        <v>1233</v>
      </c>
      <c r="J1308" s="6" t="s">
        <v>1234</v>
      </c>
      <c r="K1308" s="12">
        <v>46120.527349537035</v>
      </c>
      <c r="L1308" s="6" t="e" cm="1">
        <f t="array" ref="L1308">LOOKUP(2^15,SEARCH(Tabela2[Palavras-Chave],Boletim4[[#This Row],[Objeto]],1),Tabela2[Palavras-Chave])</f>
        <v>#N/A</v>
      </c>
    </row>
    <row r="1309" spans="1:12" ht="57.6" hidden="1" x14ac:dyDescent="0.3">
      <c r="A1309" s="5">
        <v>18801783</v>
      </c>
      <c r="B1309" s="6" t="s">
        <v>1928</v>
      </c>
      <c r="C1309" s="6" t="s">
        <v>440</v>
      </c>
      <c r="D1309" s="8" t="s">
        <v>76</v>
      </c>
      <c r="E1309" s="6" t="s">
        <v>324</v>
      </c>
      <c r="F1309" s="6" t="s">
        <v>85</v>
      </c>
      <c r="G1309" s="11" t="s">
        <v>56</v>
      </c>
      <c r="I1309" s="10" t="s">
        <v>1929</v>
      </c>
      <c r="J1309" s="6" t="s">
        <v>1930</v>
      </c>
      <c r="K1309" s="12">
        <v>46120.576747685183</v>
      </c>
      <c r="L1309" s="6" t="e" cm="1">
        <f t="array" ref="L1309">LOOKUP(2^15,SEARCH(Tabela2[Palavras-Chave],Boletim4[[#This Row],[Objeto]],1),Tabela2[Palavras-Chave])</f>
        <v>#N/A</v>
      </c>
    </row>
    <row r="1310" spans="1:12" ht="28.8" x14ac:dyDescent="0.3">
      <c r="A1310" s="5">
        <v>18801147</v>
      </c>
      <c r="B1310" s="6" t="s">
        <v>1931</v>
      </c>
      <c r="C1310" s="6" t="s">
        <v>1932</v>
      </c>
      <c r="D1310" s="8" t="s">
        <v>76</v>
      </c>
      <c r="E1310" s="6" t="s">
        <v>1499</v>
      </c>
      <c r="F1310" s="6" t="s">
        <v>85</v>
      </c>
      <c r="G1310" s="11">
        <v>46141.374305555553</v>
      </c>
      <c r="H1310" s="23">
        <v>2</v>
      </c>
      <c r="I1310" s="10" t="s">
        <v>1933</v>
      </c>
      <c r="J1310" s="6" t="s">
        <v>1934</v>
      </c>
      <c r="K1310" s="12">
        <v>46120.586898148147</v>
      </c>
      <c r="L1310" s="6" t="str" cm="1">
        <f t="array" ref="L1310">LOOKUP(2^15,SEARCH(Tabela2[Palavras-Chave],Boletim4[[#This Row],[Objeto]],1),Tabela2[Palavras-Chave])</f>
        <v>RESERVAT</v>
      </c>
    </row>
    <row r="1311" spans="1:12" ht="86.4" hidden="1" x14ac:dyDescent="0.3">
      <c r="A1311" s="5">
        <v>18803492</v>
      </c>
      <c r="B1311" s="6" t="s">
        <v>1935</v>
      </c>
      <c r="C1311" s="6" t="s">
        <v>1936</v>
      </c>
      <c r="D1311" s="8" t="s">
        <v>76</v>
      </c>
      <c r="E1311" s="6" t="s">
        <v>142</v>
      </c>
      <c r="F1311" s="6" t="s">
        <v>85</v>
      </c>
      <c r="G1311" s="11" t="s">
        <v>56</v>
      </c>
      <c r="I1311" s="10" t="s">
        <v>1937</v>
      </c>
      <c r="J1311" s="6" t="s">
        <v>1938</v>
      </c>
      <c r="K1311" s="12">
        <v>46120.617418981485</v>
      </c>
      <c r="L1311" s="6" t="e" cm="1">
        <f t="array" ref="L1311">LOOKUP(2^15,SEARCH(Tabela2[Palavras-Chave],Boletim4[[#This Row],[Objeto]],1),Tabela2[Palavras-Chave])</f>
        <v>#N/A</v>
      </c>
    </row>
    <row r="1312" spans="1:12" ht="288" hidden="1" x14ac:dyDescent="0.3">
      <c r="A1312" s="5">
        <v>18801679</v>
      </c>
      <c r="B1312" s="6" t="s">
        <v>1939</v>
      </c>
      <c r="C1312" s="6" t="s">
        <v>225</v>
      </c>
      <c r="D1312" s="8" t="s">
        <v>76</v>
      </c>
      <c r="E1312" s="6" t="s">
        <v>1940</v>
      </c>
      <c r="F1312" s="6" t="s">
        <v>85</v>
      </c>
      <c r="G1312" s="11" t="s">
        <v>56</v>
      </c>
      <c r="I1312" s="10" t="s">
        <v>1941</v>
      </c>
      <c r="J1312" s="6" t="s">
        <v>1942</v>
      </c>
      <c r="K1312" s="12">
        <v>46120.589432870373</v>
      </c>
      <c r="L1312" s="6" t="e" cm="1">
        <f t="array" ref="L1312">LOOKUP(2^15,SEARCH(Tabela2[Palavras-Chave],Boletim4[[#This Row],[Objeto]],1),Tabela2[Palavras-Chave])</f>
        <v>#N/A</v>
      </c>
    </row>
    <row r="1313" spans="1:12" ht="100.8" hidden="1" x14ac:dyDescent="0.3">
      <c r="A1313" s="5">
        <v>18803691</v>
      </c>
      <c r="B1313" s="6" t="s">
        <v>1943</v>
      </c>
      <c r="C1313" s="6" t="s">
        <v>983</v>
      </c>
      <c r="D1313" s="8" t="s">
        <v>76</v>
      </c>
      <c r="E1313" s="6" t="s">
        <v>192</v>
      </c>
      <c r="F1313" s="6" t="s">
        <v>85</v>
      </c>
      <c r="G1313" s="11" t="s">
        <v>56</v>
      </c>
      <c r="I1313" s="10" t="s">
        <v>1944</v>
      </c>
      <c r="J1313" s="6" t="s">
        <v>1945</v>
      </c>
      <c r="K1313" s="12">
        <v>46120.599270833336</v>
      </c>
      <c r="L1313" s="6" t="e" cm="1">
        <f t="array" ref="L1313">LOOKUP(2^15,SEARCH(Tabela2[Palavras-Chave],Boletim4[[#This Row],[Objeto]],1),Tabela2[Palavras-Chave])</f>
        <v>#N/A</v>
      </c>
    </row>
    <row r="1314" spans="1:12" ht="72" hidden="1" x14ac:dyDescent="0.3">
      <c r="A1314" s="5">
        <v>18805322</v>
      </c>
      <c r="B1314" s="6" t="s">
        <v>455</v>
      </c>
      <c r="C1314" s="6" t="s">
        <v>75</v>
      </c>
      <c r="D1314" s="8" t="s">
        <v>76</v>
      </c>
      <c r="E1314" s="6" t="s">
        <v>2364</v>
      </c>
      <c r="F1314" s="6" t="s">
        <v>85</v>
      </c>
      <c r="G1314" s="11">
        <v>46141</v>
      </c>
      <c r="I1314" s="10" t="s">
        <v>3174</v>
      </c>
      <c r="J1314" s="6" t="s">
        <v>3175</v>
      </c>
      <c r="K1314" s="12">
        <v>46120.744988425926</v>
      </c>
      <c r="L1314" s="6" t="e" cm="1">
        <f t="array" ref="L1314">LOOKUP(2^15,SEARCH(Tabela2[Palavras-Chave],Boletim4[[#This Row],[Objeto]],1),Tabela2[Palavras-Chave])</f>
        <v>#N/A</v>
      </c>
    </row>
    <row r="1315" spans="1:12" ht="72" hidden="1" x14ac:dyDescent="0.3">
      <c r="A1315" s="5">
        <v>18805375</v>
      </c>
      <c r="B1315" s="6" t="s">
        <v>455</v>
      </c>
      <c r="C1315" s="6" t="s">
        <v>75</v>
      </c>
      <c r="D1315" s="8" t="s">
        <v>76</v>
      </c>
      <c r="E1315" s="6" t="s">
        <v>386</v>
      </c>
      <c r="F1315" s="6" t="s">
        <v>85</v>
      </c>
      <c r="G1315" s="11">
        <v>46141</v>
      </c>
      <c r="I1315" s="10" t="s">
        <v>3176</v>
      </c>
      <c r="J1315" s="6" t="s">
        <v>3175</v>
      </c>
      <c r="K1315" s="12">
        <v>46120.745023148149</v>
      </c>
      <c r="L1315" s="6" t="e" cm="1">
        <f t="array" ref="L1315">LOOKUP(2^15,SEARCH(Tabela2[Palavras-Chave],Boletim4[[#This Row],[Objeto]],1),Tabela2[Palavras-Chave])</f>
        <v>#N/A</v>
      </c>
    </row>
    <row r="1316" spans="1:12" ht="72" hidden="1" x14ac:dyDescent="0.3">
      <c r="A1316" s="5">
        <v>18805403</v>
      </c>
      <c r="B1316" s="6" t="s">
        <v>455</v>
      </c>
      <c r="C1316" s="6" t="s">
        <v>75</v>
      </c>
      <c r="D1316" s="8" t="s">
        <v>76</v>
      </c>
      <c r="E1316" s="6" t="s">
        <v>3177</v>
      </c>
      <c r="F1316" s="6" t="s">
        <v>85</v>
      </c>
      <c r="G1316" s="11">
        <v>46141</v>
      </c>
      <c r="I1316" s="10" t="s">
        <v>3178</v>
      </c>
      <c r="J1316" s="6" t="s">
        <v>3179</v>
      </c>
      <c r="K1316" s="12">
        <v>46120.745069444441</v>
      </c>
      <c r="L1316" s="6" t="e" cm="1">
        <f t="array" ref="L1316">LOOKUP(2^15,SEARCH(Tabela2[Palavras-Chave],Boletim4[[#This Row],[Objeto]],1),Tabela2[Palavras-Chave])</f>
        <v>#N/A</v>
      </c>
    </row>
    <row r="1317" spans="1:12" ht="115.2" hidden="1" x14ac:dyDescent="0.3">
      <c r="A1317" s="5">
        <v>18802657</v>
      </c>
      <c r="B1317" s="6" t="s">
        <v>1946</v>
      </c>
      <c r="C1317" s="6" t="s">
        <v>195</v>
      </c>
      <c r="D1317" s="8" t="s">
        <v>76</v>
      </c>
      <c r="E1317" s="6" t="s">
        <v>1947</v>
      </c>
      <c r="F1317" s="6" t="s">
        <v>85</v>
      </c>
      <c r="G1317" s="11" t="s">
        <v>56</v>
      </c>
      <c r="I1317" s="10" t="s">
        <v>1948</v>
      </c>
      <c r="J1317" s="6" t="s">
        <v>1949</v>
      </c>
      <c r="K1317" s="12">
        <v>46120.755358796298</v>
      </c>
      <c r="L1317" s="6" t="e" cm="1">
        <f t="array" ref="L1317">LOOKUP(2^15,SEARCH(Tabela2[Palavras-Chave],Boletim4[[#This Row],[Objeto]],1),Tabela2[Palavras-Chave])</f>
        <v>#N/A</v>
      </c>
    </row>
    <row r="1318" spans="1:12" ht="72" hidden="1" x14ac:dyDescent="0.3">
      <c r="A1318" s="5">
        <v>18805300</v>
      </c>
      <c r="B1318" s="6" t="s">
        <v>455</v>
      </c>
      <c r="C1318" s="6" t="s">
        <v>75</v>
      </c>
      <c r="D1318" s="8" t="s">
        <v>76</v>
      </c>
      <c r="E1318" s="6" t="s">
        <v>404</v>
      </c>
      <c r="F1318" s="6" t="s">
        <v>85</v>
      </c>
      <c r="G1318" s="11">
        <v>46141</v>
      </c>
      <c r="I1318" s="10" t="s">
        <v>3180</v>
      </c>
      <c r="J1318" s="6" t="s">
        <v>3181</v>
      </c>
      <c r="K1318" s="12">
        <v>46120.789270833331</v>
      </c>
      <c r="L1318" s="6" t="e" cm="1">
        <f t="array" ref="L1318">LOOKUP(2^15,SEARCH(Tabela2[Palavras-Chave],Boletim4[[#This Row],[Objeto]],1),Tabela2[Palavras-Chave])</f>
        <v>#N/A</v>
      </c>
    </row>
    <row r="1319" spans="1:12" ht="72" hidden="1" x14ac:dyDescent="0.3">
      <c r="A1319" s="5">
        <v>18805398</v>
      </c>
      <c r="B1319" s="6" t="s">
        <v>455</v>
      </c>
      <c r="C1319" s="6" t="s">
        <v>75</v>
      </c>
      <c r="D1319" s="8" t="s">
        <v>76</v>
      </c>
      <c r="E1319" s="6" t="s">
        <v>3182</v>
      </c>
      <c r="F1319" s="6" t="s">
        <v>85</v>
      </c>
      <c r="G1319" s="11">
        <v>46141</v>
      </c>
      <c r="I1319" s="10" t="s">
        <v>3183</v>
      </c>
      <c r="J1319" s="6" t="s">
        <v>3175</v>
      </c>
      <c r="K1319" s="12">
        <v>46120.820277777777</v>
      </c>
      <c r="L1319" s="6" t="e" cm="1">
        <f t="array" ref="L1319">LOOKUP(2^15,SEARCH(Tabela2[Palavras-Chave],Boletim4[[#This Row],[Objeto]],1),Tabela2[Palavras-Chave])</f>
        <v>#N/A</v>
      </c>
    </row>
    <row r="1320" spans="1:12" ht="72" hidden="1" x14ac:dyDescent="0.3">
      <c r="A1320" s="5">
        <v>18805357</v>
      </c>
      <c r="B1320" s="6" t="s">
        <v>455</v>
      </c>
      <c r="C1320" s="6" t="s">
        <v>75</v>
      </c>
      <c r="D1320" s="8" t="s">
        <v>76</v>
      </c>
      <c r="E1320" s="6" t="s">
        <v>3184</v>
      </c>
      <c r="F1320" s="6" t="s">
        <v>85</v>
      </c>
      <c r="G1320" s="11">
        <v>46141</v>
      </c>
      <c r="I1320" s="10" t="s">
        <v>3185</v>
      </c>
      <c r="J1320" s="6" t="s">
        <v>3186</v>
      </c>
      <c r="K1320" s="12">
        <v>46120.820694444446</v>
      </c>
      <c r="L1320" s="6" t="e" cm="1">
        <f t="array" ref="L1320">LOOKUP(2^15,SEARCH(Tabela2[Palavras-Chave],Boletim4[[#This Row],[Objeto]],1),Tabela2[Palavras-Chave])</f>
        <v>#N/A</v>
      </c>
    </row>
    <row r="1321" spans="1:12" ht="115.2" hidden="1" x14ac:dyDescent="0.3">
      <c r="A1321" s="5">
        <v>18802681</v>
      </c>
      <c r="B1321" s="6" t="s">
        <v>1950</v>
      </c>
      <c r="C1321" s="6" t="s">
        <v>75</v>
      </c>
      <c r="D1321" s="8" t="s">
        <v>76</v>
      </c>
      <c r="E1321" s="6" t="s">
        <v>157</v>
      </c>
      <c r="F1321" s="6" t="s">
        <v>85</v>
      </c>
      <c r="G1321" s="11" t="s">
        <v>56</v>
      </c>
      <c r="I1321" s="10" t="s">
        <v>1951</v>
      </c>
      <c r="J1321" s="6" t="s">
        <v>1952</v>
      </c>
      <c r="K1321" s="12">
        <v>46120.826493055552</v>
      </c>
      <c r="L1321" s="6" t="e" cm="1">
        <f t="array" ref="L1321">LOOKUP(2^15,SEARCH(Tabela2[Palavras-Chave],Boletim4[[#This Row],[Objeto]],1),Tabela2[Palavras-Chave])</f>
        <v>#N/A</v>
      </c>
    </row>
    <row r="1322" spans="1:12" ht="115.2" hidden="1" x14ac:dyDescent="0.3">
      <c r="A1322" s="5">
        <v>18802656</v>
      </c>
      <c r="B1322" s="6" t="s">
        <v>1953</v>
      </c>
      <c r="C1322" s="6" t="s">
        <v>75</v>
      </c>
      <c r="D1322" s="8" t="s">
        <v>76</v>
      </c>
      <c r="E1322" s="6" t="s">
        <v>1954</v>
      </c>
      <c r="F1322" s="6" t="s">
        <v>85</v>
      </c>
      <c r="G1322" s="11" t="s">
        <v>56</v>
      </c>
      <c r="I1322" s="10" t="s">
        <v>1955</v>
      </c>
      <c r="J1322" s="6" t="s">
        <v>1956</v>
      </c>
      <c r="K1322" s="12">
        <v>46120.855995370373</v>
      </c>
      <c r="L1322" s="6" t="e" cm="1">
        <f t="array" ref="L1322">LOOKUP(2^15,SEARCH(Tabela2[Palavras-Chave],Boletim4[[#This Row],[Objeto]],1),Tabela2[Palavras-Chave])</f>
        <v>#N/A</v>
      </c>
    </row>
    <row r="1323" spans="1:12" ht="72" hidden="1" x14ac:dyDescent="0.3">
      <c r="A1323" s="5">
        <v>18805317</v>
      </c>
      <c r="B1323" s="6" t="s">
        <v>455</v>
      </c>
      <c r="C1323" s="6" t="s">
        <v>75</v>
      </c>
      <c r="D1323" s="8" t="s">
        <v>76</v>
      </c>
      <c r="E1323" s="6" t="s">
        <v>3187</v>
      </c>
      <c r="F1323" s="6" t="s">
        <v>85</v>
      </c>
      <c r="G1323" s="11">
        <v>46141</v>
      </c>
      <c r="I1323" s="10" t="s">
        <v>3188</v>
      </c>
      <c r="J1323" s="6" t="s">
        <v>3189</v>
      </c>
      <c r="K1323" s="12">
        <v>46120.871655092589</v>
      </c>
      <c r="L1323" s="6" t="e" cm="1">
        <f t="array" ref="L1323">LOOKUP(2^15,SEARCH(Tabela2[Palavras-Chave],Boletim4[[#This Row],[Objeto]],1),Tabela2[Palavras-Chave])</f>
        <v>#N/A</v>
      </c>
    </row>
    <row r="1324" spans="1:12" ht="72" hidden="1" x14ac:dyDescent="0.3">
      <c r="A1324" s="5">
        <v>18805315</v>
      </c>
      <c r="B1324" s="6" t="s">
        <v>455</v>
      </c>
      <c r="C1324" s="6" t="s">
        <v>75</v>
      </c>
      <c r="D1324" s="8" t="s">
        <v>76</v>
      </c>
      <c r="E1324" s="6" t="s">
        <v>3190</v>
      </c>
      <c r="F1324" s="6" t="s">
        <v>85</v>
      </c>
      <c r="G1324" s="11">
        <v>46141</v>
      </c>
      <c r="I1324" s="10" t="s">
        <v>3191</v>
      </c>
      <c r="J1324" s="6" t="s">
        <v>3192</v>
      </c>
      <c r="K1324" s="12">
        <v>46120.871701388889</v>
      </c>
      <c r="L1324" s="6" t="e" cm="1">
        <f t="array" ref="L1324">LOOKUP(2^15,SEARCH(Tabela2[Palavras-Chave],Boletim4[[#This Row],[Objeto]],1),Tabela2[Palavras-Chave])</f>
        <v>#N/A</v>
      </c>
    </row>
    <row r="1325" spans="1:12" ht="100.8" hidden="1" x14ac:dyDescent="0.3">
      <c r="A1325" s="5">
        <v>18804062</v>
      </c>
      <c r="B1325" s="6" t="s">
        <v>3193</v>
      </c>
      <c r="C1325" s="6" t="s">
        <v>3194</v>
      </c>
      <c r="D1325" s="8" t="s">
        <v>77</v>
      </c>
      <c r="E1325" s="6" t="s">
        <v>108</v>
      </c>
      <c r="F1325" s="6" t="s">
        <v>85</v>
      </c>
      <c r="G1325" s="11">
        <v>46135.374305555553</v>
      </c>
      <c r="I1325" s="10" t="s">
        <v>3195</v>
      </c>
      <c r="J1325" s="6" t="s">
        <v>3196</v>
      </c>
      <c r="K1325" s="12">
        <v>46120.610011574077</v>
      </c>
      <c r="L1325" s="6" t="e" cm="1">
        <f t="array" ref="L1325">LOOKUP(2^15,SEARCH(Tabela2[Palavras-Chave],Boletim4[[#This Row],[Objeto]],1),Tabela2[Palavras-Chave])</f>
        <v>#N/A</v>
      </c>
    </row>
    <row r="1326" spans="1:12" ht="100.8" hidden="1" x14ac:dyDescent="0.3">
      <c r="A1326" s="5">
        <v>18804002</v>
      </c>
      <c r="B1326" s="6" t="s">
        <v>1957</v>
      </c>
      <c r="C1326" s="6" t="s">
        <v>1958</v>
      </c>
      <c r="D1326" s="8" t="s">
        <v>77</v>
      </c>
      <c r="E1326" s="6" t="s">
        <v>115</v>
      </c>
      <c r="F1326" s="6" t="s">
        <v>85</v>
      </c>
      <c r="G1326" s="11">
        <v>46139.395138888889</v>
      </c>
      <c r="I1326" s="10" t="s">
        <v>1959</v>
      </c>
      <c r="J1326" s="6" t="s">
        <v>1960</v>
      </c>
      <c r="K1326" s="12">
        <v>46120.611006944448</v>
      </c>
      <c r="L1326" s="6" t="e" cm="1">
        <f t="array" ref="L1326">LOOKUP(2^15,SEARCH(Tabela2[Palavras-Chave],Boletim4[[#This Row],[Objeto]],1),Tabela2[Palavras-Chave])</f>
        <v>#N/A</v>
      </c>
    </row>
    <row r="1327" spans="1:12" ht="187.2" hidden="1" x14ac:dyDescent="0.3">
      <c r="A1327" s="5">
        <v>18802864</v>
      </c>
      <c r="B1327" s="6" t="s">
        <v>1961</v>
      </c>
      <c r="C1327" s="6" t="s">
        <v>1962</v>
      </c>
      <c r="D1327" s="8" t="s">
        <v>77</v>
      </c>
      <c r="E1327" s="6" t="s">
        <v>238</v>
      </c>
      <c r="F1327" s="6" t="s">
        <v>85</v>
      </c>
      <c r="G1327" s="11" t="s">
        <v>56</v>
      </c>
      <c r="I1327" s="10" t="s">
        <v>1963</v>
      </c>
      <c r="J1327" s="6" t="s">
        <v>1964</v>
      </c>
      <c r="K1327" s="12">
        <v>46120.660312499997</v>
      </c>
      <c r="L1327" s="6" t="e" cm="1">
        <f t="array" ref="L1327">LOOKUP(2^15,SEARCH(Tabela2[Palavras-Chave],Boletim4[[#This Row],[Objeto]],1),Tabela2[Palavras-Chave])</f>
        <v>#N/A</v>
      </c>
    </row>
    <row r="1328" spans="1:12" ht="100.8" hidden="1" x14ac:dyDescent="0.3">
      <c r="A1328" s="5">
        <v>18803100</v>
      </c>
      <c r="B1328" s="6" t="s">
        <v>1961</v>
      </c>
      <c r="C1328" s="6" t="s">
        <v>1962</v>
      </c>
      <c r="D1328" s="8" t="s">
        <v>77</v>
      </c>
      <c r="E1328" s="6" t="s">
        <v>140</v>
      </c>
      <c r="F1328" s="6" t="s">
        <v>85</v>
      </c>
      <c r="G1328" s="11" t="s">
        <v>56</v>
      </c>
      <c r="I1328" s="10" t="s">
        <v>1965</v>
      </c>
      <c r="J1328" s="6" t="s">
        <v>1966</v>
      </c>
      <c r="K1328" s="12">
        <v>46120.660740740743</v>
      </c>
      <c r="L1328" s="6" t="e" cm="1">
        <f t="array" ref="L1328">LOOKUP(2^15,SEARCH(Tabela2[Palavras-Chave],Boletim4[[#This Row],[Objeto]],1),Tabela2[Palavras-Chave])</f>
        <v>#N/A</v>
      </c>
    </row>
    <row r="1329" spans="1:12" ht="28.8" hidden="1" x14ac:dyDescent="0.3">
      <c r="A1329" s="5">
        <v>18803515</v>
      </c>
      <c r="B1329" s="6" t="s">
        <v>1967</v>
      </c>
      <c r="C1329" s="6" t="s">
        <v>1968</v>
      </c>
      <c r="D1329" s="8" t="s">
        <v>77</v>
      </c>
      <c r="E1329" s="6" t="s">
        <v>117</v>
      </c>
      <c r="F1329" s="6" t="s">
        <v>85</v>
      </c>
      <c r="G1329" s="11">
        <v>46132.354166666664</v>
      </c>
      <c r="I1329" s="10" t="s">
        <v>1969</v>
      </c>
      <c r="J1329" s="6" t="s">
        <v>1104</v>
      </c>
      <c r="K1329" s="12">
        <v>46120.663275462961</v>
      </c>
      <c r="L1329" s="6" t="e" cm="1">
        <f t="array" ref="L1329">LOOKUP(2^15,SEARCH(Tabela2[Palavras-Chave],Boletim4[[#This Row],[Objeto]],1),Tabela2[Palavras-Chave])</f>
        <v>#N/A</v>
      </c>
    </row>
    <row r="1330" spans="1:12" ht="86.4" hidden="1" x14ac:dyDescent="0.3">
      <c r="A1330" s="5">
        <v>18800007</v>
      </c>
      <c r="B1330" s="6" t="s">
        <v>1970</v>
      </c>
      <c r="C1330" s="6" t="s">
        <v>1971</v>
      </c>
      <c r="D1330" s="8" t="s">
        <v>77</v>
      </c>
      <c r="E1330" s="6" t="s">
        <v>121</v>
      </c>
      <c r="F1330" s="6" t="s">
        <v>85</v>
      </c>
      <c r="G1330" s="11" t="s">
        <v>56</v>
      </c>
      <c r="I1330" s="10" t="s">
        <v>1972</v>
      </c>
      <c r="J1330" s="6" t="s">
        <v>1973</v>
      </c>
      <c r="K1330" s="12">
        <v>46120.690335648149</v>
      </c>
      <c r="L1330" s="6" t="e" cm="1">
        <f t="array" ref="L1330">LOOKUP(2^15,SEARCH(Tabela2[Palavras-Chave],Boletim4[[#This Row],[Objeto]],1),Tabela2[Palavras-Chave])</f>
        <v>#N/A</v>
      </c>
    </row>
    <row r="1331" spans="1:12" ht="86.4" hidden="1" x14ac:dyDescent="0.3">
      <c r="A1331" s="5">
        <v>18794358</v>
      </c>
      <c r="B1331" s="6" t="s">
        <v>3197</v>
      </c>
      <c r="C1331" s="6" t="s">
        <v>3198</v>
      </c>
      <c r="D1331" s="8" t="s">
        <v>77</v>
      </c>
      <c r="E1331" s="6" t="s">
        <v>126</v>
      </c>
      <c r="F1331" s="6" t="s">
        <v>85</v>
      </c>
      <c r="G1331" s="11" t="s">
        <v>56</v>
      </c>
      <c r="I1331" s="10" t="s">
        <v>3199</v>
      </c>
      <c r="J1331" s="6" t="s">
        <v>3200</v>
      </c>
      <c r="K1331" s="12">
        <v>46120.721562500003</v>
      </c>
      <c r="L1331" s="6" t="e" cm="1">
        <f t="array" ref="L1331">LOOKUP(2^15,SEARCH(Tabela2[Palavras-Chave],Boletim4[[#This Row],[Objeto]],1),Tabela2[Palavras-Chave])</f>
        <v>#N/A</v>
      </c>
    </row>
    <row r="1332" spans="1:12" ht="115.2" hidden="1" x14ac:dyDescent="0.3">
      <c r="A1332" s="5">
        <v>18804735</v>
      </c>
      <c r="B1332" s="6" t="s">
        <v>1974</v>
      </c>
      <c r="C1332" s="6" t="s">
        <v>1975</v>
      </c>
      <c r="D1332" s="8" t="s">
        <v>77</v>
      </c>
      <c r="E1332" s="6" t="s">
        <v>127</v>
      </c>
      <c r="F1332" s="6" t="s">
        <v>85</v>
      </c>
      <c r="G1332" s="11">
        <v>46142.375</v>
      </c>
      <c r="I1332" s="10" t="s">
        <v>1976</v>
      </c>
      <c r="J1332" s="6" t="s">
        <v>1977</v>
      </c>
      <c r="K1332" s="12">
        <v>46120.809340277781</v>
      </c>
      <c r="L1332" s="6" t="e" cm="1">
        <f t="array" ref="L1332">LOOKUP(2^15,SEARCH(Tabela2[Palavras-Chave],Boletim4[[#This Row],[Objeto]],1),Tabela2[Palavras-Chave])</f>
        <v>#N/A</v>
      </c>
    </row>
    <row r="1333" spans="1:12" ht="187.2" hidden="1" x14ac:dyDescent="0.3">
      <c r="A1333" s="5">
        <v>18805699</v>
      </c>
      <c r="B1333" s="6" t="s">
        <v>275</v>
      </c>
      <c r="C1333" s="6" t="s">
        <v>102</v>
      </c>
      <c r="D1333" s="8" t="s">
        <v>77</v>
      </c>
      <c r="E1333" s="6" t="s">
        <v>3201</v>
      </c>
      <c r="F1333" s="6" t="s">
        <v>85</v>
      </c>
      <c r="G1333" s="11" t="s">
        <v>56</v>
      </c>
      <c r="I1333" s="10" t="s">
        <v>3202</v>
      </c>
      <c r="J1333" s="6" t="s">
        <v>3203</v>
      </c>
      <c r="K1333" s="12">
        <v>46120.759502314817</v>
      </c>
      <c r="L1333" s="6" t="e" cm="1">
        <f t="array" ref="L1333">LOOKUP(2^15,SEARCH(Tabela2[Palavras-Chave],Boletim4[[#This Row],[Objeto]],1),Tabela2[Palavras-Chave])</f>
        <v>#N/A</v>
      </c>
    </row>
    <row r="1334" spans="1:12" ht="115.2" hidden="1" x14ac:dyDescent="0.3">
      <c r="A1334" s="5">
        <v>18802873</v>
      </c>
      <c r="B1334" s="6" t="s">
        <v>1978</v>
      </c>
      <c r="C1334" s="6" t="s">
        <v>441</v>
      </c>
      <c r="D1334" s="8" t="s">
        <v>78</v>
      </c>
      <c r="E1334" s="6" t="s">
        <v>1858</v>
      </c>
      <c r="F1334" s="6" t="s">
        <v>85</v>
      </c>
      <c r="G1334" s="11" t="s">
        <v>56</v>
      </c>
      <c r="I1334" s="10" t="s">
        <v>1979</v>
      </c>
      <c r="J1334" s="6" t="s">
        <v>1980</v>
      </c>
      <c r="K1334" s="12">
        <v>46120.514861111114</v>
      </c>
      <c r="L1334" s="6" t="e" cm="1">
        <f t="array" ref="L1334">LOOKUP(2^15,SEARCH(Tabela2[Palavras-Chave],Boletim4[[#This Row],[Objeto]],1),Tabela2[Palavras-Chave])</f>
        <v>#N/A</v>
      </c>
    </row>
    <row r="1335" spans="1:12" ht="115.2" hidden="1" x14ac:dyDescent="0.3">
      <c r="A1335" s="5">
        <v>18802823</v>
      </c>
      <c r="B1335" s="6" t="s">
        <v>1978</v>
      </c>
      <c r="C1335" s="6" t="s">
        <v>441</v>
      </c>
      <c r="D1335" s="8" t="s">
        <v>78</v>
      </c>
      <c r="E1335" s="6" t="s">
        <v>1981</v>
      </c>
      <c r="F1335" s="6" t="s">
        <v>85</v>
      </c>
      <c r="G1335" s="11" t="s">
        <v>56</v>
      </c>
      <c r="I1335" s="10" t="s">
        <v>1982</v>
      </c>
      <c r="J1335" s="6" t="s">
        <v>1983</v>
      </c>
      <c r="K1335" s="12">
        <v>46120.5153125</v>
      </c>
      <c r="L1335" s="6" t="e" cm="1">
        <f t="array" ref="L1335">LOOKUP(2^15,SEARCH(Tabela2[Palavras-Chave],Boletim4[[#This Row],[Objeto]],1),Tabela2[Palavras-Chave])</f>
        <v>#N/A</v>
      </c>
    </row>
    <row r="1336" spans="1:12" ht="158.4" hidden="1" x14ac:dyDescent="0.3">
      <c r="A1336" s="5">
        <v>18802892</v>
      </c>
      <c r="B1336" s="6" t="s">
        <v>1984</v>
      </c>
      <c r="C1336" s="6" t="s">
        <v>136</v>
      </c>
      <c r="D1336" s="8" t="s">
        <v>78</v>
      </c>
      <c r="E1336" s="6" t="s">
        <v>1985</v>
      </c>
      <c r="F1336" s="6" t="s">
        <v>85</v>
      </c>
      <c r="G1336" s="11" t="s">
        <v>56</v>
      </c>
      <c r="I1336" s="10" t="s">
        <v>1986</v>
      </c>
      <c r="J1336" s="6" t="s">
        <v>1987</v>
      </c>
      <c r="K1336" s="12">
        <v>46120.588310185187</v>
      </c>
      <c r="L1336" s="6" t="e" cm="1">
        <f t="array" ref="L1336">LOOKUP(2^15,SEARCH(Tabela2[Palavras-Chave],Boletim4[[#This Row],[Objeto]],1),Tabela2[Palavras-Chave])</f>
        <v>#N/A</v>
      </c>
    </row>
    <row r="1337" spans="1:12" ht="115.2" hidden="1" x14ac:dyDescent="0.3">
      <c r="A1337" s="5">
        <v>18802879</v>
      </c>
      <c r="B1337" s="6" t="s">
        <v>1978</v>
      </c>
      <c r="C1337" s="6" t="s">
        <v>441</v>
      </c>
      <c r="D1337" s="8" t="s">
        <v>78</v>
      </c>
      <c r="E1337" s="6" t="s">
        <v>1988</v>
      </c>
      <c r="F1337" s="6" t="s">
        <v>85</v>
      </c>
      <c r="G1337" s="11" t="s">
        <v>56</v>
      </c>
      <c r="I1337" s="10" t="s">
        <v>1989</v>
      </c>
      <c r="J1337" s="6" t="s">
        <v>1990</v>
      </c>
      <c r="K1337" s="12">
        <v>46120.660983796297</v>
      </c>
      <c r="L1337" s="6" t="e" cm="1">
        <f t="array" ref="L1337">LOOKUP(2^15,SEARCH(Tabela2[Palavras-Chave],Boletim4[[#This Row],[Objeto]],1),Tabela2[Palavras-Chave])</f>
        <v>#N/A</v>
      </c>
    </row>
    <row r="1338" spans="1:12" ht="28.8" hidden="1" x14ac:dyDescent="0.3">
      <c r="A1338" s="5">
        <v>18805505</v>
      </c>
      <c r="B1338" s="6" t="s">
        <v>3204</v>
      </c>
      <c r="C1338" s="6" t="s">
        <v>3205</v>
      </c>
      <c r="D1338" s="8" t="s">
        <v>78</v>
      </c>
      <c r="E1338" s="6" t="s">
        <v>113</v>
      </c>
      <c r="F1338" s="6" t="s">
        <v>85</v>
      </c>
      <c r="G1338" s="11">
        <v>46136.375</v>
      </c>
      <c r="I1338" s="10" t="s">
        <v>3206</v>
      </c>
      <c r="J1338" s="6" t="s">
        <v>3207</v>
      </c>
      <c r="K1338" s="12">
        <v>46120.809201388889</v>
      </c>
      <c r="L1338" s="6" t="e" cm="1">
        <f t="array" ref="L1338">LOOKUP(2^15,SEARCH(Tabela2[Palavras-Chave],Boletim4[[#This Row],[Objeto]],1),Tabela2[Palavras-Chave])</f>
        <v>#N/A</v>
      </c>
    </row>
    <row r="1339" spans="1:12" ht="43.2" hidden="1" x14ac:dyDescent="0.3">
      <c r="A1339" s="5">
        <v>18804237</v>
      </c>
      <c r="B1339" s="6" t="s">
        <v>3208</v>
      </c>
      <c r="C1339" s="6" t="s">
        <v>3209</v>
      </c>
      <c r="D1339" s="8" t="s">
        <v>294</v>
      </c>
      <c r="E1339" s="6" t="s">
        <v>113</v>
      </c>
      <c r="F1339" s="6" t="s">
        <v>85</v>
      </c>
      <c r="G1339" s="11">
        <v>46140.333333333336</v>
      </c>
      <c r="I1339" s="10" t="s">
        <v>3210</v>
      </c>
      <c r="J1339" s="6" t="s">
        <v>3211</v>
      </c>
      <c r="K1339" s="12">
        <v>46120.62222222222</v>
      </c>
      <c r="L1339" s="6" t="e" cm="1">
        <f t="array" ref="L1339">LOOKUP(2^15,SEARCH(Tabela2[Palavras-Chave],Boletim4[[#This Row],[Objeto]],1),Tabela2[Palavras-Chave])</f>
        <v>#N/A</v>
      </c>
    </row>
    <row r="1340" spans="1:12" ht="72" hidden="1" x14ac:dyDescent="0.3">
      <c r="A1340" s="5">
        <v>18797234</v>
      </c>
      <c r="B1340" s="6" t="s">
        <v>396</v>
      </c>
      <c r="C1340" s="6" t="s">
        <v>397</v>
      </c>
      <c r="D1340" s="8" t="s">
        <v>80</v>
      </c>
      <c r="E1340" s="6" t="s">
        <v>134</v>
      </c>
      <c r="F1340" s="6" t="s">
        <v>85</v>
      </c>
      <c r="G1340" s="11">
        <v>46139</v>
      </c>
      <c r="I1340" s="10" t="s">
        <v>1991</v>
      </c>
      <c r="J1340" s="6" t="s">
        <v>1992</v>
      </c>
      <c r="K1340" s="12">
        <v>46120.388969907406</v>
      </c>
      <c r="L1340" s="6" t="e" cm="1">
        <f t="array" ref="L1340">LOOKUP(2^15,SEARCH(Tabela2[Palavras-Chave],Boletim4[[#This Row],[Objeto]],1),Tabela2[Palavras-Chave])</f>
        <v>#N/A</v>
      </c>
    </row>
    <row r="1341" spans="1:12" ht="43.2" hidden="1" x14ac:dyDescent="0.3">
      <c r="A1341" s="5">
        <v>18798658</v>
      </c>
      <c r="B1341" s="6" t="s">
        <v>1993</v>
      </c>
      <c r="C1341" s="6" t="s">
        <v>1994</v>
      </c>
      <c r="D1341" s="8" t="s">
        <v>80</v>
      </c>
      <c r="E1341" s="6" t="s">
        <v>117</v>
      </c>
      <c r="F1341" s="6" t="s">
        <v>85</v>
      </c>
      <c r="G1341" s="11">
        <v>46134.364583333336</v>
      </c>
      <c r="I1341" s="10" t="s">
        <v>1995</v>
      </c>
      <c r="J1341" s="6" t="s">
        <v>1996</v>
      </c>
      <c r="K1341" s="12">
        <v>46120.409155092595</v>
      </c>
      <c r="L1341" s="6" t="e" cm="1">
        <f t="array" ref="L1341">LOOKUP(2^15,SEARCH(Tabela2[Palavras-Chave],Boletim4[[#This Row],[Objeto]],1),Tabela2[Palavras-Chave])</f>
        <v>#N/A</v>
      </c>
    </row>
    <row r="1342" spans="1:12" ht="100.8" hidden="1" x14ac:dyDescent="0.3">
      <c r="A1342" s="5">
        <v>18802021</v>
      </c>
      <c r="B1342" s="6" t="s">
        <v>1997</v>
      </c>
      <c r="C1342" s="6" t="s">
        <v>1998</v>
      </c>
      <c r="D1342" s="8" t="s">
        <v>80</v>
      </c>
      <c r="E1342" s="6" t="s">
        <v>126</v>
      </c>
      <c r="F1342" s="6" t="s">
        <v>85</v>
      </c>
      <c r="G1342" s="11">
        <v>46129.652777777781</v>
      </c>
      <c r="I1342" s="10" t="s">
        <v>1999</v>
      </c>
      <c r="J1342" s="6" t="s">
        <v>2000</v>
      </c>
      <c r="K1342" s="12">
        <v>46120.445208333331</v>
      </c>
      <c r="L1342" s="6" t="e" cm="1">
        <f t="array" ref="L1342">LOOKUP(2^15,SEARCH(Tabela2[Palavras-Chave],Boletim4[[#This Row],[Objeto]],1),Tabela2[Palavras-Chave])</f>
        <v>#N/A</v>
      </c>
    </row>
    <row r="1343" spans="1:12" ht="100.8" hidden="1" x14ac:dyDescent="0.3">
      <c r="A1343" s="5">
        <v>18802006</v>
      </c>
      <c r="B1343" s="6" t="s">
        <v>2001</v>
      </c>
      <c r="C1343" s="6" t="s">
        <v>2002</v>
      </c>
      <c r="D1343" s="8" t="s">
        <v>80</v>
      </c>
      <c r="E1343" s="6" t="s">
        <v>115</v>
      </c>
      <c r="F1343" s="6" t="s">
        <v>85</v>
      </c>
      <c r="G1343" s="11">
        <v>46134.354166666664</v>
      </c>
      <c r="I1343" s="10" t="s">
        <v>2003</v>
      </c>
      <c r="J1343" s="6" t="s">
        <v>2004</v>
      </c>
      <c r="K1343" s="12">
        <v>46120.447870370372</v>
      </c>
      <c r="L1343" s="6" t="e" cm="1">
        <f t="array" ref="L1343">LOOKUP(2^15,SEARCH(Tabela2[Palavras-Chave],Boletim4[[#This Row],[Objeto]],1),Tabela2[Palavras-Chave])</f>
        <v>#N/A</v>
      </c>
    </row>
    <row r="1344" spans="1:12" ht="86.4" hidden="1" x14ac:dyDescent="0.3">
      <c r="A1344" s="5">
        <v>18800020</v>
      </c>
      <c r="B1344" s="6" t="s">
        <v>398</v>
      </c>
      <c r="C1344" s="6" t="s">
        <v>399</v>
      </c>
      <c r="D1344" s="8" t="s">
        <v>80</v>
      </c>
      <c r="E1344" s="6" t="s">
        <v>2005</v>
      </c>
      <c r="F1344" s="6" t="s">
        <v>85</v>
      </c>
      <c r="G1344" s="11" t="s">
        <v>56</v>
      </c>
      <c r="I1344" s="10" t="s">
        <v>2006</v>
      </c>
      <c r="J1344" s="6" t="s">
        <v>2007</v>
      </c>
      <c r="K1344" s="12">
        <v>46120.45144675926</v>
      </c>
      <c r="L1344" s="6" t="e" cm="1">
        <f t="array" ref="L1344">LOOKUP(2^15,SEARCH(Tabela2[Palavras-Chave],Boletim4[[#This Row],[Objeto]],1),Tabela2[Palavras-Chave])</f>
        <v>#N/A</v>
      </c>
    </row>
    <row r="1345" spans="1:12" ht="86.4" hidden="1" x14ac:dyDescent="0.3">
      <c r="A1345" s="5">
        <v>18800620</v>
      </c>
      <c r="B1345" s="6" t="s">
        <v>2008</v>
      </c>
      <c r="C1345" s="6" t="s">
        <v>2009</v>
      </c>
      <c r="D1345" s="8" t="s">
        <v>80</v>
      </c>
      <c r="E1345" s="6" t="s">
        <v>135</v>
      </c>
      <c r="F1345" s="6" t="s">
        <v>85</v>
      </c>
      <c r="G1345" s="11" t="s">
        <v>56</v>
      </c>
      <c r="I1345" s="10" t="s">
        <v>2010</v>
      </c>
      <c r="J1345" s="6" t="s">
        <v>2011</v>
      </c>
      <c r="K1345" s="12">
        <v>46120.451516203706</v>
      </c>
      <c r="L1345" s="6" t="e" cm="1">
        <f t="array" ref="L1345">LOOKUP(2^15,SEARCH(Tabela2[Palavras-Chave],Boletim4[[#This Row],[Objeto]],1),Tabela2[Palavras-Chave])</f>
        <v>#N/A</v>
      </c>
    </row>
    <row r="1346" spans="1:12" ht="129.6" hidden="1" x14ac:dyDescent="0.3">
      <c r="A1346" s="5">
        <v>18797238</v>
      </c>
      <c r="B1346" s="6" t="s">
        <v>2012</v>
      </c>
      <c r="C1346" s="6" t="s">
        <v>2013</v>
      </c>
      <c r="D1346" s="8" t="s">
        <v>80</v>
      </c>
      <c r="E1346" s="6" t="s">
        <v>127</v>
      </c>
      <c r="F1346" s="6" t="s">
        <v>85</v>
      </c>
      <c r="G1346" s="11">
        <v>46139</v>
      </c>
      <c r="I1346" s="10" t="s">
        <v>2014</v>
      </c>
      <c r="J1346" s="6" t="s">
        <v>2015</v>
      </c>
      <c r="K1346" s="12">
        <v>46120.451516203706</v>
      </c>
      <c r="L1346" s="6" t="e" cm="1">
        <f t="array" ref="L1346">LOOKUP(2^15,SEARCH(Tabela2[Palavras-Chave],Boletim4[[#This Row],[Objeto]],1),Tabela2[Palavras-Chave])</f>
        <v>#N/A</v>
      </c>
    </row>
    <row r="1347" spans="1:12" ht="100.8" hidden="1" x14ac:dyDescent="0.3">
      <c r="A1347" s="5">
        <v>18801972</v>
      </c>
      <c r="B1347" s="6" t="s">
        <v>2016</v>
      </c>
      <c r="C1347" s="6" t="s">
        <v>2017</v>
      </c>
      <c r="D1347" s="8" t="s">
        <v>80</v>
      </c>
      <c r="E1347" s="6" t="s">
        <v>114</v>
      </c>
      <c r="F1347" s="6" t="s">
        <v>85</v>
      </c>
      <c r="G1347" s="11">
        <v>46135.332638888889</v>
      </c>
      <c r="I1347" s="10" t="s">
        <v>2018</v>
      </c>
      <c r="J1347" s="6" t="s">
        <v>2019</v>
      </c>
      <c r="K1347" s="12">
        <v>46120.455312500002</v>
      </c>
      <c r="L1347" s="6" t="e" cm="1">
        <f t="array" ref="L1347">LOOKUP(2^15,SEARCH(Tabela2[Palavras-Chave],Boletim4[[#This Row],[Objeto]],1),Tabela2[Palavras-Chave])</f>
        <v>#N/A</v>
      </c>
    </row>
    <row r="1348" spans="1:12" ht="43.2" hidden="1" x14ac:dyDescent="0.3">
      <c r="A1348" s="5">
        <v>18801544</v>
      </c>
      <c r="B1348" s="6" t="s">
        <v>2020</v>
      </c>
      <c r="C1348" s="6" t="s">
        <v>2021</v>
      </c>
      <c r="D1348" s="8" t="s">
        <v>80</v>
      </c>
      <c r="E1348" s="6" t="s">
        <v>155</v>
      </c>
      <c r="F1348" s="6" t="s">
        <v>85</v>
      </c>
      <c r="G1348" s="11">
        <v>46136.395833333336</v>
      </c>
      <c r="I1348" s="10" t="s">
        <v>2022</v>
      </c>
      <c r="J1348" s="6" t="s">
        <v>2023</v>
      </c>
      <c r="K1348" s="12">
        <v>46120.474999999999</v>
      </c>
      <c r="L1348" s="6" t="e" cm="1">
        <f t="array" ref="L1348">LOOKUP(2^15,SEARCH(Tabela2[Palavras-Chave],Boletim4[[#This Row],[Objeto]],1),Tabela2[Palavras-Chave])</f>
        <v>#N/A</v>
      </c>
    </row>
    <row r="1349" spans="1:12" ht="100.8" hidden="1" x14ac:dyDescent="0.3">
      <c r="A1349" s="5">
        <v>18801957</v>
      </c>
      <c r="B1349" s="6" t="s">
        <v>2024</v>
      </c>
      <c r="C1349" s="6" t="s">
        <v>2025</v>
      </c>
      <c r="D1349" s="8" t="s">
        <v>80</v>
      </c>
      <c r="E1349" s="6" t="s">
        <v>107</v>
      </c>
      <c r="F1349" s="6" t="s">
        <v>85</v>
      </c>
      <c r="G1349" s="11">
        <v>46136.374305555553</v>
      </c>
      <c r="I1349" s="10" t="s">
        <v>2026</v>
      </c>
      <c r="J1349" s="6" t="s">
        <v>2027</v>
      </c>
      <c r="K1349" s="12">
        <v>46120.519606481481</v>
      </c>
      <c r="L1349" s="6" t="e" cm="1">
        <f t="array" ref="L1349">LOOKUP(2^15,SEARCH(Tabela2[Palavras-Chave],Boletim4[[#This Row],[Objeto]],1),Tabela2[Palavras-Chave])</f>
        <v>#N/A</v>
      </c>
    </row>
    <row r="1350" spans="1:12" ht="43.2" hidden="1" x14ac:dyDescent="0.3">
      <c r="A1350" s="5">
        <v>18801533</v>
      </c>
      <c r="B1350" s="6" t="s">
        <v>276</v>
      </c>
      <c r="C1350" s="6" t="s">
        <v>79</v>
      </c>
      <c r="D1350" s="8" t="s">
        <v>80</v>
      </c>
      <c r="E1350" s="6" t="s">
        <v>2028</v>
      </c>
      <c r="F1350" s="6" t="s">
        <v>85</v>
      </c>
      <c r="G1350" s="11">
        <v>46126.417361111111</v>
      </c>
      <c r="I1350" s="10" t="s">
        <v>338</v>
      </c>
      <c r="J1350" s="6" t="s">
        <v>2029</v>
      </c>
      <c r="K1350" s="12">
        <v>46120.521678240744</v>
      </c>
      <c r="L1350" s="6" t="e" cm="1">
        <f t="array" ref="L1350">LOOKUP(2^15,SEARCH(Tabela2[Palavras-Chave],Boletim4[[#This Row],[Objeto]],1),Tabela2[Palavras-Chave])</f>
        <v>#N/A</v>
      </c>
    </row>
    <row r="1351" spans="1:12" ht="28.8" hidden="1" x14ac:dyDescent="0.3">
      <c r="A1351" s="5">
        <v>18801904</v>
      </c>
      <c r="B1351" s="6" t="s">
        <v>2030</v>
      </c>
      <c r="C1351" s="6" t="s">
        <v>2031</v>
      </c>
      <c r="D1351" s="8" t="s">
        <v>80</v>
      </c>
      <c r="E1351" s="6" t="s">
        <v>1499</v>
      </c>
      <c r="F1351" s="6" t="s">
        <v>85</v>
      </c>
      <c r="G1351" s="11">
        <v>46132.344444444447</v>
      </c>
      <c r="I1351" s="10" t="s">
        <v>2032</v>
      </c>
      <c r="J1351" s="6" t="s">
        <v>2033</v>
      </c>
      <c r="K1351" s="12">
        <v>46120.527557870373</v>
      </c>
      <c r="L1351" s="6" t="e" cm="1">
        <f t="array" ref="L1351">LOOKUP(2^15,SEARCH(Tabela2[Palavras-Chave],Boletim4[[#This Row],[Objeto]],1),Tabela2[Palavras-Chave])</f>
        <v>#N/A</v>
      </c>
    </row>
    <row r="1352" spans="1:12" ht="115.2" x14ac:dyDescent="0.3">
      <c r="A1352" s="5">
        <v>18802867</v>
      </c>
      <c r="B1352" s="6" t="s">
        <v>2034</v>
      </c>
      <c r="C1352" s="6" t="s">
        <v>2035</v>
      </c>
      <c r="D1352" s="8" t="s">
        <v>80</v>
      </c>
      <c r="E1352" s="6" t="s">
        <v>157</v>
      </c>
      <c r="F1352" s="6" t="s">
        <v>85</v>
      </c>
      <c r="G1352" s="11" t="s">
        <v>56</v>
      </c>
      <c r="H1352" s="23">
        <v>2</v>
      </c>
      <c r="I1352" s="10" t="s">
        <v>2036</v>
      </c>
      <c r="J1352" s="6" t="s">
        <v>2037</v>
      </c>
      <c r="K1352" s="12">
        <v>46120.542210648149</v>
      </c>
      <c r="L1352" s="6" t="str" cm="1">
        <f t="array" ref="L1352">LOOKUP(2^15,SEARCH(Tabela2[Palavras-Chave],Boletim4[[#This Row],[Objeto]],1),Tabela2[Palavras-Chave])</f>
        <v>RESERVAT</v>
      </c>
    </row>
    <row r="1353" spans="1:12" ht="43.2" hidden="1" x14ac:dyDescent="0.3">
      <c r="A1353" s="5">
        <v>18801542</v>
      </c>
      <c r="B1353" s="6" t="s">
        <v>395</v>
      </c>
      <c r="C1353" s="6" t="s">
        <v>257</v>
      </c>
      <c r="D1353" s="8" t="s">
        <v>80</v>
      </c>
      <c r="E1353" s="6" t="s">
        <v>265</v>
      </c>
      <c r="F1353" s="6" t="s">
        <v>85</v>
      </c>
      <c r="G1353" s="11">
        <v>46136.354166666664</v>
      </c>
      <c r="I1353" s="10" t="s">
        <v>2038</v>
      </c>
      <c r="J1353" s="6" t="s">
        <v>2039</v>
      </c>
      <c r="K1353" s="12">
        <v>46120.561354166668</v>
      </c>
      <c r="L1353" s="6" t="e" cm="1">
        <f t="array" ref="L1353">LOOKUP(2^15,SEARCH(Tabela2[Palavras-Chave],Boletim4[[#This Row],[Objeto]],1),Tabela2[Palavras-Chave])</f>
        <v>#N/A</v>
      </c>
    </row>
    <row r="1354" spans="1:12" ht="115.2" hidden="1" x14ac:dyDescent="0.3">
      <c r="A1354" s="5">
        <v>18802028</v>
      </c>
      <c r="B1354" s="6" t="s">
        <v>2040</v>
      </c>
      <c r="C1354" s="6" t="s">
        <v>79</v>
      </c>
      <c r="D1354" s="8" t="s">
        <v>80</v>
      </c>
      <c r="E1354" s="6" t="s">
        <v>212</v>
      </c>
      <c r="F1354" s="6" t="s">
        <v>85</v>
      </c>
      <c r="G1354" s="11">
        <v>46129.353472222225</v>
      </c>
      <c r="I1354" s="10" t="s">
        <v>2041</v>
      </c>
      <c r="J1354" s="6" t="s">
        <v>2042</v>
      </c>
      <c r="K1354" s="12">
        <v>46120.576840277776</v>
      </c>
      <c r="L1354" s="6" t="e" cm="1">
        <f t="array" ref="L1354">LOOKUP(2^15,SEARCH(Tabela2[Palavras-Chave],Boletim4[[#This Row],[Objeto]],1),Tabela2[Palavras-Chave])</f>
        <v>#N/A</v>
      </c>
    </row>
    <row r="1355" spans="1:12" ht="100.8" x14ac:dyDescent="0.3">
      <c r="A1355" s="5">
        <v>18801961</v>
      </c>
      <c r="B1355" s="6" t="s">
        <v>2043</v>
      </c>
      <c r="C1355" s="6" t="s">
        <v>2044</v>
      </c>
      <c r="D1355" s="8" t="s">
        <v>80</v>
      </c>
      <c r="E1355" s="6" t="s">
        <v>115</v>
      </c>
      <c r="F1355" s="6" t="s">
        <v>85</v>
      </c>
      <c r="G1355" s="11">
        <v>46136.374305555553</v>
      </c>
      <c r="H1355" s="23">
        <v>2</v>
      </c>
      <c r="I1355" s="10" t="s">
        <v>2045</v>
      </c>
      <c r="J1355" s="6" t="s">
        <v>2046</v>
      </c>
      <c r="K1355" s="12">
        <v>46120.583275462966</v>
      </c>
      <c r="L1355" s="6" t="str" cm="1">
        <f t="array" ref="L1355">LOOKUP(2^15,SEARCH(Tabela2[Palavras-Chave],Boletim4[[#This Row],[Objeto]],1),Tabela2[Palavras-Chave])</f>
        <v>RESERVAT</v>
      </c>
    </row>
    <row r="1356" spans="1:12" ht="43.2" hidden="1" x14ac:dyDescent="0.3">
      <c r="A1356" s="5">
        <v>18796659</v>
      </c>
      <c r="B1356" s="6" t="s">
        <v>339</v>
      </c>
      <c r="C1356" s="6" t="s">
        <v>277</v>
      </c>
      <c r="D1356" s="8" t="s">
        <v>80</v>
      </c>
      <c r="E1356" s="6" t="s">
        <v>2047</v>
      </c>
      <c r="F1356" s="6" t="s">
        <v>85</v>
      </c>
      <c r="G1356" s="11">
        <v>46125.625</v>
      </c>
      <c r="I1356" s="10" t="s">
        <v>2048</v>
      </c>
      <c r="J1356" s="6" t="s">
        <v>2049</v>
      </c>
      <c r="K1356" s="12">
        <v>46120.586886574078</v>
      </c>
      <c r="L1356" s="6" t="e" cm="1">
        <f t="array" ref="L1356">LOOKUP(2^15,SEARCH(Tabela2[Palavras-Chave],Boletim4[[#This Row],[Objeto]],1),Tabela2[Palavras-Chave])</f>
        <v>#N/A</v>
      </c>
    </row>
    <row r="1357" spans="1:12" ht="43.2" hidden="1" x14ac:dyDescent="0.3">
      <c r="A1357" s="5">
        <v>18795687</v>
      </c>
      <c r="B1357" s="6" t="s">
        <v>2050</v>
      </c>
      <c r="C1357" s="6" t="s">
        <v>79</v>
      </c>
      <c r="D1357" s="8" t="s">
        <v>80</v>
      </c>
      <c r="E1357" s="6" t="s">
        <v>2051</v>
      </c>
      <c r="F1357" s="6" t="s">
        <v>85</v>
      </c>
      <c r="G1357" s="11">
        <v>46125.395833333336</v>
      </c>
      <c r="I1357" s="10" t="s">
        <v>340</v>
      </c>
      <c r="J1357" s="6" t="s">
        <v>2052</v>
      </c>
      <c r="K1357" s="12">
        <v>46120.586967592593</v>
      </c>
      <c r="L1357" s="6" t="e" cm="1">
        <f t="array" ref="L1357">LOOKUP(2^15,SEARCH(Tabela2[Palavras-Chave],Boletim4[[#This Row],[Objeto]],1),Tabela2[Palavras-Chave])</f>
        <v>#N/A</v>
      </c>
    </row>
    <row r="1358" spans="1:12" hidden="1" x14ac:dyDescent="0.3">
      <c r="A1358" s="5">
        <v>18790826</v>
      </c>
      <c r="B1358" s="6" t="s">
        <v>2053</v>
      </c>
      <c r="C1358" s="6" t="s">
        <v>2054</v>
      </c>
      <c r="D1358" s="8" t="s">
        <v>80</v>
      </c>
      <c r="E1358" s="6" t="s">
        <v>120</v>
      </c>
      <c r="F1358" s="6" t="s">
        <v>85</v>
      </c>
      <c r="G1358" s="11">
        <v>46127.584027777775</v>
      </c>
      <c r="I1358" s="10" t="s">
        <v>2055</v>
      </c>
      <c r="J1358" s="6" t="s">
        <v>2056</v>
      </c>
      <c r="K1358" s="12">
        <v>46120.587627314817</v>
      </c>
      <c r="L1358" s="6" t="e" cm="1">
        <f t="array" ref="L1358">LOOKUP(2^15,SEARCH(Tabela2[Palavras-Chave],Boletim4[[#This Row],[Objeto]],1),Tabela2[Palavras-Chave])</f>
        <v>#N/A</v>
      </c>
    </row>
    <row r="1359" spans="1:12" ht="100.8" hidden="1" x14ac:dyDescent="0.3">
      <c r="A1359" s="5">
        <v>18803521</v>
      </c>
      <c r="B1359" s="6" t="s">
        <v>2057</v>
      </c>
      <c r="C1359" s="6" t="s">
        <v>464</v>
      </c>
      <c r="D1359" s="8" t="s">
        <v>80</v>
      </c>
      <c r="E1359" s="6" t="s">
        <v>2058</v>
      </c>
      <c r="F1359" s="6" t="s">
        <v>85</v>
      </c>
      <c r="G1359" s="11" t="s">
        <v>56</v>
      </c>
      <c r="I1359" s="10" t="s">
        <v>2059</v>
      </c>
      <c r="J1359" s="6" t="s">
        <v>2060</v>
      </c>
      <c r="K1359" s="12">
        <v>46120.588831018518</v>
      </c>
      <c r="L1359" s="6" t="e" cm="1">
        <f t="array" ref="L1359">LOOKUP(2^15,SEARCH(Tabela2[Palavras-Chave],Boletim4[[#This Row],[Objeto]],1),Tabela2[Palavras-Chave])</f>
        <v>#N/A</v>
      </c>
    </row>
    <row r="1360" spans="1:12" ht="259.2" hidden="1" x14ac:dyDescent="0.3">
      <c r="A1360" s="5">
        <v>18803894</v>
      </c>
      <c r="B1360" s="6" t="s">
        <v>3212</v>
      </c>
      <c r="C1360" s="6" t="s">
        <v>3213</v>
      </c>
      <c r="D1360" s="8" t="s">
        <v>80</v>
      </c>
      <c r="E1360" s="6" t="s">
        <v>108</v>
      </c>
      <c r="F1360" s="6" t="s">
        <v>85</v>
      </c>
      <c r="G1360" s="11" t="s">
        <v>56</v>
      </c>
      <c r="I1360" s="10" t="s">
        <v>3214</v>
      </c>
      <c r="J1360" s="6" t="s">
        <v>3215</v>
      </c>
      <c r="K1360" s="12">
        <v>46120.598067129627</v>
      </c>
      <c r="L1360" s="6" t="e" cm="1">
        <f t="array" ref="L1360">LOOKUP(2^15,SEARCH(Tabela2[Palavras-Chave],Boletim4[[#This Row],[Objeto]],1),Tabela2[Palavras-Chave])</f>
        <v>#N/A</v>
      </c>
    </row>
    <row r="1361" spans="1:12" ht="302.39999999999998" x14ac:dyDescent="0.3">
      <c r="A1361" s="5">
        <v>18800131</v>
      </c>
      <c r="B1361" s="6" t="s">
        <v>2061</v>
      </c>
      <c r="C1361" s="6" t="s">
        <v>2062</v>
      </c>
      <c r="D1361" s="8" t="s">
        <v>80</v>
      </c>
      <c r="E1361" s="6" t="s">
        <v>135</v>
      </c>
      <c r="F1361" s="6" t="s">
        <v>85</v>
      </c>
      <c r="G1361" s="11" t="s">
        <v>56</v>
      </c>
      <c r="H1361" s="23">
        <v>2</v>
      </c>
      <c r="I1361" s="10" t="s">
        <v>2063</v>
      </c>
      <c r="J1361" s="6" t="s">
        <v>2064</v>
      </c>
      <c r="K1361" s="12">
        <v>46120.617430555554</v>
      </c>
      <c r="L1361" s="6" t="str" cm="1">
        <f t="array" ref="L1361">LOOKUP(2^15,SEARCH(Tabela2[Palavras-Chave],Boletim4[[#This Row],[Objeto]],1),Tabela2[Palavras-Chave])</f>
        <v>RESERVAT</v>
      </c>
    </row>
    <row r="1362" spans="1:12" ht="100.8" hidden="1" x14ac:dyDescent="0.3">
      <c r="A1362" s="5">
        <v>18801997</v>
      </c>
      <c r="B1362" s="6" t="s">
        <v>2065</v>
      </c>
      <c r="C1362" s="6" t="s">
        <v>2066</v>
      </c>
      <c r="D1362" s="8" t="s">
        <v>80</v>
      </c>
      <c r="E1362" s="6" t="s">
        <v>2067</v>
      </c>
      <c r="F1362" s="6" t="s">
        <v>85</v>
      </c>
      <c r="G1362" s="11">
        <v>46135.374305555553</v>
      </c>
      <c r="I1362" s="10" t="s">
        <v>2068</v>
      </c>
      <c r="J1362" s="6" t="s">
        <v>2069</v>
      </c>
      <c r="K1362" s="12">
        <v>46120.630277777775</v>
      </c>
      <c r="L1362" s="6" t="e" cm="1">
        <f t="array" ref="L1362">LOOKUP(2^15,SEARCH(Tabela2[Palavras-Chave],Boletim4[[#This Row],[Objeto]],1),Tabela2[Palavras-Chave])</f>
        <v>#N/A</v>
      </c>
    </row>
    <row r="1363" spans="1:12" ht="115.2" hidden="1" x14ac:dyDescent="0.3">
      <c r="A1363" s="5">
        <v>18804099</v>
      </c>
      <c r="B1363" s="6" t="s">
        <v>2070</v>
      </c>
      <c r="C1363" s="6" t="s">
        <v>2071</v>
      </c>
      <c r="D1363" s="8" t="s">
        <v>80</v>
      </c>
      <c r="E1363" s="6" t="s">
        <v>309</v>
      </c>
      <c r="F1363" s="6" t="s">
        <v>85</v>
      </c>
      <c r="G1363" s="11">
        <v>46126.374305555553</v>
      </c>
      <c r="I1363" s="10" t="s">
        <v>2072</v>
      </c>
      <c r="J1363" s="6" t="s">
        <v>2073</v>
      </c>
      <c r="K1363" s="12">
        <v>46120.632615740738</v>
      </c>
      <c r="L1363" s="6" t="e" cm="1">
        <f t="array" ref="L1363">LOOKUP(2^15,SEARCH(Tabela2[Palavras-Chave],Boletim4[[#This Row],[Objeto]],1),Tabela2[Palavras-Chave])</f>
        <v>#N/A</v>
      </c>
    </row>
    <row r="1364" spans="1:12" ht="100.8" hidden="1" x14ac:dyDescent="0.3">
      <c r="A1364" s="5">
        <v>18804113</v>
      </c>
      <c r="B1364" s="6" t="s">
        <v>2074</v>
      </c>
      <c r="C1364" s="6" t="s">
        <v>2075</v>
      </c>
      <c r="D1364" s="8" t="s">
        <v>80</v>
      </c>
      <c r="E1364" s="6" t="s">
        <v>114</v>
      </c>
      <c r="F1364" s="6" t="s">
        <v>85</v>
      </c>
      <c r="G1364" s="11">
        <v>46157.374305555553</v>
      </c>
      <c r="I1364" s="10" t="s">
        <v>2076</v>
      </c>
      <c r="J1364" s="6" t="s">
        <v>2077</v>
      </c>
      <c r="K1364" s="12">
        <v>46120.638101851851</v>
      </c>
      <c r="L1364" s="6" t="e" cm="1">
        <f t="array" ref="L1364">LOOKUP(2^15,SEARCH(Tabela2[Palavras-Chave],Boletim4[[#This Row],[Objeto]],1),Tabela2[Palavras-Chave])</f>
        <v>#N/A</v>
      </c>
    </row>
    <row r="1365" spans="1:12" ht="72" hidden="1" x14ac:dyDescent="0.3">
      <c r="A1365" s="5">
        <v>18801906</v>
      </c>
      <c r="B1365" s="6" t="s">
        <v>3216</v>
      </c>
      <c r="C1365" s="6" t="s">
        <v>3217</v>
      </c>
      <c r="D1365" s="8" t="s">
        <v>80</v>
      </c>
      <c r="E1365" s="6" t="s">
        <v>453</v>
      </c>
      <c r="F1365" s="6" t="s">
        <v>85</v>
      </c>
      <c r="G1365" s="11" t="s">
        <v>56</v>
      </c>
      <c r="I1365" s="10" t="s">
        <v>3218</v>
      </c>
      <c r="J1365" s="6" t="s">
        <v>3219</v>
      </c>
      <c r="K1365" s="12">
        <v>46120.642187500001</v>
      </c>
      <c r="L1365" s="6" t="e" cm="1">
        <f t="array" ref="L1365">LOOKUP(2^15,SEARCH(Tabela2[Palavras-Chave],Boletim4[[#This Row],[Objeto]],1),Tabela2[Palavras-Chave])</f>
        <v>#N/A</v>
      </c>
    </row>
    <row r="1366" spans="1:12" ht="43.2" hidden="1" x14ac:dyDescent="0.3">
      <c r="A1366" s="5">
        <v>18804458</v>
      </c>
      <c r="B1366" s="6" t="s">
        <v>2078</v>
      </c>
      <c r="C1366" s="6" t="s">
        <v>2079</v>
      </c>
      <c r="D1366" s="8" t="s">
        <v>80</v>
      </c>
      <c r="E1366" s="6" t="s">
        <v>117</v>
      </c>
      <c r="F1366" s="6" t="s">
        <v>85</v>
      </c>
      <c r="G1366" s="11">
        <v>46135.375</v>
      </c>
      <c r="I1366" s="10" t="s">
        <v>2080</v>
      </c>
      <c r="J1366" s="6" t="s">
        <v>2081</v>
      </c>
      <c r="K1366" s="12">
        <v>46120.666006944448</v>
      </c>
      <c r="L1366" s="6" t="e" cm="1">
        <f t="array" ref="L1366">LOOKUP(2^15,SEARCH(Tabela2[Palavras-Chave],Boletim4[[#This Row],[Objeto]],1),Tabela2[Palavras-Chave])</f>
        <v>#N/A</v>
      </c>
    </row>
    <row r="1367" spans="1:12" ht="86.4" hidden="1" x14ac:dyDescent="0.3">
      <c r="A1367" s="5">
        <v>18805224</v>
      </c>
      <c r="B1367" s="6" t="s">
        <v>2082</v>
      </c>
      <c r="C1367" s="6" t="s">
        <v>2083</v>
      </c>
      <c r="D1367" s="8" t="s">
        <v>80</v>
      </c>
      <c r="E1367" s="6" t="s">
        <v>366</v>
      </c>
      <c r="F1367" s="6" t="s">
        <v>85</v>
      </c>
      <c r="G1367" s="11" t="s">
        <v>56</v>
      </c>
      <c r="I1367" s="10" t="s">
        <v>2084</v>
      </c>
      <c r="J1367" s="6" t="s">
        <v>2085</v>
      </c>
      <c r="K1367" s="12">
        <v>46120.712546296294</v>
      </c>
      <c r="L1367" s="6" t="e" cm="1">
        <f t="array" ref="L1367">LOOKUP(2^15,SEARCH(Tabela2[Palavras-Chave],Boletim4[[#This Row],[Objeto]],1),Tabela2[Palavras-Chave])</f>
        <v>#N/A</v>
      </c>
    </row>
    <row r="1368" spans="1:12" ht="86.4" hidden="1" x14ac:dyDescent="0.3">
      <c r="A1368" s="5">
        <v>18803568</v>
      </c>
      <c r="B1368" s="6" t="s">
        <v>2086</v>
      </c>
      <c r="C1368" s="6" t="s">
        <v>2087</v>
      </c>
      <c r="D1368" s="8" t="s">
        <v>80</v>
      </c>
      <c r="E1368" s="6" t="s">
        <v>2088</v>
      </c>
      <c r="F1368" s="6" t="s">
        <v>85</v>
      </c>
      <c r="G1368" s="11" t="s">
        <v>56</v>
      </c>
      <c r="I1368" s="10" t="s">
        <v>2089</v>
      </c>
      <c r="J1368" s="6" t="s">
        <v>2090</v>
      </c>
      <c r="K1368" s="12">
        <v>46120.714930555558</v>
      </c>
      <c r="L1368" s="6" t="e" cm="1">
        <f t="array" ref="L1368">LOOKUP(2^15,SEARCH(Tabela2[Palavras-Chave],Boletim4[[#This Row],[Objeto]],1),Tabela2[Palavras-Chave])</f>
        <v>#N/A</v>
      </c>
    </row>
    <row r="1369" spans="1:12" ht="273.60000000000002" hidden="1" x14ac:dyDescent="0.3">
      <c r="A1369" s="5">
        <v>18801621</v>
      </c>
      <c r="B1369" s="6" t="s">
        <v>2091</v>
      </c>
      <c r="C1369" s="6" t="s">
        <v>2092</v>
      </c>
      <c r="D1369" s="8" t="s">
        <v>80</v>
      </c>
      <c r="E1369" s="6" t="s">
        <v>120</v>
      </c>
      <c r="F1369" s="6" t="s">
        <v>85</v>
      </c>
      <c r="G1369" s="11" t="s">
        <v>56</v>
      </c>
      <c r="I1369" s="10" t="s">
        <v>2093</v>
      </c>
      <c r="J1369" s="6" t="s">
        <v>2094</v>
      </c>
      <c r="K1369" s="12">
        <v>46120.734247685185</v>
      </c>
      <c r="L1369" s="6" t="e" cm="1">
        <f t="array" ref="L1369">LOOKUP(2^15,SEARCH(Tabela2[Palavras-Chave],Boletim4[[#This Row],[Objeto]],1),Tabela2[Palavras-Chave])</f>
        <v>#N/A</v>
      </c>
    </row>
    <row r="1370" spans="1:12" ht="100.8" hidden="1" x14ac:dyDescent="0.3">
      <c r="A1370" s="5">
        <v>18804061</v>
      </c>
      <c r="B1370" s="6" t="s">
        <v>2095</v>
      </c>
      <c r="C1370" s="6" t="s">
        <v>2096</v>
      </c>
      <c r="D1370" s="8" t="s">
        <v>80</v>
      </c>
      <c r="E1370" s="6" t="s">
        <v>2097</v>
      </c>
      <c r="F1370" s="6" t="s">
        <v>85</v>
      </c>
      <c r="G1370" s="11">
        <v>46135.374305555553</v>
      </c>
      <c r="I1370" s="10" t="s">
        <v>2098</v>
      </c>
      <c r="J1370" s="6" t="s">
        <v>2099</v>
      </c>
      <c r="K1370" s="12">
        <v>46120.735486111109</v>
      </c>
      <c r="L1370" s="6" t="e" cm="1">
        <f t="array" ref="L1370">LOOKUP(2^15,SEARCH(Tabela2[Palavras-Chave],Boletim4[[#This Row],[Objeto]],1),Tabela2[Palavras-Chave])</f>
        <v>#N/A</v>
      </c>
    </row>
    <row r="1371" spans="1:12" ht="72" hidden="1" x14ac:dyDescent="0.3">
      <c r="A1371" s="5">
        <v>18792595</v>
      </c>
      <c r="B1371" s="6" t="s">
        <v>2100</v>
      </c>
      <c r="C1371" s="6" t="s">
        <v>2101</v>
      </c>
      <c r="D1371" s="8" t="s">
        <v>80</v>
      </c>
      <c r="E1371" s="6" t="s">
        <v>149</v>
      </c>
      <c r="F1371" s="6" t="s">
        <v>85</v>
      </c>
      <c r="G1371" s="11">
        <v>46136.375</v>
      </c>
      <c r="I1371" s="10" t="s">
        <v>2102</v>
      </c>
      <c r="J1371" s="6" t="s">
        <v>2103</v>
      </c>
      <c r="K1371" s="12">
        <v>46120.745173611111</v>
      </c>
      <c r="L1371" s="6" t="e" cm="1">
        <f t="array" ref="L1371">LOOKUP(2^15,SEARCH(Tabela2[Palavras-Chave],Boletim4[[#This Row],[Objeto]],1),Tabela2[Palavras-Chave])</f>
        <v>#N/A</v>
      </c>
    </row>
    <row r="1372" spans="1:12" ht="57.6" hidden="1" x14ac:dyDescent="0.3">
      <c r="A1372" s="5">
        <v>18805586</v>
      </c>
      <c r="B1372" s="6" t="s">
        <v>2104</v>
      </c>
      <c r="C1372" s="6" t="s">
        <v>2105</v>
      </c>
      <c r="D1372" s="8" t="s">
        <v>80</v>
      </c>
      <c r="E1372" s="6" t="s">
        <v>2106</v>
      </c>
      <c r="F1372" s="6" t="s">
        <v>85</v>
      </c>
      <c r="G1372" s="11">
        <v>46126.5625</v>
      </c>
      <c r="I1372" s="10" t="s">
        <v>2107</v>
      </c>
      <c r="J1372" s="6" t="s">
        <v>2108</v>
      </c>
      <c r="K1372" s="12">
        <v>46120.747696759259</v>
      </c>
      <c r="L1372" s="6" t="e" cm="1">
        <f t="array" ref="L1372">LOOKUP(2^15,SEARCH(Tabela2[Palavras-Chave],Boletim4[[#This Row],[Objeto]],1),Tabela2[Palavras-Chave])</f>
        <v>#N/A</v>
      </c>
    </row>
    <row r="1373" spans="1:12" ht="57.6" hidden="1" x14ac:dyDescent="0.3">
      <c r="A1373" s="5">
        <v>18805613</v>
      </c>
      <c r="B1373" s="6" t="s">
        <v>2109</v>
      </c>
      <c r="C1373" s="6" t="s">
        <v>79</v>
      </c>
      <c r="D1373" s="8" t="s">
        <v>80</v>
      </c>
      <c r="E1373" s="6" t="s">
        <v>2106</v>
      </c>
      <c r="F1373" s="6" t="s">
        <v>85</v>
      </c>
      <c r="G1373" s="11">
        <v>46135.625694444447</v>
      </c>
      <c r="I1373" s="10" t="s">
        <v>2110</v>
      </c>
      <c r="J1373" s="6" t="s">
        <v>2111</v>
      </c>
      <c r="K1373" s="12">
        <v>46120.755069444444</v>
      </c>
      <c r="L1373" s="6" t="e" cm="1">
        <f t="array" ref="L1373">LOOKUP(2^15,SEARCH(Tabela2[Palavras-Chave],Boletim4[[#This Row],[Objeto]],1),Tabela2[Palavras-Chave])</f>
        <v>#N/A</v>
      </c>
    </row>
    <row r="1374" spans="1:12" ht="43.2" hidden="1" x14ac:dyDescent="0.3">
      <c r="A1374" s="5">
        <v>18803870</v>
      </c>
      <c r="B1374" s="6" t="s">
        <v>193</v>
      </c>
      <c r="C1374" s="6" t="s">
        <v>79</v>
      </c>
      <c r="D1374" s="8" t="s">
        <v>80</v>
      </c>
      <c r="E1374" s="6" t="s">
        <v>2112</v>
      </c>
      <c r="F1374" s="6" t="s">
        <v>85</v>
      </c>
      <c r="G1374" s="11">
        <v>46126.381944444445</v>
      </c>
      <c r="I1374" s="10" t="s">
        <v>2113</v>
      </c>
      <c r="J1374" s="6" t="s">
        <v>2114</v>
      </c>
      <c r="K1374" s="12">
        <v>46120.767465277779</v>
      </c>
      <c r="L1374" s="6" t="e" cm="1">
        <f t="array" ref="L1374">LOOKUP(2^15,SEARCH(Tabela2[Palavras-Chave],Boletim4[[#This Row],[Objeto]],1),Tabela2[Palavras-Chave])</f>
        <v>#N/A</v>
      </c>
    </row>
    <row r="1375" spans="1:12" ht="86.4" hidden="1" x14ac:dyDescent="0.3">
      <c r="A1375" s="5">
        <v>18804063</v>
      </c>
      <c r="B1375" s="6" t="s">
        <v>2115</v>
      </c>
      <c r="C1375" s="6" t="s">
        <v>2116</v>
      </c>
      <c r="D1375" s="8" t="s">
        <v>80</v>
      </c>
      <c r="E1375" s="6" t="s">
        <v>366</v>
      </c>
      <c r="F1375" s="6" t="s">
        <v>85</v>
      </c>
      <c r="G1375" s="11">
        <v>46141.375</v>
      </c>
      <c r="I1375" s="10" t="s">
        <v>2117</v>
      </c>
      <c r="J1375" s="6" t="s">
        <v>2118</v>
      </c>
      <c r="K1375" s="12">
        <v>46120.811840277776</v>
      </c>
      <c r="L1375" s="6" t="e" cm="1">
        <f t="array" ref="L1375">LOOKUP(2^15,SEARCH(Tabela2[Palavras-Chave],Boletim4[[#This Row],[Objeto]],1),Tabela2[Palavras-Chave])</f>
        <v>#N/A</v>
      </c>
    </row>
    <row r="1376" spans="1:12" ht="86.4" hidden="1" x14ac:dyDescent="0.3">
      <c r="A1376" s="5">
        <v>18806056</v>
      </c>
      <c r="B1376" s="6" t="s">
        <v>2119</v>
      </c>
      <c r="C1376" s="6" t="s">
        <v>2120</v>
      </c>
      <c r="D1376" s="8" t="s">
        <v>80</v>
      </c>
      <c r="E1376" s="6" t="s">
        <v>117</v>
      </c>
      <c r="F1376" s="6" t="s">
        <v>85</v>
      </c>
      <c r="G1376" s="11" t="s">
        <v>56</v>
      </c>
      <c r="I1376" s="10" t="s">
        <v>2121</v>
      </c>
      <c r="J1376" s="6" t="s">
        <v>2122</v>
      </c>
      <c r="K1376" s="12">
        <v>46120.812743055554</v>
      </c>
      <c r="L1376" s="6" t="e" cm="1">
        <f t="array" ref="L1376">LOOKUP(2^15,SEARCH(Tabela2[Palavras-Chave],Boletim4[[#This Row],[Objeto]],1),Tabela2[Palavras-Chave])</f>
        <v>#N/A</v>
      </c>
    </row>
    <row r="1377" spans="1:12" ht="57.6" hidden="1" x14ac:dyDescent="0.3">
      <c r="A1377" s="5">
        <v>18806122</v>
      </c>
      <c r="B1377" s="6" t="s">
        <v>2123</v>
      </c>
      <c r="C1377" s="6" t="s">
        <v>2124</v>
      </c>
      <c r="D1377" s="8" t="s">
        <v>80</v>
      </c>
      <c r="E1377" s="6" t="s">
        <v>2125</v>
      </c>
      <c r="F1377" s="6" t="s">
        <v>85</v>
      </c>
      <c r="G1377" s="11" t="s">
        <v>56</v>
      </c>
      <c r="I1377" s="10" t="s">
        <v>2126</v>
      </c>
      <c r="J1377" s="6" t="s">
        <v>2127</v>
      </c>
      <c r="K1377" s="12">
        <v>46120.814270833333</v>
      </c>
      <c r="L1377" s="6" t="e" cm="1">
        <f t="array" ref="L1377">LOOKUP(2^15,SEARCH(Tabela2[Palavras-Chave],Boletim4[[#This Row],[Objeto]],1),Tabela2[Palavras-Chave])</f>
        <v>#N/A</v>
      </c>
    </row>
    <row r="1378" spans="1:12" ht="43.2" hidden="1" x14ac:dyDescent="0.3">
      <c r="A1378" s="5">
        <v>18806303</v>
      </c>
      <c r="B1378" s="6" t="s">
        <v>3220</v>
      </c>
      <c r="C1378" s="6" t="s">
        <v>3221</v>
      </c>
      <c r="D1378" s="8" t="s">
        <v>80</v>
      </c>
      <c r="E1378" s="6" t="s">
        <v>108</v>
      </c>
      <c r="F1378" s="6" t="s">
        <v>85</v>
      </c>
      <c r="G1378" s="11" t="s">
        <v>56</v>
      </c>
      <c r="I1378" s="10" t="s">
        <v>3222</v>
      </c>
      <c r="J1378" s="6" t="s">
        <v>3223</v>
      </c>
      <c r="K1378" s="12">
        <v>46120.85119212963</v>
      </c>
      <c r="L1378" s="6" t="e" cm="1">
        <f t="array" ref="L1378">LOOKUP(2^15,SEARCH(Tabela2[Palavras-Chave],Boletim4[[#This Row],[Objeto]],1),Tabela2[Palavras-Chave])</f>
        <v>#N/A</v>
      </c>
    </row>
    <row r="1379" spans="1:12" ht="72" hidden="1" x14ac:dyDescent="0.3">
      <c r="A1379" s="5">
        <v>18806386</v>
      </c>
      <c r="B1379" s="6" t="s">
        <v>3224</v>
      </c>
      <c r="C1379" s="6" t="s">
        <v>3225</v>
      </c>
      <c r="D1379" s="8" t="s">
        <v>80</v>
      </c>
      <c r="E1379" s="6" t="s">
        <v>142</v>
      </c>
      <c r="F1379" s="6" t="s">
        <v>85</v>
      </c>
      <c r="G1379" s="11" t="s">
        <v>56</v>
      </c>
      <c r="I1379" s="10" t="s">
        <v>3226</v>
      </c>
      <c r="J1379" s="6" t="s">
        <v>3227</v>
      </c>
      <c r="K1379" s="12">
        <v>46120.860277777778</v>
      </c>
      <c r="L1379" s="6" t="e" cm="1">
        <f t="array" ref="L1379">LOOKUP(2^15,SEARCH(Tabela2[Palavras-Chave],Boletim4[[#This Row],[Objeto]],1),Tabela2[Palavras-Chave])</f>
        <v>#N/A</v>
      </c>
    </row>
    <row r="1380" spans="1:12" ht="43.2" hidden="1" x14ac:dyDescent="0.3">
      <c r="A1380" s="5">
        <v>18805320</v>
      </c>
      <c r="B1380" s="6" t="s">
        <v>3228</v>
      </c>
      <c r="C1380" s="6" t="s">
        <v>3229</v>
      </c>
      <c r="D1380" s="8" t="s">
        <v>80</v>
      </c>
      <c r="E1380" s="6" t="s">
        <v>3230</v>
      </c>
      <c r="F1380" s="6" t="s">
        <v>85</v>
      </c>
      <c r="G1380" s="11">
        <v>46136.375</v>
      </c>
      <c r="I1380" s="10" t="s">
        <v>3231</v>
      </c>
      <c r="J1380" s="6" t="s">
        <v>3232</v>
      </c>
      <c r="K1380" s="12">
        <v>46120.871516203704</v>
      </c>
      <c r="L1380" s="6" t="e" cm="1">
        <f t="array" ref="L1380">LOOKUP(2^15,SEARCH(Tabela2[Palavras-Chave],Boletim4[[#This Row],[Objeto]],1),Tabela2[Palavras-Chave])</f>
        <v>#N/A</v>
      </c>
    </row>
    <row r="1381" spans="1:12" ht="100.8" hidden="1" x14ac:dyDescent="0.3">
      <c r="A1381" s="5">
        <v>18793335</v>
      </c>
      <c r="B1381" s="6" t="s">
        <v>2128</v>
      </c>
      <c r="C1381" s="6" t="s">
        <v>245</v>
      </c>
      <c r="D1381" s="8" t="s">
        <v>81</v>
      </c>
      <c r="E1381" s="6" t="s">
        <v>122</v>
      </c>
      <c r="F1381" s="6" t="s">
        <v>85</v>
      </c>
      <c r="G1381" s="11" t="s">
        <v>56</v>
      </c>
      <c r="I1381" s="10" t="s">
        <v>2129</v>
      </c>
      <c r="J1381" s="6" t="s">
        <v>2130</v>
      </c>
      <c r="K1381" s="12">
        <v>46120.388935185183</v>
      </c>
      <c r="L1381" s="6" t="e" cm="1">
        <f t="array" ref="L1381">LOOKUP(2^15,SEARCH(Tabela2[Palavras-Chave],Boletim4[[#This Row],[Objeto]],1),Tabela2[Palavras-Chave])</f>
        <v>#N/A</v>
      </c>
    </row>
    <row r="1382" spans="1:12" ht="115.2" hidden="1" x14ac:dyDescent="0.3">
      <c r="A1382" s="5">
        <v>18802018</v>
      </c>
      <c r="B1382" s="6" t="s">
        <v>2131</v>
      </c>
      <c r="C1382" s="6" t="s">
        <v>2132</v>
      </c>
      <c r="D1382" s="8" t="s">
        <v>81</v>
      </c>
      <c r="E1382" s="6" t="s">
        <v>223</v>
      </c>
      <c r="F1382" s="6" t="s">
        <v>85</v>
      </c>
      <c r="G1382" s="11">
        <v>46134.322222222225</v>
      </c>
      <c r="I1382" s="10" t="s">
        <v>2133</v>
      </c>
      <c r="J1382" s="6" t="s">
        <v>2134</v>
      </c>
      <c r="K1382" s="12">
        <v>46120.445208333331</v>
      </c>
      <c r="L1382" s="6" t="e" cm="1">
        <f t="array" ref="L1382">LOOKUP(2^15,SEARCH(Tabela2[Palavras-Chave],Boletim4[[#This Row],[Objeto]],1),Tabela2[Palavras-Chave])</f>
        <v>#N/A</v>
      </c>
    </row>
    <row r="1383" spans="1:12" ht="86.4" hidden="1" x14ac:dyDescent="0.3">
      <c r="A1383" s="5">
        <v>18801503</v>
      </c>
      <c r="B1383" s="6" t="s">
        <v>2135</v>
      </c>
      <c r="C1383" s="6" t="s">
        <v>2136</v>
      </c>
      <c r="D1383" s="8" t="s">
        <v>81</v>
      </c>
      <c r="E1383" s="6" t="s">
        <v>122</v>
      </c>
      <c r="F1383" s="6" t="s">
        <v>85</v>
      </c>
      <c r="G1383" s="11" t="s">
        <v>56</v>
      </c>
      <c r="I1383" s="10" t="s">
        <v>2137</v>
      </c>
      <c r="J1383" s="6" t="s">
        <v>2138</v>
      </c>
      <c r="K1383" s="12">
        <v>46120.490682870368</v>
      </c>
      <c r="L1383" s="6" t="e" cm="1">
        <f t="array" ref="L1383">LOOKUP(2^15,SEARCH(Tabela2[Palavras-Chave],Boletim4[[#This Row],[Objeto]],1),Tabela2[Palavras-Chave])</f>
        <v>#N/A</v>
      </c>
    </row>
    <row r="1384" spans="1:12" ht="100.8" hidden="1" x14ac:dyDescent="0.3">
      <c r="A1384" s="5">
        <v>18801984</v>
      </c>
      <c r="B1384" s="6" t="s">
        <v>2139</v>
      </c>
      <c r="C1384" s="6" t="s">
        <v>2140</v>
      </c>
      <c r="D1384" s="8" t="s">
        <v>81</v>
      </c>
      <c r="E1384" s="6" t="s">
        <v>146</v>
      </c>
      <c r="F1384" s="6" t="s">
        <v>85</v>
      </c>
      <c r="G1384" s="11">
        <v>46135.333333333336</v>
      </c>
      <c r="I1384" s="10" t="s">
        <v>2141</v>
      </c>
      <c r="J1384" s="6" t="s">
        <v>2142</v>
      </c>
      <c r="K1384" s="12">
        <v>46120.492847222224</v>
      </c>
      <c r="L1384" s="6" t="e" cm="1">
        <f t="array" ref="L1384">LOOKUP(2^15,SEARCH(Tabela2[Palavras-Chave],Boletim4[[#This Row],[Objeto]],1),Tabela2[Palavras-Chave])</f>
        <v>#N/A</v>
      </c>
    </row>
    <row r="1385" spans="1:12" ht="158.4" hidden="1" x14ac:dyDescent="0.3">
      <c r="A1385" s="5">
        <v>18802299</v>
      </c>
      <c r="B1385" s="6" t="s">
        <v>170</v>
      </c>
      <c r="C1385" s="6" t="s">
        <v>104</v>
      </c>
      <c r="D1385" s="8" t="s">
        <v>81</v>
      </c>
      <c r="E1385" s="6" t="s">
        <v>3233</v>
      </c>
      <c r="F1385" s="6" t="s">
        <v>85</v>
      </c>
      <c r="G1385" s="11">
        <v>46132.375</v>
      </c>
      <c r="I1385" s="10" t="s">
        <v>3234</v>
      </c>
      <c r="J1385" s="6" t="s">
        <v>3235</v>
      </c>
      <c r="K1385" s="12">
        <v>46120.501979166664</v>
      </c>
      <c r="L1385" s="6" t="e" cm="1">
        <f t="array" ref="L1385">LOOKUP(2^15,SEARCH(Tabela2[Palavras-Chave],Boletim4[[#This Row],[Objeto]],1),Tabela2[Palavras-Chave])</f>
        <v>#N/A</v>
      </c>
    </row>
    <row r="1386" spans="1:12" ht="72" hidden="1" x14ac:dyDescent="0.3">
      <c r="A1386" s="5">
        <v>18697005</v>
      </c>
      <c r="B1386" s="6" t="s">
        <v>208</v>
      </c>
      <c r="C1386" s="6" t="s">
        <v>209</v>
      </c>
      <c r="D1386" s="8" t="s">
        <v>81</v>
      </c>
      <c r="E1386" s="6" t="s">
        <v>114</v>
      </c>
      <c r="F1386" s="6" t="s">
        <v>85</v>
      </c>
      <c r="G1386" s="11">
        <v>46126.357638888891</v>
      </c>
      <c r="I1386" s="10" t="s">
        <v>210</v>
      </c>
      <c r="J1386" s="6" t="s">
        <v>211</v>
      </c>
      <c r="K1386" s="12">
        <v>46120.523680555554</v>
      </c>
      <c r="L1386" s="6" t="e" cm="1">
        <f t="array" ref="L1386">LOOKUP(2^15,SEARCH(Tabela2[Palavras-Chave],Boletim4[[#This Row],[Objeto]],1),Tabela2[Palavras-Chave])</f>
        <v>#N/A</v>
      </c>
    </row>
    <row r="1387" spans="1:12" ht="86.4" hidden="1" x14ac:dyDescent="0.3">
      <c r="A1387" s="5">
        <v>18794644</v>
      </c>
      <c r="B1387" s="6" t="s">
        <v>201</v>
      </c>
      <c r="C1387" s="6" t="s">
        <v>202</v>
      </c>
      <c r="D1387" s="8" t="s">
        <v>81</v>
      </c>
      <c r="E1387" s="6" t="s">
        <v>2143</v>
      </c>
      <c r="F1387" s="6" t="s">
        <v>85</v>
      </c>
      <c r="G1387" s="11" t="s">
        <v>56</v>
      </c>
      <c r="I1387" s="10" t="s">
        <v>2144</v>
      </c>
      <c r="J1387" s="6" t="s">
        <v>2145</v>
      </c>
      <c r="K1387" s="12">
        <v>46120.523692129631</v>
      </c>
      <c r="L1387" s="6" t="e" cm="1">
        <f t="array" ref="L1387">LOOKUP(2^15,SEARCH(Tabela2[Palavras-Chave],Boletim4[[#This Row],[Objeto]],1),Tabela2[Palavras-Chave])</f>
        <v>#N/A</v>
      </c>
    </row>
    <row r="1388" spans="1:12" ht="115.2" hidden="1" x14ac:dyDescent="0.3">
      <c r="A1388" s="5">
        <v>18802898</v>
      </c>
      <c r="B1388" s="6" t="s">
        <v>408</v>
      </c>
      <c r="C1388" s="6" t="s">
        <v>199</v>
      </c>
      <c r="D1388" s="8" t="s">
        <v>81</v>
      </c>
      <c r="E1388" s="6" t="s">
        <v>2146</v>
      </c>
      <c r="F1388" s="6" t="s">
        <v>85</v>
      </c>
      <c r="G1388" s="11" t="s">
        <v>56</v>
      </c>
      <c r="I1388" s="10" t="s">
        <v>2147</v>
      </c>
      <c r="J1388" s="6" t="s">
        <v>2148</v>
      </c>
      <c r="K1388" s="12">
        <v>46120.523136574076</v>
      </c>
      <c r="L1388" s="6" t="e" cm="1">
        <f t="array" ref="L1388">LOOKUP(2^15,SEARCH(Tabela2[Palavras-Chave],Boletim4[[#This Row],[Objeto]],1),Tabela2[Palavras-Chave])</f>
        <v>#N/A</v>
      </c>
    </row>
    <row r="1389" spans="1:12" ht="115.2" hidden="1" x14ac:dyDescent="0.3">
      <c r="A1389" s="5">
        <v>18802024</v>
      </c>
      <c r="B1389" s="6" t="s">
        <v>2149</v>
      </c>
      <c r="C1389" s="6" t="s">
        <v>303</v>
      </c>
      <c r="D1389" s="8" t="s">
        <v>81</v>
      </c>
      <c r="E1389" s="6" t="s">
        <v>109</v>
      </c>
      <c r="F1389" s="6" t="s">
        <v>85</v>
      </c>
      <c r="G1389" s="11">
        <v>46132.329861111109</v>
      </c>
      <c r="I1389" s="10" t="s">
        <v>2150</v>
      </c>
      <c r="J1389" s="6" t="s">
        <v>2151</v>
      </c>
      <c r="K1389" s="12">
        <v>46120.526018518518</v>
      </c>
      <c r="L1389" s="6" t="e" cm="1">
        <f t="array" ref="L1389">LOOKUP(2^15,SEARCH(Tabela2[Palavras-Chave],Boletim4[[#This Row],[Objeto]],1),Tabela2[Palavras-Chave])</f>
        <v>#N/A</v>
      </c>
    </row>
    <row r="1390" spans="1:12" ht="86.4" hidden="1" x14ac:dyDescent="0.3">
      <c r="A1390" s="5">
        <v>18801502</v>
      </c>
      <c r="B1390" s="6" t="s">
        <v>2152</v>
      </c>
      <c r="C1390" s="6" t="s">
        <v>2153</v>
      </c>
      <c r="D1390" s="8" t="s">
        <v>81</v>
      </c>
      <c r="E1390" s="6" t="s">
        <v>121</v>
      </c>
      <c r="F1390" s="6" t="s">
        <v>85</v>
      </c>
      <c r="G1390" s="11" t="s">
        <v>56</v>
      </c>
      <c r="I1390" s="10" t="s">
        <v>2154</v>
      </c>
      <c r="J1390" s="6" t="s">
        <v>2155</v>
      </c>
      <c r="K1390" s="12">
        <v>46120.53429398148</v>
      </c>
      <c r="L1390" s="6" t="e" cm="1">
        <f t="array" ref="L1390">LOOKUP(2^15,SEARCH(Tabela2[Palavras-Chave],Boletim4[[#This Row],[Objeto]],1),Tabela2[Palavras-Chave])</f>
        <v>#N/A</v>
      </c>
    </row>
    <row r="1391" spans="1:12" ht="273.60000000000002" hidden="1" x14ac:dyDescent="0.3">
      <c r="A1391" s="5">
        <v>18801635</v>
      </c>
      <c r="B1391" s="6" t="s">
        <v>2156</v>
      </c>
      <c r="C1391" s="6" t="s">
        <v>2157</v>
      </c>
      <c r="D1391" s="8" t="s">
        <v>81</v>
      </c>
      <c r="E1391" s="6" t="s">
        <v>155</v>
      </c>
      <c r="F1391" s="6" t="s">
        <v>85</v>
      </c>
      <c r="G1391" s="11" t="s">
        <v>56</v>
      </c>
      <c r="I1391" s="10" t="s">
        <v>2158</v>
      </c>
      <c r="J1391" s="6" t="s">
        <v>2159</v>
      </c>
      <c r="K1391" s="12">
        <v>46120.536898148152</v>
      </c>
      <c r="L1391" s="6" t="e" cm="1">
        <f t="array" ref="L1391">LOOKUP(2^15,SEARCH(Tabela2[Palavras-Chave],Boletim4[[#This Row],[Objeto]],1),Tabela2[Palavras-Chave])</f>
        <v>#N/A</v>
      </c>
    </row>
    <row r="1392" spans="1:12" ht="72" hidden="1" x14ac:dyDescent="0.3">
      <c r="A1392" s="5">
        <v>18799620</v>
      </c>
      <c r="B1392" s="6" t="s">
        <v>2160</v>
      </c>
      <c r="C1392" s="6" t="s">
        <v>2161</v>
      </c>
      <c r="D1392" s="8" t="s">
        <v>81</v>
      </c>
      <c r="E1392" s="6" t="s">
        <v>108</v>
      </c>
      <c r="F1392" s="6" t="s">
        <v>85</v>
      </c>
      <c r="G1392" s="11">
        <v>46135.375</v>
      </c>
      <c r="I1392" s="10" t="s">
        <v>2162</v>
      </c>
      <c r="J1392" s="6" t="s">
        <v>2163</v>
      </c>
      <c r="K1392" s="12">
        <v>46120.572268518517</v>
      </c>
      <c r="L1392" s="6" t="e" cm="1">
        <f t="array" ref="L1392">LOOKUP(2^15,SEARCH(Tabela2[Palavras-Chave],Boletim4[[#This Row],[Objeto]],1),Tabela2[Palavras-Chave])</f>
        <v>#N/A</v>
      </c>
    </row>
    <row r="1393" spans="1:12" ht="115.2" hidden="1" x14ac:dyDescent="0.3">
      <c r="A1393" s="5">
        <v>18797081</v>
      </c>
      <c r="B1393" s="6" t="s">
        <v>2164</v>
      </c>
      <c r="C1393" s="6" t="s">
        <v>2165</v>
      </c>
      <c r="D1393" s="8" t="s">
        <v>81</v>
      </c>
      <c r="E1393" s="6" t="s">
        <v>2097</v>
      </c>
      <c r="F1393" s="6" t="s">
        <v>85</v>
      </c>
      <c r="G1393" s="11">
        <v>46135.291666666664</v>
      </c>
      <c r="I1393" s="10" t="s">
        <v>2166</v>
      </c>
      <c r="J1393" s="6" t="s">
        <v>2167</v>
      </c>
      <c r="K1393" s="12">
        <v>46120.586898148147</v>
      </c>
      <c r="L1393" s="6" t="e" cm="1">
        <f t="array" ref="L1393">LOOKUP(2^15,SEARCH(Tabela2[Palavras-Chave],Boletim4[[#This Row],[Objeto]],1),Tabela2[Palavras-Chave])</f>
        <v>#N/A</v>
      </c>
    </row>
    <row r="1394" spans="1:12" ht="259.2" hidden="1" x14ac:dyDescent="0.3">
      <c r="A1394" s="5">
        <v>18803840</v>
      </c>
      <c r="B1394" s="6" t="s">
        <v>2168</v>
      </c>
      <c r="C1394" s="6" t="s">
        <v>2169</v>
      </c>
      <c r="D1394" s="8" t="s">
        <v>81</v>
      </c>
      <c r="E1394" s="6" t="s">
        <v>3236</v>
      </c>
      <c r="F1394" s="6" t="s">
        <v>85</v>
      </c>
      <c r="G1394" s="11" t="s">
        <v>56</v>
      </c>
      <c r="I1394" s="10" t="s">
        <v>3237</v>
      </c>
      <c r="J1394" s="6" t="s">
        <v>3238</v>
      </c>
      <c r="K1394" s="12">
        <v>46120.592442129629</v>
      </c>
      <c r="L1394" s="6" t="e" cm="1">
        <f t="array" ref="L1394">LOOKUP(2^15,SEARCH(Tabela2[Palavras-Chave],Boletim4[[#This Row],[Objeto]],1),Tabela2[Palavras-Chave])</f>
        <v>#N/A</v>
      </c>
    </row>
    <row r="1395" spans="1:12" ht="144" x14ac:dyDescent="0.3">
      <c r="A1395" s="5">
        <v>18793553</v>
      </c>
      <c r="B1395" s="6" t="s">
        <v>2168</v>
      </c>
      <c r="C1395" s="6" t="s">
        <v>2169</v>
      </c>
      <c r="D1395" s="8" t="s">
        <v>81</v>
      </c>
      <c r="E1395" s="6" t="s">
        <v>2170</v>
      </c>
      <c r="F1395" s="6" t="s">
        <v>85</v>
      </c>
      <c r="G1395" s="11" t="s">
        <v>56</v>
      </c>
      <c r="H1395" s="23">
        <v>2</v>
      </c>
      <c r="I1395" s="10" t="s">
        <v>2171</v>
      </c>
      <c r="J1395" s="6" t="s">
        <v>2172</v>
      </c>
      <c r="K1395" s="12">
        <v>46120.596597222226</v>
      </c>
      <c r="L1395" s="6" t="str" cm="1">
        <f t="array" ref="L1395">LOOKUP(2^15,SEARCH(Tabela2[Palavras-Chave],Boletim4[[#This Row],[Objeto]],1),Tabela2[Palavras-Chave])</f>
        <v>JUNTA</v>
      </c>
    </row>
    <row r="1396" spans="1:12" ht="86.4" hidden="1" x14ac:dyDescent="0.3">
      <c r="A1396" s="5">
        <v>18803576</v>
      </c>
      <c r="B1396" s="6" t="s">
        <v>2173</v>
      </c>
      <c r="C1396" s="6" t="s">
        <v>2174</v>
      </c>
      <c r="D1396" s="8" t="s">
        <v>81</v>
      </c>
      <c r="E1396" s="6" t="s">
        <v>2175</v>
      </c>
      <c r="F1396" s="6" t="s">
        <v>85</v>
      </c>
      <c r="G1396" s="11" t="s">
        <v>56</v>
      </c>
      <c r="I1396" s="10" t="s">
        <v>2176</v>
      </c>
      <c r="J1396" s="6" t="s">
        <v>2177</v>
      </c>
      <c r="K1396" s="12">
        <v>46120.603182870371</v>
      </c>
      <c r="L1396" s="6" t="e" cm="1">
        <f t="array" ref="L1396">LOOKUP(2^15,SEARCH(Tabela2[Palavras-Chave],Boletim4[[#This Row],[Objeto]],1),Tabela2[Palavras-Chave])</f>
        <v>#N/A</v>
      </c>
    </row>
    <row r="1397" spans="1:12" ht="43.2" hidden="1" x14ac:dyDescent="0.3">
      <c r="A1397" s="5">
        <v>18804149</v>
      </c>
      <c r="B1397" s="6" t="s">
        <v>3239</v>
      </c>
      <c r="C1397" s="6" t="s">
        <v>3240</v>
      </c>
      <c r="D1397" s="8" t="s">
        <v>81</v>
      </c>
      <c r="E1397" s="6" t="s">
        <v>3241</v>
      </c>
      <c r="F1397" s="6" t="s">
        <v>85</v>
      </c>
      <c r="G1397" s="11">
        <v>46136.334027777775</v>
      </c>
      <c r="I1397" s="10" t="s">
        <v>3242</v>
      </c>
      <c r="J1397" s="6" t="s">
        <v>90</v>
      </c>
      <c r="K1397" s="12">
        <v>46120.612893518519</v>
      </c>
      <c r="L1397" s="6" t="e" cm="1">
        <f t="array" ref="L1397">LOOKUP(2^15,SEARCH(Tabela2[Palavras-Chave],Boletim4[[#This Row],[Objeto]],1),Tabela2[Palavras-Chave])</f>
        <v>#N/A</v>
      </c>
    </row>
    <row r="1398" spans="1:12" ht="259.2" hidden="1" x14ac:dyDescent="0.3">
      <c r="A1398" s="5">
        <v>18793141</v>
      </c>
      <c r="B1398" s="6" t="s">
        <v>3243</v>
      </c>
      <c r="C1398" s="6" t="s">
        <v>3244</v>
      </c>
      <c r="D1398" s="8" t="s">
        <v>81</v>
      </c>
      <c r="E1398" s="6" t="s">
        <v>142</v>
      </c>
      <c r="F1398" s="6" t="s">
        <v>85</v>
      </c>
      <c r="G1398" s="11" t="s">
        <v>56</v>
      </c>
      <c r="I1398" s="10" t="s">
        <v>3245</v>
      </c>
      <c r="J1398" s="6" t="s">
        <v>3246</v>
      </c>
      <c r="K1398" s="12">
        <v>46120.617442129631</v>
      </c>
      <c r="L1398" s="6" t="e" cm="1">
        <f t="array" ref="L1398">LOOKUP(2^15,SEARCH(Tabela2[Palavras-Chave],Boletim4[[#This Row],[Objeto]],1),Tabela2[Palavras-Chave])</f>
        <v>#N/A</v>
      </c>
    </row>
    <row r="1399" spans="1:12" ht="100.8" hidden="1" x14ac:dyDescent="0.3">
      <c r="A1399" s="5">
        <v>18798927</v>
      </c>
      <c r="B1399" s="6" t="s">
        <v>2178</v>
      </c>
      <c r="C1399" s="6" t="s">
        <v>2179</v>
      </c>
      <c r="D1399" s="8" t="s">
        <v>81</v>
      </c>
      <c r="E1399" s="6" t="s">
        <v>106</v>
      </c>
      <c r="F1399" s="6" t="s">
        <v>85</v>
      </c>
      <c r="G1399" s="11">
        <v>46142.374305555553</v>
      </c>
      <c r="I1399" s="10" t="s">
        <v>2180</v>
      </c>
      <c r="J1399" s="6" t="s">
        <v>2181</v>
      </c>
      <c r="K1399" s="12">
        <v>46120.618125000001</v>
      </c>
      <c r="L1399" s="6" t="e" cm="1">
        <f t="array" ref="L1399">LOOKUP(2^15,SEARCH(Tabela2[Palavras-Chave],Boletim4[[#This Row],[Objeto]],1),Tabela2[Palavras-Chave])</f>
        <v>#N/A</v>
      </c>
    </row>
    <row r="1400" spans="1:12" ht="100.8" hidden="1" x14ac:dyDescent="0.3">
      <c r="A1400" s="5">
        <v>18801996</v>
      </c>
      <c r="B1400" s="6" t="s">
        <v>2182</v>
      </c>
      <c r="C1400" s="6" t="s">
        <v>2183</v>
      </c>
      <c r="D1400" s="8" t="s">
        <v>81</v>
      </c>
      <c r="E1400" s="6" t="s">
        <v>3247</v>
      </c>
      <c r="F1400" s="6" t="s">
        <v>85</v>
      </c>
      <c r="G1400" s="11">
        <v>46135.374305555553</v>
      </c>
      <c r="I1400" s="10" t="s">
        <v>3248</v>
      </c>
      <c r="J1400" s="6" t="s">
        <v>3249</v>
      </c>
      <c r="K1400" s="12">
        <v>46120.643796296295</v>
      </c>
      <c r="L1400" s="6" t="e" cm="1">
        <f t="array" ref="L1400">LOOKUP(2^15,SEARCH(Tabela2[Palavras-Chave],Boletim4[[#This Row],[Objeto]],1),Tabela2[Palavras-Chave])</f>
        <v>#N/A</v>
      </c>
    </row>
    <row r="1401" spans="1:12" ht="100.8" hidden="1" x14ac:dyDescent="0.3">
      <c r="A1401" s="5">
        <v>18804051</v>
      </c>
      <c r="B1401" s="6" t="s">
        <v>2182</v>
      </c>
      <c r="C1401" s="6" t="s">
        <v>2183</v>
      </c>
      <c r="D1401" s="8" t="s">
        <v>81</v>
      </c>
      <c r="E1401" s="6" t="s">
        <v>2184</v>
      </c>
      <c r="F1401" s="6" t="s">
        <v>85</v>
      </c>
      <c r="G1401" s="11">
        <v>46134.374305555553</v>
      </c>
      <c r="I1401" s="10" t="s">
        <v>2185</v>
      </c>
      <c r="J1401" s="6" t="s">
        <v>2186</v>
      </c>
      <c r="K1401" s="12">
        <v>46120.651053240741</v>
      </c>
      <c r="L1401" s="6" t="e" cm="1">
        <f t="array" ref="L1401">LOOKUP(2^15,SEARCH(Tabela2[Palavras-Chave],Boletim4[[#This Row],[Objeto]],1),Tabela2[Palavras-Chave])</f>
        <v>#N/A</v>
      </c>
    </row>
    <row r="1402" spans="1:12" ht="259.2" hidden="1" x14ac:dyDescent="0.3">
      <c r="A1402" s="5">
        <v>18801629</v>
      </c>
      <c r="B1402" s="6" t="s">
        <v>2187</v>
      </c>
      <c r="C1402" s="6" t="s">
        <v>2188</v>
      </c>
      <c r="D1402" s="8" t="s">
        <v>81</v>
      </c>
      <c r="E1402" s="6" t="s">
        <v>165</v>
      </c>
      <c r="F1402" s="6" t="s">
        <v>85</v>
      </c>
      <c r="G1402" s="11" t="s">
        <v>56</v>
      </c>
      <c r="I1402" s="10" t="s">
        <v>2189</v>
      </c>
      <c r="J1402" s="6" t="s">
        <v>2190</v>
      </c>
      <c r="K1402" s="12">
        <v>46120.659768518519</v>
      </c>
      <c r="L1402" s="6" t="e" cm="1">
        <f t="array" ref="L1402">LOOKUP(2^15,SEARCH(Tabela2[Palavras-Chave],Boletim4[[#This Row],[Objeto]],1),Tabela2[Palavras-Chave])</f>
        <v>#N/A</v>
      </c>
    </row>
    <row r="1403" spans="1:12" ht="244.8" hidden="1" x14ac:dyDescent="0.3">
      <c r="A1403" s="5">
        <v>18801655</v>
      </c>
      <c r="B1403" s="6" t="s">
        <v>2191</v>
      </c>
      <c r="C1403" s="6" t="s">
        <v>2192</v>
      </c>
      <c r="D1403" s="8" t="s">
        <v>81</v>
      </c>
      <c r="E1403" s="6" t="s">
        <v>192</v>
      </c>
      <c r="F1403" s="6" t="s">
        <v>85</v>
      </c>
      <c r="G1403" s="11" t="s">
        <v>56</v>
      </c>
      <c r="I1403" s="10" t="s">
        <v>2193</v>
      </c>
      <c r="J1403" s="6" t="s">
        <v>2194</v>
      </c>
      <c r="K1403" s="12">
        <v>46120.660891203705</v>
      </c>
      <c r="L1403" s="6" t="e" cm="1">
        <f t="array" ref="L1403">LOOKUP(2^15,SEARCH(Tabela2[Palavras-Chave],Boletim4[[#This Row],[Objeto]],1),Tabela2[Palavras-Chave])</f>
        <v>#N/A</v>
      </c>
    </row>
    <row r="1404" spans="1:12" ht="86.4" hidden="1" x14ac:dyDescent="0.3">
      <c r="A1404" s="5">
        <v>18798294</v>
      </c>
      <c r="B1404" s="6" t="s">
        <v>2195</v>
      </c>
      <c r="C1404" s="6" t="s">
        <v>2196</v>
      </c>
      <c r="D1404" s="8" t="s">
        <v>81</v>
      </c>
      <c r="E1404" s="6" t="s">
        <v>2197</v>
      </c>
      <c r="F1404" s="6" t="s">
        <v>85</v>
      </c>
      <c r="G1404" s="11">
        <v>46134.375</v>
      </c>
      <c r="I1404" s="10" t="s">
        <v>2198</v>
      </c>
      <c r="J1404" s="6" t="s">
        <v>2199</v>
      </c>
      <c r="K1404" s="12">
        <v>46120.690335648149</v>
      </c>
      <c r="L1404" s="6" t="e" cm="1">
        <f t="array" ref="L1404">LOOKUP(2^15,SEARCH(Tabela2[Palavras-Chave],Boletim4[[#This Row],[Objeto]],1),Tabela2[Palavras-Chave])</f>
        <v>#N/A</v>
      </c>
    </row>
    <row r="1405" spans="1:12" ht="86.4" hidden="1" x14ac:dyDescent="0.3">
      <c r="A1405" s="5">
        <v>18805233</v>
      </c>
      <c r="B1405" s="6" t="s">
        <v>2200</v>
      </c>
      <c r="C1405" s="6" t="s">
        <v>2201</v>
      </c>
      <c r="D1405" s="8" t="s">
        <v>81</v>
      </c>
      <c r="E1405" s="6" t="s">
        <v>2202</v>
      </c>
      <c r="F1405" s="6" t="s">
        <v>85</v>
      </c>
      <c r="G1405" s="11" t="s">
        <v>56</v>
      </c>
      <c r="I1405" s="10" t="s">
        <v>2203</v>
      </c>
      <c r="J1405" s="6" t="s">
        <v>2204</v>
      </c>
      <c r="K1405" s="12">
        <v>46120.721574074072</v>
      </c>
      <c r="L1405" s="6" t="e" cm="1">
        <f t="array" ref="L1405">LOOKUP(2^15,SEARCH(Tabela2[Palavras-Chave],Boletim4[[#This Row],[Objeto]],1),Tabela2[Palavras-Chave])</f>
        <v>#N/A</v>
      </c>
    </row>
    <row r="1406" spans="1:12" ht="100.8" hidden="1" x14ac:dyDescent="0.3">
      <c r="A1406" s="5">
        <v>18804193</v>
      </c>
      <c r="B1406" s="6" t="s">
        <v>2205</v>
      </c>
      <c r="C1406" s="6" t="s">
        <v>403</v>
      </c>
      <c r="D1406" s="8" t="s">
        <v>81</v>
      </c>
      <c r="E1406" s="6" t="s">
        <v>108</v>
      </c>
      <c r="F1406" s="6" t="s">
        <v>85</v>
      </c>
      <c r="G1406" s="11" t="s">
        <v>56</v>
      </c>
      <c r="I1406" s="10" t="s">
        <v>2206</v>
      </c>
      <c r="J1406" s="6" t="s">
        <v>2207</v>
      </c>
      <c r="K1406" s="12">
        <v>46120.711168981485</v>
      </c>
      <c r="L1406" s="6" t="e" cm="1">
        <f t="array" ref="L1406">LOOKUP(2^15,SEARCH(Tabela2[Palavras-Chave],Boletim4[[#This Row],[Objeto]],1),Tabela2[Palavras-Chave])</f>
        <v>#N/A</v>
      </c>
    </row>
    <row r="1407" spans="1:12" ht="244.8" hidden="1" x14ac:dyDescent="0.3">
      <c r="A1407" s="5">
        <v>18805329</v>
      </c>
      <c r="B1407" s="6" t="s">
        <v>3250</v>
      </c>
      <c r="C1407" s="6" t="s">
        <v>3251</v>
      </c>
      <c r="D1407" s="8" t="s">
        <v>81</v>
      </c>
      <c r="E1407" s="6" t="s">
        <v>3252</v>
      </c>
      <c r="F1407" s="6" t="s">
        <v>85</v>
      </c>
      <c r="G1407" s="11" t="s">
        <v>56</v>
      </c>
      <c r="I1407" s="10" t="s">
        <v>3253</v>
      </c>
      <c r="J1407" s="6" t="s">
        <v>3254</v>
      </c>
      <c r="K1407" s="12">
        <v>46120.728078703702</v>
      </c>
      <c r="L1407" s="6" t="e" cm="1">
        <f t="array" ref="L1407">LOOKUP(2^15,SEARCH(Tabela2[Palavras-Chave],Boletim4[[#This Row],[Objeto]],1),Tabela2[Palavras-Chave])</f>
        <v>#N/A</v>
      </c>
    </row>
    <row r="1408" spans="1:12" ht="144" hidden="1" x14ac:dyDescent="0.3">
      <c r="A1408" s="5">
        <v>18804690</v>
      </c>
      <c r="B1408" s="6" t="s">
        <v>2208</v>
      </c>
      <c r="C1408" s="6" t="s">
        <v>2209</v>
      </c>
      <c r="D1408" s="8" t="s">
        <v>81</v>
      </c>
      <c r="E1408" s="6" t="s">
        <v>108</v>
      </c>
      <c r="F1408" s="6" t="s">
        <v>85</v>
      </c>
      <c r="G1408" s="11">
        <v>46162.375</v>
      </c>
      <c r="I1408" s="10" t="s">
        <v>2210</v>
      </c>
      <c r="J1408" s="6" t="s">
        <v>90</v>
      </c>
      <c r="K1408" s="12">
        <v>46120.729120370372</v>
      </c>
      <c r="L1408" s="6" t="e" cm="1">
        <f t="array" ref="L1408">LOOKUP(2^15,SEARCH(Tabela2[Palavras-Chave],Boletim4[[#This Row],[Objeto]],1),Tabela2[Palavras-Chave])</f>
        <v>#N/A</v>
      </c>
    </row>
    <row r="1409" spans="1:12" ht="115.2" hidden="1" x14ac:dyDescent="0.3">
      <c r="A1409" s="5">
        <v>18804022</v>
      </c>
      <c r="B1409" s="6" t="s">
        <v>2211</v>
      </c>
      <c r="C1409" s="6" t="s">
        <v>2174</v>
      </c>
      <c r="D1409" s="8" t="s">
        <v>81</v>
      </c>
      <c r="E1409" s="6" t="s">
        <v>1499</v>
      </c>
      <c r="F1409" s="6" t="s">
        <v>85</v>
      </c>
      <c r="G1409" s="11">
        <v>46135.354166666664</v>
      </c>
      <c r="I1409" s="10" t="s">
        <v>2212</v>
      </c>
      <c r="J1409" s="6" t="s">
        <v>2213</v>
      </c>
      <c r="K1409" s="12">
        <v>46120.733368055553</v>
      </c>
      <c r="L1409" s="6" t="e" cm="1">
        <f t="array" ref="L1409">LOOKUP(2^15,SEARCH(Tabela2[Palavras-Chave],Boletim4[[#This Row],[Objeto]],1),Tabela2[Palavras-Chave])</f>
        <v>#N/A</v>
      </c>
    </row>
    <row r="1410" spans="1:12" ht="86.4" hidden="1" x14ac:dyDescent="0.3">
      <c r="A1410" s="5">
        <v>18805312</v>
      </c>
      <c r="B1410" s="6" t="s">
        <v>2214</v>
      </c>
      <c r="C1410" s="6" t="s">
        <v>2215</v>
      </c>
      <c r="D1410" s="8" t="s">
        <v>81</v>
      </c>
      <c r="E1410" s="6" t="s">
        <v>223</v>
      </c>
      <c r="F1410" s="6" t="s">
        <v>85</v>
      </c>
      <c r="G1410" s="11" t="s">
        <v>56</v>
      </c>
      <c r="I1410" s="10" t="s">
        <v>2216</v>
      </c>
      <c r="J1410" s="6" t="s">
        <v>2217</v>
      </c>
      <c r="K1410" s="12">
        <v>46120.733773148146</v>
      </c>
      <c r="L1410" s="6" t="e" cm="1">
        <f t="array" ref="L1410">LOOKUP(2^15,SEARCH(Tabela2[Palavras-Chave],Boletim4[[#This Row],[Objeto]],1),Tabela2[Palavras-Chave])</f>
        <v>#N/A</v>
      </c>
    </row>
    <row r="1411" spans="1:12" ht="100.8" hidden="1" x14ac:dyDescent="0.3">
      <c r="A1411" s="5">
        <v>18802063</v>
      </c>
      <c r="B1411" s="6" t="s">
        <v>2218</v>
      </c>
      <c r="C1411" s="6" t="s">
        <v>2219</v>
      </c>
      <c r="D1411" s="8" t="s">
        <v>81</v>
      </c>
      <c r="E1411" s="6" t="s">
        <v>205</v>
      </c>
      <c r="F1411" s="6" t="s">
        <v>85</v>
      </c>
      <c r="G1411" s="11">
        <v>46160.305555555555</v>
      </c>
      <c r="I1411" s="10" t="s">
        <v>2220</v>
      </c>
      <c r="J1411" s="6" t="s">
        <v>2221</v>
      </c>
      <c r="K1411" s="12">
        <v>46120.746354166666</v>
      </c>
      <c r="L1411" s="6" t="e" cm="1">
        <f t="array" ref="L1411">LOOKUP(2^15,SEARCH(Tabela2[Palavras-Chave],Boletim4[[#This Row],[Objeto]],1),Tabela2[Palavras-Chave])</f>
        <v>#N/A</v>
      </c>
    </row>
    <row r="1412" spans="1:12" ht="244.8" x14ac:dyDescent="0.3">
      <c r="A1412" s="5">
        <v>18801675</v>
      </c>
      <c r="B1412" s="6" t="s">
        <v>2222</v>
      </c>
      <c r="C1412" s="6" t="s">
        <v>405</v>
      </c>
      <c r="D1412" s="8" t="s">
        <v>81</v>
      </c>
      <c r="E1412" s="6" t="s">
        <v>124</v>
      </c>
      <c r="F1412" s="6" t="s">
        <v>85</v>
      </c>
      <c r="G1412" s="11" t="s">
        <v>56</v>
      </c>
      <c r="H1412" s="23">
        <v>2</v>
      </c>
      <c r="I1412" s="10" t="s">
        <v>2223</v>
      </c>
      <c r="J1412" s="6" t="s">
        <v>2224</v>
      </c>
      <c r="K1412" s="12">
        <v>46120.761064814818</v>
      </c>
      <c r="L1412" s="6" t="str" cm="1">
        <f t="array" ref="L1412">LOOKUP(2^15,SEARCH(Tabela2[Palavras-Chave],Boletim4[[#This Row],[Objeto]],1),Tabela2[Palavras-Chave])</f>
        <v>TANQUE</v>
      </c>
    </row>
    <row r="1413" spans="1:12" ht="100.8" hidden="1" x14ac:dyDescent="0.3">
      <c r="A1413" s="5">
        <v>18801918</v>
      </c>
      <c r="B1413" s="6" t="s">
        <v>2225</v>
      </c>
      <c r="C1413" s="6" t="s">
        <v>2226</v>
      </c>
      <c r="D1413" s="8" t="s">
        <v>81</v>
      </c>
      <c r="E1413" s="6" t="s">
        <v>1849</v>
      </c>
      <c r="F1413" s="6" t="s">
        <v>85</v>
      </c>
      <c r="G1413" s="11">
        <v>46147.582638888889</v>
      </c>
      <c r="I1413" s="10" t="s">
        <v>2227</v>
      </c>
      <c r="J1413" s="6" t="s">
        <v>2228</v>
      </c>
      <c r="K1413" s="12">
        <v>46120.772662037038</v>
      </c>
      <c r="L1413" s="6" t="e" cm="1">
        <f t="array" ref="L1413">LOOKUP(2^15,SEARCH(Tabela2[Palavras-Chave],Boletim4[[#This Row],[Objeto]],1),Tabela2[Palavras-Chave])</f>
        <v>#N/A</v>
      </c>
    </row>
    <row r="1414" spans="1:12" ht="43.2" hidden="1" x14ac:dyDescent="0.3">
      <c r="A1414" s="5">
        <v>18805909</v>
      </c>
      <c r="B1414" s="6" t="s">
        <v>2229</v>
      </c>
      <c r="C1414" s="6" t="s">
        <v>2230</v>
      </c>
      <c r="D1414" s="8" t="s">
        <v>81</v>
      </c>
      <c r="E1414" s="6" t="s">
        <v>2231</v>
      </c>
      <c r="F1414" s="6" t="s">
        <v>85</v>
      </c>
      <c r="G1414" s="11" t="s">
        <v>56</v>
      </c>
      <c r="I1414" s="10" t="s">
        <v>2232</v>
      </c>
      <c r="J1414" s="6" t="s">
        <v>2233</v>
      </c>
      <c r="K1414" s="12">
        <v>46120.785000000003</v>
      </c>
      <c r="L1414" s="6" t="e" cm="1">
        <f t="array" ref="L1414">LOOKUP(2^15,SEARCH(Tabela2[Palavras-Chave],Boletim4[[#This Row],[Objeto]],1),Tabela2[Palavras-Chave])</f>
        <v>#N/A</v>
      </c>
    </row>
    <row r="1415" spans="1:12" ht="57.6" hidden="1" x14ac:dyDescent="0.3">
      <c r="A1415" s="5">
        <v>18766991</v>
      </c>
      <c r="B1415" s="6" t="s">
        <v>2234</v>
      </c>
      <c r="C1415" s="6" t="s">
        <v>2235</v>
      </c>
      <c r="D1415" s="8" t="s">
        <v>81</v>
      </c>
      <c r="E1415" s="6" t="s">
        <v>337</v>
      </c>
      <c r="F1415" s="6" t="s">
        <v>85</v>
      </c>
      <c r="G1415" s="11" t="s">
        <v>56</v>
      </c>
      <c r="I1415" s="10" t="s">
        <v>2236</v>
      </c>
      <c r="J1415" s="6" t="s">
        <v>2237</v>
      </c>
      <c r="K1415" s="12">
        <v>46120.789618055554</v>
      </c>
      <c r="L1415" s="6" t="e" cm="1">
        <f t="array" ref="L1415">LOOKUP(2^15,SEARCH(Tabela2[Palavras-Chave],Boletim4[[#This Row],[Objeto]],1),Tabela2[Palavras-Chave])</f>
        <v>#N/A</v>
      </c>
    </row>
    <row r="1416" spans="1:12" ht="72" hidden="1" x14ac:dyDescent="0.3">
      <c r="A1416" s="5">
        <v>18799617</v>
      </c>
      <c r="B1416" s="6" t="s">
        <v>2164</v>
      </c>
      <c r="C1416" s="6" t="s">
        <v>2165</v>
      </c>
      <c r="D1416" s="8" t="s">
        <v>81</v>
      </c>
      <c r="E1416" s="6" t="s">
        <v>146</v>
      </c>
      <c r="F1416" s="6" t="s">
        <v>85</v>
      </c>
      <c r="G1416" s="11">
        <v>46135.333333333336</v>
      </c>
      <c r="I1416" s="10" t="s">
        <v>2166</v>
      </c>
      <c r="J1416" s="6" t="s">
        <v>2238</v>
      </c>
      <c r="K1416" s="12">
        <v>46120.829895833333</v>
      </c>
      <c r="L1416" s="6" t="e" cm="1">
        <f t="array" ref="L1416">LOOKUP(2^15,SEARCH(Tabela2[Palavras-Chave],Boletim4[[#This Row],[Objeto]],1),Tabela2[Palavras-Chave])</f>
        <v>#N/A</v>
      </c>
    </row>
    <row r="1417" spans="1:12" ht="72" hidden="1" x14ac:dyDescent="0.3">
      <c r="A1417" s="5">
        <v>18806276</v>
      </c>
      <c r="B1417" s="6" t="s">
        <v>427</v>
      </c>
      <c r="C1417" s="6" t="s">
        <v>428</v>
      </c>
      <c r="D1417" s="8" t="s">
        <v>81</v>
      </c>
      <c r="E1417" s="6" t="s">
        <v>120</v>
      </c>
      <c r="F1417" s="6" t="s">
        <v>85</v>
      </c>
      <c r="G1417" s="11">
        <v>46134</v>
      </c>
      <c r="I1417" s="10" t="s">
        <v>2239</v>
      </c>
      <c r="J1417" s="6" t="s">
        <v>2240</v>
      </c>
      <c r="K1417" s="12">
        <v>46120.840312499997</v>
      </c>
      <c r="L1417" s="6" t="e" cm="1">
        <f t="array" ref="L1417">LOOKUP(2^15,SEARCH(Tabela2[Palavras-Chave],Boletim4[[#This Row],[Objeto]],1),Tabela2[Palavras-Chave])</f>
        <v>#N/A</v>
      </c>
    </row>
    <row r="1418" spans="1:12" ht="86.4" hidden="1" x14ac:dyDescent="0.3">
      <c r="A1418" s="5">
        <v>18803573</v>
      </c>
      <c r="B1418" s="6" t="s">
        <v>2211</v>
      </c>
      <c r="C1418" s="6" t="s">
        <v>2174</v>
      </c>
      <c r="D1418" s="8" t="s">
        <v>81</v>
      </c>
      <c r="E1418" s="6" t="s">
        <v>212</v>
      </c>
      <c r="F1418" s="6" t="s">
        <v>85</v>
      </c>
      <c r="G1418" s="11" t="s">
        <v>56</v>
      </c>
      <c r="I1418" s="10" t="s">
        <v>2241</v>
      </c>
      <c r="J1418" s="6" t="s">
        <v>2242</v>
      </c>
      <c r="K1418" s="12">
        <v>46120.863749999997</v>
      </c>
      <c r="L1418" s="6" t="e" cm="1">
        <f t="array" ref="L1418">LOOKUP(2^15,SEARCH(Tabela2[Palavras-Chave],Boletim4[[#This Row],[Objeto]],1),Tabela2[Palavras-Chave])</f>
        <v>#N/A</v>
      </c>
    </row>
    <row r="1419" spans="1:12" ht="57.6" hidden="1" x14ac:dyDescent="0.3">
      <c r="A1419" s="5">
        <v>18804700</v>
      </c>
      <c r="B1419" s="6" t="s">
        <v>2243</v>
      </c>
      <c r="C1419" s="6" t="s">
        <v>2244</v>
      </c>
      <c r="D1419" s="8" t="s">
        <v>81</v>
      </c>
      <c r="E1419" s="6" t="s">
        <v>2245</v>
      </c>
      <c r="F1419" s="6" t="s">
        <v>85</v>
      </c>
      <c r="G1419" s="11">
        <v>46136.334027777775</v>
      </c>
      <c r="I1419" s="10" t="s">
        <v>2246</v>
      </c>
      <c r="J1419" s="6" t="s">
        <v>90</v>
      </c>
      <c r="K1419" s="12">
        <v>46120.869386574072</v>
      </c>
      <c r="L1419" s="6" t="e" cm="1">
        <f t="array" ref="L1419">LOOKUP(2^15,SEARCH(Tabela2[Palavras-Chave],Boletim4[[#This Row],[Objeto]],1),Tabela2[Palavras-Chave])</f>
        <v>#N/A</v>
      </c>
    </row>
    <row r="1420" spans="1:12" ht="72" hidden="1" x14ac:dyDescent="0.3">
      <c r="A1420" s="5">
        <v>18804692</v>
      </c>
      <c r="B1420" s="6" t="s">
        <v>3255</v>
      </c>
      <c r="C1420" s="6" t="s">
        <v>3256</v>
      </c>
      <c r="D1420" s="8" t="s">
        <v>81</v>
      </c>
      <c r="E1420" s="6" t="s">
        <v>406</v>
      </c>
      <c r="F1420" s="6" t="s">
        <v>85</v>
      </c>
      <c r="G1420" s="11">
        <v>46139.354166666664</v>
      </c>
      <c r="I1420" s="10" t="s">
        <v>3257</v>
      </c>
      <c r="J1420" s="6" t="s">
        <v>90</v>
      </c>
      <c r="K1420" s="12">
        <v>46120.869560185187</v>
      </c>
      <c r="L1420" s="6" t="e" cm="1">
        <f t="array" ref="L1420">LOOKUP(2^15,SEARCH(Tabela2[Palavras-Chave],Boletim4[[#This Row],[Objeto]],1),Tabela2[Palavras-Chave])</f>
        <v>#N/A</v>
      </c>
    </row>
    <row r="1421" spans="1:12" ht="100.8" hidden="1" x14ac:dyDescent="0.3">
      <c r="A1421" s="5">
        <v>18804764</v>
      </c>
      <c r="B1421" s="6" t="s">
        <v>2178</v>
      </c>
      <c r="C1421" s="6" t="s">
        <v>2179</v>
      </c>
      <c r="D1421" s="8" t="s">
        <v>81</v>
      </c>
      <c r="E1421" s="6" t="s">
        <v>117</v>
      </c>
      <c r="F1421" s="6" t="s">
        <v>85</v>
      </c>
      <c r="G1421" s="11">
        <v>46132.374305555553</v>
      </c>
      <c r="I1421" s="10" t="s">
        <v>2247</v>
      </c>
      <c r="J1421" s="6" t="s">
        <v>2248</v>
      </c>
      <c r="K1421" s="12">
        <v>46120.873136574075</v>
      </c>
      <c r="L1421" s="6" t="e" cm="1">
        <f t="array" ref="L1421">LOOKUP(2^15,SEARCH(Tabela2[Palavras-Chave],Boletim4[[#This Row],[Objeto]],1),Tabela2[Palavras-Chave])</f>
        <v>#N/A</v>
      </c>
    </row>
    <row r="1422" spans="1:12" ht="28.8" hidden="1" x14ac:dyDescent="0.3">
      <c r="A1422" s="5">
        <v>18804153</v>
      </c>
      <c r="B1422" s="6" t="s">
        <v>2249</v>
      </c>
      <c r="C1422" s="6" t="s">
        <v>2250</v>
      </c>
      <c r="D1422" s="8" t="s">
        <v>81</v>
      </c>
      <c r="E1422" s="6" t="s">
        <v>109</v>
      </c>
      <c r="F1422" s="6" t="s">
        <v>85</v>
      </c>
      <c r="G1422" s="11">
        <v>46129.375</v>
      </c>
      <c r="I1422" s="10" t="s">
        <v>2251</v>
      </c>
      <c r="J1422" s="6" t="s">
        <v>90</v>
      </c>
      <c r="K1422" s="12">
        <v>46120.885462962964</v>
      </c>
      <c r="L1422" s="6" t="e" cm="1">
        <f t="array" ref="L1422">LOOKUP(2^15,SEARCH(Tabela2[Palavras-Chave],Boletim4[[#This Row],[Objeto]],1),Tabela2[Palavras-Chave])</f>
        <v>#N/A</v>
      </c>
    </row>
    <row r="1423" spans="1:12" ht="259.2" hidden="1" x14ac:dyDescent="0.3">
      <c r="A1423" s="5">
        <v>18804235</v>
      </c>
      <c r="B1423" s="6" t="s">
        <v>2252</v>
      </c>
      <c r="C1423" s="6" t="s">
        <v>2253</v>
      </c>
      <c r="D1423" s="8" t="s">
        <v>93</v>
      </c>
      <c r="E1423" s="6" t="s">
        <v>107</v>
      </c>
      <c r="F1423" s="6" t="s">
        <v>85</v>
      </c>
      <c r="G1423" s="11" t="s">
        <v>56</v>
      </c>
      <c r="I1423" s="10" t="s">
        <v>2254</v>
      </c>
      <c r="J1423" s="6" t="s">
        <v>2255</v>
      </c>
      <c r="K1423" s="12">
        <v>46120.622673611113</v>
      </c>
      <c r="L1423" s="6" t="e" cm="1">
        <f t="array" ref="L1423">LOOKUP(2^15,SEARCH(Tabela2[Palavras-Chave],Boletim4[[#This Row],[Objeto]],1),Tabela2[Palavras-Chave])</f>
        <v>#N/A</v>
      </c>
    </row>
    <row r="1424" spans="1:12" ht="244.8" hidden="1" x14ac:dyDescent="0.3">
      <c r="A1424" s="5">
        <v>18805327</v>
      </c>
      <c r="B1424" s="6" t="s">
        <v>2256</v>
      </c>
      <c r="C1424" s="6" t="s">
        <v>2257</v>
      </c>
      <c r="D1424" s="8" t="s">
        <v>93</v>
      </c>
      <c r="E1424" s="6" t="s">
        <v>114</v>
      </c>
      <c r="F1424" s="6" t="s">
        <v>85</v>
      </c>
      <c r="G1424" s="11" t="s">
        <v>56</v>
      </c>
      <c r="I1424" s="10" t="s">
        <v>2258</v>
      </c>
      <c r="J1424" s="6" t="s">
        <v>2259</v>
      </c>
      <c r="K1424" s="12">
        <v>46120.726770833331</v>
      </c>
      <c r="L1424" s="6" t="e" cm="1">
        <f t="array" ref="L1424">LOOKUP(2^15,SEARCH(Tabela2[Palavras-Chave],Boletim4[[#This Row],[Objeto]],1),Tabela2[Palavras-Chave])</f>
        <v>#N/A</v>
      </c>
    </row>
    <row r="1425" spans="1:12" ht="259.2" hidden="1" x14ac:dyDescent="0.3">
      <c r="A1425" s="5">
        <v>18800102</v>
      </c>
      <c r="B1425" s="6" t="s">
        <v>2260</v>
      </c>
      <c r="C1425" s="6" t="s">
        <v>2261</v>
      </c>
      <c r="D1425" s="8" t="s">
        <v>82</v>
      </c>
      <c r="E1425" s="6" t="s">
        <v>1567</v>
      </c>
      <c r="F1425" s="6" t="s">
        <v>85</v>
      </c>
      <c r="G1425" s="11" t="s">
        <v>56</v>
      </c>
      <c r="I1425" s="10" t="s">
        <v>2262</v>
      </c>
      <c r="J1425" s="6" t="s">
        <v>2263</v>
      </c>
      <c r="K1425" s="12">
        <v>46120.388298611113</v>
      </c>
      <c r="L1425" s="6" t="e" cm="1">
        <f t="array" ref="L1425">LOOKUP(2^15,SEARCH(Tabela2[Palavras-Chave],Boletim4[[#This Row],[Objeto]],1),Tabela2[Palavras-Chave])</f>
        <v>#N/A</v>
      </c>
    </row>
    <row r="1426" spans="1:12" ht="86.4" hidden="1" x14ac:dyDescent="0.3">
      <c r="A1426" s="5">
        <v>18800025</v>
      </c>
      <c r="B1426" s="6" t="s">
        <v>1101</v>
      </c>
      <c r="C1426" s="6" t="s">
        <v>1102</v>
      </c>
      <c r="D1426" s="8" t="s">
        <v>82</v>
      </c>
      <c r="E1426" s="6" t="s">
        <v>134</v>
      </c>
      <c r="F1426" s="6" t="s">
        <v>85</v>
      </c>
      <c r="G1426" s="11" t="s">
        <v>56</v>
      </c>
      <c r="I1426" s="10" t="s">
        <v>2264</v>
      </c>
      <c r="J1426" s="6" t="s">
        <v>2265</v>
      </c>
      <c r="K1426" s="12">
        <v>46120.388958333337</v>
      </c>
      <c r="L1426" s="6" t="e" cm="1">
        <f t="array" ref="L1426">LOOKUP(2^15,SEARCH(Tabela2[Palavras-Chave],Boletim4[[#This Row],[Objeto]],1),Tabela2[Palavras-Chave])</f>
        <v>#N/A</v>
      </c>
    </row>
    <row r="1427" spans="1:12" ht="244.8" hidden="1" x14ac:dyDescent="0.3">
      <c r="A1427" s="5">
        <v>18793105</v>
      </c>
      <c r="B1427" s="6" t="s">
        <v>2266</v>
      </c>
      <c r="C1427" s="6" t="s">
        <v>2267</v>
      </c>
      <c r="D1427" s="8" t="s">
        <v>82</v>
      </c>
      <c r="E1427" s="6" t="s">
        <v>2268</v>
      </c>
      <c r="F1427" s="6" t="s">
        <v>85</v>
      </c>
      <c r="G1427" s="11" t="s">
        <v>56</v>
      </c>
      <c r="I1427" s="10" t="s">
        <v>2269</v>
      </c>
      <c r="J1427" s="6" t="s">
        <v>2270</v>
      </c>
      <c r="K1427" s="12">
        <v>46120.388981481483</v>
      </c>
      <c r="L1427" s="6" t="e" cm="1">
        <f t="array" ref="L1427">LOOKUP(2^15,SEARCH(Tabela2[Palavras-Chave],Boletim4[[#This Row],[Objeto]],1),Tabela2[Palavras-Chave])</f>
        <v>#N/A</v>
      </c>
    </row>
    <row r="1428" spans="1:12" ht="72" hidden="1" x14ac:dyDescent="0.3">
      <c r="A1428" s="5">
        <v>18802247</v>
      </c>
      <c r="B1428" s="6" t="s">
        <v>74</v>
      </c>
      <c r="C1428" s="6" t="s">
        <v>83</v>
      </c>
      <c r="D1428" s="8" t="s">
        <v>82</v>
      </c>
      <c r="E1428" s="6" t="s">
        <v>2981</v>
      </c>
      <c r="F1428" s="6" t="s">
        <v>85</v>
      </c>
      <c r="G1428" s="11" t="s">
        <v>56</v>
      </c>
      <c r="I1428" s="10" t="s">
        <v>2982</v>
      </c>
      <c r="J1428" s="6" t="s">
        <v>2983</v>
      </c>
      <c r="K1428" s="12">
        <v>46120.468136574076</v>
      </c>
      <c r="L1428" s="6" t="e" cm="1">
        <f t="array" ref="L1428">LOOKUP(2^15,SEARCH(Tabela2[Palavras-Chave],Boletim4[[#This Row],[Objeto]],1),Tabela2[Palavras-Chave])</f>
        <v>#N/A</v>
      </c>
    </row>
    <row r="1429" spans="1:12" ht="100.8" hidden="1" x14ac:dyDescent="0.3">
      <c r="A1429" s="5">
        <v>18783825</v>
      </c>
      <c r="B1429" s="6" t="s">
        <v>2271</v>
      </c>
      <c r="C1429" s="6" t="s">
        <v>348</v>
      </c>
      <c r="D1429" s="8" t="s">
        <v>82</v>
      </c>
      <c r="E1429" s="6" t="s">
        <v>146</v>
      </c>
      <c r="F1429" s="6" t="s">
        <v>85</v>
      </c>
      <c r="G1429" s="11" t="s">
        <v>56</v>
      </c>
      <c r="I1429" s="10" t="s">
        <v>2272</v>
      </c>
      <c r="J1429" s="6" t="s">
        <v>2273</v>
      </c>
      <c r="K1429" s="12">
        <v>46120.48196759259</v>
      </c>
      <c r="L1429" s="6" t="e" cm="1">
        <f t="array" ref="L1429">LOOKUP(2^15,SEARCH(Tabela2[Palavras-Chave],Boletim4[[#This Row],[Objeto]],1),Tabela2[Palavras-Chave])</f>
        <v>#N/A</v>
      </c>
    </row>
    <row r="1430" spans="1:12" ht="72" hidden="1" x14ac:dyDescent="0.3">
      <c r="A1430" s="5">
        <v>18802249</v>
      </c>
      <c r="B1430" s="6" t="s">
        <v>74</v>
      </c>
      <c r="C1430" s="6" t="s">
        <v>83</v>
      </c>
      <c r="D1430" s="8" t="s">
        <v>82</v>
      </c>
      <c r="E1430" s="6" t="s">
        <v>1923</v>
      </c>
      <c r="F1430" s="6" t="s">
        <v>85</v>
      </c>
      <c r="G1430" s="11" t="s">
        <v>56</v>
      </c>
      <c r="I1430" s="10" t="s">
        <v>1924</v>
      </c>
      <c r="J1430" s="6" t="s">
        <v>1925</v>
      </c>
      <c r="K1430" s="12">
        <v>46120.503541666665</v>
      </c>
      <c r="L1430" s="6" t="e" cm="1">
        <f t="array" ref="L1430">LOOKUP(2^15,SEARCH(Tabela2[Palavras-Chave],Boletim4[[#This Row],[Objeto]],1),Tabela2[Palavras-Chave])</f>
        <v>#N/A</v>
      </c>
    </row>
    <row r="1431" spans="1:12" ht="115.2" hidden="1" x14ac:dyDescent="0.3">
      <c r="A1431" s="5">
        <v>18802933</v>
      </c>
      <c r="B1431" s="6" t="s">
        <v>2274</v>
      </c>
      <c r="C1431" s="6" t="s">
        <v>2275</v>
      </c>
      <c r="D1431" s="8" t="s">
        <v>82</v>
      </c>
      <c r="E1431" s="6" t="s">
        <v>2276</v>
      </c>
      <c r="F1431" s="6" t="s">
        <v>85</v>
      </c>
      <c r="G1431" s="11" t="s">
        <v>56</v>
      </c>
      <c r="I1431" s="10" t="s">
        <v>2277</v>
      </c>
      <c r="J1431" s="6" t="s">
        <v>2278</v>
      </c>
      <c r="K1431" s="12">
        <v>46120.51048611111</v>
      </c>
      <c r="L1431" s="6" t="e" cm="1">
        <f t="array" ref="L1431">LOOKUP(2^15,SEARCH(Tabela2[Palavras-Chave],Boletim4[[#This Row],[Objeto]],1),Tabela2[Palavras-Chave])</f>
        <v>#N/A</v>
      </c>
    </row>
    <row r="1432" spans="1:12" ht="144" x14ac:dyDescent="0.3">
      <c r="A1432" s="5">
        <v>18802462</v>
      </c>
      <c r="B1432" s="6" t="s">
        <v>2279</v>
      </c>
      <c r="C1432" s="6" t="s">
        <v>2280</v>
      </c>
      <c r="D1432" s="8" t="s">
        <v>82</v>
      </c>
      <c r="E1432" s="6" t="s">
        <v>205</v>
      </c>
      <c r="F1432" s="6" t="s">
        <v>85</v>
      </c>
      <c r="G1432" s="11" t="s">
        <v>56</v>
      </c>
      <c r="H1432" s="23">
        <v>2</v>
      </c>
      <c r="I1432" s="10" t="s">
        <v>2281</v>
      </c>
      <c r="J1432" s="6" t="s">
        <v>2282</v>
      </c>
      <c r="K1432" s="12">
        <v>46120.51425925926</v>
      </c>
      <c r="L1432" s="6" t="str" cm="1">
        <f t="array" ref="L1432">LOOKUP(2^15,SEARCH(Tabela2[Palavras-Chave],Boletim4[[#This Row],[Objeto]],1),Tabela2[Palavras-Chave])</f>
        <v>ELEVADO</v>
      </c>
    </row>
    <row r="1433" spans="1:12" ht="316.8" hidden="1" x14ac:dyDescent="0.3">
      <c r="A1433" s="5">
        <v>18801626</v>
      </c>
      <c r="B1433" s="6" t="s">
        <v>3258</v>
      </c>
      <c r="C1433" s="6" t="s">
        <v>3259</v>
      </c>
      <c r="D1433" s="8" t="s">
        <v>82</v>
      </c>
      <c r="E1433" s="6" t="s">
        <v>113</v>
      </c>
      <c r="F1433" s="6" t="s">
        <v>85</v>
      </c>
      <c r="G1433" s="11" t="s">
        <v>56</v>
      </c>
      <c r="I1433" s="10" t="s">
        <v>3260</v>
      </c>
      <c r="J1433" s="6" t="s">
        <v>3261</v>
      </c>
      <c r="K1433" s="12">
        <v>46120.517592592594</v>
      </c>
      <c r="L1433" s="6" t="e" cm="1">
        <f t="array" ref="L1433">LOOKUP(2^15,SEARCH(Tabela2[Palavras-Chave],Boletim4[[#This Row],[Objeto]],1),Tabela2[Palavras-Chave])</f>
        <v>#N/A</v>
      </c>
    </row>
    <row r="1434" spans="1:12" ht="86.4" hidden="1" x14ac:dyDescent="0.3">
      <c r="A1434" s="5">
        <v>18802149</v>
      </c>
      <c r="B1434" s="6" t="s">
        <v>2283</v>
      </c>
      <c r="C1434" s="6" t="s">
        <v>344</v>
      </c>
      <c r="D1434" s="8" t="s">
        <v>82</v>
      </c>
      <c r="E1434" s="6" t="s">
        <v>270</v>
      </c>
      <c r="F1434" s="6" t="s">
        <v>85</v>
      </c>
      <c r="G1434" s="11" t="s">
        <v>56</v>
      </c>
      <c r="I1434" s="10" t="s">
        <v>2284</v>
      </c>
      <c r="J1434" s="6" t="s">
        <v>2285</v>
      </c>
      <c r="K1434" s="12">
        <v>46120.518043981479</v>
      </c>
      <c r="L1434" s="6" t="e" cm="1">
        <f t="array" ref="L1434">LOOKUP(2^15,SEARCH(Tabela2[Palavras-Chave],Boletim4[[#This Row],[Objeto]],1),Tabela2[Palavras-Chave])</f>
        <v>#N/A</v>
      </c>
    </row>
    <row r="1435" spans="1:12" ht="86.4" hidden="1" x14ac:dyDescent="0.3">
      <c r="A1435" s="5">
        <v>18801479</v>
      </c>
      <c r="B1435" s="6" t="s">
        <v>2286</v>
      </c>
      <c r="C1435" s="6" t="s">
        <v>2287</v>
      </c>
      <c r="D1435" s="8" t="s">
        <v>82</v>
      </c>
      <c r="E1435" s="6" t="s">
        <v>2097</v>
      </c>
      <c r="F1435" s="6" t="s">
        <v>85</v>
      </c>
      <c r="G1435" s="11" t="s">
        <v>56</v>
      </c>
      <c r="I1435" s="10" t="s">
        <v>2288</v>
      </c>
      <c r="J1435" s="6" t="s">
        <v>2289</v>
      </c>
      <c r="K1435" s="12">
        <v>46120.522337962961</v>
      </c>
      <c r="L1435" s="6" t="e" cm="1">
        <f t="array" ref="L1435">LOOKUP(2^15,SEARCH(Tabela2[Palavras-Chave],Boletim4[[#This Row],[Objeto]],1),Tabela2[Palavras-Chave])</f>
        <v>#N/A</v>
      </c>
    </row>
    <row r="1436" spans="1:12" ht="86.4" hidden="1" x14ac:dyDescent="0.3">
      <c r="A1436" s="5">
        <v>18801722</v>
      </c>
      <c r="B1436" s="6" t="s">
        <v>2290</v>
      </c>
      <c r="C1436" s="6" t="s">
        <v>2291</v>
      </c>
      <c r="D1436" s="8" t="s">
        <v>82</v>
      </c>
      <c r="E1436" s="6" t="s">
        <v>135</v>
      </c>
      <c r="F1436" s="6" t="s">
        <v>85</v>
      </c>
      <c r="G1436" s="11">
        <v>46135.333333333336</v>
      </c>
      <c r="I1436" s="10" t="s">
        <v>2292</v>
      </c>
      <c r="J1436" s="6" t="s">
        <v>2293</v>
      </c>
      <c r="K1436" s="12">
        <v>46120.523564814815</v>
      </c>
      <c r="L1436" s="6" t="e" cm="1">
        <f t="array" ref="L1436">LOOKUP(2^15,SEARCH(Tabela2[Palavras-Chave],Boletim4[[#This Row],[Objeto]],1),Tabela2[Palavras-Chave])</f>
        <v>#N/A</v>
      </c>
    </row>
    <row r="1437" spans="1:12" ht="72" hidden="1" x14ac:dyDescent="0.3">
      <c r="A1437" s="5">
        <v>18802226</v>
      </c>
      <c r="B1437" s="6" t="s">
        <v>74</v>
      </c>
      <c r="C1437" s="6" t="s">
        <v>83</v>
      </c>
      <c r="D1437" s="8" t="s">
        <v>82</v>
      </c>
      <c r="E1437" s="6" t="s">
        <v>1926</v>
      </c>
      <c r="F1437" s="6" t="s">
        <v>85</v>
      </c>
      <c r="G1437" s="11" t="s">
        <v>56</v>
      </c>
      <c r="I1437" s="10" t="s">
        <v>353</v>
      </c>
      <c r="J1437" s="6" t="s">
        <v>1927</v>
      </c>
      <c r="K1437" s="12">
        <v>46120.527824074074</v>
      </c>
      <c r="L1437" s="6" t="e" cm="1">
        <f t="array" ref="L1437">LOOKUP(2^15,SEARCH(Tabela2[Palavras-Chave],Boletim4[[#This Row],[Objeto]],1),Tabela2[Palavras-Chave])</f>
        <v>#N/A</v>
      </c>
    </row>
    <row r="1438" spans="1:12" ht="259.2" hidden="1" x14ac:dyDescent="0.3">
      <c r="A1438" s="5">
        <v>18801598</v>
      </c>
      <c r="B1438" s="6" t="s">
        <v>2294</v>
      </c>
      <c r="C1438" s="6" t="s">
        <v>283</v>
      </c>
      <c r="D1438" s="8" t="s">
        <v>82</v>
      </c>
      <c r="E1438" s="6" t="s">
        <v>212</v>
      </c>
      <c r="F1438" s="6" t="s">
        <v>85</v>
      </c>
      <c r="G1438" s="11" t="s">
        <v>56</v>
      </c>
      <c r="I1438" s="10" t="s">
        <v>2295</v>
      </c>
      <c r="J1438" s="6" t="s">
        <v>2296</v>
      </c>
      <c r="K1438" s="12">
        <v>46120.526365740741</v>
      </c>
      <c r="L1438" s="6" t="e" cm="1">
        <f t="array" ref="L1438">LOOKUP(2^15,SEARCH(Tabela2[Palavras-Chave],Boletim4[[#This Row],[Objeto]],1),Tabela2[Palavras-Chave])</f>
        <v>#N/A</v>
      </c>
    </row>
    <row r="1439" spans="1:12" ht="72" hidden="1" x14ac:dyDescent="0.3">
      <c r="A1439" s="5">
        <v>18802233</v>
      </c>
      <c r="B1439" s="6" t="s">
        <v>74</v>
      </c>
      <c r="C1439" s="6" t="s">
        <v>83</v>
      </c>
      <c r="D1439" s="8" t="s">
        <v>82</v>
      </c>
      <c r="E1439" s="6" t="s">
        <v>1394</v>
      </c>
      <c r="F1439" s="6" t="s">
        <v>85</v>
      </c>
      <c r="G1439" s="11" t="s">
        <v>56</v>
      </c>
      <c r="I1439" s="10" t="s">
        <v>1395</v>
      </c>
      <c r="J1439" s="6" t="s">
        <v>1396</v>
      </c>
      <c r="K1439" s="12">
        <v>46120.529236111113</v>
      </c>
      <c r="L1439" s="6" t="e" cm="1">
        <f t="array" ref="L1439">LOOKUP(2^15,SEARCH(Tabela2[Palavras-Chave],Boletim4[[#This Row],[Objeto]],1),Tabela2[Palavras-Chave])</f>
        <v>#N/A</v>
      </c>
    </row>
    <row r="1440" spans="1:12" ht="72" hidden="1" x14ac:dyDescent="0.3">
      <c r="A1440" s="5">
        <v>18802240</v>
      </c>
      <c r="B1440" s="6" t="s">
        <v>74</v>
      </c>
      <c r="C1440" s="6" t="s">
        <v>83</v>
      </c>
      <c r="D1440" s="8" t="s">
        <v>82</v>
      </c>
      <c r="E1440" s="6" t="s">
        <v>1232</v>
      </c>
      <c r="F1440" s="6" t="s">
        <v>85</v>
      </c>
      <c r="G1440" s="11" t="s">
        <v>56</v>
      </c>
      <c r="I1440" s="10" t="s">
        <v>1233</v>
      </c>
      <c r="J1440" s="6" t="s">
        <v>1234</v>
      </c>
      <c r="K1440" s="12">
        <v>46120.529907407406</v>
      </c>
      <c r="L1440" s="6" t="e" cm="1">
        <f t="array" ref="L1440">LOOKUP(2^15,SEARCH(Tabela2[Palavras-Chave],Boletim4[[#This Row],[Objeto]],1),Tabela2[Palavras-Chave])</f>
        <v>#N/A</v>
      </c>
    </row>
    <row r="1441" spans="1:12" ht="259.2" hidden="1" x14ac:dyDescent="0.3">
      <c r="A1441" s="5">
        <v>18801586</v>
      </c>
      <c r="B1441" s="6" t="s">
        <v>2297</v>
      </c>
      <c r="C1441" s="6" t="s">
        <v>2298</v>
      </c>
      <c r="D1441" s="8" t="s">
        <v>82</v>
      </c>
      <c r="E1441" s="6" t="s">
        <v>2097</v>
      </c>
      <c r="F1441" s="6" t="s">
        <v>85</v>
      </c>
      <c r="G1441" s="11" t="s">
        <v>56</v>
      </c>
      <c r="I1441" s="10" t="s">
        <v>2299</v>
      </c>
      <c r="J1441" s="6" t="s">
        <v>2300</v>
      </c>
      <c r="K1441" s="12">
        <v>46120.555578703701</v>
      </c>
      <c r="L1441" s="6" t="e" cm="1">
        <f t="array" ref="L1441">LOOKUP(2^15,SEARCH(Tabela2[Palavras-Chave],Boletim4[[#This Row],[Objeto]],1),Tabela2[Palavras-Chave])</f>
        <v>#N/A</v>
      </c>
    </row>
    <row r="1442" spans="1:12" ht="273.60000000000002" hidden="1" x14ac:dyDescent="0.3">
      <c r="A1442" s="5">
        <v>18801553</v>
      </c>
      <c r="B1442" s="6" t="s">
        <v>2301</v>
      </c>
      <c r="C1442" s="6" t="s">
        <v>2302</v>
      </c>
      <c r="D1442" s="8" t="s">
        <v>82</v>
      </c>
      <c r="E1442" s="6" t="s">
        <v>121</v>
      </c>
      <c r="F1442" s="6" t="s">
        <v>85</v>
      </c>
      <c r="G1442" s="11" t="s">
        <v>56</v>
      </c>
      <c r="I1442" s="10" t="s">
        <v>2303</v>
      </c>
      <c r="J1442" s="6" t="s">
        <v>2304</v>
      </c>
      <c r="K1442" s="12">
        <v>46120.555844907409</v>
      </c>
      <c r="L1442" s="6" t="e" cm="1">
        <f t="array" ref="L1442">LOOKUP(2^15,SEARCH(Tabela2[Palavras-Chave],Boletim4[[#This Row],[Objeto]],1),Tabela2[Palavras-Chave])</f>
        <v>#N/A</v>
      </c>
    </row>
    <row r="1443" spans="1:12" ht="259.2" hidden="1" x14ac:dyDescent="0.3">
      <c r="A1443" s="5">
        <v>18802396</v>
      </c>
      <c r="B1443" s="6" t="s">
        <v>261</v>
      </c>
      <c r="C1443" s="6" t="s">
        <v>262</v>
      </c>
      <c r="D1443" s="8" t="s">
        <v>82</v>
      </c>
      <c r="E1443" s="6" t="s">
        <v>461</v>
      </c>
      <c r="F1443" s="6" t="s">
        <v>85</v>
      </c>
      <c r="G1443" s="11" t="s">
        <v>56</v>
      </c>
      <c r="I1443" s="10" t="s">
        <v>2305</v>
      </c>
      <c r="J1443" s="6" t="s">
        <v>2306</v>
      </c>
      <c r="K1443" s="12">
        <v>46120.556921296295</v>
      </c>
      <c r="L1443" s="6" t="e" cm="1">
        <f t="array" ref="L1443">LOOKUP(2^15,SEARCH(Tabela2[Palavras-Chave],Boletim4[[#This Row],[Objeto]],1),Tabela2[Palavras-Chave])</f>
        <v>#N/A</v>
      </c>
    </row>
    <row r="1444" spans="1:12" ht="273.60000000000002" hidden="1" x14ac:dyDescent="0.3">
      <c r="A1444" s="5">
        <v>18801605</v>
      </c>
      <c r="B1444" s="6" t="s">
        <v>2307</v>
      </c>
      <c r="C1444" s="6" t="s">
        <v>2308</v>
      </c>
      <c r="D1444" s="8" t="s">
        <v>82</v>
      </c>
      <c r="E1444" s="6" t="s">
        <v>114</v>
      </c>
      <c r="F1444" s="6" t="s">
        <v>85</v>
      </c>
      <c r="G1444" s="11" t="s">
        <v>56</v>
      </c>
      <c r="I1444" s="10" t="s">
        <v>2309</v>
      </c>
      <c r="J1444" s="6" t="s">
        <v>2310</v>
      </c>
      <c r="K1444" s="12">
        <v>46120.569652777776</v>
      </c>
      <c r="L1444" s="6" t="e" cm="1">
        <f t="array" ref="L1444">LOOKUP(2^15,SEARCH(Tabela2[Palavras-Chave],Boletim4[[#This Row],[Objeto]],1),Tabela2[Palavras-Chave])</f>
        <v>#N/A</v>
      </c>
    </row>
    <row r="1445" spans="1:12" ht="57.6" hidden="1" x14ac:dyDescent="0.3">
      <c r="A1445" s="5">
        <v>18803528</v>
      </c>
      <c r="B1445" s="6" t="s">
        <v>3262</v>
      </c>
      <c r="C1445" s="6" t="s">
        <v>3263</v>
      </c>
      <c r="D1445" s="8" t="s">
        <v>82</v>
      </c>
      <c r="E1445" s="6" t="s">
        <v>108</v>
      </c>
      <c r="F1445" s="6" t="s">
        <v>85</v>
      </c>
      <c r="G1445" s="11">
        <v>46129.416666666664</v>
      </c>
      <c r="I1445" s="10" t="s">
        <v>3264</v>
      </c>
      <c r="J1445" s="6" t="s">
        <v>3265</v>
      </c>
      <c r="K1445" s="12">
        <v>46120.572280092594</v>
      </c>
      <c r="L1445" s="6" t="e" cm="1">
        <f t="array" ref="L1445">LOOKUP(2^15,SEARCH(Tabela2[Palavras-Chave],Boletim4[[#This Row],[Objeto]],1),Tabela2[Palavras-Chave])</f>
        <v>#N/A</v>
      </c>
    </row>
    <row r="1446" spans="1:12" ht="129.6" x14ac:dyDescent="0.3">
      <c r="A1446" s="5">
        <v>18802801</v>
      </c>
      <c r="B1446" s="6" t="s">
        <v>2311</v>
      </c>
      <c r="C1446" s="6" t="s">
        <v>1183</v>
      </c>
      <c r="D1446" s="8" t="s">
        <v>82</v>
      </c>
      <c r="E1446" s="6" t="s">
        <v>2312</v>
      </c>
      <c r="F1446" s="6" t="s">
        <v>85</v>
      </c>
      <c r="G1446" s="11" t="s">
        <v>56</v>
      </c>
      <c r="H1446" s="23">
        <v>2</v>
      </c>
      <c r="I1446" s="10" t="s">
        <v>2313</v>
      </c>
      <c r="J1446" s="6" t="s">
        <v>2314</v>
      </c>
      <c r="K1446" s="12">
        <v>46120.586655092593</v>
      </c>
      <c r="L1446" s="6" t="str" cm="1">
        <f t="array" ref="L1446">LOOKUP(2^15,SEARCH(Tabela2[Palavras-Chave],Boletim4[[#This Row],[Objeto]],1),Tabela2[Palavras-Chave])</f>
        <v>INOX</v>
      </c>
    </row>
    <row r="1447" spans="1:12" ht="43.2" hidden="1" x14ac:dyDescent="0.3">
      <c r="A1447" s="5">
        <v>18798054</v>
      </c>
      <c r="B1447" s="6" t="s">
        <v>2315</v>
      </c>
      <c r="C1447" s="6" t="s">
        <v>2316</v>
      </c>
      <c r="D1447" s="8" t="s">
        <v>82</v>
      </c>
      <c r="E1447" s="6" t="s">
        <v>124</v>
      </c>
      <c r="F1447" s="6" t="s">
        <v>85</v>
      </c>
      <c r="G1447" s="11" t="s">
        <v>56</v>
      </c>
      <c r="I1447" s="10" t="s">
        <v>2317</v>
      </c>
      <c r="J1447" s="6" t="s">
        <v>2318</v>
      </c>
      <c r="K1447" s="12">
        <v>46120.600254629629</v>
      </c>
      <c r="L1447" s="6" t="e" cm="1">
        <f t="array" ref="L1447">LOOKUP(2^15,SEARCH(Tabela2[Palavras-Chave],Boletim4[[#This Row],[Objeto]],1),Tabela2[Palavras-Chave])</f>
        <v>#N/A</v>
      </c>
    </row>
    <row r="1448" spans="1:12" ht="86.4" hidden="1" x14ac:dyDescent="0.3">
      <c r="A1448" s="5">
        <v>18803089</v>
      </c>
      <c r="B1448" s="6" t="s">
        <v>3266</v>
      </c>
      <c r="C1448" s="6" t="s">
        <v>3267</v>
      </c>
      <c r="D1448" s="8" t="s">
        <v>82</v>
      </c>
      <c r="E1448" s="6" t="s">
        <v>207</v>
      </c>
      <c r="F1448" s="6" t="s">
        <v>85</v>
      </c>
      <c r="G1448" s="11" t="s">
        <v>56</v>
      </c>
      <c r="I1448" s="10" t="s">
        <v>3268</v>
      </c>
      <c r="J1448" s="6" t="s">
        <v>3269</v>
      </c>
      <c r="K1448" s="12">
        <v>46120.606990740744</v>
      </c>
      <c r="L1448" s="6" t="e" cm="1">
        <f t="array" ref="L1448">LOOKUP(2^15,SEARCH(Tabela2[Palavras-Chave],Boletim4[[#This Row],[Objeto]],1),Tabela2[Palavras-Chave])</f>
        <v>#N/A</v>
      </c>
    </row>
    <row r="1449" spans="1:12" ht="288" hidden="1" x14ac:dyDescent="0.3">
      <c r="A1449" s="5">
        <v>18803893</v>
      </c>
      <c r="B1449" s="6" t="s">
        <v>2319</v>
      </c>
      <c r="C1449" s="6" t="s">
        <v>2320</v>
      </c>
      <c r="D1449" s="8" t="s">
        <v>82</v>
      </c>
      <c r="E1449" s="6" t="s">
        <v>142</v>
      </c>
      <c r="F1449" s="6" t="s">
        <v>85</v>
      </c>
      <c r="G1449" s="11" t="s">
        <v>56</v>
      </c>
      <c r="I1449" s="10" t="s">
        <v>2321</v>
      </c>
      <c r="J1449" s="6" t="s">
        <v>2322</v>
      </c>
      <c r="K1449" s="12">
        <v>46120.604594907411</v>
      </c>
      <c r="L1449" s="6" t="e" cm="1">
        <f t="array" ref="L1449">LOOKUP(2^15,SEARCH(Tabela2[Palavras-Chave],Boletim4[[#This Row],[Objeto]],1),Tabela2[Palavras-Chave])</f>
        <v>#N/A</v>
      </c>
    </row>
    <row r="1450" spans="1:12" ht="273.60000000000002" hidden="1" x14ac:dyDescent="0.3">
      <c r="A1450" s="5">
        <v>18802158</v>
      </c>
      <c r="B1450" s="6" t="s">
        <v>2323</v>
      </c>
      <c r="C1450" s="6" t="s">
        <v>2324</v>
      </c>
      <c r="D1450" s="8" t="s">
        <v>82</v>
      </c>
      <c r="E1450" s="6" t="s">
        <v>120</v>
      </c>
      <c r="F1450" s="6" t="s">
        <v>85</v>
      </c>
      <c r="G1450" s="11" t="s">
        <v>56</v>
      </c>
      <c r="I1450" s="10" t="s">
        <v>2325</v>
      </c>
      <c r="J1450" s="6" t="s">
        <v>2326</v>
      </c>
      <c r="K1450" s="12">
        <v>46120.60491898148</v>
      </c>
      <c r="L1450" s="6" t="e" cm="1">
        <f t="array" ref="L1450">LOOKUP(2^15,SEARCH(Tabela2[Palavras-Chave],Boletim4[[#This Row],[Objeto]],1),Tabela2[Palavras-Chave])</f>
        <v>#N/A</v>
      </c>
    </row>
    <row r="1451" spans="1:12" ht="115.2" hidden="1" x14ac:dyDescent="0.3">
      <c r="A1451" s="5">
        <v>18802912</v>
      </c>
      <c r="B1451" s="6" t="s">
        <v>2327</v>
      </c>
      <c r="C1451" s="6" t="s">
        <v>2328</v>
      </c>
      <c r="D1451" s="8" t="s">
        <v>82</v>
      </c>
      <c r="E1451" s="6" t="s">
        <v>222</v>
      </c>
      <c r="F1451" s="6" t="s">
        <v>85</v>
      </c>
      <c r="G1451" s="11" t="s">
        <v>56</v>
      </c>
      <c r="I1451" s="10" t="s">
        <v>2329</v>
      </c>
      <c r="J1451" s="6" t="s">
        <v>2330</v>
      </c>
      <c r="K1451" s="12">
        <v>46120.605520833335</v>
      </c>
      <c r="L1451" s="6" t="e" cm="1">
        <f t="array" ref="L1451">LOOKUP(2^15,SEARCH(Tabela2[Palavras-Chave],Boletim4[[#This Row],[Objeto]],1),Tabela2[Palavras-Chave])</f>
        <v>#N/A</v>
      </c>
    </row>
    <row r="1452" spans="1:12" ht="57.6" hidden="1" x14ac:dyDescent="0.3">
      <c r="A1452" s="5">
        <v>18801179</v>
      </c>
      <c r="B1452" s="6" t="s">
        <v>3270</v>
      </c>
      <c r="C1452" s="6" t="s">
        <v>3271</v>
      </c>
      <c r="D1452" s="8" t="s">
        <v>82</v>
      </c>
      <c r="E1452" s="6" t="s">
        <v>205</v>
      </c>
      <c r="F1452" s="6" t="s">
        <v>85</v>
      </c>
      <c r="G1452" s="11" t="s">
        <v>56</v>
      </c>
      <c r="I1452" s="10" t="s">
        <v>3272</v>
      </c>
      <c r="J1452" s="6" t="s">
        <v>3273</v>
      </c>
      <c r="K1452" s="12">
        <v>46120.618113425924</v>
      </c>
      <c r="L1452" s="6" t="e" cm="1">
        <f t="array" ref="L1452">LOOKUP(2^15,SEARCH(Tabela2[Palavras-Chave],Boletim4[[#This Row],[Objeto]],1),Tabela2[Palavras-Chave])</f>
        <v>#N/A</v>
      </c>
    </row>
    <row r="1453" spans="1:12" ht="28.8" hidden="1" x14ac:dyDescent="0.3">
      <c r="A1453" s="5">
        <v>18801550</v>
      </c>
      <c r="B1453" s="6" t="s">
        <v>2331</v>
      </c>
      <c r="C1453" s="6" t="s">
        <v>2287</v>
      </c>
      <c r="D1453" s="8" t="s">
        <v>82</v>
      </c>
      <c r="E1453" s="6" t="s">
        <v>1849</v>
      </c>
      <c r="F1453" s="6" t="s">
        <v>85</v>
      </c>
      <c r="G1453" s="11">
        <v>46146.375</v>
      </c>
      <c r="I1453" s="10" t="s">
        <v>2332</v>
      </c>
      <c r="J1453" s="6" t="s">
        <v>90</v>
      </c>
      <c r="K1453" s="12">
        <v>46120.625081018516</v>
      </c>
      <c r="L1453" s="6" t="e" cm="1">
        <f t="array" ref="L1453">LOOKUP(2^15,SEARCH(Tabela2[Palavras-Chave],Boletim4[[#This Row],[Objeto]],1),Tabela2[Palavras-Chave])</f>
        <v>#N/A</v>
      </c>
    </row>
    <row r="1454" spans="1:12" ht="86.4" hidden="1" x14ac:dyDescent="0.3">
      <c r="A1454" s="5">
        <v>18801718</v>
      </c>
      <c r="B1454" s="6" t="s">
        <v>2333</v>
      </c>
      <c r="C1454" s="6" t="s">
        <v>2334</v>
      </c>
      <c r="D1454" s="8" t="s">
        <v>82</v>
      </c>
      <c r="E1454" s="6" t="s">
        <v>2335</v>
      </c>
      <c r="F1454" s="6" t="s">
        <v>85</v>
      </c>
      <c r="G1454" s="11">
        <v>46134.354166666664</v>
      </c>
      <c r="I1454" s="10" t="s">
        <v>2336</v>
      </c>
      <c r="J1454" s="6" t="s">
        <v>2337</v>
      </c>
      <c r="K1454" s="12">
        <v>46120.639479166668</v>
      </c>
      <c r="L1454" s="6" t="e" cm="1">
        <f t="array" ref="L1454">LOOKUP(2^15,SEARCH(Tabela2[Palavras-Chave],Boletim4[[#This Row],[Objeto]],1),Tabela2[Palavras-Chave])</f>
        <v>#N/A</v>
      </c>
    </row>
    <row r="1455" spans="1:12" ht="259.2" hidden="1" x14ac:dyDescent="0.3">
      <c r="A1455" s="5">
        <v>18803839</v>
      </c>
      <c r="B1455" s="6" t="s">
        <v>2338</v>
      </c>
      <c r="C1455" s="6" t="s">
        <v>2339</v>
      </c>
      <c r="D1455" s="8" t="s">
        <v>82</v>
      </c>
      <c r="E1455" s="6" t="s">
        <v>274</v>
      </c>
      <c r="F1455" s="6" t="s">
        <v>85</v>
      </c>
      <c r="G1455" s="11" t="s">
        <v>56</v>
      </c>
      <c r="I1455" s="10" t="s">
        <v>2340</v>
      </c>
      <c r="J1455" s="6" t="s">
        <v>2341</v>
      </c>
      <c r="K1455" s="12">
        <v>46120.640405092592</v>
      </c>
      <c r="L1455" s="6" t="e" cm="1">
        <f t="array" ref="L1455">LOOKUP(2^15,SEARCH(Tabela2[Palavras-Chave],Boletim4[[#This Row],[Objeto]],1),Tabela2[Palavras-Chave])</f>
        <v>#N/A</v>
      </c>
    </row>
    <row r="1456" spans="1:12" ht="43.2" hidden="1" x14ac:dyDescent="0.3">
      <c r="A1456" s="5">
        <v>18802517</v>
      </c>
      <c r="B1456" s="6" t="s">
        <v>3274</v>
      </c>
      <c r="C1456" s="6" t="s">
        <v>3275</v>
      </c>
      <c r="D1456" s="8" t="s">
        <v>82</v>
      </c>
      <c r="E1456" s="6" t="s">
        <v>107</v>
      </c>
      <c r="F1456" s="6" t="s">
        <v>85</v>
      </c>
      <c r="G1456" s="11" t="s">
        <v>56</v>
      </c>
      <c r="I1456" s="10" t="s">
        <v>3276</v>
      </c>
      <c r="J1456" s="6" t="s">
        <v>3277</v>
      </c>
      <c r="K1456" s="12">
        <v>46120.642106481479</v>
      </c>
      <c r="L1456" s="6" t="e" cm="1">
        <f t="array" ref="L1456">LOOKUP(2^15,SEARCH(Tabela2[Palavras-Chave],Boletim4[[#This Row],[Objeto]],1),Tabela2[Palavras-Chave])</f>
        <v>#N/A</v>
      </c>
    </row>
    <row r="1457" spans="1:12" ht="72" hidden="1" x14ac:dyDescent="0.3">
      <c r="A1457" s="5">
        <v>18804332</v>
      </c>
      <c r="B1457" s="6" t="s">
        <v>3278</v>
      </c>
      <c r="C1457" s="6" t="s">
        <v>83</v>
      </c>
      <c r="D1457" s="8" t="s">
        <v>82</v>
      </c>
      <c r="E1457" s="6" t="s">
        <v>674</v>
      </c>
      <c r="F1457" s="6" t="s">
        <v>85</v>
      </c>
      <c r="G1457" s="11">
        <v>46148.4375</v>
      </c>
      <c r="I1457" s="10" t="s">
        <v>3279</v>
      </c>
      <c r="J1457" s="6" t="s">
        <v>3280</v>
      </c>
      <c r="K1457" s="12">
        <v>46120.644861111112</v>
      </c>
      <c r="L1457" s="6" t="e" cm="1">
        <f t="array" ref="L1457">LOOKUP(2^15,SEARCH(Tabela2[Palavras-Chave],Boletim4[[#This Row],[Objeto]],1),Tabela2[Palavras-Chave])</f>
        <v>#N/A</v>
      </c>
    </row>
    <row r="1458" spans="1:12" ht="86.4" hidden="1" x14ac:dyDescent="0.3">
      <c r="A1458" s="5">
        <v>18801478</v>
      </c>
      <c r="B1458" s="6" t="s">
        <v>3281</v>
      </c>
      <c r="C1458" s="6" t="s">
        <v>3282</v>
      </c>
      <c r="D1458" s="8" t="s">
        <v>82</v>
      </c>
      <c r="E1458" s="6" t="s">
        <v>3283</v>
      </c>
      <c r="F1458" s="6" t="s">
        <v>85</v>
      </c>
      <c r="G1458" s="11" t="s">
        <v>56</v>
      </c>
      <c r="I1458" s="10" t="s">
        <v>3284</v>
      </c>
      <c r="J1458" s="6" t="s">
        <v>3285</v>
      </c>
      <c r="K1458" s="12">
        <v>46120.664606481485</v>
      </c>
      <c r="L1458" s="6" t="e" cm="1">
        <f t="array" ref="L1458">LOOKUP(2^15,SEARCH(Tabela2[Palavras-Chave],Boletim4[[#This Row],[Objeto]],1),Tabela2[Palavras-Chave])</f>
        <v>#N/A</v>
      </c>
    </row>
    <row r="1459" spans="1:12" ht="129.6" hidden="1" x14ac:dyDescent="0.3">
      <c r="A1459" s="5">
        <v>18802488</v>
      </c>
      <c r="B1459" s="6" t="s">
        <v>229</v>
      </c>
      <c r="C1459" s="6" t="s">
        <v>228</v>
      </c>
      <c r="D1459" s="8" t="s">
        <v>82</v>
      </c>
      <c r="E1459" s="6" t="s">
        <v>274</v>
      </c>
      <c r="F1459" s="6" t="s">
        <v>85</v>
      </c>
      <c r="G1459" s="11">
        <v>46136.375694444447</v>
      </c>
      <c r="I1459" s="10" t="s">
        <v>2342</v>
      </c>
      <c r="J1459" s="6" t="s">
        <v>2343</v>
      </c>
      <c r="K1459" s="12">
        <v>46120.690335648149</v>
      </c>
      <c r="L1459" s="6" t="e" cm="1">
        <f t="array" ref="L1459">LOOKUP(2^15,SEARCH(Tabela2[Palavras-Chave],Boletim4[[#This Row],[Objeto]],1),Tabela2[Palavras-Chave])</f>
        <v>#N/A</v>
      </c>
    </row>
    <row r="1460" spans="1:12" ht="129.6" hidden="1" x14ac:dyDescent="0.3">
      <c r="A1460" s="5">
        <v>18801719</v>
      </c>
      <c r="B1460" s="6" t="s">
        <v>2344</v>
      </c>
      <c r="C1460" s="6" t="s">
        <v>2345</v>
      </c>
      <c r="D1460" s="8" t="s">
        <v>82</v>
      </c>
      <c r="E1460" s="6" t="s">
        <v>113</v>
      </c>
      <c r="F1460" s="6" t="s">
        <v>85</v>
      </c>
      <c r="G1460" s="11">
        <v>46139.395833333336</v>
      </c>
      <c r="I1460" s="10" t="s">
        <v>2346</v>
      </c>
      <c r="J1460" s="6" t="s">
        <v>2347</v>
      </c>
      <c r="K1460" s="12">
        <v>46120.811840277776</v>
      </c>
      <c r="L1460" s="6" t="e" cm="1">
        <f t="array" ref="L1460">LOOKUP(2^15,SEARCH(Tabela2[Palavras-Chave],Boletim4[[#This Row],[Objeto]],1),Tabela2[Palavras-Chave])</f>
        <v>#N/A</v>
      </c>
    </row>
    <row r="1461" spans="1:12" ht="288" hidden="1" x14ac:dyDescent="0.3">
      <c r="A1461" s="5">
        <v>18804941</v>
      </c>
      <c r="B1461" s="6" t="s">
        <v>3286</v>
      </c>
      <c r="C1461" s="6" t="s">
        <v>3287</v>
      </c>
      <c r="D1461" s="8" t="s">
        <v>82</v>
      </c>
      <c r="E1461" s="6" t="s">
        <v>188</v>
      </c>
      <c r="F1461" s="6" t="s">
        <v>85</v>
      </c>
      <c r="G1461" s="11" t="s">
        <v>56</v>
      </c>
      <c r="I1461" s="10" t="s">
        <v>3288</v>
      </c>
      <c r="J1461" s="6" t="s">
        <v>3289</v>
      </c>
      <c r="K1461" s="12">
        <v>46120.705937500003</v>
      </c>
      <c r="L1461" s="6" t="e" cm="1">
        <f t="array" ref="L1461">LOOKUP(2^15,SEARCH(Tabela2[Palavras-Chave],Boletim4[[#This Row],[Objeto]],1),Tabela2[Palavras-Chave])</f>
        <v>#N/A</v>
      </c>
    </row>
    <row r="1462" spans="1:12" ht="259.2" hidden="1" x14ac:dyDescent="0.3">
      <c r="A1462" s="5">
        <v>18796341</v>
      </c>
      <c r="B1462" s="6" t="s">
        <v>2348</v>
      </c>
      <c r="C1462" s="6" t="s">
        <v>2349</v>
      </c>
      <c r="D1462" s="8" t="s">
        <v>82</v>
      </c>
      <c r="E1462" s="6" t="s">
        <v>122</v>
      </c>
      <c r="F1462" s="6" t="s">
        <v>85</v>
      </c>
      <c r="G1462" s="11" t="s">
        <v>56</v>
      </c>
      <c r="I1462" s="10" t="s">
        <v>2350</v>
      </c>
      <c r="J1462" s="6" t="s">
        <v>2351</v>
      </c>
      <c r="K1462" s="12">
        <v>46120.721574074072</v>
      </c>
      <c r="L1462" s="6" t="e" cm="1">
        <f t="array" ref="L1462">LOOKUP(2^15,SEARCH(Tabela2[Palavras-Chave],Boletim4[[#This Row],[Objeto]],1),Tabela2[Palavras-Chave])</f>
        <v>#N/A</v>
      </c>
    </row>
    <row r="1463" spans="1:12" ht="43.2" hidden="1" x14ac:dyDescent="0.3">
      <c r="A1463" s="5">
        <v>18804870</v>
      </c>
      <c r="B1463" s="6" t="s">
        <v>3290</v>
      </c>
      <c r="C1463" s="6" t="s">
        <v>3291</v>
      </c>
      <c r="D1463" s="8" t="s">
        <v>82</v>
      </c>
      <c r="E1463" s="6" t="s">
        <v>108</v>
      </c>
      <c r="F1463" s="6" t="s">
        <v>85</v>
      </c>
      <c r="G1463" s="11">
        <v>46136.375</v>
      </c>
      <c r="I1463" s="10" t="s">
        <v>3292</v>
      </c>
      <c r="J1463" s="6" t="s">
        <v>3293</v>
      </c>
      <c r="K1463" s="12">
        <v>46120.726967592593</v>
      </c>
      <c r="L1463" s="6" t="e" cm="1">
        <f t="array" ref="L1463">LOOKUP(2^15,SEARCH(Tabela2[Palavras-Chave],Boletim4[[#This Row],[Objeto]],1),Tabela2[Palavras-Chave])</f>
        <v>#N/A</v>
      </c>
    </row>
    <row r="1464" spans="1:12" ht="43.2" hidden="1" x14ac:dyDescent="0.3">
      <c r="A1464" s="5">
        <v>18805467</v>
      </c>
      <c r="B1464" s="6" t="s">
        <v>3294</v>
      </c>
      <c r="C1464" s="6" t="s">
        <v>3295</v>
      </c>
      <c r="D1464" s="8" t="s">
        <v>82</v>
      </c>
      <c r="E1464" s="6" t="s">
        <v>1222</v>
      </c>
      <c r="F1464" s="6" t="s">
        <v>85</v>
      </c>
      <c r="G1464" s="11">
        <v>46140.375</v>
      </c>
      <c r="I1464" s="10" t="s">
        <v>3296</v>
      </c>
      <c r="J1464" s="6" t="s">
        <v>3297</v>
      </c>
      <c r="K1464" s="12">
        <v>46120.727777777778</v>
      </c>
      <c r="L1464" s="6" t="e" cm="1">
        <f t="array" ref="L1464">LOOKUP(2^15,SEARCH(Tabela2[Palavras-Chave],Boletim4[[#This Row],[Objeto]],1),Tabela2[Palavras-Chave])</f>
        <v>#N/A</v>
      </c>
    </row>
    <row r="1465" spans="1:12" ht="115.2" hidden="1" x14ac:dyDescent="0.3">
      <c r="A1465" s="5">
        <v>18802985</v>
      </c>
      <c r="B1465" s="6" t="s">
        <v>2352</v>
      </c>
      <c r="C1465" s="6" t="s">
        <v>2353</v>
      </c>
      <c r="D1465" s="8" t="s">
        <v>82</v>
      </c>
      <c r="E1465" s="6" t="s">
        <v>184</v>
      </c>
      <c r="F1465" s="6" t="s">
        <v>85</v>
      </c>
      <c r="G1465" s="11" t="s">
        <v>56</v>
      </c>
      <c r="I1465" s="10" t="s">
        <v>2354</v>
      </c>
      <c r="J1465" s="6" t="s">
        <v>2355</v>
      </c>
      <c r="K1465" s="12">
        <v>46120.727812500001</v>
      </c>
      <c r="L1465" s="6" t="e" cm="1">
        <f t="array" ref="L1465">LOOKUP(2^15,SEARCH(Tabela2[Palavras-Chave],Boletim4[[#This Row],[Objeto]],1),Tabela2[Palavras-Chave])</f>
        <v>#N/A</v>
      </c>
    </row>
    <row r="1466" spans="1:12" ht="100.8" hidden="1" x14ac:dyDescent="0.3">
      <c r="A1466" s="5">
        <v>18804773</v>
      </c>
      <c r="B1466" s="6" t="s">
        <v>409</v>
      </c>
      <c r="C1466" s="6" t="s">
        <v>410</v>
      </c>
      <c r="D1466" s="8" t="s">
        <v>82</v>
      </c>
      <c r="E1466" s="6" t="s">
        <v>198</v>
      </c>
      <c r="F1466" s="6" t="s">
        <v>85</v>
      </c>
      <c r="G1466" s="11">
        <v>46126.374305555553</v>
      </c>
      <c r="I1466" s="10" t="s">
        <v>2356</v>
      </c>
      <c r="J1466" s="6" t="s">
        <v>2357</v>
      </c>
      <c r="K1466" s="12">
        <v>46120.784062500003</v>
      </c>
      <c r="L1466" s="6" t="e" cm="1">
        <f t="array" ref="L1466">LOOKUP(2^15,SEARCH(Tabela2[Palavras-Chave],Boletim4[[#This Row],[Objeto]],1),Tabela2[Palavras-Chave])</f>
        <v>#N/A</v>
      </c>
    </row>
    <row r="1467" spans="1:12" ht="100.8" hidden="1" x14ac:dyDescent="0.3">
      <c r="A1467" s="5">
        <v>18804733</v>
      </c>
      <c r="B1467" s="6" t="s">
        <v>411</v>
      </c>
      <c r="C1467" s="6" t="s">
        <v>412</v>
      </c>
      <c r="D1467" s="8" t="s">
        <v>82</v>
      </c>
      <c r="E1467" s="6" t="s">
        <v>2358</v>
      </c>
      <c r="F1467" s="6" t="s">
        <v>85</v>
      </c>
      <c r="G1467" s="11">
        <v>46147.395833333336</v>
      </c>
      <c r="I1467" s="10" t="s">
        <v>2359</v>
      </c>
      <c r="J1467" s="6" t="s">
        <v>2360</v>
      </c>
      <c r="K1467" s="12">
        <v>46120.731087962966</v>
      </c>
      <c r="L1467" s="6" t="e" cm="1">
        <f t="array" ref="L1467">LOOKUP(2^15,SEARCH(Tabela2[Palavras-Chave],Boletim4[[#This Row],[Objeto]],1),Tabela2[Palavras-Chave])</f>
        <v>#N/A</v>
      </c>
    </row>
    <row r="1468" spans="1:12" ht="115.2" hidden="1" x14ac:dyDescent="0.3">
      <c r="A1468" s="5">
        <v>18804621</v>
      </c>
      <c r="B1468" s="6" t="s">
        <v>289</v>
      </c>
      <c r="C1468" s="6" t="s">
        <v>164</v>
      </c>
      <c r="D1468" s="8" t="s">
        <v>82</v>
      </c>
      <c r="E1468" s="6" t="s">
        <v>2361</v>
      </c>
      <c r="F1468" s="6" t="s">
        <v>85</v>
      </c>
      <c r="G1468" s="11">
        <v>46136.333333333336</v>
      </c>
      <c r="I1468" s="10" t="s">
        <v>2362</v>
      </c>
      <c r="J1468" s="6" t="s">
        <v>2363</v>
      </c>
      <c r="K1468" s="12">
        <v>46120.73228009259</v>
      </c>
      <c r="L1468" s="6" t="e" cm="1">
        <f t="array" ref="L1468">LOOKUP(2^15,SEARCH(Tabela2[Palavras-Chave],Boletim4[[#This Row],[Objeto]],1),Tabela2[Palavras-Chave])</f>
        <v>#N/A</v>
      </c>
    </row>
    <row r="1469" spans="1:12" ht="115.2" hidden="1" x14ac:dyDescent="0.3">
      <c r="A1469" s="5">
        <v>18804686</v>
      </c>
      <c r="B1469" s="6" t="s">
        <v>289</v>
      </c>
      <c r="C1469" s="6" t="s">
        <v>164</v>
      </c>
      <c r="D1469" s="8" t="s">
        <v>82</v>
      </c>
      <c r="E1469" s="6" t="s">
        <v>386</v>
      </c>
      <c r="F1469" s="6" t="s">
        <v>85</v>
      </c>
      <c r="G1469" s="11">
        <v>46134.333333333336</v>
      </c>
      <c r="I1469" s="10" t="s">
        <v>3298</v>
      </c>
      <c r="J1469" s="6" t="s">
        <v>3299</v>
      </c>
      <c r="K1469" s="12">
        <v>46120.73232638889</v>
      </c>
      <c r="L1469" s="6" t="e" cm="1">
        <f t="array" ref="L1469">LOOKUP(2^15,SEARCH(Tabela2[Palavras-Chave],Boletim4[[#This Row],[Objeto]],1),Tabela2[Palavras-Chave])</f>
        <v>#N/A</v>
      </c>
    </row>
    <row r="1470" spans="1:12" ht="100.8" hidden="1" x14ac:dyDescent="0.3">
      <c r="A1470" s="5">
        <v>18804729</v>
      </c>
      <c r="B1470" s="6" t="s">
        <v>411</v>
      </c>
      <c r="C1470" s="6" t="s">
        <v>412</v>
      </c>
      <c r="D1470" s="8" t="s">
        <v>82</v>
      </c>
      <c r="E1470" s="6" t="s">
        <v>2364</v>
      </c>
      <c r="F1470" s="6" t="s">
        <v>85</v>
      </c>
      <c r="G1470" s="11">
        <v>46148.604166666664</v>
      </c>
      <c r="I1470" s="10" t="s">
        <v>2365</v>
      </c>
      <c r="J1470" s="6" t="s">
        <v>2366</v>
      </c>
      <c r="K1470" s="12">
        <v>46120.732453703706</v>
      </c>
      <c r="L1470" s="6" t="e" cm="1">
        <f t="array" ref="L1470">LOOKUP(2^15,SEARCH(Tabela2[Palavras-Chave],Boletim4[[#This Row],[Objeto]],1),Tabela2[Palavras-Chave])</f>
        <v>#N/A</v>
      </c>
    </row>
    <row r="1471" spans="1:12" ht="100.8" hidden="1" x14ac:dyDescent="0.3">
      <c r="A1471" s="5">
        <v>18804195</v>
      </c>
      <c r="B1471" s="6" t="s">
        <v>2367</v>
      </c>
      <c r="C1471" s="6" t="s">
        <v>2368</v>
      </c>
      <c r="D1471" s="8" t="s">
        <v>82</v>
      </c>
      <c r="E1471" s="6" t="s">
        <v>106</v>
      </c>
      <c r="F1471" s="6" t="s">
        <v>85</v>
      </c>
      <c r="G1471" s="11" t="s">
        <v>56</v>
      </c>
      <c r="I1471" s="10" t="s">
        <v>2369</v>
      </c>
      <c r="J1471" s="6" t="s">
        <v>2370</v>
      </c>
      <c r="K1471" s="12">
        <v>46120.735300925924</v>
      </c>
      <c r="L1471" s="6" t="e" cm="1">
        <f t="array" ref="L1471">LOOKUP(2^15,SEARCH(Tabela2[Palavras-Chave],Boletim4[[#This Row],[Objeto]],1),Tabela2[Palavras-Chave])</f>
        <v>#N/A</v>
      </c>
    </row>
    <row r="1472" spans="1:12" ht="86.4" hidden="1" x14ac:dyDescent="0.3">
      <c r="A1472" s="5">
        <v>18801487</v>
      </c>
      <c r="B1472" s="6" t="s">
        <v>2286</v>
      </c>
      <c r="C1472" s="6" t="s">
        <v>2287</v>
      </c>
      <c r="D1472" s="8" t="s">
        <v>82</v>
      </c>
      <c r="E1472" s="6" t="s">
        <v>2268</v>
      </c>
      <c r="F1472" s="6" t="s">
        <v>85</v>
      </c>
      <c r="G1472" s="11" t="s">
        <v>56</v>
      </c>
      <c r="I1472" s="10" t="s">
        <v>2371</v>
      </c>
      <c r="J1472" s="6" t="s">
        <v>2372</v>
      </c>
      <c r="K1472" s="12">
        <v>46120.736250000002</v>
      </c>
      <c r="L1472" s="6" t="e" cm="1">
        <f t="array" ref="L1472">LOOKUP(2^15,SEARCH(Tabela2[Palavras-Chave],Boletim4[[#This Row],[Objeto]],1),Tabela2[Palavras-Chave])</f>
        <v>#N/A</v>
      </c>
    </row>
    <row r="1473" spans="1:12" ht="158.4" hidden="1" x14ac:dyDescent="0.3">
      <c r="A1473" s="5">
        <v>18805488</v>
      </c>
      <c r="B1473" s="6" t="s">
        <v>2373</v>
      </c>
      <c r="C1473" s="6" t="s">
        <v>83</v>
      </c>
      <c r="D1473" s="8" t="s">
        <v>82</v>
      </c>
      <c r="E1473" s="6" t="s">
        <v>2374</v>
      </c>
      <c r="F1473" s="6" t="s">
        <v>85</v>
      </c>
      <c r="G1473" s="11">
        <v>46134.395833333336</v>
      </c>
      <c r="I1473" s="10" t="s">
        <v>2375</v>
      </c>
      <c r="J1473" s="6" t="s">
        <v>2376</v>
      </c>
      <c r="K1473" s="12">
        <v>46120.737893518519</v>
      </c>
      <c r="L1473" s="6" t="e" cm="1">
        <f t="array" ref="L1473">LOOKUP(2^15,SEARCH(Tabela2[Palavras-Chave],Boletim4[[#This Row],[Objeto]],1),Tabela2[Palavras-Chave])</f>
        <v>#N/A</v>
      </c>
    </row>
    <row r="1474" spans="1:12" ht="288" hidden="1" x14ac:dyDescent="0.3">
      <c r="A1474" s="5">
        <v>18805400</v>
      </c>
      <c r="B1474" s="6" t="s">
        <v>2377</v>
      </c>
      <c r="C1474" s="6" t="s">
        <v>2378</v>
      </c>
      <c r="D1474" s="8" t="s">
        <v>82</v>
      </c>
      <c r="E1474" s="6" t="s">
        <v>1849</v>
      </c>
      <c r="F1474" s="6" t="s">
        <v>85</v>
      </c>
      <c r="G1474" s="11" t="s">
        <v>56</v>
      </c>
      <c r="I1474" s="10" t="s">
        <v>2379</v>
      </c>
      <c r="J1474" s="6" t="s">
        <v>2380</v>
      </c>
      <c r="K1474" s="12">
        <v>46120.737974537034</v>
      </c>
      <c r="L1474" s="6" t="e" cm="1">
        <f t="array" ref="L1474">LOOKUP(2^15,SEARCH(Tabela2[Palavras-Chave],Boletim4[[#This Row],[Objeto]],1),Tabela2[Palavras-Chave])</f>
        <v>#N/A</v>
      </c>
    </row>
    <row r="1475" spans="1:12" ht="259.2" hidden="1" x14ac:dyDescent="0.3">
      <c r="A1475" s="5">
        <v>18805610</v>
      </c>
      <c r="B1475" s="6" t="s">
        <v>1157</v>
      </c>
      <c r="C1475" s="6" t="s">
        <v>1110</v>
      </c>
      <c r="D1475" s="8" t="s">
        <v>82</v>
      </c>
      <c r="E1475" s="6" t="s">
        <v>1222</v>
      </c>
      <c r="F1475" s="6" t="s">
        <v>85</v>
      </c>
      <c r="G1475" s="11" t="s">
        <v>56</v>
      </c>
      <c r="I1475" s="10" t="s">
        <v>2381</v>
      </c>
      <c r="J1475" s="6" t="s">
        <v>2382</v>
      </c>
      <c r="K1475" s="12">
        <v>46120.745740740742</v>
      </c>
      <c r="L1475" s="6" t="e" cm="1">
        <f t="array" ref="L1475">LOOKUP(2^15,SEARCH(Tabela2[Palavras-Chave],Boletim4[[#This Row],[Objeto]],1),Tabela2[Palavras-Chave])</f>
        <v>#N/A</v>
      </c>
    </row>
    <row r="1476" spans="1:12" ht="259.2" hidden="1" x14ac:dyDescent="0.3">
      <c r="A1476" s="5">
        <v>18805618</v>
      </c>
      <c r="B1476" s="6" t="s">
        <v>1157</v>
      </c>
      <c r="C1476" s="6" t="s">
        <v>1110</v>
      </c>
      <c r="D1476" s="8" t="s">
        <v>82</v>
      </c>
      <c r="E1476" s="6" t="s">
        <v>274</v>
      </c>
      <c r="F1476" s="6" t="s">
        <v>85</v>
      </c>
      <c r="G1476" s="11" t="s">
        <v>56</v>
      </c>
      <c r="I1476" s="10" t="s">
        <v>2383</v>
      </c>
      <c r="J1476" s="6" t="s">
        <v>2384</v>
      </c>
      <c r="K1476" s="12">
        <v>46120.754467592589</v>
      </c>
      <c r="L1476" s="6" t="e" cm="1">
        <f t="array" ref="L1476">LOOKUP(2^15,SEARCH(Tabela2[Palavras-Chave],Boletim4[[#This Row],[Objeto]],1),Tabela2[Palavras-Chave])</f>
        <v>#N/A</v>
      </c>
    </row>
    <row r="1477" spans="1:12" ht="72" hidden="1" x14ac:dyDescent="0.3">
      <c r="A1477" s="5">
        <v>18801872</v>
      </c>
      <c r="B1477" s="6" t="s">
        <v>345</v>
      </c>
      <c r="C1477" s="6" t="s">
        <v>346</v>
      </c>
      <c r="D1477" s="8" t="s">
        <v>82</v>
      </c>
      <c r="E1477" s="6" t="s">
        <v>205</v>
      </c>
      <c r="F1477" s="6" t="s">
        <v>85</v>
      </c>
      <c r="G1477" s="11">
        <v>46160.333333333336</v>
      </c>
      <c r="I1477" s="10" t="s">
        <v>2385</v>
      </c>
      <c r="J1477" s="6" t="s">
        <v>2386</v>
      </c>
      <c r="K1477" s="12">
        <v>46120.763935185183</v>
      </c>
      <c r="L1477" s="6" t="e" cm="1">
        <f t="array" ref="L1477">LOOKUP(2^15,SEARCH(Tabela2[Palavras-Chave],Boletim4[[#This Row],[Objeto]],1),Tabela2[Palavras-Chave])</f>
        <v>#N/A</v>
      </c>
    </row>
    <row r="1478" spans="1:12" ht="57.6" hidden="1" x14ac:dyDescent="0.3">
      <c r="A1478" s="5">
        <v>18805775</v>
      </c>
      <c r="B1478" s="6" t="s">
        <v>3300</v>
      </c>
      <c r="C1478" s="6" t="s">
        <v>3301</v>
      </c>
      <c r="D1478" s="8" t="s">
        <v>82</v>
      </c>
      <c r="E1478" s="6" t="s">
        <v>426</v>
      </c>
      <c r="F1478" s="6" t="s">
        <v>85</v>
      </c>
      <c r="G1478" s="11">
        <v>46136.354166666664</v>
      </c>
      <c r="I1478" s="10" t="s">
        <v>3302</v>
      </c>
      <c r="J1478" s="6" t="s">
        <v>3303</v>
      </c>
      <c r="K1478" s="12">
        <v>46120.770428240743</v>
      </c>
      <c r="L1478" s="6" t="e" cm="1">
        <f t="array" ref="L1478">LOOKUP(2^15,SEARCH(Tabela2[Palavras-Chave],Boletim4[[#This Row],[Objeto]],1),Tabela2[Palavras-Chave])</f>
        <v>#N/A</v>
      </c>
    </row>
    <row r="1479" spans="1:12" ht="259.2" hidden="1" x14ac:dyDescent="0.3">
      <c r="A1479" s="5">
        <v>18801581</v>
      </c>
      <c r="B1479" s="6" t="s">
        <v>2387</v>
      </c>
      <c r="C1479" s="6" t="s">
        <v>2388</v>
      </c>
      <c r="D1479" s="8" t="s">
        <v>82</v>
      </c>
      <c r="E1479" s="6" t="s">
        <v>143</v>
      </c>
      <c r="F1479" s="6" t="s">
        <v>85</v>
      </c>
      <c r="G1479" s="11" t="s">
        <v>56</v>
      </c>
      <c r="I1479" s="10" t="s">
        <v>2389</v>
      </c>
      <c r="J1479" s="6" t="s">
        <v>2390</v>
      </c>
      <c r="K1479" s="12">
        <v>46120.772928240738</v>
      </c>
      <c r="L1479" s="6" t="e" cm="1">
        <f t="array" ref="L1479">LOOKUP(2^15,SEARCH(Tabela2[Palavras-Chave],Boletim4[[#This Row],[Objeto]],1),Tabela2[Palavras-Chave])</f>
        <v>#N/A</v>
      </c>
    </row>
    <row r="1480" spans="1:12" ht="43.2" hidden="1" x14ac:dyDescent="0.3">
      <c r="A1480" s="5">
        <v>18805969</v>
      </c>
      <c r="B1480" s="6" t="s">
        <v>3294</v>
      </c>
      <c r="C1480" s="6" t="s">
        <v>3295</v>
      </c>
      <c r="D1480" s="8" t="s">
        <v>82</v>
      </c>
      <c r="E1480" s="6" t="s">
        <v>2268</v>
      </c>
      <c r="F1480" s="6" t="s">
        <v>85</v>
      </c>
      <c r="G1480" s="11">
        <v>46141.604166666664</v>
      </c>
      <c r="I1480" s="10" t="s">
        <v>3304</v>
      </c>
      <c r="J1480" s="6" t="s">
        <v>3305</v>
      </c>
      <c r="K1480" s="12">
        <v>46120.787083333336</v>
      </c>
      <c r="L1480" s="6" t="e" cm="1">
        <f t="array" ref="L1480">LOOKUP(2^15,SEARCH(Tabela2[Palavras-Chave],Boletim4[[#This Row],[Objeto]],1),Tabela2[Palavras-Chave])</f>
        <v>#N/A</v>
      </c>
    </row>
    <row r="1481" spans="1:12" ht="129.6" hidden="1" x14ac:dyDescent="0.3">
      <c r="A1481" s="5">
        <v>18806058</v>
      </c>
      <c r="B1481" s="6" t="s">
        <v>2391</v>
      </c>
      <c r="C1481" s="6" t="s">
        <v>2392</v>
      </c>
      <c r="D1481" s="8" t="s">
        <v>82</v>
      </c>
      <c r="E1481" s="6" t="s">
        <v>108</v>
      </c>
      <c r="F1481" s="6" t="s">
        <v>85</v>
      </c>
      <c r="G1481" s="11" t="s">
        <v>56</v>
      </c>
      <c r="I1481" s="10" t="s">
        <v>2393</v>
      </c>
      <c r="J1481" s="6" t="s">
        <v>2394</v>
      </c>
      <c r="K1481" s="12">
        <v>46120.812581018516</v>
      </c>
      <c r="L1481" s="6" t="e" cm="1">
        <f t="array" ref="L1481">LOOKUP(2^15,SEARCH(Tabela2[Palavras-Chave],Boletim4[[#This Row],[Objeto]],1),Tabela2[Palavras-Chave])</f>
        <v>#N/A</v>
      </c>
    </row>
    <row r="1482" spans="1:12" ht="72" hidden="1" x14ac:dyDescent="0.3">
      <c r="A1482" s="5">
        <v>18798461</v>
      </c>
      <c r="B1482" s="6" t="s">
        <v>3306</v>
      </c>
      <c r="C1482" s="6" t="s">
        <v>83</v>
      </c>
      <c r="D1482" s="8" t="s">
        <v>82</v>
      </c>
      <c r="E1482" s="6" t="s">
        <v>3307</v>
      </c>
      <c r="F1482" s="6" t="s">
        <v>85</v>
      </c>
      <c r="G1482" s="11">
        <v>46140</v>
      </c>
      <c r="I1482" s="10" t="s">
        <v>3308</v>
      </c>
      <c r="J1482" s="6" t="s">
        <v>3309</v>
      </c>
      <c r="K1482" s="12">
        <v>46120.824490740742</v>
      </c>
      <c r="L1482" s="6" t="e" cm="1">
        <f t="array" ref="L1482">LOOKUP(2^15,SEARCH(Tabela2[Palavras-Chave],Boletim4[[#This Row],[Objeto]],1),Tabela2[Palavras-Chave])</f>
        <v>#N/A</v>
      </c>
    </row>
    <row r="1483" spans="1:12" ht="86.4" hidden="1" x14ac:dyDescent="0.3">
      <c r="A1483" s="5">
        <v>18806198</v>
      </c>
      <c r="B1483" s="6" t="s">
        <v>2395</v>
      </c>
      <c r="C1483" s="6" t="s">
        <v>2396</v>
      </c>
      <c r="D1483" s="8" t="s">
        <v>82</v>
      </c>
      <c r="E1483" s="6" t="s">
        <v>247</v>
      </c>
      <c r="F1483" s="6" t="s">
        <v>85</v>
      </c>
      <c r="G1483" s="11" t="s">
        <v>56</v>
      </c>
      <c r="I1483" s="10" t="s">
        <v>2397</v>
      </c>
      <c r="J1483" s="6" t="s">
        <v>2398</v>
      </c>
      <c r="K1483" s="12">
        <v>46120.824861111112</v>
      </c>
      <c r="L1483" s="6" t="e" cm="1">
        <f t="array" ref="L1483">LOOKUP(2^15,SEARCH(Tabela2[Palavras-Chave],Boletim4[[#This Row],[Objeto]],1),Tabela2[Palavras-Chave])</f>
        <v>#N/A</v>
      </c>
    </row>
    <row r="1484" spans="1:12" ht="28.8" hidden="1" x14ac:dyDescent="0.3">
      <c r="A1484" s="5">
        <v>18806249</v>
      </c>
      <c r="B1484" s="6" t="s">
        <v>2399</v>
      </c>
      <c r="C1484" s="6" t="s">
        <v>2400</v>
      </c>
      <c r="D1484" s="8" t="s">
        <v>82</v>
      </c>
      <c r="E1484" s="6" t="s">
        <v>120</v>
      </c>
      <c r="F1484" s="6" t="s">
        <v>85</v>
      </c>
      <c r="G1484" s="11">
        <v>46135.375</v>
      </c>
      <c r="I1484" s="10" t="s">
        <v>2401</v>
      </c>
      <c r="J1484" s="6" t="s">
        <v>2402</v>
      </c>
      <c r="K1484" s="12">
        <v>46120.839745370373</v>
      </c>
      <c r="L1484" s="6" t="e" cm="1">
        <f t="array" ref="L1484">LOOKUP(2^15,SEARCH(Tabela2[Palavras-Chave],Boletim4[[#This Row],[Objeto]],1),Tabela2[Palavras-Chave])</f>
        <v>#N/A</v>
      </c>
    </row>
    <row r="1485" spans="1:12" ht="43.2" x14ac:dyDescent="0.3">
      <c r="A1485" s="5">
        <v>18806254</v>
      </c>
      <c r="B1485" s="6" t="s">
        <v>287</v>
      </c>
      <c r="C1485" s="6" t="s">
        <v>288</v>
      </c>
      <c r="D1485" s="8" t="s">
        <v>82</v>
      </c>
      <c r="E1485" s="6" t="s">
        <v>134</v>
      </c>
      <c r="F1485" s="6" t="s">
        <v>85</v>
      </c>
      <c r="G1485" s="11">
        <v>46135.375</v>
      </c>
      <c r="H1485" s="23">
        <v>2</v>
      </c>
      <c r="I1485" s="10" t="s">
        <v>2403</v>
      </c>
      <c r="J1485" s="6" t="s">
        <v>2404</v>
      </c>
      <c r="K1485" s="12">
        <v>46120.841874999998</v>
      </c>
      <c r="L1485" s="6" t="str" cm="1">
        <f t="array" ref="L1485">LOOKUP(2^15,SEARCH(Tabela2[Palavras-Chave],Boletim4[[#This Row],[Objeto]],1),Tabela2[Palavras-Chave])</f>
        <v>MEDIÇÃO</v>
      </c>
    </row>
    <row r="1486" spans="1:12" ht="43.2" hidden="1" x14ac:dyDescent="0.3">
      <c r="A1486" s="5">
        <v>18806361</v>
      </c>
      <c r="B1486" s="6" t="s">
        <v>3310</v>
      </c>
      <c r="C1486" s="6" t="s">
        <v>83</v>
      </c>
      <c r="D1486" s="8" t="s">
        <v>82</v>
      </c>
      <c r="E1486" s="6" t="s">
        <v>3311</v>
      </c>
      <c r="F1486" s="6" t="s">
        <v>85</v>
      </c>
      <c r="G1486" s="11">
        <v>46134.666666666664</v>
      </c>
      <c r="I1486" s="10" t="s">
        <v>3312</v>
      </c>
      <c r="J1486" s="6" t="s">
        <v>3313</v>
      </c>
      <c r="K1486" s="12">
        <v>46120.857361111113</v>
      </c>
      <c r="L1486" s="6" t="e" cm="1">
        <f t="array" ref="L1486">LOOKUP(2^15,SEARCH(Tabela2[Palavras-Chave],Boletim4[[#This Row],[Objeto]],1),Tabela2[Palavras-Chave])</f>
        <v>#N/A</v>
      </c>
    </row>
    <row r="1487" spans="1:12" ht="115.2" hidden="1" x14ac:dyDescent="0.3">
      <c r="A1487" s="5">
        <v>18802965</v>
      </c>
      <c r="B1487" s="6" t="s">
        <v>2405</v>
      </c>
      <c r="C1487" s="6" t="s">
        <v>2406</v>
      </c>
      <c r="D1487" s="8" t="s">
        <v>82</v>
      </c>
      <c r="E1487" s="6" t="s">
        <v>1471</v>
      </c>
      <c r="F1487" s="6" t="s">
        <v>85</v>
      </c>
      <c r="G1487" s="11" t="s">
        <v>56</v>
      </c>
      <c r="I1487" s="10" t="s">
        <v>2407</v>
      </c>
      <c r="J1487" s="6" t="s">
        <v>2408</v>
      </c>
      <c r="K1487" s="12">
        <v>46120.859849537039</v>
      </c>
      <c r="L1487" s="6" t="e" cm="1">
        <f t="array" ref="L1487">LOOKUP(2^15,SEARCH(Tabela2[Palavras-Chave],Boletim4[[#This Row],[Objeto]],1),Tabela2[Palavras-Chave])</f>
        <v>#N/A</v>
      </c>
    </row>
    <row r="1488" spans="1:12" ht="72" hidden="1" x14ac:dyDescent="0.3">
      <c r="A1488" s="5">
        <v>18806342</v>
      </c>
      <c r="B1488" s="6" t="s">
        <v>3314</v>
      </c>
      <c r="C1488" s="6" t="s">
        <v>3315</v>
      </c>
      <c r="D1488" s="8" t="s">
        <v>82</v>
      </c>
      <c r="E1488" s="6" t="s">
        <v>3316</v>
      </c>
      <c r="F1488" s="6" t="s">
        <v>85</v>
      </c>
      <c r="G1488" s="11" t="s">
        <v>56</v>
      </c>
      <c r="I1488" s="10" t="s">
        <v>3317</v>
      </c>
      <c r="J1488" s="6" t="s">
        <v>3318</v>
      </c>
      <c r="K1488" s="12">
        <v>46120.865543981483</v>
      </c>
      <c r="L1488" s="6" t="e" cm="1">
        <f t="array" ref="L1488">LOOKUP(2^15,SEARCH(Tabela2[Palavras-Chave],Boletim4[[#This Row],[Objeto]],1),Tabela2[Palavras-Chave])</f>
        <v>#N/A</v>
      </c>
    </row>
    <row r="1489" spans="1:12" ht="28.8" hidden="1" x14ac:dyDescent="0.3">
      <c r="A1489" s="5">
        <v>18804711</v>
      </c>
      <c r="B1489" s="6" t="s">
        <v>2409</v>
      </c>
      <c r="C1489" s="6" t="s">
        <v>413</v>
      </c>
      <c r="D1489" s="8" t="s">
        <v>82</v>
      </c>
      <c r="E1489" s="6" t="s">
        <v>145</v>
      </c>
      <c r="F1489" s="6" t="s">
        <v>85</v>
      </c>
      <c r="G1489" s="11" t="s">
        <v>56</v>
      </c>
      <c r="I1489" s="10" t="s">
        <v>2410</v>
      </c>
      <c r="J1489" s="6" t="s">
        <v>190</v>
      </c>
      <c r="K1489" s="12">
        <v>46120.869050925925</v>
      </c>
      <c r="L1489" s="6" t="e" cm="1">
        <f t="array" ref="L1489">LOOKUP(2^15,SEARCH(Tabela2[Palavras-Chave],Boletim4[[#This Row],[Objeto]],1),Tabela2[Palavras-Chave])</f>
        <v>#N/A</v>
      </c>
    </row>
    <row r="1490" spans="1:12" ht="86.4" hidden="1" x14ac:dyDescent="0.3">
      <c r="A1490" s="5">
        <v>18803463</v>
      </c>
      <c r="B1490" s="6" t="s">
        <v>3319</v>
      </c>
      <c r="C1490" s="6" t="s">
        <v>182</v>
      </c>
      <c r="D1490" s="8" t="s">
        <v>82</v>
      </c>
      <c r="E1490" s="6" t="s">
        <v>171</v>
      </c>
      <c r="F1490" s="6" t="s">
        <v>85</v>
      </c>
      <c r="G1490" s="11" t="s">
        <v>56</v>
      </c>
      <c r="I1490" s="10" t="s">
        <v>3320</v>
      </c>
      <c r="J1490" s="6" t="s">
        <v>3321</v>
      </c>
      <c r="K1490" s="12">
        <v>46120.883553240739</v>
      </c>
      <c r="L1490" s="6" t="e" cm="1">
        <f t="array" ref="L1490">LOOKUP(2^15,SEARCH(Tabela2[Palavras-Chave],Boletim4[[#This Row],[Objeto]],1),Tabela2[Palavras-Chave])</f>
        <v>#N/A</v>
      </c>
    </row>
    <row r="1491" spans="1:12" ht="158.4" hidden="1" x14ac:dyDescent="0.3">
      <c r="A1491" s="5">
        <v>18806404</v>
      </c>
      <c r="B1491" s="6" t="s">
        <v>3322</v>
      </c>
      <c r="C1491" s="6" t="s">
        <v>3323</v>
      </c>
      <c r="D1491" s="8" t="s">
        <v>82</v>
      </c>
      <c r="E1491" s="6" t="s">
        <v>173</v>
      </c>
      <c r="F1491" s="6" t="s">
        <v>85</v>
      </c>
      <c r="G1491" s="11">
        <v>46122.708333333336</v>
      </c>
      <c r="I1491" s="10" t="s">
        <v>3324</v>
      </c>
      <c r="J1491" s="6" t="s">
        <v>3325</v>
      </c>
      <c r="K1491" s="12">
        <v>46120.886273148149</v>
      </c>
      <c r="L1491" s="6" t="e" cm="1">
        <f t="array" ref="L1491">LOOKUP(2^15,SEARCH(Tabela2[Palavras-Chave],Boletim4[[#This Row],[Objeto]],1),Tabela2[Palavras-Chave])</f>
        <v>#N/A</v>
      </c>
    </row>
    <row r="1492" spans="1:12" ht="86.4" hidden="1" x14ac:dyDescent="0.3">
      <c r="A1492" s="5">
        <v>18801485</v>
      </c>
      <c r="B1492" s="6" t="s">
        <v>3326</v>
      </c>
      <c r="C1492" s="6" t="s">
        <v>3327</v>
      </c>
      <c r="D1492" s="8" t="s">
        <v>82</v>
      </c>
      <c r="E1492" s="6" t="s">
        <v>265</v>
      </c>
      <c r="F1492" s="6" t="s">
        <v>85</v>
      </c>
      <c r="G1492" s="11" t="s">
        <v>56</v>
      </c>
      <c r="I1492" s="10" t="s">
        <v>3328</v>
      </c>
      <c r="J1492" s="6" t="s">
        <v>3329</v>
      </c>
      <c r="K1492" s="12">
        <v>46120.891180555554</v>
      </c>
      <c r="L1492" s="6" t="e" cm="1">
        <f t="array" ref="L1492">LOOKUP(2^15,SEARCH(Tabela2[Palavras-Chave],Boletim4[[#This Row],[Objeto]],1),Tabela2[Palavras-Chave])</f>
        <v>#N/A</v>
      </c>
    </row>
    <row r="1493" spans="1:12" ht="57.6" hidden="1" x14ac:dyDescent="0.3">
      <c r="A1493" s="5">
        <v>18803136</v>
      </c>
      <c r="B1493" s="6" t="s">
        <v>3330</v>
      </c>
      <c r="C1493" s="6" t="s">
        <v>3331</v>
      </c>
      <c r="D1493" s="8" t="s">
        <v>84</v>
      </c>
      <c r="E1493" s="6" t="s">
        <v>372</v>
      </c>
      <c r="F1493" s="6" t="s">
        <v>85</v>
      </c>
      <c r="G1493" s="11" t="s">
        <v>56</v>
      </c>
      <c r="I1493" s="10" t="s">
        <v>3332</v>
      </c>
      <c r="J1493" s="6" t="s">
        <v>3333</v>
      </c>
      <c r="K1493" s="12">
        <v>46120.573912037034</v>
      </c>
      <c r="L1493" s="6" t="e" cm="1">
        <f t="array" ref="L1493">LOOKUP(2^15,SEARCH(Tabela2[Palavras-Chave],Boletim4[[#This Row],[Objeto]],1),Tabela2[Palavras-Chave])</f>
        <v>#N/A</v>
      </c>
    </row>
    <row r="1494" spans="1:12" ht="244.8" hidden="1" x14ac:dyDescent="0.3">
      <c r="A1494" s="5">
        <v>18803858</v>
      </c>
      <c r="B1494" s="6" t="s">
        <v>3334</v>
      </c>
      <c r="C1494" s="6" t="s">
        <v>3335</v>
      </c>
      <c r="D1494" s="8" t="s">
        <v>84</v>
      </c>
      <c r="E1494" s="6" t="s">
        <v>148</v>
      </c>
      <c r="F1494" s="6" t="s">
        <v>85</v>
      </c>
      <c r="G1494" s="11" t="s">
        <v>56</v>
      </c>
      <c r="I1494" s="10" t="s">
        <v>3336</v>
      </c>
      <c r="J1494" s="6" t="s">
        <v>3337</v>
      </c>
      <c r="K1494" s="12">
        <v>46120.598587962966</v>
      </c>
      <c r="L1494" s="6" t="e" cm="1">
        <f t="array" ref="L1494">LOOKUP(2^15,SEARCH(Tabela2[Palavras-Chave],Boletim4[[#This Row],[Objeto]],1),Tabela2[Palavras-Chave])</f>
        <v>#N/A</v>
      </c>
    </row>
    <row r="1495" spans="1:12" ht="43.2" hidden="1" x14ac:dyDescent="0.3">
      <c r="A1495" s="5">
        <v>18804388</v>
      </c>
      <c r="B1495" s="6" t="s">
        <v>2411</v>
      </c>
      <c r="C1495" s="6" t="s">
        <v>2412</v>
      </c>
      <c r="D1495" s="8" t="s">
        <v>84</v>
      </c>
      <c r="E1495" s="6" t="s">
        <v>106</v>
      </c>
      <c r="F1495" s="6" t="s">
        <v>85</v>
      </c>
      <c r="G1495" s="11">
        <v>46136</v>
      </c>
      <c r="I1495" s="10" t="s">
        <v>2413</v>
      </c>
      <c r="J1495" s="6" t="s">
        <v>2414</v>
      </c>
      <c r="K1495" s="12">
        <v>46120.809791666667</v>
      </c>
      <c r="L1495" s="6" t="e" cm="1">
        <f t="array" ref="L1495">LOOKUP(2^15,SEARCH(Tabela2[Palavras-Chave],Boletim4[[#This Row],[Objeto]],1),Tabela2[Palavras-Chave])</f>
        <v>#N/A</v>
      </c>
    </row>
    <row r="1496" spans="1:12" ht="57.6" hidden="1" x14ac:dyDescent="0.3">
      <c r="A1496" s="5">
        <v>18805827</v>
      </c>
      <c r="B1496" s="6" t="s">
        <v>3338</v>
      </c>
      <c r="C1496" s="6" t="s">
        <v>3339</v>
      </c>
      <c r="D1496" s="8" t="s">
        <v>84</v>
      </c>
      <c r="E1496" s="6" t="s">
        <v>149</v>
      </c>
      <c r="F1496" s="6" t="s">
        <v>85</v>
      </c>
      <c r="G1496" s="11">
        <v>46136.583333333336</v>
      </c>
      <c r="I1496" s="10" t="s">
        <v>3340</v>
      </c>
      <c r="J1496" s="6" t="s">
        <v>3341</v>
      </c>
      <c r="K1496" s="12">
        <v>46120.785115740742</v>
      </c>
      <c r="L1496" s="6" t="e" cm="1">
        <f t="array" ref="L1496">LOOKUP(2^15,SEARCH(Tabela2[Palavras-Chave],Boletim4[[#This Row],[Objeto]],1),Tabela2[Palavras-Chave])</f>
        <v>#N/A</v>
      </c>
    </row>
    <row r="1497" spans="1:12" ht="409.6" hidden="1" x14ac:dyDescent="0.3">
      <c r="A1497" s="5">
        <v>18705885</v>
      </c>
      <c r="B1497" s="6" t="s">
        <v>3342</v>
      </c>
      <c r="C1497" s="6" t="s">
        <v>3343</v>
      </c>
      <c r="D1497" s="8" t="s">
        <v>144</v>
      </c>
      <c r="E1497" s="6" t="s">
        <v>158</v>
      </c>
      <c r="F1497" s="6" t="s">
        <v>94</v>
      </c>
      <c r="G1497" s="11" t="s">
        <v>56</v>
      </c>
      <c r="I1497" s="10" t="s">
        <v>3344</v>
      </c>
      <c r="J1497" s="6" t="s">
        <v>3345</v>
      </c>
      <c r="K1497" s="12">
        <v>46120.732175925928</v>
      </c>
      <c r="L1497" s="6" t="e" cm="1">
        <f t="array" ref="L1497">LOOKUP(2^15,SEARCH(Tabela2[Palavras-Chave],Boletim4[[#This Row],[Objeto]],1),Tabela2[Palavras-Chave])</f>
        <v>#N/A</v>
      </c>
    </row>
    <row r="1498" spans="1:12" ht="187.2" hidden="1" x14ac:dyDescent="0.3">
      <c r="A1498" s="5">
        <v>18568733</v>
      </c>
      <c r="B1498" s="6" t="s">
        <v>2415</v>
      </c>
      <c r="C1498" s="6" t="s">
        <v>2416</v>
      </c>
      <c r="D1498" s="8" t="s">
        <v>66</v>
      </c>
      <c r="E1498" s="6" t="s">
        <v>2417</v>
      </c>
      <c r="F1498" s="6" t="s">
        <v>94</v>
      </c>
      <c r="G1498" s="11">
        <v>46134.375</v>
      </c>
      <c r="I1498" s="10" t="s">
        <v>2418</v>
      </c>
      <c r="J1498" s="6" t="s">
        <v>2419</v>
      </c>
      <c r="K1498" s="12">
        <v>46120.492106481484</v>
      </c>
      <c r="L1498" s="6" t="e" cm="1">
        <f t="array" ref="L1498">LOOKUP(2^15,SEARCH(Tabela2[Palavras-Chave],Boletim4[[#This Row],[Objeto]],1),Tabela2[Palavras-Chave])</f>
        <v>#N/A</v>
      </c>
    </row>
    <row r="1499" spans="1:12" ht="409.6" hidden="1" x14ac:dyDescent="0.3">
      <c r="A1499" s="5">
        <v>18738871</v>
      </c>
      <c r="B1499" s="6" t="s">
        <v>458</v>
      </c>
      <c r="C1499" s="6" t="s">
        <v>459</v>
      </c>
      <c r="D1499" s="8" t="s">
        <v>66</v>
      </c>
      <c r="E1499" s="6" t="s">
        <v>114</v>
      </c>
      <c r="F1499" s="6" t="s">
        <v>94</v>
      </c>
      <c r="G1499" s="11">
        <v>46135.340277777781</v>
      </c>
      <c r="I1499" s="10" t="s">
        <v>460</v>
      </c>
      <c r="J1499" s="6" t="s">
        <v>2420</v>
      </c>
      <c r="K1499" s="12">
        <v>46120.587627314817</v>
      </c>
      <c r="L1499" s="6" t="e" cm="1">
        <f t="array" ref="L1499">LOOKUP(2^15,SEARCH(Tabela2[Palavras-Chave],Boletim4[[#This Row],[Objeto]],1),Tabela2[Palavras-Chave])</f>
        <v>#N/A</v>
      </c>
    </row>
    <row r="1500" spans="1:12" ht="187.2" hidden="1" x14ac:dyDescent="0.3">
      <c r="A1500" s="5">
        <v>18731492</v>
      </c>
      <c r="B1500" s="6" t="s">
        <v>2421</v>
      </c>
      <c r="C1500" s="6" t="s">
        <v>2422</v>
      </c>
      <c r="D1500" s="8" t="s">
        <v>66</v>
      </c>
      <c r="E1500" s="6" t="s">
        <v>117</v>
      </c>
      <c r="F1500" s="6" t="s">
        <v>94</v>
      </c>
      <c r="G1500" s="11" t="s">
        <v>56</v>
      </c>
      <c r="I1500" s="10" t="s">
        <v>2423</v>
      </c>
      <c r="J1500" s="6" t="s">
        <v>2424</v>
      </c>
      <c r="K1500" s="12">
        <v>46120.617418981485</v>
      </c>
      <c r="L1500" s="6" t="e" cm="1">
        <f t="array" ref="L1500">LOOKUP(2^15,SEARCH(Tabela2[Palavras-Chave],Boletim4[[#This Row],[Objeto]],1),Tabela2[Palavras-Chave])</f>
        <v>#N/A</v>
      </c>
    </row>
    <row r="1501" spans="1:12" ht="172.8" hidden="1" x14ac:dyDescent="0.3">
      <c r="A1501" s="5">
        <v>18803475</v>
      </c>
      <c r="B1501" s="6" t="s">
        <v>2430</v>
      </c>
      <c r="C1501" s="6" t="s">
        <v>2431</v>
      </c>
      <c r="D1501" s="8" t="s">
        <v>66</v>
      </c>
      <c r="E1501" s="6" t="s">
        <v>149</v>
      </c>
      <c r="F1501" s="6" t="s">
        <v>94</v>
      </c>
      <c r="G1501" s="11" t="s">
        <v>56</v>
      </c>
      <c r="I1501" s="10" t="s">
        <v>3346</v>
      </c>
      <c r="J1501" s="6" t="s">
        <v>3347</v>
      </c>
      <c r="K1501" s="12">
        <v>46120.834872685184</v>
      </c>
      <c r="L1501" s="6" t="e" cm="1">
        <f t="array" ref="L1501">LOOKUP(2^15,SEARCH(Tabela2[Palavras-Chave],Boletim4[[#This Row],[Objeto]],1),Tabela2[Palavras-Chave])</f>
        <v>#N/A</v>
      </c>
    </row>
    <row r="1502" spans="1:12" ht="187.2" hidden="1" x14ac:dyDescent="0.3">
      <c r="A1502" s="5">
        <v>18791197</v>
      </c>
      <c r="B1502" s="6" t="s">
        <v>1214</v>
      </c>
      <c r="C1502" s="6" t="s">
        <v>1215</v>
      </c>
      <c r="D1502" s="8" t="s">
        <v>72</v>
      </c>
      <c r="E1502" s="6" t="s">
        <v>126</v>
      </c>
      <c r="F1502" s="6" t="s">
        <v>94</v>
      </c>
      <c r="G1502" s="11" t="s">
        <v>56</v>
      </c>
      <c r="I1502" s="10" t="s">
        <v>2425</v>
      </c>
      <c r="J1502" s="6" t="s">
        <v>2426</v>
      </c>
      <c r="K1502" s="12">
        <v>46120.603043981479</v>
      </c>
      <c r="L1502" s="6" t="e" cm="1">
        <f t="array" ref="L1502">LOOKUP(2^15,SEARCH(Tabela2[Palavras-Chave],Boletim4[[#This Row],[Objeto]],1),Tabela2[Palavras-Chave])</f>
        <v>#N/A</v>
      </c>
    </row>
    <row r="1503" spans="1:12" ht="129.6" hidden="1" x14ac:dyDescent="0.3">
      <c r="A1503" s="5">
        <v>18796334</v>
      </c>
      <c r="B1503" s="6" t="s">
        <v>177</v>
      </c>
      <c r="C1503" s="6" t="s">
        <v>75</v>
      </c>
      <c r="D1503" s="8" t="s">
        <v>76</v>
      </c>
      <c r="E1503" s="6" t="s">
        <v>2427</v>
      </c>
      <c r="F1503" s="6" t="s">
        <v>94</v>
      </c>
      <c r="G1503" s="11">
        <v>46126.708333333336</v>
      </c>
      <c r="I1503" s="10" t="s">
        <v>2428</v>
      </c>
      <c r="J1503" s="6" t="s">
        <v>2429</v>
      </c>
      <c r="K1503" s="12">
        <v>46120.398657407408</v>
      </c>
      <c r="L1503" s="6" t="e" cm="1">
        <f t="array" ref="L1503">LOOKUP(2^15,SEARCH(Tabela2[Palavras-Chave],Boletim4[[#This Row],[Objeto]],1),Tabela2[Palavras-Chave])</f>
        <v>#N/A</v>
      </c>
    </row>
    <row r="1504" spans="1:12" ht="259.2" hidden="1" x14ac:dyDescent="0.3">
      <c r="A1504" s="5">
        <v>18777914</v>
      </c>
      <c r="B1504" s="6" t="s">
        <v>3348</v>
      </c>
      <c r="C1504" s="6" t="s">
        <v>3349</v>
      </c>
      <c r="D1504" s="8" t="s">
        <v>54</v>
      </c>
      <c r="E1504" s="6" t="s">
        <v>142</v>
      </c>
      <c r="F1504" s="6" t="s">
        <v>167</v>
      </c>
      <c r="G1504" s="11">
        <v>46134.378472222219</v>
      </c>
      <c r="I1504" s="10" t="s">
        <v>3350</v>
      </c>
      <c r="J1504" s="6" t="s">
        <v>3351</v>
      </c>
      <c r="K1504" s="12">
        <v>46120.782453703701</v>
      </c>
      <c r="L1504" s="6" t="e" cm="1">
        <f t="array" ref="L1504">LOOKUP(2^15,SEARCH(Tabela2[Palavras-Chave],Boletim4[[#This Row],[Objeto]],1),Tabela2[Palavras-Chave])</f>
        <v>#N/A</v>
      </c>
    </row>
    <row r="1505" spans="1:12" ht="129.6" hidden="1" x14ac:dyDescent="0.3">
      <c r="A1505" s="5">
        <v>18777336</v>
      </c>
      <c r="B1505" s="6" t="s">
        <v>2430</v>
      </c>
      <c r="C1505" s="6" t="s">
        <v>2431</v>
      </c>
      <c r="D1505" s="8" t="s">
        <v>66</v>
      </c>
      <c r="E1505" s="6" t="s">
        <v>114</v>
      </c>
      <c r="F1505" s="6" t="s">
        <v>167</v>
      </c>
      <c r="G1505" s="11" t="s">
        <v>56</v>
      </c>
      <c r="I1505" s="10" t="s">
        <v>2432</v>
      </c>
      <c r="J1505" s="6" t="s">
        <v>2433</v>
      </c>
      <c r="K1505" s="12">
        <v>46120.836145833331</v>
      </c>
      <c r="L1505" s="6" t="e" cm="1">
        <f t="array" ref="L1505">LOOKUP(2^15,SEARCH(Tabela2[Palavras-Chave],Boletim4[[#This Row],[Objeto]],1),Tabela2[Palavras-Chave])</f>
        <v>#N/A</v>
      </c>
    </row>
    <row r="1506" spans="1:12" ht="129.6" x14ac:dyDescent="0.3">
      <c r="A1506" s="5">
        <v>18675488</v>
      </c>
      <c r="B1506" s="6" t="s">
        <v>2434</v>
      </c>
      <c r="C1506" s="6" t="s">
        <v>162</v>
      </c>
      <c r="D1506" s="8" t="s">
        <v>144</v>
      </c>
      <c r="E1506" s="6" t="s">
        <v>112</v>
      </c>
      <c r="F1506" s="6" t="s">
        <v>95</v>
      </c>
      <c r="G1506" s="11" t="s">
        <v>56</v>
      </c>
      <c r="H1506" s="23">
        <v>2</v>
      </c>
      <c r="I1506" s="10" t="s">
        <v>2435</v>
      </c>
      <c r="J1506" s="6" t="s">
        <v>2436</v>
      </c>
      <c r="K1506" s="12">
        <v>46120.560266203705</v>
      </c>
      <c r="L1506" s="6" t="str" cm="1">
        <f t="array" ref="L1506">LOOKUP(2^15,SEARCH(Tabela2[Palavras-Chave],Boletim4[[#This Row],[Objeto]],1),Tabela2[Palavras-Chave])</f>
        <v>RESERVAT</v>
      </c>
    </row>
    <row r="1507" spans="1:12" ht="129.6" hidden="1" x14ac:dyDescent="0.3">
      <c r="A1507" s="5">
        <v>18790238</v>
      </c>
      <c r="B1507" s="6" t="s">
        <v>2437</v>
      </c>
      <c r="C1507" s="6" t="s">
        <v>2438</v>
      </c>
      <c r="D1507" s="8" t="s">
        <v>144</v>
      </c>
      <c r="E1507" s="6" t="s">
        <v>222</v>
      </c>
      <c r="F1507" s="6" t="s">
        <v>95</v>
      </c>
      <c r="G1507" s="11" t="s">
        <v>56</v>
      </c>
      <c r="I1507" s="10" t="s">
        <v>2439</v>
      </c>
      <c r="J1507" s="6" t="s">
        <v>2440</v>
      </c>
      <c r="K1507" s="12">
        <v>46120.560648148145</v>
      </c>
      <c r="L1507" s="6" t="e" cm="1">
        <f t="array" ref="L1507">LOOKUP(2^15,SEARCH(Tabela2[Palavras-Chave],Boletim4[[#This Row],[Objeto]],1),Tabela2[Palavras-Chave])</f>
        <v>#N/A</v>
      </c>
    </row>
    <row r="1508" spans="1:12" ht="273.60000000000002" hidden="1" x14ac:dyDescent="0.3">
      <c r="A1508" s="5">
        <v>18803798</v>
      </c>
      <c r="B1508" s="6" t="s">
        <v>3352</v>
      </c>
      <c r="C1508" s="6" t="s">
        <v>3353</v>
      </c>
      <c r="D1508" s="8" t="s">
        <v>144</v>
      </c>
      <c r="E1508" s="6" t="s">
        <v>113</v>
      </c>
      <c r="F1508" s="6" t="s">
        <v>95</v>
      </c>
      <c r="G1508" s="11">
        <v>46156.375</v>
      </c>
      <c r="I1508" s="10" t="s">
        <v>3354</v>
      </c>
      <c r="J1508" s="6" t="s">
        <v>3355</v>
      </c>
      <c r="K1508" s="12">
        <v>46120.8044212963</v>
      </c>
      <c r="L1508" s="6" t="e" cm="1">
        <f t="array" ref="L1508">LOOKUP(2^15,SEARCH(Tabela2[Palavras-Chave],Boletim4[[#This Row],[Objeto]],1),Tabela2[Palavras-Chave])</f>
        <v>#N/A</v>
      </c>
    </row>
    <row r="1509" spans="1:12" ht="129.6" hidden="1" x14ac:dyDescent="0.3">
      <c r="A1509" s="5">
        <v>18357317</v>
      </c>
      <c r="B1509" s="6" t="s">
        <v>3356</v>
      </c>
      <c r="C1509" s="6" t="s">
        <v>87</v>
      </c>
      <c r="D1509" s="8" t="s">
        <v>86</v>
      </c>
      <c r="E1509" s="6" t="s">
        <v>3357</v>
      </c>
      <c r="F1509" s="6" t="s">
        <v>95</v>
      </c>
      <c r="G1509" s="11">
        <v>46142.333333333336</v>
      </c>
      <c r="I1509" s="10" t="s">
        <v>3358</v>
      </c>
      <c r="J1509" s="6" t="s">
        <v>3359</v>
      </c>
      <c r="K1509" s="12">
        <v>46120.493935185186</v>
      </c>
      <c r="L1509" s="6" t="e" cm="1">
        <f t="array" ref="L1509">LOOKUP(2^15,SEARCH(Tabela2[Palavras-Chave],Boletim4[[#This Row],[Objeto]],1),Tabela2[Palavras-Chave])</f>
        <v>#N/A</v>
      </c>
    </row>
    <row r="1510" spans="1:12" ht="72" hidden="1" x14ac:dyDescent="0.3">
      <c r="A1510" s="5">
        <v>18770009</v>
      </c>
      <c r="B1510" s="6" t="s">
        <v>74</v>
      </c>
      <c r="C1510" s="6" t="s">
        <v>52</v>
      </c>
      <c r="D1510" s="8" t="s">
        <v>50</v>
      </c>
      <c r="E1510" s="6" t="s">
        <v>2441</v>
      </c>
      <c r="F1510" s="6" t="s">
        <v>95</v>
      </c>
      <c r="G1510" s="11" t="s">
        <v>56</v>
      </c>
      <c r="I1510" s="10" t="s">
        <v>2442</v>
      </c>
      <c r="J1510" s="6" t="s">
        <v>2443</v>
      </c>
      <c r="K1510" s="12">
        <v>46120.468136574076</v>
      </c>
      <c r="L1510" s="6" t="e" cm="1">
        <f t="array" ref="L1510">LOOKUP(2^15,SEARCH(Tabela2[Palavras-Chave],Boletim4[[#This Row],[Objeto]],1),Tabela2[Palavras-Chave])</f>
        <v>#N/A</v>
      </c>
    </row>
    <row r="1511" spans="1:12" ht="100.8" hidden="1" x14ac:dyDescent="0.3">
      <c r="A1511" s="5">
        <v>18779359</v>
      </c>
      <c r="B1511" s="6" t="s">
        <v>3360</v>
      </c>
      <c r="C1511" s="6" t="s">
        <v>3361</v>
      </c>
      <c r="D1511" s="8" t="s">
        <v>50</v>
      </c>
      <c r="E1511" s="6" t="s">
        <v>127</v>
      </c>
      <c r="F1511" s="6" t="s">
        <v>95</v>
      </c>
      <c r="G1511" s="11" t="s">
        <v>56</v>
      </c>
      <c r="I1511" s="10" t="s">
        <v>3362</v>
      </c>
      <c r="J1511" s="6" t="s">
        <v>3363</v>
      </c>
      <c r="K1511" s="12">
        <v>46120.826631944445</v>
      </c>
      <c r="L1511" s="6" t="e" cm="1">
        <f t="array" ref="L1511">LOOKUP(2^15,SEARCH(Tabela2[Palavras-Chave],Boletim4[[#This Row],[Objeto]],1),Tabela2[Palavras-Chave])</f>
        <v>#N/A</v>
      </c>
    </row>
    <row r="1512" spans="1:12" ht="72" hidden="1" x14ac:dyDescent="0.3">
      <c r="A1512" s="5">
        <v>18770010</v>
      </c>
      <c r="B1512" s="6" t="s">
        <v>74</v>
      </c>
      <c r="C1512" s="6" t="s">
        <v>53</v>
      </c>
      <c r="D1512" s="8" t="s">
        <v>54</v>
      </c>
      <c r="E1512" s="6" t="s">
        <v>2441</v>
      </c>
      <c r="F1512" s="6" t="s">
        <v>95</v>
      </c>
      <c r="G1512" s="11" t="s">
        <v>56</v>
      </c>
      <c r="I1512" s="10" t="s">
        <v>2442</v>
      </c>
      <c r="J1512" s="6" t="s">
        <v>2443</v>
      </c>
      <c r="K1512" s="12">
        <v>46120.468136574076</v>
      </c>
      <c r="L1512" s="6" t="e" cm="1">
        <f t="array" ref="L1512">LOOKUP(2^15,SEARCH(Tabela2[Palavras-Chave],Boletim4[[#This Row],[Objeto]],1),Tabela2[Palavras-Chave])</f>
        <v>#N/A</v>
      </c>
    </row>
    <row r="1513" spans="1:12" ht="259.2" hidden="1" x14ac:dyDescent="0.3">
      <c r="A1513" s="5">
        <v>18719706</v>
      </c>
      <c r="B1513" s="6" t="s">
        <v>2444</v>
      </c>
      <c r="C1513" s="6" t="s">
        <v>2445</v>
      </c>
      <c r="D1513" s="8" t="s">
        <v>54</v>
      </c>
      <c r="E1513" s="6" t="s">
        <v>117</v>
      </c>
      <c r="F1513" s="6" t="s">
        <v>95</v>
      </c>
      <c r="G1513" s="11" t="s">
        <v>56</v>
      </c>
      <c r="I1513" s="10" t="s">
        <v>2446</v>
      </c>
      <c r="J1513" s="6" t="s">
        <v>2447</v>
      </c>
      <c r="K1513" s="12">
        <v>46120.579629629632</v>
      </c>
      <c r="L1513" s="6" t="e" cm="1">
        <f t="array" ref="L1513">LOOKUP(2^15,SEARCH(Tabela2[Palavras-Chave],Boletim4[[#This Row],[Objeto]],1),Tabela2[Palavras-Chave])</f>
        <v>#N/A</v>
      </c>
    </row>
    <row r="1514" spans="1:12" ht="259.2" hidden="1" x14ac:dyDescent="0.3">
      <c r="A1514" s="5">
        <v>18789461</v>
      </c>
      <c r="B1514" s="6" t="s">
        <v>2448</v>
      </c>
      <c r="C1514" s="6" t="s">
        <v>2449</v>
      </c>
      <c r="D1514" s="8" t="s">
        <v>54</v>
      </c>
      <c r="E1514" s="6" t="s">
        <v>2450</v>
      </c>
      <c r="F1514" s="6" t="s">
        <v>95</v>
      </c>
      <c r="G1514" s="11" t="s">
        <v>56</v>
      </c>
      <c r="I1514" s="10" t="s">
        <v>2451</v>
      </c>
      <c r="J1514" s="6" t="s">
        <v>2452</v>
      </c>
      <c r="K1514" s="12">
        <v>46120.776365740741</v>
      </c>
      <c r="L1514" s="6" t="e" cm="1">
        <f t="array" ref="L1514">LOOKUP(2^15,SEARCH(Tabela2[Palavras-Chave],Boletim4[[#This Row],[Objeto]],1),Tabela2[Palavras-Chave])</f>
        <v>#N/A</v>
      </c>
    </row>
    <row r="1515" spans="1:12" ht="100.8" hidden="1" x14ac:dyDescent="0.3">
      <c r="A1515" s="5">
        <v>18774678</v>
      </c>
      <c r="B1515" s="6" t="s">
        <v>151</v>
      </c>
      <c r="C1515" s="6" t="s">
        <v>59</v>
      </c>
      <c r="D1515" s="8" t="s">
        <v>60</v>
      </c>
      <c r="E1515" s="6" t="s">
        <v>2453</v>
      </c>
      <c r="F1515" s="6" t="s">
        <v>95</v>
      </c>
      <c r="G1515" s="11">
        <v>46126.479166666664</v>
      </c>
      <c r="I1515" s="10" t="s">
        <v>2454</v>
      </c>
      <c r="J1515" s="6" t="s">
        <v>2455</v>
      </c>
      <c r="K1515" s="12">
        <v>46120.863912037035</v>
      </c>
      <c r="L1515" s="6" t="e" cm="1">
        <f t="array" ref="L1515">LOOKUP(2^15,SEARCH(Tabela2[Palavras-Chave],Boletim4[[#This Row],[Objeto]],1),Tabela2[Palavras-Chave])</f>
        <v>#N/A</v>
      </c>
    </row>
    <row r="1516" spans="1:12" ht="72" hidden="1" x14ac:dyDescent="0.3">
      <c r="A1516" s="5">
        <v>18735548</v>
      </c>
      <c r="B1516" s="6" t="s">
        <v>74</v>
      </c>
      <c r="C1516" s="6" t="s">
        <v>88</v>
      </c>
      <c r="D1516" s="8" t="s">
        <v>63</v>
      </c>
      <c r="E1516" s="6" t="s">
        <v>2456</v>
      </c>
      <c r="F1516" s="6" t="s">
        <v>95</v>
      </c>
      <c r="G1516" s="11" t="s">
        <v>56</v>
      </c>
      <c r="I1516" s="10" t="s">
        <v>2457</v>
      </c>
      <c r="J1516" s="6" t="s">
        <v>2458</v>
      </c>
      <c r="K1516" s="12">
        <v>46120.468124999999</v>
      </c>
      <c r="L1516" s="6" t="e" cm="1">
        <f t="array" ref="L1516">LOOKUP(2^15,SEARCH(Tabela2[Palavras-Chave],Boletim4[[#This Row],[Objeto]],1),Tabela2[Palavras-Chave])</f>
        <v>#N/A</v>
      </c>
    </row>
    <row r="1517" spans="1:12" ht="115.2" hidden="1" x14ac:dyDescent="0.3">
      <c r="A1517" s="5">
        <v>18764975</v>
      </c>
      <c r="B1517" s="6" t="s">
        <v>2459</v>
      </c>
      <c r="C1517" s="6" t="s">
        <v>2460</v>
      </c>
      <c r="D1517" s="8" t="s">
        <v>63</v>
      </c>
      <c r="E1517" s="6" t="s">
        <v>117</v>
      </c>
      <c r="F1517" s="6" t="s">
        <v>95</v>
      </c>
      <c r="G1517" s="11">
        <v>46135.354166666664</v>
      </c>
      <c r="I1517" s="10" t="s">
        <v>2461</v>
      </c>
      <c r="J1517" s="6" t="s">
        <v>2462</v>
      </c>
      <c r="K1517" s="12">
        <v>46120.580590277779</v>
      </c>
      <c r="L1517" s="6" t="e" cm="1">
        <f t="array" ref="L1517">LOOKUP(2^15,SEARCH(Tabela2[Palavras-Chave],Boletim4[[#This Row],[Objeto]],1),Tabela2[Palavras-Chave])</f>
        <v>#N/A</v>
      </c>
    </row>
    <row r="1518" spans="1:12" ht="187.2" hidden="1" x14ac:dyDescent="0.3">
      <c r="A1518" s="5">
        <v>18716142</v>
      </c>
      <c r="B1518" s="6" t="s">
        <v>3364</v>
      </c>
      <c r="C1518" s="6" t="s">
        <v>3365</v>
      </c>
      <c r="D1518" s="8" t="s">
        <v>64</v>
      </c>
      <c r="E1518" s="6" t="s">
        <v>3366</v>
      </c>
      <c r="F1518" s="6" t="s">
        <v>95</v>
      </c>
      <c r="G1518" s="11">
        <v>46140.375</v>
      </c>
      <c r="I1518" s="10" t="s">
        <v>3367</v>
      </c>
      <c r="J1518" s="6" t="s">
        <v>3368</v>
      </c>
      <c r="K1518" s="12">
        <v>46120.575740740744</v>
      </c>
      <c r="L1518" s="6" t="e" cm="1">
        <f t="array" ref="L1518">LOOKUP(2^15,SEARCH(Tabela2[Palavras-Chave],Boletim4[[#This Row],[Objeto]],1),Tabela2[Palavras-Chave])</f>
        <v>#N/A</v>
      </c>
    </row>
    <row r="1519" spans="1:12" ht="259.2" hidden="1" x14ac:dyDescent="0.3">
      <c r="A1519" s="5">
        <v>18698834</v>
      </c>
      <c r="B1519" s="6" t="s">
        <v>2463</v>
      </c>
      <c r="C1519" s="6" t="s">
        <v>2464</v>
      </c>
      <c r="D1519" s="8" t="s">
        <v>64</v>
      </c>
      <c r="E1519" s="6" t="s">
        <v>115</v>
      </c>
      <c r="F1519" s="6" t="s">
        <v>95</v>
      </c>
      <c r="G1519" s="11" t="s">
        <v>56</v>
      </c>
      <c r="I1519" s="10" t="s">
        <v>2465</v>
      </c>
      <c r="J1519" s="6" t="s">
        <v>2466</v>
      </c>
      <c r="K1519" s="12">
        <v>46120.773946759262</v>
      </c>
      <c r="L1519" s="6" t="e" cm="1">
        <f t="array" ref="L1519">LOOKUP(2^15,SEARCH(Tabela2[Palavras-Chave],Boletim4[[#This Row],[Objeto]],1),Tabela2[Palavras-Chave])</f>
        <v>#N/A</v>
      </c>
    </row>
    <row r="1520" spans="1:12" ht="158.4" hidden="1" x14ac:dyDescent="0.3">
      <c r="A1520" s="5">
        <v>18792917</v>
      </c>
      <c r="B1520" s="6" t="s">
        <v>3369</v>
      </c>
      <c r="C1520" s="6" t="s">
        <v>3370</v>
      </c>
      <c r="D1520" s="8" t="s">
        <v>64</v>
      </c>
      <c r="E1520" s="6" t="s">
        <v>174</v>
      </c>
      <c r="F1520" s="6" t="s">
        <v>95</v>
      </c>
      <c r="G1520" s="11">
        <v>46135.354166666664</v>
      </c>
      <c r="I1520" s="10" t="s">
        <v>3371</v>
      </c>
      <c r="J1520" s="6" t="s">
        <v>3372</v>
      </c>
      <c r="K1520" s="12">
        <v>46120.844351851854</v>
      </c>
      <c r="L1520" s="6" t="e" cm="1">
        <f t="array" ref="L1520">LOOKUP(2^15,SEARCH(Tabela2[Palavras-Chave],Boletim4[[#This Row],[Objeto]],1),Tabela2[Palavras-Chave])</f>
        <v>#N/A</v>
      </c>
    </row>
    <row r="1521" spans="1:12" ht="100.8" hidden="1" x14ac:dyDescent="0.3">
      <c r="A1521" s="5">
        <v>18758968</v>
      </c>
      <c r="B1521" s="6" t="s">
        <v>2467</v>
      </c>
      <c r="C1521" s="6" t="s">
        <v>2468</v>
      </c>
      <c r="D1521" s="8" t="s">
        <v>89</v>
      </c>
      <c r="E1521" s="6" t="s">
        <v>115</v>
      </c>
      <c r="F1521" s="6" t="s">
        <v>95</v>
      </c>
      <c r="G1521" s="11" t="s">
        <v>56</v>
      </c>
      <c r="I1521" s="10" t="s">
        <v>2469</v>
      </c>
      <c r="J1521" s="6" t="s">
        <v>2470</v>
      </c>
      <c r="K1521" s="12">
        <v>46120.482673611114</v>
      </c>
      <c r="L1521" s="6" t="e" cm="1">
        <f t="array" ref="L1521">LOOKUP(2^15,SEARCH(Tabela2[Palavras-Chave],Boletim4[[#This Row],[Objeto]],1),Tabela2[Palavras-Chave])</f>
        <v>#N/A</v>
      </c>
    </row>
    <row r="1522" spans="1:12" ht="100.8" hidden="1" x14ac:dyDescent="0.3">
      <c r="A1522" s="5">
        <v>18674424</v>
      </c>
      <c r="B1522" s="6" t="s">
        <v>2471</v>
      </c>
      <c r="C1522" s="6" t="s">
        <v>2472</v>
      </c>
      <c r="D1522" s="8" t="s">
        <v>66</v>
      </c>
      <c r="E1522" s="6" t="s">
        <v>146</v>
      </c>
      <c r="F1522" s="6" t="s">
        <v>95</v>
      </c>
      <c r="G1522" s="11" t="s">
        <v>56</v>
      </c>
      <c r="I1522" s="10" t="s">
        <v>2473</v>
      </c>
      <c r="J1522" s="6" t="s">
        <v>2474</v>
      </c>
      <c r="K1522" s="12">
        <v>46120.449386574073</v>
      </c>
      <c r="L1522" s="6" t="e" cm="1">
        <f t="array" ref="L1522">LOOKUP(2^15,SEARCH(Tabela2[Palavras-Chave],Boletim4[[#This Row],[Objeto]],1),Tabela2[Palavras-Chave])</f>
        <v>#N/A</v>
      </c>
    </row>
    <row r="1523" spans="1:12" ht="72" hidden="1" x14ac:dyDescent="0.3">
      <c r="A1523" s="5">
        <v>18782337</v>
      </c>
      <c r="B1523" s="6" t="s">
        <v>2475</v>
      </c>
      <c r="C1523" s="6" t="s">
        <v>2476</v>
      </c>
      <c r="D1523" s="8" t="s">
        <v>66</v>
      </c>
      <c r="E1523" s="6" t="s">
        <v>125</v>
      </c>
      <c r="F1523" s="6" t="s">
        <v>95</v>
      </c>
      <c r="G1523" s="11">
        <v>46126.375</v>
      </c>
      <c r="I1523" s="10" t="s">
        <v>2477</v>
      </c>
      <c r="J1523" s="6" t="s">
        <v>2478</v>
      </c>
      <c r="K1523" s="12">
        <v>46120.519490740742</v>
      </c>
      <c r="L1523" s="6" t="e" cm="1">
        <f t="array" ref="L1523">LOOKUP(2^15,SEARCH(Tabela2[Palavras-Chave],Boletim4[[#This Row],[Objeto]],1),Tabela2[Palavras-Chave])</f>
        <v>#N/A</v>
      </c>
    </row>
    <row r="1524" spans="1:12" ht="259.2" hidden="1" x14ac:dyDescent="0.3">
      <c r="A1524" s="5">
        <v>18717691</v>
      </c>
      <c r="B1524" s="6" t="s">
        <v>369</v>
      </c>
      <c r="C1524" s="6" t="s">
        <v>370</v>
      </c>
      <c r="D1524" s="8" t="s">
        <v>66</v>
      </c>
      <c r="E1524" s="6" t="s">
        <v>124</v>
      </c>
      <c r="F1524" s="6" t="s">
        <v>95</v>
      </c>
      <c r="G1524" s="11">
        <v>46134.375</v>
      </c>
      <c r="I1524" s="10" t="s">
        <v>2479</v>
      </c>
      <c r="J1524" s="6" t="s">
        <v>2480</v>
      </c>
      <c r="K1524" s="12">
        <v>46120.669490740744</v>
      </c>
      <c r="L1524" s="6" t="e" cm="1">
        <f t="array" ref="L1524">LOOKUP(2^15,SEARCH(Tabela2[Palavras-Chave],Boletim4[[#This Row],[Objeto]],1),Tabela2[Palavras-Chave])</f>
        <v>#N/A</v>
      </c>
    </row>
    <row r="1525" spans="1:12" ht="129.6" hidden="1" x14ac:dyDescent="0.3">
      <c r="A1525" s="5">
        <v>18717012</v>
      </c>
      <c r="B1525" s="6" t="s">
        <v>417</v>
      </c>
      <c r="C1525" s="6" t="s">
        <v>418</v>
      </c>
      <c r="D1525" s="8" t="s">
        <v>66</v>
      </c>
      <c r="E1525" s="6" t="s">
        <v>108</v>
      </c>
      <c r="F1525" s="6" t="s">
        <v>95</v>
      </c>
      <c r="G1525" s="11">
        <v>46139.3125</v>
      </c>
      <c r="I1525" s="10" t="s">
        <v>419</v>
      </c>
      <c r="J1525" s="6" t="s">
        <v>420</v>
      </c>
      <c r="K1525" s="12">
        <v>46120.777824074074</v>
      </c>
      <c r="L1525" s="6" t="e" cm="1">
        <f t="array" ref="L1525">LOOKUP(2^15,SEARCH(Tabela2[Palavras-Chave],Boletim4[[#This Row],[Objeto]],1),Tabela2[Palavras-Chave])</f>
        <v>#N/A</v>
      </c>
    </row>
    <row r="1526" spans="1:12" ht="100.8" hidden="1" x14ac:dyDescent="0.3">
      <c r="A1526" s="5">
        <v>18724058</v>
      </c>
      <c r="B1526" s="6" t="s">
        <v>361</v>
      </c>
      <c r="C1526" s="6" t="s">
        <v>362</v>
      </c>
      <c r="D1526" s="8" t="s">
        <v>66</v>
      </c>
      <c r="E1526" s="6" t="s">
        <v>120</v>
      </c>
      <c r="F1526" s="6" t="s">
        <v>95</v>
      </c>
      <c r="G1526" s="11" t="s">
        <v>56</v>
      </c>
      <c r="I1526" s="10" t="s">
        <v>2481</v>
      </c>
      <c r="J1526" s="6" t="s">
        <v>2482</v>
      </c>
      <c r="K1526" s="12">
        <v>46120.807615740741</v>
      </c>
      <c r="L1526" s="6" t="e" cm="1">
        <f t="array" ref="L1526">LOOKUP(2^15,SEARCH(Tabela2[Palavras-Chave],Boletim4[[#This Row],[Objeto]],1),Tabela2[Palavras-Chave])</f>
        <v>#N/A</v>
      </c>
    </row>
    <row r="1527" spans="1:12" ht="273.60000000000002" hidden="1" x14ac:dyDescent="0.3">
      <c r="A1527" s="5">
        <v>18648336</v>
      </c>
      <c r="B1527" s="6" t="s">
        <v>2483</v>
      </c>
      <c r="C1527" s="6" t="s">
        <v>2484</v>
      </c>
      <c r="D1527" s="8" t="s">
        <v>91</v>
      </c>
      <c r="E1527" s="6" t="s">
        <v>121</v>
      </c>
      <c r="F1527" s="6" t="s">
        <v>95</v>
      </c>
      <c r="G1527" s="11" t="s">
        <v>56</v>
      </c>
      <c r="I1527" s="10" t="s">
        <v>2485</v>
      </c>
      <c r="J1527" s="6" t="s">
        <v>2486</v>
      </c>
      <c r="K1527" s="12">
        <v>46120.454884259256</v>
      </c>
      <c r="L1527" s="6" t="e" cm="1">
        <f t="array" ref="L1527">LOOKUP(2^15,SEARCH(Tabela2[Palavras-Chave],Boletim4[[#This Row],[Objeto]],1),Tabela2[Palavras-Chave])</f>
        <v>#N/A</v>
      </c>
    </row>
    <row r="1528" spans="1:12" ht="43.2" hidden="1" x14ac:dyDescent="0.3">
      <c r="A1528" s="5">
        <v>18781985</v>
      </c>
      <c r="B1528" s="6" t="s">
        <v>2487</v>
      </c>
      <c r="C1528" s="6" t="s">
        <v>2488</v>
      </c>
      <c r="D1528" s="8" t="s">
        <v>91</v>
      </c>
      <c r="E1528" s="6" t="s">
        <v>115</v>
      </c>
      <c r="F1528" s="6" t="s">
        <v>95</v>
      </c>
      <c r="G1528" s="11">
        <v>46134.541666666664</v>
      </c>
      <c r="I1528" s="10" t="s">
        <v>2489</v>
      </c>
      <c r="J1528" s="6" t="s">
        <v>138</v>
      </c>
      <c r="K1528" s="12">
        <v>46120.62296296296</v>
      </c>
      <c r="L1528" s="6" t="e" cm="1">
        <f t="array" ref="L1528">LOOKUP(2^15,SEARCH(Tabela2[Palavras-Chave],Boletim4[[#This Row],[Objeto]],1),Tabela2[Palavras-Chave])</f>
        <v>#N/A</v>
      </c>
    </row>
    <row r="1529" spans="1:12" ht="115.2" hidden="1" x14ac:dyDescent="0.3">
      <c r="A1529" s="5">
        <v>18779148</v>
      </c>
      <c r="B1529" s="6" t="s">
        <v>2490</v>
      </c>
      <c r="C1529" s="6" t="s">
        <v>2491</v>
      </c>
      <c r="D1529" s="8" t="s">
        <v>70</v>
      </c>
      <c r="E1529" s="6" t="s">
        <v>128</v>
      </c>
      <c r="F1529" s="6" t="s">
        <v>95</v>
      </c>
      <c r="G1529" s="11">
        <v>46134.479166666664</v>
      </c>
      <c r="I1529" s="10" t="s">
        <v>2492</v>
      </c>
      <c r="J1529" s="6" t="s">
        <v>2493</v>
      </c>
      <c r="K1529" s="12">
        <v>46120.861562500002</v>
      </c>
      <c r="L1529" s="6" t="e" cm="1">
        <f t="array" ref="L1529">LOOKUP(2^15,SEARCH(Tabela2[Palavras-Chave],Boletim4[[#This Row],[Objeto]],1),Tabela2[Palavras-Chave])</f>
        <v>#N/A</v>
      </c>
    </row>
    <row r="1530" spans="1:12" ht="57.6" hidden="1" x14ac:dyDescent="0.3">
      <c r="A1530" s="5">
        <v>18786495</v>
      </c>
      <c r="B1530" s="6" t="s">
        <v>3373</v>
      </c>
      <c r="C1530" s="6" t="s">
        <v>3374</v>
      </c>
      <c r="D1530" s="8" t="s">
        <v>71</v>
      </c>
      <c r="E1530" s="6" t="s">
        <v>148</v>
      </c>
      <c r="F1530" s="6" t="s">
        <v>95</v>
      </c>
      <c r="G1530" s="11">
        <v>46134.375</v>
      </c>
      <c r="I1530" s="10" t="s">
        <v>3375</v>
      </c>
      <c r="J1530" s="6" t="s">
        <v>3376</v>
      </c>
      <c r="K1530" s="12">
        <v>46120.550185185188</v>
      </c>
      <c r="L1530" s="6" t="e" cm="1">
        <f t="array" ref="L1530">LOOKUP(2^15,SEARCH(Tabela2[Palavras-Chave],Boletim4[[#This Row],[Objeto]],1),Tabela2[Palavras-Chave])</f>
        <v>#N/A</v>
      </c>
    </row>
    <row r="1531" spans="1:12" ht="259.2" hidden="1" x14ac:dyDescent="0.3">
      <c r="A1531" s="5">
        <v>18796755</v>
      </c>
      <c r="B1531" s="6" t="s">
        <v>3377</v>
      </c>
      <c r="C1531" s="6" t="s">
        <v>3378</v>
      </c>
      <c r="D1531" s="8" t="s">
        <v>71</v>
      </c>
      <c r="E1531" s="6" t="s">
        <v>113</v>
      </c>
      <c r="F1531" s="6" t="s">
        <v>95</v>
      </c>
      <c r="G1531" s="11" t="s">
        <v>56</v>
      </c>
      <c r="I1531" s="10" t="s">
        <v>3379</v>
      </c>
      <c r="J1531" s="6" t="s">
        <v>3380</v>
      </c>
      <c r="K1531" s="12">
        <v>46120.697083333333</v>
      </c>
      <c r="L1531" s="6" t="e" cm="1">
        <f t="array" ref="L1531">LOOKUP(2^15,SEARCH(Tabela2[Palavras-Chave],Boletim4[[#This Row],[Objeto]],1),Tabela2[Palavras-Chave])</f>
        <v>#N/A</v>
      </c>
    </row>
    <row r="1532" spans="1:12" ht="172.8" hidden="1" x14ac:dyDescent="0.3">
      <c r="A1532" s="5">
        <v>18730650</v>
      </c>
      <c r="B1532" s="6" t="s">
        <v>2494</v>
      </c>
      <c r="C1532" s="6" t="s">
        <v>2495</v>
      </c>
      <c r="D1532" s="8" t="s">
        <v>72</v>
      </c>
      <c r="E1532" s="6" t="s">
        <v>178</v>
      </c>
      <c r="F1532" s="6" t="s">
        <v>95</v>
      </c>
      <c r="G1532" s="11" t="s">
        <v>56</v>
      </c>
      <c r="I1532" s="10" t="s">
        <v>2496</v>
      </c>
      <c r="J1532" s="6" t="s">
        <v>2497</v>
      </c>
      <c r="K1532" s="12">
        <v>46120.554918981485</v>
      </c>
      <c r="L1532" s="6" t="e" cm="1">
        <f t="array" ref="L1532">LOOKUP(2^15,SEARCH(Tabela2[Palavras-Chave],Boletim4[[#This Row],[Objeto]],1),Tabela2[Palavras-Chave])</f>
        <v>#N/A</v>
      </c>
    </row>
    <row r="1533" spans="1:12" ht="259.2" hidden="1" x14ac:dyDescent="0.3">
      <c r="A1533" s="5">
        <v>18754902</v>
      </c>
      <c r="B1533" s="6" t="s">
        <v>3381</v>
      </c>
      <c r="C1533" s="6" t="s">
        <v>3382</v>
      </c>
      <c r="D1533" s="8" t="s">
        <v>72</v>
      </c>
      <c r="E1533" s="6" t="s">
        <v>108</v>
      </c>
      <c r="F1533" s="6" t="s">
        <v>95</v>
      </c>
      <c r="G1533" s="11" t="s">
        <v>56</v>
      </c>
      <c r="I1533" s="10" t="s">
        <v>3383</v>
      </c>
      <c r="J1533" s="6" t="s">
        <v>3384</v>
      </c>
      <c r="K1533" s="12">
        <v>46120.565324074072</v>
      </c>
      <c r="L1533" s="6" t="e" cm="1">
        <f t="array" ref="L1533">LOOKUP(2^15,SEARCH(Tabela2[Palavras-Chave],Boletim4[[#This Row],[Objeto]],1),Tabela2[Palavras-Chave])</f>
        <v>#N/A</v>
      </c>
    </row>
    <row r="1534" spans="1:12" ht="72" hidden="1" x14ac:dyDescent="0.3">
      <c r="A1534" s="5">
        <v>18521553</v>
      </c>
      <c r="B1534" s="6" t="s">
        <v>74</v>
      </c>
      <c r="C1534" s="6" t="s">
        <v>75</v>
      </c>
      <c r="D1534" s="8" t="s">
        <v>76</v>
      </c>
      <c r="E1534" s="6" t="s">
        <v>2566</v>
      </c>
      <c r="F1534" s="6" t="s">
        <v>95</v>
      </c>
      <c r="G1534" s="11" t="s">
        <v>56</v>
      </c>
      <c r="I1534" s="10" t="s">
        <v>2567</v>
      </c>
      <c r="J1534" s="6" t="s">
        <v>2568</v>
      </c>
      <c r="K1534" s="12">
        <v>46120.465451388889</v>
      </c>
      <c r="L1534" s="6" t="e" cm="1">
        <f t="array" ref="L1534">LOOKUP(2^15,SEARCH(Tabela2[Palavras-Chave],Boletim4[[#This Row],[Objeto]],1),Tabela2[Palavras-Chave])</f>
        <v>#N/A</v>
      </c>
    </row>
    <row r="1535" spans="1:12" ht="72" hidden="1" x14ac:dyDescent="0.3">
      <c r="A1535" s="5">
        <v>18735547</v>
      </c>
      <c r="B1535" s="6" t="s">
        <v>74</v>
      </c>
      <c r="C1535" s="6" t="s">
        <v>75</v>
      </c>
      <c r="D1535" s="8" t="s">
        <v>76</v>
      </c>
      <c r="E1535" s="6" t="s">
        <v>2456</v>
      </c>
      <c r="F1535" s="6" t="s">
        <v>95</v>
      </c>
      <c r="G1535" s="11" t="s">
        <v>56</v>
      </c>
      <c r="I1535" s="10" t="s">
        <v>2457</v>
      </c>
      <c r="J1535" s="6" t="s">
        <v>2458</v>
      </c>
      <c r="K1535" s="12">
        <v>46120.465810185182</v>
      </c>
      <c r="L1535" s="6" t="e" cm="1">
        <f t="array" ref="L1535">LOOKUP(2^15,SEARCH(Tabela2[Palavras-Chave],Boletim4[[#This Row],[Objeto]],1),Tabela2[Palavras-Chave])</f>
        <v>#N/A</v>
      </c>
    </row>
    <row r="1536" spans="1:12" ht="72" hidden="1" x14ac:dyDescent="0.3">
      <c r="A1536" s="5">
        <v>18770007</v>
      </c>
      <c r="B1536" s="6" t="s">
        <v>74</v>
      </c>
      <c r="C1536" s="6" t="s">
        <v>75</v>
      </c>
      <c r="D1536" s="8" t="s">
        <v>76</v>
      </c>
      <c r="E1536" s="6" t="s">
        <v>2441</v>
      </c>
      <c r="F1536" s="6" t="s">
        <v>95</v>
      </c>
      <c r="G1536" s="11" t="s">
        <v>56</v>
      </c>
      <c r="I1536" s="10" t="s">
        <v>2442</v>
      </c>
      <c r="J1536" s="6" t="s">
        <v>2443</v>
      </c>
      <c r="K1536" s="12">
        <v>46120.465902777774</v>
      </c>
      <c r="L1536" s="6" t="e" cm="1">
        <f t="array" ref="L1536">LOOKUP(2^15,SEARCH(Tabela2[Palavras-Chave],Boletim4[[#This Row],[Objeto]],1),Tabela2[Palavras-Chave])</f>
        <v>#N/A</v>
      </c>
    </row>
    <row r="1537" spans="1:12" ht="43.2" hidden="1" x14ac:dyDescent="0.3">
      <c r="A1537" s="5">
        <v>18796302</v>
      </c>
      <c r="B1537" s="6" t="s">
        <v>74</v>
      </c>
      <c r="C1537" s="6" t="s">
        <v>75</v>
      </c>
      <c r="D1537" s="8" t="s">
        <v>76</v>
      </c>
      <c r="E1537" s="6" t="s">
        <v>2498</v>
      </c>
      <c r="F1537" s="6" t="s">
        <v>95</v>
      </c>
      <c r="G1537" s="11" t="s">
        <v>56</v>
      </c>
      <c r="I1537" s="10" t="s">
        <v>2499</v>
      </c>
      <c r="J1537" s="6" t="s">
        <v>2500</v>
      </c>
      <c r="K1537" s="12">
        <v>46120.466898148145</v>
      </c>
      <c r="L1537" s="6" t="e" cm="1">
        <f t="array" ref="L1537">LOOKUP(2^15,SEARCH(Tabela2[Palavras-Chave],Boletim4[[#This Row],[Objeto]],1),Tabela2[Palavras-Chave])</f>
        <v>#N/A</v>
      </c>
    </row>
    <row r="1538" spans="1:12" ht="72" x14ac:dyDescent="0.3">
      <c r="A1538" s="5">
        <v>18796307</v>
      </c>
      <c r="B1538" s="6" t="s">
        <v>74</v>
      </c>
      <c r="C1538" s="6" t="s">
        <v>75</v>
      </c>
      <c r="D1538" s="8" t="s">
        <v>76</v>
      </c>
      <c r="E1538" s="6" t="s">
        <v>2501</v>
      </c>
      <c r="F1538" s="6" t="s">
        <v>95</v>
      </c>
      <c r="G1538" s="11" t="s">
        <v>56</v>
      </c>
      <c r="H1538" s="23">
        <v>2</v>
      </c>
      <c r="I1538" s="10" t="s">
        <v>2502</v>
      </c>
      <c r="J1538" s="6" t="s">
        <v>2503</v>
      </c>
      <c r="K1538" s="12">
        <v>46120.467106481483</v>
      </c>
      <c r="L1538" s="6" t="str" cm="1">
        <f t="array" ref="L1538">LOOKUP(2^15,SEARCH(Tabela2[Palavras-Chave],Boletim4[[#This Row],[Objeto]],1),Tabela2[Palavras-Chave])</f>
        <v>TANQUE</v>
      </c>
    </row>
    <row r="1539" spans="1:12" ht="158.4" hidden="1" x14ac:dyDescent="0.3">
      <c r="A1539" s="5">
        <v>18597832</v>
      </c>
      <c r="B1539" s="6" t="s">
        <v>241</v>
      </c>
      <c r="C1539" s="6" t="s">
        <v>75</v>
      </c>
      <c r="D1539" s="8" t="s">
        <v>76</v>
      </c>
      <c r="E1539" s="6" t="s">
        <v>2504</v>
      </c>
      <c r="F1539" s="6" t="s">
        <v>95</v>
      </c>
      <c r="G1539" s="11" t="s">
        <v>56</v>
      </c>
      <c r="I1539" s="10" t="s">
        <v>2505</v>
      </c>
      <c r="J1539" s="6" t="s">
        <v>2506</v>
      </c>
      <c r="K1539" s="12">
        <v>46120.547974537039</v>
      </c>
      <c r="L1539" s="6" t="e" cm="1">
        <f t="array" ref="L1539">LOOKUP(2^15,SEARCH(Tabela2[Palavras-Chave],Boletim4[[#This Row],[Objeto]],1),Tabela2[Palavras-Chave])</f>
        <v>#N/A</v>
      </c>
    </row>
    <row r="1540" spans="1:12" ht="129.6" hidden="1" x14ac:dyDescent="0.3">
      <c r="A1540" s="5">
        <v>18725654</v>
      </c>
      <c r="B1540" s="6" t="s">
        <v>2507</v>
      </c>
      <c r="C1540" s="6" t="s">
        <v>2508</v>
      </c>
      <c r="D1540" s="8" t="s">
        <v>76</v>
      </c>
      <c r="E1540" s="6" t="s">
        <v>157</v>
      </c>
      <c r="F1540" s="6" t="s">
        <v>95</v>
      </c>
      <c r="G1540" s="11" t="s">
        <v>56</v>
      </c>
      <c r="I1540" s="10" t="s">
        <v>2509</v>
      </c>
      <c r="J1540" s="6" t="s">
        <v>2510</v>
      </c>
      <c r="K1540" s="12">
        <v>46120.560416666667</v>
      </c>
      <c r="L1540" s="6" t="e" cm="1">
        <f t="array" ref="L1540">LOOKUP(2^15,SEARCH(Tabela2[Palavras-Chave],Boletim4[[#This Row],[Objeto]],1),Tabela2[Palavras-Chave])</f>
        <v>#N/A</v>
      </c>
    </row>
    <row r="1541" spans="1:12" ht="72" hidden="1" x14ac:dyDescent="0.3">
      <c r="A1541" s="5">
        <v>18796315</v>
      </c>
      <c r="B1541" s="6" t="s">
        <v>74</v>
      </c>
      <c r="C1541" s="6" t="s">
        <v>75</v>
      </c>
      <c r="D1541" s="8" t="s">
        <v>76</v>
      </c>
      <c r="E1541" s="6" t="s">
        <v>2511</v>
      </c>
      <c r="F1541" s="6" t="s">
        <v>95</v>
      </c>
      <c r="G1541" s="11" t="s">
        <v>56</v>
      </c>
      <c r="I1541" s="10" t="s">
        <v>2512</v>
      </c>
      <c r="J1541" s="6" t="s">
        <v>2513</v>
      </c>
      <c r="K1541" s="12">
        <v>46120.652916666666</v>
      </c>
      <c r="L1541" s="6" t="e" cm="1">
        <f t="array" ref="L1541">LOOKUP(2^15,SEARCH(Tabela2[Palavras-Chave],Boletim4[[#This Row],[Objeto]],1),Tabela2[Palavras-Chave])</f>
        <v>#N/A</v>
      </c>
    </row>
    <row r="1542" spans="1:12" ht="259.2" hidden="1" x14ac:dyDescent="0.3">
      <c r="A1542" s="5">
        <v>18799021</v>
      </c>
      <c r="B1542" s="6" t="s">
        <v>2514</v>
      </c>
      <c r="C1542" s="6" t="s">
        <v>2515</v>
      </c>
      <c r="D1542" s="8" t="s">
        <v>77</v>
      </c>
      <c r="E1542" s="6" t="s">
        <v>127</v>
      </c>
      <c r="F1542" s="6" t="s">
        <v>95</v>
      </c>
      <c r="G1542" s="11" t="s">
        <v>56</v>
      </c>
      <c r="I1542" s="10" t="s">
        <v>2516</v>
      </c>
      <c r="J1542" s="6" t="s">
        <v>2517</v>
      </c>
      <c r="K1542" s="12">
        <v>46120.656354166669</v>
      </c>
      <c r="L1542" s="6" t="e" cm="1">
        <f t="array" ref="L1542">LOOKUP(2^15,SEARCH(Tabela2[Palavras-Chave],Boletim4[[#This Row],[Objeto]],1),Tabela2[Palavras-Chave])</f>
        <v>#N/A</v>
      </c>
    </row>
    <row r="1543" spans="1:12" ht="259.2" hidden="1" x14ac:dyDescent="0.3">
      <c r="A1543" s="5">
        <v>18801211</v>
      </c>
      <c r="B1543" s="6" t="s">
        <v>2514</v>
      </c>
      <c r="C1543" s="6" t="s">
        <v>2515</v>
      </c>
      <c r="D1543" s="8" t="s">
        <v>77</v>
      </c>
      <c r="E1543" s="6" t="s">
        <v>113</v>
      </c>
      <c r="F1543" s="6" t="s">
        <v>95</v>
      </c>
      <c r="G1543" s="11" t="s">
        <v>56</v>
      </c>
      <c r="I1543" s="10" t="s">
        <v>2518</v>
      </c>
      <c r="J1543" s="6" t="s">
        <v>2519</v>
      </c>
      <c r="K1543" s="12">
        <v>46120.658425925925</v>
      </c>
      <c r="L1543" s="6" t="e" cm="1">
        <f t="array" ref="L1543">LOOKUP(2^15,SEARCH(Tabela2[Palavras-Chave],Boletim4[[#This Row],[Objeto]],1),Tabela2[Palavras-Chave])</f>
        <v>#N/A</v>
      </c>
    </row>
    <row r="1544" spans="1:12" ht="129.6" hidden="1" x14ac:dyDescent="0.3">
      <c r="A1544" s="5">
        <v>18733017</v>
      </c>
      <c r="B1544" s="6" t="s">
        <v>1974</v>
      </c>
      <c r="C1544" s="6" t="s">
        <v>1975</v>
      </c>
      <c r="D1544" s="8" t="s">
        <v>77</v>
      </c>
      <c r="E1544" s="6" t="s">
        <v>106</v>
      </c>
      <c r="F1544" s="6" t="s">
        <v>95</v>
      </c>
      <c r="G1544" s="11">
        <v>46135.354166666664</v>
      </c>
      <c r="I1544" s="10" t="s">
        <v>2520</v>
      </c>
      <c r="J1544" s="6" t="s">
        <v>2521</v>
      </c>
      <c r="K1544" s="12">
        <v>46120.721608796295</v>
      </c>
      <c r="L1544" s="6" t="e" cm="1">
        <f t="array" ref="L1544">LOOKUP(2^15,SEARCH(Tabela2[Palavras-Chave],Boletim4[[#This Row],[Objeto]],1),Tabela2[Palavras-Chave])</f>
        <v>#N/A</v>
      </c>
    </row>
    <row r="1545" spans="1:12" ht="172.8" hidden="1" x14ac:dyDescent="0.3">
      <c r="A1545" s="5">
        <v>18793507</v>
      </c>
      <c r="B1545" s="6" t="s">
        <v>1984</v>
      </c>
      <c r="C1545" s="6" t="s">
        <v>136</v>
      </c>
      <c r="D1545" s="8" t="s">
        <v>78</v>
      </c>
      <c r="E1545" s="6" t="s">
        <v>2522</v>
      </c>
      <c r="F1545" s="6" t="s">
        <v>95</v>
      </c>
      <c r="G1545" s="11" t="s">
        <v>56</v>
      </c>
      <c r="I1545" s="10" t="s">
        <v>2523</v>
      </c>
      <c r="J1545" s="6" t="s">
        <v>2524</v>
      </c>
      <c r="K1545" s="12">
        <v>46120.554907407408</v>
      </c>
      <c r="L1545" s="6" t="e" cm="1">
        <f t="array" ref="L1545">LOOKUP(2^15,SEARCH(Tabela2[Palavras-Chave],Boletim4[[#This Row],[Objeto]],1),Tabela2[Palavras-Chave])</f>
        <v>#N/A</v>
      </c>
    </row>
    <row r="1546" spans="1:12" ht="115.2" hidden="1" x14ac:dyDescent="0.3">
      <c r="A1546" s="5">
        <v>18800863</v>
      </c>
      <c r="B1546" s="6" t="s">
        <v>2525</v>
      </c>
      <c r="C1546" s="6" t="s">
        <v>136</v>
      </c>
      <c r="D1546" s="8" t="s">
        <v>78</v>
      </c>
      <c r="E1546" s="6" t="s">
        <v>129</v>
      </c>
      <c r="F1546" s="6" t="s">
        <v>95</v>
      </c>
      <c r="G1546" s="11">
        <v>46126.375</v>
      </c>
      <c r="I1546" s="10" t="s">
        <v>2526</v>
      </c>
      <c r="J1546" s="6" t="s">
        <v>2527</v>
      </c>
      <c r="K1546" s="12">
        <v>46120.821562500001</v>
      </c>
      <c r="L1546" s="6" t="e" cm="1">
        <f t="array" ref="L1546">LOOKUP(2^15,SEARCH(Tabela2[Palavras-Chave],Boletim4[[#This Row],[Objeto]],1),Tabela2[Palavras-Chave])</f>
        <v>#N/A</v>
      </c>
    </row>
    <row r="1547" spans="1:12" ht="72" x14ac:dyDescent="0.3">
      <c r="A1547" s="5">
        <v>18802282</v>
      </c>
      <c r="B1547" s="6" t="s">
        <v>74</v>
      </c>
      <c r="C1547" s="6" t="s">
        <v>79</v>
      </c>
      <c r="D1547" s="8" t="s">
        <v>80</v>
      </c>
      <c r="E1547" s="6" t="s">
        <v>2501</v>
      </c>
      <c r="F1547" s="6" t="s">
        <v>95</v>
      </c>
      <c r="G1547" s="11" t="s">
        <v>56</v>
      </c>
      <c r="H1547" s="23">
        <v>2</v>
      </c>
      <c r="I1547" s="10" t="s">
        <v>2502</v>
      </c>
      <c r="J1547" s="6" t="s">
        <v>2503</v>
      </c>
      <c r="K1547" s="12">
        <v>46120.469490740739</v>
      </c>
      <c r="L1547" s="6" t="str" cm="1">
        <f t="array" ref="L1547">LOOKUP(2^15,SEARCH(Tabela2[Palavras-Chave],Boletim4[[#This Row],[Objeto]],1),Tabela2[Palavras-Chave])</f>
        <v>TANQUE</v>
      </c>
    </row>
    <row r="1548" spans="1:12" ht="409.6" hidden="1" x14ac:dyDescent="0.3">
      <c r="A1548" s="5">
        <v>18785341</v>
      </c>
      <c r="B1548" s="6" t="s">
        <v>2528</v>
      </c>
      <c r="C1548" s="6" t="s">
        <v>442</v>
      </c>
      <c r="D1548" s="8" t="s">
        <v>80</v>
      </c>
      <c r="E1548" s="6" t="s">
        <v>224</v>
      </c>
      <c r="F1548" s="6" t="s">
        <v>95</v>
      </c>
      <c r="G1548" s="11">
        <v>46136.333333333336</v>
      </c>
      <c r="I1548" s="10" t="s">
        <v>2529</v>
      </c>
      <c r="J1548" s="6" t="s">
        <v>2530</v>
      </c>
      <c r="K1548" s="12">
        <v>46120.521319444444</v>
      </c>
      <c r="L1548" s="6" t="e" cm="1">
        <f t="array" ref="L1548">LOOKUP(2^15,SEARCH(Tabela2[Palavras-Chave],Boletim4[[#This Row],[Objeto]],1),Tabela2[Palavras-Chave])</f>
        <v>#N/A</v>
      </c>
    </row>
    <row r="1549" spans="1:12" ht="115.2" hidden="1" x14ac:dyDescent="0.3">
      <c r="A1549" s="5">
        <v>18722922</v>
      </c>
      <c r="B1549" s="6" t="s">
        <v>2531</v>
      </c>
      <c r="C1549" s="6" t="s">
        <v>2532</v>
      </c>
      <c r="D1549" s="8" t="s">
        <v>80</v>
      </c>
      <c r="E1549" s="6" t="s">
        <v>461</v>
      </c>
      <c r="F1549" s="6" t="s">
        <v>95</v>
      </c>
      <c r="G1549" s="11">
        <v>46139.340277777781</v>
      </c>
      <c r="I1549" s="10" t="s">
        <v>2533</v>
      </c>
      <c r="J1549" s="6" t="s">
        <v>2534</v>
      </c>
      <c r="K1549" s="12">
        <v>46120.579594907409</v>
      </c>
      <c r="L1549" s="6" t="e" cm="1">
        <f t="array" ref="L1549">LOOKUP(2^15,SEARCH(Tabela2[Palavras-Chave],Boletim4[[#This Row],[Objeto]],1),Tabela2[Palavras-Chave])</f>
        <v>#N/A</v>
      </c>
    </row>
    <row r="1550" spans="1:12" ht="115.2" hidden="1" x14ac:dyDescent="0.3">
      <c r="A1550" s="5">
        <v>18610831</v>
      </c>
      <c r="B1550" s="6" t="s">
        <v>2535</v>
      </c>
      <c r="C1550" s="6" t="s">
        <v>2536</v>
      </c>
      <c r="D1550" s="8" t="s">
        <v>80</v>
      </c>
      <c r="E1550" s="6" t="s">
        <v>120</v>
      </c>
      <c r="F1550" s="6" t="s">
        <v>95</v>
      </c>
      <c r="G1550" s="11">
        <v>46146.353472222225</v>
      </c>
      <c r="I1550" s="10" t="s">
        <v>2537</v>
      </c>
      <c r="J1550" s="6" t="s">
        <v>2538</v>
      </c>
      <c r="K1550" s="12">
        <v>46120.579710648148</v>
      </c>
      <c r="L1550" s="6" t="e" cm="1">
        <f t="array" ref="L1550">LOOKUP(2^15,SEARCH(Tabela2[Palavras-Chave],Boletim4[[#This Row],[Objeto]],1),Tabela2[Palavras-Chave])</f>
        <v>#N/A</v>
      </c>
    </row>
    <row r="1551" spans="1:12" ht="115.2" hidden="1" x14ac:dyDescent="0.3">
      <c r="A1551" s="5">
        <v>18755244</v>
      </c>
      <c r="B1551" s="6" t="s">
        <v>2539</v>
      </c>
      <c r="C1551" s="6" t="s">
        <v>2540</v>
      </c>
      <c r="D1551" s="8" t="s">
        <v>80</v>
      </c>
      <c r="E1551" s="6" t="s">
        <v>107</v>
      </c>
      <c r="F1551" s="6" t="s">
        <v>95</v>
      </c>
      <c r="G1551" s="11">
        <v>46141.353472222225</v>
      </c>
      <c r="I1551" s="10" t="s">
        <v>2541</v>
      </c>
      <c r="J1551" s="6" t="s">
        <v>2542</v>
      </c>
      <c r="K1551" s="12">
        <v>46120.654780092591</v>
      </c>
      <c r="L1551" s="6" t="e" cm="1">
        <f t="array" ref="L1551">LOOKUP(2^15,SEARCH(Tabela2[Palavras-Chave],Boletim4[[#This Row],[Objeto]],1),Tabela2[Palavras-Chave])</f>
        <v>#N/A</v>
      </c>
    </row>
    <row r="1552" spans="1:12" ht="57.6" hidden="1" x14ac:dyDescent="0.3">
      <c r="A1552" s="5">
        <v>18721738</v>
      </c>
      <c r="B1552" s="6" t="s">
        <v>2543</v>
      </c>
      <c r="C1552" s="6" t="s">
        <v>2544</v>
      </c>
      <c r="D1552" s="8" t="s">
        <v>80</v>
      </c>
      <c r="E1552" s="6" t="s">
        <v>114</v>
      </c>
      <c r="F1552" s="6" t="s">
        <v>95</v>
      </c>
      <c r="G1552" s="11">
        <v>46141.333333333336</v>
      </c>
      <c r="I1552" s="10" t="s">
        <v>2545</v>
      </c>
      <c r="J1552" s="6" t="s">
        <v>2546</v>
      </c>
      <c r="K1552" s="12">
        <v>46120.655439814815</v>
      </c>
      <c r="L1552" s="6" t="e" cm="1">
        <f t="array" ref="L1552">LOOKUP(2^15,SEARCH(Tabela2[Palavras-Chave],Boletim4[[#This Row],[Objeto]],1),Tabela2[Palavras-Chave])</f>
        <v>#N/A</v>
      </c>
    </row>
    <row r="1553" spans="1:12" ht="115.2" hidden="1" x14ac:dyDescent="0.3">
      <c r="A1553" s="5">
        <v>18759982</v>
      </c>
      <c r="B1553" s="6" t="s">
        <v>2547</v>
      </c>
      <c r="C1553" s="6" t="s">
        <v>2548</v>
      </c>
      <c r="D1553" s="8" t="s">
        <v>80</v>
      </c>
      <c r="E1553" s="6" t="s">
        <v>134</v>
      </c>
      <c r="F1553" s="6" t="s">
        <v>95</v>
      </c>
      <c r="G1553" s="11">
        <v>46135.561805555553</v>
      </c>
      <c r="I1553" s="10" t="s">
        <v>2549</v>
      </c>
      <c r="J1553" s="6" t="s">
        <v>2550</v>
      </c>
      <c r="K1553" s="12">
        <v>46120.863217592596</v>
      </c>
      <c r="L1553" s="6" t="e" cm="1">
        <f t="array" ref="L1553">LOOKUP(2^15,SEARCH(Tabela2[Palavras-Chave],Boletim4[[#This Row],[Objeto]],1),Tabela2[Palavras-Chave])</f>
        <v>#N/A</v>
      </c>
    </row>
    <row r="1554" spans="1:12" ht="144" hidden="1" x14ac:dyDescent="0.3">
      <c r="A1554" s="5">
        <v>18306381</v>
      </c>
      <c r="B1554" s="6" t="s">
        <v>2551</v>
      </c>
      <c r="C1554" s="6" t="s">
        <v>2552</v>
      </c>
      <c r="D1554" s="8" t="s">
        <v>81</v>
      </c>
      <c r="E1554" s="6" t="s">
        <v>2553</v>
      </c>
      <c r="F1554" s="6" t="s">
        <v>95</v>
      </c>
      <c r="G1554" s="11" t="s">
        <v>56</v>
      </c>
      <c r="I1554" s="10" t="s">
        <v>2554</v>
      </c>
      <c r="J1554" s="6" t="s">
        <v>2555</v>
      </c>
      <c r="K1554" s="12">
        <v>46120.731979166667</v>
      </c>
      <c r="L1554" s="6" t="e" cm="1">
        <f t="array" ref="L1554">LOOKUP(2^15,SEARCH(Tabela2[Palavras-Chave],Boletim4[[#This Row],[Objeto]],1),Tabela2[Palavras-Chave])</f>
        <v>#N/A</v>
      </c>
    </row>
    <row r="1555" spans="1:12" ht="86.4" hidden="1" x14ac:dyDescent="0.3">
      <c r="A1555" s="5">
        <v>18697455</v>
      </c>
      <c r="B1555" s="6" t="s">
        <v>291</v>
      </c>
      <c r="C1555" s="6" t="s">
        <v>292</v>
      </c>
      <c r="D1555" s="8" t="s">
        <v>81</v>
      </c>
      <c r="E1555" s="6" t="s">
        <v>117</v>
      </c>
      <c r="F1555" s="6" t="s">
        <v>95</v>
      </c>
      <c r="G1555" s="11">
        <v>46147.375</v>
      </c>
      <c r="I1555" s="10" t="s">
        <v>2556</v>
      </c>
      <c r="J1555" s="6" t="s">
        <v>2557</v>
      </c>
      <c r="K1555" s="12">
        <v>46120.73269675926</v>
      </c>
      <c r="L1555" s="6" t="e" cm="1">
        <f t="array" ref="L1555">LOOKUP(2^15,SEARCH(Tabela2[Palavras-Chave],Boletim4[[#This Row],[Objeto]],1),Tabela2[Palavras-Chave])</f>
        <v>#N/A</v>
      </c>
    </row>
    <row r="1556" spans="1:12" ht="100.8" hidden="1" x14ac:dyDescent="0.3">
      <c r="A1556" s="5">
        <v>18802542</v>
      </c>
      <c r="B1556" s="6" t="s">
        <v>175</v>
      </c>
      <c r="C1556" s="6" t="s">
        <v>104</v>
      </c>
      <c r="D1556" s="8" t="s">
        <v>81</v>
      </c>
      <c r="E1556" s="6" t="s">
        <v>3385</v>
      </c>
      <c r="F1556" s="6" t="s">
        <v>95</v>
      </c>
      <c r="G1556" s="11" t="s">
        <v>56</v>
      </c>
      <c r="I1556" s="10" t="s">
        <v>3386</v>
      </c>
      <c r="J1556" s="6" t="s">
        <v>3387</v>
      </c>
      <c r="K1556" s="12">
        <v>46120.847083333334</v>
      </c>
      <c r="L1556" s="6" t="e" cm="1">
        <f t="array" ref="L1556">LOOKUP(2^15,SEARCH(Tabela2[Palavras-Chave],Boletim4[[#This Row],[Objeto]],1),Tabela2[Palavras-Chave])</f>
        <v>#N/A</v>
      </c>
    </row>
    <row r="1557" spans="1:12" ht="100.8" hidden="1" x14ac:dyDescent="0.3">
      <c r="A1557" s="5">
        <v>18795523</v>
      </c>
      <c r="B1557" s="6" t="s">
        <v>2558</v>
      </c>
      <c r="C1557" s="6" t="s">
        <v>2559</v>
      </c>
      <c r="D1557" s="8" t="s">
        <v>93</v>
      </c>
      <c r="E1557" s="6" t="s">
        <v>115</v>
      </c>
      <c r="F1557" s="6" t="s">
        <v>95</v>
      </c>
      <c r="G1557" s="11" t="s">
        <v>56</v>
      </c>
      <c r="I1557" s="10" t="s">
        <v>2560</v>
      </c>
      <c r="J1557" s="6" t="s">
        <v>2561</v>
      </c>
      <c r="K1557" s="12">
        <v>46120.552673611113</v>
      </c>
      <c r="L1557" s="6" t="e" cm="1">
        <f t="array" ref="L1557">LOOKUP(2^15,SEARCH(Tabela2[Palavras-Chave],Boletim4[[#This Row],[Objeto]],1),Tabela2[Palavras-Chave])</f>
        <v>#N/A</v>
      </c>
    </row>
    <row r="1558" spans="1:12" ht="100.8" hidden="1" x14ac:dyDescent="0.3">
      <c r="A1558" s="5">
        <v>18724117</v>
      </c>
      <c r="B1558" s="6" t="s">
        <v>2562</v>
      </c>
      <c r="C1558" s="6" t="s">
        <v>2563</v>
      </c>
      <c r="D1558" s="8" t="s">
        <v>82</v>
      </c>
      <c r="E1558" s="6" t="s">
        <v>128</v>
      </c>
      <c r="F1558" s="6" t="s">
        <v>95</v>
      </c>
      <c r="G1558" s="11" t="s">
        <v>56</v>
      </c>
      <c r="I1558" s="10" t="s">
        <v>2564</v>
      </c>
      <c r="J1558" s="6" t="s">
        <v>2565</v>
      </c>
      <c r="K1558" s="12">
        <v>46120.388368055559</v>
      </c>
      <c r="L1558" s="6" t="e" cm="1">
        <f t="array" ref="L1558">LOOKUP(2^15,SEARCH(Tabela2[Palavras-Chave],Boletim4[[#This Row],[Objeto]],1),Tabela2[Palavras-Chave])</f>
        <v>#N/A</v>
      </c>
    </row>
    <row r="1559" spans="1:12" ht="72" hidden="1" x14ac:dyDescent="0.3">
      <c r="A1559" s="5">
        <v>18521554</v>
      </c>
      <c r="B1559" s="6" t="s">
        <v>74</v>
      </c>
      <c r="C1559" s="6" t="s">
        <v>83</v>
      </c>
      <c r="D1559" s="8" t="s">
        <v>82</v>
      </c>
      <c r="E1559" s="6" t="s">
        <v>2566</v>
      </c>
      <c r="F1559" s="6" t="s">
        <v>95</v>
      </c>
      <c r="G1559" s="11" t="s">
        <v>56</v>
      </c>
      <c r="I1559" s="10" t="s">
        <v>2567</v>
      </c>
      <c r="J1559" s="6" t="s">
        <v>2568</v>
      </c>
      <c r="K1559" s="12">
        <v>46120.468090277776</v>
      </c>
      <c r="L1559" s="6" t="e" cm="1">
        <f t="array" ref="L1559">LOOKUP(2^15,SEARCH(Tabela2[Palavras-Chave],Boletim4[[#This Row],[Objeto]],1),Tabela2[Palavras-Chave])</f>
        <v>#N/A</v>
      </c>
    </row>
    <row r="1560" spans="1:12" ht="129.6" hidden="1" x14ac:dyDescent="0.3">
      <c r="A1560" s="5">
        <v>18790480</v>
      </c>
      <c r="B1560" s="6" t="s">
        <v>2569</v>
      </c>
      <c r="C1560" s="6" t="s">
        <v>83</v>
      </c>
      <c r="D1560" s="8" t="s">
        <v>82</v>
      </c>
      <c r="E1560" s="6" t="s">
        <v>2570</v>
      </c>
      <c r="F1560" s="6" t="s">
        <v>95</v>
      </c>
      <c r="G1560" s="11" t="s">
        <v>56</v>
      </c>
      <c r="I1560" s="10" t="s">
        <v>2571</v>
      </c>
      <c r="J1560" s="6" t="s">
        <v>2572</v>
      </c>
      <c r="K1560" s="12">
        <v>46120.55023148148</v>
      </c>
      <c r="L1560" s="6" t="e" cm="1">
        <f t="array" ref="L1560">LOOKUP(2^15,SEARCH(Tabela2[Palavras-Chave],Boletim4[[#This Row],[Objeto]],1),Tabela2[Palavras-Chave])</f>
        <v>#N/A</v>
      </c>
    </row>
    <row r="1561" spans="1:12" ht="72" hidden="1" x14ac:dyDescent="0.3">
      <c r="A1561" s="5">
        <v>18804386</v>
      </c>
      <c r="B1561" s="6" t="s">
        <v>74</v>
      </c>
      <c r="C1561" s="6" t="s">
        <v>83</v>
      </c>
      <c r="D1561" s="8" t="s">
        <v>82</v>
      </c>
      <c r="E1561" s="6" t="s">
        <v>2511</v>
      </c>
      <c r="F1561" s="6" t="s">
        <v>95</v>
      </c>
      <c r="G1561" s="11" t="s">
        <v>56</v>
      </c>
      <c r="I1561" s="10" t="s">
        <v>2512</v>
      </c>
      <c r="J1561" s="6" t="s">
        <v>2513</v>
      </c>
      <c r="K1561" s="12">
        <v>46120.655590277776</v>
      </c>
      <c r="L1561" s="6" t="e" cm="1">
        <f t="array" ref="L1561">LOOKUP(2^15,SEARCH(Tabela2[Palavras-Chave],Boletim4[[#This Row],[Objeto]],1),Tabela2[Palavras-Chave])</f>
        <v>#N/A</v>
      </c>
    </row>
    <row r="1562" spans="1:12" ht="129.6" hidden="1" x14ac:dyDescent="0.3">
      <c r="A1562" s="5">
        <v>18798412</v>
      </c>
      <c r="B1562" s="6" t="s">
        <v>2573</v>
      </c>
      <c r="C1562" s="6" t="s">
        <v>2574</v>
      </c>
      <c r="D1562" s="8" t="s">
        <v>82</v>
      </c>
      <c r="E1562" s="6" t="s">
        <v>176</v>
      </c>
      <c r="F1562" s="6" t="s">
        <v>95</v>
      </c>
      <c r="G1562" s="11" t="s">
        <v>56</v>
      </c>
      <c r="I1562" s="10" t="s">
        <v>2575</v>
      </c>
      <c r="J1562" s="6" t="s">
        <v>2576</v>
      </c>
      <c r="K1562" s="12">
        <v>46120.824953703705</v>
      </c>
      <c r="L1562" s="6" t="e" cm="1">
        <f t="array" ref="L1562">LOOKUP(2^15,SEARCH(Tabela2[Palavras-Chave],Boletim4[[#This Row],[Objeto]],1),Tabela2[Palavras-Chave])</f>
        <v>#N/A</v>
      </c>
    </row>
    <row r="1563" spans="1:12" ht="273.60000000000002" hidden="1" x14ac:dyDescent="0.3">
      <c r="A1563" s="5">
        <v>18768043</v>
      </c>
      <c r="B1563" s="6" t="s">
        <v>450</v>
      </c>
      <c r="C1563" s="6" t="s">
        <v>451</v>
      </c>
      <c r="D1563" s="8" t="s">
        <v>82</v>
      </c>
      <c r="E1563" s="6" t="s">
        <v>124</v>
      </c>
      <c r="F1563" s="6" t="s">
        <v>95</v>
      </c>
      <c r="G1563" s="11" t="s">
        <v>56</v>
      </c>
      <c r="I1563" s="10" t="s">
        <v>2577</v>
      </c>
      <c r="J1563" s="6" t="s">
        <v>2578</v>
      </c>
      <c r="K1563" s="12">
        <v>46120.825983796298</v>
      </c>
      <c r="L1563" s="6" t="e" cm="1">
        <f t="array" ref="L1563">LOOKUP(2^15,SEARCH(Tabela2[Palavras-Chave],Boletim4[[#This Row],[Objeto]],1),Tabela2[Palavras-Chave])</f>
        <v>#N/A</v>
      </c>
    </row>
    <row r="1564" spans="1:12" ht="187.2" hidden="1" x14ac:dyDescent="0.3">
      <c r="A1564" s="5">
        <v>18693222</v>
      </c>
      <c r="B1564" s="6" t="s">
        <v>382</v>
      </c>
      <c r="C1564" s="6" t="s">
        <v>383</v>
      </c>
      <c r="D1564" s="8" t="s">
        <v>72</v>
      </c>
      <c r="E1564" s="6" t="s">
        <v>126</v>
      </c>
      <c r="F1564" s="6" t="s">
        <v>187</v>
      </c>
      <c r="G1564" s="11">
        <v>46139.375</v>
      </c>
      <c r="I1564" s="10" t="s">
        <v>2579</v>
      </c>
      <c r="J1564" s="6" t="s">
        <v>2580</v>
      </c>
      <c r="K1564" s="12">
        <v>46120.627812500003</v>
      </c>
      <c r="L1564" s="6" t="e" cm="1">
        <f t="array" ref="L1564">LOOKUP(2^15,SEARCH(Tabela2[Palavras-Chave],Boletim4[[#This Row],[Objeto]],1),Tabela2[Palavras-Chave])</f>
        <v>#N/A</v>
      </c>
    </row>
    <row r="1565" spans="1:12" ht="345.6" hidden="1" x14ac:dyDescent="0.3">
      <c r="A1565" s="5">
        <v>18122137</v>
      </c>
      <c r="B1565" s="6" t="s">
        <v>2274</v>
      </c>
      <c r="C1565" s="6" t="s">
        <v>2275</v>
      </c>
      <c r="D1565" s="8" t="s">
        <v>82</v>
      </c>
      <c r="E1565" s="6" t="s">
        <v>2581</v>
      </c>
      <c r="F1565" s="6" t="s">
        <v>187</v>
      </c>
      <c r="G1565" s="11" t="s">
        <v>56</v>
      </c>
      <c r="I1565" s="10" t="s">
        <v>2582</v>
      </c>
      <c r="J1565" s="6" t="s">
        <v>2583</v>
      </c>
      <c r="K1565" s="12">
        <v>46120.513240740744</v>
      </c>
      <c r="L1565" s="6" t="e" cm="1">
        <f t="array" ref="L1565">LOOKUP(2^15,SEARCH(Tabela2[Palavras-Chave],Boletim4[[#This Row],[Objeto]],1),Tabela2[Palavras-Chave])</f>
        <v>#N/A</v>
      </c>
    </row>
    <row r="1566" spans="1:12" ht="273.60000000000002" hidden="1" x14ac:dyDescent="0.3">
      <c r="A1566" s="5">
        <v>18642383</v>
      </c>
      <c r="B1566" s="6" t="s">
        <v>449</v>
      </c>
      <c r="C1566" s="6" t="s">
        <v>258</v>
      </c>
      <c r="D1566" s="8" t="s">
        <v>82</v>
      </c>
      <c r="E1566" s="6" t="s">
        <v>143</v>
      </c>
      <c r="F1566" s="6" t="s">
        <v>187</v>
      </c>
      <c r="G1566" s="11">
        <v>46129.375</v>
      </c>
      <c r="I1566" s="10" t="s">
        <v>3388</v>
      </c>
      <c r="J1566" s="6" t="s">
        <v>3389</v>
      </c>
      <c r="K1566" s="12">
        <v>46120.714618055557</v>
      </c>
      <c r="L1566" s="6" t="e" cm="1">
        <f t="array" ref="L1566">LOOKUP(2^15,SEARCH(Tabela2[Palavras-Chave],Boletim4[[#This Row],[Objeto]],1),Tabela2[Palavras-Chave])</f>
        <v>#N/A</v>
      </c>
    </row>
    <row r="1567" spans="1:12" ht="100.8" hidden="1" x14ac:dyDescent="0.3">
      <c r="A1567" s="5">
        <v>18705872</v>
      </c>
      <c r="B1567" s="6" t="s">
        <v>2584</v>
      </c>
      <c r="C1567" s="6" t="s">
        <v>2585</v>
      </c>
      <c r="D1567" s="8" t="s">
        <v>66</v>
      </c>
      <c r="E1567" s="6" t="s">
        <v>108</v>
      </c>
      <c r="F1567" s="6" t="s">
        <v>96</v>
      </c>
      <c r="G1567" s="11">
        <v>46163.354166666664</v>
      </c>
      <c r="I1567" s="10" t="s">
        <v>2586</v>
      </c>
      <c r="J1567" s="6" t="s">
        <v>2587</v>
      </c>
      <c r="K1567" s="12">
        <v>46120.705578703702</v>
      </c>
      <c r="L1567" s="6" t="e" cm="1">
        <f t="array" ref="L1567">LOOKUP(2^15,SEARCH(Tabela2[Palavras-Chave],Boletim4[[#This Row],[Objeto]],1),Tabela2[Palavras-Chave])</f>
        <v>#N/A</v>
      </c>
    </row>
    <row r="1568" spans="1:12" ht="187.2" hidden="1" x14ac:dyDescent="0.3">
      <c r="A1568" s="5">
        <v>18740602</v>
      </c>
      <c r="B1568" s="6" t="s">
        <v>2588</v>
      </c>
      <c r="C1568" s="6" t="s">
        <v>2589</v>
      </c>
      <c r="D1568" s="8" t="s">
        <v>82</v>
      </c>
      <c r="E1568" s="6" t="s">
        <v>192</v>
      </c>
      <c r="F1568" s="6" t="s">
        <v>168</v>
      </c>
      <c r="G1568" s="11" t="s">
        <v>56</v>
      </c>
      <c r="I1568" s="10" t="s">
        <v>2590</v>
      </c>
      <c r="J1568" s="6" t="s">
        <v>2591</v>
      </c>
      <c r="K1568" s="12">
        <v>46120.871053240742</v>
      </c>
      <c r="L1568" s="6" t="e" cm="1">
        <f t="array" ref="L1568">LOOKUP(2^15,SEARCH(Tabela2[Palavras-Chave],Boletim4[[#This Row],[Objeto]],1),Tabela2[Palavras-Chave])</f>
        <v>#N/A</v>
      </c>
    </row>
    <row r="1569" spans="1:12" ht="144" x14ac:dyDescent="0.3">
      <c r="A1569" s="5">
        <v>18671059</v>
      </c>
      <c r="B1569" s="6" t="s">
        <v>2592</v>
      </c>
      <c r="C1569" s="6" t="s">
        <v>2593</v>
      </c>
      <c r="D1569" s="8" t="s">
        <v>82</v>
      </c>
      <c r="E1569" s="6" t="s">
        <v>108</v>
      </c>
      <c r="F1569" s="6" t="s">
        <v>2594</v>
      </c>
      <c r="G1569" s="11" t="s">
        <v>56</v>
      </c>
      <c r="H1569" s="23">
        <v>2</v>
      </c>
      <c r="I1569" s="10" t="s">
        <v>2595</v>
      </c>
      <c r="J1569" s="6" t="s">
        <v>2596</v>
      </c>
      <c r="K1569" s="12">
        <v>46120.801782407405</v>
      </c>
      <c r="L1569" s="6" t="str" cm="1">
        <f t="array" ref="L1569">LOOKUP(2^15,SEARCH(Tabela2[Palavras-Chave],Boletim4[[#This Row],[Objeto]],1),Tabela2[Palavras-Chave])</f>
        <v>ELEVATÓRIA</v>
      </c>
    </row>
    <row r="1570" spans="1:12" ht="302.39999999999998" hidden="1" x14ac:dyDescent="0.3">
      <c r="A1570" s="5">
        <v>18747088</v>
      </c>
      <c r="B1570" s="6" t="s">
        <v>2597</v>
      </c>
      <c r="C1570" s="6" t="s">
        <v>2598</v>
      </c>
      <c r="D1570" s="8" t="s">
        <v>54</v>
      </c>
      <c r="E1570" s="6" t="s">
        <v>108</v>
      </c>
      <c r="F1570" s="6" t="s">
        <v>97</v>
      </c>
      <c r="G1570" s="11" t="s">
        <v>56</v>
      </c>
      <c r="I1570" s="10" t="s">
        <v>2599</v>
      </c>
      <c r="J1570" s="6" t="s">
        <v>2600</v>
      </c>
      <c r="K1570" s="12">
        <v>46120.801168981481</v>
      </c>
      <c r="L1570" s="6" t="e" cm="1">
        <f t="array" ref="L1570">LOOKUP(2^15,SEARCH(Tabela2[Palavras-Chave],Boletim4[[#This Row],[Objeto]],1),Tabela2[Palavras-Chave])</f>
        <v>#N/A</v>
      </c>
    </row>
    <row r="1571" spans="1:12" ht="100.8" hidden="1" x14ac:dyDescent="0.3">
      <c r="A1571" s="5">
        <v>18761071</v>
      </c>
      <c r="B1571" s="6" t="s">
        <v>2601</v>
      </c>
      <c r="C1571" s="6" t="s">
        <v>59</v>
      </c>
      <c r="D1571" s="8" t="s">
        <v>60</v>
      </c>
      <c r="E1571" s="6" t="s">
        <v>222</v>
      </c>
      <c r="F1571" s="6" t="s">
        <v>97</v>
      </c>
      <c r="G1571" s="11" t="s">
        <v>56</v>
      </c>
      <c r="I1571" s="10" t="s">
        <v>2602</v>
      </c>
      <c r="J1571" s="6" t="s">
        <v>2603</v>
      </c>
      <c r="K1571" s="12">
        <v>46120.659571759257</v>
      </c>
      <c r="L1571" s="6" t="e" cm="1">
        <f t="array" ref="L1571">LOOKUP(2^15,SEARCH(Tabela2[Palavras-Chave],Boletim4[[#This Row],[Objeto]],1),Tabela2[Palavras-Chave])</f>
        <v>#N/A</v>
      </c>
    </row>
    <row r="1572" spans="1:12" ht="129.6" hidden="1" x14ac:dyDescent="0.3">
      <c r="A1572" s="5">
        <v>18759755</v>
      </c>
      <c r="B1572" s="6" t="s">
        <v>2604</v>
      </c>
      <c r="C1572" s="6" t="s">
        <v>2605</v>
      </c>
      <c r="D1572" s="8" t="s">
        <v>64</v>
      </c>
      <c r="E1572" s="6" t="s">
        <v>128</v>
      </c>
      <c r="F1572" s="6" t="s">
        <v>97</v>
      </c>
      <c r="G1572" s="11" t="s">
        <v>56</v>
      </c>
      <c r="I1572" s="10" t="s">
        <v>2606</v>
      </c>
      <c r="J1572" s="6" t="s">
        <v>2607</v>
      </c>
      <c r="K1572" s="12">
        <v>46120.827199074076</v>
      </c>
      <c r="L1572" s="6" t="e" cm="1">
        <f t="array" ref="L1572">LOOKUP(2^15,SEARCH(Tabela2[Palavras-Chave],Boletim4[[#This Row],[Objeto]],1),Tabela2[Palavras-Chave])</f>
        <v>#N/A</v>
      </c>
    </row>
    <row r="1573" spans="1:12" ht="409.6" hidden="1" x14ac:dyDescent="0.3">
      <c r="A1573" s="5">
        <v>18331036</v>
      </c>
      <c r="B1573" s="6" t="s">
        <v>2608</v>
      </c>
      <c r="C1573" s="6" t="s">
        <v>123</v>
      </c>
      <c r="D1573" s="8" t="s">
        <v>67</v>
      </c>
      <c r="E1573" s="6" t="s">
        <v>2609</v>
      </c>
      <c r="F1573" s="6" t="s">
        <v>97</v>
      </c>
      <c r="G1573" s="11" t="s">
        <v>56</v>
      </c>
      <c r="I1573" s="10" t="s">
        <v>2610</v>
      </c>
      <c r="J1573" s="6" t="s">
        <v>2611</v>
      </c>
      <c r="K1573" s="12">
        <v>46120.534247685187</v>
      </c>
      <c r="L1573" s="6" t="e" cm="1">
        <f t="array" ref="L1573">LOOKUP(2^15,SEARCH(Tabela2[Palavras-Chave],Boletim4[[#This Row],[Objeto]],1),Tabela2[Palavras-Chave])</f>
        <v>#N/A</v>
      </c>
    </row>
    <row r="1574" spans="1:12" ht="43.2" hidden="1" x14ac:dyDescent="0.3">
      <c r="A1574" s="5">
        <v>18757225</v>
      </c>
      <c r="B1574" s="6" t="s">
        <v>400</v>
      </c>
      <c r="C1574" s="6" t="s">
        <v>401</v>
      </c>
      <c r="D1574" s="8" t="s">
        <v>81</v>
      </c>
      <c r="E1574" s="6" t="s">
        <v>2175</v>
      </c>
      <c r="F1574" s="6" t="s">
        <v>97</v>
      </c>
      <c r="G1574" s="11" t="s">
        <v>56</v>
      </c>
      <c r="I1574" s="10" t="s">
        <v>2612</v>
      </c>
      <c r="J1574" s="6" t="s">
        <v>2613</v>
      </c>
      <c r="K1574" s="12">
        <v>46120.736307870371</v>
      </c>
      <c r="L1574" s="6" t="e" cm="1">
        <f t="array" ref="L1574">LOOKUP(2^15,SEARCH(Tabela2[Palavras-Chave],Boletim4[[#This Row],[Objeto]],1),Tabela2[Palavras-Chave])</f>
        <v>#N/A</v>
      </c>
    </row>
    <row r="1575" spans="1:12" ht="409.6" hidden="1" x14ac:dyDescent="0.3">
      <c r="A1575" s="5">
        <v>18561338</v>
      </c>
      <c r="B1575" s="6" t="s">
        <v>2614</v>
      </c>
      <c r="C1575" s="6" t="s">
        <v>2615</v>
      </c>
      <c r="D1575" s="8" t="s">
        <v>54</v>
      </c>
      <c r="E1575" s="6" t="s">
        <v>109</v>
      </c>
      <c r="F1575" s="6" t="s">
        <v>98</v>
      </c>
      <c r="G1575" s="11" t="s">
        <v>56</v>
      </c>
      <c r="I1575" s="10" t="s">
        <v>2616</v>
      </c>
      <c r="J1575" s="6" t="s">
        <v>2617</v>
      </c>
      <c r="K1575" s="12">
        <v>46120.773553240739</v>
      </c>
      <c r="L1575" s="6" t="e" cm="1">
        <f t="array" ref="L1575">LOOKUP(2^15,SEARCH(Tabela2[Palavras-Chave],Boletim4[[#This Row],[Objeto]],1),Tabela2[Palavras-Chave])</f>
        <v>#N/A</v>
      </c>
    </row>
    <row r="1576" spans="1:12" ht="201.6" hidden="1" x14ac:dyDescent="0.3">
      <c r="A1576" s="5">
        <v>18732561</v>
      </c>
      <c r="B1576" s="6" t="s">
        <v>3390</v>
      </c>
      <c r="C1576" s="6" t="s">
        <v>3391</v>
      </c>
      <c r="D1576" s="8" t="s">
        <v>60</v>
      </c>
      <c r="E1576" s="6" t="s">
        <v>3392</v>
      </c>
      <c r="F1576" s="6" t="s">
        <v>98</v>
      </c>
      <c r="G1576" s="11" t="s">
        <v>56</v>
      </c>
      <c r="I1576" s="10" t="s">
        <v>3393</v>
      </c>
      <c r="J1576" s="6" t="s">
        <v>3394</v>
      </c>
      <c r="K1576" s="12">
        <v>46120.574942129628</v>
      </c>
      <c r="L1576" s="6" t="e" cm="1">
        <f t="array" ref="L1576">LOOKUP(2^15,SEARCH(Tabela2[Palavras-Chave],Boletim4[[#This Row],[Objeto]],1),Tabela2[Palavras-Chave])</f>
        <v>#N/A</v>
      </c>
    </row>
    <row r="1577" spans="1:12" ht="409.6" hidden="1" x14ac:dyDescent="0.3">
      <c r="A1577" s="5">
        <v>18593205</v>
      </c>
      <c r="B1577" s="6" t="s">
        <v>2618</v>
      </c>
      <c r="C1577" s="6" t="s">
        <v>159</v>
      </c>
      <c r="D1577" s="8" t="s">
        <v>89</v>
      </c>
      <c r="E1577" s="6" t="s">
        <v>3395</v>
      </c>
      <c r="F1577" s="6" t="s">
        <v>98</v>
      </c>
      <c r="G1577" s="11" t="s">
        <v>56</v>
      </c>
      <c r="I1577" s="10" t="s">
        <v>3396</v>
      </c>
      <c r="J1577" s="6" t="s">
        <v>3397</v>
      </c>
      <c r="K1577" s="12">
        <v>46120.458912037036</v>
      </c>
      <c r="L1577" s="6" t="e" cm="1">
        <f t="array" ref="L1577">LOOKUP(2^15,SEARCH(Tabela2[Palavras-Chave],Boletim4[[#This Row],[Objeto]],1),Tabela2[Palavras-Chave])</f>
        <v>#N/A</v>
      </c>
    </row>
    <row r="1578" spans="1:12" ht="409.6" hidden="1" x14ac:dyDescent="0.3">
      <c r="A1578" s="5">
        <v>18593208</v>
      </c>
      <c r="B1578" s="6" t="s">
        <v>2618</v>
      </c>
      <c r="C1578" s="6" t="s">
        <v>159</v>
      </c>
      <c r="D1578" s="8" t="s">
        <v>89</v>
      </c>
      <c r="E1578" s="6" t="s">
        <v>3398</v>
      </c>
      <c r="F1578" s="6" t="s">
        <v>98</v>
      </c>
      <c r="G1578" s="11" t="s">
        <v>56</v>
      </c>
      <c r="I1578" s="10" t="s">
        <v>3399</v>
      </c>
      <c r="J1578" s="6" t="s">
        <v>3400</v>
      </c>
      <c r="K1578" s="12">
        <v>46120.459710648145</v>
      </c>
      <c r="L1578" s="6" t="e" cm="1">
        <f t="array" ref="L1578">LOOKUP(2^15,SEARCH(Tabela2[Palavras-Chave],Boletim4[[#This Row],[Objeto]],1),Tabela2[Palavras-Chave])</f>
        <v>#N/A</v>
      </c>
    </row>
    <row r="1579" spans="1:12" ht="409.6" hidden="1" x14ac:dyDescent="0.3">
      <c r="A1579" s="5">
        <v>18608657</v>
      </c>
      <c r="B1579" s="6" t="s">
        <v>2618</v>
      </c>
      <c r="C1579" s="6" t="s">
        <v>159</v>
      </c>
      <c r="D1579" s="8" t="s">
        <v>89</v>
      </c>
      <c r="E1579" s="6" t="s">
        <v>3107</v>
      </c>
      <c r="F1579" s="6" t="s">
        <v>98</v>
      </c>
      <c r="G1579" s="11" t="s">
        <v>56</v>
      </c>
      <c r="I1579" s="10" t="s">
        <v>3401</v>
      </c>
      <c r="J1579" s="6" t="s">
        <v>3402</v>
      </c>
      <c r="K1579" s="12">
        <v>46120.460509259261</v>
      </c>
      <c r="L1579" s="6" t="e" cm="1">
        <f t="array" ref="L1579">LOOKUP(2^15,SEARCH(Tabela2[Palavras-Chave],Boletim4[[#This Row],[Objeto]],1),Tabela2[Palavras-Chave])</f>
        <v>#N/A</v>
      </c>
    </row>
    <row r="1580" spans="1:12" ht="409.6" hidden="1" x14ac:dyDescent="0.3">
      <c r="A1580" s="5">
        <v>18593196</v>
      </c>
      <c r="B1580" s="6" t="s">
        <v>2618</v>
      </c>
      <c r="C1580" s="6" t="s">
        <v>159</v>
      </c>
      <c r="D1580" s="8" t="s">
        <v>89</v>
      </c>
      <c r="E1580" s="6" t="s">
        <v>3403</v>
      </c>
      <c r="F1580" s="6" t="s">
        <v>98</v>
      </c>
      <c r="G1580" s="11" t="s">
        <v>56</v>
      </c>
      <c r="I1580" s="10" t="s">
        <v>3404</v>
      </c>
      <c r="J1580" s="6" t="s">
        <v>3405</v>
      </c>
      <c r="K1580" s="12">
        <v>46120.460902777777</v>
      </c>
      <c r="L1580" s="6" t="e" cm="1">
        <f t="array" ref="L1580">LOOKUP(2^15,SEARCH(Tabela2[Palavras-Chave],Boletim4[[#This Row],[Objeto]],1),Tabela2[Palavras-Chave])</f>
        <v>#N/A</v>
      </c>
    </row>
    <row r="1581" spans="1:12" ht="115.2" hidden="1" x14ac:dyDescent="0.3">
      <c r="A1581" s="5">
        <v>18593195</v>
      </c>
      <c r="B1581" s="6" t="s">
        <v>2618</v>
      </c>
      <c r="C1581" s="6" t="s">
        <v>159</v>
      </c>
      <c r="D1581" s="8" t="s">
        <v>89</v>
      </c>
      <c r="E1581" s="6" t="s">
        <v>3406</v>
      </c>
      <c r="F1581" s="6" t="s">
        <v>98</v>
      </c>
      <c r="G1581" s="11" t="s">
        <v>56</v>
      </c>
      <c r="I1581" s="10" t="s">
        <v>3407</v>
      </c>
      <c r="J1581" s="6" t="s">
        <v>3408</v>
      </c>
      <c r="K1581" s="12">
        <v>46120.533379629633</v>
      </c>
      <c r="L1581" s="6" t="e" cm="1">
        <f t="array" ref="L1581">LOOKUP(2^15,SEARCH(Tabela2[Palavras-Chave],Boletim4[[#This Row],[Objeto]],1),Tabela2[Palavras-Chave])</f>
        <v>#N/A</v>
      </c>
    </row>
    <row r="1582" spans="1:12" ht="409.6" hidden="1" x14ac:dyDescent="0.3">
      <c r="A1582" s="5">
        <v>18593200</v>
      </c>
      <c r="B1582" s="6" t="s">
        <v>2618</v>
      </c>
      <c r="C1582" s="6" t="s">
        <v>159</v>
      </c>
      <c r="D1582" s="8" t="s">
        <v>89</v>
      </c>
      <c r="E1582" s="6" t="s">
        <v>3409</v>
      </c>
      <c r="F1582" s="6" t="s">
        <v>98</v>
      </c>
      <c r="G1582" s="11" t="s">
        <v>56</v>
      </c>
      <c r="I1582" s="10" t="s">
        <v>3410</v>
      </c>
      <c r="J1582" s="6" t="s">
        <v>3411</v>
      </c>
      <c r="K1582" s="12">
        <v>46120.588356481479</v>
      </c>
      <c r="L1582" s="6" t="e" cm="1">
        <f t="array" ref="L1582">LOOKUP(2^15,SEARCH(Tabela2[Palavras-Chave],Boletim4[[#This Row],[Objeto]],1),Tabela2[Palavras-Chave])</f>
        <v>#N/A</v>
      </c>
    </row>
    <row r="1583" spans="1:12" ht="409.6" hidden="1" x14ac:dyDescent="0.3">
      <c r="A1583" s="5">
        <v>18593197</v>
      </c>
      <c r="B1583" s="6" t="s">
        <v>2618</v>
      </c>
      <c r="C1583" s="6" t="s">
        <v>159</v>
      </c>
      <c r="D1583" s="8" t="s">
        <v>89</v>
      </c>
      <c r="E1583" s="6" t="s">
        <v>2619</v>
      </c>
      <c r="F1583" s="6" t="s">
        <v>98</v>
      </c>
      <c r="G1583" s="11" t="s">
        <v>56</v>
      </c>
      <c r="I1583" s="10" t="s">
        <v>2620</v>
      </c>
      <c r="J1583" s="6" t="s">
        <v>2621</v>
      </c>
      <c r="K1583" s="12">
        <v>46120.591053240743</v>
      </c>
      <c r="L1583" s="6" t="e" cm="1">
        <f t="array" ref="L1583">LOOKUP(2^15,SEARCH(Tabela2[Palavras-Chave],Boletim4[[#This Row],[Objeto]],1),Tabela2[Palavras-Chave])</f>
        <v>#N/A</v>
      </c>
    </row>
    <row r="1584" spans="1:12" ht="172.8" x14ac:dyDescent="0.3">
      <c r="A1584" s="5">
        <v>18778818</v>
      </c>
      <c r="B1584" s="6" t="s">
        <v>2622</v>
      </c>
      <c r="C1584" s="6" t="s">
        <v>2623</v>
      </c>
      <c r="D1584" s="8" t="s">
        <v>66</v>
      </c>
      <c r="E1584" s="6" t="s">
        <v>139</v>
      </c>
      <c r="F1584" s="6" t="s">
        <v>98</v>
      </c>
      <c r="G1584" s="11" t="s">
        <v>56</v>
      </c>
      <c r="H1584" s="23">
        <v>2</v>
      </c>
      <c r="I1584" s="10" t="s">
        <v>2624</v>
      </c>
      <c r="J1584" s="6" t="s">
        <v>2625</v>
      </c>
      <c r="K1584" s="12">
        <v>46120.800173611111</v>
      </c>
      <c r="L1584" s="6" t="str" cm="1">
        <f t="array" ref="L1584">LOOKUP(2^15,SEARCH(Tabela2[Palavras-Chave],Boletim4[[#This Row],[Objeto]],1),Tabela2[Palavras-Chave])</f>
        <v>EFICIÊNCIA</v>
      </c>
    </row>
    <row r="1585" spans="1:12" ht="187.2" hidden="1" x14ac:dyDescent="0.3">
      <c r="A1585" s="5">
        <v>18255660</v>
      </c>
      <c r="B1585" s="6" t="s">
        <v>2626</v>
      </c>
      <c r="C1585" s="6" t="s">
        <v>2627</v>
      </c>
      <c r="D1585" s="8" t="s">
        <v>67</v>
      </c>
      <c r="E1585" s="6" t="s">
        <v>2628</v>
      </c>
      <c r="F1585" s="6" t="s">
        <v>98</v>
      </c>
      <c r="G1585" s="11" t="s">
        <v>56</v>
      </c>
      <c r="I1585" s="10" t="s">
        <v>2629</v>
      </c>
      <c r="J1585" s="6" t="s">
        <v>2630</v>
      </c>
      <c r="K1585" s="12">
        <v>46120.767696759256</v>
      </c>
      <c r="L1585" s="6" t="e" cm="1">
        <f t="array" ref="L1585">LOOKUP(2^15,SEARCH(Tabela2[Palavras-Chave],Boletim4[[#This Row],[Objeto]],1),Tabela2[Palavras-Chave])</f>
        <v>#N/A</v>
      </c>
    </row>
    <row r="1586" spans="1:12" ht="201.6" hidden="1" x14ac:dyDescent="0.3">
      <c r="A1586" s="5">
        <v>18650231</v>
      </c>
      <c r="B1586" s="6" t="s">
        <v>3412</v>
      </c>
      <c r="C1586" s="6" t="s">
        <v>3413</v>
      </c>
      <c r="D1586" s="8" t="s">
        <v>92</v>
      </c>
      <c r="E1586" s="6" t="s">
        <v>119</v>
      </c>
      <c r="F1586" s="6" t="s">
        <v>98</v>
      </c>
      <c r="G1586" s="11" t="s">
        <v>56</v>
      </c>
      <c r="I1586" s="10" t="s">
        <v>3414</v>
      </c>
      <c r="J1586" s="6" t="s">
        <v>3415</v>
      </c>
      <c r="K1586" s="12">
        <v>46120.706678240742</v>
      </c>
      <c r="L1586" s="6" t="e" cm="1">
        <f t="array" ref="L1586">LOOKUP(2^15,SEARCH(Tabela2[Palavras-Chave],Boletim4[[#This Row],[Objeto]],1),Tabela2[Palavras-Chave])</f>
        <v>#N/A</v>
      </c>
    </row>
    <row r="1587" spans="1:12" ht="172.8" hidden="1" x14ac:dyDescent="0.3">
      <c r="A1587" s="5">
        <v>18708106</v>
      </c>
      <c r="B1587" s="6" t="s">
        <v>3416</v>
      </c>
      <c r="C1587" s="6" t="s">
        <v>3417</v>
      </c>
      <c r="D1587" s="8" t="s">
        <v>92</v>
      </c>
      <c r="E1587" s="6" t="s">
        <v>146</v>
      </c>
      <c r="F1587" s="6" t="s">
        <v>98</v>
      </c>
      <c r="G1587" s="11" t="s">
        <v>56</v>
      </c>
      <c r="I1587" s="10" t="s">
        <v>3418</v>
      </c>
      <c r="J1587" s="6" t="s">
        <v>3419</v>
      </c>
      <c r="K1587" s="12">
        <v>46120.715682870374</v>
      </c>
      <c r="L1587" s="6" t="e" cm="1">
        <f t="array" ref="L1587">LOOKUP(2^15,SEARCH(Tabela2[Palavras-Chave],Boletim4[[#This Row],[Objeto]],1),Tabela2[Palavras-Chave])</f>
        <v>#N/A</v>
      </c>
    </row>
    <row r="1588" spans="1:12" ht="100.8" hidden="1" x14ac:dyDescent="0.3">
      <c r="A1588" s="5">
        <v>18724704</v>
      </c>
      <c r="B1588" s="6" t="s">
        <v>462</v>
      </c>
      <c r="C1588" s="6" t="s">
        <v>463</v>
      </c>
      <c r="D1588" s="8" t="s">
        <v>72</v>
      </c>
      <c r="E1588" s="6" t="s">
        <v>124</v>
      </c>
      <c r="F1588" s="6" t="s">
        <v>98</v>
      </c>
      <c r="G1588" s="11" t="s">
        <v>56</v>
      </c>
      <c r="I1588" s="10" t="s">
        <v>3420</v>
      </c>
      <c r="J1588" s="6" t="s">
        <v>3421</v>
      </c>
      <c r="K1588" s="12">
        <v>46120.543009259258</v>
      </c>
      <c r="L1588" s="6" t="e" cm="1">
        <f t="array" ref="L1588">LOOKUP(2^15,SEARCH(Tabela2[Palavras-Chave],Boletim4[[#This Row],[Objeto]],1),Tabela2[Palavras-Chave])</f>
        <v>#N/A</v>
      </c>
    </row>
    <row r="1589" spans="1:12" ht="144" x14ac:dyDescent="0.3">
      <c r="A1589" s="5">
        <v>18452867</v>
      </c>
      <c r="B1589" s="6" t="s">
        <v>2631</v>
      </c>
      <c r="C1589" s="6" t="s">
        <v>2632</v>
      </c>
      <c r="D1589" s="8" t="s">
        <v>82</v>
      </c>
      <c r="E1589" s="6" t="s">
        <v>2633</v>
      </c>
      <c r="F1589" s="6" t="s">
        <v>98</v>
      </c>
      <c r="G1589" s="11" t="s">
        <v>56</v>
      </c>
      <c r="H1589" s="23">
        <v>2</v>
      </c>
      <c r="I1589" s="10" t="s">
        <v>2634</v>
      </c>
      <c r="J1589" s="6" t="s">
        <v>2635</v>
      </c>
      <c r="K1589" s="12">
        <v>46120.813946759263</v>
      </c>
      <c r="L1589" s="6" t="str" cm="1">
        <f t="array" ref="L1589">LOOKUP(2^15,SEARCH(Tabela2[Palavras-Chave],Boletim4[[#This Row],[Objeto]],1),Tabela2[Palavras-Chave])</f>
        <v>TAÇA</v>
      </c>
    </row>
    <row r="1590" spans="1:12" ht="158.4" hidden="1" x14ac:dyDescent="0.3">
      <c r="A1590" s="5">
        <v>18649960</v>
      </c>
      <c r="B1590" s="6" t="s">
        <v>3422</v>
      </c>
      <c r="C1590" s="6" t="s">
        <v>3423</v>
      </c>
      <c r="D1590" s="8" t="s">
        <v>84</v>
      </c>
      <c r="E1590" s="6" t="s">
        <v>180</v>
      </c>
      <c r="F1590" s="6" t="s">
        <v>98</v>
      </c>
      <c r="G1590" s="11" t="s">
        <v>56</v>
      </c>
      <c r="I1590" s="10" t="s">
        <v>3424</v>
      </c>
      <c r="J1590" s="6" t="s">
        <v>3425</v>
      </c>
      <c r="K1590" s="12">
        <v>46120.878148148149</v>
      </c>
      <c r="L1590" s="6" t="e" cm="1">
        <f t="array" ref="L1590">LOOKUP(2^15,SEARCH(Tabela2[Palavras-Chave],Boletim4[[#This Row],[Objeto]],1),Tabela2[Palavras-Chave])</f>
        <v>#N/A</v>
      </c>
    </row>
    <row r="1591" spans="1:12" ht="57.6" hidden="1" x14ac:dyDescent="0.3">
      <c r="A1591" s="5">
        <v>18567935</v>
      </c>
      <c r="B1591" s="6" t="s">
        <v>433</v>
      </c>
      <c r="C1591" s="6" t="s">
        <v>434</v>
      </c>
      <c r="D1591" s="8" t="s">
        <v>66</v>
      </c>
      <c r="E1591" s="6" t="s">
        <v>2636</v>
      </c>
      <c r="F1591" s="6" t="s">
        <v>295</v>
      </c>
      <c r="G1591" s="11" t="s">
        <v>56</v>
      </c>
      <c r="I1591" s="10" t="s">
        <v>2637</v>
      </c>
      <c r="J1591" s="6" t="s">
        <v>2638</v>
      </c>
      <c r="K1591" s="12">
        <v>46120.796701388892</v>
      </c>
      <c r="L1591" s="6" t="e" cm="1">
        <f t="array" ref="L1591">LOOKUP(2^15,SEARCH(Tabela2[Palavras-Chave],Boletim4[[#This Row],[Objeto]],1),Tabela2[Palavras-Chave])</f>
        <v>#N/A</v>
      </c>
    </row>
    <row r="1592" spans="1:12" ht="187.2" hidden="1" x14ac:dyDescent="0.3">
      <c r="A1592" s="5">
        <v>18761193</v>
      </c>
      <c r="B1592" s="6" t="s">
        <v>2639</v>
      </c>
      <c r="C1592" s="6" t="s">
        <v>2640</v>
      </c>
      <c r="D1592" s="8" t="s">
        <v>72</v>
      </c>
      <c r="E1592" s="6" t="s">
        <v>2641</v>
      </c>
      <c r="F1592" s="6" t="s">
        <v>295</v>
      </c>
      <c r="G1592" s="11" t="s">
        <v>56</v>
      </c>
      <c r="I1592" s="10" t="s">
        <v>2642</v>
      </c>
      <c r="J1592" s="6" t="s">
        <v>2643</v>
      </c>
      <c r="K1592" s="12">
        <v>46120.732418981483</v>
      </c>
      <c r="L1592" s="6" t="e" cm="1">
        <f t="array" ref="L1592">LOOKUP(2^15,SEARCH(Tabela2[Palavras-Chave],Boletim4[[#This Row],[Objeto]],1),Tabela2[Palavras-Chave])</f>
        <v>#N/A</v>
      </c>
    </row>
    <row r="1593" spans="1:12" ht="57.6" hidden="1" x14ac:dyDescent="0.3">
      <c r="A1593" s="5">
        <v>18693926</v>
      </c>
      <c r="B1593" s="6" t="s">
        <v>2644</v>
      </c>
      <c r="C1593" s="6" t="s">
        <v>1595</v>
      </c>
      <c r="D1593" s="8" t="s">
        <v>66</v>
      </c>
      <c r="E1593" s="6" t="s">
        <v>109</v>
      </c>
      <c r="F1593" s="6" t="s">
        <v>296</v>
      </c>
      <c r="G1593" s="11">
        <v>46148.541666666664</v>
      </c>
      <c r="I1593" s="10" t="s">
        <v>2645</v>
      </c>
      <c r="J1593" s="6" t="s">
        <v>2646</v>
      </c>
      <c r="K1593" s="12">
        <v>46120.522962962961</v>
      </c>
      <c r="L1593" s="6" t="e" cm="1">
        <f t="array" ref="L1593">LOOKUP(2^15,SEARCH(Tabela2[Palavras-Chave],Boletim4[[#This Row],[Objeto]],1),Tabela2[Palavras-Chave])</f>
        <v>#N/A</v>
      </c>
    </row>
    <row r="1594" spans="1:12" ht="100.8" hidden="1" x14ac:dyDescent="0.3">
      <c r="A1594" s="5">
        <v>18798936</v>
      </c>
      <c r="B1594" s="6" t="s">
        <v>2647</v>
      </c>
      <c r="C1594" s="6" t="s">
        <v>2648</v>
      </c>
      <c r="D1594" s="8" t="s">
        <v>81</v>
      </c>
      <c r="E1594" s="6" t="s">
        <v>106</v>
      </c>
      <c r="F1594" s="6" t="s">
        <v>296</v>
      </c>
      <c r="G1594" s="11">
        <v>46136.333333333336</v>
      </c>
      <c r="I1594" s="10" t="s">
        <v>2649</v>
      </c>
      <c r="J1594" s="6" t="s">
        <v>2650</v>
      </c>
      <c r="K1594" s="12">
        <v>46120.523668981485</v>
      </c>
      <c r="L1594" s="6" t="e" cm="1">
        <f t="array" ref="L1594">LOOKUP(2^15,SEARCH(Tabela2[Palavras-Chave],Boletim4[[#This Row],[Objeto]],1),Tabela2[Palavras-Chave])</f>
        <v>#N/A</v>
      </c>
    </row>
    <row r="1595" spans="1:12" ht="259.2" hidden="1" x14ac:dyDescent="0.3">
      <c r="A1595" s="5">
        <v>18795434</v>
      </c>
      <c r="B1595" s="6" t="s">
        <v>185</v>
      </c>
      <c r="C1595" s="6" t="s">
        <v>186</v>
      </c>
      <c r="D1595" s="8" t="s">
        <v>81</v>
      </c>
      <c r="E1595" s="6" t="s">
        <v>149</v>
      </c>
      <c r="F1595" s="6" t="s">
        <v>296</v>
      </c>
      <c r="G1595" s="11" t="s">
        <v>56</v>
      </c>
      <c r="I1595" s="10" t="s">
        <v>2651</v>
      </c>
      <c r="J1595" s="6" t="s">
        <v>2652</v>
      </c>
      <c r="K1595" s="12">
        <v>46120.523680555554</v>
      </c>
      <c r="L1595" s="6" t="e" cm="1">
        <f t="array" ref="L1595">LOOKUP(2^15,SEARCH(Tabela2[Palavras-Chave],Boletim4[[#This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09D63F-DE7B-4ECF-8F7D-4AD83CC09C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PALAVRAS CHAVE</vt:lpstr>
      <vt:lpstr>Boletim</vt:lpstr>
      <vt:lpstr>Boletim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Reis</dc:creator>
  <cp:lastModifiedBy>Gabriel Rossi</cp:lastModifiedBy>
  <dcterms:created xsi:type="dcterms:W3CDTF">2025-07-24T13:34:57Z</dcterms:created>
  <dcterms:modified xsi:type="dcterms:W3CDTF">2026-04-09T17:13:44Z</dcterms:modified>
</cp:coreProperties>
</file>